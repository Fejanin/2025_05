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19200" windowHeight="7050" tabRatio="420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M275" i="1"/>
  <c r="Z275" i="1"/>
  <c r="Y275" i="1"/>
  <c r="BP275" i="1" s="1"/>
  <c r="P275" i="1"/>
  <c r="BO274" i="1"/>
  <c r="BM274" i="1"/>
  <c r="Z274" i="1"/>
  <c r="Y274" i="1"/>
  <c r="P274" i="1"/>
  <c r="BO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BO270" i="1"/>
  <c r="BM270" i="1"/>
  <c r="Z270" i="1"/>
  <c r="Y270" i="1"/>
  <c r="P270" i="1"/>
  <c r="BO269" i="1"/>
  <c r="BM269" i="1"/>
  <c r="Z269" i="1"/>
  <c r="Y269" i="1"/>
  <c r="BP269" i="1" s="1"/>
  <c r="P269" i="1"/>
  <c r="BO268" i="1"/>
  <c r="BM268" i="1"/>
  <c r="Z268" i="1"/>
  <c r="Y268" i="1"/>
  <c r="P268" i="1"/>
  <c r="BO267" i="1"/>
  <c r="BM267" i="1"/>
  <c r="Z267" i="1"/>
  <c r="Y267" i="1"/>
  <c r="BP267" i="1" s="1"/>
  <c r="P267" i="1"/>
  <c r="X265" i="1"/>
  <c r="X264" i="1"/>
  <c r="BO263" i="1"/>
  <c r="BM263" i="1"/>
  <c r="Z263" i="1"/>
  <c r="Y263" i="1"/>
  <c r="BP263" i="1" s="1"/>
  <c r="P263" i="1"/>
  <c r="BO262" i="1"/>
  <c r="BM262" i="1"/>
  <c r="Z262" i="1"/>
  <c r="Y262" i="1"/>
  <c r="P262" i="1"/>
  <c r="BO261" i="1"/>
  <c r="BN261" i="1"/>
  <c r="BM261" i="1"/>
  <c r="Z261" i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P253" i="1"/>
  <c r="BO253" i="1"/>
  <c r="BN253" i="1"/>
  <c r="BM253" i="1"/>
  <c r="Z253" i="1"/>
  <c r="Y253" i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P246" i="1"/>
  <c r="Y244" i="1"/>
  <c r="X244" i="1"/>
  <c r="X243" i="1"/>
  <c r="BO242" i="1"/>
  <c r="BM242" i="1"/>
  <c r="Z242" i="1"/>
  <c r="Z243" i="1" s="1"/>
  <c r="Y242" i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P226" i="1"/>
  <c r="Y222" i="1"/>
  <c r="X222" i="1"/>
  <c r="X221" i="1"/>
  <c r="BO220" i="1"/>
  <c r="BM220" i="1"/>
  <c r="Z220" i="1"/>
  <c r="Z221" i="1" s="1"/>
  <c r="Y220" i="1"/>
  <c r="P220" i="1"/>
  <c r="X217" i="1"/>
  <c r="X216" i="1"/>
  <c r="BO215" i="1"/>
  <c r="BM215" i="1"/>
  <c r="Z215" i="1"/>
  <c r="Z216" i="1" s="1"/>
  <c r="Y215" i="1"/>
  <c r="P215" i="1"/>
  <c r="Y212" i="1"/>
  <c r="X212" i="1"/>
  <c r="X211" i="1"/>
  <c r="BO210" i="1"/>
  <c r="BM210" i="1"/>
  <c r="Z210" i="1"/>
  <c r="Y210" i="1"/>
  <c r="P210" i="1"/>
  <c r="BP209" i="1"/>
  <c r="BO209" i="1"/>
  <c r="BN209" i="1"/>
  <c r="BM209" i="1"/>
  <c r="Z209" i="1"/>
  <c r="Z211" i="1" s="1"/>
  <c r="Y209" i="1"/>
  <c r="P209" i="1"/>
  <c r="X206" i="1"/>
  <c r="X205" i="1"/>
  <c r="BO204" i="1"/>
  <c r="BN204" i="1"/>
  <c r="BM204" i="1"/>
  <c r="Z204" i="1"/>
  <c r="Y204" i="1"/>
  <c r="BP204" i="1" s="1"/>
  <c r="P204" i="1"/>
  <c r="BO203" i="1"/>
  <c r="BM203" i="1"/>
  <c r="Z203" i="1"/>
  <c r="Y203" i="1"/>
  <c r="P203" i="1"/>
  <c r="BO202" i="1"/>
  <c r="BN202" i="1"/>
  <c r="BM202" i="1"/>
  <c r="Z202" i="1"/>
  <c r="Y202" i="1"/>
  <c r="P202" i="1"/>
  <c r="X200" i="1"/>
  <c r="X199" i="1"/>
  <c r="BO198" i="1"/>
  <c r="BM198" i="1"/>
  <c r="Z198" i="1"/>
  <c r="Z199" i="1" s="1"/>
  <c r="Y198" i="1"/>
  <c r="Y200" i="1" s="1"/>
  <c r="P198" i="1"/>
  <c r="X194" i="1"/>
  <c r="X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X185" i="1"/>
  <c r="X184" i="1"/>
  <c r="BO183" i="1"/>
  <c r="BM183" i="1"/>
  <c r="Z183" i="1"/>
  <c r="Z184" i="1" s="1"/>
  <c r="Y183" i="1"/>
  <c r="P183" i="1"/>
  <c r="X180" i="1"/>
  <c r="X179" i="1"/>
  <c r="BO178" i="1"/>
  <c r="BM178" i="1"/>
  <c r="Z178" i="1"/>
  <c r="Z179" i="1" s="1"/>
  <c r="Y178" i="1"/>
  <c r="Y180" i="1" s="1"/>
  <c r="P178" i="1"/>
  <c r="BO177" i="1"/>
  <c r="BN177" i="1"/>
  <c r="BM177" i="1"/>
  <c r="Z177" i="1"/>
  <c r="Y177" i="1"/>
  <c r="P177" i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Y156" i="1"/>
  <c r="BP156" i="1" s="1"/>
  <c r="P156" i="1"/>
  <c r="BO155" i="1"/>
  <c r="BM155" i="1"/>
  <c r="Z155" i="1"/>
  <c r="Y155" i="1"/>
  <c r="P155" i="1"/>
  <c r="X152" i="1"/>
  <c r="X151" i="1"/>
  <c r="BO150" i="1"/>
  <c r="BM150" i="1"/>
  <c r="Z150" i="1"/>
  <c r="Y150" i="1"/>
  <c r="P150" i="1"/>
  <c r="BO149" i="1"/>
  <c r="BM149" i="1"/>
  <c r="Z149" i="1"/>
  <c r="Y149" i="1"/>
  <c r="BN149" i="1" s="1"/>
  <c r="P149" i="1"/>
  <c r="X146" i="1"/>
  <c r="X145" i="1"/>
  <c r="BO144" i="1"/>
  <c r="BM144" i="1"/>
  <c r="Z144" i="1"/>
  <c r="Y144" i="1"/>
  <c r="BN144" i="1" s="1"/>
  <c r="P144" i="1"/>
  <c r="BO143" i="1"/>
  <c r="BM143" i="1"/>
  <c r="Z143" i="1"/>
  <c r="Y143" i="1"/>
  <c r="Y146" i="1" s="1"/>
  <c r="P143" i="1"/>
  <c r="X140" i="1"/>
  <c r="X139" i="1"/>
  <c r="BO138" i="1"/>
  <c r="BM138" i="1"/>
  <c r="Z138" i="1"/>
  <c r="Y138" i="1"/>
  <c r="BP138" i="1" s="1"/>
  <c r="P138" i="1"/>
  <c r="BO137" i="1"/>
  <c r="BM137" i="1"/>
  <c r="Z137" i="1"/>
  <c r="Y137" i="1"/>
  <c r="BN137" i="1" s="1"/>
  <c r="P137" i="1"/>
  <c r="BO136" i="1"/>
  <c r="BM136" i="1"/>
  <c r="Z136" i="1"/>
  <c r="Y136" i="1"/>
  <c r="P136" i="1"/>
  <c r="X134" i="1"/>
  <c r="X133" i="1"/>
  <c r="BO132" i="1"/>
  <c r="BM132" i="1"/>
  <c r="Z132" i="1"/>
  <c r="Y132" i="1"/>
  <c r="BP132" i="1" s="1"/>
  <c r="P132" i="1"/>
  <c r="BO131" i="1"/>
  <c r="BM131" i="1"/>
  <c r="Z131" i="1"/>
  <c r="Y131" i="1"/>
  <c r="BP131" i="1" s="1"/>
  <c r="P131" i="1"/>
  <c r="BO130" i="1"/>
  <c r="BM130" i="1"/>
  <c r="Z130" i="1"/>
  <c r="Y130" i="1"/>
  <c r="BP130" i="1" s="1"/>
  <c r="P130" i="1"/>
  <c r="BO129" i="1"/>
  <c r="BM129" i="1"/>
  <c r="Z129" i="1"/>
  <c r="Y129" i="1"/>
  <c r="BN129" i="1" s="1"/>
  <c r="P129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O120" i="1"/>
  <c r="BM120" i="1"/>
  <c r="Z120" i="1"/>
  <c r="Z121" i="1" s="1"/>
  <c r="Y120" i="1"/>
  <c r="Y122" i="1" s="1"/>
  <c r="P120" i="1"/>
  <c r="X118" i="1"/>
  <c r="X117" i="1"/>
  <c r="BO116" i="1"/>
  <c r="BM116" i="1"/>
  <c r="Z116" i="1"/>
  <c r="Y116" i="1"/>
  <c r="BN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N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N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Y118" i="1" s="1"/>
  <c r="P110" i="1"/>
  <c r="X107" i="1"/>
  <c r="X106" i="1"/>
  <c r="BO105" i="1"/>
  <c r="BM105" i="1"/>
  <c r="Z105" i="1"/>
  <c r="Y105" i="1"/>
  <c r="BP105" i="1" s="1"/>
  <c r="P105" i="1"/>
  <c r="BO104" i="1"/>
  <c r="BM104" i="1"/>
  <c r="Z104" i="1"/>
  <c r="Y104" i="1"/>
  <c r="Y107" i="1" s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N98" i="1" s="1"/>
  <c r="P98" i="1"/>
  <c r="BO97" i="1"/>
  <c r="BM97" i="1"/>
  <c r="Z97" i="1"/>
  <c r="Y97" i="1"/>
  <c r="BP97" i="1" s="1"/>
  <c r="P97" i="1"/>
  <c r="BO96" i="1"/>
  <c r="BM96" i="1"/>
  <c r="Z96" i="1"/>
  <c r="Y96" i="1"/>
  <c r="BN96" i="1" s="1"/>
  <c r="P96" i="1"/>
  <c r="BO95" i="1"/>
  <c r="BM95" i="1"/>
  <c r="Z95" i="1"/>
  <c r="Y95" i="1"/>
  <c r="BP95" i="1" s="1"/>
  <c r="P95" i="1"/>
  <c r="BO94" i="1"/>
  <c r="BM94" i="1"/>
  <c r="Z94" i="1"/>
  <c r="Y94" i="1"/>
  <c r="P94" i="1"/>
  <c r="X91" i="1"/>
  <c r="X90" i="1"/>
  <c r="BO89" i="1"/>
  <c r="BM89" i="1"/>
  <c r="Z89" i="1"/>
  <c r="Y89" i="1"/>
  <c r="BP89" i="1" s="1"/>
  <c r="P89" i="1"/>
  <c r="BO88" i="1"/>
  <c r="BM88" i="1"/>
  <c r="Z88" i="1"/>
  <c r="Y88" i="1"/>
  <c r="Y91" i="1" s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Y77" i="1"/>
  <c r="P77" i="1"/>
  <c r="X74" i="1"/>
  <c r="X73" i="1"/>
  <c r="BP72" i="1"/>
  <c r="BO72" i="1"/>
  <c r="BN72" i="1"/>
  <c r="BM72" i="1"/>
  <c r="Z72" i="1"/>
  <c r="Y72" i="1"/>
  <c r="P72" i="1"/>
  <c r="BO71" i="1"/>
  <c r="BM71" i="1"/>
  <c r="Z71" i="1"/>
  <c r="Y71" i="1"/>
  <c r="BP71" i="1" s="1"/>
  <c r="P71" i="1"/>
  <c r="BP70" i="1"/>
  <c r="BO70" i="1"/>
  <c r="BN70" i="1"/>
  <c r="BM70" i="1"/>
  <c r="Z70" i="1"/>
  <c r="Z73" i="1" s="1"/>
  <c r="Y70" i="1"/>
  <c r="P70" i="1"/>
  <c r="X68" i="1"/>
  <c r="X67" i="1"/>
  <c r="BO66" i="1"/>
  <c r="BN66" i="1"/>
  <c r="BM66" i="1"/>
  <c r="Z66" i="1"/>
  <c r="Y66" i="1"/>
  <c r="BP66" i="1" s="1"/>
  <c r="P66" i="1"/>
  <c r="BO65" i="1"/>
  <c r="BM65" i="1"/>
  <c r="Z65" i="1"/>
  <c r="Z67" i="1" s="1"/>
  <c r="Y65" i="1"/>
  <c r="Y68" i="1" s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Z57" i="1" s="1"/>
  <c r="Y53" i="1"/>
  <c r="BP53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Z49" i="1" s="1"/>
  <c r="Y47" i="1"/>
  <c r="Y50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BN41" i="1" s="1"/>
  <c r="P41" i="1"/>
  <c r="X37" i="1"/>
  <c r="X36" i="1"/>
  <c r="BO35" i="1"/>
  <c r="BN35" i="1"/>
  <c r="BM35" i="1"/>
  <c r="Z35" i="1"/>
  <c r="Y35" i="1"/>
  <c r="BP35" i="1" s="1"/>
  <c r="P35" i="1"/>
  <c r="BO34" i="1"/>
  <c r="BM34" i="1"/>
  <c r="Z34" i="1"/>
  <c r="Z36" i="1" s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Z30" i="1" s="1"/>
  <c r="Y22" i="1"/>
  <c r="BP22" i="1" s="1"/>
  <c r="P22" i="1"/>
  <c r="H10" i="1"/>
  <c r="A9" i="1"/>
  <c r="A10" i="1" s="1"/>
  <c r="D7" i="1"/>
  <c r="Q6" i="1"/>
  <c r="P2" i="1"/>
  <c r="Y278" i="1" l="1"/>
  <c r="BN267" i="1"/>
  <c r="BN269" i="1"/>
  <c r="BN271" i="1"/>
  <c r="BN273" i="1"/>
  <c r="BN275" i="1"/>
  <c r="Z277" i="1"/>
  <c r="BN263" i="1"/>
  <c r="BN166" i="1"/>
  <c r="Y167" i="1"/>
  <c r="BN156" i="1"/>
  <c r="BP144" i="1"/>
  <c r="BN131" i="1"/>
  <c r="BN120" i="1"/>
  <c r="Y121" i="1"/>
  <c r="BN105" i="1"/>
  <c r="Y100" i="1"/>
  <c r="BN89" i="1"/>
  <c r="Y79" i="1"/>
  <c r="BN55" i="1"/>
  <c r="BN53" i="1"/>
  <c r="BN48" i="1"/>
  <c r="Z43" i="1"/>
  <c r="BP41" i="1"/>
  <c r="BN22" i="1"/>
  <c r="BN24" i="1"/>
  <c r="BN26" i="1"/>
  <c r="BP28" i="1"/>
  <c r="F10" i="1"/>
  <c r="Z79" i="1"/>
  <c r="BP77" i="1"/>
  <c r="Z100" i="1"/>
  <c r="BP94" i="1"/>
  <c r="BP96" i="1"/>
  <c r="BP98" i="1"/>
  <c r="Z117" i="1"/>
  <c r="BP110" i="1"/>
  <c r="BP112" i="1"/>
  <c r="BP114" i="1"/>
  <c r="BP116" i="1"/>
  <c r="Y133" i="1"/>
  <c r="Z139" i="1"/>
  <c r="BP137" i="1"/>
  <c r="Z151" i="1"/>
  <c r="BP149" i="1"/>
  <c r="BP161" i="1"/>
  <c r="BP171" i="1"/>
  <c r="BP198" i="1"/>
  <c r="BP257" i="1"/>
  <c r="F9" i="1"/>
  <c r="BP120" i="1"/>
  <c r="Z133" i="1"/>
  <c r="BP129" i="1"/>
  <c r="Y179" i="1"/>
  <c r="Y206" i="1"/>
  <c r="Y265" i="1"/>
  <c r="X283" i="1"/>
  <c r="J9" i="1"/>
  <c r="Y30" i="1"/>
  <c r="Y43" i="1"/>
  <c r="Y57" i="1"/>
  <c r="Y74" i="1"/>
  <c r="BN77" i="1"/>
  <c r="Z90" i="1"/>
  <c r="BN94" i="1"/>
  <c r="Z106" i="1"/>
  <c r="BN110" i="1"/>
  <c r="Y139" i="1"/>
  <c r="Z157" i="1"/>
  <c r="BN161" i="1"/>
  <c r="Y162" i="1"/>
  <c r="BP166" i="1"/>
  <c r="BN171" i="1"/>
  <c r="Y172" i="1"/>
  <c r="BP177" i="1"/>
  <c r="Z193" i="1"/>
  <c r="BN198" i="1"/>
  <c r="Y199" i="1"/>
  <c r="Z205" i="1"/>
  <c r="BP202" i="1"/>
  <c r="Y211" i="1"/>
  <c r="Z254" i="1"/>
  <c r="BN257" i="1"/>
  <c r="Y258" i="1"/>
  <c r="Z264" i="1"/>
  <c r="BP261" i="1"/>
  <c r="Y277" i="1"/>
  <c r="Y31" i="1"/>
  <c r="Y36" i="1"/>
  <c r="Y44" i="1"/>
  <c r="Y49" i="1"/>
  <c r="Y58" i="1"/>
  <c r="Y63" i="1"/>
  <c r="Y67" i="1"/>
  <c r="Y73" i="1"/>
  <c r="Y80" i="1"/>
  <c r="Y85" i="1"/>
  <c r="Y90" i="1"/>
  <c r="Y101" i="1"/>
  <c r="Y106" i="1"/>
  <c r="Y117" i="1"/>
  <c r="Y134" i="1"/>
  <c r="Y140" i="1"/>
  <c r="Y145" i="1"/>
  <c r="BP150" i="1"/>
  <c r="BN150" i="1"/>
  <c r="Y184" i="1"/>
  <c r="BP183" i="1"/>
  <c r="BN183" i="1"/>
  <c r="Y216" i="1"/>
  <c r="BP215" i="1"/>
  <c r="BN215" i="1"/>
  <c r="Y227" i="1"/>
  <c r="BP226" i="1"/>
  <c r="BN226" i="1"/>
  <c r="Y237" i="1"/>
  <c r="BP236" i="1"/>
  <c r="BN236" i="1"/>
  <c r="Y247" i="1"/>
  <c r="BP246" i="1"/>
  <c r="BN246" i="1"/>
  <c r="H9" i="1"/>
  <c r="X280" i="1"/>
  <c r="X281" i="1"/>
  <c r="BN23" i="1"/>
  <c r="BN25" i="1"/>
  <c r="BN27" i="1"/>
  <c r="BN29" i="1"/>
  <c r="X279" i="1"/>
  <c r="BN34" i="1"/>
  <c r="BP34" i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30" i="1"/>
  <c r="BN132" i="1"/>
  <c r="BN136" i="1"/>
  <c r="BP136" i="1"/>
  <c r="BN138" i="1"/>
  <c r="Z145" i="1"/>
  <c r="BN143" i="1"/>
  <c r="BP143" i="1"/>
  <c r="Y151" i="1"/>
  <c r="Y152" i="1"/>
  <c r="Y158" i="1"/>
  <c r="BP155" i="1"/>
  <c r="BN155" i="1"/>
  <c r="Y157" i="1"/>
  <c r="BP178" i="1"/>
  <c r="BN178" i="1"/>
  <c r="Y185" i="1"/>
  <c r="Y194" i="1"/>
  <c r="BP189" i="1"/>
  <c r="BN189" i="1"/>
  <c r="BP191" i="1"/>
  <c r="BN191" i="1"/>
  <c r="Y193" i="1"/>
  <c r="BP203" i="1"/>
  <c r="BN203" i="1"/>
  <c r="Y205" i="1"/>
  <c r="BP210" i="1"/>
  <c r="BN210" i="1"/>
  <c r="Y217" i="1"/>
  <c r="Y221" i="1"/>
  <c r="BP220" i="1"/>
  <c r="BN220" i="1"/>
  <c r="Y228" i="1"/>
  <c r="Y233" i="1"/>
  <c r="BP232" i="1"/>
  <c r="BN232" i="1"/>
  <c r="Y238" i="1"/>
  <c r="Y243" i="1"/>
  <c r="BP242" i="1"/>
  <c r="BN242" i="1"/>
  <c r="Y248" i="1"/>
  <c r="Y255" i="1"/>
  <c r="BP252" i="1"/>
  <c r="BN252" i="1"/>
  <c r="Y254" i="1"/>
  <c r="BP262" i="1"/>
  <c r="BN262" i="1"/>
  <c r="Y264" i="1"/>
  <c r="BP268" i="1"/>
  <c r="BN268" i="1"/>
  <c r="BP270" i="1"/>
  <c r="BN270" i="1"/>
  <c r="BP272" i="1"/>
  <c r="BN272" i="1"/>
  <c r="BP274" i="1"/>
  <c r="BN274" i="1"/>
  <c r="BP276" i="1"/>
  <c r="BN276" i="1"/>
  <c r="Z284" i="1" l="1"/>
  <c r="Y280" i="1"/>
  <c r="Y283" i="1"/>
  <c r="Y281" i="1"/>
  <c r="Y282" i="1" s="1"/>
  <c r="C292" i="1" s="1"/>
  <c r="X282" i="1"/>
  <c r="Y279" i="1"/>
  <c r="B292" i="1" l="1"/>
  <c r="A292" i="1"/>
</calcChain>
</file>

<file path=xl/sharedStrings.xml><?xml version="1.0" encoding="utf-8"?>
<sst xmlns="http://schemas.openxmlformats.org/spreadsheetml/2006/main" count="1285" uniqueCount="415">
  <si>
    <t xml:space="preserve">  БЛАНК ЗАКАЗА </t>
  </si>
  <si>
    <t>ЗПФ</t>
  </si>
  <si>
    <t>на отгрузку продукции с ООО Трейд-Сервис с</t>
  </si>
  <si>
    <t>11.08.2026</t>
  </si>
  <si>
    <t>бланк создан</t>
  </si>
  <si>
    <t>10.08.2026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</si>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</sst>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4" fillId="26" borderId="0" xfId="0" applyFont="1" applyFill="1" applyAlignment="1" applyProtection="1">
      <alignment horizontal="center"/>
      <protection hidden="1"/>
    </xf>
    <xf numFmtId="0" fontId="13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00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7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0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1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292"/>
  <sheetViews>
    <sheetView showGridLines="0" tabSelected="1" topLeftCell="I121" zoomScale="90" zoomScaleNormal="90" zoomScaleSheetLayoutView="100" workbookViewId="0">
      <selection activeCell="O129" sqref="A129:XFD129"/>
    </sheetView>
  </sheetViews>
  <sheetFormatPr defaultColWidth="9.1796875" defaultRowHeight="13" x14ac:dyDescent="0.3"/>
  <cols>
    <col min="1" max="1" width="9.1796875" style="274" customWidth="1"/>
    <col min="2" max="2" width="10.81640625" style="3" customWidth="1"/>
    <col min="3" max="3" width="12.54296875" style="3" customWidth="1"/>
    <col min="4" max="4" width="6.453125" style="3" customWidth="1"/>
    <col min="5" max="5" width="6.81640625" style="3" customWidth="1"/>
    <col min="6" max="6" width="8.453125" style="3" customWidth="1"/>
    <col min="7" max="7" width="9.453125" style="3" customWidth="1"/>
    <col min="8" max="8" width="11.81640625" style="3" customWidth="1"/>
    <col min="9" max="9" width="9.453125" style="3" customWidth="1"/>
    <col min="10" max="10" width="9.1796875" style="4" customWidth="1"/>
    <col min="11" max="12" width="13.81640625" style="4" customWidth="1"/>
    <col min="13" max="13" width="9.453125" style="4" customWidth="1"/>
    <col min="14" max="14" width="15.81640625" style="4" hidden="1" customWidth="1"/>
    <col min="15" max="15" width="10.453125" style="3" customWidth="1"/>
    <col min="16" max="16" width="7.453125" style="1" customWidth="1"/>
    <col min="17" max="17" width="15.54296875" style="1" customWidth="1"/>
    <col min="18" max="18" width="8.1796875" style="274" customWidth="1"/>
    <col min="19" max="19" width="6.1796875" style="274" customWidth="1"/>
    <col min="20" max="20" width="10.81640625" style="2" customWidth="1"/>
    <col min="21" max="21" width="10.453125" style="2" customWidth="1"/>
    <col min="22" max="22" width="9.453125" style="2" customWidth="1"/>
    <col min="23" max="23" width="8.453125" style="2" customWidth="1"/>
    <col min="24" max="24" width="10" style="274" customWidth="1"/>
    <col min="25" max="25" width="11" style="274" customWidth="1"/>
    <col min="26" max="26" width="10" style="274" customWidth="1"/>
    <col min="27" max="27" width="11.54296875" style="274" customWidth="1"/>
    <col min="28" max="28" width="10.453125" style="274" customWidth="1"/>
    <col min="29" max="29" width="30" style="274" customWidth="1"/>
    <col min="30" max="30" width="11.453125" style="52" bestFit="1" customWidth="1"/>
    <col min="31" max="31" width="9.1796875" style="52" customWidth="1"/>
    <col min="32" max="32" width="8.81640625" style="52" customWidth="1"/>
    <col min="33" max="33" width="13.54296875" style="274" customWidth="1"/>
    <col min="34" max="34" width="9.1796875" style="274" customWidth="1"/>
    <col min="35" max="16384" width="9.1796875" style="274"/>
  </cols>
  <sheetData>
    <row r="1" spans="1:32" s="270" customFormat="1" ht="45" customHeight="1" x14ac:dyDescent="0.25">
      <c r="A1" s="41"/>
      <c r="B1" s="41"/>
      <c r="C1" s="41"/>
      <c r="D1" s="324" t="s">
        <v>0</v>
      </c>
      <c r="E1" s="309"/>
      <c r="F1" s="309"/>
      <c r="G1" s="12" t="s">
        <v>1</v>
      </c>
      <c r="H1" s="324" t="s">
        <v>2</v>
      </c>
      <c r="I1" s="309"/>
      <c r="J1" s="309"/>
      <c r="K1" s="309"/>
      <c r="L1" s="309"/>
      <c r="M1" s="309"/>
      <c r="N1" s="309"/>
      <c r="O1" s="309"/>
      <c r="P1" s="309"/>
      <c r="Q1" s="309"/>
      <c r="R1" s="308" t="s">
        <v>3</v>
      </c>
      <c r="S1" s="309"/>
      <c r="T1" s="3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5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5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5" customHeight="1" x14ac:dyDescent="0.25">
      <c r="A5" s="357" t="s">
        <v>8</v>
      </c>
      <c r="B5" s="321"/>
      <c r="C5" s="322"/>
      <c r="D5" s="328"/>
      <c r="E5" s="329"/>
      <c r="F5" s="440" t="s">
        <v>9</v>
      </c>
      <c r="G5" s="322"/>
      <c r="H5" s="328" t="s">
        <v>414</v>
      </c>
      <c r="I5" s="375"/>
      <c r="J5" s="375"/>
      <c r="K5" s="375"/>
      <c r="L5" s="375"/>
      <c r="M5" s="329"/>
      <c r="N5" s="61"/>
      <c r="P5" s="24" t="s">
        <v>10</v>
      </c>
      <c r="Q5" s="451">
        <v>46253</v>
      </c>
      <c r="R5" s="356"/>
      <c r="T5" s="352" t="s">
        <v>11</v>
      </c>
      <c r="U5" s="353"/>
      <c r="V5" s="373" t="s">
        <v>12</v>
      </c>
      <c r="W5" s="356"/>
      <c r="AB5" s="51"/>
      <c r="AC5" s="51"/>
      <c r="AD5" s="51"/>
      <c r="AE5" s="51"/>
    </row>
    <row r="6" spans="1:32" s="270" customFormat="1" ht="24" customHeight="1" x14ac:dyDescent="0.25">
      <c r="A6" s="357" t="s">
        <v>13</v>
      </c>
      <c r="B6" s="321"/>
      <c r="C6" s="322"/>
      <c r="D6" s="412" t="s">
        <v>392</v>
      </c>
      <c r="E6" s="413"/>
      <c r="F6" s="413"/>
      <c r="G6" s="413"/>
      <c r="H6" s="413"/>
      <c r="I6" s="413"/>
      <c r="J6" s="413"/>
      <c r="K6" s="413"/>
      <c r="L6" s="413"/>
      <c r="M6" s="356"/>
      <c r="N6" s="62"/>
      <c r="P6" s="24" t="s">
        <v>14</v>
      </c>
      <c r="Q6" s="456" t="str">
        <f>IF(Q5=0," ",CHOOSE(WEEKDAY(Q5,2),"Понедельник","Вторник","Среда","Четверг","Пятница","Суббота","Воскресенье"))</f>
        <v>Среда</v>
      </c>
      <c r="R6" s="281"/>
      <c r="T6" s="381" t="s">
        <v>15</v>
      </c>
      <c r="U6" s="353"/>
      <c r="V6" s="406" t="s">
        <v>16</v>
      </c>
      <c r="W6" s="291"/>
      <c r="AB6" s="51"/>
      <c r="AC6" s="51"/>
      <c r="AD6" s="51"/>
      <c r="AE6" s="51"/>
    </row>
    <row r="7" spans="1:32" s="270" customFormat="1" ht="21.75" hidden="1" customHeight="1" x14ac:dyDescent="0.25">
      <c r="A7" s="55"/>
      <c r="B7" s="55"/>
      <c r="C7" s="55"/>
      <c r="D7" s="358" t="str">
        <f>IFERROR(VLOOKUP(DeliveryAddress,Table,3,0),1)</f>
        <v>4</v>
      </c>
      <c r="E7" s="359"/>
      <c r="F7" s="359"/>
      <c r="G7" s="359"/>
      <c r="H7" s="359"/>
      <c r="I7" s="359"/>
      <c r="J7" s="359"/>
      <c r="K7" s="359"/>
      <c r="L7" s="359"/>
      <c r="M7" s="347"/>
      <c r="N7" s="63"/>
      <c r="P7" s="24"/>
      <c r="Q7" s="42"/>
      <c r="R7" s="42"/>
      <c r="T7" s="286"/>
      <c r="U7" s="353"/>
      <c r="V7" s="407"/>
      <c r="W7" s="408"/>
      <c r="AB7" s="51"/>
      <c r="AC7" s="51"/>
      <c r="AD7" s="51"/>
      <c r="AE7" s="51"/>
    </row>
    <row r="8" spans="1:32" s="270" customFormat="1" ht="25.5" customHeight="1" x14ac:dyDescent="0.25">
      <c r="A8" s="441" t="s">
        <v>17</v>
      </c>
      <c r="B8" s="299"/>
      <c r="C8" s="300"/>
      <c r="D8" s="362"/>
      <c r="E8" s="363"/>
      <c r="F8" s="363"/>
      <c r="G8" s="363"/>
      <c r="H8" s="363"/>
      <c r="I8" s="363"/>
      <c r="J8" s="363"/>
      <c r="K8" s="363"/>
      <c r="L8" s="363"/>
      <c r="M8" s="364"/>
      <c r="N8" s="64"/>
      <c r="P8" s="24" t="s">
        <v>18</v>
      </c>
      <c r="Q8" s="346">
        <v>0.41666666666666669</v>
      </c>
      <c r="R8" s="347"/>
      <c r="T8" s="286"/>
      <c r="U8" s="353"/>
      <c r="V8" s="407"/>
      <c r="W8" s="408"/>
      <c r="AB8" s="51"/>
      <c r="AC8" s="51"/>
      <c r="AD8" s="51"/>
      <c r="AE8" s="51"/>
    </row>
    <row r="9" spans="1:32" s="270" customFormat="1" ht="40" customHeight="1" x14ac:dyDescent="0.25">
      <c r="A9" s="3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420"/>
      <c r="E9" s="297"/>
      <c r="F9" s="3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96" t="str">
        <f>IF(AND($A$9="Тип доверенности/получателя при получении в адресе перегруза:",$D$9="Разовая доверенность"),"Введите ФИО","")</f>
        <v/>
      </c>
      <c r="I9" s="297"/>
      <c r="J9" s="29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7"/>
      <c r="L9" s="297"/>
      <c r="M9" s="297"/>
      <c r="N9" s="268"/>
      <c r="P9" s="26" t="s">
        <v>19</v>
      </c>
      <c r="Q9" s="302"/>
      <c r="R9" s="303"/>
      <c r="T9" s="286"/>
      <c r="U9" s="353"/>
      <c r="V9" s="409"/>
      <c r="W9" s="410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5" customHeight="1" x14ac:dyDescent="0.25">
      <c r="A10" s="3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420"/>
      <c r="E10" s="297"/>
      <c r="F10" s="3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425" t="str">
        <f>IFERROR(VLOOKUP($D$10,Proxy,2,FALSE),"")</f>
        <v/>
      </c>
      <c r="I10" s="286"/>
      <c r="J10" s="286"/>
      <c r="K10" s="286"/>
      <c r="L10" s="286"/>
      <c r="M10" s="286"/>
      <c r="N10" s="269"/>
      <c r="P10" s="26" t="s">
        <v>20</v>
      </c>
      <c r="Q10" s="383"/>
      <c r="R10" s="384"/>
      <c r="U10" s="24" t="s">
        <v>21</v>
      </c>
      <c r="V10" s="290" t="s">
        <v>22</v>
      </c>
      <c r="W10" s="291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6" customHeight="1" x14ac:dyDescent="0.3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5"/>
      <c r="R11" s="356"/>
      <c r="U11" s="24" t="s">
        <v>25</v>
      </c>
      <c r="V11" s="378" t="s">
        <v>26</v>
      </c>
      <c r="W11" s="303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49999999999999" customHeight="1" x14ac:dyDescent="0.25">
      <c r="A12" s="385" t="s">
        <v>27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28</v>
      </c>
      <c r="Q12" s="346"/>
      <c r="R12" s="347"/>
      <c r="S12" s="23"/>
      <c r="U12" s="24"/>
      <c r="V12" s="309"/>
      <c r="W12" s="286"/>
      <c r="AB12" s="51"/>
      <c r="AC12" s="51"/>
      <c r="AD12" s="51"/>
      <c r="AE12" s="51"/>
    </row>
    <row r="13" spans="1:32" s="270" customFormat="1" ht="23.25" customHeight="1" x14ac:dyDescent="0.25">
      <c r="A13" s="385" t="s">
        <v>29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30</v>
      </c>
      <c r="Q13" s="378"/>
      <c r="R13" s="30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49999999999999" customHeight="1" x14ac:dyDescent="0.25">
      <c r="A14" s="385" t="s">
        <v>31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5">
      <c r="A15" s="386" t="s">
        <v>32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68" t="s">
        <v>33</v>
      </c>
      <c r="Q15" s="309"/>
      <c r="R15" s="309"/>
      <c r="S15" s="309"/>
      <c r="T15" s="309"/>
      <c r="AB15" s="51"/>
      <c r="AC15" s="51"/>
      <c r="AD15" s="51"/>
      <c r="AE15" s="51"/>
    </row>
    <row r="16" spans="1:32" ht="18.75" customHeight="1" x14ac:dyDescent="0.3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9"/>
      <c r="Q16" s="369"/>
      <c r="R16" s="369"/>
      <c r="S16" s="369"/>
      <c r="T16" s="36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5">
      <c r="A17" s="315" t="s">
        <v>34</v>
      </c>
      <c r="B17" s="315" t="s">
        <v>35</v>
      </c>
      <c r="C17" s="417" t="s">
        <v>36</v>
      </c>
      <c r="D17" s="315" t="s">
        <v>37</v>
      </c>
      <c r="E17" s="338"/>
      <c r="F17" s="315" t="s">
        <v>38</v>
      </c>
      <c r="G17" s="315" t="s">
        <v>39</v>
      </c>
      <c r="H17" s="315" t="s">
        <v>40</v>
      </c>
      <c r="I17" s="315" t="s">
        <v>41</v>
      </c>
      <c r="J17" s="315" t="s">
        <v>42</v>
      </c>
      <c r="K17" s="315" t="s">
        <v>43</v>
      </c>
      <c r="L17" s="315" t="s">
        <v>44</v>
      </c>
      <c r="M17" s="315" t="s">
        <v>45</v>
      </c>
      <c r="N17" s="315" t="s">
        <v>46</v>
      </c>
      <c r="O17" s="315" t="s">
        <v>47</v>
      </c>
      <c r="P17" s="315" t="s">
        <v>48</v>
      </c>
      <c r="Q17" s="337"/>
      <c r="R17" s="337"/>
      <c r="S17" s="337"/>
      <c r="T17" s="338"/>
      <c r="U17" s="461" t="s">
        <v>49</v>
      </c>
      <c r="V17" s="322"/>
      <c r="W17" s="315" t="s">
        <v>50</v>
      </c>
      <c r="X17" s="315" t="s">
        <v>51</v>
      </c>
      <c r="Y17" s="459" t="s">
        <v>52</v>
      </c>
      <c r="Z17" s="431" t="s">
        <v>53</v>
      </c>
      <c r="AA17" s="423" t="s">
        <v>54</v>
      </c>
      <c r="AB17" s="423" t="s">
        <v>55</v>
      </c>
      <c r="AC17" s="423" t="s">
        <v>56</v>
      </c>
      <c r="AD17" s="423" t="s">
        <v>57</v>
      </c>
      <c r="AE17" s="442"/>
      <c r="AF17" s="443"/>
      <c r="AG17" s="69"/>
      <c r="BD17" s="68" t="s">
        <v>58</v>
      </c>
    </row>
    <row r="18" spans="1:68" ht="14.25" customHeight="1" x14ac:dyDescent="0.25">
      <c r="A18" s="316"/>
      <c r="B18" s="316"/>
      <c r="C18" s="316"/>
      <c r="D18" s="339"/>
      <c r="E18" s="341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16"/>
      <c r="X18" s="316"/>
      <c r="Y18" s="460"/>
      <c r="Z18" s="432"/>
      <c r="AA18" s="424"/>
      <c r="AB18" s="424"/>
      <c r="AC18" s="424"/>
      <c r="AD18" s="444"/>
      <c r="AE18" s="445"/>
      <c r="AF18" s="446"/>
      <c r="AG18" s="69"/>
      <c r="BD18" s="68"/>
    </row>
    <row r="19" spans="1:68" ht="27.75" customHeight="1" x14ac:dyDescent="0.25">
      <c r="A19" s="335" t="s">
        <v>61</v>
      </c>
      <c r="B19" s="336"/>
      <c r="C19" s="336"/>
      <c r="D19" s="336"/>
      <c r="E19" s="336"/>
      <c r="F19" s="336"/>
      <c r="G19" s="336"/>
      <c r="H19" s="336"/>
      <c r="I19" s="336"/>
      <c r="J19" s="336"/>
      <c r="K19" s="336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  <c r="AA19" s="48"/>
      <c r="AB19" s="48"/>
      <c r="AC19" s="48"/>
    </row>
    <row r="20" spans="1:68" ht="16.5" customHeight="1" x14ac:dyDescent="0.3">
      <c r="A20" s="304" t="s">
        <v>61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71"/>
      <c r="AB20" s="271"/>
      <c r="AC20" s="271"/>
    </row>
    <row r="21" spans="1:68" ht="14.25" customHeight="1" x14ac:dyDescent="0.3">
      <c r="A21" s="288" t="s">
        <v>62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72"/>
      <c r="AB21" s="272"/>
      <c r="AC21" s="272"/>
    </row>
    <row r="22" spans="1:68" ht="27" customHeight="1" x14ac:dyDescent="0.3">
      <c r="A22" s="54" t="s">
        <v>63</v>
      </c>
      <c r="B22" s="54" t="s">
        <v>64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6"/>
      <c r="Y22" s="277" t="str">
        <f t="shared" ref="Y22:Y29" si="0">IFERROR(IF(X22="","",X22),"")</f>
        <v/>
      </c>
      <c r="Z22" s="36" t="str">
        <f t="shared" ref="Z22:Z29" si="1">IFERROR(IF(X22="","",X22*0.0155),"")</f>
        <v/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 t="str">
        <f t="shared" ref="BN22:BN29" si="3">IFERROR(Y22*I22,"0")</f>
        <v>0</v>
      </c>
      <c r="BO22" s="67">
        <f t="shared" ref="BO22:BO29" si="4">IFERROR(X22/J22,"0")</f>
        <v>0</v>
      </c>
      <c r="BP22" s="67" t="str">
        <f t="shared" ref="BP22:BP29" si="5">IFERROR(Y22/J22,"0")</f>
        <v>0</v>
      </c>
    </row>
    <row r="23" spans="1:68" ht="27" customHeight="1" x14ac:dyDescent="0.3">
      <c r="A23" s="54" t="s">
        <v>71</v>
      </c>
      <c r="B23" s="54" t="s">
        <v>72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6"/>
      <c r="Y23" s="277" t="str">
        <f t="shared" si="0"/>
        <v/>
      </c>
      <c r="Z23" s="36" t="str">
        <f t="shared" si="1"/>
        <v/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 t="str">
        <f t="shared" si="3"/>
        <v>0</v>
      </c>
      <c r="BO23" s="67">
        <f t="shared" si="4"/>
        <v>0</v>
      </c>
      <c r="BP23" s="67" t="str">
        <f t="shared" si="5"/>
        <v>0</v>
      </c>
    </row>
    <row r="24" spans="1:68" ht="27" customHeight="1" x14ac:dyDescent="0.3">
      <c r="A24" s="54" t="s">
        <v>73</v>
      </c>
      <c r="B24" s="54" t="s">
        <v>74</v>
      </c>
      <c r="C24" s="31">
        <v>4301071135</v>
      </c>
      <c r="D24" s="280">
        <v>4620207491713</v>
      </c>
      <c r="E24" s="281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6"/>
      <c r="Y24" s="277" t="str">
        <f t="shared" si="0"/>
        <v/>
      </c>
      <c r="Z24" s="36" t="str">
        <f t="shared" si="1"/>
        <v/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 t="str">
        <f t="shared" si="3"/>
        <v>0</v>
      </c>
      <c r="BO24" s="67">
        <f t="shared" si="4"/>
        <v>0</v>
      </c>
      <c r="BP24" s="67" t="str">
        <f t="shared" si="5"/>
        <v>0</v>
      </c>
    </row>
    <row r="25" spans="1:68" ht="27" customHeight="1" x14ac:dyDescent="0.3">
      <c r="A25" s="54" t="s">
        <v>76</v>
      </c>
      <c r="B25" s="54" t="s">
        <v>77</v>
      </c>
      <c r="C25" s="31">
        <v>4301071134</v>
      </c>
      <c r="D25" s="280">
        <v>4620207491720</v>
      </c>
      <c r="E25" s="281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6"/>
      <c r="Y25" s="277" t="str">
        <f t="shared" si="0"/>
        <v/>
      </c>
      <c r="Z25" s="36" t="str">
        <f t="shared" si="1"/>
        <v/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 t="str">
        <f t="shared" si="3"/>
        <v>0</v>
      </c>
      <c r="BO25" s="67">
        <f t="shared" si="4"/>
        <v>0</v>
      </c>
      <c r="BP25" s="67" t="str">
        <f t="shared" si="5"/>
        <v>0</v>
      </c>
    </row>
    <row r="26" spans="1:68" ht="27" customHeight="1" x14ac:dyDescent="0.3">
      <c r="A26" s="54" t="s">
        <v>78</v>
      </c>
      <c r="B26" s="54" t="s">
        <v>79</v>
      </c>
      <c r="C26" s="31">
        <v>4301071108</v>
      </c>
      <c r="D26" s="280">
        <v>4607111035912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6"/>
      <c r="Y26" s="277" t="str">
        <f t="shared" si="0"/>
        <v/>
      </c>
      <c r="Z26" s="36" t="str">
        <f t="shared" si="1"/>
        <v/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 t="str">
        <f t="shared" si="3"/>
        <v>0</v>
      </c>
      <c r="BO26" s="67">
        <f t="shared" si="4"/>
        <v>0</v>
      </c>
      <c r="BP26" s="67" t="str">
        <f t="shared" si="5"/>
        <v>0</v>
      </c>
    </row>
    <row r="27" spans="1:68" ht="27" customHeight="1" x14ac:dyDescent="0.3">
      <c r="A27" s="54" t="s">
        <v>81</v>
      </c>
      <c r="B27" s="54" t="s">
        <v>82</v>
      </c>
      <c r="C27" s="31">
        <v>4301071109</v>
      </c>
      <c r="D27" s="280">
        <v>4607111035929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7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6"/>
      <c r="Y27" s="277" t="str">
        <f t="shared" si="0"/>
        <v/>
      </c>
      <c r="Z27" s="36" t="str">
        <f t="shared" si="1"/>
        <v/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 t="str">
        <f t="shared" si="3"/>
        <v>0</v>
      </c>
      <c r="BO27" s="67">
        <f t="shared" si="4"/>
        <v>0</v>
      </c>
      <c r="BP27" s="67" t="str">
        <f t="shared" si="5"/>
        <v>0</v>
      </c>
    </row>
    <row r="28" spans="1:68" ht="27" customHeight="1" x14ac:dyDescent="0.3">
      <c r="A28" s="54" t="s">
        <v>83</v>
      </c>
      <c r="B28" s="54" t="s">
        <v>84</v>
      </c>
      <c r="C28" s="31">
        <v>4301071106</v>
      </c>
      <c r="D28" s="280">
        <v>4607111035882</v>
      </c>
      <c r="E28" s="281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1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6"/>
      <c r="Y28" s="277" t="str">
        <f t="shared" si="0"/>
        <v/>
      </c>
      <c r="Z28" s="36" t="str">
        <f t="shared" si="1"/>
        <v/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 t="str">
        <f t="shared" si="3"/>
        <v>0</v>
      </c>
      <c r="BO28" s="67">
        <f t="shared" si="4"/>
        <v>0</v>
      </c>
      <c r="BP28" s="67" t="str">
        <f t="shared" si="5"/>
        <v>0</v>
      </c>
    </row>
    <row r="29" spans="1:68" ht="27" customHeight="1" x14ac:dyDescent="0.3">
      <c r="A29" s="54" t="s">
        <v>85</v>
      </c>
      <c r="B29" s="54" t="s">
        <v>86</v>
      </c>
      <c r="C29" s="31">
        <v>4301071107</v>
      </c>
      <c r="D29" s="280">
        <v>4607111035905</v>
      </c>
      <c r="E29" s="281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5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6"/>
      <c r="Y29" s="277" t="str">
        <f t="shared" si="0"/>
        <v/>
      </c>
      <c r="Z29" s="36" t="str">
        <f t="shared" si="1"/>
        <v/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 t="str">
        <f t="shared" si="3"/>
        <v>0</v>
      </c>
      <c r="BO29" s="67">
        <f t="shared" si="4"/>
        <v>0</v>
      </c>
      <c r="BP29" s="67" t="str">
        <f t="shared" si="5"/>
        <v>0</v>
      </c>
    </row>
    <row r="30" spans="1:68" ht="12.5" x14ac:dyDescent="0.25">
      <c r="A30" s="285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7"/>
      <c r="P30" s="298" t="s">
        <v>87</v>
      </c>
      <c r="Q30" s="299"/>
      <c r="R30" s="299"/>
      <c r="S30" s="299"/>
      <c r="T30" s="299"/>
      <c r="U30" s="299"/>
      <c r="V30" s="300"/>
      <c r="W30" s="37" t="s">
        <v>68</v>
      </c>
      <c r="X30" s="278">
        <f>IFERROR(SUM(X22:X29),"0")</f>
        <v>0</v>
      </c>
      <c r="Y30" s="278">
        <f>IFERROR(SUM(Y22:Y29),"0")</f>
        <v>0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79"/>
      <c r="AB30" s="279"/>
      <c r="AC30" s="279"/>
    </row>
    <row r="31" spans="1:68" ht="12.5" x14ac:dyDescent="0.25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7"/>
      <c r="P31" s="298" t="s">
        <v>87</v>
      </c>
      <c r="Q31" s="299"/>
      <c r="R31" s="299"/>
      <c r="S31" s="299"/>
      <c r="T31" s="299"/>
      <c r="U31" s="299"/>
      <c r="V31" s="300"/>
      <c r="W31" s="37" t="s">
        <v>88</v>
      </c>
      <c r="X31" s="278">
        <f>IFERROR(SUMPRODUCT(X22:X29*H22:H29),"0")</f>
        <v>0</v>
      </c>
      <c r="Y31" s="278" t="str">
        <f>IFERROR(SUMPRODUCT(Y22:Y29*H22:H29),"0")</f>
        <v>0</v>
      </c>
      <c r="Z31" s="37"/>
      <c r="AA31" s="279"/>
      <c r="AB31" s="279"/>
      <c r="AC31" s="279"/>
    </row>
    <row r="32" spans="1:68" ht="16.5" customHeight="1" x14ac:dyDescent="0.3">
      <c r="A32" s="304" t="s">
        <v>89</v>
      </c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71"/>
      <c r="AB32" s="271"/>
      <c r="AC32" s="271"/>
    </row>
    <row r="33" spans="1:68" ht="14.25" customHeight="1" x14ac:dyDescent="0.3">
      <c r="A33" s="288" t="s">
        <v>62</v>
      </c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  <c r="AA33" s="272"/>
      <c r="AB33" s="272"/>
      <c r="AC33" s="272"/>
    </row>
    <row r="34" spans="1:68" ht="16.5" customHeight="1" x14ac:dyDescent="0.3">
      <c r="A34" s="54" t="s">
        <v>90</v>
      </c>
      <c r="B34" s="54" t="s">
        <v>91</v>
      </c>
      <c r="C34" s="31">
        <v>4301071099</v>
      </c>
      <c r="D34" s="280">
        <v>4607111039019</v>
      </c>
      <c r="E34" s="281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5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3">
      <c r="A35" s="54" t="s">
        <v>93</v>
      </c>
      <c r="B35" s="54" t="s">
        <v>94</v>
      </c>
      <c r="C35" s="31">
        <v>4301071100</v>
      </c>
      <c r="D35" s="280">
        <v>4607111038708</v>
      </c>
      <c r="E35" s="281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12.5" x14ac:dyDescent="0.25">
      <c r="A36" s="285"/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7"/>
      <c r="P36" s="298" t="s">
        <v>87</v>
      </c>
      <c r="Q36" s="299"/>
      <c r="R36" s="299"/>
      <c r="S36" s="299"/>
      <c r="T36" s="299"/>
      <c r="U36" s="299"/>
      <c r="V36" s="300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t="12.5" x14ac:dyDescent="0.25">
      <c r="A37" s="286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7"/>
      <c r="P37" s="298" t="s">
        <v>87</v>
      </c>
      <c r="Q37" s="299"/>
      <c r="R37" s="299"/>
      <c r="S37" s="299"/>
      <c r="T37" s="299"/>
      <c r="U37" s="299"/>
      <c r="V37" s="300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customHeight="1" x14ac:dyDescent="0.25">
      <c r="A38" s="335" t="s">
        <v>95</v>
      </c>
      <c r="B38" s="336"/>
      <c r="C38" s="336"/>
      <c r="D38" s="336"/>
      <c r="E38" s="336"/>
      <c r="F38" s="336"/>
      <c r="G38" s="336"/>
      <c r="H38" s="336"/>
      <c r="I38" s="336"/>
      <c r="J38" s="336"/>
      <c r="K38" s="336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  <c r="AA38" s="48"/>
      <c r="AB38" s="48"/>
      <c r="AC38" s="48"/>
    </row>
    <row r="39" spans="1:68" ht="16.5" customHeight="1" x14ac:dyDescent="0.3">
      <c r="A39" s="304" t="s">
        <v>96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71"/>
      <c r="AB39" s="271"/>
      <c r="AC39" s="271"/>
    </row>
    <row r="40" spans="1:68" ht="14.25" customHeight="1" x14ac:dyDescent="0.3">
      <c r="A40" s="288" t="s">
        <v>97</v>
      </c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72"/>
      <c r="AB40" s="272"/>
      <c r="AC40" s="272"/>
    </row>
    <row r="41" spans="1:68" ht="27" customHeight="1" x14ac:dyDescent="0.3">
      <c r="A41" s="54" t="s">
        <v>98</v>
      </c>
      <c r="B41" s="54" t="s">
        <v>99</v>
      </c>
      <c r="C41" s="31">
        <v>4301132190</v>
      </c>
      <c r="D41" s="280">
        <v>4607111036537</v>
      </c>
      <c r="E41" s="281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7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4"/>
      <c r="V41" s="34"/>
      <c r="W41" s="35" t="s">
        <v>68</v>
      </c>
      <c r="X41" s="276"/>
      <c r="Y41" s="277" t="str">
        <f>IFERROR(IF(X41="","",X41),"")</f>
        <v/>
      </c>
      <c r="Z41" s="36" t="str">
        <f>IFERROR(IF(X41="","",X41*0.00941),"")</f>
        <v/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 t="str">
        <f>IFERROR(Y41*I41,"0")</f>
        <v>0</v>
      </c>
      <c r="BO41" s="67">
        <f>IFERROR(X41/J41,"0")</f>
        <v>0</v>
      </c>
      <c r="BP41" s="67" t="str">
        <f>IFERROR(Y41/J41,"0")</f>
        <v>0</v>
      </c>
    </row>
    <row r="42" spans="1:68" ht="27" customHeight="1" x14ac:dyDescent="0.3">
      <c r="A42" s="54" t="s">
        <v>105</v>
      </c>
      <c r="B42" s="54" t="s">
        <v>106</v>
      </c>
      <c r="C42" s="31">
        <v>4301132188</v>
      </c>
      <c r="D42" s="280">
        <v>4607111036605</v>
      </c>
      <c r="E42" s="281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4"/>
      <c r="V42" s="34"/>
      <c r="W42" s="35" t="s">
        <v>68</v>
      </c>
      <c r="X42" s="276"/>
      <c r="Y42" s="277" t="str">
        <f>IFERROR(IF(X42="","",X42),"")</f>
        <v/>
      </c>
      <c r="Z42" s="36" t="str">
        <f>IFERROR(IF(X42="","",X42*0.00941),"")</f>
        <v/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 t="str">
        <f>IFERROR(Y42*I42,"0")</f>
        <v>0</v>
      </c>
      <c r="BO42" s="67">
        <f>IFERROR(X42/J42,"0")</f>
        <v>0</v>
      </c>
      <c r="BP42" s="67" t="str">
        <f>IFERROR(Y42/J42,"0")</f>
        <v>0</v>
      </c>
    </row>
    <row r="43" spans="1:68" ht="12.5" x14ac:dyDescent="0.25">
      <c r="A43" s="285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7"/>
      <c r="P43" s="298" t="s">
        <v>87</v>
      </c>
      <c r="Q43" s="299"/>
      <c r="R43" s="299"/>
      <c r="S43" s="299"/>
      <c r="T43" s="299"/>
      <c r="U43" s="299"/>
      <c r="V43" s="300"/>
      <c r="W43" s="37" t="s">
        <v>68</v>
      </c>
      <c r="X43" s="278">
        <f>IFERROR(SUM(X41:X42),"0")</f>
        <v>0</v>
      </c>
      <c r="Y43" s="278">
        <f>IFERROR(SUM(Y41:Y42),"0")</f>
        <v>0</v>
      </c>
      <c r="Z43" s="278">
        <f>IFERROR(IF(Z41="",0,Z41),"0")+IFERROR(IF(Z42="",0,Z42),"0")</f>
        <v>0</v>
      </c>
      <c r="AA43" s="279"/>
      <c r="AB43" s="279"/>
      <c r="AC43" s="279"/>
    </row>
    <row r="44" spans="1:68" ht="12.5" x14ac:dyDescent="0.25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7"/>
      <c r="P44" s="298" t="s">
        <v>87</v>
      </c>
      <c r="Q44" s="299"/>
      <c r="R44" s="299"/>
      <c r="S44" s="299"/>
      <c r="T44" s="299"/>
      <c r="U44" s="299"/>
      <c r="V44" s="300"/>
      <c r="W44" s="37" t="s">
        <v>88</v>
      </c>
      <c r="X44" s="278">
        <f>IFERROR(SUMPRODUCT(X41:X42*H41:H42),"0")</f>
        <v>0</v>
      </c>
      <c r="Y44" s="278" t="str">
        <f>IFERROR(SUMPRODUCT(Y41:Y42*H41:H42),"0")</f>
        <v>0</v>
      </c>
      <c r="Z44" s="37"/>
      <c r="AA44" s="279"/>
      <c r="AB44" s="279"/>
      <c r="AC44" s="279"/>
    </row>
    <row r="45" spans="1:68" ht="16.5" customHeight="1" x14ac:dyDescent="0.3">
      <c r="A45" s="304" t="s">
        <v>107</v>
      </c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71"/>
      <c r="AB45" s="271"/>
      <c r="AC45" s="271"/>
    </row>
    <row r="46" spans="1:68" ht="14.25" customHeight="1" x14ac:dyDescent="0.3">
      <c r="A46" s="288" t="s">
        <v>62</v>
      </c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72"/>
      <c r="AB46" s="272"/>
      <c r="AC46" s="272"/>
    </row>
    <row r="47" spans="1:68" ht="27" customHeight="1" x14ac:dyDescent="0.3">
      <c r="A47" s="54" t="s">
        <v>108</v>
      </c>
      <c r="B47" s="54" t="s">
        <v>109</v>
      </c>
      <c r="C47" s="31">
        <v>4301071090</v>
      </c>
      <c r="D47" s="280">
        <v>4620207490075</v>
      </c>
      <c r="E47" s="28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68</v>
      </c>
      <c r="X47" s="276"/>
      <c r="Y47" s="277" t="str">
        <f>IFERROR(IF(X47="","",X47),"")</f>
        <v/>
      </c>
      <c r="Z47" s="36" t="str">
        <f>IFERROR(IF(X47="","",X47*0.0155),"")</f>
        <v/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 t="str">
        <f>IFERROR(Y47*I47,"0")</f>
        <v>0</v>
      </c>
      <c r="BO47" s="67">
        <f>IFERROR(X47/J47,"0")</f>
        <v>0</v>
      </c>
      <c r="BP47" s="67" t="str">
        <f>IFERROR(Y47/J47,"0")</f>
        <v>0</v>
      </c>
    </row>
    <row r="48" spans="1:68" ht="27" customHeight="1" x14ac:dyDescent="0.3">
      <c r="A48" s="54" t="s">
        <v>111</v>
      </c>
      <c r="B48" s="54" t="s">
        <v>112</v>
      </c>
      <c r="C48" s="31">
        <v>4301071092</v>
      </c>
      <c r="D48" s="280">
        <v>4620207490174</v>
      </c>
      <c r="E48" s="281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7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4"/>
      <c r="V48" s="34"/>
      <c r="W48" s="35" t="s">
        <v>68</v>
      </c>
      <c r="X48" s="276"/>
      <c r="Y48" s="277" t="str">
        <f>IFERROR(IF(X48="","",X48),"")</f>
        <v/>
      </c>
      <c r="Z48" s="36" t="str">
        <f>IFERROR(IF(X48="","",X48*0.0155),"")</f>
        <v/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 t="str">
        <f>IFERROR(Y48*I48,"0")</f>
        <v>0</v>
      </c>
      <c r="BO48" s="67">
        <f>IFERROR(X48/J48,"0")</f>
        <v>0</v>
      </c>
      <c r="BP48" s="67" t="str">
        <f>IFERROR(Y48/J48,"0")</f>
        <v>0</v>
      </c>
    </row>
    <row r="49" spans="1:68" ht="12.5" x14ac:dyDescent="0.25">
      <c r="A49" s="285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7"/>
      <c r="P49" s="298" t="s">
        <v>87</v>
      </c>
      <c r="Q49" s="299"/>
      <c r="R49" s="299"/>
      <c r="S49" s="299"/>
      <c r="T49" s="299"/>
      <c r="U49" s="299"/>
      <c r="V49" s="300"/>
      <c r="W49" s="37" t="s">
        <v>68</v>
      </c>
      <c r="X49" s="278">
        <f>IFERROR(SUM(X47:X48),"0")</f>
        <v>0</v>
      </c>
      <c r="Y49" s="278">
        <f>IFERROR(SUM(Y47:Y48),"0")</f>
        <v>0</v>
      </c>
      <c r="Z49" s="278">
        <f>IFERROR(IF(Z47="",0,Z47),"0")+IFERROR(IF(Z48="",0,Z48),"0")</f>
        <v>0</v>
      </c>
      <c r="AA49" s="279"/>
      <c r="AB49" s="279"/>
      <c r="AC49" s="279"/>
    </row>
    <row r="50" spans="1:68" ht="12.5" x14ac:dyDescent="0.25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7"/>
      <c r="P50" s="298" t="s">
        <v>87</v>
      </c>
      <c r="Q50" s="299"/>
      <c r="R50" s="299"/>
      <c r="S50" s="299"/>
      <c r="T50" s="299"/>
      <c r="U50" s="299"/>
      <c r="V50" s="300"/>
      <c r="W50" s="37" t="s">
        <v>88</v>
      </c>
      <c r="X50" s="278">
        <f>IFERROR(SUMPRODUCT(X47:X48*H47:H48),"0")</f>
        <v>0</v>
      </c>
      <c r="Y50" s="278" t="str">
        <f>IFERROR(SUMPRODUCT(Y47:Y48*H47:H48),"0")</f>
        <v>0</v>
      </c>
      <c r="Z50" s="37"/>
      <c r="AA50" s="279"/>
      <c r="AB50" s="279"/>
      <c r="AC50" s="279"/>
    </row>
    <row r="51" spans="1:68" ht="16.5" customHeight="1" x14ac:dyDescent="0.3">
      <c r="A51" s="304" t="s">
        <v>114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71"/>
      <c r="AB51" s="271"/>
      <c r="AC51" s="271"/>
    </row>
    <row r="52" spans="1:68" ht="14.25" customHeight="1" x14ac:dyDescent="0.3">
      <c r="A52" s="288" t="s">
        <v>62</v>
      </c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  <c r="AA52" s="272"/>
      <c r="AB52" s="272"/>
      <c r="AC52" s="272"/>
    </row>
    <row r="53" spans="1:68" ht="27" customHeight="1" x14ac:dyDescent="0.3">
      <c r="A53" s="54" t="s">
        <v>115</v>
      </c>
      <c r="B53" s="54" t="s">
        <v>116</v>
      </c>
      <c r="C53" s="31">
        <v>4301071044</v>
      </c>
      <c r="D53" s="280">
        <v>4607111039385</v>
      </c>
      <c r="E53" s="281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42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3"/>
      <c r="R53" s="283"/>
      <c r="S53" s="283"/>
      <c r="T53" s="284"/>
      <c r="U53" s="34"/>
      <c r="V53" s="34"/>
      <c r="W53" s="35" t="s">
        <v>68</v>
      </c>
      <c r="X53" s="276"/>
      <c r="Y53" s="277" t="str">
        <f>IFERROR(IF(X53="","",X53),"")</f>
        <v/>
      </c>
      <c r="Z53" s="36" t="str">
        <f>IFERROR(IF(X53="","",X53*0.0155),"")</f>
        <v/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 t="str">
        <f>IFERROR(Y53*I53,"0")</f>
        <v>0</v>
      </c>
      <c r="BO53" s="67">
        <f>IFERROR(X53/J53,"0")</f>
        <v>0</v>
      </c>
      <c r="BP53" s="67" t="str">
        <f>IFERROR(Y53/J53,"0")</f>
        <v>0</v>
      </c>
    </row>
    <row r="54" spans="1:68" ht="27" customHeight="1" x14ac:dyDescent="0.3">
      <c r="A54" s="54" t="s">
        <v>118</v>
      </c>
      <c r="B54" s="54" t="s">
        <v>119</v>
      </c>
      <c r="C54" s="31">
        <v>4301071031</v>
      </c>
      <c r="D54" s="280">
        <v>4607111038982</v>
      </c>
      <c r="E54" s="281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3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3"/>
      <c r="R54" s="283"/>
      <c r="S54" s="283"/>
      <c r="T54" s="284"/>
      <c r="U54" s="34"/>
      <c r="V54" s="34"/>
      <c r="W54" s="35" t="s">
        <v>68</v>
      </c>
      <c r="X54" s="276"/>
      <c r="Y54" s="277" t="str">
        <f>IFERROR(IF(X54="","",X54),"")</f>
        <v/>
      </c>
      <c r="Z54" s="36" t="str">
        <f>IFERROR(IF(X54="","",X54*0.0155),"")</f>
        <v/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 t="str">
        <f>IFERROR(Y54*I54,"0")</f>
        <v>0</v>
      </c>
      <c r="BO54" s="67">
        <f>IFERROR(X54/J54,"0")</f>
        <v>0</v>
      </c>
      <c r="BP54" s="67" t="str">
        <f>IFERROR(Y54/J54,"0")</f>
        <v>0</v>
      </c>
    </row>
    <row r="55" spans="1:68" ht="27" customHeight="1" x14ac:dyDescent="0.3">
      <c r="A55" s="54" t="s">
        <v>121</v>
      </c>
      <c r="B55" s="54" t="s">
        <v>122</v>
      </c>
      <c r="C55" s="31">
        <v>4301071046</v>
      </c>
      <c r="D55" s="280">
        <v>4607111039354</v>
      </c>
      <c r="E55" s="281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4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3"/>
      <c r="R55" s="283"/>
      <c r="S55" s="283"/>
      <c r="T55" s="284"/>
      <c r="U55" s="34"/>
      <c r="V55" s="34"/>
      <c r="W55" s="35" t="s">
        <v>68</v>
      </c>
      <c r="X55" s="276"/>
      <c r="Y55" s="277" t="str">
        <f>IFERROR(IF(X55="","",X55),"")</f>
        <v/>
      </c>
      <c r="Z55" s="36" t="str">
        <f>IFERROR(IF(X55="","",X55*0.0155),"")</f>
        <v/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 t="str">
        <f>IFERROR(Y55*I55,"0")</f>
        <v>0</v>
      </c>
      <c r="BO55" s="67">
        <f>IFERROR(X55/J55,"0")</f>
        <v>0</v>
      </c>
      <c r="BP55" s="67" t="str">
        <f>IFERROR(Y55/J55,"0")</f>
        <v>0</v>
      </c>
    </row>
    <row r="56" spans="1:68" ht="27" customHeight="1" x14ac:dyDescent="0.3">
      <c r="A56" s="54" t="s">
        <v>123</v>
      </c>
      <c r="B56" s="54" t="s">
        <v>124</v>
      </c>
      <c r="C56" s="31">
        <v>4301071047</v>
      </c>
      <c r="D56" s="280">
        <v>4607111039330</v>
      </c>
      <c r="E56" s="281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28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3"/>
      <c r="R56" s="283"/>
      <c r="S56" s="283"/>
      <c r="T56" s="284"/>
      <c r="U56" s="34"/>
      <c r="V56" s="34"/>
      <c r="W56" s="35" t="s">
        <v>68</v>
      </c>
      <c r="X56" s="276"/>
      <c r="Y56" s="277" t="str">
        <f>IFERROR(IF(X56="","",X56),"")</f>
        <v/>
      </c>
      <c r="Z56" s="36" t="str">
        <f>IFERROR(IF(X56="","",X56*0.0155),"")</f>
        <v/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 t="str">
        <f>IFERROR(Y56*I56,"0")</f>
        <v>0</v>
      </c>
      <c r="BO56" s="67">
        <f>IFERROR(X56/J56,"0")</f>
        <v>0</v>
      </c>
      <c r="BP56" s="67" t="str">
        <f>IFERROR(Y56/J56,"0")</f>
        <v>0</v>
      </c>
    </row>
    <row r="57" spans="1:68" ht="12.5" x14ac:dyDescent="0.25">
      <c r="A57" s="285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7"/>
      <c r="P57" s="298" t="s">
        <v>87</v>
      </c>
      <c r="Q57" s="299"/>
      <c r="R57" s="299"/>
      <c r="S57" s="299"/>
      <c r="T57" s="299"/>
      <c r="U57" s="299"/>
      <c r="V57" s="300"/>
      <c r="W57" s="37" t="s">
        <v>68</v>
      </c>
      <c r="X57" s="278">
        <f>IFERROR(SUM(X53:X56),"0")</f>
        <v>0</v>
      </c>
      <c r="Y57" s="278">
        <f>IFERROR(SUM(Y53:Y56),"0")</f>
        <v>0</v>
      </c>
      <c r="Z57" s="278">
        <f>IFERROR(IF(Z53="",0,Z53),"0")+IFERROR(IF(Z54="",0,Z54),"0")+IFERROR(IF(Z55="",0,Z55),"0")+IFERROR(IF(Z56="",0,Z56),"0")</f>
        <v>0</v>
      </c>
      <c r="AA57" s="279"/>
      <c r="AB57" s="279"/>
      <c r="AC57" s="279"/>
    </row>
    <row r="58" spans="1:68" ht="12.5" x14ac:dyDescent="0.25">
      <c r="A58" s="286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7"/>
      <c r="P58" s="298" t="s">
        <v>87</v>
      </c>
      <c r="Q58" s="299"/>
      <c r="R58" s="299"/>
      <c r="S58" s="299"/>
      <c r="T58" s="299"/>
      <c r="U58" s="299"/>
      <c r="V58" s="300"/>
      <c r="W58" s="37" t="s">
        <v>88</v>
      </c>
      <c r="X58" s="278">
        <f>IFERROR(SUMPRODUCT(X53:X56*H53:H56),"0")</f>
        <v>0</v>
      </c>
      <c r="Y58" s="278" t="str">
        <f>IFERROR(SUMPRODUCT(Y53:Y56*H53:H56),"0")</f>
        <v>0</v>
      </c>
      <c r="Z58" s="37"/>
      <c r="AA58" s="279"/>
      <c r="AB58" s="279"/>
      <c r="AC58" s="279"/>
    </row>
    <row r="59" spans="1:68" ht="16.5" customHeight="1" x14ac:dyDescent="0.3">
      <c r="A59" s="304" t="s">
        <v>125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71"/>
      <c r="AB59" s="271"/>
      <c r="AC59" s="271"/>
    </row>
    <row r="60" spans="1:68" ht="14.25" customHeight="1" x14ac:dyDescent="0.3">
      <c r="A60" s="288" t="s">
        <v>97</v>
      </c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72"/>
      <c r="AB60" s="272"/>
      <c r="AC60" s="272"/>
    </row>
    <row r="61" spans="1:68" ht="27" customHeight="1" x14ac:dyDescent="0.3">
      <c r="A61" s="54" t="s">
        <v>126</v>
      </c>
      <c r="B61" s="54" t="s">
        <v>127</v>
      </c>
      <c r="C61" s="31">
        <v>4301132194</v>
      </c>
      <c r="D61" s="280">
        <v>4607111039712</v>
      </c>
      <c r="E61" s="281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1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3"/>
      <c r="R61" s="283"/>
      <c r="S61" s="283"/>
      <c r="T61" s="284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t="12.5" x14ac:dyDescent="0.25">
      <c r="A62" s="285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7"/>
      <c r="P62" s="298" t="s">
        <v>87</v>
      </c>
      <c r="Q62" s="299"/>
      <c r="R62" s="299"/>
      <c r="S62" s="299"/>
      <c r="T62" s="299"/>
      <c r="U62" s="299"/>
      <c r="V62" s="300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t="12.5" x14ac:dyDescent="0.25">
      <c r="A63" s="286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7"/>
      <c r="P63" s="298" t="s">
        <v>87</v>
      </c>
      <c r="Q63" s="299"/>
      <c r="R63" s="299"/>
      <c r="S63" s="299"/>
      <c r="T63" s="299"/>
      <c r="U63" s="299"/>
      <c r="V63" s="300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customHeight="1" x14ac:dyDescent="0.3">
      <c r="A64" s="288" t="s">
        <v>129</v>
      </c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72"/>
      <c r="AB64" s="272"/>
      <c r="AC64" s="272"/>
    </row>
    <row r="65" spans="1:68" ht="16.5" customHeight="1" x14ac:dyDescent="0.3">
      <c r="A65" s="54" t="s">
        <v>130</v>
      </c>
      <c r="B65" s="54" t="s">
        <v>131</v>
      </c>
      <c r="C65" s="31">
        <v>4301136018</v>
      </c>
      <c r="D65" s="280">
        <v>4607111037008</v>
      </c>
      <c r="E65" s="281"/>
      <c r="F65" s="275">
        <v>0.36</v>
      </c>
      <c r="G65" s="32">
        <v>4</v>
      </c>
      <c r="H65" s="275">
        <v>1.44</v>
      </c>
      <c r="I65" s="275">
        <v>1.74</v>
      </c>
      <c r="J65" s="32">
        <v>140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3"/>
      <c r="R65" s="283"/>
      <c r="S65" s="283"/>
      <c r="T65" s="284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customHeight="1" x14ac:dyDescent="0.3">
      <c r="A66" s="54" t="s">
        <v>133</v>
      </c>
      <c r="B66" s="54" t="s">
        <v>134</v>
      </c>
      <c r="C66" s="31">
        <v>4301136015</v>
      </c>
      <c r="D66" s="280">
        <v>4607111037398</v>
      </c>
      <c r="E66" s="281"/>
      <c r="F66" s="275">
        <v>0.09</v>
      </c>
      <c r="G66" s="32">
        <v>24</v>
      </c>
      <c r="H66" s="275">
        <v>2.16</v>
      </c>
      <c r="I66" s="275">
        <v>4.0199999999999996</v>
      </c>
      <c r="J66" s="32">
        <v>126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41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12.5" x14ac:dyDescent="0.25">
      <c r="A67" s="285"/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7"/>
      <c r="P67" s="298" t="s">
        <v>87</v>
      </c>
      <c r="Q67" s="299"/>
      <c r="R67" s="299"/>
      <c r="S67" s="299"/>
      <c r="T67" s="299"/>
      <c r="U67" s="299"/>
      <c r="V67" s="300"/>
      <c r="W67" s="37" t="s">
        <v>68</v>
      </c>
      <c r="X67" s="278">
        <f>IFERROR(SUM(X65:X66),"0")</f>
        <v>0</v>
      </c>
      <c r="Y67" s="278">
        <f>IFERROR(SUM(Y65:Y66),"0")</f>
        <v>0</v>
      </c>
      <c r="Z67" s="278">
        <f>IFERROR(IF(Z65="",0,Z65),"0")+IFERROR(IF(Z66="",0,Z66),"0")</f>
        <v>0</v>
      </c>
      <c r="AA67" s="279"/>
      <c r="AB67" s="279"/>
      <c r="AC67" s="279"/>
    </row>
    <row r="68" spans="1:68" ht="12.5" x14ac:dyDescent="0.25">
      <c r="A68" s="286"/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7"/>
      <c r="P68" s="298" t="s">
        <v>87</v>
      </c>
      <c r="Q68" s="299"/>
      <c r="R68" s="299"/>
      <c r="S68" s="299"/>
      <c r="T68" s="299"/>
      <c r="U68" s="299"/>
      <c r="V68" s="300"/>
      <c r="W68" s="37" t="s">
        <v>88</v>
      </c>
      <c r="X68" s="278">
        <f>IFERROR(SUMPRODUCT(X65:X66*H65:H66),"0")</f>
        <v>0</v>
      </c>
      <c r="Y68" s="278">
        <f>IFERROR(SUMPRODUCT(Y65:Y66*H65:H66),"0")</f>
        <v>0</v>
      </c>
      <c r="Z68" s="37"/>
      <c r="AA68" s="279"/>
      <c r="AB68" s="279"/>
      <c r="AC68" s="279"/>
    </row>
    <row r="69" spans="1:68" ht="14.25" customHeight="1" x14ac:dyDescent="0.3">
      <c r="A69" s="288" t="s">
        <v>135</v>
      </c>
      <c r="B69" s="286"/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86"/>
      <c r="AA69" s="272"/>
      <c r="AB69" s="272"/>
      <c r="AC69" s="272"/>
    </row>
    <row r="70" spans="1:68" ht="27" customHeight="1" x14ac:dyDescent="0.3">
      <c r="A70" s="54" t="s">
        <v>136</v>
      </c>
      <c r="B70" s="54" t="s">
        <v>137</v>
      </c>
      <c r="C70" s="31">
        <v>4301135664</v>
      </c>
      <c r="D70" s="280">
        <v>4607111039705</v>
      </c>
      <c r="E70" s="281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3"/>
      <c r="R70" s="283"/>
      <c r="S70" s="283"/>
      <c r="T70" s="284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3">
      <c r="A71" s="54" t="s">
        <v>138</v>
      </c>
      <c r="B71" s="54" t="s">
        <v>139</v>
      </c>
      <c r="C71" s="31">
        <v>4301135665</v>
      </c>
      <c r="D71" s="280">
        <v>4607111039729</v>
      </c>
      <c r="E71" s="281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35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3"/>
      <c r="R71" s="283"/>
      <c r="S71" s="283"/>
      <c r="T71" s="284"/>
      <c r="U71" s="34"/>
      <c r="V71" s="34"/>
      <c r="W71" s="35" t="s">
        <v>68</v>
      </c>
      <c r="X71" s="276">
        <v>0</v>
      </c>
      <c r="Y71" s="277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3">
      <c r="A72" s="54" t="s">
        <v>141</v>
      </c>
      <c r="B72" s="54" t="s">
        <v>142</v>
      </c>
      <c r="C72" s="31">
        <v>4301135702</v>
      </c>
      <c r="D72" s="280">
        <v>4620207490228</v>
      </c>
      <c r="E72" s="281"/>
      <c r="F72" s="275">
        <v>0.2</v>
      </c>
      <c r="G72" s="32">
        <v>6</v>
      </c>
      <c r="H72" s="275">
        <v>1.2</v>
      </c>
      <c r="I72" s="275">
        <v>1.56</v>
      </c>
      <c r="J72" s="32">
        <v>140</v>
      </c>
      <c r="K72" s="32" t="s">
        <v>100</v>
      </c>
      <c r="L72" s="32" t="s">
        <v>66</v>
      </c>
      <c r="M72" s="33" t="s">
        <v>67</v>
      </c>
      <c r="N72" s="33"/>
      <c r="O72" s="32">
        <v>365</v>
      </c>
      <c r="P72" s="46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3"/>
      <c r="R72" s="283"/>
      <c r="S72" s="283"/>
      <c r="T72" s="284"/>
      <c r="U72" s="34"/>
      <c r="V72" s="34"/>
      <c r="W72" s="35" t="s">
        <v>68</v>
      </c>
      <c r="X72" s="276">
        <v>0</v>
      </c>
      <c r="Y72" s="277">
        <f>IFERROR(IF(X72="","",X72),"")</f>
        <v>0</v>
      </c>
      <c r="Z72" s="36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t="12.5" x14ac:dyDescent="0.25">
      <c r="A73" s="285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7"/>
      <c r="P73" s="298" t="s">
        <v>87</v>
      </c>
      <c r="Q73" s="299"/>
      <c r="R73" s="299"/>
      <c r="S73" s="299"/>
      <c r="T73" s="299"/>
      <c r="U73" s="299"/>
      <c r="V73" s="300"/>
      <c r="W73" s="37" t="s">
        <v>68</v>
      </c>
      <c r="X73" s="278">
        <f>IFERROR(SUM(X70:X72),"0")</f>
        <v>0</v>
      </c>
      <c r="Y73" s="278">
        <f>IFERROR(SUM(Y70:Y72),"0")</f>
        <v>0</v>
      </c>
      <c r="Z73" s="278">
        <f>IFERROR(IF(Z70="",0,Z70),"0")+IFERROR(IF(Z71="",0,Z71),"0")+IFERROR(IF(Z72="",0,Z72),"0")</f>
        <v>0</v>
      </c>
      <c r="AA73" s="279"/>
      <c r="AB73" s="279"/>
      <c r="AC73" s="279"/>
    </row>
    <row r="74" spans="1:68" ht="12.5" x14ac:dyDescent="0.25">
      <c r="A74" s="286"/>
      <c r="B74" s="286"/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7"/>
      <c r="P74" s="298" t="s">
        <v>87</v>
      </c>
      <c r="Q74" s="299"/>
      <c r="R74" s="299"/>
      <c r="S74" s="299"/>
      <c r="T74" s="299"/>
      <c r="U74" s="299"/>
      <c r="V74" s="300"/>
      <c r="W74" s="37" t="s">
        <v>88</v>
      </c>
      <c r="X74" s="278">
        <f>IFERROR(SUMPRODUCT(X70:X72*H70:H72),"0")</f>
        <v>0</v>
      </c>
      <c r="Y74" s="278">
        <f>IFERROR(SUMPRODUCT(Y70:Y72*H70:H72),"0")</f>
        <v>0</v>
      </c>
      <c r="Z74" s="37"/>
      <c r="AA74" s="279"/>
      <c r="AB74" s="279"/>
      <c r="AC74" s="279"/>
    </row>
    <row r="75" spans="1:68" ht="16.5" customHeight="1" x14ac:dyDescent="0.3">
      <c r="A75" s="304" t="s">
        <v>143</v>
      </c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  <c r="AA75" s="271"/>
      <c r="AB75" s="271"/>
      <c r="AC75" s="271"/>
    </row>
    <row r="76" spans="1:68" ht="14.25" customHeight="1" x14ac:dyDescent="0.3">
      <c r="A76" s="288" t="s">
        <v>62</v>
      </c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  <c r="AA76" s="272"/>
      <c r="AB76" s="272"/>
      <c r="AC76" s="272"/>
    </row>
    <row r="77" spans="1:68" ht="27" customHeight="1" x14ac:dyDescent="0.3">
      <c r="A77" s="54" t="s">
        <v>144</v>
      </c>
      <c r="B77" s="54" t="s">
        <v>145</v>
      </c>
      <c r="C77" s="31">
        <v>4301070977</v>
      </c>
      <c r="D77" s="280">
        <v>4607111037411</v>
      </c>
      <c r="E77" s="281"/>
      <c r="F77" s="275">
        <v>2.7</v>
      </c>
      <c r="G77" s="32">
        <v>1</v>
      </c>
      <c r="H77" s="275">
        <v>2.7</v>
      </c>
      <c r="I77" s="275">
        <v>2.8132000000000001</v>
      </c>
      <c r="J77" s="32">
        <v>234</v>
      </c>
      <c r="K77" s="32" t="s">
        <v>146</v>
      </c>
      <c r="L77" s="32" t="s">
        <v>66</v>
      </c>
      <c r="M77" s="33" t="s">
        <v>67</v>
      </c>
      <c r="N77" s="33"/>
      <c r="O77" s="32">
        <v>180</v>
      </c>
      <c r="P77" s="38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3"/>
      <c r="R77" s="283"/>
      <c r="S77" s="283"/>
      <c r="T77" s="284"/>
      <c r="U77" s="34"/>
      <c r="V77" s="34"/>
      <c r="W77" s="35" t="s">
        <v>68</v>
      </c>
      <c r="X77" s="276">
        <v>0</v>
      </c>
      <c r="Y77" s="277">
        <f>IFERROR(IF(X77="","",X77),"")</f>
        <v>0</v>
      </c>
      <c r="Z77" s="36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3">
      <c r="A78" s="54" t="s">
        <v>148</v>
      </c>
      <c r="B78" s="54" t="s">
        <v>149</v>
      </c>
      <c r="C78" s="31">
        <v>4301070981</v>
      </c>
      <c r="D78" s="280">
        <v>4607111036728</v>
      </c>
      <c r="E78" s="281"/>
      <c r="F78" s="275">
        <v>5</v>
      </c>
      <c r="G78" s="32">
        <v>1</v>
      </c>
      <c r="H78" s="275">
        <v>5</v>
      </c>
      <c r="I78" s="275">
        <v>5.2131999999999996</v>
      </c>
      <c r="J78" s="32">
        <v>144</v>
      </c>
      <c r="K78" s="32" t="s">
        <v>65</v>
      </c>
      <c r="L78" s="32" t="s">
        <v>101</v>
      </c>
      <c r="M78" s="33" t="s">
        <v>67</v>
      </c>
      <c r="N78" s="33"/>
      <c r="O78" s="32">
        <v>180</v>
      </c>
      <c r="P78" s="3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3"/>
      <c r="R78" s="283"/>
      <c r="S78" s="283"/>
      <c r="T78" s="284"/>
      <c r="U78" s="34"/>
      <c r="V78" s="34"/>
      <c r="W78" s="35" t="s">
        <v>68</v>
      </c>
      <c r="X78" s="276"/>
      <c r="Y78" s="277" t="str">
        <f>IFERROR(IF(X78="","",X78),"")</f>
        <v/>
      </c>
      <c r="Z78" s="36" t="str">
        <f>IFERROR(IF(X78="","",X78*0.00866),"")</f>
        <v/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0</v>
      </c>
      <c r="BN78" s="67" t="str">
        <f>IFERROR(Y78*I78,"0")</f>
        <v>0</v>
      </c>
      <c r="BO78" s="67">
        <f>IFERROR(X78/J78,"0")</f>
        <v>0</v>
      </c>
      <c r="BP78" s="67" t="str">
        <f>IFERROR(Y78/J78,"0")</f>
        <v>0</v>
      </c>
    </row>
    <row r="79" spans="1:68" ht="12.5" x14ac:dyDescent="0.25">
      <c r="A79" s="285"/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7"/>
      <c r="P79" s="298" t="s">
        <v>87</v>
      </c>
      <c r="Q79" s="299"/>
      <c r="R79" s="299"/>
      <c r="S79" s="299"/>
      <c r="T79" s="299"/>
      <c r="U79" s="299"/>
      <c r="V79" s="300"/>
      <c r="W79" s="37" t="s">
        <v>68</v>
      </c>
      <c r="X79" s="278">
        <f>IFERROR(SUM(X77:X78),"0")</f>
        <v>0</v>
      </c>
      <c r="Y79" s="278">
        <f>IFERROR(SUM(Y77:Y78),"0")</f>
        <v>0</v>
      </c>
      <c r="Z79" s="278">
        <f>IFERROR(IF(Z77="",0,Z77),"0")+IFERROR(IF(Z78="",0,Z78),"0")</f>
        <v>0</v>
      </c>
      <c r="AA79" s="279"/>
      <c r="AB79" s="279"/>
      <c r="AC79" s="279"/>
    </row>
    <row r="80" spans="1:68" ht="12.5" x14ac:dyDescent="0.25">
      <c r="A80" s="286"/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7"/>
      <c r="P80" s="298" t="s">
        <v>87</v>
      </c>
      <c r="Q80" s="299"/>
      <c r="R80" s="299"/>
      <c r="S80" s="299"/>
      <c r="T80" s="299"/>
      <c r="U80" s="299"/>
      <c r="V80" s="300"/>
      <c r="W80" s="37" t="s">
        <v>88</v>
      </c>
      <c r="X80" s="278">
        <f>IFERROR(SUMPRODUCT(X77:X78*H77:H78),"0")</f>
        <v>0</v>
      </c>
      <c r="Y80" s="278" t="str">
        <f>IFERROR(SUMPRODUCT(Y77:Y78*H77:H78),"0")</f>
        <v>0</v>
      </c>
      <c r="Z80" s="37"/>
      <c r="AA80" s="279"/>
      <c r="AB80" s="279"/>
      <c r="AC80" s="279"/>
    </row>
    <row r="81" spans="1:68" ht="16.5" customHeight="1" x14ac:dyDescent="0.3">
      <c r="A81" s="304" t="s">
        <v>150</v>
      </c>
      <c r="B81" s="286"/>
      <c r="C81" s="286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  <c r="AA81" s="271"/>
      <c r="AB81" s="271"/>
      <c r="AC81" s="271"/>
    </row>
    <row r="82" spans="1:68" ht="14.25" customHeight="1" x14ac:dyDescent="0.3">
      <c r="A82" s="288" t="s">
        <v>135</v>
      </c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  <c r="AA82" s="272"/>
      <c r="AB82" s="272"/>
      <c r="AC82" s="272"/>
    </row>
    <row r="83" spans="1:68" ht="27" customHeight="1" x14ac:dyDescent="0.3">
      <c r="A83" s="54" t="s">
        <v>151</v>
      </c>
      <c r="B83" s="54" t="s">
        <v>152</v>
      </c>
      <c r="C83" s="31">
        <v>4301135574</v>
      </c>
      <c r="D83" s="280">
        <v>4607111033659</v>
      </c>
      <c r="E83" s="281"/>
      <c r="F83" s="275">
        <v>0.3</v>
      </c>
      <c r="G83" s="32">
        <v>12</v>
      </c>
      <c r="H83" s="275">
        <v>3.6</v>
      </c>
      <c r="I83" s="275">
        <v>4.3036000000000003</v>
      </c>
      <c r="J83" s="32">
        <v>70</v>
      </c>
      <c r="K83" s="32" t="s">
        <v>100</v>
      </c>
      <c r="L83" s="32" t="s">
        <v>101</v>
      </c>
      <c r="M83" s="33" t="s">
        <v>67</v>
      </c>
      <c r="N83" s="33"/>
      <c r="O83" s="32">
        <v>180</v>
      </c>
      <c r="P83" s="46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3"/>
      <c r="R83" s="283"/>
      <c r="S83" s="283"/>
      <c r="T83" s="284"/>
      <c r="U83" s="34"/>
      <c r="V83" s="34"/>
      <c r="W83" s="35" t="s">
        <v>68</v>
      </c>
      <c r="X83" s="276"/>
      <c r="Y83" s="277" t="str">
        <f>IFERROR(IF(X83="","",X83),"")</f>
        <v/>
      </c>
      <c r="Z83" s="36" t="str">
        <f>IFERROR(IF(X83="","",X83*0.01788),"")</f>
        <v/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 t="str">
        <f>IFERROR(Y83*I83,"0")</f>
        <v>0</v>
      </c>
      <c r="BO83" s="67">
        <f>IFERROR(X83/J83,"0")</f>
        <v>0</v>
      </c>
      <c r="BP83" s="67" t="str">
        <f>IFERROR(Y83/J83,"0")</f>
        <v>0</v>
      </c>
    </row>
    <row r="84" spans="1:68" ht="12.5" x14ac:dyDescent="0.25">
      <c r="A84" s="285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7"/>
      <c r="P84" s="298" t="s">
        <v>87</v>
      </c>
      <c r="Q84" s="299"/>
      <c r="R84" s="299"/>
      <c r="S84" s="299"/>
      <c r="T84" s="299"/>
      <c r="U84" s="299"/>
      <c r="V84" s="300"/>
      <c r="W84" s="37" t="s">
        <v>68</v>
      </c>
      <c r="X84" s="278">
        <f>IFERROR(SUM(X83:X83),"0")</f>
        <v>0</v>
      </c>
      <c r="Y84" s="278">
        <f>IFERROR(SUM(Y83:Y83),"0")</f>
        <v>0</v>
      </c>
      <c r="Z84" s="278">
        <f>IFERROR(IF(Z83="",0,Z83),"0")</f>
        <v>0</v>
      </c>
      <c r="AA84" s="279"/>
      <c r="AB84" s="279"/>
      <c r="AC84" s="279"/>
    </row>
    <row r="85" spans="1:68" ht="12.5" x14ac:dyDescent="0.25">
      <c r="A85" s="286"/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7"/>
      <c r="P85" s="298" t="s">
        <v>87</v>
      </c>
      <c r="Q85" s="299"/>
      <c r="R85" s="299"/>
      <c r="S85" s="299"/>
      <c r="T85" s="299"/>
      <c r="U85" s="299"/>
      <c r="V85" s="300"/>
      <c r="W85" s="37" t="s">
        <v>88</v>
      </c>
      <c r="X85" s="278">
        <f>IFERROR(SUMPRODUCT(X83:X83*H83:H83),"0")</f>
        <v>0</v>
      </c>
      <c r="Y85" s="278" t="str">
        <f>IFERROR(SUMPRODUCT(Y83:Y83*H83:H83),"0")</f>
        <v>0</v>
      </c>
      <c r="Z85" s="37"/>
      <c r="AA85" s="279"/>
      <c r="AB85" s="279"/>
      <c r="AC85" s="279"/>
    </row>
    <row r="86" spans="1:68" ht="16.5" customHeight="1" x14ac:dyDescent="0.3">
      <c r="A86" s="304" t="s">
        <v>154</v>
      </c>
      <c r="B86" s="286"/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71"/>
      <c r="AB86" s="271"/>
      <c r="AC86" s="271"/>
    </row>
    <row r="87" spans="1:68" ht="14.25" customHeight="1" x14ac:dyDescent="0.3">
      <c r="A87" s="288" t="s">
        <v>155</v>
      </c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72"/>
      <c r="AB87" s="272"/>
      <c r="AC87" s="272"/>
    </row>
    <row r="88" spans="1:68" ht="27" customHeight="1" x14ac:dyDescent="0.3">
      <c r="A88" s="54" t="s">
        <v>156</v>
      </c>
      <c r="B88" s="54" t="s">
        <v>157</v>
      </c>
      <c r="C88" s="31">
        <v>4301131047</v>
      </c>
      <c r="D88" s="280">
        <v>4607111034120</v>
      </c>
      <c r="E88" s="281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3"/>
      <c r="R88" s="283"/>
      <c r="S88" s="283"/>
      <c r="T88" s="284"/>
      <c r="U88" s="34"/>
      <c r="V88" s="34"/>
      <c r="W88" s="35" t="s">
        <v>68</v>
      </c>
      <c r="X88" s="276"/>
      <c r="Y88" s="277" t="str">
        <f>IFERROR(IF(X88="","",X88),"")</f>
        <v/>
      </c>
      <c r="Z88" s="36" t="str">
        <f>IFERROR(IF(X88="","",X88*0.01788),"")</f>
        <v/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 t="str">
        <f>IFERROR(Y88*I88,"0")</f>
        <v>0</v>
      </c>
      <c r="BO88" s="67">
        <f>IFERROR(X88/J88,"0")</f>
        <v>0</v>
      </c>
      <c r="BP88" s="67" t="str">
        <f>IFERROR(Y88/J88,"0")</f>
        <v>0</v>
      </c>
    </row>
    <row r="89" spans="1:68" ht="27" customHeight="1" x14ac:dyDescent="0.3">
      <c r="A89" s="54" t="s">
        <v>159</v>
      </c>
      <c r="B89" s="54" t="s">
        <v>160</v>
      </c>
      <c r="C89" s="31">
        <v>4301131046</v>
      </c>
      <c r="D89" s="280">
        <v>4607111034137</v>
      </c>
      <c r="E89" s="281"/>
      <c r="F89" s="275">
        <v>0.3</v>
      </c>
      <c r="G89" s="32">
        <v>12</v>
      </c>
      <c r="H89" s="275">
        <v>3.6</v>
      </c>
      <c r="I89" s="275">
        <v>4.3036000000000003</v>
      </c>
      <c r="J89" s="32">
        <v>70</v>
      </c>
      <c r="K89" s="32" t="s">
        <v>100</v>
      </c>
      <c r="L89" s="32" t="s">
        <v>101</v>
      </c>
      <c r="M89" s="33" t="s">
        <v>67</v>
      </c>
      <c r="N89" s="33"/>
      <c r="O89" s="32">
        <v>180</v>
      </c>
      <c r="P89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3"/>
      <c r="R89" s="283"/>
      <c r="S89" s="283"/>
      <c r="T89" s="284"/>
      <c r="U89" s="34"/>
      <c r="V89" s="34"/>
      <c r="W89" s="35" t="s">
        <v>68</v>
      </c>
      <c r="X89" s="276"/>
      <c r="Y89" s="277" t="str">
        <f>IFERROR(IF(X89="","",X89),"")</f>
        <v/>
      </c>
      <c r="Z89" s="36" t="str">
        <f>IFERROR(IF(X89="","",X89*0.01788),"")</f>
        <v/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0</v>
      </c>
      <c r="BN89" s="67" t="str">
        <f>IFERROR(Y89*I89,"0")</f>
        <v>0</v>
      </c>
      <c r="BO89" s="67">
        <f>IFERROR(X89/J89,"0")</f>
        <v>0</v>
      </c>
      <c r="BP89" s="67" t="str">
        <f>IFERROR(Y89/J89,"0")</f>
        <v>0</v>
      </c>
    </row>
    <row r="90" spans="1:68" ht="12.5" x14ac:dyDescent="0.25">
      <c r="A90" s="285"/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7"/>
      <c r="P90" s="298" t="s">
        <v>87</v>
      </c>
      <c r="Q90" s="299"/>
      <c r="R90" s="299"/>
      <c r="S90" s="299"/>
      <c r="T90" s="299"/>
      <c r="U90" s="299"/>
      <c r="V90" s="300"/>
      <c r="W90" s="37" t="s">
        <v>68</v>
      </c>
      <c r="X90" s="278">
        <f>IFERROR(SUM(X88:X89),"0")</f>
        <v>0</v>
      </c>
      <c r="Y90" s="278">
        <f>IFERROR(SUM(Y88:Y89),"0")</f>
        <v>0</v>
      </c>
      <c r="Z90" s="278">
        <f>IFERROR(IF(Z88="",0,Z88),"0")+IFERROR(IF(Z89="",0,Z89),"0")</f>
        <v>0</v>
      </c>
      <c r="AA90" s="279"/>
      <c r="AB90" s="279"/>
      <c r="AC90" s="279"/>
    </row>
    <row r="91" spans="1:68" ht="12.5" x14ac:dyDescent="0.25">
      <c r="A91" s="286"/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7"/>
      <c r="P91" s="298" t="s">
        <v>87</v>
      </c>
      <c r="Q91" s="299"/>
      <c r="R91" s="299"/>
      <c r="S91" s="299"/>
      <c r="T91" s="299"/>
      <c r="U91" s="299"/>
      <c r="V91" s="300"/>
      <c r="W91" s="37" t="s">
        <v>88</v>
      </c>
      <c r="X91" s="278">
        <f>IFERROR(SUMPRODUCT(X88:X89*H88:H89),"0")</f>
        <v>0</v>
      </c>
      <c r="Y91" s="278" t="str">
        <f>IFERROR(SUMPRODUCT(Y88:Y89*H88:H89),"0")</f>
        <v>0</v>
      </c>
      <c r="Z91" s="37"/>
      <c r="AA91" s="279"/>
      <c r="AB91" s="279"/>
      <c r="AC91" s="279"/>
    </row>
    <row r="92" spans="1:68" ht="16.5" customHeight="1" x14ac:dyDescent="0.3">
      <c r="A92" s="304" t="s">
        <v>162</v>
      </c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71"/>
      <c r="AB92" s="271"/>
      <c r="AC92" s="271"/>
    </row>
    <row r="93" spans="1:68" ht="14.25" customHeight="1" x14ac:dyDescent="0.3">
      <c r="A93" s="288" t="s">
        <v>135</v>
      </c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72"/>
      <c r="AB93" s="272"/>
      <c r="AC93" s="272"/>
    </row>
    <row r="94" spans="1:68" ht="27" customHeight="1" x14ac:dyDescent="0.3">
      <c r="A94" s="54" t="s">
        <v>163</v>
      </c>
      <c r="B94" s="54" t="s">
        <v>164</v>
      </c>
      <c r="C94" s="31">
        <v>4301135763</v>
      </c>
      <c r="D94" s="280">
        <v>4620207491027</v>
      </c>
      <c r="E94" s="281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6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6"/>
      <c r="Y94" s="277" t="str">
        <f t="shared" ref="Y94:Y99" si="6">IFERROR(IF(X94="","",X94),"")</f>
        <v/>
      </c>
      <c r="Z94" s="36" t="str">
        <f t="shared" ref="Z94:Z99" si="7">IFERROR(IF(X94="","",X94*0.01788),"")</f>
        <v/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0</v>
      </c>
      <c r="BN94" s="67" t="str">
        <f t="shared" ref="BN94:BN99" si="9">IFERROR(Y94*I94,"0")</f>
        <v>0</v>
      </c>
      <c r="BO94" s="67">
        <f t="shared" ref="BO94:BO99" si="10">IFERROR(X94/J94,"0")</f>
        <v>0</v>
      </c>
      <c r="BP94" s="67" t="str">
        <f t="shared" ref="BP94:BP99" si="11">IFERROR(Y94/J94,"0")</f>
        <v>0</v>
      </c>
    </row>
    <row r="95" spans="1:68" ht="27" customHeight="1" x14ac:dyDescent="0.3">
      <c r="A95" s="54" t="s">
        <v>165</v>
      </c>
      <c r="B95" s="54" t="s">
        <v>166</v>
      </c>
      <c r="C95" s="31">
        <v>4301135793</v>
      </c>
      <c r="D95" s="280">
        <v>4620207491003</v>
      </c>
      <c r="E95" s="281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101</v>
      </c>
      <c r="M95" s="33" t="s">
        <v>67</v>
      </c>
      <c r="N95" s="33"/>
      <c r="O95" s="32">
        <v>180</v>
      </c>
      <c r="P95" s="36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3"/>
      <c r="R95" s="283"/>
      <c r="S95" s="283"/>
      <c r="T95" s="284"/>
      <c r="U95" s="34"/>
      <c r="V95" s="34"/>
      <c r="W95" s="35" t="s">
        <v>68</v>
      </c>
      <c r="X95" s="276"/>
      <c r="Y95" s="277" t="str">
        <f t="shared" si="6"/>
        <v/>
      </c>
      <c r="Z95" s="36" t="str">
        <f t="shared" si="7"/>
        <v/>
      </c>
      <c r="AA95" s="56"/>
      <c r="AB95" s="57"/>
      <c r="AC95" s="132" t="s">
        <v>153</v>
      </c>
      <c r="AG95" s="67"/>
      <c r="AJ95" s="71" t="s">
        <v>103</v>
      </c>
      <c r="AK95" s="71">
        <v>14</v>
      </c>
      <c r="BB95" s="133" t="s">
        <v>104</v>
      </c>
      <c r="BM95" s="67">
        <f t="shared" si="8"/>
        <v>0</v>
      </c>
      <c r="BN95" s="67" t="str">
        <f t="shared" si="9"/>
        <v>0</v>
      </c>
      <c r="BO95" s="67">
        <f t="shared" si="10"/>
        <v>0</v>
      </c>
      <c r="BP95" s="67" t="str">
        <f t="shared" si="11"/>
        <v>0</v>
      </c>
    </row>
    <row r="96" spans="1:68" ht="27" customHeight="1" x14ac:dyDescent="0.3">
      <c r="A96" s="54" t="s">
        <v>167</v>
      </c>
      <c r="B96" s="54" t="s">
        <v>168</v>
      </c>
      <c r="C96" s="31">
        <v>4301135768</v>
      </c>
      <c r="D96" s="280">
        <v>4620207491034</v>
      </c>
      <c r="E96" s="281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101</v>
      </c>
      <c r="M96" s="33" t="s">
        <v>67</v>
      </c>
      <c r="N96" s="33"/>
      <c r="O96" s="32">
        <v>180</v>
      </c>
      <c r="P96" s="39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3"/>
      <c r="R96" s="283"/>
      <c r="S96" s="283"/>
      <c r="T96" s="284"/>
      <c r="U96" s="34"/>
      <c r="V96" s="34"/>
      <c r="W96" s="35" t="s">
        <v>68</v>
      </c>
      <c r="X96" s="276"/>
      <c r="Y96" s="277" t="str">
        <f t="shared" si="6"/>
        <v/>
      </c>
      <c r="Z96" s="36" t="str">
        <f t="shared" si="7"/>
        <v/>
      </c>
      <c r="AA96" s="56"/>
      <c r="AB96" s="57"/>
      <c r="AC96" s="134" t="s">
        <v>169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0</v>
      </c>
      <c r="BN96" s="67" t="str">
        <f t="shared" si="9"/>
        <v>0</v>
      </c>
      <c r="BO96" s="67">
        <f t="shared" si="10"/>
        <v>0</v>
      </c>
      <c r="BP96" s="67" t="str">
        <f t="shared" si="11"/>
        <v>0</v>
      </c>
    </row>
    <row r="97" spans="1:68" ht="27" customHeight="1" x14ac:dyDescent="0.3">
      <c r="A97" s="54" t="s">
        <v>170</v>
      </c>
      <c r="B97" s="54" t="s">
        <v>171</v>
      </c>
      <c r="C97" s="31">
        <v>4301135760</v>
      </c>
      <c r="D97" s="280">
        <v>4620207491010</v>
      </c>
      <c r="E97" s="281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100</v>
      </c>
      <c r="L97" s="32" t="s">
        <v>101</v>
      </c>
      <c r="M97" s="33" t="s">
        <v>67</v>
      </c>
      <c r="N97" s="33"/>
      <c r="O97" s="32">
        <v>180</v>
      </c>
      <c r="P97" s="32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3"/>
      <c r="R97" s="283"/>
      <c r="S97" s="283"/>
      <c r="T97" s="284"/>
      <c r="U97" s="34"/>
      <c r="V97" s="34"/>
      <c r="W97" s="35" t="s">
        <v>68</v>
      </c>
      <c r="X97" s="276"/>
      <c r="Y97" s="277" t="str">
        <f t="shared" si="6"/>
        <v/>
      </c>
      <c r="Z97" s="36" t="str">
        <f t="shared" si="7"/>
        <v/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0</v>
      </c>
      <c r="BN97" s="67" t="str">
        <f t="shared" si="9"/>
        <v>0</v>
      </c>
      <c r="BO97" s="67">
        <f t="shared" si="10"/>
        <v>0</v>
      </c>
      <c r="BP97" s="67" t="str">
        <f t="shared" si="11"/>
        <v>0</v>
      </c>
    </row>
    <row r="98" spans="1:68" ht="27" customHeight="1" x14ac:dyDescent="0.3">
      <c r="A98" s="54" t="s">
        <v>172</v>
      </c>
      <c r="B98" s="54" t="s">
        <v>173</v>
      </c>
      <c r="C98" s="31">
        <v>4301135571</v>
      </c>
      <c r="D98" s="280">
        <v>4607111035028</v>
      </c>
      <c r="E98" s="281"/>
      <c r="F98" s="275">
        <v>0.48</v>
      </c>
      <c r="G98" s="32">
        <v>8</v>
      </c>
      <c r="H98" s="275">
        <v>3.84</v>
      </c>
      <c r="I98" s="275">
        <v>4.4488000000000003</v>
      </c>
      <c r="J98" s="32">
        <v>70</v>
      </c>
      <c r="K98" s="32" t="s">
        <v>100</v>
      </c>
      <c r="L98" s="32" t="s">
        <v>101</v>
      </c>
      <c r="M98" s="33" t="s">
        <v>67</v>
      </c>
      <c r="N98" s="33"/>
      <c r="O98" s="32">
        <v>180</v>
      </c>
      <c r="P98" s="43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3"/>
      <c r="R98" s="283"/>
      <c r="S98" s="283"/>
      <c r="T98" s="284"/>
      <c r="U98" s="34"/>
      <c r="V98" s="34"/>
      <c r="W98" s="35" t="s">
        <v>68</v>
      </c>
      <c r="X98" s="276"/>
      <c r="Y98" s="277" t="str">
        <f t="shared" si="6"/>
        <v/>
      </c>
      <c r="Z98" s="36" t="str">
        <f t="shared" si="7"/>
        <v/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0</v>
      </c>
      <c r="BN98" s="67" t="str">
        <f t="shared" si="9"/>
        <v>0</v>
      </c>
      <c r="BO98" s="67">
        <f t="shared" si="10"/>
        <v>0</v>
      </c>
      <c r="BP98" s="67" t="str">
        <f t="shared" si="11"/>
        <v>0</v>
      </c>
    </row>
    <row r="99" spans="1:68" ht="27" customHeight="1" x14ac:dyDescent="0.3">
      <c r="A99" s="54" t="s">
        <v>174</v>
      </c>
      <c r="B99" s="54" t="s">
        <v>175</v>
      </c>
      <c r="C99" s="31">
        <v>4301135285</v>
      </c>
      <c r="D99" s="280">
        <v>4607111036407</v>
      </c>
      <c r="E99" s="281"/>
      <c r="F99" s="275">
        <v>0.3</v>
      </c>
      <c r="G99" s="32">
        <v>14</v>
      </c>
      <c r="H99" s="275">
        <v>4.2</v>
      </c>
      <c r="I99" s="275">
        <v>4.5292000000000003</v>
      </c>
      <c r="J99" s="32">
        <v>70</v>
      </c>
      <c r="K99" s="32" t="s">
        <v>100</v>
      </c>
      <c r="L99" s="32" t="s">
        <v>66</v>
      </c>
      <c r="M99" s="33" t="s">
        <v>67</v>
      </c>
      <c r="N99" s="33"/>
      <c r="O99" s="32">
        <v>180</v>
      </c>
      <c r="P99" s="2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3"/>
      <c r="R99" s="283"/>
      <c r="S99" s="283"/>
      <c r="T99" s="284"/>
      <c r="U99" s="34"/>
      <c r="V99" s="34"/>
      <c r="W99" s="35" t="s">
        <v>68</v>
      </c>
      <c r="X99" s="276"/>
      <c r="Y99" s="277" t="str">
        <f t="shared" si="6"/>
        <v/>
      </c>
      <c r="Z99" s="36" t="str">
        <f t="shared" si="7"/>
        <v/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 t="str">
        <f t="shared" si="9"/>
        <v>0</v>
      </c>
      <c r="BO99" s="67">
        <f t="shared" si="10"/>
        <v>0</v>
      </c>
      <c r="BP99" s="67" t="str">
        <f t="shared" si="11"/>
        <v>0</v>
      </c>
    </row>
    <row r="100" spans="1:68" ht="12.5" x14ac:dyDescent="0.25">
      <c r="A100" s="285"/>
      <c r="B100" s="286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7"/>
      <c r="P100" s="298" t="s">
        <v>87</v>
      </c>
      <c r="Q100" s="299"/>
      <c r="R100" s="299"/>
      <c r="S100" s="299"/>
      <c r="T100" s="299"/>
      <c r="U100" s="299"/>
      <c r="V100" s="300"/>
      <c r="W100" s="37" t="s">
        <v>68</v>
      </c>
      <c r="X100" s="278">
        <f>IFERROR(SUM(X94:X99),"0")</f>
        <v>0</v>
      </c>
      <c r="Y100" s="278">
        <f>IFERROR(SUM(Y94:Y99),"0")</f>
        <v>0</v>
      </c>
      <c r="Z100" s="278">
        <f>IFERROR(IF(Z94="",0,Z94),"0")+IFERROR(IF(Z95="",0,Z95),"0")+IFERROR(IF(Z96="",0,Z96),"0")+IFERROR(IF(Z97="",0,Z97),"0")+IFERROR(IF(Z98="",0,Z98),"0")+IFERROR(IF(Z99="",0,Z99),"0")</f>
        <v>0</v>
      </c>
      <c r="AA100" s="279"/>
      <c r="AB100" s="279"/>
      <c r="AC100" s="279"/>
    </row>
    <row r="101" spans="1:68" ht="12.5" x14ac:dyDescent="0.25">
      <c r="A101" s="286"/>
      <c r="B101" s="286"/>
      <c r="C101" s="286"/>
      <c r="D101" s="286"/>
      <c r="E101" s="286"/>
      <c r="F101" s="286"/>
      <c r="G101" s="286"/>
      <c r="H101" s="286"/>
      <c r="I101" s="286"/>
      <c r="J101" s="286"/>
      <c r="K101" s="286"/>
      <c r="L101" s="286"/>
      <c r="M101" s="286"/>
      <c r="N101" s="286"/>
      <c r="O101" s="287"/>
      <c r="P101" s="298" t="s">
        <v>87</v>
      </c>
      <c r="Q101" s="299"/>
      <c r="R101" s="299"/>
      <c r="S101" s="299"/>
      <c r="T101" s="299"/>
      <c r="U101" s="299"/>
      <c r="V101" s="300"/>
      <c r="W101" s="37" t="s">
        <v>88</v>
      </c>
      <c r="X101" s="278">
        <f>IFERROR(SUMPRODUCT(X94:X99*H94:H99),"0")</f>
        <v>0</v>
      </c>
      <c r="Y101" s="278" t="str">
        <f>IFERROR(SUMPRODUCT(Y94:Y99*H94:H99),"0")</f>
        <v>0</v>
      </c>
      <c r="Z101" s="37"/>
      <c r="AA101" s="279"/>
      <c r="AB101" s="279"/>
      <c r="AC101" s="279"/>
    </row>
    <row r="102" spans="1:68" ht="16.5" customHeight="1" x14ac:dyDescent="0.3">
      <c r="A102" s="304" t="s">
        <v>177</v>
      </c>
      <c r="B102" s="286"/>
      <c r="C102" s="286"/>
      <c r="D102" s="286"/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  <c r="AA102" s="271"/>
      <c r="AB102" s="271"/>
      <c r="AC102" s="271"/>
    </row>
    <row r="103" spans="1:68" ht="14.25" customHeight="1" x14ac:dyDescent="0.3">
      <c r="A103" s="288" t="s">
        <v>129</v>
      </c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  <c r="AA103" s="272"/>
      <c r="AB103" s="272"/>
      <c r="AC103" s="272"/>
    </row>
    <row r="104" spans="1:68" ht="27" customHeight="1" x14ac:dyDescent="0.3">
      <c r="A104" s="54" t="s">
        <v>178</v>
      </c>
      <c r="B104" s="54" t="s">
        <v>179</v>
      </c>
      <c r="C104" s="31">
        <v>4301136070</v>
      </c>
      <c r="D104" s="280">
        <v>4607025784012</v>
      </c>
      <c r="E104" s="281"/>
      <c r="F104" s="275">
        <v>0.09</v>
      </c>
      <c r="G104" s="32">
        <v>24</v>
      </c>
      <c r="H104" s="275">
        <v>2.16</v>
      </c>
      <c r="I104" s="275">
        <v>2.4912000000000001</v>
      </c>
      <c r="J104" s="32">
        <v>126</v>
      </c>
      <c r="K104" s="32" t="s">
        <v>100</v>
      </c>
      <c r="L104" s="32" t="s">
        <v>101</v>
      </c>
      <c r="M104" s="33" t="s">
        <v>67</v>
      </c>
      <c r="N104" s="33"/>
      <c r="O104" s="32">
        <v>180</v>
      </c>
      <c r="P104" s="31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3"/>
      <c r="R104" s="283"/>
      <c r="S104" s="283"/>
      <c r="T104" s="284"/>
      <c r="U104" s="34"/>
      <c r="V104" s="34"/>
      <c r="W104" s="35" t="s">
        <v>68</v>
      </c>
      <c r="X104" s="276"/>
      <c r="Y104" s="277" t="str">
        <f>IFERROR(IF(X104="","",X104),"")</f>
        <v/>
      </c>
      <c r="Z104" s="36" t="str">
        <f>IFERROR(IF(X104="","",X104*0.00936),"")</f>
        <v/>
      </c>
      <c r="AA104" s="56"/>
      <c r="AB104" s="57"/>
      <c r="AC104" s="142" t="s">
        <v>180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 t="str">
        <f>IFERROR(Y104*I104,"0")</f>
        <v>0</v>
      </c>
      <c r="BO104" s="67">
        <f>IFERROR(X104/J104,"0")</f>
        <v>0</v>
      </c>
      <c r="BP104" s="67" t="str">
        <f>IFERROR(Y104/J104,"0")</f>
        <v>0</v>
      </c>
    </row>
    <row r="105" spans="1:68" ht="27" customHeight="1" x14ac:dyDescent="0.3">
      <c r="A105" s="54" t="s">
        <v>181</v>
      </c>
      <c r="B105" s="54" t="s">
        <v>182</v>
      </c>
      <c r="C105" s="31">
        <v>4301136079</v>
      </c>
      <c r="D105" s="280">
        <v>4607025784319</v>
      </c>
      <c r="E105" s="281"/>
      <c r="F105" s="275">
        <v>0.36</v>
      </c>
      <c r="G105" s="32">
        <v>10</v>
      </c>
      <c r="H105" s="275">
        <v>3.6</v>
      </c>
      <c r="I105" s="275">
        <v>4.2439999999999998</v>
      </c>
      <c r="J105" s="32">
        <v>70</v>
      </c>
      <c r="K105" s="32" t="s">
        <v>100</v>
      </c>
      <c r="L105" s="32" t="s">
        <v>101</v>
      </c>
      <c r="M105" s="33" t="s">
        <v>67</v>
      </c>
      <c r="N105" s="33"/>
      <c r="O105" s="32">
        <v>180</v>
      </c>
      <c r="P105" s="46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83"/>
      <c r="R105" s="283"/>
      <c r="S105" s="283"/>
      <c r="T105" s="284"/>
      <c r="U105" s="34"/>
      <c r="V105" s="34"/>
      <c r="W105" s="35" t="s">
        <v>68</v>
      </c>
      <c r="X105" s="276"/>
      <c r="Y105" s="277" t="str">
        <f>IFERROR(IF(X105="","",X105),"")</f>
        <v/>
      </c>
      <c r="Z105" s="36" t="str">
        <f>IFERROR(IF(X105="","",X105*0.01788),"")</f>
        <v/>
      </c>
      <c r="AA105" s="56"/>
      <c r="AB105" s="57"/>
      <c r="AC105" s="144" t="s">
        <v>153</v>
      </c>
      <c r="AG105" s="67"/>
      <c r="AJ105" s="71" t="s">
        <v>103</v>
      </c>
      <c r="AK105" s="71">
        <v>14</v>
      </c>
      <c r="BB105" s="145" t="s">
        <v>104</v>
      </c>
      <c r="BM105" s="67">
        <f>IFERROR(X105*I105,"0")</f>
        <v>0</v>
      </c>
      <c r="BN105" s="67" t="str">
        <f>IFERROR(Y105*I105,"0")</f>
        <v>0</v>
      </c>
      <c r="BO105" s="67">
        <f>IFERROR(X105/J105,"0")</f>
        <v>0</v>
      </c>
      <c r="BP105" s="67" t="str">
        <f>IFERROR(Y105/J105,"0")</f>
        <v>0</v>
      </c>
    </row>
    <row r="106" spans="1:68" ht="12.5" x14ac:dyDescent="0.25">
      <c r="A106" s="285"/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7"/>
      <c r="P106" s="298" t="s">
        <v>87</v>
      </c>
      <c r="Q106" s="299"/>
      <c r="R106" s="299"/>
      <c r="S106" s="299"/>
      <c r="T106" s="299"/>
      <c r="U106" s="299"/>
      <c r="V106" s="300"/>
      <c r="W106" s="37" t="s">
        <v>68</v>
      </c>
      <c r="X106" s="278">
        <f>IFERROR(SUM(X104:X105),"0")</f>
        <v>0</v>
      </c>
      <c r="Y106" s="278">
        <f>IFERROR(SUM(Y104:Y105),"0")</f>
        <v>0</v>
      </c>
      <c r="Z106" s="278">
        <f>IFERROR(IF(Z104="",0,Z104),"0")+IFERROR(IF(Z105="",0,Z105),"0")</f>
        <v>0</v>
      </c>
      <c r="AA106" s="279"/>
      <c r="AB106" s="279"/>
      <c r="AC106" s="279"/>
    </row>
    <row r="107" spans="1:68" ht="12.5" x14ac:dyDescent="0.25">
      <c r="A107" s="286"/>
      <c r="B107" s="286"/>
      <c r="C107" s="286"/>
      <c r="D107" s="286"/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  <c r="O107" s="287"/>
      <c r="P107" s="298" t="s">
        <v>87</v>
      </c>
      <c r="Q107" s="299"/>
      <c r="R107" s="299"/>
      <c r="S107" s="299"/>
      <c r="T107" s="299"/>
      <c r="U107" s="299"/>
      <c r="V107" s="300"/>
      <c r="W107" s="37" t="s">
        <v>88</v>
      </c>
      <c r="X107" s="278">
        <f>IFERROR(SUMPRODUCT(X104:X105*H104:H105),"0")</f>
        <v>0</v>
      </c>
      <c r="Y107" s="278" t="str">
        <f>IFERROR(SUMPRODUCT(Y104:Y105*H104:H105),"0")</f>
        <v>0</v>
      </c>
      <c r="Z107" s="37"/>
      <c r="AA107" s="279"/>
      <c r="AB107" s="279"/>
      <c r="AC107" s="279"/>
    </row>
    <row r="108" spans="1:68" ht="16.5" customHeight="1" x14ac:dyDescent="0.3">
      <c r="A108" s="304" t="s">
        <v>183</v>
      </c>
      <c r="B108" s="286"/>
      <c r="C108" s="286"/>
      <c r="D108" s="286"/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  <c r="AA108" s="271"/>
      <c r="AB108" s="271"/>
      <c r="AC108" s="271"/>
    </row>
    <row r="109" spans="1:68" ht="14.25" customHeight="1" x14ac:dyDescent="0.3">
      <c r="A109" s="288" t="s">
        <v>62</v>
      </c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  <c r="AA109" s="272"/>
      <c r="AB109" s="272"/>
      <c r="AC109" s="272"/>
    </row>
    <row r="110" spans="1:68" ht="27" customHeight="1" x14ac:dyDescent="0.3">
      <c r="A110" s="54" t="s">
        <v>184</v>
      </c>
      <c r="B110" s="54" t="s">
        <v>185</v>
      </c>
      <c r="C110" s="31">
        <v>4301071074</v>
      </c>
      <c r="D110" s="280">
        <v>4620207491157</v>
      </c>
      <c r="E110" s="281"/>
      <c r="F110" s="275">
        <v>0.7</v>
      </c>
      <c r="G110" s="32">
        <v>10</v>
      </c>
      <c r="H110" s="275">
        <v>7</v>
      </c>
      <c r="I110" s="275">
        <v>7.28</v>
      </c>
      <c r="J110" s="32">
        <v>84</v>
      </c>
      <c r="K110" s="32" t="s">
        <v>65</v>
      </c>
      <c r="L110" s="32" t="s">
        <v>101</v>
      </c>
      <c r="M110" s="33" t="s">
        <v>67</v>
      </c>
      <c r="N110" s="33"/>
      <c r="O110" s="32">
        <v>180</v>
      </c>
      <c r="P110" s="44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6"/>
      <c r="Y110" s="277" t="str">
        <f t="shared" ref="Y110:Y116" si="12">IFERROR(IF(X110="","",X110),"")</f>
        <v/>
      </c>
      <c r="Z110" s="36" t="str">
        <f t="shared" ref="Z110:Z116" si="13">IFERROR(IF(X110="","",X110*0.0155),"")</f>
        <v/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6" si="14">IFERROR(X110*I110,"0")</f>
        <v>0</v>
      </c>
      <c r="BN110" s="67" t="str">
        <f t="shared" ref="BN110:BN116" si="15">IFERROR(Y110*I110,"0")</f>
        <v>0</v>
      </c>
      <c r="BO110" s="67">
        <f t="shared" ref="BO110:BO116" si="16">IFERROR(X110/J110,"0")</f>
        <v>0</v>
      </c>
      <c r="BP110" s="67" t="str">
        <f t="shared" ref="BP110:BP116" si="17">IFERROR(Y110/J110,"0")</f>
        <v>0</v>
      </c>
    </row>
    <row r="111" spans="1:68" ht="27" customHeight="1" x14ac:dyDescent="0.3">
      <c r="A111" s="54" t="s">
        <v>187</v>
      </c>
      <c r="B111" s="54" t="s">
        <v>188</v>
      </c>
      <c r="C111" s="31">
        <v>4301071121</v>
      </c>
      <c r="D111" s="280">
        <v>4620207491393</v>
      </c>
      <c r="E111" s="281"/>
      <c r="F111" s="275">
        <v>0.4</v>
      </c>
      <c r="G111" s="32">
        <v>16</v>
      </c>
      <c r="H111" s="275">
        <v>6.4</v>
      </c>
      <c r="I111" s="275">
        <v>6.71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1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3"/>
      <c r="R111" s="283"/>
      <c r="S111" s="283"/>
      <c r="T111" s="284"/>
      <c r="U111" s="34"/>
      <c r="V111" s="34"/>
      <c r="W111" s="35" t="s">
        <v>68</v>
      </c>
      <c r="X111" s="276"/>
      <c r="Y111" s="277" t="str">
        <f t="shared" si="12"/>
        <v/>
      </c>
      <c r="Z111" s="36" t="str">
        <f t="shared" si="13"/>
        <v/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 t="str">
        <f t="shared" si="15"/>
        <v>0</v>
      </c>
      <c r="BO111" s="67">
        <f t="shared" si="16"/>
        <v>0</v>
      </c>
      <c r="BP111" s="67" t="str">
        <f t="shared" si="17"/>
        <v>0</v>
      </c>
    </row>
    <row r="112" spans="1:68" ht="27" customHeight="1" x14ac:dyDescent="0.3">
      <c r="A112" s="54" t="s">
        <v>190</v>
      </c>
      <c r="B112" s="54" t="s">
        <v>191</v>
      </c>
      <c r="C112" s="31">
        <v>4301071051</v>
      </c>
      <c r="D112" s="280">
        <v>4607111039262</v>
      </c>
      <c r="E112" s="281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83"/>
      <c r="R112" s="283"/>
      <c r="S112" s="283"/>
      <c r="T112" s="284"/>
      <c r="U112" s="34"/>
      <c r="V112" s="34"/>
      <c r="W112" s="35" t="s">
        <v>68</v>
      </c>
      <c r="X112" s="276"/>
      <c r="Y112" s="277" t="str">
        <f t="shared" si="12"/>
        <v/>
      </c>
      <c r="Z112" s="36" t="str">
        <f t="shared" si="13"/>
        <v/>
      </c>
      <c r="AA112" s="56"/>
      <c r="AB112" s="57"/>
      <c r="AC112" s="150" t="s">
        <v>147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 t="str">
        <f t="shared" si="15"/>
        <v>0</v>
      </c>
      <c r="BO112" s="67">
        <f t="shared" si="16"/>
        <v>0</v>
      </c>
      <c r="BP112" s="67" t="str">
        <f t="shared" si="17"/>
        <v>0</v>
      </c>
    </row>
    <row r="113" spans="1:68" ht="27" customHeight="1" x14ac:dyDescent="0.3">
      <c r="A113" s="54" t="s">
        <v>192</v>
      </c>
      <c r="B113" s="54" t="s">
        <v>193</v>
      </c>
      <c r="C113" s="31">
        <v>4301071038</v>
      </c>
      <c r="D113" s="280">
        <v>4607111039248</v>
      </c>
      <c r="E113" s="281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101</v>
      </c>
      <c r="M113" s="33" t="s">
        <v>67</v>
      </c>
      <c r="N113" s="33"/>
      <c r="O113" s="32">
        <v>180</v>
      </c>
      <c r="P113" s="33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83"/>
      <c r="R113" s="283"/>
      <c r="S113" s="283"/>
      <c r="T113" s="284"/>
      <c r="U113" s="34"/>
      <c r="V113" s="34"/>
      <c r="W113" s="35" t="s">
        <v>68</v>
      </c>
      <c r="X113" s="276"/>
      <c r="Y113" s="277" t="str">
        <f t="shared" si="12"/>
        <v/>
      </c>
      <c r="Z113" s="36" t="str">
        <f t="shared" si="13"/>
        <v/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 t="str">
        <f t="shared" si="15"/>
        <v>0</v>
      </c>
      <c r="BO113" s="67">
        <f t="shared" si="16"/>
        <v>0</v>
      </c>
      <c r="BP113" s="67" t="str">
        <f t="shared" si="17"/>
        <v>0</v>
      </c>
    </row>
    <row r="114" spans="1:68" ht="27" customHeight="1" x14ac:dyDescent="0.3">
      <c r="A114" s="54" t="s">
        <v>194</v>
      </c>
      <c r="B114" s="54" t="s">
        <v>195</v>
      </c>
      <c r="C114" s="31">
        <v>4301070979</v>
      </c>
      <c r="D114" s="280">
        <v>4607111037145</v>
      </c>
      <c r="E114" s="281"/>
      <c r="F114" s="275">
        <v>0.8</v>
      </c>
      <c r="G114" s="32">
        <v>8</v>
      </c>
      <c r="H114" s="275">
        <v>6.4</v>
      </c>
      <c r="I114" s="275">
        <v>6.6748000000000003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83"/>
      <c r="R114" s="283"/>
      <c r="S114" s="283"/>
      <c r="T114" s="284"/>
      <c r="U114" s="34"/>
      <c r="V114" s="34"/>
      <c r="W114" s="35" t="s">
        <v>68</v>
      </c>
      <c r="X114" s="276"/>
      <c r="Y114" s="277" t="str">
        <f t="shared" si="12"/>
        <v/>
      </c>
      <c r="Z114" s="36" t="str">
        <f t="shared" si="13"/>
        <v/>
      </c>
      <c r="AA114" s="56"/>
      <c r="AB114" s="57"/>
      <c r="AC114" s="154" t="s">
        <v>196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 t="str">
        <f t="shared" si="15"/>
        <v>0</v>
      </c>
      <c r="BO114" s="67">
        <f t="shared" si="16"/>
        <v>0</v>
      </c>
      <c r="BP114" s="67" t="str">
        <f t="shared" si="17"/>
        <v>0</v>
      </c>
    </row>
    <row r="115" spans="1:68" ht="27" customHeight="1" x14ac:dyDescent="0.3">
      <c r="A115" s="54" t="s">
        <v>197</v>
      </c>
      <c r="B115" s="54" t="s">
        <v>198</v>
      </c>
      <c r="C115" s="31">
        <v>4301071049</v>
      </c>
      <c r="D115" s="280">
        <v>4607111039293</v>
      </c>
      <c r="E115" s="281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83"/>
      <c r="R115" s="283"/>
      <c r="S115" s="283"/>
      <c r="T115" s="284"/>
      <c r="U115" s="34"/>
      <c r="V115" s="34"/>
      <c r="W115" s="35" t="s">
        <v>68</v>
      </c>
      <c r="X115" s="276"/>
      <c r="Y115" s="277" t="str">
        <f t="shared" si="12"/>
        <v/>
      </c>
      <c r="Z115" s="36" t="str">
        <f t="shared" si="13"/>
        <v/>
      </c>
      <c r="AA115" s="56"/>
      <c r="AB115" s="57"/>
      <c r="AC115" s="156" t="s">
        <v>147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 t="str">
        <f t="shared" si="15"/>
        <v>0</v>
      </c>
      <c r="BO115" s="67">
        <f t="shared" si="16"/>
        <v>0</v>
      </c>
      <c r="BP115" s="67" t="str">
        <f t="shared" si="17"/>
        <v>0</v>
      </c>
    </row>
    <row r="116" spans="1:68" ht="27" customHeight="1" x14ac:dyDescent="0.3">
      <c r="A116" s="54" t="s">
        <v>199</v>
      </c>
      <c r="B116" s="54" t="s">
        <v>200</v>
      </c>
      <c r="C116" s="31">
        <v>4301071039</v>
      </c>
      <c r="D116" s="280">
        <v>4607111039279</v>
      </c>
      <c r="E116" s="281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101</v>
      </c>
      <c r="M116" s="33" t="s">
        <v>67</v>
      </c>
      <c r="N116" s="33"/>
      <c r="O116" s="32">
        <v>180</v>
      </c>
      <c r="P116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83"/>
      <c r="R116" s="283"/>
      <c r="S116" s="283"/>
      <c r="T116" s="284"/>
      <c r="U116" s="34"/>
      <c r="V116" s="34"/>
      <c r="W116" s="35" t="s">
        <v>68</v>
      </c>
      <c r="X116" s="276"/>
      <c r="Y116" s="277" t="str">
        <f t="shared" si="12"/>
        <v/>
      </c>
      <c r="Z116" s="36" t="str">
        <f t="shared" si="13"/>
        <v/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 t="str">
        <f t="shared" si="15"/>
        <v>0</v>
      </c>
      <c r="BO116" s="67">
        <f t="shared" si="16"/>
        <v>0</v>
      </c>
      <c r="BP116" s="67" t="str">
        <f t="shared" si="17"/>
        <v>0</v>
      </c>
    </row>
    <row r="117" spans="1:68" ht="12.5" x14ac:dyDescent="0.25">
      <c r="A117" s="285"/>
      <c r="B117" s="286"/>
      <c r="C117" s="286"/>
      <c r="D117" s="286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7"/>
      <c r="P117" s="298" t="s">
        <v>87</v>
      </c>
      <c r="Q117" s="299"/>
      <c r="R117" s="299"/>
      <c r="S117" s="299"/>
      <c r="T117" s="299"/>
      <c r="U117" s="299"/>
      <c r="V117" s="300"/>
      <c r="W117" s="37" t="s">
        <v>68</v>
      </c>
      <c r="X117" s="278">
        <f>IFERROR(SUM(X110:X116),"0")</f>
        <v>0</v>
      </c>
      <c r="Y117" s="278">
        <f>IFERROR(SUM(Y110:Y116),"0")</f>
        <v>0</v>
      </c>
      <c r="Z117" s="278">
        <f>IFERROR(IF(Z110="",0,Z110),"0")+IFERROR(IF(Z111="",0,Z111),"0")+IFERROR(IF(Z112="",0,Z112),"0")+IFERROR(IF(Z113="",0,Z113),"0")+IFERROR(IF(Z114="",0,Z114),"0")+IFERROR(IF(Z115="",0,Z115),"0")+IFERROR(IF(Z116="",0,Z116),"0")</f>
        <v>0</v>
      </c>
      <c r="AA117" s="279"/>
      <c r="AB117" s="279"/>
      <c r="AC117" s="279"/>
    </row>
    <row r="118" spans="1:68" ht="12.5" x14ac:dyDescent="0.25">
      <c r="A118" s="286"/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7"/>
      <c r="P118" s="298" t="s">
        <v>87</v>
      </c>
      <c r="Q118" s="299"/>
      <c r="R118" s="299"/>
      <c r="S118" s="299"/>
      <c r="T118" s="299"/>
      <c r="U118" s="299"/>
      <c r="V118" s="300"/>
      <c r="W118" s="37" t="s">
        <v>88</v>
      </c>
      <c r="X118" s="278">
        <f>IFERROR(SUMPRODUCT(X110:X116*H110:H116),"0")</f>
        <v>0</v>
      </c>
      <c r="Y118" s="278" t="str">
        <f>IFERROR(SUMPRODUCT(Y110:Y116*H110:H116),"0")</f>
        <v>0</v>
      </c>
      <c r="Z118" s="37"/>
      <c r="AA118" s="279"/>
      <c r="AB118" s="279"/>
      <c r="AC118" s="279"/>
    </row>
    <row r="119" spans="1:68" ht="14.25" customHeight="1" x14ac:dyDescent="0.3">
      <c r="A119" s="288" t="s">
        <v>135</v>
      </c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  <c r="AA119" s="272"/>
      <c r="AB119" s="272"/>
      <c r="AC119" s="272"/>
    </row>
    <row r="120" spans="1:68" ht="27" customHeight="1" x14ac:dyDescent="0.3">
      <c r="A120" s="54" t="s">
        <v>201</v>
      </c>
      <c r="B120" s="54" t="s">
        <v>202</v>
      </c>
      <c r="C120" s="31">
        <v>4301135826</v>
      </c>
      <c r="D120" s="280">
        <v>4620207490983</v>
      </c>
      <c r="E120" s="281"/>
      <c r="F120" s="275">
        <v>0.22</v>
      </c>
      <c r="G120" s="32">
        <v>12</v>
      </c>
      <c r="H120" s="275">
        <v>2.64</v>
      </c>
      <c r="I120" s="275">
        <v>3.3435999999999999</v>
      </c>
      <c r="J120" s="32">
        <v>70</v>
      </c>
      <c r="K120" s="32" t="s">
        <v>100</v>
      </c>
      <c r="L120" s="32" t="s">
        <v>66</v>
      </c>
      <c r="M120" s="33" t="s">
        <v>67</v>
      </c>
      <c r="N120" s="33"/>
      <c r="O120" s="32">
        <v>180</v>
      </c>
      <c r="P120" s="32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83"/>
      <c r="R120" s="283"/>
      <c r="S120" s="283"/>
      <c r="T120" s="284"/>
      <c r="U120" s="34"/>
      <c r="V120" s="34"/>
      <c r="W120" s="35" t="s">
        <v>68</v>
      </c>
      <c r="X120" s="276"/>
      <c r="Y120" s="277" t="str">
        <f>IFERROR(IF(X120="","",X120),"")</f>
        <v/>
      </c>
      <c r="Z120" s="36" t="str">
        <f>IFERROR(IF(X120="","",X120*0.01788),"")</f>
        <v/>
      </c>
      <c r="AA120" s="56"/>
      <c r="AB120" s="57"/>
      <c r="AC120" s="160" t="s">
        <v>203</v>
      </c>
      <c r="AG120" s="67"/>
      <c r="AJ120" s="71" t="s">
        <v>70</v>
      </c>
      <c r="AK120" s="71">
        <v>1</v>
      </c>
      <c r="BB120" s="161" t="s">
        <v>104</v>
      </c>
      <c r="BM120" s="67">
        <f>IFERROR(X120*I120,"0")</f>
        <v>0</v>
      </c>
      <c r="BN120" s="67" t="str">
        <f>IFERROR(Y120*I120,"0")</f>
        <v>0</v>
      </c>
      <c r="BO120" s="67">
        <f>IFERROR(X120/J120,"0")</f>
        <v>0</v>
      </c>
      <c r="BP120" s="67" t="str">
        <f>IFERROR(Y120/J120,"0")</f>
        <v>0</v>
      </c>
    </row>
    <row r="121" spans="1:68" ht="12.5" x14ac:dyDescent="0.25">
      <c r="A121" s="285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7"/>
      <c r="P121" s="298" t="s">
        <v>87</v>
      </c>
      <c r="Q121" s="299"/>
      <c r="R121" s="299"/>
      <c r="S121" s="299"/>
      <c r="T121" s="299"/>
      <c r="U121" s="299"/>
      <c r="V121" s="300"/>
      <c r="W121" s="37" t="s">
        <v>68</v>
      </c>
      <c r="X121" s="278">
        <f>IFERROR(SUM(X120:X120),"0")</f>
        <v>0</v>
      </c>
      <c r="Y121" s="278">
        <f>IFERROR(SUM(Y120:Y120),"0")</f>
        <v>0</v>
      </c>
      <c r="Z121" s="278">
        <f>IFERROR(IF(Z120="",0,Z120),"0")</f>
        <v>0</v>
      </c>
      <c r="AA121" s="279"/>
      <c r="AB121" s="279"/>
      <c r="AC121" s="279"/>
    </row>
    <row r="122" spans="1:68" ht="12.5" x14ac:dyDescent="0.25">
      <c r="A122" s="286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7"/>
      <c r="P122" s="298" t="s">
        <v>87</v>
      </c>
      <c r="Q122" s="299"/>
      <c r="R122" s="299"/>
      <c r="S122" s="299"/>
      <c r="T122" s="299"/>
      <c r="U122" s="299"/>
      <c r="V122" s="300"/>
      <c r="W122" s="37" t="s">
        <v>88</v>
      </c>
      <c r="X122" s="278">
        <f>IFERROR(SUMPRODUCT(X120:X120*H120:H120),"0")</f>
        <v>0</v>
      </c>
      <c r="Y122" s="278" t="str">
        <f>IFERROR(SUMPRODUCT(Y120:Y120*H120:H120),"0")</f>
        <v>0</v>
      </c>
      <c r="Z122" s="37"/>
      <c r="AA122" s="279"/>
      <c r="AB122" s="279"/>
      <c r="AC122" s="279"/>
    </row>
    <row r="123" spans="1:68" ht="14.25" customHeight="1" x14ac:dyDescent="0.3">
      <c r="A123" s="288" t="s">
        <v>204</v>
      </c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  <c r="AA123" s="272"/>
      <c r="AB123" s="272"/>
      <c r="AC123" s="272"/>
    </row>
    <row r="124" spans="1:68" ht="27" customHeight="1" x14ac:dyDescent="0.3">
      <c r="A124" s="54" t="s">
        <v>205</v>
      </c>
      <c r="B124" s="54" t="s">
        <v>206</v>
      </c>
      <c r="C124" s="31">
        <v>4301071094</v>
      </c>
      <c r="D124" s="280">
        <v>4620207491140</v>
      </c>
      <c r="E124" s="281"/>
      <c r="F124" s="275">
        <v>0.6</v>
      </c>
      <c r="G124" s="32">
        <v>10</v>
      </c>
      <c r="H124" s="275">
        <v>6</v>
      </c>
      <c r="I124" s="275">
        <v>6.28</v>
      </c>
      <c r="J124" s="32">
        <v>84</v>
      </c>
      <c r="K124" s="32" t="s">
        <v>65</v>
      </c>
      <c r="L124" s="32" t="s">
        <v>66</v>
      </c>
      <c r="M124" s="33" t="s">
        <v>67</v>
      </c>
      <c r="N124" s="33"/>
      <c r="O124" s="32">
        <v>180</v>
      </c>
      <c r="P124" s="46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83"/>
      <c r="R124" s="283"/>
      <c r="S124" s="283"/>
      <c r="T124" s="284"/>
      <c r="U124" s="34"/>
      <c r="V124" s="34"/>
      <c r="W124" s="35" t="s">
        <v>68</v>
      </c>
      <c r="X124" s="276">
        <v>0</v>
      </c>
      <c r="Y124" s="277">
        <f>IFERROR(IF(X124="","",X124),"")</f>
        <v>0</v>
      </c>
      <c r="Z124" s="36">
        <f>IFERROR(IF(X124="","",X124*0.0155),"")</f>
        <v>0</v>
      </c>
      <c r="AA124" s="56"/>
      <c r="AB124" s="57"/>
      <c r="AC124" s="162" t="s">
        <v>207</v>
      </c>
      <c r="AG124" s="67"/>
      <c r="AJ124" s="71" t="s">
        <v>70</v>
      </c>
      <c r="AK124" s="71">
        <v>1</v>
      </c>
      <c r="BB124" s="163" t="s">
        <v>104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12.5" x14ac:dyDescent="0.25">
      <c r="A125" s="285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7"/>
      <c r="P125" s="298" t="s">
        <v>87</v>
      </c>
      <c r="Q125" s="299"/>
      <c r="R125" s="299"/>
      <c r="S125" s="299"/>
      <c r="T125" s="299"/>
      <c r="U125" s="299"/>
      <c r="V125" s="300"/>
      <c r="W125" s="37" t="s">
        <v>68</v>
      </c>
      <c r="X125" s="278">
        <f>IFERROR(SUM(X124:X124),"0")</f>
        <v>0</v>
      </c>
      <c r="Y125" s="278">
        <f>IFERROR(SUM(Y124:Y124),"0")</f>
        <v>0</v>
      </c>
      <c r="Z125" s="278">
        <f>IFERROR(IF(Z124="",0,Z124),"0")</f>
        <v>0</v>
      </c>
      <c r="AA125" s="279"/>
      <c r="AB125" s="279"/>
      <c r="AC125" s="279"/>
    </row>
    <row r="126" spans="1:68" ht="12.5" x14ac:dyDescent="0.25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7"/>
      <c r="P126" s="298" t="s">
        <v>87</v>
      </c>
      <c r="Q126" s="299"/>
      <c r="R126" s="299"/>
      <c r="S126" s="299"/>
      <c r="T126" s="299"/>
      <c r="U126" s="299"/>
      <c r="V126" s="300"/>
      <c r="W126" s="37" t="s">
        <v>88</v>
      </c>
      <c r="X126" s="278">
        <f>IFERROR(SUMPRODUCT(X124:X124*H124:H124),"0")</f>
        <v>0</v>
      </c>
      <c r="Y126" s="278">
        <f>IFERROR(SUMPRODUCT(Y124:Y124*H124:H124),"0")</f>
        <v>0</v>
      </c>
      <c r="Z126" s="37"/>
      <c r="AA126" s="279"/>
      <c r="AB126" s="279"/>
      <c r="AC126" s="279"/>
    </row>
    <row r="127" spans="1:68" ht="16.5" customHeight="1" x14ac:dyDescent="0.3">
      <c r="A127" s="304" t="s">
        <v>208</v>
      </c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71"/>
      <c r="AB127" s="271"/>
      <c r="AC127" s="271"/>
    </row>
    <row r="128" spans="1:68" ht="14.25" customHeight="1" x14ac:dyDescent="0.3">
      <c r="A128" s="288" t="s">
        <v>135</v>
      </c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72"/>
      <c r="AB128" s="272"/>
      <c r="AC128" s="272"/>
    </row>
    <row r="129" spans="1:68" ht="27" customHeight="1" x14ac:dyDescent="0.3">
      <c r="A129" s="54" t="s">
        <v>209</v>
      </c>
      <c r="B129" s="54" t="s">
        <v>210</v>
      </c>
      <c r="C129" s="31">
        <v>4301135848</v>
      </c>
      <c r="D129" s="280">
        <v>4620207491799</v>
      </c>
      <c r="E129" s="281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4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83"/>
      <c r="R129" s="283"/>
      <c r="S129" s="283"/>
      <c r="T129" s="284"/>
      <c r="U129" s="34"/>
      <c r="V129" s="34"/>
      <c r="W129" s="35" t="s">
        <v>68</v>
      </c>
      <c r="X129" s="276">
        <v>74</v>
      </c>
      <c r="Y129" s="277">
        <f>IFERROR(IF(X129="","",X129),"")</f>
        <v>74</v>
      </c>
      <c r="Z129" s="36">
        <f>IFERROR(IF(X129="","",X129*0.00941),"")</f>
        <v>0.69633999999999996</v>
      </c>
      <c r="AA129" s="56"/>
      <c r="AB129" s="57"/>
      <c r="AC129" s="164" t="s">
        <v>211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133.20000000000002</v>
      </c>
      <c r="BN129" s="67">
        <f>IFERROR(Y129*I129,"0")</f>
        <v>133.20000000000002</v>
      </c>
      <c r="BO129" s="67">
        <f>IFERROR(X129/J129,"0")</f>
        <v>0.52857142857142858</v>
      </c>
      <c r="BP129" s="67">
        <f>IFERROR(Y129/J129,"0")</f>
        <v>0.52857142857142858</v>
      </c>
    </row>
    <row r="130" spans="1:68" ht="27" customHeight="1" x14ac:dyDescent="0.3">
      <c r="A130" s="54" t="s">
        <v>212</v>
      </c>
      <c r="B130" s="54" t="s">
        <v>213</v>
      </c>
      <c r="C130" s="31">
        <v>4301135850</v>
      </c>
      <c r="D130" s="280">
        <v>4620207491492</v>
      </c>
      <c r="E130" s="281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3"/>
      <c r="R130" s="283"/>
      <c r="S130" s="283"/>
      <c r="T130" s="284"/>
      <c r="U130" s="34"/>
      <c r="V130" s="34"/>
      <c r="W130" s="35" t="s">
        <v>68</v>
      </c>
      <c r="X130" s="276"/>
      <c r="Y130" s="277" t="str">
        <f>IFERROR(IF(X130="","",X130),"")</f>
        <v/>
      </c>
      <c r="Z130" s="36" t="str">
        <f>IFERROR(IF(X130="","",X130*0.00941),"")</f>
        <v/>
      </c>
      <c r="AA130" s="56"/>
      <c r="AB130" s="57"/>
      <c r="AC130" s="166" t="s">
        <v>211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 t="str">
        <f>IFERROR(Y130*I130,"0")</f>
        <v>0</v>
      </c>
      <c r="BO130" s="67">
        <f>IFERROR(X130/J130,"0")</f>
        <v>0</v>
      </c>
      <c r="BP130" s="67" t="str">
        <f>IFERROR(Y130/J130,"0")</f>
        <v>0</v>
      </c>
    </row>
    <row r="131" spans="1:68" ht="27" customHeight="1" x14ac:dyDescent="0.3">
      <c r="A131" s="54" t="s">
        <v>214</v>
      </c>
      <c r="B131" s="54" t="s">
        <v>215</v>
      </c>
      <c r="C131" s="31">
        <v>4301190118</v>
      </c>
      <c r="D131" s="280">
        <v>4620207491461</v>
      </c>
      <c r="E131" s="281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4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3"/>
      <c r="R131" s="283"/>
      <c r="S131" s="283"/>
      <c r="T131" s="284"/>
      <c r="U131" s="34"/>
      <c r="V131" s="34"/>
      <c r="W131" s="35" t="s">
        <v>68</v>
      </c>
      <c r="X131" s="276"/>
      <c r="Y131" s="277" t="str">
        <f>IFERROR(IF(X131="","",X131),"")</f>
        <v/>
      </c>
      <c r="Z131" s="36" t="str">
        <f>IFERROR(IF(X131="","",X131*0.00941),"")</f>
        <v/>
      </c>
      <c r="AA131" s="56"/>
      <c r="AB131" s="57"/>
      <c r="AC131" s="168" t="s">
        <v>211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 t="str">
        <f>IFERROR(Y131*I131,"0")</f>
        <v>0</v>
      </c>
      <c r="BO131" s="67">
        <f>IFERROR(X131/J131,"0")</f>
        <v>0</v>
      </c>
      <c r="BP131" s="67" t="str">
        <f>IFERROR(Y131/J131,"0")</f>
        <v>0</v>
      </c>
    </row>
    <row r="132" spans="1:68" ht="27" customHeight="1" x14ac:dyDescent="0.3">
      <c r="A132" s="54" t="s">
        <v>216</v>
      </c>
      <c r="B132" s="54" t="s">
        <v>217</v>
      </c>
      <c r="C132" s="31">
        <v>4301135865</v>
      </c>
      <c r="D132" s="280">
        <v>4620207491485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43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68</v>
      </c>
      <c r="X132" s="276"/>
      <c r="Y132" s="277" t="str">
        <f>IFERROR(IF(X132="","",X132),"")</f>
        <v/>
      </c>
      <c r="Z132" s="36" t="str">
        <f>IFERROR(IF(X132="","",X132*0.00941),"")</f>
        <v/>
      </c>
      <c r="AA132" s="56"/>
      <c r="AB132" s="57"/>
      <c r="AC132" s="170" t="s">
        <v>211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 t="str">
        <f>IFERROR(Y132*I132,"0")</f>
        <v>0</v>
      </c>
      <c r="BO132" s="67">
        <f>IFERROR(X132/J132,"0")</f>
        <v>0</v>
      </c>
      <c r="BP132" s="67" t="str">
        <f>IFERROR(Y132/J132,"0")</f>
        <v>0</v>
      </c>
    </row>
    <row r="133" spans="1:68" ht="12.5" x14ac:dyDescent="0.25">
      <c r="A133" s="285"/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7"/>
      <c r="P133" s="298" t="s">
        <v>87</v>
      </c>
      <c r="Q133" s="299"/>
      <c r="R133" s="299"/>
      <c r="S133" s="299"/>
      <c r="T133" s="299"/>
      <c r="U133" s="299"/>
      <c r="V133" s="300"/>
      <c r="W133" s="37" t="s">
        <v>68</v>
      </c>
      <c r="X133" s="278">
        <f>IFERROR(SUM(X129:X132),"0")</f>
        <v>74</v>
      </c>
      <c r="Y133" s="278">
        <f>IFERROR(SUM(Y129:Y132),"0")</f>
        <v>74</v>
      </c>
      <c r="Z133" s="278">
        <f>IFERROR(IF(Z129="",0,Z129),"0")+IFERROR(IF(Z130="",0,Z130),"0")+IFERROR(IF(Z131="",0,Z131),"0")+IFERROR(IF(Z132="",0,Z132),"0")</f>
        <v>0.69633999999999996</v>
      </c>
      <c r="AA133" s="279"/>
      <c r="AB133" s="279"/>
      <c r="AC133" s="279"/>
    </row>
    <row r="134" spans="1:68" ht="12.5" x14ac:dyDescent="0.25">
      <c r="A134" s="286"/>
      <c r="B134" s="286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7"/>
      <c r="P134" s="298" t="s">
        <v>87</v>
      </c>
      <c r="Q134" s="299"/>
      <c r="R134" s="299"/>
      <c r="S134" s="299"/>
      <c r="T134" s="299"/>
      <c r="U134" s="299"/>
      <c r="V134" s="300"/>
      <c r="W134" s="37" t="s">
        <v>88</v>
      </c>
      <c r="X134" s="278">
        <f>IFERROR(SUMPRODUCT(X129:X132*H129:H132),"0")</f>
        <v>102.11999999999999</v>
      </c>
      <c r="Y134" s="278" t="str">
        <f>IFERROR(SUMPRODUCT(Y129:Y132*H129:H132),"0")</f>
        <v>0</v>
      </c>
      <c r="Z134" s="37"/>
      <c r="AA134" s="279"/>
      <c r="AB134" s="279"/>
      <c r="AC134" s="279"/>
    </row>
    <row r="135" spans="1:68" ht="14.25" customHeight="1" x14ac:dyDescent="0.3">
      <c r="A135" s="288" t="s">
        <v>218</v>
      </c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  <c r="AA135" s="272"/>
      <c r="AB135" s="272"/>
      <c r="AC135" s="272"/>
    </row>
    <row r="136" spans="1:68" ht="27" customHeight="1" x14ac:dyDescent="0.3">
      <c r="A136" s="54" t="s">
        <v>219</v>
      </c>
      <c r="B136" s="54" t="s">
        <v>220</v>
      </c>
      <c r="C136" s="31">
        <v>4301190117</v>
      </c>
      <c r="D136" s="280">
        <v>4620207491386</v>
      </c>
      <c r="E136" s="281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83"/>
      <c r="R136" s="283"/>
      <c r="S136" s="283"/>
      <c r="T136" s="284"/>
      <c r="U136" s="34"/>
      <c r="V136" s="34"/>
      <c r="W136" s="35" t="s">
        <v>68</v>
      </c>
      <c r="X136" s="276"/>
      <c r="Y136" s="277" t="str">
        <f>IFERROR(IF(X136="","",X136),"")</f>
        <v/>
      </c>
      <c r="Z136" s="36" t="str">
        <f>IFERROR(IF(X136="","",X136*0.00941),"")</f>
        <v/>
      </c>
      <c r="AA136" s="56"/>
      <c r="AB136" s="57"/>
      <c r="AC136" s="172" t="s">
        <v>221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 t="str">
        <f>IFERROR(Y136*I136,"0")</f>
        <v>0</v>
      </c>
      <c r="BO136" s="67">
        <f>IFERROR(X136/J136,"0")</f>
        <v>0</v>
      </c>
      <c r="BP136" s="67" t="str">
        <f>IFERROR(Y136/J136,"0")</f>
        <v>0</v>
      </c>
    </row>
    <row r="137" spans="1:68" ht="27" customHeight="1" x14ac:dyDescent="0.3">
      <c r="A137" s="54" t="s">
        <v>222</v>
      </c>
      <c r="B137" s="54" t="s">
        <v>223</v>
      </c>
      <c r="C137" s="31">
        <v>4301190115</v>
      </c>
      <c r="D137" s="280">
        <v>4620207491362</v>
      </c>
      <c r="E137" s="281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41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6"/>
      <c r="Y137" s="277" t="str">
        <f>IFERROR(IF(X137="","",X137),"")</f>
        <v/>
      </c>
      <c r="Z137" s="36" t="str">
        <f>IFERROR(IF(X137="","",X137*0.00941),"")</f>
        <v/>
      </c>
      <c r="AA137" s="56"/>
      <c r="AB137" s="57"/>
      <c r="AC137" s="174" t="s">
        <v>221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 t="str">
        <f>IFERROR(Y137*I137,"0")</f>
        <v>0</v>
      </c>
      <c r="BO137" s="67">
        <f>IFERROR(X137/J137,"0")</f>
        <v>0</v>
      </c>
      <c r="BP137" s="67" t="str">
        <f>IFERROR(Y137/J137,"0")</f>
        <v>0</v>
      </c>
    </row>
    <row r="138" spans="1:68" ht="27" customHeight="1" x14ac:dyDescent="0.3">
      <c r="A138" s="54" t="s">
        <v>224</v>
      </c>
      <c r="B138" s="54" t="s">
        <v>225</v>
      </c>
      <c r="C138" s="31">
        <v>4301190116</v>
      </c>
      <c r="D138" s="280">
        <v>4620207491379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100</v>
      </c>
      <c r="L138" s="32" t="s">
        <v>66</v>
      </c>
      <c r="M138" s="33" t="s">
        <v>67</v>
      </c>
      <c r="N138" s="33"/>
      <c r="O138" s="32">
        <v>180</v>
      </c>
      <c r="P138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68</v>
      </c>
      <c r="X138" s="276"/>
      <c r="Y138" s="277" t="str">
        <f>IFERROR(IF(X138="","",X138),"")</f>
        <v/>
      </c>
      <c r="Z138" s="36" t="str">
        <f>IFERROR(IF(X138="","",X138*0.00941),"")</f>
        <v/>
      </c>
      <c r="AA138" s="56"/>
      <c r="AB138" s="57"/>
      <c r="AC138" s="176" t="s">
        <v>221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 t="str">
        <f>IFERROR(Y138*I138,"0")</f>
        <v>0</v>
      </c>
      <c r="BO138" s="67">
        <f>IFERROR(X138/J138,"0")</f>
        <v>0</v>
      </c>
      <c r="BP138" s="67" t="str">
        <f>IFERROR(Y138/J138,"0")</f>
        <v>0</v>
      </c>
    </row>
    <row r="139" spans="1:68" ht="12.5" x14ac:dyDescent="0.25">
      <c r="A139" s="285"/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7"/>
      <c r="P139" s="298" t="s">
        <v>87</v>
      </c>
      <c r="Q139" s="299"/>
      <c r="R139" s="299"/>
      <c r="S139" s="299"/>
      <c r="T139" s="299"/>
      <c r="U139" s="299"/>
      <c r="V139" s="300"/>
      <c r="W139" s="37" t="s">
        <v>68</v>
      </c>
      <c r="X139" s="278">
        <f>IFERROR(SUM(X136:X138),"0")</f>
        <v>0</v>
      </c>
      <c r="Y139" s="278">
        <f>IFERROR(SUM(Y136:Y138),"0")</f>
        <v>0</v>
      </c>
      <c r="Z139" s="278">
        <f>IFERROR(IF(Z136="",0,Z136),"0")+IFERROR(IF(Z137="",0,Z137),"0")+IFERROR(IF(Z138="",0,Z138),"0")</f>
        <v>0</v>
      </c>
      <c r="AA139" s="279"/>
      <c r="AB139" s="279"/>
      <c r="AC139" s="279"/>
    </row>
    <row r="140" spans="1:68" ht="12.5" x14ac:dyDescent="0.25">
      <c r="A140" s="286"/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7"/>
      <c r="P140" s="298" t="s">
        <v>87</v>
      </c>
      <c r="Q140" s="299"/>
      <c r="R140" s="299"/>
      <c r="S140" s="299"/>
      <c r="T140" s="299"/>
      <c r="U140" s="299"/>
      <c r="V140" s="300"/>
      <c r="W140" s="37" t="s">
        <v>88</v>
      </c>
      <c r="X140" s="278">
        <f>IFERROR(SUMPRODUCT(X136:X138*H136:H138),"0")</f>
        <v>0</v>
      </c>
      <c r="Y140" s="278" t="str">
        <f>IFERROR(SUMPRODUCT(Y136:Y138*H136:H138),"0")</f>
        <v>0</v>
      </c>
      <c r="Z140" s="37"/>
      <c r="AA140" s="279"/>
      <c r="AB140" s="279"/>
      <c r="AC140" s="279"/>
    </row>
    <row r="141" spans="1:68" ht="16.5" customHeight="1" x14ac:dyDescent="0.3">
      <c r="A141" s="304" t="s">
        <v>226</v>
      </c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  <c r="AA141" s="271"/>
      <c r="AB141" s="271"/>
      <c r="AC141" s="271"/>
    </row>
    <row r="142" spans="1:68" ht="14.25" customHeight="1" x14ac:dyDescent="0.3">
      <c r="A142" s="288" t="s">
        <v>135</v>
      </c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72"/>
      <c r="AB142" s="272"/>
      <c r="AC142" s="272"/>
    </row>
    <row r="143" spans="1:68" ht="27" customHeight="1" x14ac:dyDescent="0.3">
      <c r="A143" s="54" t="s">
        <v>227</v>
      </c>
      <c r="B143" s="54" t="s">
        <v>228</v>
      </c>
      <c r="C143" s="31">
        <v>4301135555</v>
      </c>
      <c r="D143" s="280">
        <v>4607111034014</v>
      </c>
      <c r="E143" s="281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83"/>
      <c r="R143" s="283"/>
      <c r="S143" s="283"/>
      <c r="T143" s="284"/>
      <c r="U143" s="34"/>
      <c r="V143" s="34"/>
      <c r="W143" s="35" t="s">
        <v>68</v>
      </c>
      <c r="X143" s="276"/>
      <c r="Y143" s="277" t="str">
        <f>IFERROR(IF(X143="","",X143),"")</f>
        <v/>
      </c>
      <c r="Z143" s="36" t="str">
        <f>IFERROR(IF(X143="","",X143*0.01788),"")</f>
        <v/>
      </c>
      <c r="AA143" s="56"/>
      <c r="AB143" s="57"/>
      <c r="AC143" s="178" t="s">
        <v>229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0</v>
      </c>
      <c r="BN143" s="67" t="str">
        <f>IFERROR(Y143*I143,"0")</f>
        <v>0</v>
      </c>
      <c r="BO143" s="67">
        <f>IFERROR(X143/J143,"0")</f>
        <v>0</v>
      </c>
      <c r="BP143" s="67" t="str">
        <f>IFERROR(Y143/J143,"0")</f>
        <v>0</v>
      </c>
    </row>
    <row r="144" spans="1:68" ht="27" customHeight="1" x14ac:dyDescent="0.3">
      <c r="A144" s="54" t="s">
        <v>230</v>
      </c>
      <c r="B144" s="54" t="s">
        <v>231</v>
      </c>
      <c r="C144" s="31">
        <v>4301135532</v>
      </c>
      <c r="D144" s="280">
        <v>4607111033994</v>
      </c>
      <c r="E144" s="281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100</v>
      </c>
      <c r="L144" s="32" t="s">
        <v>101</v>
      </c>
      <c r="M144" s="33" t="s">
        <v>67</v>
      </c>
      <c r="N144" s="33"/>
      <c r="O144" s="32">
        <v>180</v>
      </c>
      <c r="P144" s="29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83"/>
      <c r="R144" s="283"/>
      <c r="S144" s="283"/>
      <c r="T144" s="284"/>
      <c r="U144" s="34"/>
      <c r="V144" s="34"/>
      <c r="W144" s="35" t="s">
        <v>68</v>
      </c>
      <c r="X144" s="276"/>
      <c r="Y144" s="277" t="str">
        <f>IFERROR(IF(X144="","",X144),"")</f>
        <v/>
      </c>
      <c r="Z144" s="36" t="str">
        <f>IFERROR(IF(X144="","",X144*0.01788),"")</f>
        <v/>
      </c>
      <c r="AA144" s="56"/>
      <c r="AB144" s="57"/>
      <c r="AC144" s="180" t="s">
        <v>153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0</v>
      </c>
      <c r="BN144" s="67" t="str">
        <f>IFERROR(Y144*I144,"0")</f>
        <v>0</v>
      </c>
      <c r="BO144" s="67">
        <f>IFERROR(X144/J144,"0")</f>
        <v>0</v>
      </c>
      <c r="BP144" s="67" t="str">
        <f>IFERROR(Y144/J144,"0")</f>
        <v>0</v>
      </c>
    </row>
    <row r="145" spans="1:68" ht="12.5" x14ac:dyDescent="0.25">
      <c r="A145" s="285"/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7"/>
      <c r="P145" s="298" t="s">
        <v>87</v>
      </c>
      <c r="Q145" s="299"/>
      <c r="R145" s="299"/>
      <c r="S145" s="299"/>
      <c r="T145" s="299"/>
      <c r="U145" s="299"/>
      <c r="V145" s="300"/>
      <c r="W145" s="37" t="s">
        <v>68</v>
      </c>
      <c r="X145" s="278">
        <f>IFERROR(SUM(X143:X144),"0")</f>
        <v>0</v>
      </c>
      <c r="Y145" s="278">
        <f>IFERROR(SUM(Y143:Y144),"0")</f>
        <v>0</v>
      </c>
      <c r="Z145" s="278">
        <f>IFERROR(IF(Z143="",0,Z143),"0")+IFERROR(IF(Z144="",0,Z144),"0")</f>
        <v>0</v>
      </c>
      <c r="AA145" s="279"/>
      <c r="AB145" s="279"/>
      <c r="AC145" s="279"/>
    </row>
    <row r="146" spans="1:68" ht="12.5" x14ac:dyDescent="0.25">
      <c r="A146" s="286"/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7"/>
      <c r="P146" s="298" t="s">
        <v>87</v>
      </c>
      <c r="Q146" s="299"/>
      <c r="R146" s="299"/>
      <c r="S146" s="299"/>
      <c r="T146" s="299"/>
      <c r="U146" s="299"/>
      <c r="V146" s="300"/>
      <c r="W146" s="37" t="s">
        <v>88</v>
      </c>
      <c r="X146" s="278">
        <f>IFERROR(SUMPRODUCT(X143:X144*H143:H144),"0")</f>
        <v>0</v>
      </c>
      <c r="Y146" s="278" t="str">
        <f>IFERROR(SUMPRODUCT(Y143:Y144*H143:H144),"0")</f>
        <v>0</v>
      </c>
      <c r="Z146" s="37"/>
      <c r="AA146" s="279"/>
      <c r="AB146" s="279"/>
      <c r="AC146" s="279"/>
    </row>
    <row r="147" spans="1:68" ht="16.5" customHeight="1" x14ac:dyDescent="0.3">
      <c r="A147" s="304" t="s">
        <v>232</v>
      </c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  <c r="AA147" s="271"/>
      <c r="AB147" s="271"/>
      <c r="AC147" s="271"/>
    </row>
    <row r="148" spans="1:68" ht="14.25" customHeight="1" x14ac:dyDescent="0.3">
      <c r="A148" s="288" t="s">
        <v>135</v>
      </c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  <c r="AA148" s="272"/>
      <c r="AB148" s="272"/>
      <c r="AC148" s="272"/>
    </row>
    <row r="149" spans="1:68" ht="27" customHeight="1" x14ac:dyDescent="0.3">
      <c r="A149" s="54" t="s">
        <v>233</v>
      </c>
      <c r="B149" s="54" t="s">
        <v>234</v>
      </c>
      <c r="C149" s="31">
        <v>4301135824</v>
      </c>
      <c r="D149" s="280">
        <v>4607111039095</v>
      </c>
      <c r="E149" s="281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5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3"/>
      <c r="R149" s="283"/>
      <c r="S149" s="283"/>
      <c r="T149" s="284"/>
      <c r="U149" s="34"/>
      <c r="V149" s="34"/>
      <c r="W149" s="35" t="s">
        <v>68</v>
      </c>
      <c r="X149" s="276"/>
      <c r="Y149" s="277" t="str">
        <f>IFERROR(IF(X149="","",X149),"")</f>
        <v/>
      </c>
      <c r="Z149" s="36" t="str">
        <f>IFERROR(IF(X149="","",X149*0.01788),"")</f>
        <v/>
      </c>
      <c r="AA149" s="56"/>
      <c r="AB149" s="57"/>
      <c r="AC149" s="182" t="s">
        <v>235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 t="str">
        <f>IFERROR(Y149*I149,"0")</f>
        <v>0</v>
      </c>
      <c r="BO149" s="67">
        <f>IFERROR(X149/J149,"0")</f>
        <v>0</v>
      </c>
      <c r="BP149" s="67" t="str">
        <f>IFERROR(Y149/J149,"0")</f>
        <v>0</v>
      </c>
    </row>
    <row r="150" spans="1:68" ht="16.5" customHeight="1" x14ac:dyDescent="0.3">
      <c r="A150" s="54" t="s">
        <v>236</v>
      </c>
      <c r="B150" s="54" t="s">
        <v>237</v>
      </c>
      <c r="C150" s="31">
        <v>4301135550</v>
      </c>
      <c r="D150" s="280">
        <v>4607111034199</v>
      </c>
      <c r="E150" s="281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101</v>
      </c>
      <c r="M150" s="33" t="s">
        <v>67</v>
      </c>
      <c r="N150" s="33"/>
      <c r="O150" s="32">
        <v>180</v>
      </c>
      <c r="P150" s="31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3"/>
      <c r="R150" s="283"/>
      <c r="S150" s="283"/>
      <c r="T150" s="284"/>
      <c r="U150" s="34"/>
      <c r="V150" s="34"/>
      <c r="W150" s="35" t="s">
        <v>68</v>
      </c>
      <c r="X150" s="276"/>
      <c r="Y150" s="277" t="str">
        <f>IFERROR(IF(X150="","",X150),"")</f>
        <v/>
      </c>
      <c r="Z150" s="36" t="str">
        <f>IFERROR(IF(X150="","",X150*0.01788),"")</f>
        <v/>
      </c>
      <c r="AA150" s="56"/>
      <c r="AB150" s="57"/>
      <c r="AC150" s="184" t="s">
        <v>238</v>
      </c>
      <c r="AG150" s="67"/>
      <c r="AJ150" s="71" t="s">
        <v>103</v>
      </c>
      <c r="AK150" s="71">
        <v>14</v>
      </c>
      <c r="BB150" s="185" t="s">
        <v>104</v>
      </c>
      <c r="BM150" s="67">
        <f>IFERROR(X150*I150,"0")</f>
        <v>0</v>
      </c>
      <c r="BN150" s="67" t="str">
        <f>IFERROR(Y150*I150,"0")</f>
        <v>0</v>
      </c>
      <c r="BO150" s="67">
        <f>IFERROR(X150/J150,"0")</f>
        <v>0</v>
      </c>
      <c r="BP150" s="67" t="str">
        <f>IFERROR(Y150/J150,"0")</f>
        <v>0</v>
      </c>
    </row>
    <row r="151" spans="1:68" ht="12.5" x14ac:dyDescent="0.25">
      <c r="A151" s="285"/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7"/>
      <c r="P151" s="298" t="s">
        <v>87</v>
      </c>
      <c r="Q151" s="299"/>
      <c r="R151" s="299"/>
      <c r="S151" s="299"/>
      <c r="T151" s="299"/>
      <c r="U151" s="299"/>
      <c r="V151" s="300"/>
      <c r="W151" s="37" t="s">
        <v>68</v>
      </c>
      <c r="X151" s="278">
        <f>IFERROR(SUM(X149:X150),"0")</f>
        <v>0</v>
      </c>
      <c r="Y151" s="278">
        <f>IFERROR(SUM(Y149:Y150),"0")</f>
        <v>0</v>
      </c>
      <c r="Z151" s="278">
        <f>IFERROR(IF(Z149="",0,Z149),"0")+IFERROR(IF(Z150="",0,Z150),"0")</f>
        <v>0</v>
      </c>
      <c r="AA151" s="279"/>
      <c r="AB151" s="279"/>
      <c r="AC151" s="279"/>
    </row>
    <row r="152" spans="1:68" ht="12.5" x14ac:dyDescent="0.25">
      <c r="A152" s="286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7"/>
      <c r="P152" s="298" t="s">
        <v>87</v>
      </c>
      <c r="Q152" s="299"/>
      <c r="R152" s="299"/>
      <c r="S152" s="299"/>
      <c r="T152" s="299"/>
      <c r="U152" s="299"/>
      <c r="V152" s="300"/>
      <c r="W152" s="37" t="s">
        <v>88</v>
      </c>
      <c r="X152" s="278">
        <f>IFERROR(SUMPRODUCT(X149:X150*H149:H150),"0")</f>
        <v>0</v>
      </c>
      <c r="Y152" s="278" t="str">
        <f>IFERROR(SUMPRODUCT(Y149:Y150*H149:H150),"0")</f>
        <v>0</v>
      </c>
      <c r="Z152" s="37"/>
      <c r="AA152" s="279"/>
      <c r="AB152" s="279"/>
      <c r="AC152" s="279"/>
    </row>
    <row r="153" spans="1:68" ht="16.5" customHeight="1" x14ac:dyDescent="0.3">
      <c r="A153" s="304" t="s">
        <v>239</v>
      </c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  <c r="AA153" s="271"/>
      <c r="AB153" s="271"/>
      <c r="AC153" s="271"/>
    </row>
    <row r="154" spans="1:68" ht="14.25" customHeight="1" x14ac:dyDescent="0.3">
      <c r="A154" s="288" t="s">
        <v>135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72"/>
      <c r="AB154" s="272"/>
      <c r="AC154" s="272"/>
    </row>
    <row r="155" spans="1:68" ht="27" customHeight="1" x14ac:dyDescent="0.3">
      <c r="A155" s="54" t="s">
        <v>240</v>
      </c>
      <c r="B155" s="54" t="s">
        <v>241</v>
      </c>
      <c r="C155" s="31">
        <v>4301135753</v>
      </c>
      <c r="D155" s="280">
        <v>4620207490914</v>
      </c>
      <c r="E155" s="281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30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3"/>
      <c r="R155" s="283"/>
      <c r="S155" s="283"/>
      <c r="T155" s="284"/>
      <c r="U155" s="34"/>
      <c r="V155" s="34"/>
      <c r="W155" s="35" t="s">
        <v>68</v>
      </c>
      <c r="X155" s="276"/>
      <c r="Y155" s="277" t="str">
        <f>IFERROR(IF(X155="","",X155),"")</f>
        <v/>
      </c>
      <c r="Z155" s="36" t="str">
        <f>IFERROR(IF(X155="","",X155*0.01788),"")</f>
        <v/>
      </c>
      <c r="AA155" s="56"/>
      <c r="AB155" s="57"/>
      <c r="AC155" s="186" t="s">
        <v>229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0</v>
      </c>
      <c r="BN155" s="67" t="str">
        <f>IFERROR(Y155*I155,"0")</f>
        <v>0</v>
      </c>
      <c r="BO155" s="67">
        <f>IFERROR(X155/J155,"0")</f>
        <v>0</v>
      </c>
      <c r="BP155" s="67" t="str">
        <f>IFERROR(Y155/J155,"0")</f>
        <v>0</v>
      </c>
    </row>
    <row r="156" spans="1:68" ht="27" customHeight="1" x14ac:dyDescent="0.3">
      <c r="A156" s="54" t="s">
        <v>242</v>
      </c>
      <c r="B156" s="54" t="s">
        <v>243</v>
      </c>
      <c r="C156" s="31">
        <v>4301135778</v>
      </c>
      <c r="D156" s="280">
        <v>4620207490853</v>
      </c>
      <c r="E156" s="281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101</v>
      </c>
      <c r="M156" s="33" t="s">
        <v>67</v>
      </c>
      <c r="N156" s="33"/>
      <c r="O156" s="32">
        <v>180</v>
      </c>
      <c r="P156" s="39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3"/>
      <c r="R156" s="283"/>
      <c r="S156" s="283"/>
      <c r="T156" s="284"/>
      <c r="U156" s="34"/>
      <c r="V156" s="34"/>
      <c r="W156" s="35" t="s">
        <v>68</v>
      </c>
      <c r="X156" s="276"/>
      <c r="Y156" s="277" t="str">
        <f>IFERROR(IF(X156="","",X156),"")</f>
        <v/>
      </c>
      <c r="Z156" s="36" t="str">
        <f>IFERROR(IF(X156="","",X156*0.01788),"")</f>
        <v/>
      </c>
      <c r="AA156" s="56"/>
      <c r="AB156" s="57"/>
      <c r="AC156" s="188" t="s">
        <v>229</v>
      </c>
      <c r="AG156" s="67"/>
      <c r="AJ156" s="71" t="s">
        <v>103</v>
      </c>
      <c r="AK156" s="71">
        <v>14</v>
      </c>
      <c r="BB156" s="189" t="s">
        <v>104</v>
      </c>
      <c r="BM156" s="67">
        <f>IFERROR(X156*I156,"0")</f>
        <v>0</v>
      </c>
      <c r="BN156" s="67" t="str">
        <f>IFERROR(Y156*I156,"0")</f>
        <v>0</v>
      </c>
      <c r="BO156" s="67">
        <f>IFERROR(X156/J156,"0")</f>
        <v>0</v>
      </c>
      <c r="BP156" s="67" t="str">
        <f>IFERROR(Y156/J156,"0")</f>
        <v>0</v>
      </c>
    </row>
    <row r="157" spans="1:68" ht="12.5" x14ac:dyDescent="0.25">
      <c r="A157" s="285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7"/>
      <c r="P157" s="298" t="s">
        <v>87</v>
      </c>
      <c r="Q157" s="299"/>
      <c r="R157" s="299"/>
      <c r="S157" s="299"/>
      <c r="T157" s="299"/>
      <c r="U157" s="299"/>
      <c r="V157" s="300"/>
      <c r="W157" s="37" t="s">
        <v>68</v>
      </c>
      <c r="X157" s="278">
        <f>IFERROR(SUM(X155:X156),"0")</f>
        <v>0</v>
      </c>
      <c r="Y157" s="278">
        <f>IFERROR(SUM(Y155:Y156),"0")</f>
        <v>0</v>
      </c>
      <c r="Z157" s="278">
        <f>IFERROR(IF(Z155="",0,Z155),"0")+IFERROR(IF(Z156="",0,Z156),"0")</f>
        <v>0</v>
      </c>
      <c r="AA157" s="279"/>
      <c r="AB157" s="279"/>
      <c r="AC157" s="279"/>
    </row>
    <row r="158" spans="1:68" ht="12.5" x14ac:dyDescent="0.25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7"/>
      <c r="P158" s="298" t="s">
        <v>87</v>
      </c>
      <c r="Q158" s="299"/>
      <c r="R158" s="299"/>
      <c r="S158" s="299"/>
      <c r="T158" s="299"/>
      <c r="U158" s="299"/>
      <c r="V158" s="300"/>
      <c r="W158" s="37" t="s">
        <v>88</v>
      </c>
      <c r="X158" s="278">
        <f>IFERROR(SUMPRODUCT(X155:X156*H155:H156),"0")</f>
        <v>0</v>
      </c>
      <c r="Y158" s="278" t="str">
        <f>IFERROR(SUMPRODUCT(Y155:Y156*H155:H156),"0")</f>
        <v>0</v>
      </c>
      <c r="Z158" s="37"/>
      <c r="AA158" s="279"/>
      <c r="AB158" s="279"/>
      <c r="AC158" s="279"/>
    </row>
    <row r="159" spans="1:68" ht="16.5" customHeight="1" x14ac:dyDescent="0.3">
      <c r="A159" s="304" t="s">
        <v>244</v>
      </c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71"/>
      <c r="AB159" s="271"/>
      <c r="AC159" s="271"/>
    </row>
    <row r="160" spans="1:68" ht="14.25" customHeight="1" x14ac:dyDescent="0.3">
      <c r="A160" s="288" t="s">
        <v>135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72"/>
      <c r="AB160" s="272"/>
      <c r="AC160" s="272"/>
    </row>
    <row r="161" spans="1:68" ht="27" customHeight="1" x14ac:dyDescent="0.3">
      <c r="A161" s="54" t="s">
        <v>245</v>
      </c>
      <c r="B161" s="54" t="s">
        <v>246</v>
      </c>
      <c r="C161" s="31">
        <v>4301135570</v>
      </c>
      <c r="D161" s="280">
        <v>4607111035806</v>
      </c>
      <c r="E161" s="281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3"/>
      <c r="R161" s="283"/>
      <c r="S161" s="283"/>
      <c r="T161" s="284"/>
      <c r="U161" s="34"/>
      <c r="V161" s="34"/>
      <c r="W161" s="35" t="s">
        <v>68</v>
      </c>
      <c r="X161" s="276"/>
      <c r="Y161" s="277" t="str">
        <f>IFERROR(IF(X161="","",X161),"")</f>
        <v/>
      </c>
      <c r="Z161" s="36" t="str">
        <f>IFERROR(IF(X161="","",X161*0.01788),"")</f>
        <v/>
      </c>
      <c r="AA161" s="56"/>
      <c r="AB161" s="57"/>
      <c r="AC161" s="190" t="s">
        <v>247</v>
      </c>
      <c r="AG161" s="67"/>
      <c r="AJ161" s="71" t="s">
        <v>103</v>
      </c>
      <c r="AK161" s="71">
        <v>14</v>
      </c>
      <c r="BB161" s="191" t="s">
        <v>104</v>
      </c>
      <c r="BM161" s="67">
        <f>IFERROR(X161*I161,"0")</f>
        <v>0</v>
      </c>
      <c r="BN161" s="67" t="str">
        <f>IFERROR(Y161*I161,"0")</f>
        <v>0</v>
      </c>
      <c r="BO161" s="67">
        <f>IFERROR(X161/J161,"0")</f>
        <v>0</v>
      </c>
      <c r="BP161" s="67" t="str">
        <f>IFERROR(Y161/J161,"0")</f>
        <v>0</v>
      </c>
    </row>
    <row r="162" spans="1:68" ht="12.5" x14ac:dyDescent="0.25">
      <c r="A162" s="285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7"/>
      <c r="P162" s="298" t="s">
        <v>87</v>
      </c>
      <c r="Q162" s="299"/>
      <c r="R162" s="299"/>
      <c r="S162" s="299"/>
      <c r="T162" s="299"/>
      <c r="U162" s="299"/>
      <c r="V162" s="300"/>
      <c r="W162" s="37" t="s">
        <v>68</v>
      </c>
      <c r="X162" s="278">
        <f>IFERROR(SUM(X161:X161),"0")</f>
        <v>0</v>
      </c>
      <c r="Y162" s="278">
        <f>IFERROR(SUM(Y161:Y161),"0")</f>
        <v>0</v>
      </c>
      <c r="Z162" s="278">
        <f>IFERROR(IF(Z161="",0,Z161),"0")</f>
        <v>0</v>
      </c>
      <c r="AA162" s="279"/>
      <c r="AB162" s="279"/>
      <c r="AC162" s="279"/>
    </row>
    <row r="163" spans="1:68" ht="12.5" x14ac:dyDescent="0.25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7"/>
      <c r="P163" s="298" t="s">
        <v>87</v>
      </c>
      <c r="Q163" s="299"/>
      <c r="R163" s="299"/>
      <c r="S163" s="299"/>
      <c r="T163" s="299"/>
      <c r="U163" s="299"/>
      <c r="V163" s="300"/>
      <c r="W163" s="37" t="s">
        <v>88</v>
      </c>
      <c r="X163" s="278">
        <f>IFERROR(SUMPRODUCT(X161:X161*H161:H161),"0")</f>
        <v>0</v>
      </c>
      <c r="Y163" s="278" t="str">
        <f>IFERROR(SUMPRODUCT(Y161:Y161*H161:H161),"0")</f>
        <v>0</v>
      </c>
      <c r="Z163" s="37"/>
      <c r="AA163" s="279"/>
      <c r="AB163" s="279"/>
      <c r="AC163" s="279"/>
    </row>
    <row r="164" spans="1:68" ht="16.5" customHeight="1" x14ac:dyDescent="0.3">
      <c r="A164" s="304" t="s">
        <v>248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71"/>
      <c r="AB164" s="271"/>
      <c r="AC164" s="271"/>
    </row>
    <row r="165" spans="1:68" ht="14.25" customHeight="1" x14ac:dyDescent="0.3">
      <c r="A165" s="288" t="s">
        <v>135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72"/>
      <c r="AB165" s="272"/>
      <c r="AC165" s="272"/>
    </row>
    <row r="166" spans="1:68" ht="16.5" customHeight="1" x14ac:dyDescent="0.3">
      <c r="A166" s="54" t="s">
        <v>249</v>
      </c>
      <c r="B166" s="54" t="s">
        <v>250</v>
      </c>
      <c r="C166" s="31">
        <v>4301135607</v>
      </c>
      <c r="D166" s="280">
        <v>4607111039613</v>
      </c>
      <c r="E166" s="281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6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3"/>
      <c r="R166" s="283"/>
      <c r="S166" s="283"/>
      <c r="T166" s="284"/>
      <c r="U166" s="34"/>
      <c r="V166" s="34"/>
      <c r="W166" s="35" t="s">
        <v>68</v>
      </c>
      <c r="X166" s="276"/>
      <c r="Y166" s="277" t="str">
        <f>IFERROR(IF(X166="","",X166),"")</f>
        <v/>
      </c>
      <c r="Z166" s="36" t="str">
        <f>IFERROR(IF(X166="","",X166*0.00936),"")</f>
        <v/>
      </c>
      <c r="AA166" s="56"/>
      <c r="AB166" s="57"/>
      <c r="AC166" s="192" t="s">
        <v>235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 t="str">
        <f>IFERROR(Y166*I166,"0")</f>
        <v>0</v>
      </c>
      <c r="BO166" s="67">
        <f>IFERROR(X166/J166,"0")</f>
        <v>0</v>
      </c>
      <c r="BP166" s="67" t="str">
        <f>IFERROR(Y166/J166,"0")</f>
        <v>0</v>
      </c>
    </row>
    <row r="167" spans="1:68" ht="12.5" x14ac:dyDescent="0.25">
      <c r="A167" s="285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7"/>
      <c r="P167" s="298" t="s">
        <v>87</v>
      </c>
      <c r="Q167" s="299"/>
      <c r="R167" s="299"/>
      <c r="S167" s="299"/>
      <c r="T167" s="299"/>
      <c r="U167" s="299"/>
      <c r="V167" s="300"/>
      <c r="W167" s="37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t="12.5" x14ac:dyDescent="0.25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7"/>
      <c r="P168" s="298" t="s">
        <v>87</v>
      </c>
      <c r="Q168" s="299"/>
      <c r="R168" s="299"/>
      <c r="S168" s="299"/>
      <c r="T168" s="299"/>
      <c r="U168" s="299"/>
      <c r="V168" s="300"/>
      <c r="W168" s="37" t="s">
        <v>88</v>
      </c>
      <c r="X168" s="278">
        <f>IFERROR(SUMPRODUCT(X166:X166*H166:H166),"0")</f>
        <v>0</v>
      </c>
      <c r="Y168" s="278" t="str">
        <f>IFERROR(SUMPRODUCT(Y166:Y166*H166:H166),"0")</f>
        <v>0</v>
      </c>
      <c r="Z168" s="37"/>
      <c r="AA168" s="279"/>
      <c r="AB168" s="279"/>
      <c r="AC168" s="279"/>
    </row>
    <row r="169" spans="1:68" ht="16.5" customHeight="1" x14ac:dyDescent="0.3">
      <c r="A169" s="304" t="s">
        <v>251</v>
      </c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  <c r="AA169" s="271"/>
      <c r="AB169" s="271"/>
      <c r="AC169" s="271"/>
    </row>
    <row r="170" spans="1:68" ht="14.25" customHeight="1" x14ac:dyDescent="0.3">
      <c r="A170" s="288" t="s">
        <v>135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72"/>
      <c r="AB170" s="272"/>
      <c r="AC170" s="272"/>
    </row>
    <row r="171" spans="1:68" ht="27" customHeight="1" x14ac:dyDescent="0.3">
      <c r="A171" s="54" t="s">
        <v>252</v>
      </c>
      <c r="B171" s="54" t="s">
        <v>253</v>
      </c>
      <c r="C171" s="31">
        <v>4301135184</v>
      </c>
      <c r="D171" s="280">
        <v>4607111036568</v>
      </c>
      <c r="E171" s="281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66</v>
      </c>
      <c r="M171" s="33" t="s">
        <v>67</v>
      </c>
      <c r="N171" s="33"/>
      <c r="O171" s="32">
        <v>180</v>
      </c>
      <c r="P171" s="326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83"/>
      <c r="R171" s="283"/>
      <c r="S171" s="283"/>
      <c r="T171" s="284"/>
      <c r="U171" s="34"/>
      <c r="V171" s="34"/>
      <c r="W171" s="35" t="s">
        <v>68</v>
      </c>
      <c r="X171" s="276"/>
      <c r="Y171" s="277" t="str">
        <f>IFERROR(IF(X171="","",X171),"")</f>
        <v/>
      </c>
      <c r="Z171" s="36" t="str">
        <f>IFERROR(IF(X171="","",X171*0.00941),"")</f>
        <v/>
      </c>
      <c r="AA171" s="56"/>
      <c r="AB171" s="57"/>
      <c r="AC171" s="194" t="s">
        <v>254</v>
      </c>
      <c r="AG171" s="67"/>
      <c r="AJ171" s="71" t="s">
        <v>70</v>
      </c>
      <c r="AK171" s="71">
        <v>1</v>
      </c>
      <c r="BB171" s="195" t="s">
        <v>104</v>
      </c>
      <c r="BM171" s="67">
        <f>IFERROR(X171*I171,"0")</f>
        <v>0</v>
      </c>
      <c r="BN171" s="67" t="str">
        <f>IFERROR(Y171*I171,"0")</f>
        <v>0</v>
      </c>
      <c r="BO171" s="67">
        <f>IFERROR(X171/J171,"0")</f>
        <v>0</v>
      </c>
      <c r="BP171" s="67" t="str">
        <f>IFERROR(Y171/J171,"0")</f>
        <v>0</v>
      </c>
    </row>
    <row r="172" spans="1:68" ht="12.5" x14ac:dyDescent="0.25">
      <c r="A172" s="285"/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7"/>
      <c r="P172" s="298" t="s">
        <v>87</v>
      </c>
      <c r="Q172" s="299"/>
      <c r="R172" s="299"/>
      <c r="S172" s="299"/>
      <c r="T172" s="299"/>
      <c r="U172" s="299"/>
      <c r="V172" s="300"/>
      <c r="W172" s="37" t="s">
        <v>68</v>
      </c>
      <c r="X172" s="278">
        <f>IFERROR(SUM(X171:X171),"0")</f>
        <v>0</v>
      </c>
      <c r="Y172" s="278">
        <f>IFERROR(SUM(Y171:Y171),"0")</f>
        <v>0</v>
      </c>
      <c r="Z172" s="278">
        <f>IFERROR(IF(Z171="",0,Z171),"0")</f>
        <v>0</v>
      </c>
      <c r="AA172" s="279"/>
      <c r="AB172" s="279"/>
      <c r="AC172" s="279"/>
    </row>
    <row r="173" spans="1:68" ht="12.5" x14ac:dyDescent="0.25">
      <c r="A173" s="286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7"/>
      <c r="P173" s="298" t="s">
        <v>87</v>
      </c>
      <c r="Q173" s="299"/>
      <c r="R173" s="299"/>
      <c r="S173" s="299"/>
      <c r="T173" s="299"/>
      <c r="U173" s="299"/>
      <c r="V173" s="300"/>
      <c r="W173" s="37" t="s">
        <v>88</v>
      </c>
      <c r="X173" s="278">
        <f>IFERROR(SUMPRODUCT(X171:X171*H171:H171),"0")</f>
        <v>0</v>
      </c>
      <c r="Y173" s="278" t="str">
        <f>IFERROR(SUMPRODUCT(Y171:Y171*H171:H171),"0")</f>
        <v>0</v>
      </c>
      <c r="Z173" s="37"/>
      <c r="AA173" s="279"/>
      <c r="AB173" s="279"/>
      <c r="AC173" s="279"/>
    </row>
    <row r="174" spans="1:68" ht="27.75" customHeight="1" x14ac:dyDescent="0.25">
      <c r="A174" s="335" t="s">
        <v>255</v>
      </c>
      <c r="B174" s="336"/>
      <c r="C174" s="336"/>
      <c r="D174" s="336"/>
      <c r="E174" s="336"/>
      <c r="F174" s="336"/>
      <c r="G174" s="336"/>
      <c r="H174" s="336"/>
      <c r="I174" s="336"/>
      <c r="J174" s="336"/>
      <c r="K174" s="336"/>
      <c r="L174" s="336"/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  <c r="AA174" s="48"/>
      <c r="AB174" s="48"/>
      <c r="AC174" s="48"/>
    </row>
    <row r="175" spans="1:68" ht="16.5" customHeight="1" x14ac:dyDescent="0.3">
      <c r="A175" s="304" t="s">
        <v>256</v>
      </c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  <c r="AA175" s="271"/>
      <c r="AB175" s="271"/>
      <c r="AC175" s="271"/>
    </row>
    <row r="176" spans="1:68" ht="14.25" customHeight="1" x14ac:dyDescent="0.3">
      <c r="A176" s="288" t="s">
        <v>62</v>
      </c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72"/>
      <c r="AB176" s="272"/>
      <c r="AC176" s="272"/>
    </row>
    <row r="177" spans="1:68" ht="16.5" customHeight="1" x14ac:dyDescent="0.3">
      <c r="A177" s="54" t="s">
        <v>257</v>
      </c>
      <c r="B177" s="54" t="s">
        <v>258</v>
      </c>
      <c r="C177" s="31">
        <v>4301071062</v>
      </c>
      <c r="D177" s="280">
        <v>4607111036384</v>
      </c>
      <c r="E177" s="281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3"/>
      <c r="R177" s="283"/>
      <c r="S177" s="283"/>
      <c r="T177" s="284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259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3">
      <c r="A178" s="54" t="s">
        <v>260</v>
      </c>
      <c r="B178" s="54" t="s">
        <v>261</v>
      </c>
      <c r="C178" s="31">
        <v>4301071050</v>
      </c>
      <c r="D178" s="280">
        <v>4607111036216</v>
      </c>
      <c r="E178" s="281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4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3"/>
      <c r="R178" s="283"/>
      <c r="S178" s="283"/>
      <c r="T178" s="284"/>
      <c r="U178" s="34"/>
      <c r="V178" s="34"/>
      <c r="W178" s="35" t="s">
        <v>68</v>
      </c>
      <c r="X178" s="276"/>
      <c r="Y178" s="277" t="str">
        <f>IFERROR(IF(X178="","",X178),"")</f>
        <v/>
      </c>
      <c r="Z178" s="36" t="str">
        <f>IFERROR(IF(X178="","",X178*0.00866),"")</f>
        <v/>
      </c>
      <c r="AA178" s="56"/>
      <c r="AB178" s="57"/>
      <c r="AC178" s="198" t="s">
        <v>262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0</v>
      </c>
      <c r="BN178" s="67" t="str">
        <f>IFERROR(Y178*I178,"0")</f>
        <v>0</v>
      </c>
      <c r="BO178" s="67">
        <f>IFERROR(X178/J178,"0")</f>
        <v>0</v>
      </c>
      <c r="BP178" s="67" t="str">
        <f>IFERROR(Y178/J178,"0")</f>
        <v>0</v>
      </c>
    </row>
    <row r="179" spans="1:68" ht="12.5" x14ac:dyDescent="0.25">
      <c r="A179" s="285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7"/>
      <c r="P179" s="298" t="s">
        <v>87</v>
      </c>
      <c r="Q179" s="299"/>
      <c r="R179" s="299"/>
      <c r="S179" s="299"/>
      <c r="T179" s="299"/>
      <c r="U179" s="299"/>
      <c r="V179" s="300"/>
      <c r="W179" s="37" t="s">
        <v>68</v>
      </c>
      <c r="X179" s="278">
        <f>IFERROR(SUM(X177:X178),"0")</f>
        <v>0</v>
      </c>
      <c r="Y179" s="278">
        <f>IFERROR(SUM(Y177:Y178),"0")</f>
        <v>0</v>
      </c>
      <c r="Z179" s="278">
        <f>IFERROR(IF(Z177="",0,Z177),"0")+IFERROR(IF(Z178="",0,Z178),"0")</f>
        <v>0</v>
      </c>
      <c r="AA179" s="279"/>
      <c r="AB179" s="279"/>
      <c r="AC179" s="279"/>
    </row>
    <row r="180" spans="1:68" ht="12.5" x14ac:dyDescent="0.25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7"/>
      <c r="P180" s="298" t="s">
        <v>87</v>
      </c>
      <c r="Q180" s="299"/>
      <c r="R180" s="299"/>
      <c r="S180" s="299"/>
      <c r="T180" s="299"/>
      <c r="U180" s="299"/>
      <c r="V180" s="300"/>
      <c r="W180" s="37" t="s">
        <v>88</v>
      </c>
      <c r="X180" s="278">
        <f>IFERROR(SUMPRODUCT(X177:X178*H177:H178),"0")</f>
        <v>0</v>
      </c>
      <c r="Y180" s="278" t="str">
        <f>IFERROR(SUMPRODUCT(Y177:Y178*H177:H178),"0")</f>
        <v>0</v>
      </c>
      <c r="Z180" s="37"/>
      <c r="AA180" s="279"/>
      <c r="AB180" s="279"/>
      <c r="AC180" s="279"/>
    </row>
    <row r="181" spans="1:68" ht="16.5" customHeight="1" x14ac:dyDescent="0.3">
      <c r="A181" s="304" t="s">
        <v>263</v>
      </c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71"/>
      <c r="AB181" s="271"/>
      <c r="AC181" s="271"/>
    </row>
    <row r="182" spans="1:68" ht="14.25" customHeight="1" x14ac:dyDescent="0.3">
      <c r="A182" s="288" t="s">
        <v>62</v>
      </c>
      <c r="B182" s="286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  <c r="AA182" s="272"/>
      <c r="AB182" s="272"/>
      <c r="AC182" s="272"/>
    </row>
    <row r="183" spans="1:68" ht="27" customHeight="1" x14ac:dyDescent="0.3">
      <c r="A183" s="54" t="s">
        <v>264</v>
      </c>
      <c r="B183" s="54" t="s">
        <v>265</v>
      </c>
      <c r="C183" s="31">
        <v>4301071117</v>
      </c>
      <c r="D183" s="280">
        <v>4620207491737</v>
      </c>
      <c r="E183" s="281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38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3"/>
      <c r="R183" s="283"/>
      <c r="S183" s="283"/>
      <c r="T183" s="284"/>
      <c r="U183" s="34"/>
      <c r="V183" s="34"/>
      <c r="W183" s="35" t="s">
        <v>68</v>
      </c>
      <c r="X183" s="276">
        <v>0</v>
      </c>
      <c r="Y183" s="277">
        <f>IFERROR(IF(X183="","",X183),"")</f>
        <v>0</v>
      </c>
      <c r="Z183" s="36">
        <f>IFERROR(IF(X183="","",X183*0.0155),"")</f>
        <v>0</v>
      </c>
      <c r="AA183" s="56"/>
      <c r="AB183" s="57"/>
      <c r="AC183" s="200" t="s">
        <v>262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12.5" x14ac:dyDescent="0.25">
      <c r="A184" s="285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7"/>
      <c r="P184" s="298" t="s">
        <v>87</v>
      </c>
      <c r="Q184" s="299"/>
      <c r="R184" s="299"/>
      <c r="S184" s="299"/>
      <c r="T184" s="299"/>
      <c r="U184" s="299"/>
      <c r="V184" s="300"/>
      <c r="W184" s="37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ht="12.5" x14ac:dyDescent="0.25">
      <c r="A185" s="286"/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7"/>
      <c r="P185" s="298" t="s">
        <v>87</v>
      </c>
      <c r="Q185" s="299"/>
      <c r="R185" s="299"/>
      <c r="S185" s="299"/>
      <c r="T185" s="299"/>
      <c r="U185" s="299"/>
      <c r="V185" s="300"/>
      <c r="W185" s="37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7"/>
      <c r="AA185" s="279"/>
      <c r="AB185" s="279"/>
      <c r="AC185" s="279"/>
    </row>
    <row r="186" spans="1:68" ht="27.75" customHeight="1" x14ac:dyDescent="0.25">
      <c r="A186" s="335" t="s">
        <v>266</v>
      </c>
      <c r="B186" s="336"/>
      <c r="C186" s="336"/>
      <c r="D186" s="336"/>
      <c r="E186" s="336"/>
      <c r="F186" s="336"/>
      <c r="G186" s="336"/>
      <c r="H186" s="336"/>
      <c r="I186" s="336"/>
      <c r="J186" s="336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  <c r="AA186" s="48"/>
      <c r="AB186" s="48"/>
      <c r="AC186" s="48"/>
    </row>
    <row r="187" spans="1:68" ht="16.5" customHeight="1" x14ac:dyDescent="0.3">
      <c r="A187" s="304" t="s">
        <v>267</v>
      </c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  <c r="AA187" s="271"/>
      <c r="AB187" s="271"/>
      <c r="AC187" s="271"/>
    </row>
    <row r="188" spans="1:68" ht="14.25" customHeight="1" x14ac:dyDescent="0.3">
      <c r="A188" s="288" t="s">
        <v>97</v>
      </c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72"/>
      <c r="AB188" s="272"/>
      <c r="AC188" s="272"/>
    </row>
    <row r="189" spans="1:68" ht="16.5" customHeight="1" x14ac:dyDescent="0.3">
      <c r="A189" s="54" t="s">
        <v>268</v>
      </c>
      <c r="B189" s="54" t="s">
        <v>269</v>
      </c>
      <c r="C189" s="31">
        <v>4301132179</v>
      </c>
      <c r="D189" s="280">
        <v>4607111035691</v>
      </c>
      <c r="E189" s="281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4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3"/>
      <c r="R189" s="283"/>
      <c r="S189" s="283"/>
      <c r="T189" s="284"/>
      <c r="U189" s="34"/>
      <c r="V189" s="34"/>
      <c r="W189" s="35" t="s">
        <v>68</v>
      </c>
      <c r="X189" s="276"/>
      <c r="Y189" s="277" t="str">
        <f>IFERROR(IF(X189="","",X189),"")</f>
        <v/>
      </c>
      <c r="Z189" s="36" t="str">
        <f>IFERROR(IF(X189="","",X189*0.01788),"")</f>
        <v/>
      </c>
      <c r="AA189" s="56"/>
      <c r="AB189" s="57"/>
      <c r="AC189" s="202" t="s">
        <v>270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0</v>
      </c>
      <c r="BN189" s="67" t="str">
        <f>IFERROR(Y189*I189,"0")</f>
        <v>0</v>
      </c>
      <c r="BO189" s="67">
        <f>IFERROR(X189/J189,"0")</f>
        <v>0</v>
      </c>
      <c r="BP189" s="67" t="str">
        <f>IFERROR(Y189/J189,"0")</f>
        <v>0</v>
      </c>
    </row>
    <row r="190" spans="1:68" ht="27" customHeight="1" x14ac:dyDescent="0.3">
      <c r="A190" s="54" t="s">
        <v>271</v>
      </c>
      <c r="B190" s="54" t="s">
        <v>272</v>
      </c>
      <c r="C190" s="31">
        <v>4301132182</v>
      </c>
      <c r="D190" s="280">
        <v>4607111035721</v>
      </c>
      <c r="E190" s="281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3"/>
      <c r="R190" s="283"/>
      <c r="S190" s="283"/>
      <c r="T190" s="284"/>
      <c r="U190" s="34"/>
      <c r="V190" s="34"/>
      <c r="W190" s="35" t="s">
        <v>68</v>
      </c>
      <c r="X190" s="276"/>
      <c r="Y190" s="277" t="str">
        <f>IFERROR(IF(X190="","",X190),"")</f>
        <v/>
      </c>
      <c r="Z190" s="36" t="str">
        <f>IFERROR(IF(X190="","",X190*0.01788),"")</f>
        <v/>
      </c>
      <c r="AA190" s="56"/>
      <c r="AB190" s="57"/>
      <c r="AC190" s="204" t="s">
        <v>273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0</v>
      </c>
      <c r="BN190" s="67" t="str">
        <f>IFERROR(Y190*I190,"0")</f>
        <v>0</v>
      </c>
      <c r="BO190" s="67">
        <f>IFERROR(X190/J190,"0")</f>
        <v>0</v>
      </c>
      <c r="BP190" s="67" t="str">
        <f>IFERROR(Y190/J190,"0")</f>
        <v>0</v>
      </c>
    </row>
    <row r="191" spans="1:68" ht="27" customHeight="1" x14ac:dyDescent="0.3">
      <c r="A191" s="54" t="s">
        <v>274</v>
      </c>
      <c r="B191" s="54" t="s">
        <v>275</v>
      </c>
      <c r="C191" s="31">
        <v>4301132170</v>
      </c>
      <c r="D191" s="280">
        <v>4607111038487</v>
      </c>
      <c r="E191" s="281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3"/>
      <c r="R191" s="283"/>
      <c r="S191" s="283"/>
      <c r="T191" s="284"/>
      <c r="U191" s="34"/>
      <c r="V191" s="34"/>
      <c r="W191" s="35" t="s">
        <v>68</v>
      </c>
      <c r="X191" s="276"/>
      <c r="Y191" s="277" t="str">
        <f>IFERROR(IF(X191="","",X191),"")</f>
        <v/>
      </c>
      <c r="Z191" s="36" t="str">
        <f>IFERROR(IF(X191="","",X191*0.01788),"")</f>
        <v/>
      </c>
      <c r="AA191" s="56"/>
      <c r="AB191" s="57"/>
      <c r="AC191" s="206" t="s">
        <v>276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 t="str">
        <f>IFERROR(Y191*I191,"0")</f>
        <v>0</v>
      </c>
      <c r="BO191" s="67">
        <f>IFERROR(X191/J191,"0")</f>
        <v>0</v>
      </c>
      <c r="BP191" s="67" t="str">
        <f>IFERROR(Y191/J191,"0")</f>
        <v>0</v>
      </c>
    </row>
    <row r="192" spans="1:68" ht="27" customHeight="1" x14ac:dyDescent="0.3">
      <c r="A192" s="54" t="s">
        <v>277</v>
      </c>
      <c r="B192" s="54" t="s">
        <v>278</v>
      </c>
      <c r="C192" s="31">
        <v>4301132243</v>
      </c>
      <c r="D192" s="280">
        <v>4620207491195</v>
      </c>
      <c r="E192" s="281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3"/>
      <c r="R192" s="283"/>
      <c r="S192" s="283"/>
      <c r="T192" s="284"/>
      <c r="U192" s="34"/>
      <c r="V192" s="34"/>
      <c r="W192" s="35" t="s">
        <v>68</v>
      </c>
      <c r="X192" s="276"/>
      <c r="Y192" s="277" t="str">
        <f>IFERROR(IF(X192="","",X192),"")</f>
        <v/>
      </c>
      <c r="Z192" s="36" t="str">
        <f>IFERROR(IF(X192="","",X192*0.01788),"")</f>
        <v/>
      </c>
      <c r="AA192" s="56"/>
      <c r="AB192" s="57"/>
      <c r="AC192" s="208" t="s">
        <v>279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 t="str">
        <f>IFERROR(Y192*I192,"0")</f>
        <v>0</v>
      </c>
      <c r="BO192" s="67">
        <f>IFERROR(X192/J192,"0")</f>
        <v>0</v>
      </c>
      <c r="BP192" s="67" t="str">
        <f>IFERROR(Y192/J192,"0")</f>
        <v>0</v>
      </c>
    </row>
    <row r="193" spans="1:68" ht="12.5" x14ac:dyDescent="0.25">
      <c r="A193" s="285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7"/>
      <c r="P193" s="298" t="s">
        <v>87</v>
      </c>
      <c r="Q193" s="299"/>
      <c r="R193" s="299"/>
      <c r="S193" s="299"/>
      <c r="T193" s="299"/>
      <c r="U193" s="299"/>
      <c r="V193" s="300"/>
      <c r="W193" s="37" t="s">
        <v>68</v>
      </c>
      <c r="X193" s="278">
        <f>IFERROR(SUM(X189:X192),"0")</f>
        <v>0</v>
      </c>
      <c r="Y193" s="278">
        <f>IFERROR(SUM(Y189:Y192),"0")</f>
        <v>0</v>
      </c>
      <c r="Z193" s="278">
        <f>IFERROR(IF(Z189="",0,Z189),"0")+IFERROR(IF(Z190="",0,Z190),"0")+IFERROR(IF(Z191="",0,Z191),"0")+IFERROR(IF(Z192="",0,Z192),"0")</f>
        <v>0</v>
      </c>
      <c r="AA193" s="279"/>
      <c r="AB193" s="279"/>
      <c r="AC193" s="279"/>
    </row>
    <row r="194" spans="1:68" ht="12.5" x14ac:dyDescent="0.25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7"/>
      <c r="P194" s="298" t="s">
        <v>87</v>
      </c>
      <c r="Q194" s="299"/>
      <c r="R194" s="299"/>
      <c r="S194" s="299"/>
      <c r="T194" s="299"/>
      <c r="U194" s="299"/>
      <c r="V194" s="300"/>
      <c r="W194" s="37" t="s">
        <v>88</v>
      </c>
      <c r="X194" s="278">
        <f>IFERROR(SUMPRODUCT(X189:X192*H189:H192),"0")</f>
        <v>0</v>
      </c>
      <c r="Y194" s="278" t="str">
        <f>IFERROR(SUMPRODUCT(Y189:Y192*H189:H192),"0")</f>
        <v>0</v>
      </c>
      <c r="Z194" s="37"/>
      <c r="AA194" s="279"/>
      <c r="AB194" s="279"/>
      <c r="AC194" s="279"/>
    </row>
    <row r="195" spans="1:68" ht="27.75" customHeight="1" x14ac:dyDescent="0.25">
      <c r="A195" s="335" t="s">
        <v>280</v>
      </c>
      <c r="B195" s="336"/>
      <c r="C195" s="336"/>
      <c r="D195" s="336"/>
      <c r="E195" s="336"/>
      <c r="F195" s="336"/>
      <c r="G195" s="336"/>
      <c r="H195" s="336"/>
      <c r="I195" s="336"/>
      <c r="J195" s="336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  <c r="AA195" s="48"/>
      <c r="AB195" s="48"/>
      <c r="AC195" s="48"/>
    </row>
    <row r="196" spans="1:68" ht="16.5" customHeight="1" x14ac:dyDescent="0.3">
      <c r="A196" s="304" t="s">
        <v>281</v>
      </c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  <c r="AA196" s="271"/>
      <c r="AB196" s="271"/>
      <c r="AC196" s="271"/>
    </row>
    <row r="197" spans="1:68" ht="14.25" customHeight="1" x14ac:dyDescent="0.3">
      <c r="A197" s="288" t="s">
        <v>97</v>
      </c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72"/>
      <c r="AB197" s="272"/>
      <c r="AC197" s="272"/>
    </row>
    <row r="198" spans="1:68" ht="27" customHeight="1" x14ac:dyDescent="0.3">
      <c r="A198" s="54" t="s">
        <v>282</v>
      </c>
      <c r="B198" s="54" t="s">
        <v>283</v>
      </c>
      <c r="C198" s="31">
        <v>4301132227</v>
      </c>
      <c r="D198" s="280">
        <v>4620207491133</v>
      </c>
      <c r="E198" s="281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3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3"/>
      <c r="R198" s="283"/>
      <c r="S198" s="283"/>
      <c r="T198" s="284"/>
      <c r="U198" s="34"/>
      <c r="V198" s="34"/>
      <c r="W198" s="35" t="s">
        <v>68</v>
      </c>
      <c r="X198" s="276"/>
      <c r="Y198" s="277" t="str">
        <f>IFERROR(IF(X198="","",X198),"")</f>
        <v/>
      </c>
      <c r="Z198" s="36" t="str">
        <f>IFERROR(IF(X198="","",X198*0.01788),"")</f>
        <v/>
      </c>
      <c r="AA198" s="56"/>
      <c r="AB198" s="57"/>
      <c r="AC198" s="210" t="s">
        <v>284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0</v>
      </c>
      <c r="BN198" s="67" t="str">
        <f>IFERROR(Y198*I198,"0")</f>
        <v>0</v>
      </c>
      <c r="BO198" s="67">
        <f>IFERROR(X198/J198,"0")</f>
        <v>0</v>
      </c>
      <c r="BP198" s="67" t="str">
        <f>IFERROR(Y198/J198,"0")</f>
        <v>0</v>
      </c>
    </row>
    <row r="199" spans="1:68" ht="12.5" x14ac:dyDescent="0.25">
      <c r="A199" s="285"/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7"/>
      <c r="P199" s="298" t="s">
        <v>87</v>
      </c>
      <c r="Q199" s="299"/>
      <c r="R199" s="299"/>
      <c r="S199" s="299"/>
      <c r="T199" s="299"/>
      <c r="U199" s="299"/>
      <c r="V199" s="300"/>
      <c r="W199" s="37" t="s">
        <v>68</v>
      </c>
      <c r="X199" s="278">
        <f>IFERROR(SUM(X198:X198),"0")</f>
        <v>0</v>
      </c>
      <c r="Y199" s="278">
        <f>IFERROR(SUM(Y198:Y198),"0")</f>
        <v>0</v>
      </c>
      <c r="Z199" s="278">
        <f>IFERROR(IF(Z198="",0,Z198),"0")</f>
        <v>0</v>
      </c>
      <c r="AA199" s="279"/>
      <c r="AB199" s="279"/>
      <c r="AC199" s="279"/>
    </row>
    <row r="200" spans="1:68" ht="12.5" x14ac:dyDescent="0.25">
      <c r="A200" s="286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7"/>
      <c r="P200" s="298" t="s">
        <v>87</v>
      </c>
      <c r="Q200" s="299"/>
      <c r="R200" s="299"/>
      <c r="S200" s="299"/>
      <c r="T200" s="299"/>
      <c r="U200" s="299"/>
      <c r="V200" s="300"/>
      <c r="W200" s="37" t="s">
        <v>88</v>
      </c>
      <c r="X200" s="278">
        <f>IFERROR(SUMPRODUCT(X198:X198*H198:H198),"0")</f>
        <v>0</v>
      </c>
      <c r="Y200" s="278" t="str">
        <f>IFERROR(SUMPRODUCT(Y198:Y198*H198:H198),"0")</f>
        <v>0</v>
      </c>
      <c r="Z200" s="37"/>
      <c r="AA200" s="279"/>
      <c r="AB200" s="279"/>
      <c r="AC200" s="279"/>
    </row>
    <row r="201" spans="1:68" ht="14.25" customHeight="1" x14ac:dyDescent="0.3">
      <c r="A201" s="288" t="s">
        <v>135</v>
      </c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  <c r="AA201" s="272"/>
      <c r="AB201" s="272"/>
      <c r="AC201" s="272"/>
    </row>
    <row r="202" spans="1:68" ht="27" customHeight="1" x14ac:dyDescent="0.3">
      <c r="A202" s="54" t="s">
        <v>285</v>
      </c>
      <c r="B202" s="54" t="s">
        <v>286</v>
      </c>
      <c r="C202" s="31">
        <v>4301135834</v>
      </c>
      <c r="D202" s="280">
        <v>4620207491188</v>
      </c>
      <c r="E202" s="281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3"/>
      <c r="R202" s="283"/>
      <c r="S202" s="283"/>
      <c r="T202" s="284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287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customHeight="1" x14ac:dyDescent="0.3">
      <c r="A203" s="54" t="s">
        <v>288</v>
      </c>
      <c r="B203" s="54" t="s">
        <v>289</v>
      </c>
      <c r="C203" s="31">
        <v>4301135696</v>
      </c>
      <c r="D203" s="280">
        <v>4620207490235</v>
      </c>
      <c r="E203" s="281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42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3"/>
      <c r="R203" s="283"/>
      <c r="S203" s="283"/>
      <c r="T203" s="284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customHeight="1" x14ac:dyDescent="0.3">
      <c r="A204" s="54" t="s">
        <v>291</v>
      </c>
      <c r="B204" s="54" t="s">
        <v>292</v>
      </c>
      <c r="C204" s="31">
        <v>4301135697</v>
      </c>
      <c r="D204" s="280">
        <v>4620207490259</v>
      </c>
      <c r="E204" s="28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8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3"/>
      <c r="R204" s="283"/>
      <c r="S204" s="283"/>
      <c r="T204" s="284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293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12.5" x14ac:dyDescent="0.25">
      <c r="A205" s="285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7"/>
      <c r="P205" s="298" t="s">
        <v>87</v>
      </c>
      <c r="Q205" s="299"/>
      <c r="R205" s="299"/>
      <c r="S205" s="299"/>
      <c r="T205" s="299"/>
      <c r="U205" s="299"/>
      <c r="V205" s="300"/>
      <c r="W205" s="37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ht="12.5" x14ac:dyDescent="0.25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7"/>
      <c r="P206" s="298" t="s">
        <v>87</v>
      </c>
      <c r="Q206" s="299"/>
      <c r="R206" s="299"/>
      <c r="S206" s="299"/>
      <c r="T206" s="299"/>
      <c r="U206" s="299"/>
      <c r="V206" s="300"/>
      <c r="W206" s="37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7"/>
      <c r="AA206" s="279"/>
      <c r="AB206" s="279"/>
      <c r="AC206" s="279"/>
    </row>
    <row r="207" spans="1:68" ht="16.5" customHeight="1" x14ac:dyDescent="0.3">
      <c r="A207" s="304" t="s">
        <v>294</v>
      </c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71"/>
      <c r="AB207" s="271"/>
      <c r="AC207" s="271"/>
    </row>
    <row r="208" spans="1:68" ht="14.25" customHeight="1" x14ac:dyDescent="0.3">
      <c r="A208" s="288" t="s">
        <v>135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72"/>
      <c r="AB208" s="272"/>
      <c r="AC208" s="272"/>
    </row>
    <row r="209" spans="1:68" ht="27" customHeight="1" x14ac:dyDescent="0.3">
      <c r="A209" s="54" t="s">
        <v>295</v>
      </c>
      <c r="B209" s="54" t="s">
        <v>296</v>
      </c>
      <c r="C209" s="31">
        <v>4301135854</v>
      </c>
      <c r="D209" s="280">
        <v>4620207491706</v>
      </c>
      <c r="E209" s="281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29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3"/>
      <c r="R209" s="283"/>
      <c r="S209" s="283"/>
      <c r="T209" s="284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297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3">
      <c r="A210" s="54" t="s">
        <v>298</v>
      </c>
      <c r="B210" s="54" t="s">
        <v>299</v>
      </c>
      <c r="C210" s="31">
        <v>4301135895</v>
      </c>
      <c r="D210" s="280">
        <v>4620207491522</v>
      </c>
      <c r="E210" s="281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3"/>
      <c r="R210" s="283"/>
      <c r="S210" s="283"/>
      <c r="T210" s="284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300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12.5" x14ac:dyDescent="0.25">
      <c r="A211" s="285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7"/>
      <c r="P211" s="298" t="s">
        <v>87</v>
      </c>
      <c r="Q211" s="299"/>
      <c r="R211" s="299"/>
      <c r="S211" s="299"/>
      <c r="T211" s="299"/>
      <c r="U211" s="299"/>
      <c r="V211" s="300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t="12.5" x14ac:dyDescent="0.25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7"/>
      <c r="P212" s="298" t="s">
        <v>87</v>
      </c>
      <c r="Q212" s="299"/>
      <c r="R212" s="299"/>
      <c r="S212" s="299"/>
      <c r="T212" s="299"/>
      <c r="U212" s="299"/>
      <c r="V212" s="300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customHeight="1" x14ac:dyDescent="0.3">
      <c r="A213" s="304" t="s">
        <v>301</v>
      </c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71"/>
      <c r="AB213" s="271"/>
      <c r="AC213" s="271"/>
    </row>
    <row r="214" spans="1:68" ht="14.25" customHeight="1" x14ac:dyDescent="0.3">
      <c r="A214" s="288" t="s">
        <v>62</v>
      </c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  <c r="AA214" s="272"/>
      <c r="AB214" s="272"/>
      <c r="AC214" s="272"/>
    </row>
    <row r="215" spans="1:68" ht="27" customHeight="1" x14ac:dyDescent="0.3">
      <c r="A215" s="54" t="s">
        <v>302</v>
      </c>
      <c r="B215" s="54" t="s">
        <v>303</v>
      </c>
      <c r="C215" s="31">
        <v>4301071097</v>
      </c>
      <c r="D215" s="280">
        <v>4620207491096</v>
      </c>
      <c r="E215" s="281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31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3"/>
      <c r="R215" s="283"/>
      <c r="S215" s="283"/>
      <c r="T215" s="284"/>
      <c r="U215" s="34"/>
      <c r="V215" s="34"/>
      <c r="W215" s="35" t="s">
        <v>68</v>
      </c>
      <c r="X215" s="276"/>
      <c r="Y215" s="277" t="str">
        <f>IFERROR(IF(X215="","",X215),"")</f>
        <v/>
      </c>
      <c r="Z215" s="36" t="str">
        <f>IFERROR(IF(X215="","",X215*0.0155),"")</f>
        <v/>
      </c>
      <c r="AA215" s="56"/>
      <c r="AB215" s="57"/>
      <c r="AC215" s="222" t="s">
        <v>304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0</v>
      </c>
      <c r="BN215" s="67" t="str">
        <f>IFERROR(Y215*I215,"0")</f>
        <v>0</v>
      </c>
      <c r="BO215" s="67">
        <f>IFERROR(X215/J215,"0")</f>
        <v>0</v>
      </c>
      <c r="BP215" s="67" t="str">
        <f>IFERROR(Y215/J215,"0")</f>
        <v>0</v>
      </c>
    </row>
    <row r="216" spans="1:68" ht="12.5" x14ac:dyDescent="0.25">
      <c r="A216" s="285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7"/>
      <c r="P216" s="298" t="s">
        <v>87</v>
      </c>
      <c r="Q216" s="299"/>
      <c r="R216" s="299"/>
      <c r="S216" s="299"/>
      <c r="T216" s="299"/>
      <c r="U216" s="299"/>
      <c r="V216" s="300"/>
      <c r="W216" s="37" t="s">
        <v>68</v>
      </c>
      <c r="X216" s="278">
        <f>IFERROR(SUM(X215:X215),"0")</f>
        <v>0</v>
      </c>
      <c r="Y216" s="278">
        <f>IFERROR(SUM(Y215:Y215),"0")</f>
        <v>0</v>
      </c>
      <c r="Z216" s="278">
        <f>IFERROR(IF(Z215="",0,Z215),"0")</f>
        <v>0</v>
      </c>
      <c r="AA216" s="279"/>
      <c r="AB216" s="279"/>
      <c r="AC216" s="279"/>
    </row>
    <row r="217" spans="1:68" ht="12.5" x14ac:dyDescent="0.25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7"/>
      <c r="P217" s="298" t="s">
        <v>87</v>
      </c>
      <c r="Q217" s="299"/>
      <c r="R217" s="299"/>
      <c r="S217" s="299"/>
      <c r="T217" s="299"/>
      <c r="U217" s="299"/>
      <c r="V217" s="300"/>
      <c r="W217" s="37" t="s">
        <v>88</v>
      </c>
      <c r="X217" s="278">
        <f>IFERROR(SUMPRODUCT(X215:X215*H215:H215),"0")</f>
        <v>0</v>
      </c>
      <c r="Y217" s="278" t="str">
        <f>IFERROR(SUMPRODUCT(Y215:Y215*H215:H215),"0")</f>
        <v>0</v>
      </c>
      <c r="Z217" s="37"/>
      <c r="AA217" s="279"/>
      <c r="AB217" s="279"/>
      <c r="AC217" s="279"/>
    </row>
    <row r="218" spans="1:68" ht="16.5" customHeight="1" x14ac:dyDescent="0.3">
      <c r="A218" s="304" t="s">
        <v>305</v>
      </c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271"/>
      <c r="AB218" s="271"/>
      <c r="AC218" s="271"/>
    </row>
    <row r="219" spans="1:68" ht="14.25" customHeight="1" x14ac:dyDescent="0.3">
      <c r="A219" s="288" t="s">
        <v>135</v>
      </c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72"/>
      <c r="AB219" s="272"/>
      <c r="AC219" s="272"/>
    </row>
    <row r="220" spans="1:68" ht="27" customHeight="1" x14ac:dyDescent="0.3">
      <c r="A220" s="54" t="s">
        <v>306</v>
      </c>
      <c r="B220" s="54" t="s">
        <v>307</v>
      </c>
      <c r="C220" s="31">
        <v>4301135694</v>
      </c>
      <c r="D220" s="280">
        <v>4620207490501</v>
      </c>
      <c r="E220" s="281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28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3"/>
      <c r="R220" s="283"/>
      <c r="S220" s="283"/>
      <c r="T220" s="284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308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t="12.5" x14ac:dyDescent="0.25">
      <c r="A221" s="285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7"/>
      <c r="P221" s="298" t="s">
        <v>87</v>
      </c>
      <c r="Q221" s="299"/>
      <c r="R221" s="299"/>
      <c r="S221" s="299"/>
      <c r="T221" s="299"/>
      <c r="U221" s="299"/>
      <c r="V221" s="300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t="12.5" x14ac:dyDescent="0.25">
      <c r="A222" s="286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7"/>
      <c r="P222" s="298" t="s">
        <v>87</v>
      </c>
      <c r="Q222" s="299"/>
      <c r="R222" s="299"/>
      <c r="S222" s="299"/>
      <c r="T222" s="299"/>
      <c r="U222" s="299"/>
      <c r="V222" s="300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customHeight="1" x14ac:dyDescent="0.25">
      <c r="A223" s="335" t="s">
        <v>309</v>
      </c>
      <c r="B223" s="336"/>
      <c r="C223" s="336"/>
      <c r="D223" s="336"/>
      <c r="E223" s="336"/>
      <c r="F223" s="336"/>
      <c r="G223" s="336"/>
      <c r="H223" s="336"/>
      <c r="I223" s="336"/>
      <c r="J223" s="336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6"/>
      <c r="V223" s="336"/>
      <c r="W223" s="336"/>
      <c r="X223" s="336"/>
      <c r="Y223" s="336"/>
      <c r="Z223" s="336"/>
      <c r="AA223" s="48"/>
      <c r="AB223" s="48"/>
      <c r="AC223" s="48"/>
    </row>
    <row r="224" spans="1:68" ht="16.5" customHeight="1" x14ac:dyDescent="0.3">
      <c r="A224" s="304" t="s">
        <v>310</v>
      </c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271"/>
      <c r="AB224" s="271"/>
      <c r="AC224" s="271"/>
    </row>
    <row r="225" spans="1:68" ht="14.25" customHeight="1" x14ac:dyDescent="0.3">
      <c r="A225" s="288" t="s">
        <v>62</v>
      </c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72"/>
      <c r="AB225" s="272"/>
      <c r="AC225" s="272"/>
    </row>
    <row r="226" spans="1:68" ht="27" customHeight="1" x14ac:dyDescent="0.3">
      <c r="A226" s="54" t="s">
        <v>311</v>
      </c>
      <c r="B226" s="54" t="s">
        <v>312</v>
      </c>
      <c r="C226" s="31">
        <v>4301071036</v>
      </c>
      <c r="D226" s="280">
        <v>4607111036162</v>
      </c>
      <c r="E226" s="281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3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3"/>
      <c r="R226" s="283"/>
      <c r="S226" s="283"/>
      <c r="T226" s="284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313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t="12.5" x14ac:dyDescent="0.25">
      <c r="A227" s="285"/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7"/>
      <c r="P227" s="298" t="s">
        <v>87</v>
      </c>
      <c r="Q227" s="299"/>
      <c r="R227" s="299"/>
      <c r="S227" s="299"/>
      <c r="T227" s="299"/>
      <c r="U227" s="299"/>
      <c r="V227" s="300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t="12.5" x14ac:dyDescent="0.25">
      <c r="A228" s="286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7"/>
      <c r="P228" s="298" t="s">
        <v>87</v>
      </c>
      <c r="Q228" s="299"/>
      <c r="R228" s="299"/>
      <c r="S228" s="299"/>
      <c r="T228" s="299"/>
      <c r="U228" s="299"/>
      <c r="V228" s="300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customHeight="1" x14ac:dyDescent="0.25">
      <c r="A229" s="335" t="s">
        <v>314</v>
      </c>
      <c r="B229" s="336"/>
      <c r="C229" s="336"/>
      <c r="D229" s="336"/>
      <c r="E229" s="336"/>
      <c r="F229" s="336"/>
      <c r="G229" s="336"/>
      <c r="H229" s="336"/>
      <c r="I229" s="336"/>
      <c r="J229" s="336"/>
      <c r="K229" s="336"/>
      <c r="L229" s="336"/>
      <c r="M229" s="336"/>
      <c r="N229" s="336"/>
      <c r="O229" s="336"/>
      <c r="P229" s="336"/>
      <c r="Q229" s="336"/>
      <c r="R229" s="336"/>
      <c r="S229" s="336"/>
      <c r="T229" s="336"/>
      <c r="U229" s="336"/>
      <c r="V229" s="336"/>
      <c r="W229" s="336"/>
      <c r="X229" s="336"/>
      <c r="Y229" s="336"/>
      <c r="Z229" s="336"/>
      <c r="AA229" s="48"/>
      <c r="AB229" s="48"/>
      <c r="AC229" s="48"/>
    </row>
    <row r="230" spans="1:68" ht="16.5" customHeight="1" x14ac:dyDescent="0.3">
      <c r="A230" s="304" t="s">
        <v>315</v>
      </c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271"/>
      <c r="AB230" s="271"/>
      <c r="AC230" s="271"/>
    </row>
    <row r="231" spans="1:68" ht="14.25" customHeight="1" x14ac:dyDescent="0.3">
      <c r="A231" s="288" t="s">
        <v>316</v>
      </c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72"/>
      <c r="AB231" s="272"/>
      <c r="AC231" s="272"/>
    </row>
    <row r="232" spans="1:68" ht="27" customHeight="1" x14ac:dyDescent="0.3">
      <c r="A232" s="54" t="s">
        <v>317</v>
      </c>
      <c r="B232" s="54" t="s">
        <v>318</v>
      </c>
      <c r="C232" s="31">
        <v>4301133004</v>
      </c>
      <c r="D232" s="280">
        <v>4607111039774</v>
      </c>
      <c r="E232" s="281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3"/>
      <c r="R232" s="283"/>
      <c r="S232" s="283"/>
      <c r="T232" s="284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319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t="12.5" x14ac:dyDescent="0.25">
      <c r="A233" s="285"/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7"/>
      <c r="P233" s="298" t="s">
        <v>87</v>
      </c>
      <c r="Q233" s="299"/>
      <c r="R233" s="299"/>
      <c r="S233" s="299"/>
      <c r="T233" s="299"/>
      <c r="U233" s="299"/>
      <c r="V233" s="300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t="12.5" x14ac:dyDescent="0.25">
      <c r="A234" s="286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7"/>
      <c r="P234" s="298" t="s">
        <v>87</v>
      </c>
      <c r="Q234" s="299"/>
      <c r="R234" s="299"/>
      <c r="S234" s="299"/>
      <c r="T234" s="299"/>
      <c r="U234" s="299"/>
      <c r="V234" s="300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customHeight="1" x14ac:dyDescent="0.3">
      <c r="A235" s="288" t="s">
        <v>135</v>
      </c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72"/>
      <c r="AB235" s="272"/>
      <c r="AC235" s="272"/>
    </row>
    <row r="236" spans="1:68" ht="37.5" customHeight="1" x14ac:dyDescent="0.3">
      <c r="A236" s="54" t="s">
        <v>320</v>
      </c>
      <c r="B236" s="54" t="s">
        <v>321</v>
      </c>
      <c r="C236" s="31">
        <v>4301135400</v>
      </c>
      <c r="D236" s="280">
        <v>4607111039361</v>
      </c>
      <c r="E236" s="281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4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3"/>
      <c r="R236" s="283"/>
      <c r="S236" s="283"/>
      <c r="T236" s="284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319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t="12.5" x14ac:dyDescent="0.25">
      <c r="A237" s="285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7"/>
      <c r="P237" s="298" t="s">
        <v>87</v>
      </c>
      <c r="Q237" s="299"/>
      <c r="R237" s="299"/>
      <c r="S237" s="299"/>
      <c r="T237" s="299"/>
      <c r="U237" s="299"/>
      <c r="V237" s="300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t="12.5" x14ac:dyDescent="0.25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7"/>
      <c r="P238" s="298" t="s">
        <v>87</v>
      </c>
      <c r="Q238" s="299"/>
      <c r="R238" s="299"/>
      <c r="S238" s="299"/>
      <c r="T238" s="299"/>
      <c r="U238" s="299"/>
      <c r="V238" s="300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customHeight="1" x14ac:dyDescent="0.25">
      <c r="A239" s="335" t="s">
        <v>322</v>
      </c>
      <c r="B239" s="336"/>
      <c r="C239" s="336"/>
      <c r="D239" s="336"/>
      <c r="E239" s="336"/>
      <c r="F239" s="336"/>
      <c r="G239" s="336"/>
      <c r="H239" s="336"/>
      <c r="I239" s="336"/>
      <c r="J239" s="336"/>
      <c r="K239" s="336"/>
      <c r="L239" s="336"/>
      <c r="M239" s="336"/>
      <c r="N239" s="336"/>
      <c r="O239" s="336"/>
      <c r="P239" s="336"/>
      <c r="Q239" s="336"/>
      <c r="R239" s="336"/>
      <c r="S239" s="336"/>
      <c r="T239" s="336"/>
      <c r="U239" s="336"/>
      <c r="V239" s="336"/>
      <c r="W239" s="336"/>
      <c r="X239" s="336"/>
      <c r="Y239" s="336"/>
      <c r="Z239" s="336"/>
      <c r="AA239" s="48"/>
      <c r="AB239" s="48"/>
      <c r="AC239" s="48"/>
    </row>
    <row r="240" spans="1:68" ht="16.5" customHeight="1" x14ac:dyDescent="0.3">
      <c r="A240" s="304" t="s">
        <v>322</v>
      </c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271"/>
      <c r="AB240" s="271"/>
      <c r="AC240" s="271"/>
    </row>
    <row r="241" spans="1:68" ht="14.25" customHeight="1" x14ac:dyDescent="0.3">
      <c r="A241" s="288" t="s">
        <v>97</v>
      </c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72"/>
      <c r="AB241" s="272"/>
      <c r="AC241" s="272"/>
    </row>
    <row r="242" spans="1:68" ht="27" customHeight="1" x14ac:dyDescent="0.3">
      <c r="A242" s="54" t="s">
        <v>323</v>
      </c>
      <c r="B242" s="54" t="s">
        <v>324</v>
      </c>
      <c r="C242" s="31">
        <v>4301132228</v>
      </c>
      <c r="D242" s="280">
        <v>4640242181950</v>
      </c>
      <c r="E242" s="281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2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3"/>
      <c r="R242" s="283"/>
      <c r="S242" s="283"/>
      <c r="T242" s="284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325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12.5" x14ac:dyDescent="0.25">
      <c r="A243" s="285"/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7"/>
      <c r="P243" s="298" t="s">
        <v>87</v>
      </c>
      <c r="Q243" s="299"/>
      <c r="R243" s="299"/>
      <c r="S243" s="299"/>
      <c r="T243" s="299"/>
      <c r="U243" s="299"/>
      <c r="V243" s="300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t="12.5" x14ac:dyDescent="0.25">
      <c r="A244" s="286"/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7"/>
      <c r="P244" s="298" t="s">
        <v>87</v>
      </c>
      <c r="Q244" s="299"/>
      <c r="R244" s="299"/>
      <c r="S244" s="299"/>
      <c r="T244" s="299"/>
      <c r="U244" s="299"/>
      <c r="V244" s="300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customHeight="1" x14ac:dyDescent="0.3">
      <c r="A245" s="288" t="s">
        <v>129</v>
      </c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72"/>
      <c r="AB245" s="272"/>
      <c r="AC245" s="272"/>
    </row>
    <row r="246" spans="1:68" ht="27" customHeight="1" x14ac:dyDescent="0.3">
      <c r="A246" s="54" t="s">
        <v>326</v>
      </c>
      <c r="B246" s="54" t="s">
        <v>327</v>
      </c>
      <c r="C246" s="31">
        <v>4301136098</v>
      </c>
      <c r="D246" s="280">
        <v>4640242181943</v>
      </c>
      <c r="E246" s="281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4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3"/>
      <c r="R246" s="283"/>
      <c r="S246" s="283"/>
      <c r="T246" s="284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328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12.5" x14ac:dyDescent="0.25">
      <c r="A247" s="285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7"/>
      <c r="P247" s="298" t="s">
        <v>87</v>
      </c>
      <c r="Q247" s="299"/>
      <c r="R247" s="299"/>
      <c r="S247" s="299"/>
      <c r="T247" s="299"/>
      <c r="U247" s="299"/>
      <c r="V247" s="300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t="12.5" x14ac:dyDescent="0.25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7"/>
      <c r="P248" s="298" t="s">
        <v>87</v>
      </c>
      <c r="Q248" s="299"/>
      <c r="R248" s="299"/>
      <c r="S248" s="299"/>
      <c r="T248" s="299"/>
      <c r="U248" s="299"/>
      <c r="V248" s="300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customHeight="1" x14ac:dyDescent="0.25">
      <c r="A249" s="335" t="s">
        <v>329</v>
      </c>
      <c r="B249" s="336"/>
      <c r="C249" s="336"/>
      <c r="D249" s="336"/>
      <c r="E249" s="336"/>
      <c r="F249" s="336"/>
      <c r="G249" s="336"/>
      <c r="H249" s="336"/>
      <c r="I249" s="336"/>
      <c r="J249" s="336"/>
      <c r="K249" s="336"/>
      <c r="L249" s="336"/>
      <c r="M249" s="336"/>
      <c r="N249" s="336"/>
      <c r="O249" s="336"/>
      <c r="P249" s="336"/>
      <c r="Q249" s="336"/>
      <c r="R249" s="336"/>
      <c r="S249" s="336"/>
      <c r="T249" s="336"/>
      <c r="U249" s="336"/>
      <c r="V249" s="336"/>
      <c r="W249" s="336"/>
      <c r="X249" s="336"/>
      <c r="Y249" s="336"/>
      <c r="Z249" s="336"/>
      <c r="AA249" s="48"/>
      <c r="AB249" s="48"/>
      <c r="AC249" s="48"/>
    </row>
    <row r="250" spans="1:68" ht="16.5" customHeight="1" x14ac:dyDescent="0.3">
      <c r="A250" s="304" t="s">
        <v>329</v>
      </c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71"/>
      <c r="AB250" s="271"/>
      <c r="AC250" s="271"/>
    </row>
    <row r="251" spans="1:68" ht="14.25" customHeight="1" x14ac:dyDescent="0.3">
      <c r="A251" s="288" t="s">
        <v>62</v>
      </c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272"/>
      <c r="AB251" s="272"/>
      <c r="AC251" s="272"/>
    </row>
    <row r="252" spans="1:68" ht="27" customHeight="1" x14ac:dyDescent="0.3">
      <c r="A252" s="54" t="s">
        <v>330</v>
      </c>
      <c r="B252" s="54" t="s">
        <v>331</v>
      </c>
      <c r="C252" s="31">
        <v>4301071014</v>
      </c>
      <c r="D252" s="280">
        <v>4640242181264</v>
      </c>
      <c r="E252" s="281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29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3"/>
      <c r="R252" s="283"/>
      <c r="S252" s="283"/>
      <c r="T252" s="284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3">
      <c r="A253" s="54" t="s">
        <v>333</v>
      </c>
      <c r="B253" s="54" t="s">
        <v>334</v>
      </c>
      <c r="C253" s="31">
        <v>4301071021</v>
      </c>
      <c r="D253" s="280">
        <v>4640242181325</v>
      </c>
      <c r="E253" s="281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101</v>
      </c>
      <c r="M253" s="33" t="s">
        <v>67</v>
      </c>
      <c r="N253" s="33"/>
      <c r="O253" s="32">
        <v>180</v>
      </c>
      <c r="P253" s="44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83"/>
      <c r="R253" s="283"/>
      <c r="S253" s="283"/>
      <c r="T253" s="284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332</v>
      </c>
      <c r="AG253" s="67"/>
      <c r="AJ253" s="71" t="s">
        <v>103</v>
      </c>
      <c r="AK253" s="71">
        <v>12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12.5" x14ac:dyDescent="0.25">
      <c r="A254" s="285"/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7"/>
      <c r="P254" s="298" t="s">
        <v>87</v>
      </c>
      <c r="Q254" s="299"/>
      <c r="R254" s="299"/>
      <c r="S254" s="299"/>
      <c r="T254" s="299"/>
      <c r="U254" s="299"/>
      <c r="V254" s="300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t="12.5" x14ac:dyDescent="0.25">
      <c r="A255" s="286"/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7"/>
      <c r="P255" s="298" t="s">
        <v>87</v>
      </c>
      <c r="Q255" s="299"/>
      <c r="R255" s="299"/>
      <c r="S255" s="299"/>
      <c r="T255" s="299"/>
      <c r="U255" s="299"/>
      <c r="V255" s="300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customHeight="1" x14ac:dyDescent="0.3">
      <c r="A256" s="288" t="s">
        <v>97</v>
      </c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  <c r="AA256" s="272"/>
      <c r="AB256" s="272"/>
      <c r="AC256" s="272"/>
    </row>
    <row r="257" spans="1:68" ht="27" customHeight="1" x14ac:dyDescent="0.3">
      <c r="A257" s="54" t="s">
        <v>335</v>
      </c>
      <c r="B257" s="54" t="s">
        <v>336</v>
      </c>
      <c r="C257" s="31">
        <v>4301132080</v>
      </c>
      <c r="D257" s="280">
        <v>4640242180397</v>
      </c>
      <c r="E257" s="281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0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3"/>
      <c r="R257" s="283"/>
      <c r="S257" s="283"/>
      <c r="T257" s="284"/>
      <c r="U257" s="34"/>
      <c r="V257" s="34"/>
      <c r="W257" s="35" t="s">
        <v>68</v>
      </c>
      <c r="X257" s="276"/>
      <c r="Y257" s="277" t="str">
        <f>IFERROR(IF(X257="","",X257),"")</f>
        <v/>
      </c>
      <c r="Z257" s="36" t="str">
        <f>IFERROR(IF(X257="","",X257*0.0155),"")</f>
        <v/>
      </c>
      <c r="AA257" s="56"/>
      <c r="AB257" s="57"/>
      <c r="AC257" s="240" t="s">
        <v>337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0</v>
      </c>
      <c r="BN257" s="67" t="str">
        <f>IFERROR(Y257*I257,"0")</f>
        <v>0</v>
      </c>
      <c r="BO257" s="67">
        <f>IFERROR(X257/J257,"0")</f>
        <v>0</v>
      </c>
      <c r="BP257" s="67" t="str">
        <f>IFERROR(Y257/J257,"0")</f>
        <v>0</v>
      </c>
    </row>
    <row r="258" spans="1:68" ht="12.5" x14ac:dyDescent="0.25">
      <c r="A258" s="285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7"/>
      <c r="P258" s="298" t="s">
        <v>87</v>
      </c>
      <c r="Q258" s="299"/>
      <c r="R258" s="299"/>
      <c r="S258" s="299"/>
      <c r="T258" s="299"/>
      <c r="U258" s="299"/>
      <c r="V258" s="300"/>
      <c r="W258" s="37" t="s">
        <v>68</v>
      </c>
      <c r="X258" s="278">
        <f>IFERROR(SUM(X257:X257),"0")</f>
        <v>0</v>
      </c>
      <c r="Y258" s="278">
        <f>IFERROR(SUM(Y257:Y257),"0")</f>
        <v>0</v>
      </c>
      <c r="Z258" s="278">
        <f>IFERROR(IF(Z257="",0,Z257),"0")</f>
        <v>0</v>
      </c>
      <c r="AA258" s="279"/>
      <c r="AB258" s="279"/>
      <c r="AC258" s="279"/>
    </row>
    <row r="259" spans="1:68" ht="12.5" x14ac:dyDescent="0.25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7"/>
      <c r="P259" s="298" t="s">
        <v>87</v>
      </c>
      <c r="Q259" s="299"/>
      <c r="R259" s="299"/>
      <c r="S259" s="299"/>
      <c r="T259" s="299"/>
      <c r="U259" s="299"/>
      <c r="V259" s="300"/>
      <c r="W259" s="37" t="s">
        <v>88</v>
      </c>
      <c r="X259" s="278">
        <f>IFERROR(SUMPRODUCT(X257:X257*H257:H257),"0")</f>
        <v>0</v>
      </c>
      <c r="Y259" s="278" t="str">
        <f>IFERROR(SUMPRODUCT(Y257:Y257*H257:H257),"0")</f>
        <v>0</v>
      </c>
      <c r="Z259" s="37"/>
      <c r="AA259" s="279"/>
      <c r="AB259" s="279"/>
      <c r="AC259" s="279"/>
    </row>
    <row r="260" spans="1:68" ht="14.25" customHeight="1" x14ac:dyDescent="0.3">
      <c r="A260" s="288" t="s">
        <v>129</v>
      </c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72"/>
      <c r="AB260" s="272"/>
      <c r="AC260" s="272"/>
    </row>
    <row r="261" spans="1:68" ht="27" customHeight="1" x14ac:dyDescent="0.3">
      <c r="A261" s="54" t="s">
        <v>338</v>
      </c>
      <c r="B261" s="54" t="s">
        <v>339</v>
      </c>
      <c r="C261" s="31">
        <v>4301136051</v>
      </c>
      <c r="D261" s="280">
        <v>4640242180304</v>
      </c>
      <c r="E261" s="281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3"/>
      <c r="R261" s="283"/>
      <c r="S261" s="283"/>
      <c r="T261" s="284"/>
      <c r="U261" s="34"/>
      <c r="V261" s="34"/>
      <c r="W261" s="35" t="s">
        <v>68</v>
      </c>
      <c r="X261" s="276"/>
      <c r="Y261" s="277" t="str">
        <f>IFERROR(IF(X261="","",X261),"")</f>
        <v/>
      </c>
      <c r="Z261" s="36" t="str">
        <f>IFERROR(IF(X261="","",X261*0.00936),"")</f>
        <v/>
      </c>
      <c r="AA261" s="56"/>
      <c r="AB261" s="57"/>
      <c r="AC261" s="242" t="s">
        <v>340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 t="str">
        <f>IFERROR(Y261*I261,"0")</f>
        <v>0</v>
      </c>
      <c r="BO261" s="67">
        <f>IFERROR(X261/J261,"0")</f>
        <v>0</v>
      </c>
      <c r="BP261" s="67" t="str">
        <f>IFERROR(Y261/J261,"0")</f>
        <v>0</v>
      </c>
    </row>
    <row r="262" spans="1:68" ht="27" customHeight="1" x14ac:dyDescent="0.3">
      <c r="A262" s="54" t="s">
        <v>341</v>
      </c>
      <c r="B262" s="54" t="s">
        <v>342</v>
      </c>
      <c r="C262" s="31">
        <v>4301136053</v>
      </c>
      <c r="D262" s="280">
        <v>4640242180236</v>
      </c>
      <c r="E262" s="281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46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3"/>
      <c r="R262" s="283"/>
      <c r="S262" s="283"/>
      <c r="T262" s="284"/>
      <c r="U262" s="34"/>
      <c r="V262" s="34"/>
      <c r="W262" s="35" t="s">
        <v>68</v>
      </c>
      <c r="X262" s="276"/>
      <c r="Y262" s="277" t="str">
        <f>IFERROR(IF(X262="","",X262),"")</f>
        <v/>
      </c>
      <c r="Z262" s="36" t="str">
        <f>IFERROR(IF(X262="","",X262*0.0155),"")</f>
        <v/>
      </c>
      <c r="AA262" s="56"/>
      <c r="AB262" s="57"/>
      <c r="AC262" s="244" t="s">
        <v>340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0</v>
      </c>
      <c r="BN262" s="67" t="str">
        <f>IFERROR(Y262*I262,"0")</f>
        <v>0</v>
      </c>
      <c r="BO262" s="67">
        <f>IFERROR(X262/J262,"0")</f>
        <v>0</v>
      </c>
      <c r="BP262" s="67" t="str">
        <f>IFERROR(Y262/J262,"0")</f>
        <v>0</v>
      </c>
    </row>
    <row r="263" spans="1:68" ht="27" customHeight="1" x14ac:dyDescent="0.3">
      <c r="A263" s="54" t="s">
        <v>343</v>
      </c>
      <c r="B263" s="54" t="s">
        <v>344</v>
      </c>
      <c r="C263" s="31">
        <v>4301136052</v>
      </c>
      <c r="D263" s="280">
        <v>4640242180410</v>
      </c>
      <c r="E263" s="281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5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3"/>
      <c r="R263" s="283"/>
      <c r="S263" s="283"/>
      <c r="T263" s="284"/>
      <c r="U263" s="34"/>
      <c r="V263" s="34"/>
      <c r="W263" s="35" t="s">
        <v>68</v>
      </c>
      <c r="X263" s="276"/>
      <c r="Y263" s="277" t="str">
        <f>IFERROR(IF(X263="","",X263),"")</f>
        <v/>
      </c>
      <c r="Z263" s="36" t="str">
        <f>IFERROR(IF(X263="","",X263*0.00936),"")</f>
        <v/>
      </c>
      <c r="AA263" s="56"/>
      <c r="AB263" s="57"/>
      <c r="AC263" s="246" t="s">
        <v>340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 t="str">
        <f>IFERROR(Y263*I263,"0")</f>
        <v>0</v>
      </c>
      <c r="BO263" s="67">
        <f>IFERROR(X263/J263,"0")</f>
        <v>0</v>
      </c>
      <c r="BP263" s="67" t="str">
        <f>IFERROR(Y263/J263,"0")</f>
        <v>0</v>
      </c>
    </row>
    <row r="264" spans="1:68" ht="12.5" x14ac:dyDescent="0.25">
      <c r="A264" s="285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7"/>
      <c r="P264" s="298" t="s">
        <v>87</v>
      </c>
      <c r="Q264" s="299"/>
      <c r="R264" s="299"/>
      <c r="S264" s="299"/>
      <c r="T264" s="299"/>
      <c r="U264" s="299"/>
      <c r="V264" s="300"/>
      <c r="W264" s="37" t="s">
        <v>68</v>
      </c>
      <c r="X264" s="278">
        <f>IFERROR(SUM(X261:X263),"0")</f>
        <v>0</v>
      </c>
      <c r="Y264" s="278">
        <f>IFERROR(SUM(Y261:Y263),"0")</f>
        <v>0</v>
      </c>
      <c r="Z264" s="278">
        <f>IFERROR(IF(Z261="",0,Z261),"0")+IFERROR(IF(Z262="",0,Z262),"0")+IFERROR(IF(Z263="",0,Z263),"0")</f>
        <v>0</v>
      </c>
      <c r="AA264" s="279"/>
      <c r="AB264" s="279"/>
      <c r="AC264" s="279"/>
    </row>
    <row r="265" spans="1:68" ht="12.5" x14ac:dyDescent="0.25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7"/>
      <c r="P265" s="298" t="s">
        <v>87</v>
      </c>
      <c r="Q265" s="299"/>
      <c r="R265" s="299"/>
      <c r="S265" s="299"/>
      <c r="T265" s="299"/>
      <c r="U265" s="299"/>
      <c r="V265" s="300"/>
      <c r="W265" s="37" t="s">
        <v>88</v>
      </c>
      <c r="X265" s="278">
        <f>IFERROR(SUMPRODUCT(X261:X263*H261:H263),"0")</f>
        <v>0</v>
      </c>
      <c r="Y265" s="278" t="str">
        <f>IFERROR(SUMPRODUCT(Y261:Y263*H261:H263),"0")</f>
        <v>0</v>
      </c>
      <c r="Z265" s="37"/>
      <c r="AA265" s="279"/>
      <c r="AB265" s="279"/>
      <c r="AC265" s="279"/>
    </row>
    <row r="266" spans="1:68" ht="14.25" customHeight="1" x14ac:dyDescent="0.3">
      <c r="A266" s="288" t="s">
        <v>135</v>
      </c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72"/>
      <c r="AB266" s="272"/>
      <c r="AC266" s="272"/>
    </row>
    <row r="267" spans="1:68" ht="37.5" customHeight="1" x14ac:dyDescent="0.3">
      <c r="A267" s="54" t="s">
        <v>345</v>
      </c>
      <c r="B267" s="54" t="s">
        <v>346</v>
      </c>
      <c r="C267" s="31">
        <v>4301135504</v>
      </c>
      <c r="D267" s="280">
        <v>4640242181554</v>
      </c>
      <c r="E267" s="281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42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3"/>
      <c r="R267" s="283"/>
      <c r="S267" s="283"/>
      <c r="T267" s="284"/>
      <c r="U267" s="34"/>
      <c r="V267" s="34"/>
      <c r="W267" s="35" t="s">
        <v>68</v>
      </c>
      <c r="X267" s="276"/>
      <c r="Y267" s="277" t="str">
        <f t="shared" ref="Y267:Y276" si="18">IFERROR(IF(X267="","",X267),"")</f>
        <v/>
      </c>
      <c r="Z267" s="36" t="str">
        <f>IFERROR(IF(X267="","",X267*0.00936),"")</f>
        <v/>
      </c>
      <c r="AA267" s="56"/>
      <c r="AB267" s="57"/>
      <c r="AC267" s="248" t="s">
        <v>347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 t="str">
        <f t="shared" ref="BN267:BN276" si="20">IFERROR(Y267*I267,"0")</f>
        <v>0</v>
      </c>
      <c r="BO267" s="67">
        <f t="shared" ref="BO267:BO276" si="21">IFERROR(X267/J267,"0")</f>
        <v>0</v>
      </c>
      <c r="BP267" s="67" t="str">
        <f t="shared" ref="BP267:BP276" si="22">IFERROR(Y267/J267,"0")</f>
        <v>0</v>
      </c>
    </row>
    <row r="268" spans="1:68" ht="27" customHeight="1" x14ac:dyDescent="0.3">
      <c r="A268" s="54" t="s">
        <v>348</v>
      </c>
      <c r="B268" s="54" t="s">
        <v>349</v>
      </c>
      <c r="C268" s="31">
        <v>4301135873</v>
      </c>
      <c r="D268" s="280">
        <v>4640242182087</v>
      </c>
      <c r="E268" s="281"/>
      <c r="F268" s="275">
        <v>5</v>
      </c>
      <c r="G268" s="32">
        <v>1</v>
      </c>
      <c r="H268" s="275">
        <v>5</v>
      </c>
      <c r="I268" s="275">
        <v>5.23</v>
      </c>
      <c r="J268" s="32">
        <v>84</v>
      </c>
      <c r="K268" s="32" t="s">
        <v>65</v>
      </c>
      <c r="L268" s="32" t="s">
        <v>66</v>
      </c>
      <c r="M268" s="33" t="s">
        <v>67</v>
      </c>
      <c r="N268" s="33"/>
      <c r="O268" s="32">
        <v>180</v>
      </c>
      <c r="P268" s="319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83"/>
      <c r="R268" s="283"/>
      <c r="S268" s="283"/>
      <c r="T268" s="284"/>
      <c r="U268" s="34"/>
      <c r="V268" s="34"/>
      <c r="W268" s="35" t="s">
        <v>68</v>
      </c>
      <c r="X268" s="276"/>
      <c r="Y268" s="277" t="str">
        <f t="shared" si="18"/>
        <v/>
      </c>
      <c r="Z268" s="36" t="str">
        <f>IFERROR(IF(X268="","",X268*0.0155),"")</f>
        <v/>
      </c>
      <c r="AA268" s="56"/>
      <c r="AB268" s="57"/>
      <c r="AC268" s="250" t="s">
        <v>350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0</v>
      </c>
      <c r="BN268" s="67" t="str">
        <f t="shared" si="20"/>
        <v>0</v>
      </c>
      <c r="BO268" s="67">
        <f t="shared" si="21"/>
        <v>0</v>
      </c>
      <c r="BP268" s="67" t="str">
        <f t="shared" si="22"/>
        <v>0</v>
      </c>
    </row>
    <row r="269" spans="1:68" ht="27" customHeight="1" x14ac:dyDescent="0.3">
      <c r="A269" s="54" t="s">
        <v>351</v>
      </c>
      <c r="B269" s="54" t="s">
        <v>352</v>
      </c>
      <c r="C269" s="31">
        <v>4301135374</v>
      </c>
      <c r="D269" s="280">
        <v>4640242181424</v>
      </c>
      <c r="E269" s="281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3"/>
      <c r="R269" s="283"/>
      <c r="S269" s="283"/>
      <c r="T269" s="284"/>
      <c r="U269" s="34"/>
      <c r="V269" s="34"/>
      <c r="W269" s="35" t="s">
        <v>68</v>
      </c>
      <c r="X269" s="276"/>
      <c r="Y269" s="277" t="str">
        <f t="shared" si="18"/>
        <v/>
      </c>
      <c r="Z269" s="36" t="str">
        <f>IFERROR(IF(X269="","",X269*0.0155),"")</f>
        <v/>
      </c>
      <c r="AA269" s="56"/>
      <c r="AB269" s="57"/>
      <c r="AC269" s="252" t="s">
        <v>347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 t="str">
        <f t="shared" si="20"/>
        <v>0</v>
      </c>
      <c r="BO269" s="67">
        <f t="shared" si="21"/>
        <v>0</v>
      </c>
      <c r="BP269" s="67" t="str">
        <f t="shared" si="22"/>
        <v>0</v>
      </c>
    </row>
    <row r="270" spans="1:68" ht="27" customHeight="1" x14ac:dyDescent="0.3">
      <c r="A270" s="54" t="s">
        <v>353</v>
      </c>
      <c r="B270" s="54" t="s">
        <v>354</v>
      </c>
      <c r="C270" s="31">
        <v>4301135405</v>
      </c>
      <c r="D270" s="280">
        <v>4640242181523</v>
      </c>
      <c r="E270" s="281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6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3"/>
      <c r="R270" s="283"/>
      <c r="S270" s="283"/>
      <c r="T270" s="284"/>
      <c r="U270" s="34"/>
      <c r="V270" s="34"/>
      <c r="W270" s="35" t="s">
        <v>68</v>
      </c>
      <c r="X270" s="276"/>
      <c r="Y270" s="277" t="str">
        <f t="shared" si="18"/>
        <v/>
      </c>
      <c r="Z270" s="36" t="str">
        <f t="shared" ref="Z270:Z275" si="23">IFERROR(IF(X270="","",X270*0.00936),"")</f>
        <v/>
      </c>
      <c r="AA270" s="56"/>
      <c r="AB270" s="57"/>
      <c r="AC270" s="254" t="s">
        <v>350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0</v>
      </c>
      <c r="BN270" s="67" t="str">
        <f t="shared" si="20"/>
        <v>0</v>
      </c>
      <c r="BO270" s="67">
        <f t="shared" si="21"/>
        <v>0</v>
      </c>
      <c r="BP270" s="67" t="str">
        <f t="shared" si="22"/>
        <v>0</v>
      </c>
    </row>
    <row r="271" spans="1:68" ht="27" customHeight="1" x14ac:dyDescent="0.3">
      <c r="A271" s="54" t="s">
        <v>355</v>
      </c>
      <c r="B271" s="54" t="s">
        <v>356</v>
      </c>
      <c r="C271" s="31">
        <v>4301135375</v>
      </c>
      <c r="D271" s="280">
        <v>4640242181486</v>
      </c>
      <c r="E271" s="281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6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3"/>
      <c r="R271" s="283"/>
      <c r="S271" s="283"/>
      <c r="T271" s="284"/>
      <c r="U271" s="34"/>
      <c r="V271" s="34"/>
      <c r="W271" s="35" t="s">
        <v>68</v>
      </c>
      <c r="X271" s="276"/>
      <c r="Y271" s="277" t="str">
        <f t="shared" si="18"/>
        <v/>
      </c>
      <c r="Z271" s="36" t="str">
        <f t="shared" si="23"/>
        <v/>
      </c>
      <c r="AA271" s="56"/>
      <c r="AB271" s="57"/>
      <c r="AC271" s="256" t="s">
        <v>347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 t="str">
        <f t="shared" si="20"/>
        <v>0</v>
      </c>
      <c r="BO271" s="67">
        <f t="shared" si="21"/>
        <v>0</v>
      </c>
      <c r="BP271" s="67" t="str">
        <f t="shared" si="22"/>
        <v>0</v>
      </c>
    </row>
    <row r="272" spans="1:68" ht="37.5" customHeight="1" x14ac:dyDescent="0.3">
      <c r="A272" s="54" t="s">
        <v>357</v>
      </c>
      <c r="B272" s="54" t="s">
        <v>358</v>
      </c>
      <c r="C272" s="31">
        <v>4301135402</v>
      </c>
      <c r="D272" s="280">
        <v>4640242181493</v>
      </c>
      <c r="E272" s="281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3"/>
      <c r="R272" s="283"/>
      <c r="S272" s="283"/>
      <c r="T272" s="284"/>
      <c r="U272" s="34"/>
      <c r="V272" s="34"/>
      <c r="W272" s="35" t="s">
        <v>68</v>
      </c>
      <c r="X272" s="276"/>
      <c r="Y272" s="277" t="str">
        <f t="shared" si="18"/>
        <v/>
      </c>
      <c r="Z272" s="36" t="str">
        <f t="shared" si="23"/>
        <v/>
      </c>
      <c r="AA272" s="56"/>
      <c r="AB272" s="57"/>
      <c r="AC272" s="258" t="s">
        <v>347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 t="str">
        <f t="shared" si="20"/>
        <v>0</v>
      </c>
      <c r="BO272" s="67">
        <f t="shared" si="21"/>
        <v>0</v>
      </c>
      <c r="BP272" s="67" t="str">
        <f t="shared" si="22"/>
        <v>0</v>
      </c>
    </row>
    <row r="273" spans="1:68" ht="37.5" customHeight="1" x14ac:dyDescent="0.3">
      <c r="A273" s="54" t="s">
        <v>359</v>
      </c>
      <c r="B273" s="54" t="s">
        <v>360</v>
      </c>
      <c r="C273" s="31">
        <v>4301135403</v>
      </c>
      <c r="D273" s="280">
        <v>4640242181509</v>
      </c>
      <c r="E273" s="281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3"/>
      <c r="R273" s="283"/>
      <c r="S273" s="283"/>
      <c r="T273" s="284"/>
      <c r="U273" s="34"/>
      <c r="V273" s="34"/>
      <c r="W273" s="35" t="s">
        <v>68</v>
      </c>
      <c r="X273" s="276"/>
      <c r="Y273" s="277" t="str">
        <f t="shared" si="18"/>
        <v/>
      </c>
      <c r="Z273" s="36" t="str">
        <f t="shared" si="23"/>
        <v/>
      </c>
      <c r="AA273" s="56"/>
      <c r="AB273" s="57"/>
      <c r="AC273" s="260" t="s">
        <v>347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 t="str">
        <f t="shared" si="20"/>
        <v>0</v>
      </c>
      <c r="BO273" s="67">
        <f t="shared" si="21"/>
        <v>0</v>
      </c>
      <c r="BP273" s="67" t="str">
        <f t="shared" si="22"/>
        <v>0</v>
      </c>
    </row>
    <row r="274" spans="1:68" ht="27" customHeight="1" x14ac:dyDescent="0.3">
      <c r="A274" s="54" t="s">
        <v>361</v>
      </c>
      <c r="B274" s="54" t="s">
        <v>362</v>
      </c>
      <c r="C274" s="31">
        <v>4301135304</v>
      </c>
      <c r="D274" s="280">
        <v>4640242181240</v>
      </c>
      <c r="E274" s="281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3"/>
      <c r="R274" s="283"/>
      <c r="S274" s="283"/>
      <c r="T274" s="284"/>
      <c r="U274" s="34"/>
      <c r="V274" s="34"/>
      <c r="W274" s="35" t="s">
        <v>68</v>
      </c>
      <c r="X274" s="276"/>
      <c r="Y274" s="277" t="str">
        <f t="shared" si="18"/>
        <v/>
      </c>
      <c r="Z274" s="36" t="str">
        <f t="shared" si="23"/>
        <v/>
      </c>
      <c r="AA274" s="56"/>
      <c r="AB274" s="57"/>
      <c r="AC274" s="262" t="s">
        <v>347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 t="str">
        <f t="shared" si="20"/>
        <v>0</v>
      </c>
      <c r="BO274" s="67">
        <f t="shared" si="21"/>
        <v>0</v>
      </c>
      <c r="BP274" s="67" t="str">
        <f t="shared" si="22"/>
        <v>0</v>
      </c>
    </row>
    <row r="275" spans="1:68" ht="27" customHeight="1" x14ac:dyDescent="0.3">
      <c r="A275" s="54" t="s">
        <v>363</v>
      </c>
      <c r="B275" s="54" t="s">
        <v>364</v>
      </c>
      <c r="C275" s="31">
        <v>4301135610</v>
      </c>
      <c r="D275" s="280">
        <v>4640242181318</v>
      </c>
      <c r="E275" s="281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1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3"/>
      <c r="R275" s="283"/>
      <c r="S275" s="283"/>
      <c r="T275" s="284"/>
      <c r="U275" s="34"/>
      <c r="V275" s="34"/>
      <c r="W275" s="35" t="s">
        <v>68</v>
      </c>
      <c r="X275" s="276"/>
      <c r="Y275" s="277" t="str">
        <f t="shared" si="18"/>
        <v/>
      </c>
      <c r="Z275" s="36" t="str">
        <f t="shared" si="23"/>
        <v/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 t="str">
        <f t="shared" si="20"/>
        <v>0</v>
      </c>
      <c r="BO275" s="67">
        <f t="shared" si="21"/>
        <v>0</v>
      </c>
      <c r="BP275" s="67" t="str">
        <f t="shared" si="22"/>
        <v>0</v>
      </c>
    </row>
    <row r="276" spans="1:68" ht="27" customHeight="1" x14ac:dyDescent="0.3">
      <c r="A276" s="54" t="s">
        <v>365</v>
      </c>
      <c r="B276" s="54" t="s">
        <v>366</v>
      </c>
      <c r="C276" s="31">
        <v>4301135306</v>
      </c>
      <c r="D276" s="280">
        <v>4640242181387</v>
      </c>
      <c r="E276" s="281"/>
      <c r="F276" s="275">
        <v>0.3</v>
      </c>
      <c r="G276" s="32">
        <v>9</v>
      </c>
      <c r="H276" s="275">
        <v>2.7</v>
      </c>
      <c r="I276" s="275">
        <v>2.8450000000000002</v>
      </c>
      <c r="J276" s="32">
        <v>234</v>
      </c>
      <c r="K276" s="32" t="s">
        <v>146</v>
      </c>
      <c r="L276" s="32" t="s">
        <v>101</v>
      </c>
      <c r="M276" s="33" t="s">
        <v>67</v>
      </c>
      <c r="N276" s="33"/>
      <c r="O276" s="32">
        <v>180</v>
      </c>
      <c r="P276" s="46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83"/>
      <c r="R276" s="283"/>
      <c r="S276" s="283"/>
      <c r="T276" s="284"/>
      <c r="U276" s="34"/>
      <c r="V276" s="34"/>
      <c r="W276" s="35" t="s">
        <v>68</v>
      </c>
      <c r="X276" s="276"/>
      <c r="Y276" s="277" t="str">
        <f t="shared" si="18"/>
        <v/>
      </c>
      <c r="Z276" s="36" t="str">
        <f>IFERROR(IF(X276="","",X276*0.00502),"")</f>
        <v/>
      </c>
      <c r="AA276" s="56"/>
      <c r="AB276" s="57"/>
      <c r="AC276" s="266" t="s">
        <v>347</v>
      </c>
      <c r="AG276" s="67"/>
      <c r="AJ276" s="71" t="s">
        <v>103</v>
      </c>
      <c r="AK276" s="71">
        <v>18</v>
      </c>
      <c r="BB276" s="267" t="s">
        <v>104</v>
      </c>
      <c r="BM276" s="67">
        <f t="shared" si="19"/>
        <v>0</v>
      </c>
      <c r="BN276" s="67" t="str">
        <f t="shared" si="20"/>
        <v>0</v>
      </c>
      <c r="BO276" s="67">
        <f t="shared" si="21"/>
        <v>0</v>
      </c>
      <c r="BP276" s="67" t="str">
        <f t="shared" si="22"/>
        <v>0</v>
      </c>
    </row>
    <row r="277" spans="1:68" ht="12.5" x14ac:dyDescent="0.25">
      <c r="A277" s="285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7"/>
      <c r="P277" s="298" t="s">
        <v>87</v>
      </c>
      <c r="Q277" s="299"/>
      <c r="R277" s="299"/>
      <c r="S277" s="299"/>
      <c r="T277" s="299"/>
      <c r="U277" s="299"/>
      <c r="V277" s="300"/>
      <c r="W277" s="37" t="s">
        <v>68</v>
      </c>
      <c r="X277" s="278">
        <f>IFERROR(SUM(X267:X276),"0")</f>
        <v>0</v>
      </c>
      <c r="Y277" s="278">
        <f>IFERROR(SUM(Y267:Y276),"0")</f>
        <v>0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279"/>
      <c r="AB277" s="279"/>
      <c r="AC277" s="279"/>
    </row>
    <row r="278" spans="1:68" ht="12.5" x14ac:dyDescent="0.25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7"/>
      <c r="P278" s="298" t="s">
        <v>87</v>
      </c>
      <c r="Q278" s="299"/>
      <c r="R278" s="299"/>
      <c r="S278" s="299"/>
      <c r="T278" s="299"/>
      <c r="U278" s="299"/>
      <c r="V278" s="300"/>
      <c r="W278" s="37" t="s">
        <v>88</v>
      </c>
      <c r="X278" s="278">
        <f>IFERROR(SUMPRODUCT(X267:X276*H267:H276),"0")</f>
        <v>0</v>
      </c>
      <c r="Y278" s="278" t="str">
        <f>IFERROR(SUMPRODUCT(Y267:Y276*H267:H276),"0")</f>
        <v>0</v>
      </c>
      <c r="Z278" s="37"/>
      <c r="AA278" s="279"/>
      <c r="AB278" s="279"/>
      <c r="AC278" s="279"/>
    </row>
    <row r="279" spans="1:68" ht="15" customHeight="1" x14ac:dyDescent="0.25">
      <c r="A279" s="382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353"/>
      <c r="P279" s="320" t="s">
        <v>367</v>
      </c>
      <c r="Q279" s="321"/>
      <c r="R279" s="321"/>
      <c r="S279" s="321"/>
      <c r="T279" s="321"/>
      <c r="U279" s="321"/>
      <c r="V279" s="322"/>
      <c r="W279" s="37" t="s">
        <v>88</v>
      </c>
      <c r="X279" s="278">
        <f>IFERROR(X31+X37+X44+X50+X58+X63+X68+X74+X80+X85+X91+X101+X107+X118+X122+X126+X134+X140+X146+X152+X158+X163+X168+X173+X180+X185+X194+X200+X206+X212+X217+X222+X228+X234+X238+X244+X248+X255+X259+X265+X278,"0")</f>
        <v>102.11999999999999</v>
      </c>
      <c r="Y279" s="278">
        <f>IFERROR(Y31+Y37+Y44+Y50+Y58+Y63+Y68+Y74+Y80+Y85+Y91+Y101+Y107+Y118+Y122+Y126+Y134+Y140+Y146+Y152+Y158+Y163+Y168+Y173+Y180+Y185+Y194+Y200+Y206+Y212+Y217+Y222+Y228+Y234+Y238+Y244+Y248+Y255+Y259+Y265+Y278,"0")</f>
        <v>0</v>
      </c>
      <c r="Z279" s="37"/>
      <c r="AA279" s="279"/>
      <c r="AB279" s="279"/>
      <c r="AC279" s="279"/>
    </row>
    <row r="280" spans="1:68" ht="12.5" x14ac:dyDescent="0.25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353"/>
      <c r="P280" s="320" t="s">
        <v>368</v>
      </c>
      <c r="Q280" s="321"/>
      <c r="R280" s="321"/>
      <c r="S280" s="321"/>
      <c r="T280" s="321"/>
      <c r="U280" s="321"/>
      <c r="V280" s="322"/>
      <c r="W280" s="37" t="s">
        <v>88</v>
      </c>
      <c r="X280" s="278">
        <f>IFERROR(SUM(BM22:BM276),"0")</f>
        <v>133.20000000000002</v>
      </c>
      <c r="Y280" s="278">
        <f>IFERROR(SUM(BN22:BN276),"0")</f>
        <v>133.20000000000002</v>
      </c>
      <c r="Z280" s="37"/>
      <c r="AA280" s="279"/>
      <c r="AB280" s="279"/>
      <c r="AC280" s="279"/>
    </row>
    <row r="281" spans="1:68" ht="12.5" x14ac:dyDescent="0.25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353"/>
      <c r="P281" s="320" t="s">
        <v>369</v>
      </c>
      <c r="Q281" s="321"/>
      <c r="R281" s="321"/>
      <c r="S281" s="321"/>
      <c r="T281" s="321"/>
      <c r="U281" s="321"/>
      <c r="V281" s="322"/>
      <c r="W281" s="37" t="s">
        <v>370</v>
      </c>
      <c r="X281" s="38">
        <f>ROUNDUP(SUM(BO22:BO276),0)</f>
        <v>1</v>
      </c>
      <c r="Y281" s="38">
        <f>ROUNDUP(SUM(BP22:BP276),0)</f>
        <v>1</v>
      </c>
      <c r="Z281" s="37"/>
      <c r="AA281" s="279"/>
      <c r="AB281" s="279"/>
      <c r="AC281" s="279"/>
    </row>
    <row r="282" spans="1:68" ht="12.5" x14ac:dyDescent="0.25">
      <c r="A282" s="286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353"/>
      <c r="P282" s="320" t="s">
        <v>371</v>
      </c>
      <c r="Q282" s="321"/>
      <c r="R282" s="321"/>
      <c r="S282" s="321"/>
      <c r="T282" s="321"/>
      <c r="U282" s="321"/>
      <c r="V282" s="322"/>
      <c r="W282" s="37" t="s">
        <v>88</v>
      </c>
      <c r="X282" s="278">
        <f>GrossWeightTotal+PalletQtyTotal*25</f>
        <v>158.20000000000002</v>
      </c>
      <c r="Y282" s="278">
        <f>GrossWeightTotalR+PalletQtyTotalR*25</f>
        <v>158.20000000000002</v>
      </c>
      <c r="Z282" s="37"/>
      <c r="AA282" s="279"/>
      <c r="AB282" s="279"/>
      <c r="AC282" s="279"/>
    </row>
    <row r="283" spans="1:68" ht="12.5" x14ac:dyDescent="0.25">
      <c r="A283" s="286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353"/>
      <c r="P283" s="320" t="s">
        <v>372</v>
      </c>
      <c r="Q283" s="321"/>
      <c r="R283" s="321"/>
      <c r="S283" s="321"/>
      <c r="T283" s="321"/>
      <c r="U283" s="321"/>
      <c r="V283" s="322"/>
      <c r="W283" s="37" t="s">
        <v>370</v>
      </c>
      <c r="X283" s="278">
        <f>IFERROR(X30+X36+X43+X49+X57+X62+X67+X73+X79+X84+X90+X100+X106+X117+X121+X125+X133+X139+X145+X151+X157+X162+X167+X172+X179+X184+X193+X199+X205+X211+X216+X221+X227+X233+X237+X243+X247+X254+X258+X264+X277,"0")</f>
        <v>74</v>
      </c>
      <c r="Y283" s="278">
        <f>IFERROR(Y30+Y36+Y43+Y49+Y57+Y62+Y67+Y73+Y79+Y84+Y90+Y100+Y106+Y117+Y121+Y125+Y133+Y139+Y145+Y151+Y157+Y162+Y167+Y172+Y179+Y184+Y193+Y199+Y205+Y211+Y216+Y221+Y227+Y233+Y237+Y243+Y247+Y254+Y258+Y264+Y277,"0")</f>
        <v>74</v>
      </c>
      <c r="Z283" s="37"/>
      <c r="AA283" s="279"/>
      <c r="AB283" s="279"/>
      <c r="AC283" s="279"/>
    </row>
    <row r="284" spans="1:68" ht="14.25" customHeight="1" x14ac:dyDescent="0.25">
      <c r="A284" s="286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353"/>
      <c r="P284" s="320" t="s">
        <v>373</v>
      </c>
      <c r="Q284" s="321"/>
      <c r="R284" s="321"/>
      <c r="S284" s="321"/>
      <c r="T284" s="321"/>
      <c r="U284" s="321"/>
      <c r="V284" s="322"/>
      <c r="W284" s="39" t="s">
        <v>374</v>
      </c>
      <c r="X284" s="37"/>
      <c r="Y284" s="37"/>
      <c r="Z284" s="37">
        <f>IFERROR(Z30+Z36+Z43+Z49+Z57+Z62+Z67+Z73+Z79+Z84+Z90+Z100+Z106+Z117+Z121+Z125+Z133+Z139+Z145+Z151+Z157+Z162+Z167+Z172+Z179+Z184+Z193+Z199+Z205+Z211+Z216+Z221+Z227+Z233+Z237+Z243+Z247+Z254+Z258+Z264+Z277,"0")</f>
        <v>0.69633999999999996</v>
      </c>
      <c r="AA284" s="279"/>
      <c r="AB284" s="279"/>
      <c r="AC284" s="279"/>
    </row>
    <row r="285" spans="1:68" ht="13.5" customHeight="1" thickBot="1" x14ac:dyDescent="0.35"/>
    <row r="286" spans="1:68" ht="27" customHeight="1" thickTop="1" thickBot="1" x14ac:dyDescent="0.3">
      <c r="A286" s="40" t="s">
        <v>375</v>
      </c>
      <c r="B286" s="306" t="s">
        <v>61</v>
      </c>
      <c r="C286" s="403"/>
      <c r="D286" s="306" t="s">
        <v>95</v>
      </c>
      <c r="E286" s="402"/>
      <c r="F286" s="402"/>
      <c r="G286" s="402"/>
      <c r="H286" s="402"/>
      <c r="I286" s="402"/>
      <c r="J286" s="402"/>
      <c r="K286" s="402"/>
      <c r="L286" s="402"/>
      <c r="M286" s="402"/>
      <c r="N286" s="402"/>
      <c r="O286" s="402"/>
      <c r="P286" s="402"/>
      <c r="Q286" s="402"/>
      <c r="R286" s="402"/>
      <c r="S286" s="402"/>
      <c r="T286" s="402"/>
      <c r="U286" s="403"/>
      <c r="V286" s="306" t="s">
        <v>255</v>
      </c>
      <c r="W286" s="403"/>
      <c r="X286" s="273" t="s">
        <v>266</v>
      </c>
      <c r="Y286" s="306" t="s">
        <v>280</v>
      </c>
      <c r="Z286" s="402"/>
      <c r="AA286" s="402"/>
      <c r="AB286" s="403"/>
      <c r="AC286" s="273" t="s">
        <v>309</v>
      </c>
      <c r="AD286" s="273" t="s">
        <v>314</v>
      </c>
      <c r="AE286" s="273" t="s">
        <v>322</v>
      </c>
      <c r="AF286" s="273" t="s">
        <v>329</v>
      </c>
    </row>
    <row r="287" spans="1:68" ht="14.25" customHeight="1" thickTop="1" x14ac:dyDescent="0.25">
      <c r="A287" s="317" t="s">
        <v>376</v>
      </c>
      <c r="B287" s="306" t="s">
        <v>61</v>
      </c>
      <c r="C287" s="306" t="s">
        <v>89</v>
      </c>
      <c r="D287" s="306" t="s">
        <v>96</v>
      </c>
      <c r="E287" s="306" t="s">
        <v>107</v>
      </c>
      <c r="F287" s="306" t="s">
        <v>114</v>
      </c>
      <c r="G287" s="306" t="s">
        <v>125</v>
      </c>
      <c r="H287" s="306" t="s">
        <v>143</v>
      </c>
      <c r="I287" s="306" t="s">
        <v>150</v>
      </c>
      <c r="J287" s="306" t="s">
        <v>154</v>
      </c>
      <c r="K287" s="306" t="s">
        <v>162</v>
      </c>
      <c r="L287" s="306" t="s">
        <v>177</v>
      </c>
      <c r="M287" s="306" t="s">
        <v>183</v>
      </c>
      <c r="N287" s="274"/>
      <c r="O287" s="306" t="s">
        <v>208</v>
      </c>
      <c r="P287" s="306" t="s">
        <v>226</v>
      </c>
      <c r="Q287" s="306" t="s">
        <v>232</v>
      </c>
      <c r="R287" s="306" t="s">
        <v>239</v>
      </c>
      <c r="S287" s="306" t="s">
        <v>244</v>
      </c>
      <c r="T287" s="306" t="s">
        <v>248</v>
      </c>
      <c r="U287" s="306" t="s">
        <v>251</v>
      </c>
      <c r="V287" s="306" t="s">
        <v>256</v>
      </c>
      <c r="W287" s="306" t="s">
        <v>263</v>
      </c>
      <c r="X287" s="306" t="s">
        <v>267</v>
      </c>
      <c r="Y287" s="306" t="s">
        <v>281</v>
      </c>
      <c r="Z287" s="306" t="s">
        <v>294</v>
      </c>
      <c r="AA287" s="306" t="s">
        <v>301</v>
      </c>
      <c r="AB287" s="306" t="s">
        <v>305</v>
      </c>
      <c r="AC287" s="306" t="s">
        <v>310</v>
      </c>
      <c r="AD287" s="306" t="s">
        <v>315</v>
      </c>
      <c r="AE287" s="306" t="s">
        <v>322</v>
      </c>
      <c r="AF287" s="306" t="s">
        <v>329</v>
      </c>
    </row>
    <row r="288" spans="1:68" ht="13.5" customHeight="1" thickBot="1" x14ac:dyDescent="0.3">
      <c r="A288" s="318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274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  <c r="AA288" s="307"/>
      <c r="AB288" s="307"/>
      <c r="AC288" s="307"/>
      <c r="AD288" s="307"/>
      <c r="AE288" s="307"/>
      <c r="AF288" s="307"/>
    </row>
    <row r="289" spans="1:32" ht="18" customHeight="1" thickTop="1" thickBot="1" x14ac:dyDescent="0.3">
      <c r="A289" s="40" t="s">
        <v>377</v>
      </c>
      <c r="B289" s="46">
        <f>IFERROR(X22*H22,"0")+IFERROR(X23*H23,"0")+IFERROR(X24*H24,"0")+IFERROR(X25*H25,"0")+IFERROR(X26*H26,"0")+IFERROR(X27*H27,"0")+IFERROR(X28*H28,"0")+IFERROR(X29*H29,"0")</f>
        <v>0</v>
      </c>
      <c r="C289" s="46">
        <f>IFERROR(X34*H34,"0")+IFERROR(X35*H35,"0")</f>
        <v>0</v>
      </c>
      <c r="D289" s="46">
        <f>IFERROR(X41*H41,"0")+IFERROR(X42*H42,"0")</f>
        <v>0</v>
      </c>
      <c r="E289" s="46">
        <f>IFERROR(X47*H47,"0")+IFERROR(X48*H48,"0")</f>
        <v>0</v>
      </c>
      <c r="F289" s="46">
        <f>IFERROR(X53*H53,"0")+IFERROR(X54*H54,"0")+IFERROR(X55*H55,"0")+IFERROR(X56*H56,"0")</f>
        <v>0</v>
      </c>
      <c r="G289" s="46">
        <f>IFERROR(X61*H61,"0")+IFERROR(X65*H65,"0")+IFERROR(X66*H66,"0")+IFERROR(X70*H70,"0")+IFERROR(X71*H71,"0")+IFERROR(X72*H72,"0")</f>
        <v>0</v>
      </c>
      <c r="H289" s="46">
        <f>IFERROR(X77*H77,"0")+IFERROR(X78*H78,"0")</f>
        <v>0</v>
      </c>
      <c r="I289" s="46">
        <f>IFERROR(X83*H83,"0")</f>
        <v>0</v>
      </c>
      <c r="J289" s="46">
        <f>IFERROR(X88*H88,"0")+IFERROR(X89*H89,"0")</f>
        <v>0</v>
      </c>
      <c r="K289" s="46">
        <f>IFERROR(X94*H94,"0")+IFERROR(X95*H95,"0")+IFERROR(X96*H96,"0")+IFERROR(X97*H97,"0")+IFERROR(X98*H98,"0")+IFERROR(X99*H99,"0")</f>
        <v>0</v>
      </c>
      <c r="L289" s="46">
        <f>IFERROR(X104*H104,"0")+IFERROR(X105*H105,"0")</f>
        <v>0</v>
      </c>
      <c r="M289" s="46">
        <f>IFERROR(X110*H110,"0")+IFERROR(X111*H111,"0")+IFERROR(X112*H112,"0")+IFERROR(X113*H113,"0")+IFERROR(X114*H114,"0")+IFERROR(X115*H115,"0")+IFERROR(X116*H116,"0")+IFERROR(X120*H120,"0")+IFERROR(X124*H124,"0")</f>
        <v>0</v>
      </c>
      <c r="N289" s="274"/>
      <c r="O289" s="46">
        <f>IFERROR(X129*H129,"0")+IFERROR(X130*H130,"0")+IFERROR(X131*H131,"0")+IFERROR(X132*H132,"0")+IFERROR(X136*H136,"0")+IFERROR(X137*H137,"0")+IFERROR(X138*H138,"0")</f>
        <v>102.11999999999999</v>
      </c>
      <c r="P289" s="46">
        <f>IFERROR(X143*H143,"0")+IFERROR(X144*H144,"0")</f>
        <v>0</v>
      </c>
      <c r="Q289" s="46">
        <f>IFERROR(X149*H149,"0")+IFERROR(X150*H150,"0")</f>
        <v>0</v>
      </c>
      <c r="R289" s="46">
        <f>IFERROR(X155*H155,"0")+IFERROR(X156*H156,"0")</f>
        <v>0</v>
      </c>
      <c r="S289" s="46">
        <f>IFERROR(X161*H161,"0")</f>
        <v>0</v>
      </c>
      <c r="T289" s="46">
        <f>IFERROR(X166*H166,"0")</f>
        <v>0</v>
      </c>
      <c r="U289" s="46">
        <f>IFERROR(X171*H171,"0")</f>
        <v>0</v>
      </c>
      <c r="V289" s="46">
        <f>IFERROR(X177*H177,"0")+IFERROR(X178*H178,"0")</f>
        <v>0</v>
      </c>
      <c r="W289" s="46">
        <f>IFERROR(X183*H183,"0")</f>
        <v>0</v>
      </c>
      <c r="X289" s="46">
        <f>IFERROR(X189*H189,"0")+IFERROR(X190*H190,"0")+IFERROR(X191*H191,"0")+IFERROR(X192*H192,"0")</f>
        <v>0</v>
      </c>
      <c r="Y289" s="46">
        <f>IFERROR(X198*H198,"0")+IFERROR(X202*H202,"0")+IFERROR(X203*H203,"0")+IFERROR(X204*H204,"0")</f>
        <v>0</v>
      </c>
      <c r="Z289" s="46">
        <f>IFERROR(X209*H209,"0")+IFERROR(X210*H210,"0")</f>
        <v>0</v>
      </c>
      <c r="AA289" s="46">
        <f>IFERROR(X215*H215,"0")</f>
        <v>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0</v>
      </c>
    </row>
    <row r="290" spans="1:32" ht="13.5" customHeight="1" thickTop="1" x14ac:dyDescent="0.3">
      <c r="C290" s="274"/>
    </row>
    <row r="291" spans="1:32" ht="19.5" customHeight="1" x14ac:dyDescent="0.3">
      <c r="A291" s="58" t="s">
        <v>378</v>
      </c>
      <c r="B291" s="58" t="s">
        <v>379</v>
      </c>
      <c r="C291" s="58" t="s">
        <v>380</v>
      </c>
    </row>
    <row r="292" spans="1:32" x14ac:dyDescent="0.3">
      <c r="A292" s="59">
        <f>SUMPRODUCT(--(BB:BB="ЗПФ"),--(W:W="кор"),H:H,Y:Y)+SUMPRODUCT(--(BB:BB="ЗПФ"),--(W:W="кг"),Y:Y)</f>
        <v>0</v>
      </c>
      <c r="B292" s="60">
        <f>SUMPRODUCT(--(BB:BB="ПГП"),--(W:W="кор"),H:H,Y:Y)+SUMPRODUCT(--(BB:BB="ПГП"),--(W:W="кг"),Y:Y)</f>
        <v>102.11999999999999</v>
      </c>
      <c r="C292" s="60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7">
    <mergeCell ref="P50:V50"/>
    <mergeCell ref="P258:V258"/>
    <mergeCell ref="A175:Z175"/>
    <mergeCell ref="A51:Z51"/>
    <mergeCell ref="P72:T72"/>
    <mergeCell ref="N17:N18"/>
    <mergeCell ref="P202:T202"/>
    <mergeCell ref="X17:X18"/>
    <mergeCell ref="A52:Z52"/>
    <mergeCell ref="B286:C286"/>
    <mergeCell ref="P216:V216"/>
    <mergeCell ref="L287:L288"/>
    <mergeCell ref="P283:V283"/>
    <mergeCell ref="P83:T83"/>
    <mergeCell ref="D271:E271"/>
    <mergeCell ref="D268:E268"/>
    <mergeCell ref="D276:E276"/>
    <mergeCell ref="P276:T276"/>
    <mergeCell ref="P105:T105"/>
    <mergeCell ref="D257:E257"/>
    <mergeCell ref="P270:T270"/>
    <mergeCell ref="P284:V284"/>
    <mergeCell ref="D150:E150"/>
    <mergeCell ref="P63:V63"/>
    <mergeCell ref="D215:E215"/>
    <mergeCell ref="P194:V194"/>
    <mergeCell ref="A75:Z75"/>
    <mergeCell ref="Q5:R5"/>
    <mergeCell ref="D242:E242"/>
    <mergeCell ref="M287:M288"/>
    <mergeCell ref="D120:E120"/>
    <mergeCell ref="F17:F18"/>
    <mergeCell ref="A49:O50"/>
    <mergeCell ref="P65:T65"/>
    <mergeCell ref="P136:T136"/>
    <mergeCell ref="P70:T70"/>
    <mergeCell ref="P263:T263"/>
    <mergeCell ref="D171:E171"/>
    <mergeCell ref="Q6:R6"/>
    <mergeCell ref="A33:Z33"/>
    <mergeCell ref="D25:E25"/>
    <mergeCell ref="P145:V145"/>
    <mergeCell ref="A231:Z231"/>
    <mergeCell ref="J287:J288"/>
    <mergeCell ref="D54:E54"/>
    <mergeCell ref="D270:E270"/>
    <mergeCell ref="D99:E99"/>
    <mergeCell ref="P205:V205"/>
    <mergeCell ref="S287:S288"/>
    <mergeCell ref="A201:Z201"/>
    <mergeCell ref="U287:U288"/>
    <mergeCell ref="B287:B288"/>
    <mergeCell ref="D287:D288"/>
    <mergeCell ref="A36:O37"/>
    <mergeCell ref="P253:T253"/>
    <mergeCell ref="A223:Z223"/>
    <mergeCell ref="A205:O206"/>
    <mergeCell ref="D29:E29"/>
    <mergeCell ref="V286:W286"/>
    <mergeCell ref="D23:E23"/>
    <mergeCell ref="D252:E252"/>
    <mergeCell ref="P110:T110"/>
    <mergeCell ref="A258:O259"/>
    <mergeCell ref="A249:Z249"/>
    <mergeCell ref="A127:Z127"/>
    <mergeCell ref="Z287:Z288"/>
    <mergeCell ref="D149:E149"/>
    <mergeCell ref="A62:O63"/>
    <mergeCell ref="P255:V255"/>
    <mergeCell ref="P178:T178"/>
    <mergeCell ref="P34:T34"/>
    <mergeCell ref="D191:E191"/>
    <mergeCell ref="D262:E262"/>
    <mergeCell ref="P122:V122"/>
    <mergeCell ref="A245:Z245"/>
    <mergeCell ref="P2:W3"/>
    <mergeCell ref="A57:O58"/>
    <mergeCell ref="P198:T198"/>
    <mergeCell ref="P54:T54"/>
    <mergeCell ref="A170:Z170"/>
    <mergeCell ref="D35:E35"/>
    <mergeCell ref="D10:E10"/>
    <mergeCell ref="F10:G10"/>
    <mergeCell ref="P191:T191"/>
    <mergeCell ref="A121:O122"/>
    <mergeCell ref="D34:E34"/>
    <mergeCell ref="F5:G5"/>
    <mergeCell ref="V11:W11"/>
    <mergeCell ref="A176:Z176"/>
    <mergeCell ref="P68:V68"/>
    <mergeCell ref="A64:Z64"/>
    <mergeCell ref="P185:V185"/>
    <mergeCell ref="A8:C8"/>
    <mergeCell ref="A128:Z128"/>
    <mergeCell ref="A10:C10"/>
    <mergeCell ref="P140:V140"/>
    <mergeCell ref="A21:Z21"/>
    <mergeCell ref="D192:E192"/>
    <mergeCell ref="D42:E42"/>
    <mergeCell ref="D286:U286"/>
    <mergeCell ref="D177:E177"/>
    <mergeCell ref="P281:V281"/>
    <mergeCell ref="D226:E226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D83:E83"/>
    <mergeCell ref="D143:E143"/>
    <mergeCell ref="P177:T177"/>
    <mergeCell ref="P226:T226"/>
    <mergeCell ref="AD17:AF18"/>
    <mergeCell ref="AC17:AC18"/>
    <mergeCell ref="P101:V101"/>
    <mergeCell ref="A224:Z224"/>
    <mergeCell ref="D89:E89"/>
    <mergeCell ref="A207:Z207"/>
    <mergeCell ref="P190:T190"/>
    <mergeCell ref="P267:T267"/>
    <mergeCell ref="D246:E246"/>
    <mergeCell ref="P203:T203"/>
    <mergeCell ref="P53:T53"/>
    <mergeCell ref="D161:E161"/>
    <mergeCell ref="P67:V67"/>
    <mergeCell ref="P132:T132"/>
    <mergeCell ref="P146:V146"/>
    <mergeCell ref="A235:Z235"/>
    <mergeCell ref="P167:V167"/>
    <mergeCell ref="P117:V117"/>
    <mergeCell ref="A20:Z20"/>
    <mergeCell ref="P43:V43"/>
    <mergeCell ref="A39:Z39"/>
    <mergeCell ref="P25:T25"/>
    <mergeCell ref="A103:Z103"/>
    <mergeCell ref="D95:E95"/>
    <mergeCell ref="P149:T149"/>
    <mergeCell ref="P137:T137"/>
    <mergeCell ref="D9:E9"/>
    <mergeCell ref="F9:G9"/>
    <mergeCell ref="P269:T269"/>
    <mergeCell ref="A100:O101"/>
    <mergeCell ref="A230:Z230"/>
    <mergeCell ref="P35:T35"/>
    <mergeCell ref="P57:V57"/>
    <mergeCell ref="AA17:AA18"/>
    <mergeCell ref="H10:M10"/>
    <mergeCell ref="P107:V107"/>
    <mergeCell ref="A12:M12"/>
    <mergeCell ref="A14:M14"/>
    <mergeCell ref="V12:W12"/>
    <mergeCell ref="P74:V74"/>
    <mergeCell ref="A73:O74"/>
    <mergeCell ref="Y17:Y18"/>
    <mergeCell ref="U17:V17"/>
    <mergeCell ref="P124:T124"/>
    <mergeCell ref="P163:V163"/>
    <mergeCell ref="A153:Z153"/>
    <mergeCell ref="D97:E97"/>
    <mergeCell ref="P262:T262"/>
    <mergeCell ref="D105:E105"/>
    <mergeCell ref="A125:O126"/>
    <mergeCell ref="P114:T114"/>
    <mergeCell ref="X287:X288"/>
    <mergeCell ref="V6:W9"/>
    <mergeCell ref="A106:O107"/>
    <mergeCell ref="A59:Z59"/>
    <mergeCell ref="D65:E65"/>
    <mergeCell ref="P22:T22"/>
    <mergeCell ref="D6:M6"/>
    <mergeCell ref="G17:G18"/>
    <mergeCell ref="P184:V184"/>
    <mergeCell ref="P121:V121"/>
    <mergeCell ref="A182:Z182"/>
    <mergeCell ref="A169:Z169"/>
    <mergeCell ref="P130:T130"/>
    <mergeCell ref="D136:E136"/>
    <mergeCell ref="P111:T111"/>
    <mergeCell ref="P61:T61"/>
    <mergeCell ref="A108:Z108"/>
    <mergeCell ref="D166:E166"/>
    <mergeCell ref="A17:A18"/>
    <mergeCell ref="K17:K18"/>
    <mergeCell ref="C17:C18"/>
    <mergeCell ref="P66:T66"/>
    <mergeCell ref="A38:Z38"/>
    <mergeCell ref="A147:Z147"/>
    <mergeCell ref="P172:V172"/>
    <mergeCell ref="P221:V221"/>
    <mergeCell ref="D138:E138"/>
    <mergeCell ref="A40:Z40"/>
    <mergeCell ref="D203:E203"/>
    <mergeCell ref="A186:Z186"/>
    <mergeCell ref="P232:T232"/>
    <mergeCell ref="P152:V152"/>
    <mergeCell ref="A82:Z82"/>
    <mergeCell ref="P96:T96"/>
    <mergeCell ref="D204:E204"/>
    <mergeCell ref="P161:T161"/>
    <mergeCell ref="D198:E198"/>
    <mergeCell ref="A84:O85"/>
    <mergeCell ref="A221:O222"/>
    <mergeCell ref="P156:T156"/>
    <mergeCell ref="A160:Z160"/>
    <mergeCell ref="A141:Z141"/>
    <mergeCell ref="A135:Z135"/>
    <mergeCell ref="A225:Z225"/>
    <mergeCell ref="D202:E202"/>
    <mergeCell ref="P112:T112"/>
    <mergeCell ref="D61:E61"/>
    <mergeCell ref="P115:T115"/>
    <mergeCell ref="A256:Z256"/>
    <mergeCell ref="AF287:AF288"/>
    <mergeCell ref="D56:E56"/>
    <mergeCell ref="D114:E114"/>
    <mergeCell ref="P143:T143"/>
    <mergeCell ref="Q287:Q288"/>
    <mergeCell ref="P157:V157"/>
    <mergeCell ref="D267:E267"/>
    <mergeCell ref="P261:T261"/>
    <mergeCell ref="D269:E269"/>
    <mergeCell ref="P287:P288"/>
    <mergeCell ref="P247:V247"/>
    <mergeCell ref="D273:E273"/>
    <mergeCell ref="P234:V234"/>
    <mergeCell ref="P274:T274"/>
    <mergeCell ref="P257:T257"/>
    <mergeCell ref="Y286:AB286"/>
    <mergeCell ref="A243:O244"/>
    <mergeCell ref="C287:C288"/>
    <mergeCell ref="E287:E288"/>
    <mergeCell ref="P134:V134"/>
    <mergeCell ref="A93:Z93"/>
    <mergeCell ref="P30:V30"/>
    <mergeCell ref="H17:H18"/>
    <mergeCell ref="D190:E190"/>
    <mergeCell ref="W287:W288"/>
    <mergeCell ref="O287:O288"/>
    <mergeCell ref="P80:V80"/>
    <mergeCell ref="P151:V151"/>
    <mergeCell ref="D130:E130"/>
    <mergeCell ref="P126:V126"/>
    <mergeCell ref="P24:T24"/>
    <mergeCell ref="D132:E132"/>
    <mergeCell ref="P89:T89"/>
    <mergeCell ref="D178:E178"/>
    <mergeCell ref="P88:T88"/>
    <mergeCell ref="P26:T26"/>
    <mergeCell ref="A199:O200"/>
    <mergeCell ref="A92:Z92"/>
    <mergeCell ref="P227:V227"/>
    <mergeCell ref="P58:V58"/>
    <mergeCell ref="A119:Z119"/>
    <mergeCell ref="P79:V79"/>
    <mergeCell ref="P244:V244"/>
    <mergeCell ref="P73:V73"/>
    <mergeCell ref="A69:Z69"/>
    <mergeCell ref="A5:C5"/>
    <mergeCell ref="A187:Z187"/>
    <mergeCell ref="A174:Z174"/>
    <mergeCell ref="D275:E275"/>
    <mergeCell ref="D104:E104"/>
    <mergeCell ref="P254:V254"/>
    <mergeCell ref="T6:U9"/>
    <mergeCell ref="A279:O284"/>
    <mergeCell ref="A30:O31"/>
    <mergeCell ref="Q10:R10"/>
    <mergeCell ref="D41:E41"/>
    <mergeCell ref="P85:V85"/>
    <mergeCell ref="A208:Z208"/>
    <mergeCell ref="P84:V84"/>
    <mergeCell ref="D137:E137"/>
    <mergeCell ref="A13:M13"/>
    <mergeCell ref="A15:M15"/>
    <mergeCell ref="A196:Z196"/>
    <mergeCell ref="D48:E48"/>
    <mergeCell ref="P77:T77"/>
    <mergeCell ref="P204:T204"/>
    <mergeCell ref="J9:M9"/>
    <mergeCell ref="D112:E112"/>
    <mergeCell ref="A90:O91"/>
    <mergeCell ref="P200:V200"/>
    <mergeCell ref="P243:V243"/>
    <mergeCell ref="A19:Z19"/>
    <mergeCell ref="V5:W5"/>
    <mergeCell ref="D111:E111"/>
    <mergeCell ref="P212:V212"/>
    <mergeCell ref="A142:Z142"/>
    <mergeCell ref="Q8:R8"/>
    <mergeCell ref="D183:E183"/>
    <mergeCell ref="A157:O158"/>
    <mergeCell ref="P27:T27"/>
    <mergeCell ref="H5:M5"/>
    <mergeCell ref="P48:T48"/>
    <mergeCell ref="A9:C9"/>
    <mergeCell ref="Q13:R13"/>
    <mergeCell ref="P41:T41"/>
    <mergeCell ref="D155:E155"/>
    <mergeCell ref="D22:E22"/>
    <mergeCell ref="M17:M18"/>
    <mergeCell ref="O17:O18"/>
    <mergeCell ref="P183:T183"/>
    <mergeCell ref="A181:Z181"/>
    <mergeCell ref="D17:E18"/>
    <mergeCell ref="A151:O152"/>
    <mergeCell ref="T5:U5"/>
    <mergeCell ref="P71:T71"/>
    <mergeCell ref="D24:E24"/>
    <mergeCell ref="Q11:R11"/>
    <mergeCell ref="A6:C6"/>
    <mergeCell ref="D113:E113"/>
    <mergeCell ref="AA287:AA288"/>
    <mergeCell ref="D88:E88"/>
    <mergeCell ref="D7:M7"/>
    <mergeCell ref="P271:T271"/>
    <mergeCell ref="P94:T94"/>
    <mergeCell ref="D8:M8"/>
    <mergeCell ref="A211:O212"/>
    <mergeCell ref="P180:V180"/>
    <mergeCell ref="P118:V118"/>
    <mergeCell ref="A241:Z241"/>
    <mergeCell ref="P95:T95"/>
    <mergeCell ref="D210:E210"/>
    <mergeCell ref="A46:Z46"/>
    <mergeCell ref="D209:E209"/>
    <mergeCell ref="P166:T166"/>
    <mergeCell ref="P116:T116"/>
    <mergeCell ref="A162:O163"/>
    <mergeCell ref="I287:I288"/>
    <mergeCell ref="R287:R288"/>
    <mergeCell ref="A250:Z250"/>
    <mergeCell ref="A254:O255"/>
    <mergeCell ref="D232:E232"/>
    <mergeCell ref="P238:V238"/>
    <mergeCell ref="A247:O248"/>
    <mergeCell ref="G287:G288"/>
    <mergeCell ref="P91:V91"/>
    <mergeCell ref="P236:T236"/>
    <mergeCell ref="D144:E144"/>
    <mergeCell ref="A184:O185"/>
    <mergeCell ref="P138:T138"/>
    <mergeCell ref="D96:E96"/>
    <mergeCell ref="D116:E116"/>
    <mergeCell ref="A164:Z164"/>
    <mergeCell ref="P272:T272"/>
    <mergeCell ref="D156:E156"/>
    <mergeCell ref="P210:T210"/>
    <mergeCell ref="A277:O278"/>
    <mergeCell ref="A133:O134"/>
    <mergeCell ref="D220:E220"/>
    <mergeCell ref="P199:V199"/>
    <mergeCell ref="A195:Z195"/>
    <mergeCell ref="A251:Z251"/>
    <mergeCell ref="D1:F1"/>
    <mergeCell ref="P47:T47"/>
    <mergeCell ref="P282:V282"/>
    <mergeCell ref="J17:J18"/>
    <mergeCell ref="L17:L18"/>
    <mergeCell ref="A165:Z165"/>
    <mergeCell ref="P125:V125"/>
    <mergeCell ref="P192:T192"/>
    <mergeCell ref="P277:V277"/>
    <mergeCell ref="A102:Z102"/>
    <mergeCell ref="P113:T113"/>
    <mergeCell ref="A229:Z229"/>
    <mergeCell ref="P17:T18"/>
    <mergeCell ref="P129:T129"/>
    <mergeCell ref="A148:Z148"/>
    <mergeCell ref="A167:O168"/>
    <mergeCell ref="D77:E77"/>
    <mergeCell ref="P131:T131"/>
    <mergeCell ref="A117:O118"/>
    <mergeCell ref="P139:V139"/>
    <mergeCell ref="I17:I18"/>
    <mergeCell ref="P189:T189"/>
    <mergeCell ref="D72:E72"/>
    <mergeCell ref="A239:Z239"/>
    <mergeCell ref="H1:Q1"/>
    <mergeCell ref="P280:V280"/>
    <mergeCell ref="P222:V222"/>
    <mergeCell ref="P193:V193"/>
    <mergeCell ref="P120:T120"/>
    <mergeCell ref="A237:O238"/>
    <mergeCell ref="D28:E28"/>
    <mergeCell ref="A76:Z76"/>
    <mergeCell ref="D236:E236"/>
    <mergeCell ref="A179:O180"/>
    <mergeCell ref="P171:T171"/>
    <mergeCell ref="D55:E55"/>
    <mergeCell ref="P242:T242"/>
    <mergeCell ref="D5:E5"/>
    <mergeCell ref="P42:T42"/>
    <mergeCell ref="D94:E94"/>
    <mergeCell ref="P162:V162"/>
    <mergeCell ref="P106:V106"/>
    <mergeCell ref="P264:V264"/>
    <mergeCell ref="A45:Z45"/>
    <mergeCell ref="A87:Z87"/>
    <mergeCell ref="P273:T273"/>
    <mergeCell ref="A218:Z218"/>
    <mergeCell ref="D272:E272"/>
    <mergeCell ref="AB287:AB288"/>
    <mergeCell ref="A193:O194"/>
    <mergeCell ref="W17:W18"/>
    <mergeCell ref="A264:O265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29:E129"/>
    <mergeCell ref="P279:V279"/>
    <mergeCell ref="D274:E274"/>
    <mergeCell ref="P97:T97"/>
    <mergeCell ref="F287:F288"/>
    <mergeCell ref="H287:H288"/>
    <mergeCell ref="P49:V49"/>
    <mergeCell ref="P36:V36"/>
    <mergeCell ref="A32:Z32"/>
    <mergeCell ref="AC287:AC288"/>
    <mergeCell ref="D26:E26"/>
    <mergeCell ref="P55:T55"/>
    <mergeCell ref="K287:K288"/>
    <mergeCell ref="R1:T1"/>
    <mergeCell ref="D71:E71"/>
    <mergeCell ref="P28:T28"/>
    <mergeCell ref="P150:T150"/>
    <mergeCell ref="A145:O146"/>
    <mergeCell ref="P215:T215"/>
    <mergeCell ref="A139:O140"/>
    <mergeCell ref="D98:E98"/>
    <mergeCell ref="P179:V179"/>
    <mergeCell ref="P206:V206"/>
    <mergeCell ref="P233:V233"/>
    <mergeCell ref="P37:V37"/>
    <mergeCell ref="P275:T275"/>
    <mergeCell ref="P168:V168"/>
    <mergeCell ref="P104:T104"/>
    <mergeCell ref="B17:B18"/>
    <mergeCell ref="A287:A288"/>
    <mergeCell ref="P248:V248"/>
    <mergeCell ref="A266:Z266"/>
    <mergeCell ref="D131:E131"/>
    <mergeCell ref="A233:O234"/>
    <mergeCell ref="A227:O228"/>
    <mergeCell ref="P268:T268"/>
    <mergeCell ref="H9:I9"/>
    <mergeCell ref="P211:V211"/>
    <mergeCell ref="P259:V259"/>
    <mergeCell ref="P155:T155"/>
    <mergeCell ref="D70:E70"/>
    <mergeCell ref="A79:O80"/>
    <mergeCell ref="Q9:R9"/>
    <mergeCell ref="P278:V278"/>
    <mergeCell ref="A159:Z159"/>
    <mergeCell ref="P78:T78"/>
    <mergeCell ref="D115:E115"/>
    <mergeCell ref="Q12:R12"/>
    <mergeCell ref="D261:E261"/>
    <mergeCell ref="P246:T246"/>
    <mergeCell ref="A43:O44"/>
    <mergeCell ref="P62:V62"/>
    <mergeCell ref="P133:V133"/>
    <mergeCell ref="A123:Z123"/>
    <mergeCell ref="A81:Z81"/>
    <mergeCell ref="P29:T29"/>
    <mergeCell ref="D27:E27"/>
    <mergeCell ref="A67:O68"/>
    <mergeCell ref="P15:T16"/>
    <mergeCell ref="P23:T23"/>
    <mergeCell ref="D263:E263"/>
    <mergeCell ref="P220:T220"/>
    <mergeCell ref="A216:O217"/>
    <mergeCell ref="D78:E78"/>
    <mergeCell ref="D124:E124"/>
    <mergeCell ref="A197:Z197"/>
    <mergeCell ref="P56:T56"/>
    <mergeCell ref="V10:W10"/>
    <mergeCell ref="D189:E189"/>
    <mergeCell ref="P99:T99"/>
    <mergeCell ref="D66:E66"/>
    <mergeCell ref="D253:E253"/>
    <mergeCell ref="D53:E53"/>
    <mergeCell ref="D47:E47"/>
    <mergeCell ref="P209:T209"/>
    <mergeCell ref="A219:Z219"/>
    <mergeCell ref="A260:Z260"/>
    <mergeCell ref="A60:Z60"/>
    <mergeCell ref="P252:T252"/>
    <mergeCell ref="P144:T144"/>
    <mergeCell ref="A188:Z188"/>
    <mergeCell ref="P228:V228"/>
    <mergeCell ref="A109:Z109"/>
    <mergeCell ref="A240:Z24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9 X111 X114 X120 X124 X129:X132 X136:X138 X149 X155 X171 X177 X183 X192 X202 X209:X210 X220 X226 X232 X236 X242 X246 X252 X263 X268 X273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:X98 X104:X105 X110 X112:X113 X115:X116 X143:X144 X150 X156 X161 X166 X178 X189:X191 X198 X203:X204 X215 X253 X257 X261:X262 X267 X269:X272 X274:X276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2"/>
  <sheetViews>
    <sheetView workbookViewId="0">
      <selection activeCell="B16" sqref="B16"/>
    </sheetView>
  </sheetViews>
  <sheetFormatPr defaultColWidth="8.81640625" defaultRowHeight="12.5" x14ac:dyDescent="0.25"/>
  <cols>
    <col min="1" max="1" width="6.453125" customWidth="1"/>
    <col min="2" max="2" width="29.54296875" customWidth="1"/>
    <col min="3" max="3" width="34.1796875" customWidth="1"/>
    <col min="4" max="4" width="37.453125" customWidth="1"/>
  </cols>
  <sheetData>
    <row r="1" spans="2:8" x14ac:dyDescent="0.25">
      <c r="G1" t="s">
        <v>381</v>
      </c>
      <c r="H1" s="52"/>
    </row>
    <row r="3" spans="2:8" x14ac:dyDescent="0.25">
      <c r="B3" s="47" t="s">
        <v>382</v>
      </c>
      <c r="C3" s="47"/>
      <c r="D3" s="47"/>
      <c r="E3" s="47"/>
    </row>
    <row r="4" spans="2:8" x14ac:dyDescent="0.25">
      <c r="B4" s="47" t="s">
        <v>12</v>
      </c>
      <c r="C4" s="47"/>
      <c r="D4" s="47"/>
      <c r="E4" s="47"/>
    </row>
    <row r="6" spans="2:8" x14ac:dyDescent="0.25">
      <c r="B6" s="47" t="s">
        <v>383</v>
      </c>
      <c r="C6" s="47" t="s">
        <v>384</v>
      </c>
      <c r="D6" s="47" t="s">
        <v>385</v>
      </c>
      <c r="E6" s="47"/>
    </row>
    <row r="7" spans="2:8" x14ac:dyDescent="0.25">
      <c r="B7" s="47" t="s">
        <v>386</v>
      </c>
      <c r="C7" s="47" t="s">
        <v>387</v>
      </c>
      <c r="D7" s="47" t="s">
        <v>388</v>
      </c>
      <c r="E7" s="47"/>
    </row>
    <row r="8" spans="2:8" x14ac:dyDescent="0.25">
      <c r="B8" s="47" t="s">
        <v>389</v>
      </c>
      <c r="C8" s="47" t="s">
        <v>390</v>
      </c>
      <c r="D8" s="47" t="s">
        <v>391</v>
      </c>
      <c r="E8" s="47"/>
    </row>
    <row r="9" spans="2:8" x14ac:dyDescent="0.25">
      <c r="B9" s="47" t="s">
        <v>392</v>
      </c>
      <c r="C9" s="47" t="s">
        <v>393</v>
      </c>
      <c r="D9" s="47" t="s">
        <v>394</v>
      </c>
      <c r="E9" s="47"/>
    </row>
    <row r="10" spans="2:8" x14ac:dyDescent="0.25">
      <c r="B10" s="47" t="s">
        <v>395</v>
      </c>
      <c r="C10" s="47" t="s">
        <v>396</v>
      </c>
      <c r="D10" s="47" t="s">
        <v>397</v>
      </c>
      <c r="E10" s="47"/>
    </row>
    <row r="12" spans="2:8" x14ac:dyDescent="0.25">
      <c r="B12" s="47" t="s">
        <v>398</v>
      </c>
      <c r="C12" s="47" t="s">
        <v>384</v>
      </c>
      <c r="D12" s="47"/>
      <c r="E12" s="47"/>
    </row>
    <row r="14" spans="2:8" x14ac:dyDescent="0.25">
      <c r="B14" s="47" t="s">
        <v>399</v>
      </c>
      <c r="C14" s="47" t="s">
        <v>387</v>
      </c>
      <c r="D14" s="47"/>
      <c r="E14" s="47"/>
    </row>
    <row r="16" spans="2:8" x14ac:dyDescent="0.25">
      <c r="B16" s="47" t="s">
        <v>400</v>
      </c>
      <c r="C16" s="47" t="s">
        <v>390</v>
      </c>
      <c r="D16" s="47"/>
      <c r="E16" s="47"/>
    </row>
    <row r="18" spans="2:5" x14ac:dyDescent="0.25">
      <c r="B18" s="47" t="s">
        <v>401</v>
      </c>
      <c r="C18" s="47" t="s">
        <v>393</v>
      </c>
      <c r="D18" s="47"/>
      <c r="E18" s="47"/>
    </row>
    <row r="20" spans="2:5" x14ac:dyDescent="0.25">
      <c r="B20" s="47" t="s">
        <v>402</v>
      </c>
      <c r="C20" s="47" t="s">
        <v>396</v>
      </c>
      <c r="D20" s="47"/>
      <c r="E20" s="47"/>
    </row>
    <row r="22" spans="2:5" x14ac:dyDescent="0.25">
      <c r="B22" s="47" t="s">
        <v>403</v>
      </c>
      <c r="C22" s="47"/>
      <c r="D22" s="47"/>
      <c r="E22" s="47"/>
    </row>
    <row r="23" spans="2:5" x14ac:dyDescent="0.25">
      <c r="B23" s="47" t="s">
        <v>404</v>
      </c>
      <c r="C23" s="47"/>
      <c r="D23" s="47"/>
      <c r="E23" s="47"/>
    </row>
    <row r="24" spans="2:5" x14ac:dyDescent="0.25">
      <c r="B24" s="47" t="s">
        <v>405</v>
      </c>
      <c r="C24" s="47"/>
      <c r="D24" s="47"/>
      <c r="E24" s="47"/>
    </row>
    <row r="25" spans="2:5" x14ac:dyDescent="0.25">
      <c r="B25" s="47" t="s">
        <v>406</v>
      </c>
      <c r="C25" s="47"/>
      <c r="D25" s="47"/>
      <c r="E25" s="47"/>
    </row>
    <row r="26" spans="2:5" x14ac:dyDescent="0.25">
      <c r="B26" s="47" t="s">
        <v>407</v>
      </c>
      <c r="C26" s="47"/>
      <c r="D26" s="47"/>
      <c r="E26" s="47"/>
    </row>
    <row r="27" spans="2:5" x14ac:dyDescent="0.25">
      <c r="B27" s="47" t="s">
        <v>408</v>
      </c>
      <c r="C27" s="47"/>
      <c r="D27" s="47"/>
      <c r="E27" s="47"/>
    </row>
    <row r="28" spans="2:5" x14ac:dyDescent="0.25">
      <c r="B28" s="47" t="s">
        <v>409</v>
      </c>
      <c r="C28" s="47"/>
      <c r="D28" s="47"/>
      <c r="E28" s="47"/>
    </row>
    <row r="29" spans="2:5" x14ac:dyDescent="0.25">
      <c r="B29" s="47" t="s">
        <v>410</v>
      </c>
      <c r="C29" s="47"/>
      <c r="D29" s="47"/>
      <c r="E29" s="47"/>
    </row>
    <row r="30" spans="2:5" x14ac:dyDescent="0.25">
      <c r="B30" s="47" t="s">
        <v>411</v>
      </c>
      <c r="C30" s="47"/>
      <c r="D30" s="47"/>
      <c r="E30" s="47"/>
    </row>
    <row r="31" spans="2:5" x14ac:dyDescent="0.25">
      <c r="B31" s="47" t="s">
        <v>412</v>
      </c>
      <c r="C31" s="47"/>
      <c r="D31" s="47"/>
      <c r="E31" s="47"/>
    </row>
    <row r="32" spans="2:5" x14ac:dyDescent="0.25">
      <c r="B32" s="47" t="s">
        <v>413</v>
      </c>
      <c r="C32" s="47"/>
      <c r="D32" s="47"/>
      <c r="E32" s="47"/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Users</cp:lastModifiedBy>
  <dcterms:created xsi:type="dcterms:W3CDTF">2021-11-12T12:13:19Z</dcterms:created>
  <dcterms:modified xsi:type="dcterms:W3CDTF">2026-08-17T13:33:01Z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