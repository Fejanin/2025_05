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6B901C3-49DC-4957-855C-7450845DDDD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AC565" i="2" s="1"/>
  <c r="P552" i="2"/>
  <c r="X549" i="2"/>
  <c r="X548" i="2"/>
  <c r="BO547" i="2"/>
  <c r="BM547" i="2"/>
  <c r="Y547" i="2"/>
  <c r="P547" i="2"/>
  <c r="BO546" i="2"/>
  <c r="BM546" i="2"/>
  <c r="Y546" i="2"/>
  <c r="BP546" i="2" s="1"/>
  <c r="P546" i="2"/>
  <c r="X544" i="2"/>
  <c r="X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BP534" i="2" s="1"/>
  <c r="P534" i="2"/>
  <c r="X532" i="2"/>
  <c r="X531" i="2"/>
  <c r="BO530" i="2"/>
  <c r="BM530" i="2"/>
  <c r="Y530" i="2"/>
  <c r="P530" i="2"/>
  <c r="X526" i="2"/>
  <c r="X525" i="2"/>
  <c r="BO524" i="2"/>
  <c r="BM524" i="2"/>
  <c r="Y524" i="2"/>
  <c r="P524" i="2"/>
  <c r="BO523" i="2"/>
  <c r="BM523" i="2"/>
  <c r="Y523" i="2"/>
  <c r="BN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Z519" i="2" s="1"/>
  <c r="P519" i="2"/>
  <c r="BO518" i="2"/>
  <c r="BM518" i="2"/>
  <c r="Y518" i="2"/>
  <c r="BP518" i="2" s="1"/>
  <c r="P518" i="2"/>
  <c r="X516" i="2"/>
  <c r="X515" i="2"/>
  <c r="BO514" i="2"/>
  <c r="BM514" i="2"/>
  <c r="Y514" i="2"/>
  <c r="P514" i="2"/>
  <c r="BO513" i="2"/>
  <c r="BM513" i="2"/>
  <c r="Y513" i="2"/>
  <c r="BN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Z501" i="2" s="1"/>
  <c r="P501" i="2"/>
  <c r="BO500" i="2"/>
  <c r="BM500" i="2"/>
  <c r="Y500" i="2"/>
  <c r="Z500" i="2" s="1"/>
  <c r="P500" i="2"/>
  <c r="X496" i="2"/>
  <c r="X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Z492" i="2" s="1"/>
  <c r="P492" i="2"/>
  <c r="X490" i="2"/>
  <c r="X489" i="2"/>
  <c r="BO488" i="2"/>
  <c r="BM488" i="2"/>
  <c r="Y488" i="2"/>
  <c r="BN488" i="2" s="1"/>
  <c r="P488" i="2"/>
  <c r="X485" i="2"/>
  <c r="X484" i="2"/>
  <c r="BO483" i="2"/>
  <c r="BM483" i="2"/>
  <c r="Y483" i="2"/>
  <c r="BP483" i="2" s="1"/>
  <c r="P483" i="2"/>
  <c r="BO482" i="2"/>
  <c r="BM482" i="2"/>
  <c r="Y482" i="2"/>
  <c r="Y484" i="2" s="1"/>
  <c r="P482" i="2"/>
  <c r="X480" i="2"/>
  <c r="X479" i="2"/>
  <c r="BO478" i="2"/>
  <c r="BM478" i="2"/>
  <c r="Y478" i="2"/>
  <c r="BP478" i="2" s="1"/>
  <c r="P478" i="2"/>
  <c r="BO477" i="2"/>
  <c r="BM477" i="2"/>
  <c r="Y477" i="2"/>
  <c r="BN477" i="2" s="1"/>
  <c r="P477" i="2"/>
  <c r="BO476" i="2"/>
  <c r="BM476" i="2"/>
  <c r="Y476" i="2"/>
  <c r="BP476" i="2" s="1"/>
  <c r="P476" i="2"/>
  <c r="BO475" i="2"/>
  <c r="BM475" i="2"/>
  <c r="Y475" i="2"/>
  <c r="BN475" i="2" s="1"/>
  <c r="P475" i="2"/>
  <c r="BO474" i="2"/>
  <c r="BM474" i="2"/>
  <c r="Y474" i="2"/>
  <c r="Z474" i="2" s="1"/>
  <c r="P474" i="2"/>
  <c r="BO473" i="2"/>
  <c r="BM473" i="2"/>
  <c r="Y473" i="2"/>
  <c r="P473" i="2"/>
  <c r="X469" i="2"/>
  <c r="X468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Y469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X453" i="2"/>
  <c r="X452" i="2"/>
  <c r="BO451" i="2"/>
  <c r="BM451" i="2"/>
  <c r="Y451" i="2"/>
  <c r="P451" i="2"/>
  <c r="BO450" i="2"/>
  <c r="BM450" i="2"/>
  <c r="Y450" i="2"/>
  <c r="BN450" i="2" s="1"/>
  <c r="P450" i="2"/>
  <c r="X448" i="2"/>
  <c r="X447" i="2"/>
  <c r="BO446" i="2"/>
  <c r="BM446" i="2"/>
  <c r="Z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Z444" i="2" s="1"/>
  <c r="P444" i="2"/>
  <c r="X442" i="2"/>
  <c r="X441" i="2"/>
  <c r="BO440" i="2"/>
  <c r="BM440" i="2"/>
  <c r="Y440" i="2"/>
  <c r="BP440" i="2" s="1"/>
  <c r="P440" i="2"/>
  <c r="BO439" i="2"/>
  <c r="BM439" i="2"/>
  <c r="Y439" i="2"/>
  <c r="BP439" i="2" s="1"/>
  <c r="P439" i="2"/>
  <c r="BO438" i="2"/>
  <c r="BM438" i="2"/>
  <c r="Y438" i="2"/>
  <c r="Y442" i="2" s="1"/>
  <c r="P438" i="2"/>
  <c r="X436" i="2"/>
  <c r="X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Z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P421" i="2"/>
  <c r="BO420" i="2"/>
  <c r="BM420" i="2"/>
  <c r="Y420" i="2"/>
  <c r="BP420" i="2" s="1"/>
  <c r="P420" i="2"/>
  <c r="BO419" i="2"/>
  <c r="BM419" i="2"/>
  <c r="Y419" i="2"/>
  <c r="P419" i="2"/>
  <c r="X416" i="2"/>
  <c r="X415" i="2"/>
  <c r="BO414" i="2"/>
  <c r="BM414" i="2"/>
  <c r="Y414" i="2"/>
  <c r="Z414" i="2" s="1"/>
  <c r="BO413" i="2"/>
  <c r="BM413" i="2"/>
  <c r="Y413" i="2"/>
  <c r="X410" i="2"/>
  <c r="X409" i="2"/>
  <c r="BO408" i="2"/>
  <c r="BM408" i="2"/>
  <c r="Y408" i="2"/>
  <c r="BP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P400" i="2"/>
  <c r="X398" i="2"/>
  <c r="X397" i="2"/>
  <c r="BO396" i="2"/>
  <c r="BM396" i="2"/>
  <c r="Y396" i="2"/>
  <c r="BN396" i="2" s="1"/>
  <c r="P396" i="2"/>
  <c r="BO395" i="2"/>
  <c r="BM395" i="2"/>
  <c r="Y395" i="2"/>
  <c r="BP395" i="2" s="1"/>
  <c r="P395" i="2"/>
  <c r="BO394" i="2"/>
  <c r="BM394" i="2"/>
  <c r="Y394" i="2"/>
  <c r="Z394" i="2" s="1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BP387" i="2" s="1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N371" i="2" s="1"/>
  <c r="P371" i="2"/>
  <c r="BO370" i="2"/>
  <c r="BM370" i="2"/>
  <c r="Y370" i="2"/>
  <c r="BP370" i="2" s="1"/>
  <c r="P370" i="2"/>
  <c r="X368" i="2"/>
  <c r="X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N354" i="2" s="1"/>
  <c r="P354" i="2"/>
  <c r="X351" i="2"/>
  <c r="X350" i="2"/>
  <c r="BO349" i="2"/>
  <c r="BM349" i="2"/>
  <c r="Y349" i="2"/>
  <c r="Z349" i="2" s="1"/>
  <c r="P349" i="2"/>
  <c r="BO348" i="2"/>
  <c r="BM348" i="2"/>
  <c r="Y348" i="2"/>
  <c r="BP348" i="2" s="1"/>
  <c r="P348" i="2"/>
  <c r="X346" i="2"/>
  <c r="X345" i="2"/>
  <c r="BO344" i="2"/>
  <c r="BM344" i="2"/>
  <c r="Y344" i="2"/>
  <c r="Z344" i="2" s="1"/>
  <c r="P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P335" i="2"/>
  <c r="BO334" i="2"/>
  <c r="BM334" i="2"/>
  <c r="Y334" i="2"/>
  <c r="BN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P319" i="2"/>
  <c r="BO318" i="2"/>
  <c r="BM318" i="2"/>
  <c r="Y318" i="2"/>
  <c r="Z318" i="2" s="1"/>
  <c r="P318" i="2"/>
  <c r="BO317" i="2"/>
  <c r="BM317" i="2"/>
  <c r="Y317" i="2"/>
  <c r="P317" i="2"/>
  <c r="X315" i="2"/>
  <c r="X314" i="2"/>
  <c r="BO313" i="2"/>
  <c r="BM313" i="2"/>
  <c r="Y313" i="2"/>
  <c r="Y314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Z299" i="2" s="1"/>
  <c r="P299" i="2"/>
  <c r="X296" i="2"/>
  <c r="X295" i="2"/>
  <c r="BO294" i="2"/>
  <c r="BM294" i="2"/>
  <c r="Z294" i="2"/>
  <c r="Y294" i="2"/>
  <c r="BP294" i="2" s="1"/>
  <c r="P294" i="2"/>
  <c r="BO293" i="2"/>
  <c r="BM293" i="2"/>
  <c r="Y293" i="2"/>
  <c r="Y296" i="2" s="1"/>
  <c r="P293" i="2"/>
  <c r="X291" i="2"/>
  <c r="X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Z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N258" i="2" s="1"/>
  <c r="P258" i="2"/>
  <c r="BO257" i="2"/>
  <c r="BM257" i="2"/>
  <c r="Y257" i="2"/>
  <c r="BP257" i="2" s="1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Z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Z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N222" i="2" s="1"/>
  <c r="P222" i="2"/>
  <c r="BO221" i="2"/>
  <c r="BM221" i="2"/>
  <c r="Y221" i="2"/>
  <c r="Z221" i="2" s="1"/>
  <c r="P221" i="2"/>
  <c r="X219" i="2"/>
  <c r="X218" i="2"/>
  <c r="BO217" i="2"/>
  <c r="BM217" i="2"/>
  <c r="Y217" i="2"/>
  <c r="P217" i="2"/>
  <c r="X214" i="2"/>
  <c r="X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Z209" i="2" s="1"/>
  <c r="P209" i="2"/>
  <c r="BO208" i="2"/>
  <c r="BM208" i="2"/>
  <c r="Y208" i="2"/>
  <c r="BP208" i="2" s="1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BP200" i="2" s="1"/>
  <c r="P200" i="2"/>
  <c r="Y198" i="2"/>
  <c r="X198" i="2"/>
  <c r="X197" i="2"/>
  <c r="BO196" i="2"/>
  <c r="BM196" i="2"/>
  <c r="Y196" i="2"/>
  <c r="BN196" i="2" s="1"/>
  <c r="P196" i="2"/>
  <c r="BO195" i="2"/>
  <c r="BM195" i="2"/>
  <c r="Y195" i="2"/>
  <c r="Z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Z190" i="2" s="1"/>
  <c r="P190" i="2"/>
  <c r="BO189" i="2"/>
  <c r="BM189" i="2"/>
  <c r="Y189" i="2"/>
  <c r="BN189" i="2" s="1"/>
  <c r="P189" i="2"/>
  <c r="X187" i="2"/>
  <c r="X186" i="2"/>
  <c r="BO185" i="2"/>
  <c r="BM185" i="2"/>
  <c r="Y185" i="2"/>
  <c r="Z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Z170" i="2" s="1"/>
  <c r="P170" i="2"/>
  <c r="X168" i="2"/>
  <c r="X167" i="2"/>
  <c r="BO166" i="2"/>
  <c r="BM166" i="2"/>
  <c r="Y166" i="2"/>
  <c r="Z166" i="2" s="1"/>
  <c r="P166" i="2"/>
  <c r="BO165" i="2"/>
  <c r="BM165" i="2"/>
  <c r="Y165" i="2"/>
  <c r="Z165" i="2" s="1"/>
  <c r="P165" i="2"/>
  <c r="BO164" i="2"/>
  <c r="BM164" i="2"/>
  <c r="Y164" i="2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BN154" i="2" s="1"/>
  <c r="P154" i="2"/>
  <c r="BO153" i="2"/>
  <c r="BM153" i="2"/>
  <c r="Y153" i="2"/>
  <c r="BN153" i="2" s="1"/>
  <c r="P153" i="2"/>
  <c r="BO152" i="2"/>
  <c r="BM152" i="2"/>
  <c r="Z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BP144" i="2" s="1"/>
  <c r="P144" i="2"/>
  <c r="BO143" i="2"/>
  <c r="BM143" i="2"/>
  <c r="Y143" i="2"/>
  <c r="P143" i="2"/>
  <c r="BO142" i="2"/>
  <c r="BM142" i="2"/>
  <c r="Y142" i="2"/>
  <c r="Z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Z135" i="2"/>
  <c r="Y135" i="2"/>
  <c r="BN135" i="2" s="1"/>
  <c r="P135" i="2"/>
  <c r="X133" i="2"/>
  <c r="X132" i="2"/>
  <c r="BO131" i="2"/>
  <c r="BM131" i="2"/>
  <c r="Y131" i="2"/>
  <c r="BP131" i="2" s="1"/>
  <c r="P131" i="2"/>
  <c r="BO130" i="2"/>
  <c r="BM130" i="2"/>
  <c r="Y130" i="2"/>
  <c r="BN130" i="2" s="1"/>
  <c r="P130" i="2"/>
  <c r="BO129" i="2"/>
  <c r="BM129" i="2"/>
  <c r="Y129" i="2"/>
  <c r="BN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Z113" i="2" s="1"/>
  <c r="P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BN102" i="2" s="1"/>
  <c r="P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Z92" i="2" s="1"/>
  <c r="P92" i="2"/>
  <c r="BO91" i="2"/>
  <c r="BM91" i="2"/>
  <c r="Y91" i="2"/>
  <c r="BN91" i="2" s="1"/>
  <c r="P91" i="2"/>
  <c r="X89" i="2"/>
  <c r="X88" i="2"/>
  <c r="BO87" i="2"/>
  <c r="BM87" i="2"/>
  <c r="Y87" i="2"/>
  <c r="Z87" i="2" s="1"/>
  <c r="P87" i="2"/>
  <c r="BP86" i="2"/>
  <c r="BO86" i="2"/>
  <c r="BM86" i="2"/>
  <c r="Y86" i="2"/>
  <c r="BN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P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BN66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P60" i="2" s="1"/>
  <c r="P60" i="2"/>
  <c r="BP59" i="2"/>
  <c r="BO59" i="2"/>
  <c r="BM59" i="2"/>
  <c r="Y59" i="2"/>
  <c r="Z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Z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BN38" i="2" l="1"/>
  <c r="BN68" i="2"/>
  <c r="BN118" i="2"/>
  <c r="BN144" i="2"/>
  <c r="BN200" i="2"/>
  <c r="Y202" i="2"/>
  <c r="BN212" i="2"/>
  <c r="BN242" i="2"/>
  <c r="BN248" i="2"/>
  <c r="BN406" i="2"/>
  <c r="BN50" i="2"/>
  <c r="Z56" i="2"/>
  <c r="BP92" i="2"/>
  <c r="BN112" i="2"/>
  <c r="Z153" i="2"/>
  <c r="BN233" i="2"/>
  <c r="Z328" i="2"/>
  <c r="BN387" i="2"/>
  <c r="BP444" i="2"/>
  <c r="Z450" i="2"/>
  <c r="Y452" i="2"/>
  <c r="Z120" i="2"/>
  <c r="Y423" i="2"/>
  <c r="BP136" i="2"/>
  <c r="BN227" i="2"/>
  <c r="Z227" i="2"/>
  <c r="BP376" i="2"/>
  <c r="Z546" i="2"/>
  <c r="Y535" i="2"/>
  <c r="Z534" i="2"/>
  <c r="Z535" i="2" s="1"/>
  <c r="BP522" i="2"/>
  <c r="Z522" i="2"/>
  <c r="BN521" i="2"/>
  <c r="Z520" i="2"/>
  <c r="Z512" i="2"/>
  <c r="BP512" i="2"/>
  <c r="BN507" i="2"/>
  <c r="BN503" i="2"/>
  <c r="BN502" i="2"/>
  <c r="BN478" i="2"/>
  <c r="BP477" i="2"/>
  <c r="Z477" i="2"/>
  <c r="BN476" i="2"/>
  <c r="Z475" i="2"/>
  <c r="Y479" i="2"/>
  <c r="BN466" i="2"/>
  <c r="BN465" i="2"/>
  <c r="BN451" i="2"/>
  <c r="Y453" i="2"/>
  <c r="BN446" i="2"/>
  <c r="BN440" i="2"/>
  <c r="BN431" i="2"/>
  <c r="BN420" i="2"/>
  <c r="Z420" i="2"/>
  <c r="Y403" i="2"/>
  <c r="Y397" i="2"/>
  <c r="BP396" i="2"/>
  <c r="Z396" i="2"/>
  <c r="BN395" i="2"/>
  <c r="Z387" i="2"/>
  <c r="Z383" i="2"/>
  <c r="Z376" i="2"/>
  <c r="Z374" i="2"/>
  <c r="BN374" i="2"/>
  <c r="Z371" i="2"/>
  <c r="BP371" i="2"/>
  <c r="Y378" i="2"/>
  <c r="BN370" i="2"/>
  <c r="Z370" i="2"/>
  <c r="Y367" i="2"/>
  <c r="Z363" i="2"/>
  <c r="BN349" i="2"/>
  <c r="BN343" i="2"/>
  <c r="Z343" i="2"/>
  <c r="BP334" i="2"/>
  <c r="BN328" i="2"/>
  <c r="Z325" i="2"/>
  <c r="BP325" i="2"/>
  <c r="BN324" i="2"/>
  <c r="Z324" i="2"/>
  <c r="BN318" i="2"/>
  <c r="Z304" i="2"/>
  <c r="BN294" i="2"/>
  <c r="BN286" i="2"/>
  <c r="Z286" i="2"/>
  <c r="Z284" i="2"/>
  <c r="BN284" i="2"/>
  <c r="BN280" i="2"/>
  <c r="BP278" i="2"/>
  <c r="BN274" i="2"/>
  <c r="Z274" i="2"/>
  <c r="BN270" i="2"/>
  <c r="BP268" i="2"/>
  <c r="BN252" i="2"/>
  <c r="Y250" i="2"/>
  <c r="BN247" i="2"/>
  <c r="Z238" i="2"/>
  <c r="Z231" i="2"/>
  <c r="BN231" i="2"/>
  <c r="BP225" i="2"/>
  <c r="BN224" i="2"/>
  <c r="BP223" i="2"/>
  <c r="Z223" i="2"/>
  <c r="Z210" i="2"/>
  <c r="BN210" i="2"/>
  <c r="BN206" i="2"/>
  <c r="Y201" i="2"/>
  <c r="Z196" i="2"/>
  <c r="BN195" i="2"/>
  <c r="Z183" i="2"/>
  <c r="BN178" i="2"/>
  <c r="Z176" i="2"/>
  <c r="BP170" i="2"/>
  <c r="BP152" i="2"/>
  <c r="Z138" i="2"/>
  <c r="BP135" i="2"/>
  <c r="BP113" i="2"/>
  <c r="Z111" i="2"/>
  <c r="BP111" i="2"/>
  <c r="BN101" i="2"/>
  <c r="Y107" i="2"/>
  <c r="Z94" i="2"/>
  <c r="BN94" i="2"/>
  <c r="Z91" i="2"/>
  <c r="BP91" i="2"/>
  <c r="BN84" i="2"/>
  <c r="BP79" i="2"/>
  <c r="Z79" i="2"/>
  <c r="Y81" i="2"/>
  <c r="Z67" i="2"/>
  <c r="BN67" i="2"/>
  <c r="BN62" i="2"/>
  <c r="Z61" i="2"/>
  <c r="Z58" i="2"/>
  <c r="BP58" i="2"/>
  <c r="BP40" i="2"/>
  <c r="BN39" i="2"/>
  <c r="Z39" i="2"/>
  <c r="BN30" i="2"/>
  <c r="Z30" i="2"/>
  <c r="X556" i="2"/>
  <c r="BP28" i="2"/>
  <c r="X559" i="2"/>
  <c r="Z27" i="2"/>
  <c r="Y24" i="2"/>
  <c r="BP31" i="2"/>
  <c r="BP179" i="2"/>
  <c r="Z179" i="2"/>
  <c r="Z211" i="2"/>
  <c r="BN211" i="2"/>
  <c r="Z232" i="2"/>
  <c r="BN232" i="2"/>
  <c r="BP317" i="2"/>
  <c r="Y320" i="2"/>
  <c r="BN317" i="2"/>
  <c r="Y321" i="2"/>
  <c r="Z317" i="2"/>
  <c r="BP430" i="2"/>
  <c r="BN430" i="2"/>
  <c r="Z430" i="2"/>
  <c r="BP494" i="2"/>
  <c r="Z494" i="2"/>
  <c r="X555" i="2"/>
  <c r="D565" i="2"/>
  <c r="E565" i="2"/>
  <c r="BP55" i="2"/>
  <c r="Z57" i="2"/>
  <c r="BP57" i="2"/>
  <c r="Y70" i="2"/>
  <c r="Z74" i="2"/>
  <c r="BP74" i="2"/>
  <c r="Z80" i="2"/>
  <c r="BP78" i="2"/>
  <c r="Z85" i="2"/>
  <c r="Z100" i="2"/>
  <c r="Z102" i="2"/>
  <c r="BP102" i="2"/>
  <c r="Z105" i="2"/>
  <c r="Z109" i="2"/>
  <c r="Y133" i="2"/>
  <c r="Z154" i="2"/>
  <c r="BP155" i="2"/>
  <c r="Z155" i="2"/>
  <c r="Z175" i="2"/>
  <c r="Z180" i="2"/>
  <c r="BP180" i="2"/>
  <c r="BP182" i="2"/>
  <c r="Z182" i="2"/>
  <c r="BP189" i="2"/>
  <c r="BP207" i="2"/>
  <c r="BN207" i="2"/>
  <c r="BP217" i="2"/>
  <c r="Y218" i="2"/>
  <c r="Z217" i="2"/>
  <c r="Z218" i="2" s="1"/>
  <c r="BP228" i="2"/>
  <c r="BN228" i="2"/>
  <c r="BP241" i="2"/>
  <c r="BN241" i="2"/>
  <c r="Z241" i="2"/>
  <c r="Y276" i="2"/>
  <c r="BP269" i="2"/>
  <c r="BP301" i="2"/>
  <c r="BN301" i="2"/>
  <c r="Z301" i="2"/>
  <c r="BN319" i="2"/>
  <c r="BP319" i="2"/>
  <c r="Z319" i="2"/>
  <c r="BN342" i="2"/>
  <c r="BP342" i="2"/>
  <c r="Z342" i="2"/>
  <c r="BN381" i="2"/>
  <c r="BP381" i="2"/>
  <c r="Z381" i="2"/>
  <c r="BN432" i="2"/>
  <c r="BP432" i="2"/>
  <c r="Z432" i="2"/>
  <c r="Z504" i="2"/>
  <c r="BP504" i="2"/>
  <c r="BP547" i="2"/>
  <c r="BN547" i="2"/>
  <c r="BN267" i="2"/>
  <c r="BP267" i="2"/>
  <c r="Z267" i="2"/>
  <c r="BP327" i="2"/>
  <c r="Z327" i="2"/>
  <c r="BN340" i="2"/>
  <c r="Y345" i="2"/>
  <c r="Z340" i="2"/>
  <c r="Z413" i="2"/>
  <c r="Z415" i="2" s="1"/>
  <c r="BN413" i="2"/>
  <c r="Z524" i="2"/>
  <c r="BP524" i="2"/>
  <c r="Z538" i="2"/>
  <c r="Z539" i="2" s="1"/>
  <c r="BP538" i="2"/>
  <c r="Y539" i="2"/>
  <c r="Y25" i="2"/>
  <c r="X557" i="2"/>
  <c r="BN27" i="2"/>
  <c r="BN31" i="2"/>
  <c r="Z38" i="2"/>
  <c r="Z47" i="2"/>
  <c r="BP47" i="2"/>
  <c r="Z50" i="2"/>
  <c r="Z55" i="2"/>
  <c r="BN61" i="2"/>
  <c r="Z62" i="2"/>
  <c r="Z66" i="2"/>
  <c r="Z68" i="2"/>
  <c r="Y80" i="2"/>
  <c r="G565" i="2"/>
  <c r="BP99" i="2"/>
  <c r="Z101" i="2"/>
  <c r="BP103" i="2"/>
  <c r="Y114" i="2"/>
  <c r="Z118" i="2"/>
  <c r="Y146" i="2"/>
  <c r="Z143" i="2"/>
  <c r="J565" i="2"/>
  <c r="Y168" i="2"/>
  <c r="BP166" i="2"/>
  <c r="BN166" i="2"/>
  <c r="BN179" i="2"/>
  <c r="Z189" i="2"/>
  <c r="BP196" i="2"/>
  <c r="Z207" i="2"/>
  <c r="Y213" i="2"/>
  <c r="BP222" i="2"/>
  <c r="Z222" i="2"/>
  <c r="Z228" i="2"/>
  <c r="Y235" i="2"/>
  <c r="BP271" i="2"/>
  <c r="BN271" i="2"/>
  <c r="Z271" i="2"/>
  <c r="BP335" i="2"/>
  <c r="BN335" i="2"/>
  <c r="Z335" i="2"/>
  <c r="BN355" i="2"/>
  <c r="BP355" i="2"/>
  <c r="Z355" i="2"/>
  <c r="Z365" i="2"/>
  <c r="BN365" i="2"/>
  <c r="Z407" i="2"/>
  <c r="BN407" i="2"/>
  <c r="Z467" i="2"/>
  <c r="BP467" i="2"/>
  <c r="Z514" i="2"/>
  <c r="BP514" i="2"/>
  <c r="Y515" i="2"/>
  <c r="Y531" i="2"/>
  <c r="BN530" i="2"/>
  <c r="Y543" i="2"/>
  <c r="BN542" i="2"/>
  <c r="Y89" i="2"/>
  <c r="BP109" i="2"/>
  <c r="BN119" i="2"/>
  <c r="Z119" i="2"/>
  <c r="BN175" i="2"/>
  <c r="Y187" i="2"/>
  <c r="BP281" i="2"/>
  <c r="BN281" i="2"/>
  <c r="Z281" i="2"/>
  <c r="A10" i="2"/>
  <c r="Z22" i="2"/>
  <c r="BP22" i="2"/>
  <c r="Y33" i="2"/>
  <c r="Y43" i="2"/>
  <c r="BP48" i="2"/>
  <c r="BP69" i="2"/>
  <c r="BN78" i="2"/>
  <c r="Z84" i="2"/>
  <c r="BN85" i="2"/>
  <c r="BN105" i="2"/>
  <c r="Z110" i="2"/>
  <c r="Z112" i="2"/>
  <c r="BP119" i="2"/>
  <c r="Y122" i="2"/>
  <c r="H565" i="2"/>
  <c r="Z129" i="2"/>
  <c r="BN155" i="2"/>
  <c r="BN177" i="2"/>
  <c r="Z177" i="2"/>
  <c r="BN182" i="2"/>
  <c r="BP211" i="2"/>
  <c r="BN217" i="2"/>
  <c r="Y219" i="2"/>
  <c r="BP232" i="2"/>
  <c r="BN279" i="2"/>
  <c r="BP279" i="2"/>
  <c r="Y295" i="2"/>
  <c r="Z293" i="2"/>
  <c r="Z295" i="2" s="1"/>
  <c r="Y330" i="2"/>
  <c r="BP340" i="2"/>
  <c r="BP413" i="2"/>
  <c r="W565" i="2"/>
  <c r="BN427" i="2"/>
  <c r="BP427" i="2"/>
  <c r="Z427" i="2"/>
  <c r="BP130" i="2"/>
  <c r="BN138" i="2"/>
  <c r="BP153" i="2"/>
  <c r="Y173" i="2"/>
  <c r="BN183" i="2"/>
  <c r="BP190" i="2"/>
  <c r="Z197" i="2"/>
  <c r="BP195" i="2"/>
  <c r="Y197" i="2"/>
  <c r="BN238" i="2"/>
  <c r="Y244" i="2"/>
  <c r="Y254" i="2"/>
  <c r="BP285" i="2"/>
  <c r="BP299" i="2"/>
  <c r="BN302" i="2"/>
  <c r="BN305" i="2"/>
  <c r="BP309" i="2"/>
  <c r="BP333" i="2"/>
  <c r="BN341" i="2"/>
  <c r="BP344" i="2"/>
  <c r="BN361" i="2"/>
  <c r="BN364" i="2"/>
  <c r="BN366" i="2"/>
  <c r="BP375" i="2"/>
  <c r="BN380" i="2"/>
  <c r="Y385" i="2"/>
  <c r="BP388" i="2"/>
  <c r="BP393" i="2"/>
  <c r="BN408" i="2"/>
  <c r="Y409" i="2"/>
  <c r="BP414" i="2"/>
  <c r="BP419" i="2"/>
  <c r="Y468" i="2"/>
  <c r="BP474" i="2"/>
  <c r="Z565" i="2"/>
  <c r="Y490" i="2"/>
  <c r="BP519" i="2"/>
  <c r="Y525" i="2"/>
  <c r="Y145" i="2"/>
  <c r="BP142" i="2"/>
  <c r="Z144" i="2"/>
  <c r="BP176" i="2"/>
  <c r="Z178" i="2"/>
  <c r="Z200" i="2"/>
  <c r="Z201" i="2" s="1"/>
  <c r="Z206" i="2"/>
  <c r="Z212" i="2"/>
  <c r="Y214" i="2"/>
  <c r="Y236" i="2"/>
  <c r="BP221" i="2"/>
  <c r="Z224" i="2"/>
  <c r="Z233" i="2"/>
  <c r="BP242" i="2"/>
  <c r="Z248" i="2"/>
  <c r="Z252" i="2"/>
  <c r="Z253" i="2" s="1"/>
  <c r="Y265" i="2"/>
  <c r="Z270" i="2"/>
  <c r="Z280" i="2"/>
  <c r="BP318" i="2"/>
  <c r="BP349" i="2"/>
  <c r="Y358" i="2"/>
  <c r="BP354" i="2"/>
  <c r="T565" i="2"/>
  <c r="Y377" i="2"/>
  <c r="Z395" i="2"/>
  <c r="Y422" i="2"/>
  <c r="BP431" i="2"/>
  <c r="Z439" i="2"/>
  <c r="Z451" i="2"/>
  <c r="X565" i="2"/>
  <c r="Z466" i="2"/>
  <c r="Z476" i="2"/>
  <c r="Z488" i="2"/>
  <c r="Z489" i="2" s="1"/>
  <c r="BP492" i="2"/>
  <c r="Z503" i="2"/>
  <c r="Z506" i="2"/>
  <c r="BN512" i="2"/>
  <c r="BP513" i="2"/>
  <c r="Z521" i="2"/>
  <c r="BP523" i="2"/>
  <c r="Y536" i="2"/>
  <c r="Z273" i="2"/>
  <c r="Z283" i="2"/>
  <c r="BN285" i="2"/>
  <c r="Y307" i="2"/>
  <c r="Z302" i="2"/>
  <c r="Z305" i="2"/>
  <c r="Y310" i="2"/>
  <c r="Z341" i="2"/>
  <c r="Y357" i="2"/>
  <c r="Z361" i="2"/>
  <c r="BP361" i="2"/>
  <c r="Z364" i="2"/>
  <c r="Z366" i="2"/>
  <c r="Y368" i="2"/>
  <c r="Z373" i="2"/>
  <c r="BN375" i="2"/>
  <c r="Z380" i="2"/>
  <c r="BN393" i="2"/>
  <c r="Y398" i="2"/>
  <c r="BP394" i="2"/>
  <c r="Z406" i="2"/>
  <c r="Z408" i="2"/>
  <c r="Y410" i="2"/>
  <c r="BN414" i="2"/>
  <c r="BN419" i="2"/>
  <c r="Z440" i="2"/>
  <c r="BP450" i="2"/>
  <c r="Z465" i="2"/>
  <c r="BP465" i="2"/>
  <c r="BN474" i="2"/>
  <c r="BP475" i="2"/>
  <c r="Z478" i="2"/>
  <c r="Y489" i="2"/>
  <c r="AA565" i="2"/>
  <c r="BP500" i="2"/>
  <c r="BN501" i="2"/>
  <c r="Z502" i="2"/>
  <c r="Z507" i="2"/>
  <c r="Z513" i="2"/>
  <c r="BN519" i="2"/>
  <c r="BP520" i="2"/>
  <c r="Z523" i="2"/>
  <c r="BN143" i="2"/>
  <c r="Z240" i="2"/>
  <c r="BN29" i="2"/>
  <c r="Y32" i="2"/>
  <c r="BN41" i="2"/>
  <c r="BP56" i="2"/>
  <c r="BP66" i="2"/>
  <c r="BN87" i="2"/>
  <c r="BP100" i="2"/>
  <c r="BP110" i="2"/>
  <c r="BP120" i="2"/>
  <c r="BN131" i="2"/>
  <c r="BP143" i="2"/>
  <c r="BP154" i="2"/>
  <c r="BN165" i="2"/>
  <c r="BP177" i="2"/>
  <c r="BN185" i="2"/>
  <c r="BN209" i="2"/>
  <c r="BN230" i="2"/>
  <c r="BN240" i="2"/>
  <c r="Y243" i="2"/>
  <c r="BP252" i="2"/>
  <c r="BN263" i="2"/>
  <c r="BN273" i="2"/>
  <c r="BN283" i="2"/>
  <c r="BN293" i="2"/>
  <c r="BN304" i="2"/>
  <c r="BN327" i="2"/>
  <c r="BN363" i="2"/>
  <c r="BN373" i="2"/>
  <c r="BN383" i="2"/>
  <c r="Z393" i="2"/>
  <c r="BN429" i="2"/>
  <c r="BN439" i="2"/>
  <c r="BP451" i="2"/>
  <c r="Y463" i="2"/>
  <c r="BP501" i="2"/>
  <c r="Y510" i="2"/>
  <c r="Y548" i="2"/>
  <c r="K565" i="2"/>
  <c r="BP117" i="2"/>
  <c r="Y193" i="2"/>
  <c r="BN100" i="2"/>
  <c r="Z131" i="2"/>
  <c r="BN48" i="2"/>
  <c r="Y51" i="2"/>
  <c r="BN59" i="2"/>
  <c r="BN69" i="2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BN225" i="2"/>
  <c r="BP258" i="2"/>
  <c r="BN268" i="2"/>
  <c r="BN278" i="2"/>
  <c r="BP288" i="2"/>
  <c r="BN299" i="2"/>
  <c r="BN309" i="2"/>
  <c r="BN333" i="2"/>
  <c r="Y336" i="2"/>
  <c r="BN344" i="2"/>
  <c r="BN388" i="2"/>
  <c r="BP400" i="2"/>
  <c r="BP434" i="2"/>
  <c r="BN444" i="2"/>
  <c r="Y447" i="2"/>
  <c r="BP457" i="2"/>
  <c r="BN467" i="2"/>
  <c r="Y480" i="2"/>
  <c r="BN492" i="2"/>
  <c r="Y495" i="2"/>
  <c r="BN504" i="2"/>
  <c r="BN514" i="2"/>
  <c r="BN524" i="2"/>
  <c r="BN538" i="2"/>
  <c r="L565" i="2"/>
  <c r="Y125" i="2"/>
  <c r="BP29" i="2"/>
  <c r="BP41" i="2"/>
  <c r="BP87" i="2"/>
  <c r="Y121" i="2"/>
  <c r="BP165" i="2"/>
  <c r="BP185" i="2"/>
  <c r="BP209" i="2"/>
  <c r="BP230" i="2"/>
  <c r="BP263" i="2"/>
  <c r="BP293" i="2"/>
  <c r="Y315" i="2"/>
  <c r="Y404" i="2"/>
  <c r="Y485" i="2"/>
  <c r="Y532" i="2"/>
  <c r="Y544" i="2"/>
  <c r="M565" i="2"/>
  <c r="Y259" i="2"/>
  <c r="Y435" i="2"/>
  <c r="Y458" i="2"/>
  <c r="Y549" i="2"/>
  <c r="O565" i="2"/>
  <c r="Y160" i="2"/>
  <c r="Y42" i="2"/>
  <c r="Y52" i="2"/>
  <c r="Y88" i="2"/>
  <c r="Y96" i="2"/>
  <c r="Y132" i="2"/>
  <c r="Y140" i="2"/>
  <c r="Z150" i="2"/>
  <c r="Y186" i="2"/>
  <c r="Y264" i="2"/>
  <c r="Z289" i="2"/>
  <c r="Y337" i="2"/>
  <c r="Y384" i="2"/>
  <c r="Z401" i="2"/>
  <c r="Y448" i="2"/>
  <c r="Z482" i="2"/>
  <c r="Y496" i="2"/>
  <c r="P565" i="2"/>
  <c r="Q565" i="2"/>
  <c r="Z37" i="2"/>
  <c r="Z49" i="2"/>
  <c r="Z60" i="2"/>
  <c r="Y75" i="2"/>
  <c r="Z93" i="2"/>
  <c r="Z95" i="2" s="1"/>
  <c r="Z104" i="2"/>
  <c r="BP129" i="2"/>
  <c r="Z137" i="2"/>
  <c r="Z139" i="2" s="1"/>
  <c r="BN150" i="2"/>
  <c r="Y161" i="2"/>
  <c r="Z171" i="2"/>
  <c r="Z172" i="2" s="1"/>
  <c r="Z181" i="2"/>
  <c r="Z191" i="2"/>
  <c r="Z226" i="2"/>
  <c r="Z246" i="2"/>
  <c r="Y260" i="2"/>
  <c r="Z269" i="2"/>
  <c r="Z279" i="2"/>
  <c r="BN289" i="2"/>
  <c r="Z300" i="2"/>
  <c r="Z334" i="2"/>
  <c r="Y350" i="2"/>
  <c r="Z389" i="2"/>
  <c r="Z390" i="2" s="1"/>
  <c r="BN401" i="2"/>
  <c r="Y415" i="2"/>
  <c r="Y436" i="2"/>
  <c r="Z445" i="2"/>
  <c r="Z447" i="2" s="1"/>
  <c r="Y459" i="2"/>
  <c r="BN482" i="2"/>
  <c r="Z493" i="2"/>
  <c r="Z505" i="2"/>
  <c r="Z552" i="2"/>
  <c r="Z553" i="2" s="1"/>
  <c r="R565" i="2"/>
  <c r="BN534" i="2"/>
  <c r="BN546" i="2"/>
  <c r="S565" i="2"/>
  <c r="Z23" i="2"/>
  <c r="BN37" i="2"/>
  <c r="BN49" i="2"/>
  <c r="BN60" i="2"/>
  <c r="Y63" i="2"/>
  <c r="Y71" i="2"/>
  <c r="BN93" i="2"/>
  <c r="BN104" i="2"/>
  <c r="Y115" i="2"/>
  <c r="Z124" i="2"/>
  <c r="Z125" i="2" s="1"/>
  <c r="BN171" i="2"/>
  <c r="BN181" i="2"/>
  <c r="BN191" i="2"/>
  <c r="BN226" i="2"/>
  <c r="Y249" i="2"/>
  <c r="Z257" i="2"/>
  <c r="BN269" i="2"/>
  <c r="Z287" i="2"/>
  <c r="BN300" i="2"/>
  <c r="Y311" i="2"/>
  <c r="BN389" i="2"/>
  <c r="Z421" i="2"/>
  <c r="Z433" i="2"/>
  <c r="BN445" i="2"/>
  <c r="Z456" i="2"/>
  <c r="BP482" i="2"/>
  <c r="BN493" i="2"/>
  <c r="BN505" i="2"/>
  <c r="Y526" i="2"/>
  <c r="Y540" i="2"/>
  <c r="BN552" i="2"/>
  <c r="BN137" i="2"/>
  <c r="Z234" i="2"/>
  <c r="BN246" i="2"/>
  <c r="Y346" i="2"/>
  <c r="Z356" i="2"/>
  <c r="Z28" i="2"/>
  <c r="Z32" i="2" s="1"/>
  <c r="Z40" i="2"/>
  <c r="BN55" i="2"/>
  <c r="Y76" i="2"/>
  <c r="Z86" i="2"/>
  <c r="BN99" i="2"/>
  <c r="Z130" i="2"/>
  <c r="Z132" i="2" s="1"/>
  <c r="BN142" i="2"/>
  <c r="Y156" i="2"/>
  <c r="Z164" i="2"/>
  <c r="Z167" i="2" s="1"/>
  <c r="Z184" i="2"/>
  <c r="Z208" i="2"/>
  <c r="BN221" i="2"/>
  <c r="Z229" i="2"/>
  <c r="Z239" i="2"/>
  <c r="Z243" i="2" s="1"/>
  <c r="Z262" i="2"/>
  <c r="Z264" i="2" s="1"/>
  <c r="Z272" i="2"/>
  <c r="Z282" i="2"/>
  <c r="Z303" i="2"/>
  <c r="Z326" i="2"/>
  <c r="Y351" i="2"/>
  <c r="Z362" i="2"/>
  <c r="Z372" i="2"/>
  <c r="Z377" i="2" s="1"/>
  <c r="Z382" i="2"/>
  <c r="BN394" i="2"/>
  <c r="Y416" i="2"/>
  <c r="Z428" i="2"/>
  <c r="Z438" i="2"/>
  <c r="Z461" i="2"/>
  <c r="Z462" i="2" s="1"/>
  <c r="BP488" i="2"/>
  <c r="BN500" i="2"/>
  <c r="Z508" i="2"/>
  <c r="B565" i="2"/>
  <c r="U565" i="2"/>
  <c r="BP171" i="2"/>
  <c r="Y290" i="2"/>
  <c r="BN421" i="2"/>
  <c r="BN433" i="2"/>
  <c r="BN456" i="2"/>
  <c r="BP552" i="2"/>
  <c r="C565" i="2"/>
  <c r="V565" i="2"/>
  <c r="BN23" i="2"/>
  <c r="BN234" i="2"/>
  <c r="BP246" i="2"/>
  <c r="Y64" i="2"/>
  <c r="Z73" i="2"/>
  <c r="Z75" i="2" s="1"/>
  <c r="Z117" i="2"/>
  <c r="Z151" i="2"/>
  <c r="BN164" i="2"/>
  <c r="Y167" i="2"/>
  <c r="BN184" i="2"/>
  <c r="BN208" i="2"/>
  <c r="BN229" i="2"/>
  <c r="BN239" i="2"/>
  <c r="BN262" i="2"/>
  <c r="BN272" i="2"/>
  <c r="Y275" i="2"/>
  <c r="BN282" i="2"/>
  <c r="BN303" i="2"/>
  <c r="Y306" i="2"/>
  <c r="Z313" i="2"/>
  <c r="Z314" i="2" s="1"/>
  <c r="BN326" i="2"/>
  <c r="Y329" i="2"/>
  <c r="Z348" i="2"/>
  <c r="Z350" i="2" s="1"/>
  <c r="BN362" i="2"/>
  <c r="BN372" i="2"/>
  <c r="BN382" i="2"/>
  <c r="Z402" i="2"/>
  <c r="BN428" i="2"/>
  <c r="BN438" i="2"/>
  <c r="Y441" i="2"/>
  <c r="BN461" i="2"/>
  <c r="Z473" i="2"/>
  <c r="Z483" i="2"/>
  <c r="BN508" i="2"/>
  <c r="Z518" i="2"/>
  <c r="Z530" i="2"/>
  <c r="Z531" i="2" s="1"/>
  <c r="Z542" i="2"/>
  <c r="Z543" i="2" s="1"/>
  <c r="BN124" i="2"/>
  <c r="BN257" i="2"/>
  <c r="BN287" i="2"/>
  <c r="F9" i="2"/>
  <c r="H9" i="2"/>
  <c r="BP23" i="2"/>
  <c r="BP124" i="2"/>
  <c r="Y157" i="2"/>
  <c r="Y172" i="2"/>
  <c r="Y192" i="2"/>
  <c r="BP234" i="2"/>
  <c r="Z354" i="2"/>
  <c r="BP356" i="2"/>
  <c r="Y390" i="2"/>
  <c r="Z419" i="2"/>
  <c r="BP421" i="2"/>
  <c r="BP456" i="2"/>
  <c r="Z547" i="2"/>
  <c r="Z548" i="2" s="1"/>
  <c r="Y553" i="2"/>
  <c r="J9" i="2"/>
  <c r="BN73" i="2"/>
  <c r="BN151" i="2"/>
  <c r="BP164" i="2"/>
  <c r="Y291" i="2"/>
  <c r="BN313" i="2"/>
  <c r="BN348" i="2"/>
  <c r="BN402" i="2"/>
  <c r="BP438" i="2"/>
  <c r="BP461" i="2"/>
  <c r="BN473" i="2"/>
  <c r="BN483" i="2"/>
  <c r="BN518" i="2"/>
  <c r="F565" i="2"/>
  <c r="Y565" i="2"/>
  <c r="Z149" i="2"/>
  <c r="Z258" i="2"/>
  <c r="Z288" i="2"/>
  <c r="BP313" i="2"/>
  <c r="Y391" i="2"/>
  <c r="Z400" i="2"/>
  <c r="Z434" i="2"/>
  <c r="Z457" i="2"/>
  <c r="BP473" i="2"/>
  <c r="BN494" i="2"/>
  <c r="BN506" i="2"/>
  <c r="Y509" i="2"/>
  <c r="BP530" i="2"/>
  <c r="BP542" i="2"/>
  <c r="Y554" i="2"/>
  <c r="I565" i="2"/>
  <c r="AB565" i="2"/>
  <c r="Z159" i="2"/>
  <c r="Z160" i="2" s="1"/>
  <c r="BN400" i="2"/>
  <c r="Z515" i="2" l="1"/>
  <c r="Z441" i="2"/>
  <c r="Z495" i="2"/>
  <c r="Z452" i="2"/>
  <c r="Z70" i="2"/>
  <c r="Z357" i="2"/>
  <c r="Z422" i="2"/>
  <c r="Z145" i="2"/>
  <c r="Z336" i="2"/>
  <c r="Z525" i="2"/>
  <c r="Z509" i="2"/>
  <c r="Z479" i="2"/>
  <c r="Z468" i="2"/>
  <c r="Z409" i="2"/>
  <c r="Z397" i="2"/>
  <c r="Z345" i="2"/>
  <c r="Z329" i="2"/>
  <c r="Z249" i="2"/>
  <c r="Z213" i="2"/>
  <c r="X558" i="2"/>
  <c r="Z156" i="2"/>
  <c r="Z121" i="2"/>
  <c r="Z63" i="2"/>
  <c r="Z51" i="2"/>
  <c r="Y556" i="2"/>
  <c r="Z24" i="2"/>
  <c r="Z367" i="2"/>
  <c r="Z290" i="2"/>
  <c r="Z106" i="2"/>
  <c r="Y559" i="2"/>
  <c r="Z114" i="2"/>
  <c r="Z88" i="2"/>
  <c r="Z235" i="2"/>
  <c r="Z275" i="2"/>
  <c r="Z192" i="2"/>
  <c r="Z435" i="2"/>
  <c r="Z384" i="2"/>
  <c r="Z259" i="2"/>
  <c r="Z306" i="2"/>
  <c r="Z186" i="2"/>
  <c r="Y555" i="2"/>
  <c r="Y557" i="2"/>
  <c r="Z320" i="2"/>
  <c r="Z42" i="2"/>
  <c r="Z484" i="2"/>
  <c r="Z403" i="2"/>
  <c r="Z458" i="2"/>
  <c r="Y558" i="2" l="1"/>
  <c r="Z560" i="2"/>
</calcChain>
</file>

<file path=xl/sharedStrings.xml><?xml version="1.0" encoding="utf-8"?>
<sst xmlns="http://schemas.openxmlformats.org/spreadsheetml/2006/main" count="4237" uniqueCount="896">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</sst>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 t="s">
        <v>895</v>
      </c>
      <c r="I5" s="649"/>
      <c r="J5" s="649"/>
      <c r="K5" s="649"/>
      <c r="L5" s="649"/>
      <c r="M5" s="649"/>
      <c r="N5" s="72"/>
      <c r="P5" s="27" t="s">
        <v>4</v>
      </c>
      <c r="Q5" s="651">
        <v>46251</v>
      </c>
      <c r="R5" s="651"/>
      <c r="T5" s="652" t="s">
        <v>3</v>
      </c>
      <c r="U5" s="653"/>
      <c r="V5" s="654" t="s">
        <v>876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877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Понедельник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1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0.375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5">
        <v>4680115886643</v>
      </c>
      <c r="E22" s="71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5">
        <v>4680115889071</v>
      </c>
      <c r="E23" s="71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7"/>
      <c r="R23" s="717"/>
      <c r="S23" s="717"/>
      <c r="T23" s="71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3"/>
      <c r="B24" s="723"/>
      <c r="C24" s="723"/>
      <c r="D24" s="723"/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/>
      <c r="P24" s="720" t="s">
        <v>40</v>
      </c>
      <c r="Q24" s="721"/>
      <c r="R24" s="721"/>
      <c r="S24" s="721"/>
      <c r="T24" s="721"/>
      <c r="U24" s="721"/>
      <c r="V24" s="72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3"/>
      <c r="B25" s="723"/>
      <c r="C25" s="723"/>
      <c r="D25" s="723"/>
      <c r="E25" s="723"/>
      <c r="F25" s="723"/>
      <c r="G25" s="723"/>
      <c r="H25" s="723"/>
      <c r="I25" s="723"/>
      <c r="J25" s="723"/>
      <c r="K25" s="723"/>
      <c r="L25" s="723"/>
      <c r="M25" s="723"/>
      <c r="N25" s="723"/>
      <c r="O25" s="724"/>
      <c r="P25" s="720" t="s">
        <v>40</v>
      </c>
      <c r="Q25" s="721"/>
      <c r="R25" s="721"/>
      <c r="S25" s="721"/>
      <c r="T25" s="721"/>
      <c r="U25" s="721"/>
      <c r="V25" s="72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4" t="s">
        <v>86</v>
      </c>
      <c r="B26" s="714"/>
      <c r="C26" s="714"/>
      <c r="D26" s="714"/>
      <c r="E26" s="714"/>
      <c r="F26" s="714"/>
      <c r="G26" s="714"/>
      <c r="H26" s="714"/>
      <c r="I26" s="714"/>
      <c r="J26" s="714"/>
      <c r="K26" s="714"/>
      <c r="L26" s="714"/>
      <c r="M26" s="714"/>
      <c r="N26" s="714"/>
      <c r="O26" s="714"/>
      <c r="P26" s="714"/>
      <c r="Q26" s="714"/>
      <c r="R26" s="714"/>
      <c r="S26" s="714"/>
      <c r="T26" s="714"/>
      <c r="U26" s="714"/>
      <c r="V26" s="714"/>
      <c r="W26" s="714"/>
      <c r="X26" s="714"/>
      <c r="Y26" s="714"/>
      <c r="Z26" s="71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5">
        <v>4680115885912</v>
      </c>
      <c r="E27" s="71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5">
        <v>4607091388237</v>
      </c>
      <c r="E28" s="71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5">
        <v>4680115887350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5">
        <v>4680115885905</v>
      </c>
      <c r="E30" s="71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5">
        <v>4680115887619</v>
      </c>
      <c r="E31" s="71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7"/>
      <c r="R31" s="717"/>
      <c r="S31" s="717"/>
      <c r="T31" s="71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3"/>
      <c r="B32" s="723"/>
      <c r="C32" s="723"/>
      <c r="D32" s="723"/>
      <c r="E32" s="723"/>
      <c r="F32" s="723"/>
      <c r="G32" s="723"/>
      <c r="H32" s="723"/>
      <c r="I32" s="723"/>
      <c r="J32" s="723"/>
      <c r="K32" s="723"/>
      <c r="L32" s="723"/>
      <c r="M32" s="723"/>
      <c r="N32" s="723"/>
      <c r="O32" s="724"/>
      <c r="P32" s="720" t="s">
        <v>40</v>
      </c>
      <c r="Q32" s="721"/>
      <c r="R32" s="721"/>
      <c r="S32" s="721"/>
      <c r="T32" s="721"/>
      <c r="U32" s="721"/>
      <c r="V32" s="72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3"/>
      <c r="B33" s="723"/>
      <c r="C33" s="723"/>
      <c r="D33" s="723"/>
      <c r="E33" s="723"/>
      <c r="F33" s="723"/>
      <c r="G33" s="723"/>
      <c r="H33" s="723"/>
      <c r="I33" s="723"/>
      <c r="J33" s="723"/>
      <c r="K33" s="723"/>
      <c r="L33" s="723"/>
      <c r="M33" s="723"/>
      <c r="N33" s="723"/>
      <c r="O33" s="724"/>
      <c r="P33" s="720" t="s">
        <v>40</v>
      </c>
      <c r="Q33" s="721"/>
      <c r="R33" s="721"/>
      <c r="S33" s="721"/>
      <c r="T33" s="721"/>
      <c r="U33" s="721"/>
      <c r="V33" s="72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2" t="s">
        <v>45</v>
      </c>
      <c r="B34" s="712"/>
      <c r="C34" s="712"/>
      <c r="D34" s="712"/>
      <c r="E34" s="712"/>
      <c r="F34" s="712"/>
      <c r="G34" s="712"/>
      <c r="H34" s="712"/>
      <c r="I34" s="712"/>
      <c r="J34" s="712"/>
      <c r="K34" s="712"/>
      <c r="L34" s="712"/>
      <c r="M34" s="712"/>
      <c r="N34" s="712"/>
      <c r="O34" s="712"/>
      <c r="P34" s="712"/>
      <c r="Q34" s="712"/>
      <c r="R34" s="712"/>
      <c r="S34" s="712"/>
      <c r="T34" s="712"/>
      <c r="U34" s="712"/>
      <c r="V34" s="712"/>
      <c r="W34" s="712"/>
      <c r="X34" s="712"/>
      <c r="Y34" s="712"/>
      <c r="Z34" s="712"/>
      <c r="AA34" s="54"/>
      <c r="AB34" s="54"/>
      <c r="AC34" s="54"/>
    </row>
    <row r="35" spans="1:68" ht="16.5" hidden="1" customHeight="1" x14ac:dyDescent="0.25">
      <c r="A35" s="713" t="s">
        <v>104</v>
      </c>
      <c r="B35" s="713"/>
      <c r="C35" s="713"/>
      <c r="D35" s="713"/>
      <c r="E35" s="713"/>
      <c r="F35" s="713"/>
      <c r="G35" s="713"/>
      <c r="H35" s="713"/>
      <c r="I35" s="713"/>
      <c r="J35" s="713"/>
      <c r="K35" s="713"/>
      <c r="L35" s="713"/>
      <c r="M35" s="713"/>
      <c r="N35" s="713"/>
      <c r="O35" s="713"/>
      <c r="P35" s="713"/>
      <c r="Q35" s="713"/>
      <c r="R35" s="713"/>
      <c r="S35" s="713"/>
      <c r="T35" s="713"/>
      <c r="U35" s="713"/>
      <c r="V35" s="713"/>
      <c r="W35" s="713"/>
      <c r="X35" s="713"/>
      <c r="Y35" s="713"/>
      <c r="Z35" s="713"/>
      <c r="AA35" s="65"/>
      <c r="AB35" s="65"/>
      <c r="AC35" s="79"/>
    </row>
    <row r="36" spans="1:68" ht="14.25" hidden="1" customHeight="1" x14ac:dyDescent="0.25">
      <c r="A36" s="714" t="s">
        <v>86</v>
      </c>
      <c r="B36" s="714"/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R36" s="714"/>
      <c r="S36" s="714"/>
      <c r="T36" s="714"/>
      <c r="U36" s="714"/>
      <c r="V36" s="714"/>
      <c r="W36" s="714"/>
      <c r="X36" s="714"/>
      <c r="Y36" s="714"/>
      <c r="Z36" s="71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5">
        <v>4680115889354</v>
      </c>
      <c r="E37" s="71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7"/>
      <c r="R37" s="717"/>
      <c r="S37" s="717"/>
      <c r="T37" s="71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15">
        <v>4680115888463</v>
      </c>
      <c r="E38" s="71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7"/>
      <c r="R38" s="717"/>
      <c r="S38" s="717"/>
      <c r="T38" s="71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715">
        <v>4680115888494</v>
      </c>
      <c r="E39" s="71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7"/>
      <c r="R39" s="717"/>
      <c r="S39" s="717"/>
      <c r="T39" s="71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15">
        <v>4680115888272</v>
      </c>
      <c r="E40" s="71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7"/>
      <c r="R40" s="717"/>
      <c r="S40" s="717"/>
      <c r="T40" s="71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15">
        <v>4680115888364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3"/>
      <c r="B42" s="723"/>
      <c r="C42" s="723"/>
      <c r="D42" s="723"/>
      <c r="E42" s="723"/>
      <c r="F42" s="723"/>
      <c r="G42" s="723"/>
      <c r="H42" s="723"/>
      <c r="I42" s="723"/>
      <c r="J42" s="723"/>
      <c r="K42" s="723"/>
      <c r="L42" s="723"/>
      <c r="M42" s="723"/>
      <c r="N42" s="723"/>
      <c r="O42" s="724"/>
      <c r="P42" s="720" t="s">
        <v>40</v>
      </c>
      <c r="Q42" s="721"/>
      <c r="R42" s="721"/>
      <c r="S42" s="721"/>
      <c r="T42" s="721"/>
      <c r="U42" s="721"/>
      <c r="V42" s="72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3"/>
      <c r="B43" s="723"/>
      <c r="C43" s="723"/>
      <c r="D43" s="723"/>
      <c r="E43" s="723"/>
      <c r="F43" s="723"/>
      <c r="G43" s="723"/>
      <c r="H43" s="723"/>
      <c r="I43" s="723"/>
      <c r="J43" s="723"/>
      <c r="K43" s="723"/>
      <c r="L43" s="723"/>
      <c r="M43" s="723"/>
      <c r="N43" s="723"/>
      <c r="O43" s="724"/>
      <c r="P43" s="720" t="s">
        <v>40</v>
      </c>
      <c r="Q43" s="721"/>
      <c r="R43" s="721"/>
      <c r="S43" s="721"/>
      <c r="T43" s="721"/>
      <c r="U43" s="721"/>
      <c r="V43" s="72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2" t="s">
        <v>120</v>
      </c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2"/>
      <c r="P44" s="712"/>
      <c r="Q44" s="712"/>
      <c r="R44" s="712"/>
      <c r="S44" s="712"/>
      <c r="T44" s="712"/>
      <c r="U44" s="712"/>
      <c r="V44" s="712"/>
      <c r="W44" s="712"/>
      <c r="X44" s="712"/>
      <c r="Y44" s="712"/>
      <c r="Z44" s="712"/>
      <c r="AA44" s="54"/>
      <c r="AB44" s="54"/>
      <c r="AC44" s="54"/>
    </row>
    <row r="45" spans="1:68" ht="16.5" hidden="1" customHeight="1" x14ac:dyDescent="0.25">
      <c r="A45" s="713" t="s">
        <v>121</v>
      </c>
      <c r="B45" s="713"/>
      <c r="C45" s="713"/>
      <c r="D45" s="713"/>
      <c r="E45" s="713"/>
      <c r="F45" s="713"/>
      <c r="G45" s="713"/>
      <c r="H45" s="713"/>
      <c r="I45" s="713"/>
      <c r="J45" s="713"/>
      <c r="K45" s="713"/>
      <c r="L45" s="713"/>
      <c r="M45" s="713"/>
      <c r="N45" s="713"/>
      <c r="O45" s="713"/>
      <c r="P45" s="713"/>
      <c r="Q45" s="713"/>
      <c r="R45" s="713"/>
      <c r="S45" s="713"/>
      <c r="T45" s="713"/>
      <c r="U45" s="713"/>
      <c r="V45" s="713"/>
      <c r="W45" s="713"/>
      <c r="X45" s="713"/>
      <c r="Y45" s="713"/>
      <c r="Z45" s="713"/>
      <c r="AA45" s="65"/>
      <c r="AB45" s="65"/>
      <c r="AC45" s="79"/>
    </row>
    <row r="46" spans="1:68" ht="14.25" hidden="1" customHeight="1" x14ac:dyDescent="0.25">
      <c r="A46" s="714" t="s">
        <v>122</v>
      </c>
      <c r="B46" s="714"/>
      <c r="C46" s="714"/>
      <c r="D46" s="714"/>
      <c r="E46" s="714"/>
      <c r="F46" s="714"/>
      <c r="G46" s="714"/>
      <c r="H46" s="714"/>
      <c r="I46" s="714"/>
      <c r="J46" s="714"/>
      <c r="K46" s="714"/>
      <c r="L46" s="714"/>
      <c r="M46" s="714"/>
      <c r="N46" s="714"/>
      <c r="O46" s="714"/>
      <c r="P46" s="714"/>
      <c r="Q46" s="714"/>
      <c r="R46" s="714"/>
      <c r="S46" s="714"/>
      <c r="T46" s="714"/>
      <c r="U46" s="714"/>
      <c r="V46" s="714"/>
      <c r="W46" s="714"/>
      <c r="X46" s="714"/>
      <c r="Y46" s="714"/>
      <c r="Z46" s="714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15">
        <v>4607091385670</v>
      </c>
      <c r="E47" s="71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7"/>
      <c r="R47" s="717"/>
      <c r="S47" s="717"/>
      <c r="T47" s="718"/>
      <c r="U47" s="39" t="s">
        <v>46</v>
      </c>
      <c r="V47" s="39" t="s">
        <v>46</v>
      </c>
      <c r="W47" s="40" t="s">
        <v>0</v>
      </c>
      <c r="X47" s="58">
        <v>120</v>
      </c>
      <c r="Y47" s="55">
        <f>IFERROR(IF(X47="",0,CEILING((X47/$H47),1)*$H47),"")</f>
        <v>129.60000000000002</v>
      </c>
      <c r="Z47" s="41">
        <f>IFERROR(IF(Y47=0,"",ROUNDUP(Y47/H47,0)*0.01898),"")</f>
        <v>0.22776000000000002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124.55555555555556</v>
      </c>
      <c r="BN47" s="78">
        <f>IFERROR(Y47*I47/H47,"0")</f>
        <v>134.52000000000001</v>
      </c>
      <c r="BO47" s="78">
        <f>IFERROR(1/J47*(X47/H47),"0")</f>
        <v>0.1736111111111111</v>
      </c>
      <c r="BP47" s="78">
        <f>IFERROR(1/J47*(Y47/H47),"0")</f>
        <v>0.18750000000000003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5">
        <v>4680115887725</v>
      </c>
      <c r="E48" s="71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7"/>
      <c r="R48" s="717"/>
      <c r="S48" s="717"/>
      <c r="T48" s="71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15">
        <v>4607091385687</v>
      </c>
      <c r="E49" s="71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7"/>
      <c r="R49" s="717"/>
      <c r="S49" s="717"/>
      <c r="T49" s="718"/>
      <c r="U49" s="39" t="s">
        <v>46</v>
      </c>
      <c r="V49" s="39" t="s">
        <v>46</v>
      </c>
      <c r="W49" s="40" t="s">
        <v>0</v>
      </c>
      <c r="X49" s="58">
        <v>160</v>
      </c>
      <c r="Y49" s="55">
        <f>IFERROR(IF(X49="",0,CEILING((X49/$H49),1)*$H49),"")</f>
        <v>160</v>
      </c>
      <c r="Z49" s="41">
        <f>IFERROR(IF(Y49=0,"",ROUNDUP(Y49/H49,0)*0.00902),"")</f>
        <v>0.36080000000000001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167.60000000000002</v>
      </c>
      <c r="BN49" s="78">
        <f>IFERROR(Y49*I49/H49,"0")</f>
        <v>167.60000000000002</v>
      </c>
      <c r="BO49" s="78">
        <f>IFERROR(1/J49*(X49/H49),"0")</f>
        <v>0.30303030303030304</v>
      </c>
      <c r="BP49" s="78">
        <f>IFERROR(1/J49*(Y49/H49),"0")</f>
        <v>0.30303030303030304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5">
        <v>4680115882539</v>
      </c>
      <c r="E50" s="71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7"/>
      <c r="R50" s="717"/>
      <c r="S50" s="717"/>
      <c r="T50" s="71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23"/>
      <c r="B51" s="723"/>
      <c r="C51" s="723"/>
      <c r="D51" s="723"/>
      <c r="E51" s="723"/>
      <c r="F51" s="723"/>
      <c r="G51" s="723"/>
      <c r="H51" s="723"/>
      <c r="I51" s="723"/>
      <c r="J51" s="723"/>
      <c r="K51" s="723"/>
      <c r="L51" s="723"/>
      <c r="M51" s="723"/>
      <c r="N51" s="723"/>
      <c r="O51" s="724"/>
      <c r="P51" s="720" t="s">
        <v>40</v>
      </c>
      <c r="Q51" s="721"/>
      <c r="R51" s="721"/>
      <c r="S51" s="721"/>
      <c r="T51" s="721"/>
      <c r="U51" s="721"/>
      <c r="V51" s="722"/>
      <c r="W51" s="42" t="s">
        <v>39</v>
      </c>
      <c r="X51" s="43">
        <f>IFERROR(X47/H47,"0")+IFERROR(X48/H48,"0")+IFERROR(X49/H49,"0")+IFERROR(X50/H50,"0")</f>
        <v>51.111111111111114</v>
      </c>
      <c r="Y51" s="43">
        <f>IFERROR(Y47/H47,"0")+IFERROR(Y48/H48,"0")+IFERROR(Y49/H49,"0")+IFERROR(Y50/H50,"0")</f>
        <v>52</v>
      </c>
      <c r="Z51" s="43">
        <f>IFERROR(IF(Z47="",0,Z47),"0")+IFERROR(IF(Z48="",0,Z48),"0")+IFERROR(IF(Z49="",0,Z49),"0")+IFERROR(IF(Z50="",0,Z50),"0")</f>
        <v>0.58855999999999997</v>
      </c>
      <c r="AA51" s="67"/>
      <c r="AB51" s="67"/>
      <c r="AC51" s="67"/>
    </row>
    <row r="52" spans="1:68" x14ac:dyDescent="0.2">
      <c r="A52" s="723"/>
      <c r="B52" s="723"/>
      <c r="C52" s="723"/>
      <c r="D52" s="723"/>
      <c r="E52" s="723"/>
      <c r="F52" s="723"/>
      <c r="G52" s="723"/>
      <c r="H52" s="723"/>
      <c r="I52" s="723"/>
      <c r="J52" s="723"/>
      <c r="K52" s="723"/>
      <c r="L52" s="723"/>
      <c r="M52" s="723"/>
      <c r="N52" s="723"/>
      <c r="O52" s="724"/>
      <c r="P52" s="720" t="s">
        <v>40</v>
      </c>
      <c r="Q52" s="721"/>
      <c r="R52" s="721"/>
      <c r="S52" s="721"/>
      <c r="T52" s="721"/>
      <c r="U52" s="721"/>
      <c r="V52" s="722"/>
      <c r="W52" s="42" t="s">
        <v>0</v>
      </c>
      <c r="X52" s="43">
        <f>IFERROR(SUM(X47:X50),"0")</f>
        <v>280</v>
      </c>
      <c r="Y52" s="43">
        <f>IFERROR(SUM(Y47:Y50),"0")</f>
        <v>289.60000000000002</v>
      </c>
      <c r="Z52" s="42"/>
      <c r="AA52" s="67"/>
      <c r="AB52" s="67"/>
      <c r="AC52" s="67"/>
    </row>
    <row r="53" spans="1:68" ht="16.5" hidden="1" customHeight="1" x14ac:dyDescent="0.25">
      <c r="A53" s="713" t="s">
        <v>137</v>
      </c>
      <c r="B53" s="713"/>
      <c r="C53" s="713"/>
      <c r="D53" s="713"/>
      <c r="E53" s="713"/>
      <c r="F53" s="713"/>
      <c r="G53" s="713"/>
      <c r="H53" s="713"/>
      <c r="I53" s="713"/>
      <c r="J53" s="713"/>
      <c r="K53" s="713"/>
      <c r="L53" s="713"/>
      <c r="M53" s="713"/>
      <c r="N53" s="713"/>
      <c r="O53" s="713"/>
      <c r="P53" s="713"/>
      <c r="Q53" s="713"/>
      <c r="R53" s="713"/>
      <c r="S53" s="713"/>
      <c r="T53" s="713"/>
      <c r="U53" s="713"/>
      <c r="V53" s="713"/>
      <c r="W53" s="713"/>
      <c r="X53" s="713"/>
      <c r="Y53" s="713"/>
      <c r="Z53" s="713"/>
      <c r="AA53" s="65"/>
      <c r="AB53" s="65"/>
      <c r="AC53" s="79"/>
    </row>
    <row r="54" spans="1:68" ht="14.25" hidden="1" customHeight="1" x14ac:dyDescent="0.25">
      <c r="A54" s="714" t="s">
        <v>122</v>
      </c>
      <c r="B54" s="714"/>
      <c r="C54" s="714"/>
      <c r="D54" s="714"/>
      <c r="E54" s="714"/>
      <c r="F54" s="714"/>
      <c r="G54" s="714"/>
      <c r="H54" s="714"/>
      <c r="I54" s="714"/>
      <c r="J54" s="714"/>
      <c r="K54" s="714"/>
      <c r="L54" s="714"/>
      <c r="M54" s="714"/>
      <c r="N54" s="714"/>
      <c r="O54" s="714"/>
      <c r="P54" s="714"/>
      <c r="Q54" s="714"/>
      <c r="R54" s="714"/>
      <c r="S54" s="714"/>
      <c r="T54" s="714"/>
      <c r="U54" s="714"/>
      <c r="V54" s="714"/>
      <c r="W54" s="714"/>
      <c r="X54" s="714"/>
      <c r="Y54" s="714"/>
      <c r="Z54" s="71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715">
        <v>4680115885882</v>
      </c>
      <c r="E55" s="71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73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7"/>
      <c r="R55" s="717"/>
      <c r="S55" s="717"/>
      <c r="T55" s="71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715">
        <v>4680115885882</v>
      </c>
      <c r="E56" s="71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7"/>
      <c r="R56" s="717"/>
      <c r="S56" s="717"/>
      <c r="T56" s="71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715">
        <v>4680115881426</v>
      </c>
      <c r="E57" s="71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7"/>
      <c r="R57" s="717"/>
      <c r="S57" s="717"/>
      <c r="T57" s="718"/>
      <c r="U57" s="39" t="s">
        <v>46</v>
      </c>
      <c r="V57" s="39" t="s">
        <v>46</v>
      </c>
      <c r="W57" s="40" t="s">
        <v>0</v>
      </c>
      <c r="X57" s="58">
        <v>100</v>
      </c>
      <c r="Y57" s="55">
        <f t="shared" si="0"/>
        <v>108</v>
      </c>
      <c r="Z57" s="41">
        <f>IFERROR(IF(Y57=0,"",ROUNDUP(Y57/H57,0)*0.01898),"")</f>
        <v>0.1898</v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103.79629629629629</v>
      </c>
      <c r="BN57" s="78">
        <f t="shared" si="2"/>
        <v>112.1</v>
      </c>
      <c r="BO57" s="78">
        <f t="shared" si="3"/>
        <v>0.14467592592592593</v>
      </c>
      <c r="BP57" s="78">
        <f t="shared" si="4"/>
        <v>0.15625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715">
        <v>4680115880283</v>
      </c>
      <c r="E58" s="71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7"/>
      <c r="R58" s="717"/>
      <c r="S58" s="717"/>
      <c r="T58" s="71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715">
        <v>4680115880283</v>
      </c>
      <c r="E59" s="71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715">
        <v>4680115881525</v>
      </c>
      <c r="E60" s="71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15">
        <v>4680115885899</v>
      </c>
      <c r="E61" s="71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715">
        <v>4680115881419</v>
      </c>
      <c r="E62" s="71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450</v>
      </c>
      <c r="Y62" s="55">
        <f t="shared" si="0"/>
        <v>450</v>
      </c>
      <c r="Z62" s="41">
        <f>IFERROR(IF(Y62=0,"",ROUNDUP(Y62/H62,0)*0.00902),"")</f>
        <v>0.90200000000000002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469</v>
      </c>
      <c r="BN62" s="78">
        <f t="shared" si="2"/>
        <v>469</v>
      </c>
      <c r="BO62" s="78">
        <f t="shared" si="3"/>
        <v>0.75757575757575757</v>
      </c>
      <c r="BP62" s="78">
        <f t="shared" si="4"/>
        <v>0.75757575757575757</v>
      </c>
    </row>
    <row r="63" spans="1:68" x14ac:dyDescent="0.2">
      <c r="A63" s="723"/>
      <c r="B63" s="723"/>
      <c r="C63" s="723"/>
      <c r="D63" s="723"/>
      <c r="E63" s="723"/>
      <c r="F63" s="723"/>
      <c r="G63" s="723"/>
      <c r="H63" s="723"/>
      <c r="I63" s="723"/>
      <c r="J63" s="723"/>
      <c r="K63" s="723"/>
      <c r="L63" s="723"/>
      <c r="M63" s="723"/>
      <c r="N63" s="723"/>
      <c r="O63" s="724"/>
      <c r="P63" s="720" t="s">
        <v>40</v>
      </c>
      <c r="Q63" s="721"/>
      <c r="R63" s="721"/>
      <c r="S63" s="721"/>
      <c r="T63" s="721"/>
      <c r="U63" s="721"/>
      <c r="V63" s="722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109.25925925925927</v>
      </c>
      <c r="Y63" s="43">
        <f>IFERROR(Y55/H55,"0")+IFERROR(Y56/H56,"0")+IFERROR(Y57/H57,"0")+IFERROR(Y58/H58,"0")+IFERROR(Y59/H59,"0")+IFERROR(Y60/H60,"0")+IFERROR(Y61/H61,"0")+IFERROR(Y62/H62,"0")</f>
        <v>110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1.0918000000000001</v>
      </c>
      <c r="AA63" s="67"/>
      <c r="AB63" s="67"/>
      <c r="AC63" s="67"/>
    </row>
    <row r="64" spans="1:68" x14ac:dyDescent="0.2">
      <c r="A64" s="723"/>
      <c r="B64" s="723"/>
      <c r="C64" s="723"/>
      <c r="D64" s="723"/>
      <c r="E64" s="723"/>
      <c r="F64" s="723"/>
      <c r="G64" s="723"/>
      <c r="H64" s="723"/>
      <c r="I64" s="723"/>
      <c r="J64" s="723"/>
      <c r="K64" s="723"/>
      <c r="L64" s="723"/>
      <c r="M64" s="723"/>
      <c r="N64" s="723"/>
      <c r="O64" s="724"/>
      <c r="P64" s="720" t="s">
        <v>40</v>
      </c>
      <c r="Q64" s="721"/>
      <c r="R64" s="721"/>
      <c r="S64" s="721"/>
      <c r="T64" s="721"/>
      <c r="U64" s="721"/>
      <c r="V64" s="722"/>
      <c r="W64" s="42" t="s">
        <v>0</v>
      </c>
      <c r="X64" s="43">
        <f>IFERROR(SUM(X55:X62),"0")</f>
        <v>550</v>
      </c>
      <c r="Y64" s="43">
        <f>IFERROR(SUM(Y55:Y62),"0")</f>
        <v>558</v>
      </c>
      <c r="Z64" s="42"/>
      <c r="AA64" s="67"/>
      <c r="AB64" s="67"/>
      <c r="AC64" s="67"/>
    </row>
    <row r="65" spans="1:68" ht="14.25" hidden="1" customHeight="1" x14ac:dyDescent="0.25">
      <c r="A65" s="714" t="s">
        <v>158</v>
      </c>
      <c r="B65" s="714"/>
      <c r="C65" s="714"/>
      <c r="D65" s="714"/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4"/>
      <c r="U65" s="714"/>
      <c r="V65" s="714"/>
      <c r="W65" s="714"/>
      <c r="X65" s="714"/>
      <c r="Y65" s="714"/>
      <c r="Z65" s="714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715">
        <v>4680115881440</v>
      </c>
      <c r="E66" s="71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50</v>
      </c>
      <c r="Y66" s="55">
        <f>IFERROR(IF(X66="",0,CEILING((X66/$H66),1)*$H66),"")</f>
        <v>54</v>
      </c>
      <c r="Z66" s="41">
        <f>IFERROR(IF(Y66=0,"",ROUNDUP(Y66/H66,0)*0.01898),"")</f>
        <v>9.4899999999999998E-2</v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51.898148148148145</v>
      </c>
      <c r="BN66" s="78">
        <f>IFERROR(Y66*I66/H66,"0")</f>
        <v>56.05</v>
      </c>
      <c r="BO66" s="78">
        <f>IFERROR(1/J66*(X66/H66),"0")</f>
        <v>7.2337962962962965E-2</v>
      </c>
      <c r="BP66" s="78">
        <f>IFERROR(1/J66*(Y66/H66),"0")</f>
        <v>7.8125E-2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715">
        <v>4680115885950</v>
      </c>
      <c r="E67" s="71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7"/>
      <c r="R67" s="717"/>
      <c r="S67" s="717"/>
      <c r="T67" s="71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715">
        <v>4680115887688</v>
      </c>
      <c r="E68" s="71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7"/>
      <c r="R68" s="717"/>
      <c r="S68" s="717"/>
      <c r="T68" s="71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715">
        <v>4680115881433</v>
      </c>
      <c r="E69" s="71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7"/>
      <c r="R69" s="717"/>
      <c r="S69" s="717"/>
      <c r="T69" s="718"/>
      <c r="U69" s="39" t="s">
        <v>46</v>
      </c>
      <c r="V69" s="39" t="s">
        <v>46</v>
      </c>
      <c r="W69" s="40" t="s">
        <v>0</v>
      </c>
      <c r="X69" s="58">
        <v>135</v>
      </c>
      <c r="Y69" s="55">
        <f>IFERROR(IF(X69="",0,CEILING((X69/$H69),1)*$H69),"")</f>
        <v>135</v>
      </c>
      <c r="Z69" s="41">
        <f>IFERROR(IF(Y69=0,"",ROUNDUP(Y69/H69,0)*0.00651),"")</f>
        <v>0.32550000000000001</v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144</v>
      </c>
      <c r="BN69" s="78">
        <f>IFERROR(Y69*I69/H69,"0")</f>
        <v>144</v>
      </c>
      <c r="BO69" s="78">
        <f>IFERROR(1/J69*(X69/H69),"0")</f>
        <v>0.27472527472527475</v>
      </c>
      <c r="BP69" s="78">
        <f>IFERROR(1/J69*(Y69/H69),"0")</f>
        <v>0.27472527472527475</v>
      </c>
    </row>
    <row r="70" spans="1:68" x14ac:dyDescent="0.2">
      <c r="A70" s="723"/>
      <c r="B70" s="723"/>
      <c r="C70" s="723"/>
      <c r="D70" s="723"/>
      <c r="E70" s="723"/>
      <c r="F70" s="723"/>
      <c r="G70" s="723"/>
      <c r="H70" s="723"/>
      <c r="I70" s="723"/>
      <c r="J70" s="723"/>
      <c r="K70" s="723"/>
      <c r="L70" s="723"/>
      <c r="M70" s="723"/>
      <c r="N70" s="723"/>
      <c r="O70" s="724"/>
      <c r="P70" s="720" t="s">
        <v>40</v>
      </c>
      <c r="Q70" s="721"/>
      <c r="R70" s="721"/>
      <c r="S70" s="721"/>
      <c r="T70" s="721"/>
      <c r="U70" s="721"/>
      <c r="V70" s="722"/>
      <c r="W70" s="42" t="s">
        <v>39</v>
      </c>
      <c r="X70" s="43">
        <f>IFERROR(X66/H66,"0")+IFERROR(X67/H67,"0")+IFERROR(X68/H68,"0")+IFERROR(X69/H69,"0")</f>
        <v>54.629629629629633</v>
      </c>
      <c r="Y70" s="43">
        <f>IFERROR(Y66/H66,"0")+IFERROR(Y67/H67,"0")+IFERROR(Y68/H68,"0")+IFERROR(Y69/H69,"0")</f>
        <v>55</v>
      </c>
      <c r="Z70" s="43">
        <f>IFERROR(IF(Z66="",0,Z66),"0")+IFERROR(IF(Z67="",0,Z67),"0")+IFERROR(IF(Z68="",0,Z68),"0")+IFERROR(IF(Z69="",0,Z69),"0")</f>
        <v>0.4204</v>
      </c>
      <c r="AA70" s="67"/>
      <c r="AB70" s="67"/>
      <c r="AC70" s="67"/>
    </row>
    <row r="71" spans="1:68" x14ac:dyDescent="0.2">
      <c r="A71" s="723"/>
      <c r="B71" s="723"/>
      <c r="C71" s="723"/>
      <c r="D71" s="723"/>
      <c r="E71" s="723"/>
      <c r="F71" s="723"/>
      <c r="G71" s="723"/>
      <c r="H71" s="723"/>
      <c r="I71" s="723"/>
      <c r="J71" s="723"/>
      <c r="K71" s="723"/>
      <c r="L71" s="723"/>
      <c r="M71" s="723"/>
      <c r="N71" s="723"/>
      <c r="O71" s="724"/>
      <c r="P71" s="720" t="s">
        <v>40</v>
      </c>
      <c r="Q71" s="721"/>
      <c r="R71" s="721"/>
      <c r="S71" s="721"/>
      <c r="T71" s="721"/>
      <c r="U71" s="721"/>
      <c r="V71" s="722"/>
      <c r="W71" s="42" t="s">
        <v>0</v>
      </c>
      <c r="X71" s="43">
        <f>IFERROR(SUM(X66:X69),"0")</f>
        <v>185</v>
      </c>
      <c r="Y71" s="43">
        <f>IFERROR(SUM(Y66:Y69),"0")</f>
        <v>189</v>
      </c>
      <c r="Z71" s="42"/>
      <c r="AA71" s="67"/>
      <c r="AB71" s="67"/>
      <c r="AC71" s="67"/>
    </row>
    <row r="72" spans="1:68" ht="14.25" hidden="1" customHeight="1" x14ac:dyDescent="0.25">
      <c r="A72" s="714" t="s">
        <v>86</v>
      </c>
      <c r="B72" s="714"/>
      <c r="C72" s="714"/>
      <c r="D72" s="714"/>
      <c r="E72" s="714"/>
      <c r="F72" s="714"/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4"/>
      <c r="U72" s="714"/>
      <c r="V72" s="714"/>
      <c r="W72" s="714"/>
      <c r="X72" s="714"/>
      <c r="Y72" s="714"/>
      <c r="Z72" s="714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715">
        <v>4680115884311</v>
      </c>
      <c r="E73" s="71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715">
        <v>4680115884403</v>
      </c>
      <c r="E74" s="71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7"/>
      <c r="R74" s="717"/>
      <c r="S74" s="717"/>
      <c r="T74" s="71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3"/>
      <c r="B75" s="723"/>
      <c r="C75" s="723"/>
      <c r="D75" s="723"/>
      <c r="E75" s="723"/>
      <c r="F75" s="723"/>
      <c r="G75" s="723"/>
      <c r="H75" s="723"/>
      <c r="I75" s="723"/>
      <c r="J75" s="723"/>
      <c r="K75" s="723"/>
      <c r="L75" s="723"/>
      <c r="M75" s="723"/>
      <c r="N75" s="723"/>
      <c r="O75" s="724"/>
      <c r="P75" s="720" t="s">
        <v>40</v>
      </c>
      <c r="Q75" s="721"/>
      <c r="R75" s="721"/>
      <c r="S75" s="721"/>
      <c r="T75" s="721"/>
      <c r="U75" s="721"/>
      <c r="V75" s="722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723"/>
      <c r="B76" s="723"/>
      <c r="C76" s="723"/>
      <c r="D76" s="723"/>
      <c r="E76" s="723"/>
      <c r="F76" s="723"/>
      <c r="G76" s="723"/>
      <c r="H76" s="723"/>
      <c r="I76" s="723"/>
      <c r="J76" s="723"/>
      <c r="K76" s="723"/>
      <c r="L76" s="723"/>
      <c r="M76" s="723"/>
      <c r="N76" s="723"/>
      <c r="O76" s="724"/>
      <c r="P76" s="720" t="s">
        <v>40</v>
      </c>
      <c r="Q76" s="721"/>
      <c r="R76" s="721"/>
      <c r="S76" s="721"/>
      <c r="T76" s="721"/>
      <c r="U76" s="721"/>
      <c r="V76" s="722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714" t="s">
        <v>175</v>
      </c>
      <c r="B77" s="714"/>
      <c r="C77" s="714"/>
      <c r="D77" s="714"/>
      <c r="E77" s="714"/>
      <c r="F77" s="714"/>
      <c r="G77" s="714"/>
      <c r="H77" s="714"/>
      <c r="I77" s="714"/>
      <c r="J77" s="714"/>
      <c r="K77" s="714"/>
      <c r="L77" s="714"/>
      <c r="M77" s="714"/>
      <c r="N77" s="714"/>
      <c r="O77" s="714"/>
      <c r="P77" s="714"/>
      <c r="Q77" s="714"/>
      <c r="R77" s="714"/>
      <c r="S77" s="714"/>
      <c r="T77" s="714"/>
      <c r="U77" s="714"/>
      <c r="V77" s="714"/>
      <c r="W77" s="714"/>
      <c r="X77" s="714"/>
      <c r="Y77" s="714"/>
      <c r="Z77" s="714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15">
        <v>4680115881532</v>
      </c>
      <c r="E78" s="71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715">
        <v>4680115881464</v>
      </c>
      <c r="E79" s="71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5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7"/>
      <c r="R79" s="717"/>
      <c r="S79" s="717"/>
      <c r="T79" s="71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723"/>
      <c r="B80" s="723"/>
      <c r="C80" s="723"/>
      <c r="D80" s="723"/>
      <c r="E80" s="723"/>
      <c r="F80" s="723"/>
      <c r="G80" s="723"/>
      <c r="H80" s="723"/>
      <c r="I80" s="723"/>
      <c r="J80" s="723"/>
      <c r="K80" s="723"/>
      <c r="L80" s="723"/>
      <c r="M80" s="723"/>
      <c r="N80" s="723"/>
      <c r="O80" s="724"/>
      <c r="P80" s="720" t="s">
        <v>40</v>
      </c>
      <c r="Q80" s="721"/>
      <c r="R80" s="721"/>
      <c r="S80" s="721"/>
      <c r="T80" s="721"/>
      <c r="U80" s="721"/>
      <c r="V80" s="722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723"/>
      <c r="B81" s="723"/>
      <c r="C81" s="723"/>
      <c r="D81" s="723"/>
      <c r="E81" s="723"/>
      <c r="F81" s="723"/>
      <c r="G81" s="723"/>
      <c r="H81" s="723"/>
      <c r="I81" s="723"/>
      <c r="J81" s="723"/>
      <c r="K81" s="723"/>
      <c r="L81" s="723"/>
      <c r="M81" s="723"/>
      <c r="N81" s="723"/>
      <c r="O81" s="724"/>
      <c r="P81" s="720" t="s">
        <v>40</v>
      </c>
      <c r="Q81" s="721"/>
      <c r="R81" s="721"/>
      <c r="S81" s="721"/>
      <c r="T81" s="721"/>
      <c r="U81" s="721"/>
      <c r="V81" s="722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713" t="s">
        <v>182</v>
      </c>
      <c r="B82" s="713"/>
      <c r="C82" s="713"/>
      <c r="D82" s="713"/>
      <c r="E82" s="713"/>
      <c r="F82" s="713"/>
      <c r="G82" s="713"/>
      <c r="H82" s="713"/>
      <c r="I82" s="713"/>
      <c r="J82" s="713"/>
      <c r="K82" s="713"/>
      <c r="L82" s="713"/>
      <c r="M82" s="713"/>
      <c r="N82" s="713"/>
      <c r="O82" s="713"/>
      <c r="P82" s="713"/>
      <c r="Q82" s="713"/>
      <c r="R82" s="713"/>
      <c r="S82" s="713"/>
      <c r="T82" s="713"/>
      <c r="U82" s="713"/>
      <c r="V82" s="713"/>
      <c r="W82" s="713"/>
      <c r="X82" s="713"/>
      <c r="Y82" s="713"/>
      <c r="Z82" s="713"/>
      <c r="AA82" s="65"/>
      <c r="AB82" s="65"/>
      <c r="AC82" s="79"/>
    </row>
    <row r="83" spans="1:68" ht="14.25" hidden="1" customHeight="1" x14ac:dyDescent="0.25">
      <c r="A83" s="714" t="s">
        <v>122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715">
        <v>4680115881327</v>
      </c>
      <c r="E84" s="71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100</v>
      </c>
      <c r="Y84" s="55">
        <f>IFERROR(IF(X84="",0,CEILING((X84/$H84),1)*$H84),"")</f>
        <v>108</v>
      </c>
      <c r="Z84" s="41">
        <f>IFERROR(IF(Y84=0,"",ROUNDUP(Y84/H84,0)*0.01898),"")</f>
        <v>0.1898</v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103.79629629629629</v>
      </c>
      <c r="BN84" s="78">
        <f>IFERROR(Y84*I84/H84,"0")</f>
        <v>112.1</v>
      </c>
      <c r="BO84" s="78">
        <f>IFERROR(1/J84*(X84/H84),"0")</f>
        <v>0.14467592592592593</v>
      </c>
      <c r="BP84" s="78">
        <f>IFERROR(1/J84*(Y84/H84),"0")</f>
        <v>0.15625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715">
        <v>4680115887732</v>
      </c>
      <c r="E85" s="71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7"/>
      <c r="R85" s="717"/>
      <c r="S85" s="717"/>
      <c r="T85" s="71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715">
        <v>4680115881518</v>
      </c>
      <c r="E86" s="71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7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7"/>
      <c r="R86" s="717"/>
      <c r="S86" s="717"/>
      <c r="T86" s="71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715">
        <v>4680115881303</v>
      </c>
      <c r="E87" s="71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7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7"/>
      <c r="R87" s="717"/>
      <c r="S87" s="717"/>
      <c r="T87" s="718"/>
      <c r="U87" s="39" t="s">
        <v>46</v>
      </c>
      <c r="V87" s="39" t="s">
        <v>46</v>
      </c>
      <c r="W87" s="40" t="s">
        <v>0</v>
      </c>
      <c r="X87" s="58">
        <v>315</v>
      </c>
      <c r="Y87" s="55">
        <f>IFERROR(IF(X87="",0,CEILING((X87/$H87),1)*$H87),"")</f>
        <v>315</v>
      </c>
      <c r="Z87" s="41">
        <f>IFERROR(IF(Y87=0,"",ROUNDUP(Y87/H87,0)*0.00902),"")</f>
        <v>0.63139999999999996</v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328.3</v>
      </c>
      <c r="BN87" s="78">
        <f>IFERROR(Y87*I87/H87,"0")</f>
        <v>328.3</v>
      </c>
      <c r="BO87" s="78">
        <f>IFERROR(1/J87*(X87/H87),"0")</f>
        <v>0.53030303030303028</v>
      </c>
      <c r="BP87" s="78">
        <f>IFERROR(1/J87*(Y87/H87),"0")</f>
        <v>0.53030303030303028</v>
      </c>
    </row>
    <row r="88" spans="1:68" x14ac:dyDescent="0.2">
      <c r="A88" s="723"/>
      <c r="B88" s="723"/>
      <c r="C88" s="723"/>
      <c r="D88" s="723"/>
      <c r="E88" s="723"/>
      <c r="F88" s="723"/>
      <c r="G88" s="723"/>
      <c r="H88" s="723"/>
      <c r="I88" s="723"/>
      <c r="J88" s="723"/>
      <c r="K88" s="723"/>
      <c r="L88" s="723"/>
      <c r="M88" s="723"/>
      <c r="N88" s="723"/>
      <c r="O88" s="724"/>
      <c r="P88" s="720" t="s">
        <v>40</v>
      </c>
      <c r="Q88" s="721"/>
      <c r="R88" s="721"/>
      <c r="S88" s="721"/>
      <c r="T88" s="721"/>
      <c r="U88" s="721"/>
      <c r="V88" s="722"/>
      <c r="W88" s="42" t="s">
        <v>39</v>
      </c>
      <c r="X88" s="43">
        <f>IFERROR(X84/H84,"0")+IFERROR(X85/H85,"0")+IFERROR(X86/H86,"0")+IFERROR(X87/H87,"0")</f>
        <v>79.259259259259267</v>
      </c>
      <c r="Y88" s="43">
        <f>IFERROR(Y84/H84,"0")+IFERROR(Y85/H85,"0")+IFERROR(Y86/H86,"0")+IFERROR(Y87/H87,"0")</f>
        <v>80</v>
      </c>
      <c r="Z88" s="43">
        <f>IFERROR(IF(Z84="",0,Z84),"0")+IFERROR(IF(Z85="",0,Z85),"0")+IFERROR(IF(Z86="",0,Z86),"0")+IFERROR(IF(Z87="",0,Z87),"0")</f>
        <v>0.82119999999999993</v>
      </c>
      <c r="AA88" s="67"/>
      <c r="AB88" s="67"/>
      <c r="AC88" s="67"/>
    </row>
    <row r="89" spans="1:68" x14ac:dyDescent="0.2">
      <c r="A89" s="723"/>
      <c r="B89" s="723"/>
      <c r="C89" s="723"/>
      <c r="D89" s="723"/>
      <c r="E89" s="723"/>
      <c r="F89" s="723"/>
      <c r="G89" s="723"/>
      <c r="H89" s="723"/>
      <c r="I89" s="723"/>
      <c r="J89" s="723"/>
      <c r="K89" s="723"/>
      <c r="L89" s="723"/>
      <c r="M89" s="723"/>
      <c r="N89" s="723"/>
      <c r="O89" s="724"/>
      <c r="P89" s="720" t="s">
        <v>40</v>
      </c>
      <c r="Q89" s="721"/>
      <c r="R89" s="721"/>
      <c r="S89" s="721"/>
      <c r="T89" s="721"/>
      <c r="U89" s="721"/>
      <c r="V89" s="722"/>
      <c r="W89" s="42" t="s">
        <v>0</v>
      </c>
      <c r="X89" s="43">
        <f>IFERROR(SUM(X84:X87),"0")</f>
        <v>415</v>
      </c>
      <c r="Y89" s="43">
        <f>IFERROR(SUM(Y84:Y87),"0")</f>
        <v>423</v>
      </c>
      <c r="Z89" s="42"/>
      <c r="AA89" s="67"/>
      <c r="AB89" s="67"/>
      <c r="AC89" s="67"/>
    </row>
    <row r="90" spans="1:68" ht="14.25" hidden="1" customHeight="1" x14ac:dyDescent="0.25">
      <c r="A90" s="714" t="s">
        <v>86</v>
      </c>
      <c r="B90" s="714"/>
      <c r="C90" s="714"/>
      <c r="D90" s="714"/>
      <c r="E90" s="714"/>
      <c r="F90" s="714"/>
      <c r="G90" s="714"/>
      <c r="H90" s="714"/>
      <c r="I90" s="714"/>
      <c r="J90" s="714"/>
      <c r="K90" s="714"/>
      <c r="L90" s="714"/>
      <c r="M90" s="714"/>
      <c r="N90" s="714"/>
      <c r="O90" s="714"/>
      <c r="P90" s="714"/>
      <c r="Q90" s="714"/>
      <c r="R90" s="714"/>
      <c r="S90" s="714"/>
      <c r="T90" s="714"/>
      <c r="U90" s="714"/>
      <c r="V90" s="714"/>
      <c r="W90" s="714"/>
      <c r="X90" s="714"/>
      <c r="Y90" s="714"/>
      <c r="Z90" s="714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715">
        <v>4607091386967</v>
      </c>
      <c r="E91" s="71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7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400</v>
      </c>
      <c r="Y91" s="55">
        <f>IFERROR(IF(X91="",0,CEILING((X91/$H91),1)*$H91),"")</f>
        <v>405</v>
      </c>
      <c r="Z91" s="41">
        <f>IFERROR(IF(Y91=0,"",ROUNDUP(Y91/H91,0)*0.01898),"")</f>
        <v>0.94900000000000007</v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424.39506172839509</v>
      </c>
      <c r="BN91" s="78">
        <f>IFERROR(Y91*I91/H91,"0")</f>
        <v>429.7</v>
      </c>
      <c r="BO91" s="78">
        <f>IFERROR(1/J91*(X91/H91),"0")</f>
        <v>0.77160493827160492</v>
      </c>
      <c r="BP91" s="78">
        <f>IFERROR(1/J91*(Y91/H91),"0")</f>
        <v>0.78125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715">
        <v>4680115884953</v>
      </c>
      <c r="E92" s="71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7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715">
        <v>4607091385731</v>
      </c>
      <c r="E93" s="71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7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360</v>
      </c>
      <c r="Y93" s="55">
        <f>IFERROR(IF(X93="",0,CEILING((X93/$H93),1)*$H93),"")</f>
        <v>361.8</v>
      </c>
      <c r="Z93" s="41">
        <f>IFERROR(IF(Y93=0,"",ROUNDUP(Y93/H93,0)*0.00651),"")</f>
        <v>0.87234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393.59999999999997</v>
      </c>
      <c r="BN93" s="78">
        <f>IFERROR(Y93*I93/H93,"0")</f>
        <v>395.56799999999998</v>
      </c>
      <c r="BO93" s="78">
        <f>IFERROR(1/J93*(X93/H93),"0")</f>
        <v>0.73260073260073255</v>
      </c>
      <c r="BP93" s="78">
        <f>IFERROR(1/J93*(Y93/H93),"0")</f>
        <v>0.73626373626373631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715">
        <v>4680115880894</v>
      </c>
      <c r="E94" s="71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723"/>
      <c r="B95" s="723"/>
      <c r="C95" s="723"/>
      <c r="D95" s="723"/>
      <c r="E95" s="723"/>
      <c r="F95" s="723"/>
      <c r="G95" s="723"/>
      <c r="H95" s="723"/>
      <c r="I95" s="723"/>
      <c r="J95" s="723"/>
      <c r="K95" s="723"/>
      <c r="L95" s="723"/>
      <c r="M95" s="723"/>
      <c r="N95" s="723"/>
      <c r="O95" s="724"/>
      <c r="P95" s="720" t="s">
        <v>40</v>
      </c>
      <c r="Q95" s="721"/>
      <c r="R95" s="721"/>
      <c r="S95" s="721"/>
      <c r="T95" s="721"/>
      <c r="U95" s="721"/>
      <c r="V95" s="722"/>
      <c r="W95" s="42" t="s">
        <v>39</v>
      </c>
      <c r="X95" s="43">
        <f>IFERROR(X91/H91,"0")+IFERROR(X92/H92,"0")+IFERROR(X93/H93,"0")+IFERROR(X94/H94,"0")</f>
        <v>182.71604938271602</v>
      </c>
      <c r="Y95" s="43">
        <f>IFERROR(Y91/H91,"0")+IFERROR(Y92/H92,"0")+IFERROR(Y93/H93,"0")+IFERROR(Y94/H94,"0")</f>
        <v>184</v>
      </c>
      <c r="Z95" s="43">
        <f>IFERROR(IF(Z91="",0,Z91),"0")+IFERROR(IF(Z92="",0,Z92),"0")+IFERROR(IF(Z93="",0,Z93),"0")+IFERROR(IF(Z94="",0,Z94),"0")</f>
        <v>1.8213400000000002</v>
      </c>
      <c r="AA95" s="67"/>
      <c r="AB95" s="67"/>
      <c r="AC95" s="67"/>
    </row>
    <row r="96" spans="1:68" x14ac:dyDescent="0.2">
      <c r="A96" s="723"/>
      <c r="B96" s="723"/>
      <c r="C96" s="723"/>
      <c r="D96" s="723"/>
      <c r="E96" s="723"/>
      <c r="F96" s="723"/>
      <c r="G96" s="723"/>
      <c r="H96" s="723"/>
      <c r="I96" s="723"/>
      <c r="J96" s="723"/>
      <c r="K96" s="723"/>
      <c r="L96" s="723"/>
      <c r="M96" s="723"/>
      <c r="N96" s="723"/>
      <c r="O96" s="724"/>
      <c r="P96" s="720" t="s">
        <v>40</v>
      </c>
      <c r="Q96" s="721"/>
      <c r="R96" s="721"/>
      <c r="S96" s="721"/>
      <c r="T96" s="721"/>
      <c r="U96" s="721"/>
      <c r="V96" s="722"/>
      <c r="W96" s="42" t="s">
        <v>0</v>
      </c>
      <c r="X96" s="43">
        <f>IFERROR(SUM(X91:X94),"0")</f>
        <v>760</v>
      </c>
      <c r="Y96" s="43">
        <f>IFERROR(SUM(Y91:Y94),"0")</f>
        <v>766.8</v>
      </c>
      <c r="Z96" s="42"/>
      <c r="AA96" s="67"/>
      <c r="AB96" s="67"/>
      <c r="AC96" s="67"/>
    </row>
    <row r="97" spans="1:68" ht="16.5" hidden="1" customHeight="1" x14ac:dyDescent="0.25">
      <c r="A97" s="713" t="s">
        <v>203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5"/>
      <c r="AB97" s="65"/>
      <c r="AC97" s="79"/>
    </row>
    <row r="98" spans="1:68" ht="14.25" hidden="1" customHeight="1" x14ac:dyDescent="0.25">
      <c r="A98" s="714" t="s">
        <v>122</v>
      </c>
      <c r="B98" s="714"/>
      <c r="C98" s="714"/>
      <c r="D98" s="714"/>
      <c r="E98" s="714"/>
      <c r="F98" s="714"/>
      <c r="G98" s="714"/>
      <c r="H98" s="714"/>
      <c r="I98" s="714"/>
      <c r="J98" s="714"/>
      <c r="K98" s="714"/>
      <c r="L98" s="714"/>
      <c r="M98" s="714"/>
      <c r="N98" s="714"/>
      <c r="O98" s="714"/>
      <c r="P98" s="714"/>
      <c r="Q98" s="714"/>
      <c r="R98" s="714"/>
      <c r="S98" s="714"/>
      <c r="T98" s="714"/>
      <c r="U98" s="714"/>
      <c r="V98" s="714"/>
      <c r="W98" s="714"/>
      <c r="X98" s="714"/>
      <c r="Y98" s="714"/>
      <c r="Z98" s="714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715">
        <v>4680115882133</v>
      </c>
      <c r="E99" s="71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7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715">
        <v>4680115887718</v>
      </c>
      <c r="E100" s="71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715">
        <v>4680115887718</v>
      </c>
      <c r="E101" s="71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76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715">
        <v>4680115887718</v>
      </c>
      <c r="E102" s="71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7"/>
      <c r="R102" s="717"/>
      <c r="S102" s="717"/>
      <c r="T102" s="71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715">
        <v>4680115880269</v>
      </c>
      <c r="E103" s="71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7"/>
      <c r="R103" s="717"/>
      <c r="S103" s="717"/>
      <c r="T103" s="71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4301011415</v>
      </c>
      <c r="D104" s="715">
        <v>4680115880429</v>
      </c>
      <c r="E104" s="71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6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7"/>
      <c r="R104" s="717"/>
      <c r="S104" s="717"/>
      <c r="T104" s="718"/>
      <c r="U104" s="39" t="s">
        <v>46</v>
      </c>
      <c r="V104" s="39" t="s">
        <v>46</v>
      </c>
      <c r="W104" s="40" t="s">
        <v>0</v>
      </c>
      <c r="X104" s="58">
        <v>315</v>
      </c>
      <c r="Y104" s="55">
        <f t="shared" si="5"/>
        <v>315</v>
      </c>
      <c r="Z104" s="41">
        <f>IFERROR(IF(Y104=0,"",ROUNDUP(Y104/H104,0)*0.00902),"")</f>
        <v>0.63139999999999996</v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328.3</v>
      </c>
      <c r="BN104" s="78">
        <f t="shared" si="7"/>
        <v>328.3</v>
      </c>
      <c r="BO104" s="78">
        <f t="shared" si="8"/>
        <v>0.53030303030303028</v>
      </c>
      <c r="BP104" s="78">
        <f t="shared" si="9"/>
        <v>0.53030303030303028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715">
        <v>4680115881457</v>
      </c>
      <c r="E105" s="71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7"/>
      <c r="R105" s="717"/>
      <c r="S105" s="717"/>
      <c r="T105" s="71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723"/>
      <c r="B106" s="723"/>
      <c r="C106" s="723"/>
      <c r="D106" s="723"/>
      <c r="E106" s="723"/>
      <c r="F106" s="723"/>
      <c r="G106" s="723"/>
      <c r="H106" s="723"/>
      <c r="I106" s="723"/>
      <c r="J106" s="723"/>
      <c r="K106" s="723"/>
      <c r="L106" s="723"/>
      <c r="M106" s="723"/>
      <c r="N106" s="723"/>
      <c r="O106" s="724"/>
      <c r="P106" s="720" t="s">
        <v>40</v>
      </c>
      <c r="Q106" s="721"/>
      <c r="R106" s="721"/>
      <c r="S106" s="721"/>
      <c r="T106" s="721"/>
      <c r="U106" s="721"/>
      <c r="V106" s="722"/>
      <c r="W106" s="42" t="s">
        <v>39</v>
      </c>
      <c r="X106" s="43">
        <f>IFERROR(X99/H99,"0")+IFERROR(X100/H100,"0")+IFERROR(X101/H101,"0")+IFERROR(X102/H102,"0")+IFERROR(X103/H103,"0")+IFERROR(X104/H104,"0")+IFERROR(X105/H105,"0")</f>
        <v>70</v>
      </c>
      <c r="Y106" s="43">
        <f>IFERROR(Y99/H99,"0")+IFERROR(Y100/H100,"0")+IFERROR(Y101/H101,"0")+IFERROR(Y102/H102,"0")+IFERROR(Y103/H103,"0")+IFERROR(Y104/H104,"0")+IFERROR(Y105/H105,"0")</f>
        <v>70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0.63139999999999996</v>
      </c>
      <c r="AA106" s="67"/>
      <c r="AB106" s="67"/>
      <c r="AC106" s="67"/>
    </row>
    <row r="107" spans="1:68" x14ac:dyDescent="0.2">
      <c r="A107" s="723"/>
      <c r="B107" s="723"/>
      <c r="C107" s="723"/>
      <c r="D107" s="723"/>
      <c r="E107" s="723"/>
      <c r="F107" s="723"/>
      <c r="G107" s="723"/>
      <c r="H107" s="723"/>
      <c r="I107" s="723"/>
      <c r="J107" s="723"/>
      <c r="K107" s="723"/>
      <c r="L107" s="723"/>
      <c r="M107" s="723"/>
      <c r="N107" s="723"/>
      <c r="O107" s="724"/>
      <c r="P107" s="720" t="s">
        <v>40</v>
      </c>
      <c r="Q107" s="721"/>
      <c r="R107" s="721"/>
      <c r="S107" s="721"/>
      <c r="T107" s="721"/>
      <c r="U107" s="721"/>
      <c r="V107" s="722"/>
      <c r="W107" s="42" t="s">
        <v>0</v>
      </c>
      <c r="X107" s="43">
        <f>IFERROR(SUM(X99:X105),"0")</f>
        <v>315</v>
      </c>
      <c r="Y107" s="43">
        <f>IFERROR(SUM(Y99:Y105),"0")</f>
        <v>315</v>
      </c>
      <c r="Z107" s="42"/>
      <c r="AA107" s="67"/>
      <c r="AB107" s="67"/>
      <c r="AC107" s="67"/>
    </row>
    <row r="108" spans="1:68" ht="14.25" hidden="1" customHeight="1" x14ac:dyDescent="0.25">
      <c r="A108" s="714" t="s">
        <v>158</v>
      </c>
      <c r="B108" s="714"/>
      <c r="C108" s="714"/>
      <c r="D108" s="714"/>
      <c r="E108" s="714"/>
      <c r="F108" s="714"/>
      <c r="G108" s="714"/>
      <c r="H108" s="714"/>
      <c r="I108" s="714"/>
      <c r="J108" s="714"/>
      <c r="K108" s="714"/>
      <c r="L108" s="714"/>
      <c r="M108" s="714"/>
      <c r="N108" s="714"/>
      <c r="O108" s="714"/>
      <c r="P108" s="714"/>
      <c r="Q108" s="714"/>
      <c r="R108" s="714"/>
      <c r="S108" s="714"/>
      <c r="T108" s="714"/>
      <c r="U108" s="714"/>
      <c r="V108" s="714"/>
      <c r="W108" s="714"/>
      <c r="X108" s="714"/>
      <c r="Y108" s="714"/>
      <c r="Z108" s="714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715">
        <v>4680115881488</v>
      </c>
      <c r="E109" s="71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77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715">
        <v>4680115887664</v>
      </c>
      <c r="E110" s="71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715">
        <v>4680115887664</v>
      </c>
      <c r="E111" s="71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715">
        <v>4680115882775</v>
      </c>
      <c r="E112" s="71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77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715">
        <v>4680115880658</v>
      </c>
      <c r="E113" s="71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7"/>
      <c r="R113" s="717"/>
      <c r="S113" s="717"/>
      <c r="T113" s="71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723"/>
      <c r="B114" s="723"/>
      <c r="C114" s="723"/>
      <c r="D114" s="723"/>
      <c r="E114" s="723"/>
      <c r="F114" s="723"/>
      <c r="G114" s="723"/>
      <c r="H114" s="723"/>
      <c r="I114" s="723"/>
      <c r="J114" s="723"/>
      <c r="K114" s="723"/>
      <c r="L114" s="723"/>
      <c r="M114" s="723"/>
      <c r="N114" s="723"/>
      <c r="O114" s="724"/>
      <c r="P114" s="720" t="s">
        <v>40</v>
      </c>
      <c r="Q114" s="721"/>
      <c r="R114" s="721"/>
      <c r="S114" s="721"/>
      <c r="T114" s="721"/>
      <c r="U114" s="721"/>
      <c r="V114" s="722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723"/>
      <c r="B115" s="723"/>
      <c r="C115" s="723"/>
      <c r="D115" s="723"/>
      <c r="E115" s="723"/>
      <c r="F115" s="723"/>
      <c r="G115" s="723"/>
      <c r="H115" s="723"/>
      <c r="I115" s="723"/>
      <c r="J115" s="723"/>
      <c r="K115" s="723"/>
      <c r="L115" s="723"/>
      <c r="M115" s="723"/>
      <c r="N115" s="723"/>
      <c r="O115" s="724"/>
      <c r="P115" s="720" t="s">
        <v>40</v>
      </c>
      <c r="Q115" s="721"/>
      <c r="R115" s="721"/>
      <c r="S115" s="721"/>
      <c r="T115" s="721"/>
      <c r="U115" s="721"/>
      <c r="V115" s="722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714" t="s">
        <v>86</v>
      </c>
      <c r="B116" s="714"/>
      <c r="C116" s="714"/>
      <c r="D116" s="714"/>
      <c r="E116" s="714"/>
      <c r="F116" s="714"/>
      <c r="G116" s="714"/>
      <c r="H116" s="714"/>
      <c r="I116" s="714"/>
      <c r="J116" s="714"/>
      <c r="K116" s="714"/>
      <c r="L116" s="714"/>
      <c r="M116" s="714"/>
      <c r="N116" s="714"/>
      <c r="O116" s="714"/>
      <c r="P116" s="714"/>
      <c r="Q116" s="714"/>
      <c r="R116" s="714"/>
      <c r="S116" s="714"/>
      <c r="T116" s="714"/>
      <c r="U116" s="714"/>
      <c r="V116" s="714"/>
      <c r="W116" s="714"/>
      <c r="X116" s="714"/>
      <c r="Y116" s="714"/>
      <c r="Z116" s="714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715">
        <v>4607091385168</v>
      </c>
      <c r="E117" s="71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7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970</v>
      </c>
      <c r="Y117" s="55">
        <f>IFERROR(IF(X117="",0,CEILING((X117/$H117),1)*$H117),"")</f>
        <v>972</v>
      </c>
      <c r="Z117" s="41">
        <f>IFERROR(IF(Y117=0,"",ROUNDUP(Y117/H117,0)*0.01898),"")</f>
        <v>2.2776000000000001</v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1028.4395061728394</v>
      </c>
      <c r="BN117" s="78">
        <f>IFERROR(Y117*I117/H117,"0")</f>
        <v>1030.56</v>
      </c>
      <c r="BO117" s="78">
        <f>IFERROR(1/J117*(X117/H117),"0")</f>
        <v>1.871141975308642</v>
      </c>
      <c r="BP117" s="78">
        <f>IFERROR(1/J117*(Y117/H117),"0")</f>
        <v>1.875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715">
        <v>4607091383256</v>
      </c>
      <c r="E118" s="71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715">
        <v>4607091385748</v>
      </c>
      <c r="E119" s="71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450</v>
      </c>
      <c r="Y119" s="55">
        <f>IFERROR(IF(X119="",0,CEILING((X119/$H119),1)*$H119),"")</f>
        <v>450.90000000000003</v>
      </c>
      <c r="Z119" s="41">
        <f>IFERROR(IF(Y119=0,"",ROUNDUP(Y119/H119,0)*0.00651),"")</f>
        <v>1.08717</v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492</v>
      </c>
      <c r="BN119" s="78">
        <f>IFERROR(Y119*I119/H119,"0")</f>
        <v>492.98399999999998</v>
      </c>
      <c r="BO119" s="78">
        <f>IFERROR(1/J119*(X119/H119),"0")</f>
        <v>0.91575091575091572</v>
      </c>
      <c r="BP119" s="78">
        <f>IFERROR(1/J119*(Y119/H119),"0")</f>
        <v>0.91758241758241765</v>
      </c>
    </row>
    <row r="120" spans="1:68" ht="16.5" customHeight="1" x14ac:dyDescent="0.25">
      <c r="A120" s="63" t="s">
        <v>237</v>
      </c>
      <c r="B120" s="63" t="s">
        <v>238</v>
      </c>
      <c r="C120" s="36">
        <v>4301051740</v>
      </c>
      <c r="D120" s="715">
        <v>4680115884533</v>
      </c>
      <c r="E120" s="71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60</v>
      </c>
      <c r="Y120" s="55">
        <f>IFERROR(IF(X120="",0,CEILING((X120/$H120),1)*$H120),"")</f>
        <v>61.2</v>
      </c>
      <c r="Z120" s="41">
        <f>IFERROR(IF(Y120=0,"",ROUNDUP(Y120/H120,0)*0.00651),"")</f>
        <v>0.22134000000000001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66</v>
      </c>
      <c r="BN120" s="78">
        <f>IFERROR(Y120*I120/H120,"0")</f>
        <v>67.319999999999993</v>
      </c>
      <c r="BO120" s="78">
        <f>IFERROR(1/J120*(X120/H120),"0")</f>
        <v>0.18315018315018317</v>
      </c>
      <c r="BP120" s="78">
        <f>IFERROR(1/J120*(Y120/H120),"0")</f>
        <v>0.18681318681318682</v>
      </c>
    </row>
    <row r="121" spans="1:68" x14ac:dyDescent="0.2">
      <c r="A121" s="723"/>
      <c r="B121" s="723"/>
      <c r="C121" s="723"/>
      <c r="D121" s="723"/>
      <c r="E121" s="723"/>
      <c r="F121" s="723"/>
      <c r="G121" s="723"/>
      <c r="H121" s="723"/>
      <c r="I121" s="723"/>
      <c r="J121" s="723"/>
      <c r="K121" s="723"/>
      <c r="L121" s="723"/>
      <c r="M121" s="723"/>
      <c r="N121" s="723"/>
      <c r="O121" s="724"/>
      <c r="P121" s="720" t="s">
        <v>40</v>
      </c>
      <c r="Q121" s="721"/>
      <c r="R121" s="721"/>
      <c r="S121" s="721"/>
      <c r="T121" s="721"/>
      <c r="U121" s="721"/>
      <c r="V121" s="722"/>
      <c r="W121" s="42" t="s">
        <v>39</v>
      </c>
      <c r="X121" s="43">
        <f>IFERROR(X117/H117,"0")+IFERROR(X118/H118,"0")+IFERROR(X119/H119,"0")+IFERROR(X120/H120,"0")</f>
        <v>319.75308641975306</v>
      </c>
      <c r="Y121" s="43">
        <f>IFERROR(Y117/H117,"0")+IFERROR(Y118/H118,"0")+IFERROR(Y119/H119,"0")+IFERROR(Y120/H120,"0")</f>
        <v>321</v>
      </c>
      <c r="Z121" s="43">
        <f>IFERROR(IF(Z117="",0,Z117),"0")+IFERROR(IF(Z118="",0,Z118),"0")+IFERROR(IF(Z119="",0,Z119),"0")+IFERROR(IF(Z120="",0,Z120),"0")</f>
        <v>3.5861100000000001</v>
      </c>
      <c r="AA121" s="67"/>
      <c r="AB121" s="67"/>
      <c r="AC121" s="67"/>
    </row>
    <row r="122" spans="1:68" x14ac:dyDescent="0.2">
      <c r="A122" s="723"/>
      <c r="B122" s="723"/>
      <c r="C122" s="723"/>
      <c r="D122" s="723"/>
      <c r="E122" s="723"/>
      <c r="F122" s="723"/>
      <c r="G122" s="723"/>
      <c r="H122" s="723"/>
      <c r="I122" s="723"/>
      <c r="J122" s="723"/>
      <c r="K122" s="723"/>
      <c r="L122" s="723"/>
      <c r="M122" s="723"/>
      <c r="N122" s="723"/>
      <c r="O122" s="724"/>
      <c r="P122" s="720" t="s">
        <v>40</v>
      </c>
      <c r="Q122" s="721"/>
      <c r="R122" s="721"/>
      <c r="S122" s="721"/>
      <c r="T122" s="721"/>
      <c r="U122" s="721"/>
      <c r="V122" s="722"/>
      <c r="W122" s="42" t="s">
        <v>0</v>
      </c>
      <c r="X122" s="43">
        <f>IFERROR(SUM(X117:X120),"0")</f>
        <v>1480</v>
      </c>
      <c r="Y122" s="43">
        <f>IFERROR(SUM(Y117:Y120),"0")</f>
        <v>1484.1000000000001</v>
      </c>
      <c r="Z122" s="42"/>
      <c r="AA122" s="67"/>
      <c r="AB122" s="67"/>
      <c r="AC122" s="67"/>
    </row>
    <row r="123" spans="1:68" ht="14.25" hidden="1" customHeight="1" x14ac:dyDescent="0.25">
      <c r="A123" s="714" t="s">
        <v>175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16.5" customHeight="1" x14ac:dyDescent="0.25">
      <c r="A124" s="63" t="s">
        <v>240</v>
      </c>
      <c r="B124" s="63" t="s">
        <v>241</v>
      </c>
      <c r="C124" s="36">
        <v>4301060317</v>
      </c>
      <c r="D124" s="715">
        <v>4680115880238</v>
      </c>
      <c r="E124" s="71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7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33</v>
      </c>
      <c r="Y124" s="55">
        <f>IFERROR(IF(X124="",0,CEILING((X124/$H124),1)*$H124),"")</f>
        <v>33.659999999999997</v>
      </c>
      <c r="Z124" s="41">
        <f>IFERROR(IF(Y124=0,"",ROUNDUP(Y124/H124,0)*0.00651),"")</f>
        <v>0.11067</v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37.299999999999997</v>
      </c>
      <c r="BN124" s="78">
        <f>IFERROR(Y124*I124/H124,"0")</f>
        <v>38.045999999999992</v>
      </c>
      <c r="BO124" s="78">
        <f>IFERROR(1/J124*(X124/H124),"0")</f>
        <v>9.1575091575091583E-2</v>
      </c>
      <c r="BP124" s="78">
        <f>IFERROR(1/J124*(Y124/H124),"0")</f>
        <v>9.3406593406593408E-2</v>
      </c>
    </row>
    <row r="125" spans="1:68" x14ac:dyDescent="0.2">
      <c r="A125" s="723"/>
      <c r="B125" s="723"/>
      <c r="C125" s="723"/>
      <c r="D125" s="723"/>
      <c r="E125" s="723"/>
      <c r="F125" s="723"/>
      <c r="G125" s="723"/>
      <c r="H125" s="723"/>
      <c r="I125" s="723"/>
      <c r="J125" s="723"/>
      <c r="K125" s="723"/>
      <c r="L125" s="723"/>
      <c r="M125" s="723"/>
      <c r="N125" s="723"/>
      <c r="O125" s="724"/>
      <c r="P125" s="720" t="s">
        <v>40</v>
      </c>
      <c r="Q125" s="721"/>
      <c r="R125" s="721"/>
      <c r="S125" s="721"/>
      <c r="T125" s="721"/>
      <c r="U125" s="721"/>
      <c r="V125" s="722"/>
      <c r="W125" s="42" t="s">
        <v>39</v>
      </c>
      <c r="X125" s="43">
        <f>IFERROR(X124/H124,"0")</f>
        <v>16.666666666666668</v>
      </c>
      <c r="Y125" s="43">
        <f>IFERROR(Y124/H124,"0")</f>
        <v>17</v>
      </c>
      <c r="Z125" s="43">
        <f>IFERROR(IF(Z124="",0,Z124),"0")</f>
        <v>0.11067</v>
      </c>
      <c r="AA125" s="67"/>
      <c r="AB125" s="67"/>
      <c r="AC125" s="67"/>
    </row>
    <row r="126" spans="1:68" x14ac:dyDescent="0.2">
      <c r="A126" s="723"/>
      <c r="B126" s="723"/>
      <c r="C126" s="723"/>
      <c r="D126" s="723"/>
      <c r="E126" s="723"/>
      <c r="F126" s="723"/>
      <c r="G126" s="723"/>
      <c r="H126" s="723"/>
      <c r="I126" s="723"/>
      <c r="J126" s="723"/>
      <c r="K126" s="723"/>
      <c r="L126" s="723"/>
      <c r="M126" s="723"/>
      <c r="N126" s="723"/>
      <c r="O126" s="724"/>
      <c r="P126" s="720" t="s">
        <v>40</v>
      </c>
      <c r="Q126" s="721"/>
      <c r="R126" s="721"/>
      <c r="S126" s="721"/>
      <c r="T126" s="721"/>
      <c r="U126" s="721"/>
      <c r="V126" s="722"/>
      <c r="W126" s="42" t="s">
        <v>0</v>
      </c>
      <c r="X126" s="43">
        <f>IFERROR(SUM(X124:X124),"0")</f>
        <v>33</v>
      </c>
      <c r="Y126" s="43">
        <f>IFERROR(SUM(Y124:Y124),"0")</f>
        <v>33.659999999999997</v>
      </c>
      <c r="Z126" s="42"/>
      <c r="AA126" s="67"/>
      <c r="AB126" s="67"/>
      <c r="AC126" s="67"/>
    </row>
    <row r="127" spans="1:68" ht="16.5" hidden="1" customHeight="1" x14ac:dyDescent="0.25">
      <c r="A127" s="713" t="s">
        <v>243</v>
      </c>
      <c r="B127" s="713"/>
      <c r="C127" s="713"/>
      <c r="D127" s="713"/>
      <c r="E127" s="713"/>
      <c r="F127" s="713"/>
      <c r="G127" s="713"/>
      <c r="H127" s="713"/>
      <c r="I127" s="713"/>
      <c r="J127" s="713"/>
      <c r="K127" s="713"/>
      <c r="L127" s="713"/>
      <c r="M127" s="713"/>
      <c r="N127" s="713"/>
      <c r="O127" s="713"/>
      <c r="P127" s="713"/>
      <c r="Q127" s="713"/>
      <c r="R127" s="713"/>
      <c r="S127" s="713"/>
      <c r="T127" s="713"/>
      <c r="U127" s="713"/>
      <c r="V127" s="713"/>
      <c r="W127" s="713"/>
      <c r="X127" s="713"/>
      <c r="Y127" s="713"/>
      <c r="Z127" s="713"/>
      <c r="AA127" s="65"/>
      <c r="AB127" s="65"/>
      <c r="AC127" s="79"/>
    </row>
    <row r="128" spans="1:68" ht="14.25" hidden="1" customHeight="1" x14ac:dyDescent="0.25">
      <c r="A128" s="714" t="s">
        <v>122</v>
      </c>
      <c r="B128" s="714"/>
      <c r="C128" s="714"/>
      <c r="D128" s="714"/>
      <c r="E128" s="714"/>
      <c r="F128" s="714"/>
      <c r="G128" s="714"/>
      <c r="H128" s="714"/>
      <c r="I128" s="714"/>
      <c r="J128" s="714"/>
      <c r="K128" s="714"/>
      <c r="L128" s="714"/>
      <c r="M128" s="714"/>
      <c r="N128" s="714"/>
      <c r="O128" s="714"/>
      <c r="P128" s="714"/>
      <c r="Q128" s="714"/>
      <c r="R128" s="714"/>
      <c r="S128" s="714"/>
      <c r="T128" s="714"/>
      <c r="U128" s="714"/>
      <c r="V128" s="714"/>
      <c r="W128" s="714"/>
      <c r="X128" s="714"/>
      <c r="Y128" s="714"/>
      <c r="Z128" s="714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715">
        <v>4680115888784</v>
      </c>
      <c r="E129" s="71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780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7"/>
      <c r="R129" s="717"/>
      <c r="S129" s="717"/>
      <c r="T129" s="71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715">
        <v>4680115882577</v>
      </c>
      <c r="E130" s="71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7"/>
      <c r="R130" s="717"/>
      <c r="S130" s="717"/>
      <c r="T130" s="71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248</v>
      </c>
      <c r="B131" s="63" t="s">
        <v>252</v>
      </c>
      <c r="C131" s="36">
        <v>4301011564</v>
      </c>
      <c r="D131" s="715">
        <v>4680115882577</v>
      </c>
      <c r="E131" s="71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40</v>
      </c>
      <c r="Y131" s="55">
        <f>IFERROR(IF(X131="",0,CEILING((X131/$H131),1)*$H131),"")</f>
        <v>41.6</v>
      </c>
      <c r="Z131" s="41">
        <f>IFERROR(IF(Y131=0,"",ROUNDUP(Y131/H131,0)*0.00651),"")</f>
        <v>8.4629999999999997E-2</v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42.249999999999993</v>
      </c>
      <c r="BN131" s="78">
        <f>IFERROR(Y131*I131/H131,"0")</f>
        <v>43.94</v>
      </c>
      <c r="BO131" s="78">
        <f>IFERROR(1/J131*(X131/H131),"0")</f>
        <v>6.8681318681318687E-2</v>
      </c>
      <c r="BP131" s="78">
        <f>IFERROR(1/J131*(Y131/H131),"0")</f>
        <v>7.1428571428571438E-2</v>
      </c>
    </row>
    <row r="132" spans="1:68" x14ac:dyDescent="0.2">
      <c r="A132" s="723"/>
      <c r="B132" s="723"/>
      <c r="C132" s="723"/>
      <c r="D132" s="723"/>
      <c r="E132" s="723"/>
      <c r="F132" s="723"/>
      <c r="G132" s="723"/>
      <c r="H132" s="723"/>
      <c r="I132" s="723"/>
      <c r="J132" s="723"/>
      <c r="K132" s="723"/>
      <c r="L132" s="723"/>
      <c r="M132" s="723"/>
      <c r="N132" s="723"/>
      <c r="O132" s="724"/>
      <c r="P132" s="720" t="s">
        <v>40</v>
      </c>
      <c r="Q132" s="721"/>
      <c r="R132" s="721"/>
      <c r="S132" s="721"/>
      <c r="T132" s="721"/>
      <c r="U132" s="721"/>
      <c r="V132" s="722"/>
      <c r="W132" s="42" t="s">
        <v>39</v>
      </c>
      <c r="X132" s="43">
        <f>IFERROR(X129/H129,"0")+IFERROR(X130/H130,"0")+IFERROR(X131/H131,"0")</f>
        <v>12.5</v>
      </c>
      <c r="Y132" s="43">
        <f>IFERROR(Y129/H129,"0")+IFERROR(Y130/H130,"0")+IFERROR(Y131/H131,"0")</f>
        <v>13</v>
      </c>
      <c r="Z132" s="43">
        <f>IFERROR(IF(Z129="",0,Z129),"0")+IFERROR(IF(Z130="",0,Z130),"0")+IFERROR(IF(Z131="",0,Z131),"0")</f>
        <v>8.4629999999999997E-2</v>
      </c>
      <c r="AA132" s="67"/>
      <c r="AB132" s="67"/>
      <c r="AC132" s="67"/>
    </row>
    <row r="133" spans="1:68" x14ac:dyDescent="0.2">
      <c r="A133" s="723"/>
      <c r="B133" s="723"/>
      <c r="C133" s="723"/>
      <c r="D133" s="723"/>
      <c r="E133" s="723"/>
      <c r="F133" s="723"/>
      <c r="G133" s="723"/>
      <c r="H133" s="723"/>
      <c r="I133" s="723"/>
      <c r="J133" s="723"/>
      <c r="K133" s="723"/>
      <c r="L133" s="723"/>
      <c r="M133" s="723"/>
      <c r="N133" s="723"/>
      <c r="O133" s="724"/>
      <c r="P133" s="720" t="s">
        <v>40</v>
      </c>
      <c r="Q133" s="721"/>
      <c r="R133" s="721"/>
      <c r="S133" s="721"/>
      <c r="T133" s="721"/>
      <c r="U133" s="721"/>
      <c r="V133" s="722"/>
      <c r="W133" s="42" t="s">
        <v>0</v>
      </c>
      <c r="X133" s="43">
        <f>IFERROR(SUM(X129:X131),"0")</f>
        <v>40</v>
      </c>
      <c r="Y133" s="43">
        <f>IFERROR(SUM(Y129:Y131),"0")</f>
        <v>41.6</v>
      </c>
      <c r="Z133" s="42"/>
      <c r="AA133" s="67"/>
      <c r="AB133" s="67"/>
      <c r="AC133" s="67"/>
    </row>
    <row r="134" spans="1:68" ht="14.25" hidden="1" customHeight="1" x14ac:dyDescent="0.25">
      <c r="A134" s="714" t="s">
        <v>77</v>
      </c>
      <c r="B134" s="714"/>
      <c r="C134" s="714"/>
      <c r="D134" s="714"/>
      <c r="E134" s="714"/>
      <c r="F134" s="714"/>
      <c r="G134" s="714"/>
      <c r="H134" s="714"/>
      <c r="I134" s="714"/>
      <c r="J134" s="714"/>
      <c r="K134" s="714"/>
      <c r="L134" s="714"/>
      <c r="M134" s="714"/>
      <c r="N134" s="714"/>
      <c r="O134" s="714"/>
      <c r="P134" s="714"/>
      <c r="Q134" s="714"/>
      <c r="R134" s="714"/>
      <c r="S134" s="714"/>
      <c r="T134" s="714"/>
      <c r="U134" s="714"/>
      <c r="V134" s="714"/>
      <c r="W134" s="714"/>
      <c r="X134" s="714"/>
      <c r="Y134" s="714"/>
      <c r="Z134" s="714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715">
        <v>4680115888913</v>
      </c>
      <c r="E135" s="71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7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7"/>
      <c r="R135" s="717"/>
      <c r="S135" s="717"/>
      <c r="T135" s="71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257</v>
      </c>
      <c r="C136" s="36">
        <v>4301031234</v>
      </c>
      <c r="D136" s="715">
        <v>4680115883444</v>
      </c>
      <c r="E136" s="71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35</v>
      </c>
      <c r="Y136" s="55">
        <f>IFERROR(IF(X136="",0,CEILING((X136/$H136),1)*$H136),"")</f>
        <v>36.4</v>
      </c>
      <c r="Z136" s="41">
        <f>IFERROR(IF(Y136=0,"",ROUNDUP(Y136/H136,0)*0.00651),"")</f>
        <v>8.4629999999999997E-2</v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38.35</v>
      </c>
      <c r="BN136" s="78">
        <f>IFERROR(Y136*I136/H136,"0")</f>
        <v>39.884</v>
      </c>
      <c r="BO136" s="78">
        <f>IFERROR(1/J136*(X136/H136),"0")</f>
        <v>6.8681318681318687E-2</v>
      </c>
      <c r="BP136" s="78">
        <f>IFERROR(1/J136*(Y136/H136),"0")</f>
        <v>7.1428571428571438E-2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715">
        <v>4680115883444</v>
      </c>
      <c r="E137" s="71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715">
        <v>4680115888920</v>
      </c>
      <c r="E138" s="71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786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7"/>
      <c r="R138" s="717"/>
      <c r="S138" s="717"/>
      <c r="T138" s="71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723"/>
      <c r="B139" s="723"/>
      <c r="C139" s="723"/>
      <c r="D139" s="723"/>
      <c r="E139" s="723"/>
      <c r="F139" s="723"/>
      <c r="G139" s="723"/>
      <c r="H139" s="723"/>
      <c r="I139" s="723"/>
      <c r="J139" s="723"/>
      <c r="K139" s="723"/>
      <c r="L139" s="723"/>
      <c r="M139" s="723"/>
      <c r="N139" s="723"/>
      <c r="O139" s="724"/>
      <c r="P139" s="720" t="s">
        <v>40</v>
      </c>
      <c r="Q139" s="721"/>
      <c r="R139" s="721"/>
      <c r="S139" s="721"/>
      <c r="T139" s="721"/>
      <c r="U139" s="721"/>
      <c r="V139" s="722"/>
      <c r="W139" s="42" t="s">
        <v>39</v>
      </c>
      <c r="X139" s="43">
        <f>IFERROR(X135/H135,"0")+IFERROR(X136/H136,"0")+IFERROR(X137/H137,"0")+IFERROR(X138/H138,"0")</f>
        <v>12.5</v>
      </c>
      <c r="Y139" s="43">
        <f>IFERROR(Y135/H135,"0")+IFERROR(Y136/H136,"0")+IFERROR(Y137/H137,"0")+IFERROR(Y138/H138,"0")</f>
        <v>13</v>
      </c>
      <c r="Z139" s="43">
        <f>IFERROR(IF(Z135="",0,Z135),"0")+IFERROR(IF(Z136="",0,Z136),"0")+IFERROR(IF(Z137="",0,Z137),"0")+IFERROR(IF(Z138="",0,Z138),"0")</f>
        <v>8.4629999999999997E-2</v>
      </c>
      <c r="AA139" s="67"/>
      <c r="AB139" s="67"/>
      <c r="AC139" s="67"/>
    </row>
    <row r="140" spans="1:68" x14ac:dyDescent="0.2">
      <c r="A140" s="723"/>
      <c r="B140" s="723"/>
      <c r="C140" s="723"/>
      <c r="D140" s="723"/>
      <c r="E140" s="723"/>
      <c r="F140" s="723"/>
      <c r="G140" s="723"/>
      <c r="H140" s="723"/>
      <c r="I140" s="723"/>
      <c r="J140" s="723"/>
      <c r="K140" s="723"/>
      <c r="L140" s="723"/>
      <c r="M140" s="723"/>
      <c r="N140" s="723"/>
      <c r="O140" s="724"/>
      <c r="P140" s="720" t="s">
        <v>40</v>
      </c>
      <c r="Q140" s="721"/>
      <c r="R140" s="721"/>
      <c r="S140" s="721"/>
      <c r="T140" s="721"/>
      <c r="U140" s="721"/>
      <c r="V140" s="722"/>
      <c r="W140" s="42" t="s">
        <v>0</v>
      </c>
      <c r="X140" s="43">
        <f>IFERROR(SUM(X135:X138),"0")</f>
        <v>35</v>
      </c>
      <c r="Y140" s="43">
        <f>IFERROR(SUM(Y135:Y138),"0")</f>
        <v>36.4</v>
      </c>
      <c r="Z140" s="42"/>
      <c r="AA140" s="67"/>
      <c r="AB140" s="67"/>
      <c r="AC140" s="67"/>
    </row>
    <row r="141" spans="1:68" ht="14.25" hidden="1" customHeight="1" x14ac:dyDescent="0.25">
      <c r="A141" s="714" t="s">
        <v>86</v>
      </c>
      <c r="B141" s="714"/>
      <c r="C141" s="714"/>
      <c r="D141" s="714"/>
      <c r="E141" s="714"/>
      <c r="F141" s="714"/>
      <c r="G141" s="714"/>
      <c r="H141" s="714"/>
      <c r="I141" s="714"/>
      <c r="J141" s="714"/>
      <c r="K141" s="714"/>
      <c r="L141" s="714"/>
      <c r="M141" s="714"/>
      <c r="N141" s="714"/>
      <c r="O141" s="714"/>
      <c r="P141" s="714"/>
      <c r="Q141" s="714"/>
      <c r="R141" s="714"/>
      <c r="S141" s="714"/>
      <c r="T141" s="714"/>
      <c r="U141" s="714"/>
      <c r="V141" s="714"/>
      <c r="W141" s="714"/>
      <c r="X141" s="714"/>
      <c r="Y141" s="714"/>
      <c r="Z141" s="714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715">
        <v>4680115888944</v>
      </c>
      <c r="E142" s="71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78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265</v>
      </c>
      <c r="C143" s="36">
        <v>4301051476</v>
      </c>
      <c r="D143" s="715">
        <v>4680115882584</v>
      </c>
      <c r="E143" s="71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7"/>
      <c r="R143" s="717"/>
      <c r="S143" s="717"/>
      <c r="T143" s="718"/>
      <c r="U143" s="39" t="s">
        <v>46</v>
      </c>
      <c r="V143" s="39" t="s">
        <v>46</v>
      </c>
      <c r="W143" s="40" t="s">
        <v>0</v>
      </c>
      <c r="X143" s="58">
        <v>33</v>
      </c>
      <c r="Y143" s="55">
        <f>IFERROR(IF(X143="",0,CEILING((X143/$H143),1)*$H143),"")</f>
        <v>34.32</v>
      </c>
      <c r="Z143" s="41">
        <f>IFERROR(IF(Y143=0,"",ROUNDUP(Y143/H143,0)*0.00651),"")</f>
        <v>8.4629999999999997E-2</v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36.349999999999994</v>
      </c>
      <c r="BN143" s="78">
        <f>IFERROR(Y143*I143/H143,"0")</f>
        <v>37.803999999999995</v>
      </c>
      <c r="BO143" s="78">
        <f>IFERROR(1/J143*(X143/H143),"0")</f>
        <v>6.8681318681318687E-2</v>
      </c>
      <c r="BP143" s="78">
        <f>IFERROR(1/J143*(Y143/H143),"0")</f>
        <v>7.1428571428571438E-2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715">
        <v>4680115882584</v>
      </c>
      <c r="E144" s="71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7"/>
      <c r="R144" s="717"/>
      <c r="S144" s="717"/>
      <c r="T144" s="71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723"/>
      <c r="B145" s="723"/>
      <c r="C145" s="723"/>
      <c r="D145" s="723"/>
      <c r="E145" s="723"/>
      <c r="F145" s="723"/>
      <c r="G145" s="723"/>
      <c r="H145" s="723"/>
      <c r="I145" s="723"/>
      <c r="J145" s="723"/>
      <c r="K145" s="723"/>
      <c r="L145" s="723"/>
      <c r="M145" s="723"/>
      <c r="N145" s="723"/>
      <c r="O145" s="724"/>
      <c r="P145" s="720" t="s">
        <v>40</v>
      </c>
      <c r="Q145" s="721"/>
      <c r="R145" s="721"/>
      <c r="S145" s="721"/>
      <c r="T145" s="721"/>
      <c r="U145" s="721"/>
      <c r="V145" s="722"/>
      <c r="W145" s="42" t="s">
        <v>39</v>
      </c>
      <c r="X145" s="43">
        <f>IFERROR(X142/H142,"0")+IFERROR(X143/H143,"0")+IFERROR(X144/H144,"0")</f>
        <v>12.5</v>
      </c>
      <c r="Y145" s="43">
        <f>IFERROR(Y142/H142,"0")+IFERROR(Y143/H143,"0")+IFERROR(Y144/H144,"0")</f>
        <v>13</v>
      </c>
      <c r="Z145" s="43">
        <f>IFERROR(IF(Z142="",0,Z142),"0")+IFERROR(IF(Z143="",0,Z143),"0")+IFERROR(IF(Z144="",0,Z144),"0")</f>
        <v>8.4629999999999997E-2</v>
      </c>
      <c r="AA145" s="67"/>
      <c r="AB145" s="67"/>
      <c r="AC145" s="67"/>
    </row>
    <row r="146" spans="1:68" x14ac:dyDescent="0.2">
      <c r="A146" s="723"/>
      <c r="B146" s="723"/>
      <c r="C146" s="723"/>
      <c r="D146" s="723"/>
      <c r="E146" s="723"/>
      <c r="F146" s="723"/>
      <c r="G146" s="723"/>
      <c r="H146" s="723"/>
      <c r="I146" s="723"/>
      <c r="J146" s="723"/>
      <c r="K146" s="723"/>
      <c r="L146" s="723"/>
      <c r="M146" s="723"/>
      <c r="N146" s="723"/>
      <c r="O146" s="724"/>
      <c r="P146" s="720" t="s">
        <v>40</v>
      </c>
      <c r="Q146" s="721"/>
      <c r="R146" s="721"/>
      <c r="S146" s="721"/>
      <c r="T146" s="721"/>
      <c r="U146" s="721"/>
      <c r="V146" s="722"/>
      <c r="W146" s="42" t="s">
        <v>0</v>
      </c>
      <c r="X146" s="43">
        <f>IFERROR(SUM(X142:X144),"0")</f>
        <v>33</v>
      </c>
      <c r="Y146" s="43">
        <f>IFERROR(SUM(Y142:Y144),"0")</f>
        <v>34.32</v>
      </c>
      <c r="Z146" s="42"/>
      <c r="AA146" s="67"/>
      <c r="AB146" s="67"/>
      <c r="AC146" s="67"/>
    </row>
    <row r="147" spans="1:68" ht="16.5" hidden="1" customHeight="1" x14ac:dyDescent="0.25">
      <c r="A147" s="713" t="s">
        <v>267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5"/>
      <c r="AB147" s="65"/>
      <c r="AC147" s="79"/>
    </row>
    <row r="148" spans="1:68" ht="14.25" hidden="1" customHeight="1" x14ac:dyDescent="0.25">
      <c r="A148" s="714" t="s">
        <v>86</v>
      </c>
      <c r="B148" s="714"/>
      <c r="C148" s="714"/>
      <c r="D148" s="714"/>
      <c r="E148" s="714"/>
      <c r="F148" s="714"/>
      <c r="G148" s="714"/>
      <c r="H148" s="714"/>
      <c r="I148" s="714"/>
      <c r="J148" s="714"/>
      <c r="K148" s="714"/>
      <c r="L148" s="714"/>
      <c r="M148" s="714"/>
      <c r="N148" s="714"/>
      <c r="O148" s="714"/>
      <c r="P148" s="714"/>
      <c r="Q148" s="714"/>
      <c r="R148" s="714"/>
      <c r="S148" s="714"/>
      <c r="T148" s="714"/>
      <c r="U148" s="714"/>
      <c r="V148" s="714"/>
      <c r="W148" s="714"/>
      <c r="X148" s="714"/>
      <c r="Y148" s="714"/>
      <c r="Z148" s="714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715">
        <v>4680115888203</v>
      </c>
      <c r="E149" s="71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7"/>
      <c r="R149" s="717"/>
      <c r="S149" s="717"/>
      <c r="T149" s="71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715">
        <v>4680115888180</v>
      </c>
      <c r="E150" s="71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7"/>
      <c r="R150" s="717"/>
      <c r="S150" s="717"/>
      <c r="T150" s="71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715">
        <v>4680115888180</v>
      </c>
      <c r="E151" s="71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7"/>
      <c r="R151" s="717"/>
      <c r="S151" s="717"/>
      <c r="T151" s="71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715">
        <v>4680115888197</v>
      </c>
      <c r="E152" s="71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715">
        <v>4680115888197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715">
        <v>4680115888210</v>
      </c>
      <c r="E154" s="71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9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723"/>
      <c r="B156" s="723"/>
      <c r="C156" s="723"/>
      <c r="D156" s="723"/>
      <c r="E156" s="723"/>
      <c r="F156" s="723"/>
      <c r="G156" s="723"/>
      <c r="H156" s="723"/>
      <c r="I156" s="723"/>
      <c r="J156" s="723"/>
      <c r="K156" s="723"/>
      <c r="L156" s="723"/>
      <c r="M156" s="723"/>
      <c r="N156" s="723"/>
      <c r="O156" s="724"/>
      <c r="P156" s="720" t="s">
        <v>40</v>
      </c>
      <c r="Q156" s="721"/>
      <c r="R156" s="721"/>
      <c r="S156" s="721"/>
      <c r="T156" s="721"/>
      <c r="U156" s="721"/>
      <c r="V156" s="722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3"/>
      <c r="B157" s="723"/>
      <c r="C157" s="723"/>
      <c r="D157" s="723"/>
      <c r="E157" s="723"/>
      <c r="F157" s="723"/>
      <c r="G157" s="723"/>
      <c r="H157" s="723"/>
      <c r="I157" s="723"/>
      <c r="J157" s="723"/>
      <c r="K157" s="723"/>
      <c r="L157" s="723"/>
      <c r="M157" s="723"/>
      <c r="N157" s="723"/>
      <c r="O157" s="724"/>
      <c r="P157" s="720" t="s">
        <v>40</v>
      </c>
      <c r="Q157" s="721"/>
      <c r="R157" s="721"/>
      <c r="S157" s="721"/>
      <c r="T157" s="721"/>
      <c r="U157" s="721"/>
      <c r="V157" s="722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4" t="s">
        <v>283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79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3"/>
      <c r="B160" s="723"/>
      <c r="C160" s="723"/>
      <c r="D160" s="723"/>
      <c r="E160" s="723"/>
      <c r="F160" s="723"/>
      <c r="G160" s="723"/>
      <c r="H160" s="723"/>
      <c r="I160" s="723"/>
      <c r="J160" s="723"/>
      <c r="K160" s="723"/>
      <c r="L160" s="723"/>
      <c r="M160" s="723"/>
      <c r="N160" s="723"/>
      <c r="O160" s="724"/>
      <c r="P160" s="720" t="s">
        <v>40</v>
      </c>
      <c r="Q160" s="721"/>
      <c r="R160" s="721"/>
      <c r="S160" s="721"/>
      <c r="T160" s="721"/>
      <c r="U160" s="721"/>
      <c r="V160" s="72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3"/>
      <c r="B161" s="723"/>
      <c r="C161" s="723"/>
      <c r="D161" s="723"/>
      <c r="E161" s="723"/>
      <c r="F161" s="723"/>
      <c r="G161" s="723"/>
      <c r="H161" s="723"/>
      <c r="I161" s="723"/>
      <c r="J161" s="723"/>
      <c r="K161" s="723"/>
      <c r="L161" s="723"/>
      <c r="M161" s="723"/>
      <c r="N161" s="723"/>
      <c r="O161" s="724"/>
      <c r="P161" s="720" t="s">
        <v>40</v>
      </c>
      <c r="Q161" s="721"/>
      <c r="R161" s="721"/>
      <c r="S161" s="721"/>
      <c r="T161" s="721"/>
      <c r="U161" s="721"/>
      <c r="V161" s="72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3" t="s">
        <v>120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hidden="1" customHeight="1" x14ac:dyDescent="0.25">
      <c r="A163" s="714" t="s">
        <v>122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79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79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715">
        <v>4680115888876</v>
      </c>
      <c r="E166" s="71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3"/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4"/>
      <c r="P167" s="720" t="s">
        <v>40</v>
      </c>
      <c r="Q167" s="721"/>
      <c r="R167" s="721"/>
      <c r="S167" s="721"/>
      <c r="T167" s="721"/>
      <c r="U167" s="721"/>
      <c r="V167" s="722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23"/>
      <c r="B168" s="723"/>
      <c r="C168" s="723"/>
      <c r="D168" s="723"/>
      <c r="E168" s="723"/>
      <c r="F168" s="723"/>
      <c r="G168" s="723"/>
      <c r="H168" s="723"/>
      <c r="I168" s="723"/>
      <c r="J168" s="723"/>
      <c r="K168" s="723"/>
      <c r="L168" s="723"/>
      <c r="M168" s="723"/>
      <c r="N168" s="723"/>
      <c r="O168" s="724"/>
      <c r="P168" s="720" t="s">
        <v>40</v>
      </c>
      <c r="Q168" s="721"/>
      <c r="R168" s="721"/>
      <c r="S168" s="721"/>
      <c r="T168" s="721"/>
      <c r="U168" s="721"/>
      <c r="V168" s="722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4" t="s">
        <v>158</v>
      </c>
      <c r="B169" s="714"/>
      <c r="C169" s="714"/>
      <c r="D169" s="714"/>
      <c r="E169" s="714"/>
      <c r="F169" s="714"/>
      <c r="G169" s="714"/>
      <c r="H169" s="714"/>
      <c r="I169" s="714"/>
      <c r="J169" s="714"/>
      <c r="K169" s="714"/>
      <c r="L169" s="714"/>
      <c r="M169" s="714"/>
      <c r="N169" s="714"/>
      <c r="O169" s="714"/>
      <c r="P169" s="714"/>
      <c r="Q169" s="714"/>
      <c r="R169" s="714"/>
      <c r="S169" s="714"/>
      <c r="T169" s="714"/>
      <c r="U169" s="714"/>
      <c r="V169" s="714"/>
      <c r="W169" s="714"/>
      <c r="X169" s="714"/>
      <c r="Y169" s="714"/>
      <c r="Z169" s="714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715">
        <v>4680115887695</v>
      </c>
      <c r="E170" s="71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7"/>
      <c r="R170" s="717"/>
      <c r="S170" s="717"/>
      <c r="T170" s="71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715">
        <v>4680115889491</v>
      </c>
      <c r="E171" s="71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0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23"/>
      <c r="B172" s="723"/>
      <c r="C172" s="723"/>
      <c r="D172" s="723"/>
      <c r="E172" s="723"/>
      <c r="F172" s="723"/>
      <c r="G172" s="723"/>
      <c r="H172" s="723"/>
      <c r="I172" s="723"/>
      <c r="J172" s="723"/>
      <c r="K172" s="723"/>
      <c r="L172" s="723"/>
      <c r="M172" s="723"/>
      <c r="N172" s="723"/>
      <c r="O172" s="724"/>
      <c r="P172" s="720" t="s">
        <v>40</v>
      </c>
      <c r="Q172" s="721"/>
      <c r="R172" s="721"/>
      <c r="S172" s="721"/>
      <c r="T172" s="721"/>
      <c r="U172" s="721"/>
      <c r="V172" s="722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23"/>
      <c r="B173" s="723"/>
      <c r="C173" s="723"/>
      <c r="D173" s="723"/>
      <c r="E173" s="723"/>
      <c r="F173" s="723"/>
      <c r="G173" s="723"/>
      <c r="H173" s="723"/>
      <c r="I173" s="723"/>
      <c r="J173" s="723"/>
      <c r="K173" s="723"/>
      <c r="L173" s="723"/>
      <c r="M173" s="723"/>
      <c r="N173" s="723"/>
      <c r="O173" s="724"/>
      <c r="P173" s="720" t="s">
        <v>40</v>
      </c>
      <c r="Q173" s="721"/>
      <c r="R173" s="721"/>
      <c r="S173" s="721"/>
      <c r="T173" s="721"/>
      <c r="U173" s="721"/>
      <c r="V173" s="722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14" t="s">
        <v>77</v>
      </c>
      <c r="B174" s="714"/>
      <c r="C174" s="714"/>
      <c r="D174" s="714"/>
      <c r="E174" s="714"/>
      <c r="F174" s="714"/>
      <c r="G174" s="714"/>
      <c r="H174" s="714"/>
      <c r="I174" s="714"/>
      <c r="J174" s="714"/>
      <c r="K174" s="714"/>
      <c r="L174" s="714"/>
      <c r="M174" s="714"/>
      <c r="N174" s="714"/>
      <c r="O174" s="714"/>
      <c r="P174" s="714"/>
      <c r="Q174" s="714"/>
      <c r="R174" s="714"/>
      <c r="S174" s="714"/>
      <c r="T174" s="714"/>
      <c r="U174" s="714"/>
      <c r="V174" s="714"/>
      <c r="W174" s="714"/>
      <c r="X174" s="714"/>
      <c r="Y174" s="714"/>
      <c r="Z174" s="714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715">
        <v>4680115887428</v>
      </c>
      <c r="E175" s="71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7"/>
      <c r="R175" s="717"/>
      <c r="S175" s="717"/>
      <c r="T175" s="718"/>
      <c r="U175" s="39" t="s">
        <v>46</v>
      </c>
      <c r="V175" s="39" t="s">
        <v>46</v>
      </c>
      <c r="W175" s="40" t="s">
        <v>0</v>
      </c>
      <c r="X175" s="58">
        <v>150</v>
      </c>
      <c r="Y175" s="55">
        <f t="shared" ref="Y175:Y185" si="16">IFERROR(IF(X175="",0,CEILING((X175/$H175),1)*$H175),"")</f>
        <v>150.5</v>
      </c>
      <c r="Z175" s="41">
        <f>IFERROR(IF(Y175=0,"",ROUNDUP(Y175/H175,0)*0.00902),"")</f>
        <v>0.38785999999999998</v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158.14285714285714</v>
      </c>
      <c r="BN175" s="78">
        <f t="shared" ref="BN175:BN185" si="18">IFERROR(Y175*I175/H175,"0")</f>
        <v>158.67000000000002</v>
      </c>
      <c r="BO175" s="78">
        <f t="shared" ref="BO175:BO185" si="19">IFERROR(1/J175*(X175/H175),"0")</f>
        <v>0.32467532467532467</v>
      </c>
      <c r="BP175" s="78">
        <f t="shared" ref="BP175:BP185" si="20">IFERROR(1/J175*(Y175/H175),"0")</f>
        <v>0.32575757575757575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715">
        <v>4680115889170</v>
      </c>
      <c r="E176" s="71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715">
        <v>4680115887398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0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100</v>
      </c>
      <c r="Y177" s="55">
        <f t="shared" si="16"/>
        <v>101.5</v>
      </c>
      <c r="Z177" s="41">
        <f>IFERROR(IF(Y177=0,"",ROUNDUP(Y177/H177,0)*0.00902),"")</f>
        <v>0.26158000000000003</v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105.42857142857143</v>
      </c>
      <c r="BN177" s="78">
        <f t="shared" si="18"/>
        <v>107.00999999999999</v>
      </c>
      <c r="BO177" s="78">
        <f t="shared" si="19"/>
        <v>0.21645021645021648</v>
      </c>
      <c r="BP177" s="78">
        <f t="shared" si="20"/>
        <v>0.2196969696969697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715">
        <v>4680115887336</v>
      </c>
      <c r="E178" s="71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0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100</v>
      </c>
      <c r="Y178" s="55">
        <f t="shared" si="16"/>
        <v>101.5</v>
      </c>
      <c r="Z178" s="41">
        <f>IFERROR(IF(Y178=0,"",ROUNDUP(Y178/H178,0)*0.00902),"")</f>
        <v>0.26158000000000003</v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105.42857142857143</v>
      </c>
      <c r="BN178" s="78">
        <f t="shared" si="18"/>
        <v>107.00999999999999</v>
      </c>
      <c r="BO178" s="78">
        <f t="shared" si="19"/>
        <v>0.21645021645021648</v>
      </c>
      <c r="BP178" s="78">
        <f t="shared" si="20"/>
        <v>0.2196969696969697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715">
        <v>4680115887787</v>
      </c>
      <c r="E179" s="71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0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320</v>
      </c>
      <c r="B180" s="63" t="s">
        <v>321</v>
      </c>
      <c r="C180" s="36">
        <v>4301031448</v>
      </c>
      <c r="D180" s="715">
        <v>4680115887503</v>
      </c>
      <c r="E180" s="71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112.00000000000001</v>
      </c>
      <c r="Y180" s="55">
        <f t="shared" si="16"/>
        <v>112.56</v>
      </c>
      <c r="Z180" s="41">
        <f>IFERROR(IF(Y180=0,"",ROUNDUP(Y180/H180,0)*0.00502),"")</f>
        <v>0.33634000000000003</v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118.6666666666667</v>
      </c>
      <c r="BN180" s="78">
        <f t="shared" si="18"/>
        <v>119.26000000000002</v>
      </c>
      <c r="BO180" s="78">
        <f t="shared" si="19"/>
        <v>0.28490028490028496</v>
      </c>
      <c r="BP180" s="78">
        <f t="shared" si="20"/>
        <v>0.28632478632478636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715">
        <v>4680115887763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715">
        <v>4680115887763</v>
      </c>
      <c r="E182" s="71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4301031454</v>
      </c>
      <c r="D183" s="715">
        <v>4680115887480</v>
      </c>
      <c r="E183" s="71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1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56.000000000000007</v>
      </c>
      <c r="Y183" s="55">
        <f t="shared" si="16"/>
        <v>57.12</v>
      </c>
      <c r="Z183" s="41">
        <f>IFERROR(IF(Y183=0,"",ROUNDUP(Y183/H183,0)*0.00502),"")</f>
        <v>0.17068</v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59.33333333333335</v>
      </c>
      <c r="BN183" s="78">
        <f t="shared" si="18"/>
        <v>60.519999999999996</v>
      </c>
      <c r="BO183" s="78">
        <f t="shared" si="19"/>
        <v>0.14245014245014248</v>
      </c>
      <c r="BP183" s="78">
        <f t="shared" si="20"/>
        <v>0.14529914529914531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715">
        <v>4680115888067</v>
      </c>
      <c r="E184" s="71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1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4301031451</v>
      </c>
      <c r="D185" s="715">
        <v>4680115887435</v>
      </c>
      <c r="E185" s="71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1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112.00000000000001</v>
      </c>
      <c r="Y185" s="55">
        <f t="shared" si="16"/>
        <v>112.56</v>
      </c>
      <c r="Z185" s="41">
        <f>IFERROR(IF(Y185=0,"",ROUNDUP(Y185/H185,0)*0.00502),"")</f>
        <v>0.33634000000000003</v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118.6666666666667</v>
      </c>
      <c r="BN185" s="78">
        <f t="shared" si="18"/>
        <v>119.26000000000002</v>
      </c>
      <c r="BO185" s="78">
        <f t="shared" si="19"/>
        <v>0.28490028490028496</v>
      </c>
      <c r="BP185" s="78">
        <f t="shared" si="20"/>
        <v>0.28632478632478636</v>
      </c>
    </row>
    <row r="186" spans="1:68" x14ac:dyDescent="0.2">
      <c r="A186" s="723"/>
      <c r="B186" s="723"/>
      <c r="C186" s="723"/>
      <c r="D186" s="723"/>
      <c r="E186" s="723"/>
      <c r="F186" s="723"/>
      <c r="G186" s="723"/>
      <c r="H186" s="723"/>
      <c r="I186" s="723"/>
      <c r="J186" s="723"/>
      <c r="K186" s="723"/>
      <c r="L186" s="723"/>
      <c r="M186" s="723"/>
      <c r="N186" s="723"/>
      <c r="O186" s="724"/>
      <c r="P186" s="720" t="s">
        <v>40</v>
      </c>
      <c r="Q186" s="721"/>
      <c r="R186" s="721"/>
      <c r="S186" s="721"/>
      <c r="T186" s="721"/>
      <c r="U186" s="721"/>
      <c r="V186" s="722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266.66666666666669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269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1.7543800000000001</v>
      </c>
      <c r="AA186" s="67"/>
      <c r="AB186" s="67"/>
      <c r="AC186" s="67"/>
    </row>
    <row r="187" spans="1:68" x14ac:dyDescent="0.2">
      <c r="A187" s="723"/>
      <c r="B187" s="723"/>
      <c r="C187" s="723"/>
      <c r="D187" s="723"/>
      <c r="E187" s="723"/>
      <c r="F187" s="723"/>
      <c r="G187" s="723"/>
      <c r="H187" s="723"/>
      <c r="I187" s="723"/>
      <c r="J187" s="723"/>
      <c r="K187" s="723"/>
      <c r="L187" s="723"/>
      <c r="M187" s="723"/>
      <c r="N187" s="723"/>
      <c r="O187" s="724"/>
      <c r="P187" s="720" t="s">
        <v>40</v>
      </c>
      <c r="Q187" s="721"/>
      <c r="R187" s="721"/>
      <c r="S187" s="721"/>
      <c r="T187" s="721"/>
      <c r="U187" s="721"/>
      <c r="V187" s="722"/>
      <c r="W187" s="42" t="s">
        <v>0</v>
      </c>
      <c r="X187" s="43">
        <f>IFERROR(SUM(X175:X185),"0")</f>
        <v>630</v>
      </c>
      <c r="Y187" s="43">
        <f>IFERROR(SUM(Y175:Y185),"0")</f>
        <v>635.74</v>
      </c>
      <c r="Z187" s="42"/>
      <c r="AA187" s="67"/>
      <c r="AB187" s="67"/>
      <c r="AC187" s="67"/>
    </row>
    <row r="188" spans="1:68" ht="14.25" hidden="1" customHeight="1" x14ac:dyDescent="0.25">
      <c r="A188" s="714" t="s">
        <v>86</v>
      </c>
      <c r="B188" s="714"/>
      <c r="C188" s="714"/>
      <c r="D188" s="714"/>
      <c r="E188" s="714"/>
      <c r="F188" s="714"/>
      <c r="G188" s="714"/>
      <c r="H188" s="714"/>
      <c r="I188" s="714"/>
      <c r="J188" s="714"/>
      <c r="K188" s="714"/>
      <c r="L188" s="714"/>
      <c r="M188" s="714"/>
      <c r="N188" s="714"/>
      <c r="O188" s="714"/>
      <c r="P188" s="714"/>
      <c r="Q188" s="714"/>
      <c r="R188" s="714"/>
      <c r="S188" s="714"/>
      <c r="T188" s="714"/>
      <c r="U188" s="714"/>
      <c r="V188" s="714"/>
      <c r="W188" s="714"/>
      <c r="X188" s="714"/>
      <c r="Y188" s="714"/>
      <c r="Z188" s="714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715">
        <v>4680115888395</v>
      </c>
      <c r="E189" s="71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7"/>
      <c r="R189" s="717"/>
      <c r="S189" s="717"/>
      <c r="T189" s="71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715">
        <v>4680115888371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1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715">
        <v>4680115887459</v>
      </c>
      <c r="E191" s="71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3"/>
      <c r="B192" s="723"/>
      <c r="C192" s="723"/>
      <c r="D192" s="723"/>
      <c r="E192" s="723"/>
      <c r="F192" s="723"/>
      <c r="G192" s="723"/>
      <c r="H192" s="723"/>
      <c r="I192" s="723"/>
      <c r="J192" s="723"/>
      <c r="K192" s="723"/>
      <c r="L192" s="723"/>
      <c r="M192" s="723"/>
      <c r="N192" s="723"/>
      <c r="O192" s="724"/>
      <c r="P192" s="720" t="s">
        <v>40</v>
      </c>
      <c r="Q192" s="721"/>
      <c r="R192" s="721"/>
      <c r="S192" s="721"/>
      <c r="T192" s="721"/>
      <c r="U192" s="721"/>
      <c r="V192" s="722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23"/>
      <c r="B193" s="723"/>
      <c r="C193" s="723"/>
      <c r="D193" s="723"/>
      <c r="E193" s="723"/>
      <c r="F193" s="723"/>
      <c r="G193" s="723"/>
      <c r="H193" s="723"/>
      <c r="I193" s="723"/>
      <c r="J193" s="723"/>
      <c r="K193" s="723"/>
      <c r="L193" s="723"/>
      <c r="M193" s="723"/>
      <c r="N193" s="723"/>
      <c r="O193" s="724"/>
      <c r="P193" s="720" t="s">
        <v>40</v>
      </c>
      <c r="Q193" s="721"/>
      <c r="R193" s="721"/>
      <c r="S193" s="721"/>
      <c r="T193" s="721"/>
      <c r="U193" s="721"/>
      <c r="V193" s="722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4" t="s">
        <v>283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1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715">
        <v>4680115889088</v>
      </c>
      <c r="E196" s="71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1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7"/>
      <c r="R196" s="717"/>
      <c r="S196" s="717"/>
      <c r="T196" s="71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23"/>
      <c r="B197" s="723"/>
      <c r="C197" s="723"/>
      <c r="D197" s="723"/>
      <c r="E197" s="723"/>
      <c r="F197" s="723"/>
      <c r="G197" s="723"/>
      <c r="H197" s="723"/>
      <c r="I197" s="723"/>
      <c r="J197" s="723"/>
      <c r="K197" s="723"/>
      <c r="L197" s="723"/>
      <c r="M197" s="723"/>
      <c r="N197" s="723"/>
      <c r="O197" s="724"/>
      <c r="P197" s="720" t="s">
        <v>40</v>
      </c>
      <c r="Q197" s="721"/>
      <c r="R197" s="721"/>
      <c r="S197" s="721"/>
      <c r="T197" s="721"/>
      <c r="U197" s="721"/>
      <c r="V197" s="722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723"/>
      <c r="B198" s="723"/>
      <c r="C198" s="723"/>
      <c r="D198" s="723"/>
      <c r="E198" s="723"/>
      <c r="F198" s="723"/>
      <c r="G198" s="723"/>
      <c r="H198" s="723"/>
      <c r="I198" s="723"/>
      <c r="J198" s="723"/>
      <c r="K198" s="723"/>
      <c r="L198" s="723"/>
      <c r="M198" s="723"/>
      <c r="N198" s="723"/>
      <c r="O198" s="724"/>
      <c r="P198" s="720" t="s">
        <v>40</v>
      </c>
      <c r="Q198" s="721"/>
      <c r="R198" s="721"/>
      <c r="S198" s="721"/>
      <c r="T198" s="721"/>
      <c r="U198" s="721"/>
      <c r="V198" s="722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14" t="s">
        <v>349</v>
      </c>
      <c r="B199" s="714"/>
      <c r="C199" s="714"/>
      <c r="D199" s="714"/>
      <c r="E199" s="714"/>
      <c r="F199" s="714"/>
      <c r="G199" s="714"/>
      <c r="H199" s="714"/>
      <c r="I199" s="714"/>
      <c r="J199" s="714"/>
      <c r="K199" s="714"/>
      <c r="L199" s="714"/>
      <c r="M199" s="714"/>
      <c r="N199" s="714"/>
      <c r="O199" s="714"/>
      <c r="P199" s="714"/>
      <c r="Q199" s="714"/>
      <c r="R199" s="714"/>
      <c r="S199" s="714"/>
      <c r="T199" s="714"/>
      <c r="U199" s="714"/>
      <c r="V199" s="714"/>
      <c r="W199" s="714"/>
      <c r="X199" s="714"/>
      <c r="Y199" s="714"/>
      <c r="Z199" s="714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715">
        <v>4680115889033</v>
      </c>
      <c r="E200" s="71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1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7"/>
      <c r="R200" s="717"/>
      <c r="S200" s="717"/>
      <c r="T200" s="71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23"/>
      <c r="B201" s="723"/>
      <c r="C201" s="723"/>
      <c r="D201" s="723"/>
      <c r="E201" s="723"/>
      <c r="F201" s="723"/>
      <c r="G201" s="723"/>
      <c r="H201" s="723"/>
      <c r="I201" s="723"/>
      <c r="J201" s="723"/>
      <c r="K201" s="723"/>
      <c r="L201" s="723"/>
      <c r="M201" s="723"/>
      <c r="N201" s="723"/>
      <c r="O201" s="724"/>
      <c r="P201" s="720" t="s">
        <v>40</v>
      </c>
      <c r="Q201" s="721"/>
      <c r="R201" s="721"/>
      <c r="S201" s="721"/>
      <c r="T201" s="721"/>
      <c r="U201" s="721"/>
      <c r="V201" s="72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23"/>
      <c r="B202" s="723"/>
      <c r="C202" s="723"/>
      <c r="D202" s="723"/>
      <c r="E202" s="723"/>
      <c r="F202" s="723"/>
      <c r="G202" s="723"/>
      <c r="H202" s="723"/>
      <c r="I202" s="723"/>
      <c r="J202" s="723"/>
      <c r="K202" s="723"/>
      <c r="L202" s="723"/>
      <c r="M202" s="723"/>
      <c r="N202" s="723"/>
      <c r="O202" s="724"/>
      <c r="P202" s="720" t="s">
        <v>40</v>
      </c>
      <c r="Q202" s="721"/>
      <c r="R202" s="721"/>
      <c r="S202" s="721"/>
      <c r="T202" s="721"/>
      <c r="U202" s="721"/>
      <c r="V202" s="72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12" t="s">
        <v>353</v>
      </c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2"/>
      <c r="P203" s="712"/>
      <c r="Q203" s="712"/>
      <c r="R203" s="712"/>
      <c r="S203" s="712"/>
      <c r="T203" s="712"/>
      <c r="U203" s="712"/>
      <c r="V203" s="712"/>
      <c r="W203" s="712"/>
      <c r="X203" s="712"/>
      <c r="Y203" s="712"/>
      <c r="Z203" s="712"/>
      <c r="AA203" s="54"/>
      <c r="AB203" s="54"/>
      <c r="AC203" s="54"/>
    </row>
    <row r="204" spans="1:68" ht="16.5" hidden="1" customHeight="1" x14ac:dyDescent="0.25">
      <c r="A204" s="713" t="s">
        <v>354</v>
      </c>
      <c r="B204" s="713"/>
      <c r="C204" s="713"/>
      <c r="D204" s="713"/>
      <c r="E204" s="713"/>
      <c r="F204" s="713"/>
      <c r="G204" s="713"/>
      <c r="H204" s="713"/>
      <c r="I204" s="713"/>
      <c r="J204" s="713"/>
      <c r="K204" s="713"/>
      <c r="L204" s="713"/>
      <c r="M204" s="713"/>
      <c r="N204" s="713"/>
      <c r="O204" s="713"/>
      <c r="P204" s="713"/>
      <c r="Q204" s="713"/>
      <c r="R204" s="713"/>
      <c r="S204" s="713"/>
      <c r="T204" s="713"/>
      <c r="U204" s="713"/>
      <c r="V204" s="713"/>
      <c r="W204" s="713"/>
      <c r="X204" s="713"/>
      <c r="Y204" s="713"/>
      <c r="Z204" s="713"/>
      <c r="AA204" s="65"/>
      <c r="AB204" s="65"/>
      <c r="AC204" s="79"/>
    </row>
    <row r="205" spans="1:68" ht="14.25" hidden="1" customHeight="1" x14ac:dyDescent="0.25">
      <c r="A205" s="714" t="s">
        <v>122</v>
      </c>
      <c r="B205" s="714"/>
      <c r="C205" s="714"/>
      <c r="D205" s="714"/>
      <c r="E205" s="714"/>
      <c r="F205" s="714"/>
      <c r="G205" s="714"/>
      <c r="H205" s="714"/>
      <c r="I205" s="714"/>
      <c r="J205" s="714"/>
      <c r="K205" s="714"/>
      <c r="L205" s="714"/>
      <c r="M205" s="714"/>
      <c r="N205" s="714"/>
      <c r="O205" s="714"/>
      <c r="P205" s="714"/>
      <c r="Q205" s="714"/>
      <c r="R205" s="714"/>
      <c r="S205" s="714"/>
      <c r="T205" s="714"/>
      <c r="U205" s="714"/>
      <c r="V205" s="714"/>
      <c r="W205" s="714"/>
      <c r="X205" s="714"/>
      <c r="Y205" s="714"/>
      <c r="Z205" s="714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715">
        <v>4607091383423</v>
      </c>
      <c r="E206" s="71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715">
        <v>4680115888760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715">
        <v>4680115888807</v>
      </c>
      <c r="E208" s="71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715">
        <v>4680115888852</v>
      </c>
      <c r="E209" s="71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715">
        <v>4680115886957</v>
      </c>
      <c r="E210" s="71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2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customHeight="1" x14ac:dyDescent="0.25">
      <c r="A211" s="63" t="s">
        <v>369</v>
      </c>
      <c r="B211" s="63" t="s">
        <v>370</v>
      </c>
      <c r="C211" s="36">
        <v>4301012098</v>
      </c>
      <c r="D211" s="715">
        <v>4680115885660</v>
      </c>
      <c r="E211" s="71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2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50</v>
      </c>
      <c r="Y211" s="55">
        <f t="shared" si="21"/>
        <v>54</v>
      </c>
      <c r="Z211" s="41">
        <f t="shared" si="22"/>
        <v>9.4899999999999998E-2</v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51.898148148148145</v>
      </c>
      <c r="BN211" s="78">
        <f t="shared" si="24"/>
        <v>56.05</v>
      </c>
      <c r="BO211" s="78">
        <f t="shared" si="25"/>
        <v>7.2337962962962965E-2</v>
      </c>
      <c r="BP211" s="78">
        <f t="shared" si="26"/>
        <v>7.8125E-2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715">
        <v>4680115886773</v>
      </c>
      <c r="E212" s="71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7"/>
      <c r="R212" s="717"/>
      <c r="S212" s="717"/>
      <c r="T212" s="71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x14ac:dyDescent="0.2">
      <c r="A213" s="723"/>
      <c r="B213" s="723"/>
      <c r="C213" s="723"/>
      <c r="D213" s="723"/>
      <c r="E213" s="723"/>
      <c r="F213" s="723"/>
      <c r="G213" s="723"/>
      <c r="H213" s="723"/>
      <c r="I213" s="723"/>
      <c r="J213" s="723"/>
      <c r="K213" s="723"/>
      <c r="L213" s="723"/>
      <c r="M213" s="723"/>
      <c r="N213" s="723"/>
      <c r="O213" s="724"/>
      <c r="P213" s="720" t="s">
        <v>40</v>
      </c>
      <c r="Q213" s="721"/>
      <c r="R213" s="721"/>
      <c r="S213" s="721"/>
      <c r="T213" s="721"/>
      <c r="U213" s="721"/>
      <c r="V213" s="722"/>
      <c r="W213" s="42" t="s">
        <v>39</v>
      </c>
      <c r="X213" s="43">
        <f>IFERROR(X206/H206,"0")+IFERROR(X207/H207,"0")+IFERROR(X208/H208,"0")+IFERROR(X209/H209,"0")+IFERROR(X210/H210,"0")+IFERROR(X211/H211,"0")+IFERROR(X212/H212,"0")</f>
        <v>4.6296296296296298</v>
      </c>
      <c r="Y213" s="43">
        <f>IFERROR(Y206/H206,"0")+IFERROR(Y207/H207,"0")+IFERROR(Y208/H208,"0")+IFERROR(Y209/H209,"0")+IFERROR(Y210/H210,"0")+IFERROR(Y211/H211,"0")+IFERROR(Y212/H212,"0")</f>
        <v>5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9.4899999999999998E-2</v>
      </c>
      <c r="AA213" s="67"/>
      <c r="AB213" s="67"/>
      <c r="AC213" s="67"/>
    </row>
    <row r="214" spans="1:68" x14ac:dyDescent="0.2">
      <c r="A214" s="723"/>
      <c r="B214" s="723"/>
      <c r="C214" s="723"/>
      <c r="D214" s="723"/>
      <c r="E214" s="723"/>
      <c r="F214" s="723"/>
      <c r="G214" s="723"/>
      <c r="H214" s="723"/>
      <c r="I214" s="723"/>
      <c r="J214" s="723"/>
      <c r="K214" s="723"/>
      <c r="L214" s="723"/>
      <c r="M214" s="723"/>
      <c r="N214" s="723"/>
      <c r="O214" s="724"/>
      <c r="P214" s="720" t="s">
        <v>40</v>
      </c>
      <c r="Q214" s="721"/>
      <c r="R214" s="721"/>
      <c r="S214" s="721"/>
      <c r="T214" s="721"/>
      <c r="U214" s="721"/>
      <c r="V214" s="722"/>
      <c r="W214" s="42" t="s">
        <v>0</v>
      </c>
      <c r="X214" s="43">
        <f>IFERROR(SUM(X206:X212),"0")</f>
        <v>50</v>
      </c>
      <c r="Y214" s="43">
        <f>IFERROR(SUM(Y206:Y212),"0")</f>
        <v>54</v>
      </c>
      <c r="Z214" s="42"/>
      <c r="AA214" s="67"/>
      <c r="AB214" s="67"/>
      <c r="AC214" s="67"/>
    </row>
    <row r="215" spans="1:68" ht="16.5" hidden="1" customHeight="1" x14ac:dyDescent="0.25">
      <c r="A215" s="713" t="s">
        <v>375</v>
      </c>
      <c r="B215" s="713"/>
      <c r="C215" s="713"/>
      <c r="D215" s="713"/>
      <c r="E215" s="713"/>
      <c r="F215" s="713"/>
      <c r="G215" s="713"/>
      <c r="H215" s="713"/>
      <c r="I215" s="713"/>
      <c r="J215" s="713"/>
      <c r="K215" s="713"/>
      <c r="L215" s="713"/>
      <c r="M215" s="713"/>
      <c r="N215" s="713"/>
      <c r="O215" s="713"/>
      <c r="P215" s="713"/>
      <c r="Q215" s="713"/>
      <c r="R215" s="713"/>
      <c r="S215" s="713"/>
      <c r="T215" s="713"/>
      <c r="U215" s="713"/>
      <c r="V215" s="713"/>
      <c r="W215" s="713"/>
      <c r="X215" s="713"/>
      <c r="Y215" s="713"/>
      <c r="Z215" s="713"/>
      <c r="AA215" s="65"/>
      <c r="AB215" s="65"/>
      <c r="AC215" s="79"/>
    </row>
    <row r="216" spans="1:68" ht="14.25" hidden="1" customHeight="1" x14ac:dyDescent="0.25">
      <c r="A216" s="714" t="s">
        <v>158</v>
      </c>
      <c r="B216" s="714"/>
      <c r="C216" s="714"/>
      <c r="D216" s="714"/>
      <c r="E216" s="714"/>
      <c r="F216" s="714"/>
      <c r="G216" s="714"/>
      <c r="H216" s="714"/>
      <c r="I216" s="714"/>
      <c r="J216" s="714"/>
      <c r="K216" s="714"/>
      <c r="L216" s="714"/>
      <c r="M216" s="714"/>
      <c r="N216" s="714"/>
      <c r="O216" s="714"/>
      <c r="P216" s="714"/>
      <c r="Q216" s="714"/>
      <c r="R216" s="714"/>
      <c r="S216" s="714"/>
      <c r="T216" s="714"/>
      <c r="U216" s="714"/>
      <c r="V216" s="714"/>
      <c r="W216" s="714"/>
      <c r="X216" s="714"/>
      <c r="Y216" s="714"/>
      <c r="Z216" s="714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715">
        <v>4680115886223</v>
      </c>
      <c r="E217" s="71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7"/>
      <c r="R217" s="717"/>
      <c r="S217" s="717"/>
      <c r="T217" s="71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23"/>
      <c r="B218" s="723"/>
      <c r="C218" s="723"/>
      <c r="D218" s="723"/>
      <c r="E218" s="723"/>
      <c r="F218" s="723"/>
      <c r="G218" s="723"/>
      <c r="H218" s="723"/>
      <c r="I218" s="723"/>
      <c r="J218" s="723"/>
      <c r="K218" s="723"/>
      <c r="L218" s="723"/>
      <c r="M218" s="723"/>
      <c r="N218" s="723"/>
      <c r="O218" s="724"/>
      <c r="P218" s="720" t="s">
        <v>40</v>
      </c>
      <c r="Q218" s="721"/>
      <c r="R218" s="721"/>
      <c r="S218" s="721"/>
      <c r="T218" s="721"/>
      <c r="U218" s="721"/>
      <c r="V218" s="72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23"/>
      <c r="B219" s="723"/>
      <c r="C219" s="723"/>
      <c r="D219" s="723"/>
      <c r="E219" s="723"/>
      <c r="F219" s="723"/>
      <c r="G219" s="723"/>
      <c r="H219" s="723"/>
      <c r="I219" s="723"/>
      <c r="J219" s="723"/>
      <c r="K219" s="723"/>
      <c r="L219" s="723"/>
      <c r="M219" s="723"/>
      <c r="N219" s="723"/>
      <c r="O219" s="724"/>
      <c r="P219" s="720" t="s">
        <v>40</v>
      </c>
      <c r="Q219" s="721"/>
      <c r="R219" s="721"/>
      <c r="S219" s="721"/>
      <c r="T219" s="721"/>
      <c r="U219" s="721"/>
      <c r="V219" s="72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14" t="s">
        <v>77</v>
      </c>
      <c r="B220" s="714"/>
      <c r="C220" s="714"/>
      <c r="D220" s="714"/>
      <c r="E220" s="714"/>
      <c r="F220" s="714"/>
      <c r="G220" s="714"/>
      <c r="H220" s="714"/>
      <c r="I220" s="714"/>
      <c r="J220" s="714"/>
      <c r="K220" s="714"/>
      <c r="L220" s="714"/>
      <c r="M220" s="714"/>
      <c r="N220" s="714"/>
      <c r="O220" s="714"/>
      <c r="P220" s="714"/>
      <c r="Q220" s="714"/>
      <c r="R220" s="714"/>
      <c r="S220" s="714"/>
      <c r="T220" s="714"/>
      <c r="U220" s="714"/>
      <c r="V220" s="714"/>
      <c r="W220" s="714"/>
      <c r="X220" s="714"/>
      <c r="Y220" s="714"/>
      <c r="Z220" s="714"/>
      <c r="AA220" s="66"/>
      <c r="AB220" s="66"/>
      <c r="AC220" s="80"/>
    </row>
    <row r="221" spans="1:68" ht="27" customHeight="1" x14ac:dyDescent="0.25">
      <c r="A221" s="63" t="s">
        <v>379</v>
      </c>
      <c r="B221" s="63" t="s">
        <v>380</v>
      </c>
      <c r="C221" s="36">
        <v>4301031191</v>
      </c>
      <c r="D221" s="715">
        <v>4680115880993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2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30</v>
      </c>
      <c r="Y221" s="55">
        <f t="shared" ref="Y221:Y234" si="27">IFERROR(IF(X221="",0,CEILING((X221/$H221),1)*$H221),"")</f>
        <v>33.6</v>
      </c>
      <c r="Z221" s="41">
        <f>IFERROR(IF(Y221=0,"",ROUNDUP(Y221/H221,0)*0.00902),"")</f>
        <v>7.2160000000000002E-2</v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31.785714285714285</v>
      </c>
      <c r="BN221" s="78">
        <f t="shared" ref="BN221:BN234" si="29">IFERROR(Y221*I221/H221,"0")</f>
        <v>35.6</v>
      </c>
      <c r="BO221" s="78">
        <f t="shared" ref="BO221:BO234" si="30">IFERROR(1/J221*(X221/H221),"0")</f>
        <v>5.4112554112554112E-2</v>
      </c>
      <c r="BP221" s="78">
        <f t="shared" ref="BP221:BP234" si="31">IFERROR(1/J221*(Y221/H221),"0")</f>
        <v>6.0606060606060608E-2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715">
        <v>4680115881761</v>
      </c>
      <c r="E222" s="71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715">
        <v>4680115881563</v>
      </c>
      <c r="E223" s="71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715">
        <v>4680115887565</v>
      </c>
      <c r="E224" s="71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customHeight="1" x14ac:dyDescent="0.25">
      <c r="A225" s="63" t="s">
        <v>391</v>
      </c>
      <c r="B225" s="63" t="s">
        <v>392</v>
      </c>
      <c r="C225" s="36">
        <v>4301031199</v>
      </c>
      <c r="D225" s="715">
        <v>4680115880986</v>
      </c>
      <c r="E225" s="71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35</v>
      </c>
      <c r="Y225" s="55">
        <f t="shared" si="27"/>
        <v>35.700000000000003</v>
      </c>
      <c r="Z225" s="41">
        <f t="shared" ref="Z225:Z230" si="32">IFERROR(IF(Y225=0,"",ROUNDUP(Y225/H225,0)*0.00502),"")</f>
        <v>8.5339999999999999E-2</v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37.166666666666664</v>
      </c>
      <c r="BN225" s="78">
        <f t="shared" si="29"/>
        <v>37.910000000000004</v>
      </c>
      <c r="BO225" s="78">
        <f t="shared" si="30"/>
        <v>7.1225071225071226E-2</v>
      </c>
      <c r="BP225" s="78">
        <f t="shared" si="31"/>
        <v>7.2649572649572655E-2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715">
        <v>4680115887213</v>
      </c>
      <c r="E226" s="71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4301031205</v>
      </c>
      <c r="D227" s="715">
        <v>4680115881785</v>
      </c>
      <c r="E227" s="71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105</v>
      </c>
      <c r="Y227" s="55">
        <f t="shared" si="27"/>
        <v>105</v>
      </c>
      <c r="Z227" s="41">
        <f t="shared" si="32"/>
        <v>0.251</v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111.5</v>
      </c>
      <c r="BN227" s="78">
        <f t="shared" si="29"/>
        <v>111.5</v>
      </c>
      <c r="BO227" s="78">
        <f t="shared" si="30"/>
        <v>0.21367521367521369</v>
      </c>
      <c r="BP227" s="78">
        <f t="shared" si="31"/>
        <v>0.21367521367521369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715">
        <v>4680115888432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715">
        <v>4680115888104</v>
      </c>
      <c r="E229" s="71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715">
        <v>4680115886537</v>
      </c>
      <c r="E230" s="71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715">
        <v>4680115887596</v>
      </c>
      <c r="E231" s="71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715">
        <v>4680115881679</v>
      </c>
      <c r="E232" s="71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175</v>
      </c>
      <c r="Y232" s="55">
        <f t="shared" si="27"/>
        <v>176.4</v>
      </c>
      <c r="Z232" s="41">
        <f>IFERROR(IF(Y232=0,"",ROUNDUP(Y232/H232,0)*0.00502),"")</f>
        <v>0.42168</v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183.33333333333334</v>
      </c>
      <c r="BN232" s="78">
        <f t="shared" si="29"/>
        <v>184.8</v>
      </c>
      <c r="BO232" s="78">
        <f t="shared" si="30"/>
        <v>0.35612535612535612</v>
      </c>
      <c r="BP232" s="78">
        <f t="shared" si="31"/>
        <v>0.35897435897435903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715">
        <v>4680115880191</v>
      </c>
      <c r="E233" s="71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7"/>
      <c r="R233" s="717"/>
      <c r="S233" s="717"/>
      <c r="T233" s="71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715">
        <v>4680115883963</v>
      </c>
      <c r="E234" s="71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7"/>
      <c r="R234" s="717"/>
      <c r="S234" s="717"/>
      <c r="T234" s="71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723"/>
      <c r="B235" s="723"/>
      <c r="C235" s="723"/>
      <c r="D235" s="723"/>
      <c r="E235" s="723"/>
      <c r="F235" s="723"/>
      <c r="G235" s="723"/>
      <c r="H235" s="723"/>
      <c r="I235" s="723"/>
      <c r="J235" s="723"/>
      <c r="K235" s="723"/>
      <c r="L235" s="723"/>
      <c r="M235" s="723"/>
      <c r="N235" s="723"/>
      <c r="O235" s="724"/>
      <c r="P235" s="720" t="s">
        <v>40</v>
      </c>
      <c r="Q235" s="721"/>
      <c r="R235" s="721"/>
      <c r="S235" s="721"/>
      <c r="T235" s="721"/>
      <c r="U235" s="721"/>
      <c r="V235" s="722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157.14285714285714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159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0.83017999999999992</v>
      </c>
      <c r="AA235" s="67"/>
      <c r="AB235" s="67"/>
      <c r="AC235" s="67"/>
    </row>
    <row r="236" spans="1:68" x14ac:dyDescent="0.2">
      <c r="A236" s="723"/>
      <c r="B236" s="723"/>
      <c r="C236" s="723"/>
      <c r="D236" s="723"/>
      <c r="E236" s="723"/>
      <c r="F236" s="723"/>
      <c r="G236" s="723"/>
      <c r="H236" s="723"/>
      <c r="I236" s="723"/>
      <c r="J236" s="723"/>
      <c r="K236" s="723"/>
      <c r="L236" s="723"/>
      <c r="M236" s="723"/>
      <c r="N236" s="723"/>
      <c r="O236" s="724"/>
      <c r="P236" s="720" t="s">
        <v>40</v>
      </c>
      <c r="Q236" s="721"/>
      <c r="R236" s="721"/>
      <c r="S236" s="721"/>
      <c r="T236" s="721"/>
      <c r="U236" s="721"/>
      <c r="V236" s="722"/>
      <c r="W236" s="42" t="s">
        <v>0</v>
      </c>
      <c r="X236" s="43">
        <f>IFERROR(SUM(X221:X234),"0")</f>
        <v>345</v>
      </c>
      <c r="Y236" s="43">
        <f>IFERROR(SUM(Y221:Y234),"0")</f>
        <v>350.70000000000005</v>
      </c>
      <c r="Z236" s="42"/>
      <c r="AA236" s="67"/>
      <c r="AB236" s="67"/>
      <c r="AC236" s="67"/>
    </row>
    <row r="237" spans="1:68" ht="14.25" hidden="1" customHeight="1" x14ac:dyDescent="0.25">
      <c r="A237" s="714" t="s">
        <v>86</v>
      </c>
      <c r="B237" s="714"/>
      <c r="C237" s="714"/>
      <c r="D237" s="714"/>
      <c r="E237" s="714"/>
      <c r="F237" s="714"/>
      <c r="G237" s="714"/>
      <c r="H237" s="714"/>
      <c r="I237" s="714"/>
      <c r="J237" s="714"/>
      <c r="K237" s="714"/>
      <c r="L237" s="714"/>
      <c r="M237" s="714"/>
      <c r="N237" s="714"/>
      <c r="O237" s="714"/>
      <c r="P237" s="714"/>
      <c r="Q237" s="714"/>
      <c r="R237" s="714"/>
      <c r="S237" s="714"/>
      <c r="T237" s="714"/>
      <c r="U237" s="714"/>
      <c r="V237" s="714"/>
      <c r="W237" s="714"/>
      <c r="X237" s="714"/>
      <c r="Y237" s="714"/>
      <c r="Z237" s="714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715">
        <v>4680115888692</v>
      </c>
      <c r="E238" s="71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715">
        <v>4680115888722</v>
      </c>
      <c r="E239" s="71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715">
        <v>4680115888951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715">
        <v>4680115888975</v>
      </c>
      <c r="E241" s="71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7"/>
      <c r="R241" s="717"/>
      <c r="S241" s="717"/>
      <c r="T241" s="71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715">
        <v>4680115888982</v>
      </c>
      <c r="E242" s="71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7"/>
      <c r="R242" s="717"/>
      <c r="S242" s="717"/>
      <c r="T242" s="71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723"/>
      <c r="B243" s="723"/>
      <c r="C243" s="723"/>
      <c r="D243" s="723"/>
      <c r="E243" s="723"/>
      <c r="F243" s="723"/>
      <c r="G243" s="723"/>
      <c r="H243" s="723"/>
      <c r="I243" s="723"/>
      <c r="J243" s="723"/>
      <c r="K243" s="723"/>
      <c r="L243" s="723"/>
      <c r="M243" s="723"/>
      <c r="N243" s="723"/>
      <c r="O243" s="724"/>
      <c r="P243" s="720" t="s">
        <v>40</v>
      </c>
      <c r="Q243" s="721"/>
      <c r="R243" s="721"/>
      <c r="S243" s="721"/>
      <c r="T243" s="721"/>
      <c r="U243" s="721"/>
      <c r="V243" s="722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723"/>
      <c r="B244" s="723"/>
      <c r="C244" s="723"/>
      <c r="D244" s="723"/>
      <c r="E244" s="723"/>
      <c r="F244" s="723"/>
      <c r="G244" s="723"/>
      <c r="H244" s="723"/>
      <c r="I244" s="723"/>
      <c r="J244" s="723"/>
      <c r="K244" s="723"/>
      <c r="L244" s="723"/>
      <c r="M244" s="723"/>
      <c r="N244" s="723"/>
      <c r="O244" s="724"/>
      <c r="P244" s="720" t="s">
        <v>40</v>
      </c>
      <c r="Q244" s="721"/>
      <c r="R244" s="721"/>
      <c r="S244" s="721"/>
      <c r="T244" s="721"/>
      <c r="U244" s="721"/>
      <c r="V244" s="722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714" t="s">
        <v>283</v>
      </c>
      <c r="B245" s="714"/>
      <c r="C245" s="714"/>
      <c r="D245" s="714"/>
      <c r="E245" s="714"/>
      <c r="F245" s="714"/>
      <c r="G245" s="714"/>
      <c r="H245" s="714"/>
      <c r="I245" s="714"/>
      <c r="J245" s="714"/>
      <c r="K245" s="714"/>
      <c r="L245" s="714"/>
      <c r="M245" s="714"/>
      <c r="N245" s="714"/>
      <c r="O245" s="714"/>
      <c r="P245" s="714"/>
      <c r="Q245" s="714"/>
      <c r="R245" s="714"/>
      <c r="S245" s="714"/>
      <c r="T245" s="714"/>
      <c r="U245" s="714"/>
      <c r="V245" s="714"/>
      <c r="W245" s="714"/>
      <c r="X245" s="714"/>
      <c r="Y245" s="714"/>
      <c r="Z245" s="714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715">
        <v>4680115886780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715">
        <v>4680115886742</v>
      </c>
      <c r="E247" s="71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4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7"/>
      <c r="R247" s="717"/>
      <c r="S247" s="717"/>
      <c r="T247" s="71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715">
        <v>4680115886766</v>
      </c>
      <c r="E248" s="71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7"/>
      <c r="R248" s="717"/>
      <c r="S248" s="717"/>
      <c r="T248" s="71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723"/>
      <c r="B249" s="723"/>
      <c r="C249" s="723"/>
      <c r="D249" s="723"/>
      <c r="E249" s="723"/>
      <c r="F249" s="723"/>
      <c r="G249" s="723"/>
      <c r="H249" s="723"/>
      <c r="I249" s="723"/>
      <c r="J249" s="723"/>
      <c r="K249" s="723"/>
      <c r="L249" s="723"/>
      <c r="M249" s="723"/>
      <c r="N249" s="723"/>
      <c r="O249" s="724"/>
      <c r="P249" s="720" t="s">
        <v>40</v>
      </c>
      <c r="Q249" s="721"/>
      <c r="R249" s="721"/>
      <c r="S249" s="721"/>
      <c r="T249" s="721"/>
      <c r="U249" s="721"/>
      <c r="V249" s="722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723"/>
      <c r="B250" s="723"/>
      <c r="C250" s="723"/>
      <c r="D250" s="723"/>
      <c r="E250" s="723"/>
      <c r="F250" s="723"/>
      <c r="G250" s="723"/>
      <c r="H250" s="723"/>
      <c r="I250" s="723"/>
      <c r="J250" s="723"/>
      <c r="K250" s="723"/>
      <c r="L250" s="723"/>
      <c r="M250" s="723"/>
      <c r="N250" s="723"/>
      <c r="O250" s="724"/>
      <c r="P250" s="720" t="s">
        <v>40</v>
      </c>
      <c r="Q250" s="721"/>
      <c r="R250" s="721"/>
      <c r="S250" s="721"/>
      <c r="T250" s="721"/>
      <c r="U250" s="721"/>
      <c r="V250" s="722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714" t="s">
        <v>439</v>
      </c>
      <c r="B251" s="714"/>
      <c r="C251" s="714"/>
      <c r="D251" s="714"/>
      <c r="E251" s="714"/>
      <c r="F251" s="714"/>
      <c r="G251" s="714"/>
      <c r="H251" s="714"/>
      <c r="I251" s="714"/>
      <c r="J251" s="714"/>
      <c r="K251" s="714"/>
      <c r="L251" s="714"/>
      <c r="M251" s="714"/>
      <c r="N251" s="714"/>
      <c r="O251" s="714"/>
      <c r="P251" s="714"/>
      <c r="Q251" s="714"/>
      <c r="R251" s="714"/>
      <c r="S251" s="714"/>
      <c r="T251" s="714"/>
      <c r="U251" s="714"/>
      <c r="V251" s="714"/>
      <c r="W251" s="714"/>
      <c r="X251" s="714"/>
      <c r="Y251" s="714"/>
      <c r="Z251" s="714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715">
        <v>4680115886797</v>
      </c>
      <c r="E252" s="71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7"/>
      <c r="R252" s="717"/>
      <c r="S252" s="717"/>
      <c r="T252" s="71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723"/>
      <c r="B253" s="723"/>
      <c r="C253" s="723"/>
      <c r="D253" s="723"/>
      <c r="E253" s="723"/>
      <c r="F253" s="723"/>
      <c r="G253" s="723"/>
      <c r="H253" s="723"/>
      <c r="I253" s="723"/>
      <c r="J253" s="723"/>
      <c r="K253" s="723"/>
      <c r="L253" s="723"/>
      <c r="M253" s="723"/>
      <c r="N253" s="723"/>
      <c r="O253" s="724"/>
      <c r="P253" s="720" t="s">
        <v>40</v>
      </c>
      <c r="Q253" s="721"/>
      <c r="R253" s="721"/>
      <c r="S253" s="721"/>
      <c r="T253" s="721"/>
      <c r="U253" s="721"/>
      <c r="V253" s="722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723"/>
      <c r="B254" s="723"/>
      <c r="C254" s="723"/>
      <c r="D254" s="723"/>
      <c r="E254" s="723"/>
      <c r="F254" s="723"/>
      <c r="G254" s="723"/>
      <c r="H254" s="723"/>
      <c r="I254" s="723"/>
      <c r="J254" s="723"/>
      <c r="K254" s="723"/>
      <c r="L254" s="723"/>
      <c r="M254" s="723"/>
      <c r="N254" s="723"/>
      <c r="O254" s="724"/>
      <c r="P254" s="720" t="s">
        <v>40</v>
      </c>
      <c r="Q254" s="721"/>
      <c r="R254" s="721"/>
      <c r="S254" s="721"/>
      <c r="T254" s="721"/>
      <c r="U254" s="721"/>
      <c r="V254" s="722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713" t="s">
        <v>442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5"/>
      <c r="AB255" s="65"/>
      <c r="AC255" s="79"/>
    </row>
    <row r="256" spans="1:68" ht="14.25" hidden="1" customHeight="1" x14ac:dyDescent="0.25">
      <c r="A256" s="714" t="s">
        <v>122</v>
      </c>
      <c r="B256" s="714"/>
      <c r="C256" s="714"/>
      <c r="D256" s="714"/>
      <c r="E256" s="714"/>
      <c r="F256" s="714"/>
      <c r="G256" s="714"/>
      <c r="H256" s="714"/>
      <c r="I256" s="714"/>
      <c r="J256" s="714"/>
      <c r="K256" s="714"/>
      <c r="L256" s="714"/>
      <c r="M256" s="714"/>
      <c r="N256" s="714"/>
      <c r="O256" s="714"/>
      <c r="P256" s="714"/>
      <c r="Q256" s="714"/>
      <c r="R256" s="714"/>
      <c r="S256" s="714"/>
      <c r="T256" s="714"/>
      <c r="U256" s="714"/>
      <c r="V256" s="714"/>
      <c r="W256" s="714"/>
      <c r="X256" s="714"/>
      <c r="Y256" s="714"/>
      <c r="Z256" s="714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715">
        <v>4680115881402</v>
      </c>
      <c r="E257" s="71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5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7"/>
      <c r="R257" s="717"/>
      <c r="S257" s="717"/>
      <c r="T257" s="71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715">
        <v>4680115881396</v>
      </c>
      <c r="E258" s="71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5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7"/>
      <c r="R258" s="717"/>
      <c r="S258" s="717"/>
      <c r="T258" s="71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723"/>
      <c r="B259" s="723"/>
      <c r="C259" s="723"/>
      <c r="D259" s="723"/>
      <c r="E259" s="723"/>
      <c r="F259" s="723"/>
      <c r="G259" s="723"/>
      <c r="H259" s="723"/>
      <c r="I259" s="723"/>
      <c r="J259" s="723"/>
      <c r="K259" s="723"/>
      <c r="L259" s="723"/>
      <c r="M259" s="723"/>
      <c r="N259" s="723"/>
      <c r="O259" s="724"/>
      <c r="P259" s="720" t="s">
        <v>40</v>
      </c>
      <c r="Q259" s="721"/>
      <c r="R259" s="721"/>
      <c r="S259" s="721"/>
      <c r="T259" s="721"/>
      <c r="U259" s="721"/>
      <c r="V259" s="722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723"/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4"/>
      <c r="P260" s="720" t="s">
        <v>40</v>
      </c>
      <c r="Q260" s="721"/>
      <c r="R260" s="721"/>
      <c r="S260" s="721"/>
      <c r="T260" s="721"/>
      <c r="U260" s="721"/>
      <c r="V260" s="722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714" t="s">
        <v>158</v>
      </c>
      <c r="B261" s="714"/>
      <c r="C261" s="714"/>
      <c r="D261" s="714"/>
      <c r="E261" s="714"/>
      <c r="F261" s="714"/>
      <c r="G261" s="714"/>
      <c r="H261" s="714"/>
      <c r="I261" s="714"/>
      <c r="J261" s="714"/>
      <c r="K261" s="714"/>
      <c r="L261" s="714"/>
      <c r="M261" s="714"/>
      <c r="N261" s="714"/>
      <c r="O261" s="714"/>
      <c r="P261" s="714"/>
      <c r="Q261" s="714"/>
      <c r="R261" s="714"/>
      <c r="S261" s="714"/>
      <c r="T261" s="714"/>
      <c r="U261" s="714"/>
      <c r="V261" s="714"/>
      <c r="W261" s="714"/>
      <c r="X261" s="714"/>
      <c r="Y261" s="714"/>
      <c r="Z261" s="714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715">
        <v>4680115882935</v>
      </c>
      <c r="E262" s="71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7"/>
      <c r="R262" s="717"/>
      <c r="S262" s="717"/>
      <c r="T262" s="71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715">
        <v>4680115880764</v>
      </c>
      <c r="E263" s="71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7"/>
      <c r="R263" s="717"/>
      <c r="S263" s="717"/>
      <c r="T263" s="71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23"/>
      <c r="B264" s="723"/>
      <c r="C264" s="723"/>
      <c r="D264" s="723"/>
      <c r="E264" s="723"/>
      <c r="F264" s="723"/>
      <c r="G264" s="723"/>
      <c r="H264" s="723"/>
      <c r="I264" s="723"/>
      <c r="J264" s="723"/>
      <c r="K264" s="723"/>
      <c r="L264" s="723"/>
      <c r="M264" s="723"/>
      <c r="N264" s="723"/>
      <c r="O264" s="724"/>
      <c r="P264" s="720" t="s">
        <v>40</v>
      </c>
      <c r="Q264" s="721"/>
      <c r="R264" s="721"/>
      <c r="S264" s="721"/>
      <c r="T264" s="721"/>
      <c r="U264" s="721"/>
      <c r="V264" s="72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23"/>
      <c r="B265" s="723"/>
      <c r="C265" s="723"/>
      <c r="D265" s="723"/>
      <c r="E265" s="723"/>
      <c r="F265" s="723"/>
      <c r="G265" s="723"/>
      <c r="H265" s="723"/>
      <c r="I265" s="723"/>
      <c r="J265" s="723"/>
      <c r="K265" s="723"/>
      <c r="L265" s="723"/>
      <c r="M265" s="723"/>
      <c r="N265" s="723"/>
      <c r="O265" s="724"/>
      <c r="P265" s="720" t="s">
        <v>40</v>
      </c>
      <c r="Q265" s="721"/>
      <c r="R265" s="721"/>
      <c r="S265" s="721"/>
      <c r="T265" s="721"/>
      <c r="U265" s="721"/>
      <c r="V265" s="72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14" t="s">
        <v>77</v>
      </c>
      <c r="B266" s="714"/>
      <c r="C266" s="714"/>
      <c r="D266" s="714"/>
      <c r="E266" s="714"/>
      <c r="F266" s="714"/>
      <c r="G266" s="714"/>
      <c r="H266" s="714"/>
      <c r="I266" s="714"/>
      <c r="J266" s="714"/>
      <c r="K266" s="714"/>
      <c r="L266" s="714"/>
      <c r="M266" s="714"/>
      <c r="N266" s="714"/>
      <c r="O266" s="714"/>
      <c r="P266" s="714"/>
      <c r="Q266" s="714"/>
      <c r="R266" s="714"/>
      <c r="S266" s="714"/>
      <c r="T266" s="714"/>
      <c r="U266" s="714"/>
      <c r="V266" s="714"/>
      <c r="W266" s="714"/>
      <c r="X266" s="714"/>
      <c r="Y266" s="714"/>
      <c r="Z266" s="714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715">
        <v>4680115882683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300</v>
      </c>
      <c r="Y267" s="55">
        <f t="shared" ref="Y267:Y274" si="33">IFERROR(IF(X267="",0,CEILING((X267/$H267),1)*$H267),"")</f>
        <v>302.40000000000003</v>
      </c>
      <c r="Z267" s="41">
        <f>IFERROR(IF(Y267=0,"",ROUNDUP(Y267/H267,0)*0.00902),"")</f>
        <v>0.50512000000000001</v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310.55555555555554</v>
      </c>
      <c r="BN267" s="78">
        <f t="shared" ref="BN267:BN274" si="35">IFERROR(Y267*I267/H267,"0")</f>
        <v>313.04000000000002</v>
      </c>
      <c r="BO267" s="78">
        <f t="shared" ref="BO267:BO274" si="36">IFERROR(1/J267*(X267/H267),"0")</f>
        <v>0.42087542087542085</v>
      </c>
      <c r="BP267" s="78">
        <f t="shared" ref="BP267:BP274" si="37">IFERROR(1/J267*(Y267/H267),"0")</f>
        <v>0.42424242424242425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715">
        <v>4680115882690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715">
        <v>4680115882669</v>
      </c>
      <c r="E269" s="71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200</v>
      </c>
      <c r="Y269" s="55">
        <f t="shared" si="33"/>
        <v>205.20000000000002</v>
      </c>
      <c r="Z269" s="41">
        <f>IFERROR(IF(Y269=0,"",ROUNDUP(Y269/H269,0)*0.00902),"")</f>
        <v>0.34276000000000001</v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207.03703703703701</v>
      </c>
      <c r="BN269" s="78">
        <f t="shared" si="35"/>
        <v>212.42</v>
      </c>
      <c r="BO269" s="78">
        <f t="shared" si="36"/>
        <v>0.28058361391694725</v>
      </c>
      <c r="BP269" s="78">
        <f t="shared" si="37"/>
        <v>0.2878787878787879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715">
        <v>4680115882676</v>
      </c>
      <c r="E270" s="71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715">
        <v>4680115884014</v>
      </c>
      <c r="E271" s="71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60</v>
      </c>
      <c r="Y271" s="55">
        <f t="shared" si="33"/>
        <v>61.2</v>
      </c>
      <c r="Z271" s="41">
        <f>IFERROR(IF(Y271=0,"",ROUNDUP(Y271/H271,0)*0.00502),"")</f>
        <v>0.17068</v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64.333333333333329</v>
      </c>
      <c r="BN271" s="78">
        <f t="shared" si="35"/>
        <v>65.62</v>
      </c>
      <c r="BO271" s="78">
        <f t="shared" si="36"/>
        <v>0.14245014245014248</v>
      </c>
      <c r="BP271" s="78">
        <f t="shared" si="37"/>
        <v>0.14529914529914531</v>
      </c>
    </row>
    <row r="272" spans="1:68" ht="27" customHeight="1" x14ac:dyDescent="0.25">
      <c r="A272" s="63" t="s">
        <v>467</v>
      </c>
      <c r="B272" s="63" t="s">
        <v>468</v>
      </c>
      <c r="C272" s="36">
        <v>4301031222</v>
      </c>
      <c r="D272" s="715">
        <v>4680115884007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30</v>
      </c>
      <c r="Y272" s="55">
        <f t="shared" si="33"/>
        <v>30.6</v>
      </c>
      <c r="Z272" s="41">
        <f>IFERROR(IF(Y272=0,"",ROUNDUP(Y272/H272,0)*0.00502),"")</f>
        <v>8.5339999999999999E-2</v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31.666666666666664</v>
      </c>
      <c r="BN272" s="78">
        <f t="shared" si="35"/>
        <v>32.299999999999997</v>
      </c>
      <c r="BO272" s="78">
        <f t="shared" si="36"/>
        <v>7.122507122507124E-2</v>
      </c>
      <c r="BP272" s="78">
        <f t="shared" si="37"/>
        <v>7.2649572649572655E-2</v>
      </c>
    </row>
    <row r="273" spans="1:68" ht="27" customHeight="1" x14ac:dyDescent="0.25">
      <c r="A273" s="63" t="s">
        <v>469</v>
      </c>
      <c r="B273" s="63" t="s">
        <v>470</v>
      </c>
      <c r="C273" s="36">
        <v>4301031229</v>
      </c>
      <c r="D273" s="715">
        <v>4680115884038</v>
      </c>
      <c r="E273" s="71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7"/>
      <c r="R273" s="717"/>
      <c r="S273" s="717"/>
      <c r="T273" s="718"/>
      <c r="U273" s="39" t="s">
        <v>46</v>
      </c>
      <c r="V273" s="39" t="s">
        <v>46</v>
      </c>
      <c r="W273" s="40" t="s">
        <v>0</v>
      </c>
      <c r="X273" s="58">
        <v>60</v>
      </c>
      <c r="Y273" s="55">
        <f t="shared" si="33"/>
        <v>61.2</v>
      </c>
      <c r="Z273" s="41">
        <f>IFERROR(IF(Y273=0,"",ROUNDUP(Y273/H273,0)*0.00502),"")</f>
        <v>0.17068</v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63.333333333333329</v>
      </c>
      <c r="BN273" s="78">
        <f t="shared" si="35"/>
        <v>64.599999999999994</v>
      </c>
      <c r="BO273" s="78">
        <f t="shared" si="36"/>
        <v>0.14245014245014248</v>
      </c>
      <c r="BP273" s="78">
        <f t="shared" si="37"/>
        <v>0.14529914529914531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715">
        <v>4680115884021</v>
      </c>
      <c r="E274" s="71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7"/>
      <c r="R274" s="717"/>
      <c r="S274" s="717"/>
      <c r="T274" s="718"/>
      <c r="U274" s="39" t="s">
        <v>46</v>
      </c>
      <c r="V274" s="39" t="s">
        <v>46</v>
      </c>
      <c r="W274" s="40" t="s">
        <v>0</v>
      </c>
      <c r="X274" s="58">
        <v>30</v>
      </c>
      <c r="Y274" s="55">
        <f t="shared" si="33"/>
        <v>30.6</v>
      </c>
      <c r="Z274" s="41">
        <f>IFERROR(IF(Y274=0,"",ROUNDUP(Y274/H274,0)*0.00502),"")</f>
        <v>8.5339999999999999E-2</v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31.666666666666664</v>
      </c>
      <c r="BN274" s="78">
        <f t="shared" si="35"/>
        <v>32.299999999999997</v>
      </c>
      <c r="BO274" s="78">
        <f t="shared" si="36"/>
        <v>7.122507122507124E-2</v>
      </c>
      <c r="BP274" s="78">
        <f t="shared" si="37"/>
        <v>7.2649572649572655E-2</v>
      </c>
    </row>
    <row r="275" spans="1:68" x14ac:dyDescent="0.2">
      <c r="A275" s="723"/>
      <c r="B275" s="723"/>
      <c r="C275" s="723"/>
      <c r="D275" s="723"/>
      <c r="E275" s="723"/>
      <c r="F275" s="723"/>
      <c r="G275" s="723"/>
      <c r="H275" s="723"/>
      <c r="I275" s="723"/>
      <c r="J275" s="723"/>
      <c r="K275" s="723"/>
      <c r="L275" s="723"/>
      <c r="M275" s="723"/>
      <c r="N275" s="723"/>
      <c r="O275" s="724"/>
      <c r="P275" s="720" t="s">
        <v>40</v>
      </c>
      <c r="Q275" s="721"/>
      <c r="R275" s="721"/>
      <c r="S275" s="721"/>
      <c r="T275" s="721"/>
      <c r="U275" s="721"/>
      <c r="V275" s="722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192.59259259259258</v>
      </c>
      <c r="Y275" s="43">
        <f>IFERROR(Y267/H267,"0")+IFERROR(Y268/H268,"0")+IFERROR(Y269/H269,"0")+IFERROR(Y270/H270,"0")+IFERROR(Y271/H271,"0")+IFERROR(Y272/H272,"0")+IFERROR(Y273/H273,"0")+IFERROR(Y274/H274,"0")</f>
        <v>196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1.3599199999999998</v>
      </c>
      <c r="AA275" s="67"/>
      <c r="AB275" s="67"/>
      <c r="AC275" s="67"/>
    </row>
    <row r="276" spans="1:68" x14ac:dyDescent="0.2">
      <c r="A276" s="723"/>
      <c r="B276" s="723"/>
      <c r="C276" s="723"/>
      <c r="D276" s="723"/>
      <c r="E276" s="723"/>
      <c r="F276" s="723"/>
      <c r="G276" s="723"/>
      <c r="H276" s="723"/>
      <c r="I276" s="723"/>
      <c r="J276" s="723"/>
      <c r="K276" s="723"/>
      <c r="L276" s="723"/>
      <c r="M276" s="723"/>
      <c r="N276" s="723"/>
      <c r="O276" s="724"/>
      <c r="P276" s="720" t="s">
        <v>40</v>
      </c>
      <c r="Q276" s="721"/>
      <c r="R276" s="721"/>
      <c r="S276" s="721"/>
      <c r="T276" s="721"/>
      <c r="U276" s="721"/>
      <c r="V276" s="722"/>
      <c r="W276" s="42" t="s">
        <v>0</v>
      </c>
      <c r="X276" s="43">
        <f>IFERROR(SUM(X267:X274),"0")</f>
        <v>680</v>
      </c>
      <c r="Y276" s="43">
        <f>IFERROR(SUM(Y267:Y274),"0")</f>
        <v>691.20000000000016</v>
      </c>
      <c r="Z276" s="42"/>
      <c r="AA276" s="67"/>
      <c r="AB276" s="67"/>
      <c r="AC276" s="67"/>
    </row>
    <row r="277" spans="1:68" ht="14.25" hidden="1" customHeight="1" x14ac:dyDescent="0.25">
      <c r="A277" s="714" t="s">
        <v>86</v>
      </c>
      <c r="B277" s="714"/>
      <c r="C277" s="714"/>
      <c r="D277" s="714"/>
      <c r="E277" s="714"/>
      <c r="F277" s="714"/>
      <c r="G277" s="714"/>
      <c r="H277" s="714"/>
      <c r="I277" s="714"/>
      <c r="J277" s="714"/>
      <c r="K277" s="714"/>
      <c r="L277" s="714"/>
      <c r="M277" s="714"/>
      <c r="N277" s="714"/>
      <c r="O277" s="714"/>
      <c r="P277" s="714"/>
      <c r="Q277" s="714"/>
      <c r="R277" s="714"/>
      <c r="S277" s="714"/>
      <c r="T277" s="714"/>
      <c r="U277" s="714"/>
      <c r="V277" s="714"/>
      <c r="W277" s="714"/>
      <c r="X277" s="714"/>
      <c r="Y277" s="714"/>
      <c r="Z277" s="714"/>
      <c r="AA277" s="66"/>
      <c r="AB277" s="66"/>
      <c r="AC277" s="80"/>
    </row>
    <row r="278" spans="1:68" ht="27" customHeight="1" x14ac:dyDescent="0.25">
      <c r="A278" s="63" t="s">
        <v>473</v>
      </c>
      <c r="B278" s="63" t="s">
        <v>474</v>
      </c>
      <c r="C278" s="36">
        <v>4301051408</v>
      </c>
      <c r="D278" s="715">
        <v>4680115881594</v>
      </c>
      <c r="E278" s="71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100</v>
      </c>
      <c r="Y278" s="55">
        <f t="shared" ref="Y278:Y289" si="38">IFERROR(IF(X278="",0,CEILING((X278/$H278),1)*$H278),"")</f>
        <v>105.3</v>
      </c>
      <c r="Z278" s="41">
        <f>IFERROR(IF(Y278=0,"",ROUNDUP(Y278/H278,0)*0.01898),"")</f>
        <v>0.24674000000000001</v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106.09876543209877</v>
      </c>
      <c r="BN278" s="78">
        <f t="shared" ref="BN278:BN289" si="40">IFERROR(Y278*I278/H278,"0")</f>
        <v>111.72199999999999</v>
      </c>
      <c r="BO278" s="78">
        <f t="shared" ref="BO278:BO289" si="41">IFERROR(1/J278*(X278/H278),"0")</f>
        <v>0.19290123456790123</v>
      </c>
      <c r="BP278" s="78">
        <f t="shared" ref="BP278:BP289" si="42">IFERROR(1/J278*(Y278/H278),"0")</f>
        <v>0.203125</v>
      </c>
    </row>
    <row r="279" spans="1:68" ht="27" customHeight="1" x14ac:dyDescent="0.25">
      <c r="A279" s="63" t="s">
        <v>476</v>
      </c>
      <c r="B279" s="63" t="s">
        <v>477</v>
      </c>
      <c r="C279" s="36">
        <v>4301051411</v>
      </c>
      <c r="D279" s="715">
        <v>4680115881617</v>
      </c>
      <c r="E279" s="71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100</v>
      </c>
      <c r="Y279" s="55">
        <f t="shared" si="38"/>
        <v>105.3</v>
      </c>
      <c r="Z279" s="41">
        <f>IFERROR(IF(Y279=0,"",ROUNDUP(Y279/H279,0)*0.01898),"")</f>
        <v>0.24674000000000001</v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105.87654320987654</v>
      </c>
      <c r="BN279" s="78">
        <f t="shared" si="40"/>
        <v>111.48800000000001</v>
      </c>
      <c r="BO279" s="78">
        <f t="shared" si="41"/>
        <v>0.19290123456790123</v>
      </c>
      <c r="BP279" s="78">
        <f t="shared" si="42"/>
        <v>0.203125</v>
      </c>
    </row>
    <row r="280" spans="1:68" ht="27" customHeight="1" x14ac:dyDescent="0.25">
      <c r="A280" s="63" t="s">
        <v>479</v>
      </c>
      <c r="B280" s="63" t="s">
        <v>480</v>
      </c>
      <c r="C280" s="36">
        <v>4301051656</v>
      </c>
      <c r="D280" s="715">
        <v>4680115880573</v>
      </c>
      <c r="E280" s="71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6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100</v>
      </c>
      <c r="Y280" s="55">
        <f t="shared" si="38"/>
        <v>104.39999999999999</v>
      </c>
      <c r="Z280" s="41">
        <f>IFERROR(IF(Y280=0,"",ROUNDUP(Y280/H280,0)*0.01898),"")</f>
        <v>0.22776000000000002</v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105.67816091954025</v>
      </c>
      <c r="BN280" s="78">
        <f t="shared" si="40"/>
        <v>110.32800000000002</v>
      </c>
      <c r="BO280" s="78">
        <f t="shared" si="41"/>
        <v>0.1795977011494253</v>
      </c>
      <c r="BP280" s="78">
        <f t="shared" si="42"/>
        <v>0.1875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715">
        <v>4680115882195</v>
      </c>
      <c r="E281" s="71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86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320</v>
      </c>
      <c r="Y281" s="55">
        <f t="shared" si="38"/>
        <v>321.59999999999997</v>
      </c>
      <c r="Z281" s="41">
        <f>IFERROR(IF(Y281=0,"",ROUNDUP(Y281/H281,0)*0.00651),"")</f>
        <v>0.87234</v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356</v>
      </c>
      <c r="BN281" s="78">
        <f t="shared" si="40"/>
        <v>357.78</v>
      </c>
      <c r="BO281" s="78">
        <f t="shared" si="41"/>
        <v>0.73260073260073266</v>
      </c>
      <c r="BP281" s="78">
        <f t="shared" si="42"/>
        <v>0.73626373626373631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715">
        <v>4680115882607</v>
      </c>
      <c r="E282" s="71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715">
        <v>4680115882607</v>
      </c>
      <c r="E283" s="71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8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715">
        <v>4680115880092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240</v>
      </c>
      <c r="Y284" s="55">
        <f t="shared" si="38"/>
        <v>240</v>
      </c>
      <c r="Z284" s="41">
        <f>IFERROR(IF(Y284=0,"",ROUNDUP(Y284/H284,0)*0.00651),"")</f>
        <v>0.65100000000000002</v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265.20000000000005</v>
      </c>
      <c r="BN284" s="78">
        <f t="shared" si="40"/>
        <v>265.20000000000005</v>
      </c>
      <c r="BO284" s="78">
        <f t="shared" si="41"/>
        <v>0.5494505494505495</v>
      </c>
      <c r="BP284" s="78">
        <f t="shared" si="42"/>
        <v>0.5494505494505495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715">
        <v>4680115889064</v>
      </c>
      <c r="E285" s="71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715">
        <v>4680115880221</v>
      </c>
      <c r="E286" s="71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customHeight="1" x14ac:dyDescent="0.25">
      <c r="A287" s="63" t="s">
        <v>495</v>
      </c>
      <c r="B287" s="63" t="s">
        <v>496</v>
      </c>
      <c r="C287" s="36">
        <v>4301051945</v>
      </c>
      <c r="D287" s="715">
        <v>4680115880504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87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40</v>
      </c>
      <c r="Y287" s="55">
        <f t="shared" si="38"/>
        <v>40.799999999999997</v>
      </c>
      <c r="Z287" s="41">
        <f>IFERROR(IF(Y287=0,"",ROUNDUP(Y287/H287,0)*0.00651),"")</f>
        <v>0.11067</v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44.20000000000001</v>
      </c>
      <c r="BN287" s="78">
        <f t="shared" si="40"/>
        <v>45.084000000000003</v>
      </c>
      <c r="BO287" s="78">
        <f t="shared" si="41"/>
        <v>9.1575091575091583E-2</v>
      </c>
      <c r="BP287" s="78">
        <f t="shared" si="42"/>
        <v>9.3406593406593408E-2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715">
        <v>4680115882164</v>
      </c>
      <c r="E288" s="71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8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7"/>
      <c r="R288" s="717"/>
      <c r="S288" s="717"/>
      <c r="T288" s="718"/>
      <c r="U288" s="39" t="s">
        <v>46</v>
      </c>
      <c r="V288" s="39" t="s">
        <v>46</v>
      </c>
      <c r="W288" s="40" t="s">
        <v>0</v>
      </c>
      <c r="X288" s="58">
        <v>200</v>
      </c>
      <c r="Y288" s="55">
        <f t="shared" si="38"/>
        <v>201.6</v>
      </c>
      <c r="Z288" s="41">
        <f>IFERROR(IF(Y288=0,"",ROUNDUP(Y288/H288,0)*0.00651),"")</f>
        <v>0.54683999999999999</v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221.50000000000003</v>
      </c>
      <c r="BN288" s="78">
        <f t="shared" si="40"/>
        <v>223.27200000000002</v>
      </c>
      <c r="BO288" s="78">
        <f t="shared" si="41"/>
        <v>0.45787545787545797</v>
      </c>
      <c r="BP288" s="78">
        <f t="shared" si="42"/>
        <v>0.46153846153846156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715">
        <v>4680115888340</v>
      </c>
      <c r="E289" s="71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7"/>
      <c r="R289" s="717"/>
      <c r="S289" s="717"/>
      <c r="T289" s="71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723"/>
      <c r="B290" s="723"/>
      <c r="C290" s="723"/>
      <c r="D290" s="723"/>
      <c r="E290" s="723"/>
      <c r="F290" s="723"/>
      <c r="G290" s="723"/>
      <c r="H290" s="723"/>
      <c r="I290" s="723"/>
      <c r="J290" s="723"/>
      <c r="K290" s="723"/>
      <c r="L290" s="723"/>
      <c r="M290" s="723"/>
      <c r="N290" s="723"/>
      <c r="O290" s="724"/>
      <c r="P290" s="720" t="s">
        <v>40</v>
      </c>
      <c r="Q290" s="721"/>
      <c r="R290" s="721"/>
      <c r="S290" s="721"/>
      <c r="T290" s="721"/>
      <c r="U290" s="721"/>
      <c r="V290" s="722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369.51894423158797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373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2.9020899999999998</v>
      </c>
      <c r="AA290" s="67"/>
      <c r="AB290" s="67"/>
      <c r="AC290" s="67"/>
    </row>
    <row r="291" spans="1:68" x14ac:dyDescent="0.2">
      <c r="A291" s="723"/>
      <c r="B291" s="723"/>
      <c r="C291" s="723"/>
      <c r="D291" s="723"/>
      <c r="E291" s="723"/>
      <c r="F291" s="723"/>
      <c r="G291" s="723"/>
      <c r="H291" s="723"/>
      <c r="I291" s="723"/>
      <c r="J291" s="723"/>
      <c r="K291" s="723"/>
      <c r="L291" s="723"/>
      <c r="M291" s="723"/>
      <c r="N291" s="723"/>
      <c r="O291" s="724"/>
      <c r="P291" s="720" t="s">
        <v>40</v>
      </c>
      <c r="Q291" s="721"/>
      <c r="R291" s="721"/>
      <c r="S291" s="721"/>
      <c r="T291" s="721"/>
      <c r="U291" s="721"/>
      <c r="V291" s="722"/>
      <c r="W291" s="42" t="s">
        <v>0</v>
      </c>
      <c r="X291" s="43">
        <f>IFERROR(SUM(X278:X289),"0")</f>
        <v>1100</v>
      </c>
      <c r="Y291" s="43">
        <f>IFERROR(SUM(Y278:Y289),"0")</f>
        <v>1118.9999999999998</v>
      </c>
      <c r="Z291" s="42"/>
      <c r="AA291" s="67"/>
      <c r="AB291" s="67"/>
      <c r="AC291" s="67"/>
    </row>
    <row r="292" spans="1:68" ht="14.25" hidden="1" customHeight="1" x14ac:dyDescent="0.25">
      <c r="A292" s="714" t="s">
        <v>175</v>
      </c>
      <c r="B292" s="714"/>
      <c r="C292" s="714"/>
      <c r="D292" s="714"/>
      <c r="E292" s="714"/>
      <c r="F292" s="714"/>
      <c r="G292" s="714"/>
      <c r="H292" s="714"/>
      <c r="I292" s="714"/>
      <c r="J292" s="714"/>
      <c r="K292" s="714"/>
      <c r="L292" s="714"/>
      <c r="M292" s="714"/>
      <c r="N292" s="714"/>
      <c r="O292" s="714"/>
      <c r="P292" s="714"/>
      <c r="Q292" s="714"/>
      <c r="R292" s="714"/>
      <c r="S292" s="714"/>
      <c r="T292" s="714"/>
      <c r="U292" s="714"/>
      <c r="V292" s="714"/>
      <c r="W292" s="714"/>
      <c r="X292" s="714"/>
      <c r="Y292" s="714"/>
      <c r="Z292" s="714"/>
      <c r="AA292" s="66"/>
      <c r="AB292" s="66"/>
      <c r="AC292" s="80"/>
    </row>
    <row r="293" spans="1:68" ht="27" customHeight="1" x14ac:dyDescent="0.25">
      <c r="A293" s="63" t="s">
        <v>504</v>
      </c>
      <c r="B293" s="63" t="s">
        <v>505</v>
      </c>
      <c r="C293" s="36">
        <v>4301060463</v>
      </c>
      <c r="D293" s="715">
        <v>4680115880818</v>
      </c>
      <c r="E293" s="71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8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7"/>
      <c r="R293" s="717"/>
      <c r="S293" s="717"/>
      <c r="T293" s="718"/>
      <c r="U293" s="39" t="s">
        <v>46</v>
      </c>
      <c r="V293" s="39" t="s">
        <v>46</v>
      </c>
      <c r="W293" s="40" t="s">
        <v>0</v>
      </c>
      <c r="X293" s="58">
        <v>20</v>
      </c>
      <c r="Y293" s="55">
        <f>IFERROR(IF(X293="",0,CEILING((X293/$H293),1)*$H293),"")</f>
        <v>21.599999999999998</v>
      </c>
      <c r="Z293" s="41">
        <f>IFERROR(IF(Y293=0,"",ROUNDUP(Y293/H293,0)*0.00651),"")</f>
        <v>5.8590000000000003E-2</v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22.100000000000005</v>
      </c>
      <c r="BN293" s="78">
        <f>IFERROR(Y293*I293/H293,"0")</f>
        <v>23.868000000000002</v>
      </c>
      <c r="BO293" s="78">
        <f>IFERROR(1/J293*(X293/H293),"0")</f>
        <v>4.5787545787545791E-2</v>
      </c>
      <c r="BP293" s="78">
        <f>IFERROR(1/J293*(Y293/H293),"0")</f>
        <v>4.9450549450549455E-2</v>
      </c>
    </row>
    <row r="294" spans="1:68" ht="27" customHeight="1" x14ac:dyDescent="0.25">
      <c r="A294" s="63" t="s">
        <v>507</v>
      </c>
      <c r="B294" s="63" t="s">
        <v>508</v>
      </c>
      <c r="C294" s="36">
        <v>4301060389</v>
      </c>
      <c r="D294" s="715">
        <v>4680115880801</v>
      </c>
      <c r="E294" s="71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8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7"/>
      <c r="R294" s="717"/>
      <c r="S294" s="717"/>
      <c r="T294" s="718"/>
      <c r="U294" s="39" t="s">
        <v>46</v>
      </c>
      <c r="V294" s="39" t="s">
        <v>46</v>
      </c>
      <c r="W294" s="40" t="s">
        <v>0</v>
      </c>
      <c r="X294" s="58">
        <v>120</v>
      </c>
      <c r="Y294" s="55">
        <f>IFERROR(IF(X294="",0,CEILING((X294/$H294),1)*$H294),"")</f>
        <v>120</v>
      </c>
      <c r="Z294" s="41">
        <f>IFERROR(IF(Y294=0,"",ROUNDUP(Y294/H294,0)*0.00651),"")</f>
        <v>0.32550000000000001</v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132.60000000000002</v>
      </c>
      <c r="BN294" s="78">
        <f>IFERROR(Y294*I294/H294,"0")</f>
        <v>132.60000000000002</v>
      </c>
      <c r="BO294" s="78">
        <f>IFERROR(1/J294*(X294/H294),"0")</f>
        <v>0.27472527472527475</v>
      </c>
      <c r="BP294" s="78">
        <f>IFERROR(1/J294*(Y294/H294),"0")</f>
        <v>0.27472527472527475</v>
      </c>
    </row>
    <row r="295" spans="1:68" x14ac:dyDescent="0.2">
      <c r="A295" s="723"/>
      <c r="B295" s="723"/>
      <c r="C295" s="723"/>
      <c r="D295" s="723"/>
      <c r="E295" s="723"/>
      <c r="F295" s="723"/>
      <c r="G295" s="723"/>
      <c r="H295" s="723"/>
      <c r="I295" s="723"/>
      <c r="J295" s="723"/>
      <c r="K295" s="723"/>
      <c r="L295" s="723"/>
      <c r="M295" s="723"/>
      <c r="N295" s="723"/>
      <c r="O295" s="724"/>
      <c r="P295" s="720" t="s">
        <v>40</v>
      </c>
      <c r="Q295" s="721"/>
      <c r="R295" s="721"/>
      <c r="S295" s="721"/>
      <c r="T295" s="721"/>
      <c r="U295" s="721"/>
      <c r="V295" s="722"/>
      <c r="W295" s="42" t="s">
        <v>39</v>
      </c>
      <c r="X295" s="43">
        <f>IFERROR(X293/H293,"0")+IFERROR(X294/H294,"0")</f>
        <v>58.333333333333336</v>
      </c>
      <c r="Y295" s="43">
        <f>IFERROR(Y293/H293,"0")+IFERROR(Y294/H294,"0")</f>
        <v>59</v>
      </c>
      <c r="Z295" s="43">
        <f>IFERROR(IF(Z293="",0,Z293),"0")+IFERROR(IF(Z294="",0,Z294),"0")</f>
        <v>0.38409000000000004</v>
      </c>
      <c r="AA295" s="67"/>
      <c r="AB295" s="67"/>
      <c r="AC295" s="67"/>
    </row>
    <row r="296" spans="1:68" x14ac:dyDescent="0.2">
      <c r="A296" s="723"/>
      <c r="B296" s="723"/>
      <c r="C296" s="723"/>
      <c r="D296" s="723"/>
      <c r="E296" s="723"/>
      <c r="F296" s="723"/>
      <c r="G296" s="723"/>
      <c r="H296" s="723"/>
      <c r="I296" s="723"/>
      <c r="J296" s="723"/>
      <c r="K296" s="723"/>
      <c r="L296" s="723"/>
      <c r="M296" s="723"/>
      <c r="N296" s="723"/>
      <c r="O296" s="724"/>
      <c r="P296" s="720" t="s">
        <v>40</v>
      </c>
      <c r="Q296" s="721"/>
      <c r="R296" s="721"/>
      <c r="S296" s="721"/>
      <c r="T296" s="721"/>
      <c r="U296" s="721"/>
      <c r="V296" s="722"/>
      <c r="W296" s="42" t="s">
        <v>0</v>
      </c>
      <c r="X296" s="43">
        <f>IFERROR(SUM(X293:X294),"0")</f>
        <v>140</v>
      </c>
      <c r="Y296" s="43">
        <f>IFERROR(SUM(Y293:Y294),"0")</f>
        <v>141.6</v>
      </c>
      <c r="Z296" s="42"/>
      <c r="AA296" s="67"/>
      <c r="AB296" s="67"/>
      <c r="AC296" s="67"/>
    </row>
    <row r="297" spans="1:68" ht="16.5" hidden="1" customHeight="1" x14ac:dyDescent="0.25">
      <c r="A297" s="713" t="s">
        <v>510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5"/>
      <c r="AB297" s="65"/>
      <c r="AC297" s="79"/>
    </row>
    <row r="298" spans="1:68" ht="14.25" hidden="1" customHeight="1" x14ac:dyDescent="0.25">
      <c r="A298" s="714" t="s">
        <v>122</v>
      </c>
      <c r="B298" s="714"/>
      <c r="C298" s="714"/>
      <c r="D298" s="714"/>
      <c r="E298" s="714"/>
      <c r="F298" s="714"/>
      <c r="G298" s="714"/>
      <c r="H298" s="714"/>
      <c r="I298" s="714"/>
      <c r="J298" s="714"/>
      <c r="K298" s="714"/>
      <c r="L298" s="714"/>
      <c r="M298" s="714"/>
      <c r="N298" s="714"/>
      <c r="O298" s="714"/>
      <c r="P298" s="714"/>
      <c r="Q298" s="714"/>
      <c r="R298" s="714"/>
      <c r="S298" s="714"/>
      <c r="T298" s="714"/>
      <c r="U298" s="714"/>
      <c r="V298" s="714"/>
      <c r="W298" s="714"/>
      <c r="X298" s="714"/>
      <c r="Y298" s="714"/>
      <c r="Z298" s="714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715">
        <v>4680115884137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715">
        <v>4680115884236</v>
      </c>
      <c r="E300" s="71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7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715">
        <v>4680115884175</v>
      </c>
      <c r="E301" s="71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715">
        <v>4680115884144</v>
      </c>
      <c r="E302" s="71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715">
        <v>4680115886551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8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715">
        <v>4680115887282</v>
      </c>
      <c r="E304" s="71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8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7"/>
      <c r="R304" s="717"/>
      <c r="S304" s="717"/>
      <c r="T304" s="71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715">
        <v>4680115884205</v>
      </c>
      <c r="E305" s="71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7"/>
      <c r="R305" s="717"/>
      <c r="S305" s="717"/>
      <c r="T305" s="71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723"/>
      <c r="B306" s="723"/>
      <c r="C306" s="723"/>
      <c r="D306" s="723"/>
      <c r="E306" s="723"/>
      <c r="F306" s="723"/>
      <c r="G306" s="723"/>
      <c r="H306" s="723"/>
      <c r="I306" s="723"/>
      <c r="J306" s="723"/>
      <c r="K306" s="723"/>
      <c r="L306" s="723"/>
      <c r="M306" s="723"/>
      <c r="N306" s="723"/>
      <c r="O306" s="724"/>
      <c r="P306" s="720" t="s">
        <v>40</v>
      </c>
      <c r="Q306" s="721"/>
      <c r="R306" s="721"/>
      <c r="S306" s="721"/>
      <c r="T306" s="721"/>
      <c r="U306" s="721"/>
      <c r="V306" s="722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723"/>
      <c r="B307" s="723"/>
      <c r="C307" s="723"/>
      <c r="D307" s="723"/>
      <c r="E307" s="723"/>
      <c r="F307" s="723"/>
      <c r="G307" s="723"/>
      <c r="H307" s="723"/>
      <c r="I307" s="723"/>
      <c r="J307" s="723"/>
      <c r="K307" s="723"/>
      <c r="L307" s="723"/>
      <c r="M307" s="723"/>
      <c r="N307" s="723"/>
      <c r="O307" s="724"/>
      <c r="P307" s="720" t="s">
        <v>40</v>
      </c>
      <c r="Q307" s="721"/>
      <c r="R307" s="721"/>
      <c r="S307" s="721"/>
      <c r="T307" s="721"/>
      <c r="U307" s="721"/>
      <c r="V307" s="722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714" t="s">
        <v>158</v>
      </c>
      <c r="B308" s="714"/>
      <c r="C308" s="714"/>
      <c r="D308" s="714"/>
      <c r="E308" s="714"/>
      <c r="F308" s="714"/>
      <c r="G308" s="714"/>
      <c r="H308" s="714"/>
      <c r="I308" s="714"/>
      <c r="J308" s="714"/>
      <c r="K308" s="714"/>
      <c r="L308" s="714"/>
      <c r="M308" s="714"/>
      <c r="N308" s="714"/>
      <c r="O308" s="714"/>
      <c r="P308" s="714"/>
      <c r="Q308" s="714"/>
      <c r="R308" s="714"/>
      <c r="S308" s="714"/>
      <c r="T308" s="714"/>
      <c r="U308" s="714"/>
      <c r="V308" s="714"/>
      <c r="W308" s="714"/>
      <c r="X308" s="714"/>
      <c r="Y308" s="714"/>
      <c r="Z308" s="714"/>
      <c r="AA308" s="66"/>
      <c r="AB308" s="66"/>
      <c r="AC308" s="80"/>
    </row>
    <row r="309" spans="1:68" ht="27" customHeight="1" x14ac:dyDescent="0.25">
      <c r="A309" s="63" t="s">
        <v>529</v>
      </c>
      <c r="B309" s="63" t="s">
        <v>530</v>
      </c>
      <c r="C309" s="36">
        <v>4301020377</v>
      </c>
      <c r="D309" s="715">
        <v>4680115885981</v>
      </c>
      <c r="E309" s="71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8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7"/>
      <c r="R309" s="717"/>
      <c r="S309" s="717"/>
      <c r="T309" s="718"/>
      <c r="U309" s="39" t="s">
        <v>46</v>
      </c>
      <c r="V309" s="39" t="s">
        <v>46</v>
      </c>
      <c r="W309" s="40" t="s">
        <v>0</v>
      </c>
      <c r="X309" s="58">
        <v>33</v>
      </c>
      <c r="Y309" s="55">
        <f>IFERROR(IF(X309="",0,CEILING((X309/$H309),1)*$H309),"")</f>
        <v>33.659999999999997</v>
      </c>
      <c r="Z309" s="41">
        <f>IFERROR(IF(Y309=0,"",ROUNDUP(Y309/H309,0)*0.00502),"")</f>
        <v>8.5339999999999999E-2</v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34.666666666666664</v>
      </c>
      <c r="BN309" s="78">
        <f>IFERROR(Y309*I309/H309,"0")</f>
        <v>35.36</v>
      </c>
      <c r="BO309" s="78">
        <f>IFERROR(1/J309*(X309/H309),"0")</f>
        <v>7.122507122507124E-2</v>
      </c>
      <c r="BP309" s="78">
        <f>IFERROR(1/J309*(Y309/H309),"0")</f>
        <v>7.2649572649572655E-2</v>
      </c>
    </row>
    <row r="310" spans="1:68" x14ac:dyDescent="0.2">
      <c r="A310" s="723"/>
      <c r="B310" s="723"/>
      <c r="C310" s="723"/>
      <c r="D310" s="723"/>
      <c r="E310" s="723"/>
      <c r="F310" s="723"/>
      <c r="G310" s="723"/>
      <c r="H310" s="723"/>
      <c r="I310" s="723"/>
      <c r="J310" s="723"/>
      <c r="K310" s="723"/>
      <c r="L310" s="723"/>
      <c r="M310" s="723"/>
      <c r="N310" s="723"/>
      <c r="O310" s="724"/>
      <c r="P310" s="720" t="s">
        <v>40</v>
      </c>
      <c r="Q310" s="721"/>
      <c r="R310" s="721"/>
      <c r="S310" s="721"/>
      <c r="T310" s="721"/>
      <c r="U310" s="721"/>
      <c r="V310" s="722"/>
      <c r="W310" s="42" t="s">
        <v>39</v>
      </c>
      <c r="X310" s="43">
        <f>IFERROR(X309/H309,"0")</f>
        <v>16.666666666666668</v>
      </c>
      <c r="Y310" s="43">
        <f>IFERROR(Y309/H309,"0")</f>
        <v>17</v>
      </c>
      <c r="Z310" s="43">
        <f>IFERROR(IF(Z309="",0,Z309),"0")</f>
        <v>8.5339999999999999E-2</v>
      </c>
      <c r="AA310" s="67"/>
      <c r="AB310" s="67"/>
      <c r="AC310" s="67"/>
    </row>
    <row r="311" spans="1:68" x14ac:dyDescent="0.2">
      <c r="A311" s="723"/>
      <c r="B311" s="723"/>
      <c r="C311" s="723"/>
      <c r="D311" s="723"/>
      <c r="E311" s="723"/>
      <c r="F311" s="723"/>
      <c r="G311" s="723"/>
      <c r="H311" s="723"/>
      <c r="I311" s="723"/>
      <c r="J311" s="723"/>
      <c r="K311" s="723"/>
      <c r="L311" s="723"/>
      <c r="M311" s="723"/>
      <c r="N311" s="723"/>
      <c r="O311" s="724"/>
      <c r="P311" s="720" t="s">
        <v>40</v>
      </c>
      <c r="Q311" s="721"/>
      <c r="R311" s="721"/>
      <c r="S311" s="721"/>
      <c r="T311" s="721"/>
      <c r="U311" s="721"/>
      <c r="V311" s="722"/>
      <c r="W311" s="42" t="s">
        <v>0</v>
      </c>
      <c r="X311" s="43">
        <f>IFERROR(SUM(X309:X309),"0")</f>
        <v>33</v>
      </c>
      <c r="Y311" s="43">
        <f>IFERROR(SUM(Y309:Y309),"0")</f>
        <v>33.659999999999997</v>
      </c>
      <c r="Z311" s="42"/>
      <c r="AA311" s="67"/>
      <c r="AB311" s="67"/>
      <c r="AC311" s="67"/>
    </row>
    <row r="312" spans="1:68" ht="14.25" hidden="1" customHeight="1" x14ac:dyDescent="0.25">
      <c r="A312" s="714" t="s">
        <v>532</v>
      </c>
      <c r="B312" s="714"/>
      <c r="C312" s="714"/>
      <c r="D312" s="714"/>
      <c r="E312" s="714"/>
      <c r="F312" s="714"/>
      <c r="G312" s="714"/>
      <c r="H312" s="714"/>
      <c r="I312" s="714"/>
      <c r="J312" s="714"/>
      <c r="K312" s="714"/>
      <c r="L312" s="714"/>
      <c r="M312" s="714"/>
      <c r="N312" s="714"/>
      <c r="O312" s="714"/>
      <c r="P312" s="714"/>
      <c r="Q312" s="714"/>
      <c r="R312" s="714"/>
      <c r="S312" s="714"/>
      <c r="T312" s="714"/>
      <c r="U312" s="714"/>
      <c r="V312" s="714"/>
      <c r="W312" s="714"/>
      <c r="X312" s="714"/>
      <c r="Y312" s="714"/>
      <c r="Z312" s="714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715">
        <v>4680115886803</v>
      </c>
      <c r="E313" s="71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7"/>
      <c r="R313" s="717"/>
      <c r="S313" s="717"/>
      <c r="T313" s="71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723"/>
      <c r="B314" s="723"/>
      <c r="C314" s="723"/>
      <c r="D314" s="723"/>
      <c r="E314" s="723"/>
      <c r="F314" s="723"/>
      <c r="G314" s="723"/>
      <c r="H314" s="723"/>
      <c r="I314" s="723"/>
      <c r="J314" s="723"/>
      <c r="K314" s="723"/>
      <c r="L314" s="723"/>
      <c r="M314" s="723"/>
      <c r="N314" s="723"/>
      <c r="O314" s="724"/>
      <c r="P314" s="720" t="s">
        <v>40</v>
      </c>
      <c r="Q314" s="721"/>
      <c r="R314" s="721"/>
      <c r="S314" s="721"/>
      <c r="T314" s="721"/>
      <c r="U314" s="721"/>
      <c r="V314" s="722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723"/>
      <c r="B315" s="723"/>
      <c r="C315" s="723"/>
      <c r="D315" s="723"/>
      <c r="E315" s="723"/>
      <c r="F315" s="723"/>
      <c r="G315" s="723"/>
      <c r="H315" s="723"/>
      <c r="I315" s="723"/>
      <c r="J315" s="723"/>
      <c r="K315" s="723"/>
      <c r="L315" s="723"/>
      <c r="M315" s="723"/>
      <c r="N315" s="723"/>
      <c r="O315" s="724"/>
      <c r="P315" s="720" t="s">
        <v>40</v>
      </c>
      <c r="Q315" s="721"/>
      <c r="R315" s="721"/>
      <c r="S315" s="721"/>
      <c r="T315" s="721"/>
      <c r="U315" s="721"/>
      <c r="V315" s="722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714" t="s">
        <v>349</v>
      </c>
      <c r="B316" s="714"/>
      <c r="C316" s="714"/>
      <c r="D316" s="714"/>
      <c r="E316" s="714"/>
      <c r="F316" s="714"/>
      <c r="G316" s="714"/>
      <c r="H316" s="714"/>
      <c r="I316" s="714"/>
      <c r="J316" s="714"/>
      <c r="K316" s="714"/>
      <c r="L316" s="714"/>
      <c r="M316" s="714"/>
      <c r="N316" s="714"/>
      <c r="O316" s="714"/>
      <c r="P316" s="714"/>
      <c r="Q316" s="714"/>
      <c r="R316" s="714"/>
      <c r="S316" s="714"/>
      <c r="T316" s="714"/>
      <c r="U316" s="714"/>
      <c r="V316" s="714"/>
      <c r="W316" s="714"/>
      <c r="X316" s="714"/>
      <c r="Y316" s="714"/>
      <c r="Z316" s="714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715">
        <v>4680115886704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8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715">
        <v>4680115886681</v>
      </c>
      <c r="E318" s="71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715">
        <v>4680115886735</v>
      </c>
      <c r="E319" s="71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8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7"/>
      <c r="R319" s="717"/>
      <c r="S319" s="717"/>
      <c r="T319" s="71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723"/>
      <c r="B320" s="723"/>
      <c r="C320" s="723"/>
      <c r="D320" s="723"/>
      <c r="E320" s="723"/>
      <c r="F320" s="723"/>
      <c r="G320" s="723"/>
      <c r="H320" s="723"/>
      <c r="I320" s="723"/>
      <c r="J320" s="723"/>
      <c r="K320" s="723"/>
      <c r="L320" s="723"/>
      <c r="M320" s="723"/>
      <c r="N320" s="723"/>
      <c r="O320" s="724"/>
      <c r="P320" s="720" t="s">
        <v>40</v>
      </c>
      <c r="Q320" s="721"/>
      <c r="R320" s="721"/>
      <c r="S320" s="721"/>
      <c r="T320" s="721"/>
      <c r="U320" s="721"/>
      <c r="V320" s="722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723"/>
      <c r="B321" s="723"/>
      <c r="C321" s="723"/>
      <c r="D321" s="723"/>
      <c r="E321" s="723"/>
      <c r="F321" s="723"/>
      <c r="G321" s="723"/>
      <c r="H321" s="723"/>
      <c r="I321" s="723"/>
      <c r="J321" s="723"/>
      <c r="K321" s="723"/>
      <c r="L321" s="723"/>
      <c r="M321" s="723"/>
      <c r="N321" s="723"/>
      <c r="O321" s="724"/>
      <c r="P321" s="720" t="s">
        <v>40</v>
      </c>
      <c r="Q321" s="721"/>
      <c r="R321" s="721"/>
      <c r="S321" s="721"/>
      <c r="T321" s="721"/>
      <c r="U321" s="721"/>
      <c r="V321" s="722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713" t="s">
        <v>543</v>
      </c>
      <c r="B322" s="713"/>
      <c r="C322" s="713"/>
      <c r="D322" s="713"/>
      <c r="E322" s="713"/>
      <c r="F322" s="713"/>
      <c r="G322" s="713"/>
      <c r="H322" s="713"/>
      <c r="I322" s="713"/>
      <c r="J322" s="713"/>
      <c r="K322" s="713"/>
      <c r="L322" s="713"/>
      <c r="M322" s="713"/>
      <c r="N322" s="713"/>
      <c r="O322" s="713"/>
      <c r="P322" s="713"/>
      <c r="Q322" s="713"/>
      <c r="R322" s="713"/>
      <c r="S322" s="713"/>
      <c r="T322" s="713"/>
      <c r="U322" s="713"/>
      <c r="V322" s="713"/>
      <c r="W322" s="713"/>
      <c r="X322" s="713"/>
      <c r="Y322" s="713"/>
      <c r="Z322" s="713"/>
      <c r="AA322" s="65"/>
      <c r="AB322" s="65"/>
      <c r="AC322" s="79"/>
    </row>
    <row r="323" spans="1:68" ht="14.25" hidden="1" customHeight="1" x14ac:dyDescent="0.25">
      <c r="A323" s="714" t="s">
        <v>122</v>
      </c>
      <c r="B323" s="714"/>
      <c r="C323" s="714"/>
      <c r="D323" s="714"/>
      <c r="E323" s="714"/>
      <c r="F323" s="714"/>
      <c r="G323" s="714"/>
      <c r="H323" s="714"/>
      <c r="I323" s="714"/>
      <c r="J323" s="714"/>
      <c r="K323" s="714"/>
      <c r="L323" s="714"/>
      <c r="M323" s="714"/>
      <c r="N323" s="714"/>
      <c r="O323" s="714"/>
      <c r="P323" s="714"/>
      <c r="Q323" s="714"/>
      <c r="R323" s="714"/>
      <c r="S323" s="714"/>
      <c r="T323" s="714"/>
      <c r="U323" s="714"/>
      <c r="V323" s="714"/>
      <c r="W323" s="714"/>
      <c r="X323" s="714"/>
      <c r="Y323" s="714"/>
      <c r="Z323" s="714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715">
        <v>4680115885837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715">
        <v>4680115887237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715">
        <v>4680115885806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715">
        <v>4680115885844</v>
      </c>
      <c r="E327" s="71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715">
        <v>4680115885820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23"/>
      <c r="B329" s="723"/>
      <c r="C329" s="723"/>
      <c r="D329" s="723"/>
      <c r="E329" s="723"/>
      <c r="F329" s="723"/>
      <c r="G329" s="723"/>
      <c r="H329" s="723"/>
      <c r="I329" s="723"/>
      <c r="J329" s="723"/>
      <c r="K329" s="723"/>
      <c r="L329" s="723"/>
      <c r="M329" s="723"/>
      <c r="N329" s="723"/>
      <c r="O329" s="724"/>
      <c r="P329" s="720" t="s">
        <v>40</v>
      </c>
      <c r="Q329" s="721"/>
      <c r="R329" s="721"/>
      <c r="S329" s="721"/>
      <c r="T329" s="721"/>
      <c r="U329" s="721"/>
      <c r="V329" s="722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23"/>
      <c r="B330" s="723"/>
      <c r="C330" s="723"/>
      <c r="D330" s="723"/>
      <c r="E330" s="723"/>
      <c r="F330" s="723"/>
      <c r="G330" s="723"/>
      <c r="H330" s="723"/>
      <c r="I330" s="723"/>
      <c r="J330" s="723"/>
      <c r="K330" s="723"/>
      <c r="L330" s="723"/>
      <c r="M330" s="723"/>
      <c r="N330" s="723"/>
      <c r="O330" s="724"/>
      <c r="P330" s="720" t="s">
        <v>40</v>
      </c>
      <c r="Q330" s="721"/>
      <c r="R330" s="721"/>
      <c r="S330" s="721"/>
      <c r="T330" s="721"/>
      <c r="U330" s="721"/>
      <c r="V330" s="722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13" t="s">
        <v>559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5"/>
      <c r="AB331" s="65"/>
      <c r="AC331" s="79"/>
    </row>
    <row r="332" spans="1:68" ht="14.25" hidden="1" customHeight="1" x14ac:dyDescent="0.25">
      <c r="A332" s="714" t="s">
        <v>86</v>
      </c>
      <c r="B332" s="714"/>
      <c r="C332" s="714"/>
      <c r="D332" s="714"/>
      <c r="E332" s="714"/>
      <c r="F332" s="714"/>
      <c r="G332" s="714"/>
      <c r="H332" s="714"/>
      <c r="I332" s="714"/>
      <c r="J332" s="714"/>
      <c r="K332" s="714"/>
      <c r="L332" s="714"/>
      <c r="M332" s="714"/>
      <c r="N332" s="714"/>
      <c r="O332" s="714"/>
      <c r="P332" s="714"/>
      <c r="Q332" s="714"/>
      <c r="R332" s="714"/>
      <c r="S332" s="714"/>
      <c r="T332" s="714"/>
      <c r="U332" s="714"/>
      <c r="V332" s="714"/>
      <c r="W332" s="714"/>
      <c r="X332" s="714"/>
      <c r="Y332" s="714"/>
      <c r="Z332" s="714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715">
        <v>4680115886186</v>
      </c>
      <c r="E333" s="71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7"/>
      <c r="R333" s="717"/>
      <c r="S333" s="717"/>
      <c r="T333" s="71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563</v>
      </c>
      <c r="B334" s="63" t="s">
        <v>564</v>
      </c>
      <c r="C334" s="36">
        <v>4301051795</v>
      </c>
      <c r="D334" s="715">
        <v>4680115881228</v>
      </c>
      <c r="E334" s="71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40</v>
      </c>
      <c r="Y334" s="55">
        <f>IFERROR(IF(X334="",0,CEILING((X334/$H334),1)*$H334),"")</f>
        <v>40.799999999999997</v>
      </c>
      <c r="Z334" s="41">
        <f>IFERROR(IF(Y334=0,"",ROUNDUP(Y334/H334,0)*0.00651),"")</f>
        <v>0.11067</v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44.20000000000001</v>
      </c>
      <c r="BN334" s="78">
        <f>IFERROR(Y334*I334/H334,"0")</f>
        <v>45.084000000000003</v>
      </c>
      <c r="BO334" s="78">
        <f>IFERROR(1/J334*(X334/H334),"0")</f>
        <v>9.1575091575091583E-2</v>
      </c>
      <c r="BP334" s="78">
        <f>IFERROR(1/J334*(Y334/H334),"0")</f>
        <v>9.3406593406593408E-2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715">
        <v>4680115881211</v>
      </c>
      <c r="E335" s="71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320</v>
      </c>
      <c r="Y335" s="55">
        <f>IFERROR(IF(X335="",0,CEILING((X335/$H335),1)*$H335),"")</f>
        <v>321.59999999999997</v>
      </c>
      <c r="Z335" s="41">
        <f>IFERROR(IF(Y335=0,"",ROUNDUP(Y335/H335,0)*0.00651),"")</f>
        <v>0.87234</v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344</v>
      </c>
      <c r="BN335" s="78">
        <f>IFERROR(Y335*I335/H335,"0")</f>
        <v>345.71999999999997</v>
      </c>
      <c r="BO335" s="78">
        <f>IFERROR(1/J335*(X335/H335),"0")</f>
        <v>0.73260073260073266</v>
      </c>
      <c r="BP335" s="78">
        <f>IFERROR(1/J335*(Y335/H335),"0")</f>
        <v>0.73626373626373631</v>
      </c>
    </row>
    <row r="336" spans="1:68" x14ac:dyDescent="0.2">
      <c r="A336" s="723"/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4"/>
      <c r="P336" s="720" t="s">
        <v>40</v>
      </c>
      <c r="Q336" s="721"/>
      <c r="R336" s="721"/>
      <c r="S336" s="721"/>
      <c r="T336" s="721"/>
      <c r="U336" s="721"/>
      <c r="V336" s="722"/>
      <c r="W336" s="42" t="s">
        <v>39</v>
      </c>
      <c r="X336" s="43">
        <f>IFERROR(X333/H333,"0")+IFERROR(X334/H334,"0")+IFERROR(X335/H335,"0")</f>
        <v>150</v>
      </c>
      <c r="Y336" s="43">
        <f>IFERROR(Y333/H333,"0")+IFERROR(Y334/H334,"0")+IFERROR(Y335/H335,"0")</f>
        <v>151</v>
      </c>
      <c r="Z336" s="43">
        <f>IFERROR(IF(Z333="",0,Z333),"0")+IFERROR(IF(Z334="",0,Z334),"0")+IFERROR(IF(Z335="",0,Z335),"0")</f>
        <v>0.98301000000000005</v>
      </c>
      <c r="AA336" s="67"/>
      <c r="AB336" s="67"/>
      <c r="AC336" s="67"/>
    </row>
    <row r="337" spans="1:68" x14ac:dyDescent="0.2">
      <c r="A337" s="723"/>
      <c r="B337" s="723"/>
      <c r="C337" s="723"/>
      <c r="D337" s="723"/>
      <c r="E337" s="723"/>
      <c r="F337" s="723"/>
      <c r="G337" s="723"/>
      <c r="H337" s="723"/>
      <c r="I337" s="723"/>
      <c r="J337" s="723"/>
      <c r="K337" s="723"/>
      <c r="L337" s="723"/>
      <c r="M337" s="723"/>
      <c r="N337" s="723"/>
      <c r="O337" s="724"/>
      <c r="P337" s="720" t="s">
        <v>40</v>
      </c>
      <c r="Q337" s="721"/>
      <c r="R337" s="721"/>
      <c r="S337" s="721"/>
      <c r="T337" s="721"/>
      <c r="U337" s="721"/>
      <c r="V337" s="722"/>
      <c r="W337" s="42" t="s">
        <v>0</v>
      </c>
      <c r="X337" s="43">
        <f>IFERROR(SUM(X333:X335),"0")</f>
        <v>360</v>
      </c>
      <c r="Y337" s="43">
        <f>IFERROR(SUM(Y333:Y335),"0")</f>
        <v>362.4</v>
      </c>
      <c r="Z337" s="42"/>
      <c r="AA337" s="67"/>
      <c r="AB337" s="67"/>
      <c r="AC337" s="67"/>
    </row>
    <row r="338" spans="1:68" ht="16.5" hidden="1" customHeight="1" x14ac:dyDescent="0.25">
      <c r="A338" s="713" t="s">
        <v>568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5"/>
      <c r="AB338" s="65"/>
      <c r="AC338" s="79"/>
    </row>
    <row r="339" spans="1:68" ht="14.25" hidden="1" customHeight="1" x14ac:dyDescent="0.25">
      <c r="A339" s="714" t="s">
        <v>77</v>
      </c>
      <c r="B339" s="714"/>
      <c r="C339" s="714"/>
      <c r="D339" s="714"/>
      <c r="E339" s="714"/>
      <c r="F339" s="714"/>
      <c r="G339" s="714"/>
      <c r="H339" s="714"/>
      <c r="I339" s="714"/>
      <c r="J339" s="714"/>
      <c r="K339" s="714"/>
      <c r="L339" s="714"/>
      <c r="M339" s="714"/>
      <c r="N339" s="714"/>
      <c r="O339" s="714"/>
      <c r="P339" s="714"/>
      <c r="Q339" s="714"/>
      <c r="R339" s="714"/>
      <c r="S339" s="714"/>
      <c r="T339" s="714"/>
      <c r="U339" s="714"/>
      <c r="V339" s="714"/>
      <c r="W339" s="714"/>
      <c r="X339" s="714"/>
      <c r="Y339" s="714"/>
      <c r="Z339" s="714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715">
        <v>4680115888319</v>
      </c>
      <c r="E340" s="71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7"/>
      <c r="R340" s="717"/>
      <c r="S340" s="717"/>
      <c r="T340" s="71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715">
        <v>4680115884700</v>
      </c>
      <c r="E341" s="71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715">
        <v>4680115880344</v>
      </c>
      <c r="E342" s="71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715">
        <v>4680115886919</v>
      </c>
      <c r="E343" s="71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715">
        <v>4680115883970</v>
      </c>
      <c r="E344" s="71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3"/>
      <c r="B345" s="723"/>
      <c r="C345" s="723"/>
      <c r="D345" s="723"/>
      <c r="E345" s="723"/>
      <c r="F345" s="723"/>
      <c r="G345" s="723"/>
      <c r="H345" s="723"/>
      <c r="I345" s="723"/>
      <c r="J345" s="723"/>
      <c r="K345" s="723"/>
      <c r="L345" s="723"/>
      <c r="M345" s="723"/>
      <c r="N345" s="723"/>
      <c r="O345" s="724"/>
      <c r="P345" s="720" t="s">
        <v>40</v>
      </c>
      <c r="Q345" s="721"/>
      <c r="R345" s="721"/>
      <c r="S345" s="721"/>
      <c r="T345" s="721"/>
      <c r="U345" s="721"/>
      <c r="V345" s="722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3"/>
      <c r="B346" s="723"/>
      <c r="C346" s="723"/>
      <c r="D346" s="723"/>
      <c r="E346" s="723"/>
      <c r="F346" s="723"/>
      <c r="G346" s="723"/>
      <c r="H346" s="723"/>
      <c r="I346" s="723"/>
      <c r="J346" s="723"/>
      <c r="K346" s="723"/>
      <c r="L346" s="723"/>
      <c r="M346" s="723"/>
      <c r="N346" s="723"/>
      <c r="O346" s="724"/>
      <c r="P346" s="720" t="s">
        <v>40</v>
      </c>
      <c r="Q346" s="721"/>
      <c r="R346" s="721"/>
      <c r="S346" s="721"/>
      <c r="T346" s="721"/>
      <c r="U346" s="721"/>
      <c r="V346" s="722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4" t="s">
        <v>86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23"/>
      <c r="B350" s="723"/>
      <c r="C350" s="723"/>
      <c r="D350" s="723"/>
      <c r="E350" s="723"/>
      <c r="F350" s="723"/>
      <c r="G350" s="723"/>
      <c r="H350" s="723"/>
      <c r="I350" s="723"/>
      <c r="J350" s="723"/>
      <c r="K350" s="723"/>
      <c r="L350" s="723"/>
      <c r="M350" s="723"/>
      <c r="N350" s="723"/>
      <c r="O350" s="724"/>
      <c r="P350" s="720" t="s">
        <v>40</v>
      </c>
      <c r="Q350" s="721"/>
      <c r="R350" s="721"/>
      <c r="S350" s="721"/>
      <c r="T350" s="721"/>
      <c r="U350" s="721"/>
      <c r="V350" s="722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723"/>
      <c r="B351" s="723"/>
      <c r="C351" s="723"/>
      <c r="D351" s="723"/>
      <c r="E351" s="723"/>
      <c r="F351" s="723"/>
      <c r="G351" s="723"/>
      <c r="H351" s="723"/>
      <c r="I351" s="723"/>
      <c r="J351" s="723"/>
      <c r="K351" s="723"/>
      <c r="L351" s="723"/>
      <c r="M351" s="723"/>
      <c r="N351" s="723"/>
      <c r="O351" s="724"/>
      <c r="P351" s="720" t="s">
        <v>40</v>
      </c>
      <c r="Q351" s="721"/>
      <c r="R351" s="721"/>
      <c r="S351" s="721"/>
      <c r="T351" s="721"/>
      <c r="U351" s="721"/>
      <c r="V351" s="722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713" t="s">
        <v>589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5"/>
      <c r="AB352" s="65"/>
      <c r="AC352" s="79"/>
    </row>
    <row r="353" spans="1:68" ht="14.25" hidden="1" customHeight="1" x14ac:dyDescent="0.25">
      <c r="A353" s="714" t="s">
        <v>122</v>
      </c>
      <c r="B353" s="714"/>
      <c r="C353" s="714"/>
      <c r="D353" s="714"/>
      <c r="E353" s="714"/>
      <c r="F353" s="714"/>
      <c r="G353" s="714"/>
      <c r="H353" s="714"/>
      <c r="I353" s="714"/>
      <c r="J353" s="714"/>
      <c r="K353" s="714"/>
      <c r="L353" s="714"/>
      <c r="M353" s="714"/>
      <c r="N353" s="714"/>
      <c r="O353" s="714"/>
      <c r="P353" s="714"/>
      <c r="Q353" s="714"/>
      <c r="R353" s="714"/>
      <c r="S353" s="714"/>
      <c r="T353" s="714"/>
      <c r="U353" s="714"/>
      <c r="V353" s="714"/>
      <c r="W353" s="714"/>
      <c r="X353" s="714"/>
      <c r="Y353" s="714"/>
      <c r="Z353" s="714"/>
      <c r="AA353" s="66"/>
      <c r="AB353" s="66"/>
      <c r="AC353" s="80"/>
    </row>
    <row r="354" spans="1:68" ht="27" customHeight="1" x14ac:dyDescent="0.25">
      <c r="A354" s="63" t="s">
        <v>590</v>
      </c>
      <c r="B354" s="63" t="s">
        <v>591</v>
      </c>
      <c r="C354" s="36">
        <v>4301012324</v>
      </c>
      <c r="D354" s="715">
        <v>4680115887947</v>
      </c>
      <c r="E354" s="71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7"/>
      <c r="R354" s="717"/>
      <c r="S354" s="717"/>
      <c r="T354" s="718"/>
      <c r="U354" s="39" t="s">
        <v>46</v>
      </c>
      <c r="V354" s="39" t="s">
        <v>46</v>
      </c>
      <c r="W354" s="40" t="s">
        <v>0</v>
      </c>
      <c r="X354" s="58">
        <v>150</v>
      </c>
      <c r="Y354" s="55">
        <f>IFERROR(IF(X354="",0,CEILING((X354/$H354),1)*$H354),"")</f>
        <v>156</v>
      </c>
      <c r="Z354" s="41">
        <f>IFERROR(IF(Y354=0,"",ROUNDUP(Y354/H354,0)*0.01898),"")</f>
        <v>0.37959999999999999</v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157.88461538461542</v>
      </c>
      <c r="BN354" s="78">
        <f>IFERROR(Y354*I354/H354,"0")</f>
        <v>164.20000000000005</v>
      </c>
      <c r="BO354" s="78">
        <f>IFERROR(1/J354*(X354/H354),"0")</f>
        <v>0.30048076923076922</v>
      </c>
      <c r="BP354" s="78">
        <f>IFERROR(1/J354*(Y354/H354),"0")</f>
        <v>0.3125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715">
        <v>4680115887978</v>
      </c>
      <c r="E355" s="71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150</v>
      </c>
      <c r="Y355" s="55">
        <f>IFERROR(IF(X355="",0,CEILING((X355/$H355),1)*$H355),"")</f>
        <v>156</v>
      </c>
      <c r="Z355" s="41">
        <f>IFERROR(IF(Y355=0,"",ROUNDUP(Y355/H355,0)*0.01898),"")</f>
        <v>0.37959999999999999</v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157.88461538461542</v>
      </c>
      <c r="BN355" s="78">
        <f>IFERROR(Y355*I355/H355,"0")</f>
        <v>164.20000000000005</v>
      </c>
      <c r="BO355" s="78">
        <f>IFERROR(1/J355*(X355/H355),"0")</f>
        <v>0.30048076923076922</v>
      </c>
      <c r="BP355" s="78">
        <f>IFERROR(1/J355*(Y355/H355),"0")</f>
        <v>0.3125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715">
        <v>4680115887992</v>
      </c>
      <c r="E356" s="71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7"/>
      <c r="R356" s="717"/>
      <c r="S356" s="717"/>
      <c r="T356" s="718"/>
      <c r="U356" s="39" t="s">
        <v>46</v>
      </c>
      <c r="V356" s="39" t="s">
        <v>46</v>
      </c>
      <c r="W356" s="40" t="s">
        <v>0</v>
      </c>
      <c r="X356" s="58">
        <v>50</v>
      </c>
      <c r="Y356" s="55">
        <f>IFERROR(IF(X356="",0,CEILING((X356/$H356),1)*$H356),"")</f>
        <v>54.6</v>
      </c>
      <c r="Z356" s="41">
        <f>IFERROR(IF(Y356=0,"",ROUNDUP(Y356/H356,0)*0.01898),"")</f>
        <v>0.13286000000000001</v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52.628205128205138</v>
      </c>
      <c r="BN356" s="78">
        <f>IFERROR(Y356*I356/H356,"0")</f>
        <v>57.470000000000013</v>
      </c>
      <c r="BO356" s="78">
        <f>IFERROR(1/J356*(X356/H356),"0")</f>
        <v>0.10016025641025642</v>
      </c>
      <c r="BP356" s="78">
        <f>IFERROR(1/J356*(Y356/H356),"0")</f>
        <v>0.109375</v>
      </c>
    </row>
    <row r="357" spans="1:68" x14ac:dyDescent="0.2">
      <c r="A357" s="723"/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4"/>
      <c r="P357" s="720" t="s">
        <v>40</v>
      </c>
      <c r="Q357" s="721"/>
      <c r="R357" s="721"/>
      <c r="S357" s="721"/>
      <c r="T357" s="721"/>
      <c r="U357" s="721"/>
      <c r="V357" s="722"/>
      <c r="W357" s="42" t="s">
        <v>39</v>
      </c>
      <c r="X357" s="43">
        <f>IFERROR(X354/H354,"0")+IFERROR(X355/H355,"0")+IFERROR(X356/H356,"0")</f>
        <v>44.871794871794869</v>
      </c>
      <c r="Y357" s="43">
        <f>IFERROR(Y354/H354,"0")+IFERROR(Y355/H355,"0")+IFERROR(Y356/H356,"0")</f>
        <v>47</v>
      </c>
      <c r="Z357" s="43">
        <f>IFERROR(IF(Z354="",0,Z354),"0")+IFERROR(IF(Z355="",0,Z355),"0")+IFERROR(IF(Z356="",0,Z356),"0")</f>
        <v>0.89205999999999996</v>
      </c>
      <c r="AA357" s="67"/>
      <c r="AB357" s="67"/>
      <c r="AC357" s="67"/>
    </row>
    <row r="358" spans="1:68" x14ac:dyDescent="0.2">
      <c r="A358" s="723"/>
      <c r="B358" s="723"/>
      <c r="C358" s="723"/>
      <c r="D358" s="723"/>
      <c r="E358" s="723"/>
      <c r="F358" s="723"/>
      <c r="G358" s="723"/>
      <c r="H358" s="723"/>
      <c r="I358" s="723"/>
      <c r="J358" s="723"/>
      <c r="K358" s="723"/>
      <c r="L358" s="723"/>
      <c r="M358" s="723"/>
      <c r="N358" s="723"/>
      <c r="O358" s="724"/>
      <c r="P358" s="720" t="s">
        <v>40</v>
      </c>
      <c r="Q358" s="721"/>
      <c r="R358" s="721"/>
      <c r="S358" s="721"/>
      <c r="T358" s="721"/>
      <c r="U358" s="721"/>
      <c r="V358" s="722"/>
      <c r="W358" s="42" t="s">
        <v>0</v>
      </c>
      <c r="X358" s="43">
        <f>IFERROR(SUM(X354:X356),"0")</f>
        <v>350</v>
      </c>
      <c r="Y358" s="43">
        <f>IFERROR(SUM(Y354:Y356),"0")</f>
        <v>366.6</v>
      </c>
      <c r="Z358" s="42"/>
      <c r="AA358" s="67"/>
      <c r="AB358" s="67"/>
      <c r="AC358" s="67"/>
    </row>
    <row r="359" spans="1:68" ht="16.5" hidden="1" customHeight="1" x14ac:dyDescent="0.25">
      <c r="A359" s="713" t="s">
        <v>598</v>
      </c>
      <c r="B359" s="713"/>
      <c r="C359" s="713"/>
      <c r="D359" s="713"/>
      <c r="E359" s="713"/>
      <c r="F359" s="713"/>
      <c r="G359" s="713"/>
      <c r="H359" s="713"/>
      <c r="I359" s="713"/>
      <c r="J359" s="713"/>
      <c r="K359" s="713"/>
      <c r="L359" s="713"/>
      <c r="M359" s="713"/>
      <c r="N359" s="713"/>
      <c r="O359" s="713"/>
      <c r="P359" s="713"/>
      <c r="Q359" s="713"/>
      <c r="R359" s="713"/>
      <c r="S359" s="713"/>
      <c r="T359" s="713"/>
      <c r="U359" s="713"/>
      <c r="V359" s="713"/>
      <c r="W359" s="713"/>
      <c r="X359" s="713"/>
      <c r="Y359" s="713"/>
      <c r="Z359" s="713"/>
      <c r="AA359" s="65"/>
      <c r="AB359" s="65"/>
      <c r="AC359" s="79"/>
    </row>
    <row r="360" spans="1:68" ht="14.25" hidden="1" customHeight="1" x14ac:dyDescent="0.25">
      <c r="A360" s="714" t="s">
        <v>122</v>
      </c>
      <c r="B360" s="714"/>
      <c r="C360" s="714"/>
      <c r="D360" s="714"/>
      <c r="E360" s="714"/>
      <c r="F360" s="714"/>
      <c r="G360" s="714"/>
      <c r="H360" s="714"/>
      <c r="I360" s="714"/>
      <c r="J360" s="714"/>
      <c r="K360" s="714"/>
      <c r="L360" s="714"/>
      <c r="M360" s="714"/>
      <c r="N360" s="714"/>
      <c r="O360" s="714"/>
      <c r="P360" s="714"/>
      <c r="Q360" s="714"/>
      <c r="R360" s="714"/>
      <c r="S360" s="714"/>
      <c r="T360" s="714"/>
      <c r="U360" s="714"/>
      <c r="V360" s="714"/>
      <c r="W360" s="714"/>
      <c r="X360" s="714"/>
      <c r="Y360" s="714"/>
      <c r="Z360" s="714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715">
        <v>4607091386004</v>
      </c>
      <c r="E361" s="71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0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717"/>
      <c r="R361" s="717"/>
      <c r="S361" s="717"/>
      <c r="T361" s="718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715">
        <v>4680115887190</v>
      </c>
      <c r="E362" s="71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717"/>
      <c r="R362" s="717"/>
      <c r="S362" s="717"/>
      <c r="T362" s="718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715">
        <v>4680115887138</v>
      </c>
      <c r="E363" s="71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717"/>
      <c r="R363" s="717"/>
      <c r="S363" s="717"/>
      <c r="T363" s="718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715">
        <v>4680115885554</v>
      </c>
      <c r="E364" s="715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91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715">
        <v>4680115887220</v>
      </c>
      <c r="E365" s="71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715">
        <v>4680115885608</v>
      </c>
      <c r="E366" s="715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91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723"/>
      <c r="B367" s="723"/>
      <c r="C367" s="723"/>
      <c r="D367" s="723"/>
      <c r="E367" s="723"/>
      <c r="F367" s="723"/>
      <c r="G367" s="723"/>
      <c r="H367" s="723"/>
      <c r="I367" s="723"/>
      <c r="J367" s="723"/>
      <c r="K367" s="723"/>
      <c r="L367" s="723"/>
      <c r="M367" s="723"/>
      <c r="N367" s="723"/>
      <c r="O367" s="724"/>
      <c r="P367" s="720" t="s">
        <v>40</v>
      </c>
      <c r="Q367" s="721"/>
      <c r="R367" s="721"/>
      <c r="S367" s="721"/>
      <c r="T367" s="721"/>
      <c r="U367" s="721"/>
      <c r="V367" s="722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723"/>
      <c r="B368" s="723"/>
      <c r="C368" s="723"/>
      <c r="D368" s="723"/>
      <c r="E368" s="723"/>
      <c r="F368" s="723"/>
      <c r="G368" s="723"/>
      <c r="H368" s="723"/>
      <c r="I368" s="723"/>
      <c r="J368" s="723"/>
      <c r="K368" s="723"/>
      <c r="L368" s="723"/>
      <c r="M368" s="723"/>
      <c r="N368" s="723"/>
      <c r="O368" s="724"/>
      <c r="P368" s="720" t="s">
        <v>40</v>
      </c>
      <c r="Q368" s="721"/>
      <c r="R368" s="721"/>
      <c r="S368" s="721"/>
      <c r="T368" s="721"/>
      <c r="U368" s="721"/>
      <c r="V368" s="722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714" t="s">
        <v>77</v>
      </c>
      <c r="B369" s="714"/>
      <c r="C369" s="714"/>
      <c r="D369" s="714"/>
      <c r="E369" s="714"/>
      <c r="F369" s="714"/>
      <c r="G369" s="714"/>
      <c r="H369" s="714"/>
      <c r="I369" s="714"/>
      <c r="J369" s="714"/>
      <c r="K369" s="714"/>
      <c r="L369" s="714"/>
      <c r="M369" s="714"/>
      <c r="N369" s="714"/>
      <c r="O369" s="714"/>
      <c r="P369" s="714"/>
      <c r="Q369" s="714"/>
      <c r="R369" s="714"/>
      <c r="S369" s="714"/>
      <c r="T369" s="714"/>
      <c r="U369" s="714"/>
      <c r="V369" s="714"/>
      <c r="W369" s="714"/>
      <c r="X369" s="714"/>
      <c r="Y369" s="714"/>
      <c r="Z369" s="714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715">
        <v>4607091387193</v>
      </c>
      <c r="E370" s="71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9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717"/>
      <c r="R370" s="717"/>
      <c r="S370" s="717"/>
      <c r="T370" s="71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715">
        <v>4607091387230</v>
      </c>
      <c r="E371" s="715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9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715">
        <v>4607091387292</v>
      </c>
      <c r="E372" s="715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91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715">
        <v>4607091387285</v>
      </c>
      <c r="E373" s="715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4301031305</v>
      </c>
      <c r="D374" s="715">
        <v>4607091389845</v>
      </c>
      <c r="E374" s="715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91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210</v>
      </c>
      <c r="Y374" s="55">
        <f t="shared" si="53"/>
        <v>210</v>
      </c>
      <c r="Z374" s="41">
        <f>IFERROR(IF(Y374=0,"",ROUNDUP(Y374/H374,0)*0.00502),"")</f>
        <v>0.502</v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220.00000000000003</v>
      </c>
      <c r="BN374" s="78">
        <f t="shared" si="55"/>
        <v>220.00000000000003</v>
      </c>
      <c r="BO374" s="78">
        <f t="shared" si="56"/>
        <v>0.42735042735042739</v>
      </c>
      <c r="BP374" s="78">
        <f t="shared" si="57"/>
        <v>0.42735042735042739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715">
        <v>4680115887442</v>
      </c>
      <c r="E375" s="715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91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4301031066</v>
      </c>
      <c r="D376" s="715">
        <v>4607091383836</v>
      </c>
      <c r="E376" s="715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9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30</v>
      </c>
      <c r="Y376" s="55">
        <f t="shared" si="53"/>
        <v>30.6</v>
      </c>
      <c r="Z376" s="41">
        <f>IFERROR(IF(Y376=0,"",ROUNDUP(Y376/H376,0)*0.00651),"")</f>
        <v>0.11067</v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33.800000000000004</v>
      </c>
      <c r="BN376" s="78">
        <f t="shared" si="55"/>
        <v>34.475999999999999</v>
      </c>
      <c r="BO376" s="78">
        <f t="shared" si="56"/>
        <v>9.1575091575091583E-2</v>
      </c>
      <c r="BP376" s="78">
        <f t="shared" si="57"/>
        <v>9.3406593406593408E-2</v>
      </c>
    </row>
    <row r="377" spans="1:68" x14ac:dyDescent="0.2">
      <c r="A377" s="723"/>
      <c r="B377" s="723"/>
      <c r="C377" s="723"/>
      <c r="D377" s="723"/>
      <c r="E377" s="723"/>
      <c r="F377" s="723"/>
      <c r="G377" s="723"/>
      <c r="H377" s="723"/>
      <c r="I377" s="723"/>
      <c r="J377" s="723"/>
      <c r="K377" s="723"/>
      <c r="L377" s="723"/>
      <c r="M377" s="723"/>
      <c r="N377" s="723"/>
      <c r="O377" s="724"/>
      <c r="P377" s="720" t="s">
        <v>40</v>
      </c>
      <c r="Q377" s="721"/>
      <c r="R377" s="721"/>
      <c r="S377" s="721"/>
      <c r="T377" s="721"/>
      <c r="U377" s="721"/>
      <c r="V377" s="722"/>
      <c r="W377" s="42" t="s">
        <v>39</v>
      </c>
      <c r="X377" s="43">
        <f>IFERROR(X370/H370,"0")+IFERROR(X371/H371,"0")+IFERROR(X372/H372,"0")+IFERROR(X373/H373,"0")+IFERROR(X374/H374,"0")+IFERROR(X375/H375,"0")+IFERROR(X376/H376,"0")</f>
        <v>116.66666666666667</v>
      </c>
      <c r="Y377" s="43">
        <f>IFERROR(Y370/H370,"0")+IFERROR(Y371/H371,"0")+IFERROR(Y372/H372,"0")+IFERROR(Y373/H373,"0")+IFERROR(Y374/H374,"0")+IFERROR(Y375/H375,"0")+IFERROR(Y376/H376,"0")</f>
        <v>117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0.61267000000000005</v>
      </c>
      <c r="AA377" s="67"/>
      <c r="AB377" s="67"/>
      <c r="AC377" s="67"/>
    </row>
    <row r="378" spans="1:68" x14ac:dyDescent="0.2">
      <c r="A378" s="723"/>
      <c r="B378" s="723"/>
      <c r="C378" s="723"/>
      <c r="D378" s="723"/>
      <c r="E378" s="723"/>
      <c r="F378" s="723"/>
      <c r="G378" s="723"/>
      <c r="H378" s="723"/>
      <c r="I378" s="723"/>
      <c r="J378" s="723"/>
      <c r="K378" s="723"/>
      <c r="L378" s="723"/>
      <c r="M378" s="723"/>
      <c r="N378" s="723"/>
      <c r="O378" s="724"/>
      <c r="P378" s="720" t="s">
        <v>40</v>
      </c>
      <c r="Q378" s="721"/>
      <c r="R378" s="721"/>
      <c r="S378" s="721"/>
      <c r="T378" s="721"/>
      <c r="U378" s="721"/>
      <c r="V378" s="722"/>
      <c r="W378" s="42" t="s">
        <v>0</v>
      </c>
      <c r="X378" s="43">
        <f>IFERROR(SUM(X370:X376),"0")</f>
        <v>240</v>
      </c>
      <c r="Y378" s="43">
        <f>IFERROR(SUM(Y370:Y376),"0")</f>
        <v>240.6</v>
      </c>
      <c r="Z378" s="42"/>
      <c r="AA378" s="67"/>
      <c r="AB378" s="67"/>
      <c r="AC378" s="67"/>
    </row>
    <row r="379" spans="1:68" ht="14.25" hidden="1" customHeight="1" x14ac:dyDescent="0.25">
      <c r="A379" s="714" t="s">
        <v>86</v>
      </c>
      <c r="B379" s="714"/>
      <c r="C379" s="714"/>
      <c r="D379" s="714"/>
      <c r="E379" s="714"/>
      <c r="F379" s="714"/>
      <c r="G379" s="714"/>
      <c r="H379" s="714"/>
      <c r="I379" s="714"/>
      <c r="J379" s="714"/>
      <c r="K379" s="714"/>
      <c r="L379" s="714"/>
      <c r="M379" s="714"/>
      <c r="N379" s="714"/>
      <c r="O379" s="714"/>
      <c r="P379" s="714"/>
      <c r="Q379" s="714"/>
      <c r="R379" s="714"/>
      <c r="S379" s="714"/>
      <c r="T379" s="714"/>
      <c r="U379" s="714"/>
      <c r="V379" s="714"/>
      <c r="W379" s="714"/>
      <c r="X379" s="714"/>
      <c r="Y379" s="714"/>
      <c r="Z379" s="714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715">
        <v>4607091387766</v>
      </c>
      <c r="E380" s="715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717"/>
      <c r="R380" s="717"/>
      <c r="S380" s="717"/>
      <c r="T380" s="71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715">
        <v>4607091387957</v>
      </c>
      <c r="E381" s="715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715">
        <v>4607091387964</v>
      </c>
      <c r="E382" s="715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715">
        <v>4680115884588</v>
      </c>
      <c r="E383" s="715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9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723"/>
      <c r="B384" s="723"/>
      <c r="C384" s="723"/>
      <c r="D384" s="723"/>
      <c r="E384" s="723"/>
      <c r="F384" s="723"/>
      <c r="G384" s="723"/>
      <c r="H384" s="723"/>
      <c r="I384" s="723"/>
      <c r="J384" s="723"/>
      <c r="K384" s="723"/>
      <c r="L384" s="723"/>
      <c r="M384" s="723"/>
      <c r="N384" s="723"/>
      <c r="O384" s="724"/>
      <c r="P384" s="720" t="s">
        <v>40</v>
      </c>
      <c r="Q384" s="721"/>
      <c r="R384" s="721"/>
      <c r="S384" s="721"/>
      <c r="T384" s="721"/>
      <c r="U384" s="721"/>
      <c r="V384" s="722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723"/>
      <c r="B385" s="723"/>
      <c r="C385" s="723"/>
      <c r="D385" s="723"/>
      <c r="E385" s="723"/>
      <c r="F385" s="723"/>
      <c r="G385" s="723"/>
      <c r="H385" s="723"/>
      <c r="I385" s="723"/>
      <c r="J385" s="723"/>
      <c r="K385" s="723"/>
      <c r="L385" s="723"/>
      <c r="M385" s="723"/>
      <c r="N385" s="723"/>
      <c r="O385" s="724"/>
      <c r="P385" s="720" t="s">
        <v>40</v>
      </c>
      <c r="Q385" s="721"/>
      <c r="R385" s="721"/>
      <c r="S385" s="721"/>
      <c r="T385" s="721"/>
      <c r="U385" s="721"/>
      <c r="V385" s="722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714" t="s">
        <v>175</v>
      </c>
      <c r="B386" s="714"/>
      <c r="C386" s="714"/>
      <c r="D386" s="714"/>
      <c r="E386" s="714"/>
      <c r="F386" s="714"/>
      <c r="G386" s="714"/>
      <c r="H386" s="714"/>
      <c r="I386" s="714"/>
      <c r="J386" s="714"/>
      <c r="K386" s="714"/>
      <c r="L386" s="714"/>
      <c r="M386" s="714"/>
      <c r="N386" s="714"/>
      <c r="O386" s="714"/>
      <c r="P386" s="714"/>
      <c r="Q386" s="714"/>
      <c r="R386" s="714"/>
      <c r="S386" s="714"/>
      <c r="T386" s="714"/>
      <c r="U386" s="714"/>
      <c r="V386" s="714"/>
      <c r="W386" s="714"/>
      <c r="X386" s="714"/>
      <c r="Y386" s="714"/>
      <c r="Z386" s="714"/>
      <c r="AA386" s="66"/>
      <c r="AB386" s="66"/>
      <c r="AC386" s="80"/>
    </row>
    <row r="387" spans="1:68" ht="27" customHeight="1" x14ac:dyDescent="0.25">
      <c r="A387" s="63" t="s">
        <v>646</v>
      </c>
      <c r="B387" s="63" t="s">
        <v>647</v>
      </c>
      <c r="C387" s="36">
        <v>4301060387</v>
      </c>
      <c r="D387" s="715">
        <v>4607091380880</v>
      </c>
      <c r="E387" s="715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200</v>
      </c>
      <c r="Y387" s="55">
        <f>IFERROR(IF(X387="",0,CEILING((X387/$H387),1)*$H387),"")</f>
        <v>201.60000000000002</v>
      </c>
      <c r="Z387" s="41">
        <f>IFERROR(IF(Y387=0,"",ROUNDUP(Y387/H387,0)*0.01898),"")</f>
        <v>0.45552000000000004</v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211.76190476190476</v>
      </c>
      <c r="BN387" s="78">
        <f>IFERROR(Y387*I387/H387,"0")</f>
        <v>213.45600000000002</v>
      </c>
      <c r="BO387" s="78">
        <f>IFERROR(1/J387*(X387/H387),"0")</f>
        <v>0.37202380952380953</v>
      </c>
      <c r="BP387" s="78">
        <f>IFERROR(1/J387*(Y387/H387),"0")</f>
        <v>0.375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715">
        <v>4607091384482</v>
      </c>
      <c r="E388" s="715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92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717"/>
      <c r="R388" s="717"/>
      <c r="S388" s="717"/>
      <c r="T388" s="718"/>
      <c r="U388" s="39" t="s">
        <v>46</v>
      </c>
      <c r="V388" s="39" t="s">
        <v>46</v>
      </c>
      <c r="W388" s="40" t="s">
        <v>0</v>
      </c>
      <c r="X388" s="58">
        <v>300</v>
      </c>
      <c r="Y388" s="55">
        <f>IFERROR(IF(X388="",0,CEILING((X388/$H388),1)*$H388),"")</f>
        <v>304.2</v>
      </c>
      <c r="Z388" s="41">
        <f>IFERROR(IF(Y388=0,"",ROUNDUP(Y388/H388,0)*0.01898),"")</f>
        <v>0.74021999999999999</v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319.00000000000006</v>
      </c>
      <c r="BN388" s="78">
        <f>IFERROR(Y388*I388/H388,"0")</f>
        <v>323.46600000000001</v>
      </c>
      <c r="BO388" s="78">
        <f>IFERROR(1/J388*(X388/H388),"0")</f>
        <v>0.60096153846153844</v>
      </c>
      <c r="BP388" s="78">
        <f>IFERROR(1/J388*(Y388/H388),"0")</f>
        <v>0.609375</v>
      </c>
    </row>
    <row r="389" spans="1:68" ht="27" customHeight="1" x14ac:dyDescent="0.25">
      <c r="A389" s="63" t="s">
        <v>652</v>
      </c>
      <c r="B389" s="63" t="s">
        <v>653</v>
      </c>
      <c r="C389" s="36">
        <v>4301060484</v>
      </c>
      <c r="D389" s="715">
        <v>4607091380897</v>
      </c>
      <c r="E389" s="715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92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717"/>
      <c r="R389" s="717"/>
      <c r="S389" s="717"/>
      <c r="T389" s="718"/>
      <c r="U389" s="39" t="s">
        <v>46</v>
      </c>
      <c r="V389" s="39" t="s">
        <v>46</v>
      </c>
      <c r="W389" s="40" t="s">
        <v>0</v>
      </c>
      <c r="X389" s="58">
        <v>70</v>
      </c>
      <c r="Y389" s="55">
        <f>IFERROR(IF(X389="",0,CEILING((X389/$H389),1)*$H389),"")</f>
        <v>75.600000000000009</v>
      </c>
      <c r="Z389" s="41">
        <f>IFERROR(IF(Y389=0,"",ROUNDUP(Y389/H389,0)*0.01898),"")</f>
        <v>0.17082</v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74.116666666666674</v>
      </c>
      <c r="BN389" s="78">
        <f>IFERROR(Y389*I389/H389,"0")</f>
        <v>80.046000000000006</v>
      </c>
      <c r="BO389" s="78">
        <f>IFERROR(1/J389*(X389/H389),"0")</f>
        <v>0.13020833333333331</v>
      </c>
      <c r="BP389" s="78">
        <f>IFERROR(1/J389*(Y389/H389),"0")</f>
        <v>0.140625</v>
      </c>
    </row>
    <row r="390" spans="1:68" x14ac:dyDescent="0.2">
      <c r="A390" s="723"/>
      <c r="B390" s="723"/>
      <c r="C390" s="723"/>
      <c r="D390" s="723"/>
      <c r="E390" s="723"/>
      <c r="F390" s="723"/>
      <c r="G390" s="723"/>
      <c r="H390" s="723"/>
      <c r="I390" s="723"/>
      <c r="J390" s="723"/>
      <c r="K390" s="723"/>
      <c r="L390" s="723"/>
      <c r="M390" s="723"/>
      <c r="N390" s="723"/>
      <c r="O390" s="724"/>
      <c r="P390" s="720" t="s">
        <v>40</v>
      </c>
      <c r="Q390" s="721"/>
      <c r="R390" s="721"/>
      <c r="S390" s="721"/>
      <c r="T390" s="721"/>
      <c r="U390" s="721"/>
      <c r="V390" s="722"/>
      <c r="W390" s="42" t="s">
        <v>39</v>
      </c>
      <c r="X390" s="43">
        <f>IFERROR(X387/H387,"0")+IFERROR(X388/H388,"0")+IFERROR(X389/H389,"0")</f>
        <v>70.604395604395606</v>
      </c>
      <c r="Y390" s="43">
        <f>IFERROR(Y387/H387,"0")+IFERROR(Y388/H388,"0")+IFERROR(Y389/H389,"0")</f>
        <v>72</v>
      </c>
      <c r="Z390" s="43">
        <f>IFERROR(IF(Z387="",0,Z387),"0")+IFERROR(IF(Z388="",0,Z388),"0")+IFERROR(IF(Z389="",0,Z389),"0")</f>
        <v>1.36656</v>
      </c>
      <c r="AA390" s="67"/>
      <c r="AB390" s="67"/>
      <c r="AC390" s="67"/>
    </row>
    <row r="391" spans="1:68" x14ac:dyDescent="0.2">
      <c r="A391" s="723"/>
      <c r="B391" s="723"/>
      <c r="C391" s="723"/>
      <c r="D391" s="723"/>
      <c r="E391" s="723"/>
      <c r="F391" s="723"/>
      <c r="G391" s="723"/>
      <c r="H391" s="723"/>
      <c r="I391" s="723"/>
      <c r="J391" s="723"/>
      <c r="K391" s="723"/>
      <c r="L391" s="723"/>
      <c r="M391" s="723"/>
      <c r="N391" s="723"/>
      <c r="O391" s="724"/>
      <c r="P391" s="720" t="s">
        <v>40</v>
      </c>
      <c r="Q391" s="721"/>
      <c r="R391" s="721"/>
      <c r="S391" s="721"/>
      <c r="T391" s="721"/>
      <c r="U391" s="721"/>
      <c r="V391" s="722"/>
      <c r="W391" s="42" t="s">
        <v>0</v>
      </c>
      <c r="X391" s="43">
        <f>IFERROR(SUM(X387:X389),"0")</f>
        <v>570</v>
      </c>
      <c r="Y391" s="43">
        <f>IFERROR(SUM(Y387:Y389),"0")</f>
        <v>581.4</v>
      </c>
      <c r="Z391" s="42"/>
      <c r="AA391" s="67"/>
      <c r="AB391" s="67"/>
      <c r="AC391" s="67"/>
    </row>
    <row r="392" spans="1:68" ht="14.25" hidden="1" customHeight="1" x14ac:dyDescent="0.25">
      <c r="A392" s="714" t="s">
        <v>283</v>
      </c>
      <c r="B392" s="714"/>
      <c r="C392" s="714"/>
      <c r="D392" s="714"/>
      <c r="E392" s="714"/>
      <c r="F392" s="714"/>
      <c r="G392" s="714"/>
      <c r="H392" s="714"/>
      <c r="I392" s="714"/>
      <c r="J392" s="714"/>
      <c r="K392" s="714"/>
      <c r="L392" s="714"/>
      <c r="M392" s="714"/>
      <c r="N392" s="714"/>
      <c r="O392" s="714"/>
      <c r="P392" s="714"/>
      <c r="Q392" s="714"/>
      <c r="R392" s="714"/>
      <c r="S392" s="714"/>
      <c r="T392" s="714"/>
      <c r="U392" s="714"/>
      <c r="V392" s="714"/>
      <c r="W392" s="714"/>
      <c r="X392" s="714"/>
      <c r="Y392" s="714"/>
      <c r="Z392" s="714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715">
        <v>4607091388381</v>
      </c>
      <c r="E393" s="715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9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715">
        <v>4607091388374</v>
      </c>
      <c r="E394" s="715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9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715">
        <v>4607091383102</v>
      </c>
      <c r="E395" s="715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9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717"/>
      <c r="R395" s="717"/>
      <c r="S395" s="717"/>
      <c r="T395" s="71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715">
        <v>4607091388404</v>
      </c>
      <c r="E396" s="715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9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717"/>
      <c r="R396" s="717"/>
      <c r="S396" s="717"/>
      <c r="T396" s="718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723"/>
      <c r="B397" s="723"/>
      <c r="C397" s="723"/>
      <c r="D397" s="723"/>
      <c r="E397" s="723"/>
      <c r="F397" s="723"/>
      <c r="G397" s="723"/>
      <c r="H397" s="723"/>
      <c r="I397" s="723"/>
      <c r="J397" s="723"/>
      <c r="K397" s="723"/>
      <c r="L397" s="723"/>
      <c r="M397" s="723"/>
      <c r="N397" s="723"/>
      <c r="O397" s="724"/>
      <c r="P397" s="720" t="s">
        <v>40</v>
      </c>
      <c r="Q397" s="721"/>
      <c r="R397" s="721"/>
      <c r="S397" s="721"/>
      <c r="T397" s="721"/>
      <c r="U397" s="721"/>
      <c r="V397" s="722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723"/>
      <c r="B398" s="723"/>
      <c r="C398" s="723"/>
      <c r="D398" s="723"/>
      <c r="E398" s="723"/>
      <c r="F398" s="723"/>
      <c r="G398" s="723"/>
      <c r="H398" s="723"/>
      <c r="I398" s="723"/>
      <c r="J398" s="723"/>
      <c r="K398" s="723"/>
      <c r="L398" s="723"/>
      <c r="M398" s="723"/>
      <c r="N398" s="723"/>
      <c r="O398" s="724"/>
      <c r="P398" s="720" t="s">
        <v>40</v>
      </c>
      <c r="Q398" s="721"/>
      <c r="R398" s="721"/>
      <c r="S398" s="721"/>
      <c r="T398" s="721"/>
      <c r="U398" s="721"/>
      <c r="V398" s="722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714" t="s">
        <v>664</v>
      </c>
      <c r="B399" s="714"/>
      <c r="C399" s="714"/>
      <c r="D399" s="714"/>
      <c r="E399" s="714"/>
      <c r="F399" s="714"/>
      <c r="G399" s="714"/>
      <c r="H399" s="714"/>
      <c r="I399" s="714"/>
      <c r="J399" s="714"/>
      <c r="K399" s="714"/>
      <c r="L399" s="714"/>
      <c r="M399" s="714"/>
      <c r="N399" s="714"/>
      <c r="O399" s="714"/>
      <c r="P399" s="714"/>
      <c r="Q399" s="714"/>
      <c r="R399" s="714"/>
      <c r="S399" s="714"/>
      <c r="T399" s="714"/>
      <c r="U399" s="714"/>
      <c r="V399" s="714"/>
      <c r="W399" s="714"/>
      <c r="X399" s="714"/>
      <c r="Y399" s="714"/>
      <c r="Z399" s="714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715">
        <v>4680115881808</v>
      </c>
      <c r="E400" s="71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9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715">
        <v>4680115881822</v>
      </c>
      <c r="E401" s="71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9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717"/>
      <c r="R401" s="717"/>
      <c r="S401" s="717"/>
      <c r="T401" s="71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671</v>
      </c>
      <c r="B402" s="63" t="s">
        <v>672</v>
      </c>
      <c r="C402" s="36">
        <v>4301180001</v>
      </c>
      <c r="D402" s="715">
        <v>4680115880016</v>
      </c>
      <c r="E402" s="715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9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717"/>
      <c r="R402" s="717"/>
      <c r="S402" s="717"/>
      <c r="T402" s="718"/>
      <c r="U402" s="39" t="s">
        <v>46</v>
      </c>
      <c r="V402" s="39" t="s">
        <v>46</v>
      </c>
      <c r="W402" s="40" t="s">
        <v>0</v>
      </c>
      <c r="X402" s="58">
        <v>40</v>
      </c>
      <c r="Y402" s="55">
        <f>IFERROR(IF(X402="",0,CEILING((X402/$H402),1)*$H402),"")</f>
        <v>40</v>
      </c>
      <c r="Z402" s="41">
        <f>IFERROR(IF(Y402=0,"",ROUNDUP(Y402/H402,0)*0.00474),"")</f>
        <v>9.4800000000000009E-2</v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44.800000000000004</v>
      </c>
      <c r="BN402" s="78">
        <f>IFERROR(Y402*I402/H402,"0")</f>
        <v>44.800000000000004</v>
      </c>
      <c r="BO402" s="78">
        <f>IFERROR(1/J402*(X402/H402),"0")</f>
        <v>8.4033613445378144E-2</v>
      </c>
      <c r="BP402" s="78">
        <f>IFERROR(1/J402*(Y402/H402),"0")</f>
        <v>8.4033613445378144E-2</v>
      </c>
    </row>
    <row r="403" spans="1:68" x14ac:dyDescent="0.2">
      <c r="A403" s="723"/>
      <c r="B403" s="723"/>
      <c r="C403" s="723"/>
      <c r="D403" s="723"/>
      <c r="E403" s="723"/>
      <c r="F403" s="723"/>
      <c r="G403" s="723"/>
      <c r="H403" s="723"/>
      <c r="I403" s="723"/>
      <c r="J403" s="723"/>
      <c r="K403" s="723"/>
      <c r="L403" s="723"/>
      <c r="M403" s="723"/>
      <c r="N403" s="723"/>
      <c r="O403" s="724"/>
      <c r="P403" s="720" t="s">
        <v>40</v>
      </c>
      <c r="Q403" s="721"/>
      <c r="R403" s="721"/>
      <c r="S403" s="721"/>
      <c r="T403" s="721"/>
      <c r="U403" s="721"/>
      <c r="V403" s="722"/>
      <c r="W403" s="42" t="s">
        <v>39</v>
      </c>
      <c r="X403" s="43">
        <f>IFERROR(X400/H400,"0")+IFERROR(X401/H401,"0")+IFERROR(X402/H402,"0")</f>
        <v>20</v>
      </c>
      <c r="Y403" s="43">
        <f>IFERROR(Y400/H400,"0")+IFERROR(Y401/H401,"0")+IFERROR(Y402/H402,"0")</f>
        <v>20</v>
      </c>
      <c r="Z403" s="43">
        <f>IFERROR(IF(Z400="",0,Z400),"0")+IFERROR(IF(Z401="",0,Z401),"0")+IFERROR(IF(Z402="",0,Z402),"0")</f>
        <v>9.4800000000000009E-2</v>
      </c>
      <c r="AA403" s="67"/>
      <c r="AB403" s="67"/>
      <c r="AC403" s="67"/>
    </row>
    <row r="404" spans="1:68" x14ac:dyDescent="0.2">
      <c r="A404" s="723"/>
      <c r="B404" s="723"/>
      <c r="C404" s="723"/>
      <c r="D404" s="723"/>
      <c r="E404" s="723"/>
      <c r="F404" s="723"/>
      <c r="G404" s="723"/>
      <c r="H404" s="723"/>
      <c r="I404" s="723"/>
      <c r="J404" s="723"/>
      <c r="K404" s="723"/>
      <c r="L404" s="723"/>
      <c r="M404" s="723"/>
      <c r="N404" s="723"/>
      <c r="O404" s="724"/>
      <c r="P404" s="720" t="s">
        <v>40</v>
      </c>
      <c r="Q404" s="721"/>
      <c r="R404" s="721"/>
      <c r="S404" s="721"/>
      <c r="T404" s="721"/>
      <c r="U404" s="721"/>
      <c r="V404" s="722"/>
      <c r="W404" s="42" t="s">
        <v>0</v>
      </c>
      <c r="X404" s="43">
        <f>IFERROR(SUM(X400:X402),"0")</f>
        <v>40</v>
      </c>
      <c r="Y404" s="43">
        <f>IFERROR(SUM(Y400:Y402),"0")</f>
        <v>40</v>
      </c>
      <c r="Z404" s="42"/>
      <c r="AA404" s="67"/>
      <c r="AB404" s="67"/>
      <c r="AC404" s="67"/>
    </row>
    <row r="405" spans="1:68" ht="14.25" hidden="1" customHeight="1" x14ac:dyDescent="0.25">
      <c r="A405" s="714" t="s">
        <v>673</v>
      </c>
      <c r="B405" s="714"/>
      <c r="C405" s="714"/>
      <c r="D405" s="714"/>
      <c r="E405" s="714"/>
      <c r="F405" s="714"/>
      <c r="G405" s="714"/>
      <c r="H405" s="714"/>
      <c r="I405" s="714"/>
      <c r="J405" s="714"/>
      <c r="K405" s="714"/>
      <c r="L405" s="714"/>
      <c r="M405" s="714"/>
      <c r="N405" s="714"/>
      <c r="O405" s="714"/>
      <c r="P405" s="714"/>
      <c r="Q405" s="714"/>
      <c r="R405" s="714"/>
      <c r="S405" s="714"/>
      <c r="T405" s="714"/>
      <c r="U405" s="714"/>
      <c r="V405" s="714"/>
      <c r="W405" s="714"/>
      <c r="X405" s="714"/>
      <c r="Y405" s="714"/>
      <c r="Z405" s="714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715">
        <v>4680115888678</v>
      </c>
      <c r="E406" s="715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9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715">
        <v>4680115888654</v>
      </c>
      <c r="E407" s="715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9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715">
        <v>4680115888753</v>
      </c>
      <c r="E408" s="715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9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717"/>
      <c r="R408" s="717"/>
      <c r="S408" s="717"/>
      <c r="T408" s="718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723"/>
      <c r="B409" s="723"/>
      <c r="C409" s="723"/>
      <c r="D409" s="723"/>
      <c r="E409" s="723"/>
      <c r="F409" s="723"/>
      <c r="G409" s="723"/>
      <c r="H409" s="723"/>
      <c r="I409" s="723"/>
      <c r="J409" s="723"/>
      <c r="K409" s="723"/>
      <c r="L409" s="723"/>
      <c r="M409" s="723"/>
      <c r="N409" s="723"/>
      <c r="O409" s="724"/>
      <c r="P409" s="720" t="s">
        <v>40</v>
      </c>
      <c r="Q409" s="721"/>
      <c r="R409" s="721"/>
      <c r="S409" s="721"/>
      <c r="T409" s="721"/>
      <c r="U409" s="721"/>
      <c r="V409" s="72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723"/>
      <c r="B410" s="723"/>
      <c r="C410" s="723"/>
      <c r="D410" s="723"/>
      <c r="E410" s="723"/>
      <c r="F410" s="723"/>
      <c r="G410" s="723"/>
      <c r="H410" s="723"/>
      <c r="I410" s="723"/>
      <c r="J410" s="723"/>
      <c r="K410" s="723"/>
      <c r="L410" s="723"/>
      <c r="M410" s="723"/>
      <c r="N410" s="723"/>
      <c r="O410" s="724"/>
      <c r="P410" s="720" t="s">
        <v>40</v>
      </c>
      <c r="Q410" s="721"/>
      <c r="R410" s="721"/>
      <c r="S410" s="721"/>
      <c r="T410" s="721"/>
      <c r="U410" s="721"/>
      <c r="V410" s="72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713" t="s">
        <v>682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5"/>
      <c r="AB411" s="65"/>
      <c r="AC411" s="79"/>
    </row>
    <row r="412" spans="1:68" ht="14.25" hidden="1" customHeight="1" x14ac:dyDescent="0.25">
      <c r="A412" s="714" t="s">
        <v>86</v>
      </c>
      <c r="B412" s="714"/>
      <c r="C412" s="714"/>
      <c r="D412" s="714"/>
      <c r="E412" s="714"/>
      <c r="F412" s="714"/>
      <c r="G412" s="714"/>
      <c r="H412" s="714"/>
      <c r="I412" s="714"/>
      <c r="J412" s="714"/>
      <c r="K412" s="714"/>
      <c r="L412" s="714"/>
      <c r="M412" s="714"/>
      <c r="N412" s="714"/>
      <c r="O412" s="714"/>
      <c r="P412" s="714"/>
      <c r="Q412" s="714"/>
      <c r="R412" s="714"/>
      <c r="S412" s="714"/>
      <c r="T412" s="714"/>
      <c r="U412" s="714"/>
      <c r="V412" s="714"/>
      <c r="W412" s="714"/>
      <c r="X412" s="714"/>
      <c r="Y412" s="714"/>
      <c r="Z412" s="714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715">
        <v>4680115889415</v>
      </c>
      <c r="E413" s="71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37" t="s">
        <v>685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715">
        <v>4680115889422</v>
      </c>
      <c r="E414" s="715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938" t="s">
        <v>690</v>
      </c>
      <c r="Q414" s="717"/>
      <c r="R414" s="717"/>
      <c r="S414" s="717"/>
      <c r="T414" s="718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23"/>
      <c r="B415" s="723"/>
      <c r="C415" s="723"/>
      <c r="D415" s="723"/>
      <c r="E415" s="723"/>
      <c r="F415" s="723"/>
      <c r="G415" s="723"/>
      <c r="H415" s="723"/>
      <c r="I415" s="723"/>
      <c r="J415" s="723"/>
      <c r="K415" s="723"/>
      <c r="L415" s="723"/>
      <c r="M415" s="723"/>
      <c r="N415" s="723"/>
      <c r="O415" s="724"/>
      <c r="P415" s="720" t="s">
        <v>40</v>
      </c>
      <c r="Q415" s="721"/>
      <c r="R415" s="721"/>
      <c r="S415" s="721"/>
      <c r="T415" s="721"/>
      <c r="U415" s="721"/>
      <c r="V415" s="722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723"/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4"/>
      <c r="P416" s="720" t="s">
        <v>40</v>
      </c>
      <c r="Q416" s="721"/>
      <c r="R416" s="721"/>
      <c r="S416" s="721"/>
      <c r="T416" s="721"/>
      <c r="U416" s="721"/>
      <c r="V416" s="722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13" t="s">
        <v>692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5"/>
      <c r="AB417" s="65"/>
      <c r="AC417" s="79"/>
    </row>
    <row r="418" spans="1:68" ht="14.25" hidden="1" customHeight="1" x14ac:dyDescent="0.25">
      <c r="A418" s="714" t="s">
        <v>86</v>
      </c>
      <c r="B418" s="714"/>
      <c r="C418" s="714"/>
      <c r="D418" s="714"/>
      <c r="E418" s="714"/>
      <c r="F418" s="714"/>
      <c r="G418" s="714"/>
      <c r="H418" s="714"/>
      <c r="I418" s="714"/>
      <c r="J418" s="714"/>
      <c r="K418" s="714"/>
      <c r="L418" s="714"/>
      <c r="M418" s="714"/>
      <c r="N418" s="714"/>
      <c r="O418" s="714"/>
      <c r="P418" s="714"/>
      <c r="Q418" s="714"/>
      <c r="R418" s="714"/>
      <c r="S418" s="714"/>
      <c r="T418" s="714"/>
      <c r="U418" s="714"/>
      <c r="V418" s="714"/>
      <c r="W418" s="714"/>
      <c r="X418" s="714"/>
      <c r="Y418" s="714"/>
      <c r="Z418" s="714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715">
        <v>4607091387919</v>
      </c>
      <c r="E419" s="715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715">
        <v>4680115883604</v>
      </c>
      <c r="E420" s="715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717"/>
      <c r="R420" s="717"/>
      <c r="S420" s="717"/>
      <c r="T420" s="718"/>
      <c r="U420" s="39" t="s">
        <v>46</v>
      </c>
      <c r="V420" s="39" t="s">
        <v>46</v>
      </c>
      <c r="W420" s="40" t="s">
        <v>0</v>
      </c>
      <c r="X420" s="58">
        <v>175</v>
      </c>
      <c r="Y420" s="55">
        <f>IFERROR(IF(X420="",0,CEILING((X420/$H420),1)*$H420),"")</f>
        <v>176.4</v>
      </c>
      <c r="Z420" s="41">
        <f>IFERROR(IF(Y420=0,"",ROUNDUP(Y420/H420,0)*0.00651),"")</f>
        <v>0.54683999999999999</v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195.99999999999997</v>
      </c>
      <c r="BN420" s="78">
        <f>IFERROR(Y420*I420/H420,"0")</f>
        <v>197.56799999999998</v>
      </c>
      <c r="BO420" s="78">
        <f>IFERROR(1/J420*(X420/H420),"0")</f>
        <v>0.45787545787545786</v>
      </c>
      <c r="BP420" s="78">
        <f>IFERROR(1/J420*(Y420/H420),"0")</f>
        <v>0.46153846153846156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715">
        <v>4680115883567</v>
      </c>
      <c r="E421" s="715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717"/>
      <c r="R421" s="717"/>
      <c r="S421" s="717"/>
      <c r="T421" s="718"/>
      <c r="U421" s="39" t="s">
        <v>46</v>
      </c>
      <c r="V421" s="39" t="s">
        <v>46</v>
      </c>
      <c r="W421" s="40" t="s">
        <v>0</v>
      </c>
      <c r="X421" s="58">
        <v>280</v>
      </c>
      <c r="Y421" s="55">
        <f>IFERROR(IF(X421="",0,CEILING((X421/$H421),1)*$H421),"")</f>
        <v>281.40000000000003</v>
      </c>
      <c r="Z421" s="41">
        <f>IFERROR(IF(Y421=0,"",ROUNDUP(Y421/H421,0)*0.00651),"")</f>
        <v>0.87234</v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311.99999999999994</v>
      </c>
      <c r="BN421" s="78">
        <f>IFERROR(Y421*I421/H421,"0")</f>
        <v>313.56</v>
      </c>
      <c r="BO421" s="78">
        <f>IFERROR(1/J421*(X421/H421),"0")</f>
        <v>0.73260073260073255</v>
      </c>
      <c r="BP421" s="78">
        <f>IFERROR(1/J421*(Y421/H421),"0")</f>
        <v>0.73626373626373631</v>
      </c>
    </row>
    <row r="422" spans="1:68" x14ac:dyDescent="0.2">
      <c r="A422" s="723"/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4"/>
      <c r="P422" s="720" t="s">
        <v>40</v>
      </c>
      <c r="Q422" s="721"/>
      <c r="R422" s="721"/>
      <c r="S422" s="721"/>
      <c r="T422" s="721"/>
      <c r="U422" s="721"/>
      <c r="V422" s="722"/>
      <c r="W422" s="42" t="s">
        <v>39</v>
      </c>
      <c r="X422" s="43">
        <f>IFERROR(X419/H419,"0")+IFERROR(X420/H420,"0")+IFERROR(X421/H421,"0")</f>
        <v>216.66666666666663</v>
      </c>
      <c r="Y422" s="43">
        <f>IFERROR(Y419/H419,"0")+IFERROR(Y420/H420,"0")+IFERROR(Y421/H421,"0")</f>
        <v>218</v>
      </c>
      <c r="Z422" s="43">
        <f>IFERROR(IF(Z419="",0,Z419),"0")+IFERROR(IF(Z420="",0,Z420),"0")+IFERROR(IF(Z421="",0,Z421),"0")</f>
        <v>1.4191799999999999</v>
      </c>
      <c r="AA422" s="67"/>
      <c r="AB422" s="67"/>
      <c r="AC422" s="67"/>
    </row>
    <row r="423" spans="1:68" x14ac:dyDescent="0.2">
      <c r="A423" s="723"/>
      <c r="B423" s="723"/>
      <c r="C423" s="723"/>
      <c r="D423" s="723"/>
      <c r="E423" s="723"/>
      <c r="F423" s="723"/>
      <c r="G423" s="723"/>
      <c r="H423" s="723"/>
      <c r="I423" s="723"/>
      <c r="J423" s="723"/>
      <c r="K423" s="723"/>
      <c r="L423" s="723"/>
      <c r="M423" s="723"/>
      <c r="N423" s="723"/>
      <c r="O423" s="724"/>
      <c r="P423" s="720" t="s">
        <v>40</v>
      </c>
      <c r="Q423" s="721"/>
      <c r="R423" s="721"/>
      <c r="S423" s="721"/>
      <c r="T423" s="721"/>
      <c r="U423" s="721"/>
      <c r="V423" s="722"/>
      <c r="W423" s="42" t="s">
        <v>0</v>
      </c>
      <c r="X423" s="43">
        <f>IFERROR(SUM(X419:X421),"0")</f>
        <v>455</v>
      </c>
      <c r="Y423" s="43">
        <f>IFERROR(SUM(Y419:Y421),"0")</f>
        <v>457.80000000000007</v>
      </c>
      <c r="Z423" s="42"/>
      <c r="AA423" s="67"/>
      <c r="AB423" s="67"/>
      <c r="AC423" s="67"/>
    </row>
    <row r="424" spans="1:68" ht="27.75" hidden="1" customHeight="1" x14ac:dyDescent="0.2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54"/>
      <c r="AB424" s="54"/>
      <c r="AC424" s="54"/>
    </row>
    <row r="425" spans="1:68" ht="16.5" hidden="1" customHeight="1" x14ac:dyDescent="0.25">
      <c r="A425" s="713" t="s">
        <v>703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5"/>
      <c r="AB425" s="65"/>
      <c r="AC425" s="79"/>
    </row>
    <row r="426" spans="1:68" ht="14.25" hidden="1" customHeight="1" x14ac:dyDescent="0.25">
      <c r="A426" s="714" t="s">
        <v>122</v>
      </c>
      <c r="B426" s="714"/>
      <c r="C426" s="714"/>
      <c r="D426" s="714"/>
      <c r="E426" s="714"/>
      <c r="F426" s="714"/>
      <c r="G426" s="714"/>
      <c r="H426" s="714"/>
      <c r="I426" s="714"/>
      <c r="J426" s="714"/>
      <c r="K426" s="714"/>
      <c r="L426" s="714"/>
      <c r="M426" s="714"/>
      <c r="N426" s="714"/>
      <c r="O426" s="714"/>
      <c r="P426" s="714"/>
      <c r="Q426" s="714"/>
      <c r="R426" s="714"/>
      <c r="S426" s="714"/>
      <c r="T426" s="714"/>
      <c r="U426" s="714"/>
      <c r="V426" s="714"/>
      <c r="W426" s="714"/>
      <c r="X426" s="714"/>
      <c r="Y426" s="714"/>
      <c r="Z426" s="714"/>
      <c r="AA426" s="66"/>
      <c r="AB426" s="66"/>
      <c r="AC426" s="80"/>
    </row>
    <row r="427" spans="1:68" ht="27" customHeight="1" x14ac:dyDescent="0.25">
      <c r="A427" s="63" t="s">
        <v>704</v>
      </c>
      <c r="B427" s="63" t="s">
        <v>705</v>
      </c>
      <c r="C427" s="36">
        <v>4301012332</v>
      </c>
      <c r="D427" s="715">
        <v>4680115888401</v>
      </c>
      <c r="E427" s="71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717"/>
      <c r="R427" s="717"/>
      <c r="S427" s="717"/>
      <c r="T427" s="718"/>
      <c r="U427" s="39" t="s">
        <v>46</v>
      </c>
      <c r="V427" s="39" t="s">
        <v>46</v>
      </c>
      <c r="W427" s="40" t="s">
        <v>0</v>
      </c>
      <c r="X427" s="58">
        <v>100</v>
      </c>
      <c r="Y427" s="55">
        <f t="shared" ref="Y427:Y434" si="58">IFERROR(IF(X427="",0,CEILING((X427/$H427),1)*$H427),"")</f>
        <v>105</v>
      </c>
      <c r="Z427" s="41">
        <f>IFERROR(IF(Y427=0,"",ROUNDUP(Y427/H427,0)*0.02175),"")</f>
        <v>0.15225</v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103.13333333333334</v>
      </c>
      <c r="BN427" s="78">
        <f t="shared" ref="BN427:BN434" si="60">IFERROR(Y427*I427/H427,"0")</f>
        <v>108.29</v>
      </c>
      <c r="BO427" s="78">
        <f t="shared" ref="BO427:BO434" si="61">IFERROR(1/J427*(X427/H427),"0")</f>
        <v>0.1388888888888889</v>
      </c>
      <c r="BP427" s="78">
        <f t="shared" ref="BP427:BP434" si="62">IFERROR(1/J427*(Y427/H427),"0")</f>
        <v>0.14583333333333331</v>
      </c>
    </row>
    <row r="428" spans="1:68" ht="37.5" hidden="1" customHeight="1" x14ac:dyDescent="0.25">
      <c r="A428" s="63" t="s">
        <v>707</v>
      </c>
      <c r="B428" s="63" t="s">
        <v>708</v>
      </c>
      <c r="C428" s="36">
        <v>4301011869</v>
      </c>
      <c r="D428" s="715">
        <v>4680115884847</v>
      </c>
      <c r="E428" s="71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717"/>
      <c r="R428" s="717"/>
      <c r="S428" s="717"/>
      <c r="T428" s="718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4301012083</v>
      </c>
      <c r="D429" s="715">
        <v>4680115884854</v>
      </c>
      <c r="E429" s="71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717"/>
      <c r="R429" s="717"/>
      <c r="S429" s="717"/>
      <c r="T429" s="718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715">
        <v>4680115884830</v>
      </c>
      <c r="E430" s="71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717"/>
      <c r="R430" s="717"/>
      <c r="S430" s="717"/>
      <c r="T430" s="71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715">
        <v>4680115889231</v>
      </c>
      <c r="E431" s="715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715">
        <v>4680115882638</v>
      </c>
      <c r="E432" s="715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715">
        <v>4680115884922</v>
      </c>
      <c r="E433" s="71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715">
        <v>4680115884861</v>
      </c>
      <c r="E434" s="715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717"/>
      <c r="R434" s="717"/>
      <c r="S434" s="717"/>
      <c r="T434" s="71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723"/>
      <c r="B435" s="723"/>
      <c r="C435" s="723"/>
      <c r="D435" s="723"/>
      <c r="E435" s="723"/>
      <c r="F435" s="723"/>
      <c r="G435" s="723"/>
      <c r="H435" s="723"/>
      <c r="I435" s="723"/>
      <c r="J435" s="723"/>
      <c r="K435" s="723"/>
      <c r="L435" s="723"/>
      <c r="M435" s="723"/>
      <c r="N435" s="723"/>
      <c r="O435" s="724"/>
      <c r="P435" s="720" t="s">
        <v>40</v>
      </c>
      <c r="Q435" s="721"/>
      <c r="R435" s="721"/>
      <c r="S435" s="721"/>
      <c r="T435" s="721"/>
      <c r="U435" s="721"/>
      <c r="V435" s="722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6.666666666666667</v>
      </c>
      <c r="Y435" s="43">
        <f>IFERROR(Y427/H427,"0")+IFERROR(Y428/H428,"0")+IFERROR(Y429/H429,"0")+IFERROR(Y430/H430,"0")+IFERROR(Y431/H431,"0")+IFERROR(Y432/H432,"0")+IFERROR(Y433/H433,"0")+IFERROR(Y434/H434,"0")</f>
        <v>7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0.15225</v>
      </c>
      <c r="AA435" s="67"/>
      <c r="AB435" s="67"/>
      <c r="AC435" s="67"/>
    </row>
    <row r="436" spans="1:68" x14ac:dyDescent="0.2">
      <c r="A436" s="723"/>
      <c r="B436" s="723"/>
      <c r="C436" s="723"/>
      <c r="D436" s="723"/>
      <c r="E436" s="723"/>
      <c r="F436" s="723"/>
      <c r="G436" s="723"/>
      <c r="H436" s="723"/>
      <c r="I436" s="723"/>
      <c r="J436" s="723"/>
      <c r="K436" s="723"/>
      <c r="L436" s="723"/>
      <c r="M436" s="723"/>
      <c r="N436" s="723"/>
      <c r="O436" s="724"/>
      <c r="P436" s="720" t="s">
        <v>40</v>
      </c>
      <c r="Q436" s="721"/>
      <c r="R436" s="721"/>
      <c r="S436" s="721"/>
      <c r="T436" s="721"/>
      <c r="U436" s="721"/>
      <c r="V436" s="722"/>
      <c r="W436" s="42" t="s">
        <v>0</v>
      </c>
      <c r="X436" s="43">
        <f>IFERROR(SUM(X427:X434),"0")</f>
        <v>100</v>
      </c>
      <c r="Y436" s="43">
        <f>IFERROR(SUM(Y427:Y434),"0")</f>
        <v>105</v>
      </c>
      <c r="Z436" s="42"/>
      <c r="AA436" s="67"/>
      <c r="AB436" s="67"/>
      <c r="AC436" s="67"/>
    </row>
    <row r="437" spans="1:68" ht="14.25" hidden="1" customHeight="1" x14ac:dyDescent="0.25">
      <c r="A437" s="714" t="s">
        <v>158</v>
      </c>
      <c r="B437" s="714"/>
      <c r="C437" s="714"/>
      <c r="D437" s="714"/>
      <c r="E437" s="714"/>
      <c r="F437" s="714"/>
      <c r="G437" s="714"/>
      <c r="H437" s="714"/>
      <c r="I437" s="714"/>
      <c r="J437" s="714"/>
      <c r="K437" s="714"/>
      <c r="L437" s="714"/>
      <c r="M437" s="714"/>
      <c r="N437" s="714"/>
      <c r="O437" s="714"/>
      <c r="P437" s="714"/>
      <c r="Q437" s="714"/>
      <c r="R437" s="714"/>
      <c r="S437" s="714"/>
      <c r="T437" s="714"/>
      <c r="U437" s="714"/>
      <c r="V437" s="714"/>
      <c r="W437" s="714"/>
      <c r="X437" s="714"/>
      <c r="Y437" s="714"/>
      <c r="Z437" s="714"/>
      <c r="AA437" s="66"/>
      <c r="AB437" s="66"/>
      <c r="AC437" s="80"/>
    </row>
    <row r="438" spans="1:68" ht="27" hidden="1" customHeight="1" x14ac:dyDescent="0.25">
      <c r="A438" s="63" t="s">
        <v>728</v>
      </c>
      <c r="B438" s="63" t="s">
        <v>729</v>
      </c>
      <c r="C438" s="36">
        <v>4301020178</v>
      </c>
      <c r="D438" s="715">
        <v>4607091383980</v>
      </c>
      <c r="E438" s="71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717"/>
      <c r="R438" s="717"/>
      <c r="S438" s="717"/>
      <c r="T438" s="71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715">
        <v>4680115888425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715">
        <v>4607091384178</v>
      </c>
      <c r="E440" s="715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idden="1" x14ac:dyDescent="0.2">
      <c r="A441" s="723"/>
      <c r="B441" s="723"/>
      <c r="C441" s="723"/>
      <c r="D441" s="723"/>
      <c r="E441" s="723"/>
      <c r="F441" s="723"/>
      <c r="G441" s="723"/>
      <c r="H441" s="723"/>
      <c r="I441" s="723"/>
      <c r="J441" s="723"/>
      <c r="K441" s="723"/>
      <c r="L441" s="723"/>
      <c r="M441" s="723"/>
      <c r="N441" s="723"/>
      <c r="O441" s="724"/>
      <c r="P441" s="720" t="s">
        <v>40</v>
      </c>
      <c r="Q441" s="721"/>
      <c r="R441" s="721"/>
      <c r="S441" s="721"/>
      <c r="T441" s="721"/>
      <c r="U441" s="721"/>
      <c r="V441" s="722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723"/>
      <c r="B442" s="723"/>
      <c r="C442" s="723"/>
      <c r="D442" s="723"/>
      <c r="E442" s="723"/>
      <c r="F442" s="723"/>
      <c r="G442" s="723"/>
      <c r="H442" s="723"/>
      <c r="I442" s="723"/>
      <c r="J442" s="723"/>
      <c r="K442" s="723"/>
      <c r="L442" s="723"/>
      <c r="M442" s="723"/>
      <c r="N442" s="723"/>
      <c r="O442" s="724"/>
      <c r="P442" s="720" t="s">
        <v>40</v>
      </c>
      <c r="Q442" s="721"/>
      <c r="R442" s="721"/>
      <c r="S442" s="721"/>
      <c r="T442" s="721"/>
      <c r="U442" s="721"/>
      <c r="V442" s="722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714" t="s">
        <v>86</v>
      </c>
      <c r="B443" s="714"/>
      <c r="C443" s="714"/>
      <c r="D443" s="714"/>
      <c r="E443" s="714"/>
      <c r="F443" s="714"/>
      <c r="G443" s="714"/>
      <c r="H443" s="714"/>
      <c r="I443" s="714"/>
      <c r="J443" s="714"/>
      <c r="K443" s="714"/>
      <c r="L443" s="714"/>
      <c r="M443" s="714"/>
      <c r="N443" s="714"/>
      <c r="O443" s="714"/>
      <c r="P443" s="714"/>
      <c r="Q443" s="714"/>
      <c r="R443" s="714"/>
      <c r="S443" s="714"/>
      <c r="T443" s="714"/>
      <c r="U443" s="714"/>
      <c r="V443" s="714"/>
      <c r="W443" s="714"/>
      <c r="X443" s="714"/>
      <c r="Y443" s="714"/>
      <c r="Z443" s="714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715">
        <v>4607091383928</v>
      </c>
      <c r="E444" s="715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740</v>
      </c>
      <c r="B445" s="63" t="s">
        <v>741</v>
      </c>
      <c r="C445" s="36">
        <v>4301051897</v>
      </c>
      <c r="D445" s="715">
        <v>4607091384260</v>
      </c>
      <c r="E445" s="715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60</v>
      </c>
      <c r="Y445" s="55">
        <f>IFERROR(IF(X445="",0,CEILING((X445/$H445),1)*$H445),"")</f>
        <v>63</v>
      </c>
      <c r="Z445" s="41">
        <f>IFERROR(IF(Y445=0,"",ROUNDUP(Y445/H445,0)*0.01898),"")</f>
        <v>0.13286000000000001</v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63.293333333333329</v>
      </c>
      <c r="BN445" s="78">
        <f>IFERROR(Y445*I445/H445,"0")</f>
        <v>66.457999999999998</v>
      </c>
      <c r="BO445" s="78">
        <f>IFERROR(1/J445*(X445/H445),"0")</f>
        <v>0.10416666666666667</v>
      </c>
      <c r="BP445" s="78">
        <f>IFERROR(1/J445*(Y445/H445),"0")</f>
        <v>0.109375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715">
        <v>4680115889538</v>
      </c>
      <c r="E446" s="715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723"/>
      <c r="B447" s="723"/>
      <c r="C447" s="723"/>
      <c r="D447" s="723"/>
      <c r="E447" s="723"/>
      <c r="F447" s="723"/>
      <c r="G447" s="723"/>
      <c r="H447" s="723"/>
      <c r="I447" s="723"/>
      <c r="J447" s="723"/>
      <c r="K447" s="723"/>
      <c r="L447" s="723"/>
      <c r="M447" s="723"/>
      <c r="N447" s="723"/>
      <c r="O447" s="724"/>
      <c r="P447" s="720" t="s">
        <v>40</v>
      </c>
      <c r="Q447" s="721"/>
      <c r="R447" s="721"/>
      <c r="S447" s="721"/>
      <c r="T447" s="721"/>
      <c r="U447" s="721"/>
      <c r="V447" s="722"/>
      <c r="W447" s="42" t="s">
        <v>39</v>
      </c>
      <c r="X447" s="43">
        <f>IFERROR(X444/H444,"0")+IFERROR(X445/H445,"0")+IFERROR(X446/H446,"0")</f>
        <v>6.666666666666667</v>
      </c>
      <c r="Y447" s="43">
        <f>IFERROR(Y444/H444,"0")+IFERROR(Y445/H445,"0")+IFERROR(Y446/H446,"0")</f>
        <v>7</v>
      </c>
      <c r="Z447" s="43">
        <f>IFERROR(IF(Z444="",0,Z444),"0")+IFERROR(IF(Z445="",0,Z445),"0")+IFERROR(IF(Z446="",0,Z446),"0")</f>
        <v>0.13286000000000001</v>
      </c>
      <c r="AA447" s="67"/>
      <c r="AB447" s="67"/>
      <c r="AC447" s="67"/>
    </row>
    <row r="448" spans="1:68" x14ac:dyDescent="0.2">
      <c r="A448" s="723"/>
      <c r="B448" s="723"/>
      <c r="C448" s="723"/>
      <c r="D448" s="723"/>
      <c r="E448" s="723"/>
      <c r="F448" s="723"/>
      <c r="G448" s="723"/>
      <c r="H448" s="723"/>
      <c r="I448" s="723"/>
      <c r="J448" s="723"/>
      <c r="K448" s="723"/>
      <c r="L448" s="723"/>
      <c r="M448" s="723"/>
      <c r="N448" s="723"/>
      <c r="O448" s="724"/>
      <c r="P448" s="720" t="s">
        <v>40</v>
      </c>
      <c r="Q448" s="721"/>
      <c r="R448" s="721"/>
      <c r="S448" s="721"/>
      <c r="T448" s="721"/>
      <c r="U448" s="721"/>
      <c r="V448" s="722"/>
      <c r="W448" s="42" t="s">
        <v>0</v>
      </c>
      <c r="X448" s="43">
        <f>IFERROR(SUM(X444:X446),"0")</f>
        <v>60</v>
      </c>
      <c r="Y448" s="43">
        <f>IFERROR(SUM(Y444:Y446),"0")</f>
        <v>63</v>
      </c>
      <c r="Z448" s="42"/>
      <c r="AA448" s="67"/>
      <c r="AB448" s="67"/>
      <c r="AC448" s="67"/>
    </row>
    <row r="449" spans="1:68" ht="14.25" hidden="1" customHeight="1" x14ac:dyDescent="0.25">
      <c r="A449" s="714" t="s">
        <v>175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715">
        <v>4680115889545</v>
      </c>
      <c r="E450" s="715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715">
        <v>4607091384673</v>
      </c>
      <c r="E451" s="715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23"/>
      <c r="B452" s="723"/>
      <c r="C452" s="723"/>
      <c r="D452" s="723"/>
      <c r="E452" s="723"/>
      <c r="F452" s="723"/>
      <c r="G452" s="723"/>
      <c r="H452" s="723"/>
      <c r="I452" s="723"/>
      <c r="J452" s="723"/>
      <c r="K452" s="723"/>
      <c r="L452" s="723"/>
      <c r="M452" s="723"/>
      <c r="N452" s="723"/>
      <c r="O452" s="724"/>
      <c r="P452" s="720" t="s">
        <v>40</v>
      </c>
      <c r="Q452" s="721"/>
      <c r="R452" s="721"/>
      <c r="S452" s="721"/>
      <c r="T452" s="721"/>
      <c r="U452" s="721"/>
      <c r="V452" s="722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723"/>
      <c r="B453" s="723"/>
      <c r="C453" s="723"/>
      <c r="D453" s="723"/>
      <c r="E453" s="723"/>
      <c r="F453" s="723"/>
      <c r="G453" s="723"/>
      <c r="H453" s="723"/>
      <c r="I453" s="723"/>
      <c r="J453" s="723"/>
      <c r="K453" s="723"/>
      <c r="L453" s="723"/>
      <c r="M453" s="723"/>
      <c r="N453" s="723"/>
      <c r="O453" s="724"/>
      <c r="P453" s="720" t="s">
        <v>40</v>
      </c>
      <c r="Q453" s="721"/>
      <c r="R453" s="721"/>
      <c r="S453" s="721"/>
      <c r="T453" s="721"/>
      <c r="U453" s="721"/>
      <c r="V453" s="722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713" t="s">
        <v>752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5"/>
      <c r="AB454" s="65"/>
      <c r="AC454" s="79"/>
    </row>
    <row r="455" spans="1:68" ht="14.25" hidden="1" customHeight="1" x14ac:dyDescent="0.25">
      <c r="A455" s="714" t="s">
        <v>122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715">
        <v>4680115884885</v>
      </c>
      <c r="E456" s="715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715">
        <v>4680115884908</v>
      </c>
      <c r="E457" s="715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23"/>
      <c r="B458" s="723"/>
      <c r="C458" s="723"/>
      <c r="D458" s="723"/>
      <c r="E458" s="723"/>
      <c r="F458" s="723"/>
      <c r="G458" s="723"/>
      <c r="H458" s="723"/>
      <c r="I458" s="723"/>
      <c r="J458" s="723"/>
      <c r="K458" s="723"/>
      <c r="L458" s="723"/>
      <c r="M458" s="723"/>
      <c r="N458" s="723"/>
      <c r="O458" s="724"/>
      <c r="P458" s="720" t="s">
        <v>40</v>
      </c>
      <c r="Q458" s="721"/>
      <c r="R458" s="721"/>
      <c r="S458" s="721"/>
      <c r="T458" s="721"/>
      <c r="U458" s="721"/>
      <c r="V458" s="722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723"/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4"/>
      <c r="P459" s="720" t="s">
        <v>40</v>
      </c>
      <c r="Q459" s="721"/>
      <c r="R459" s="721"/>
      <c r="S459" s="721"/>
      <c r="T459" s="721"/>
      <c r="U459" s="721"/>
      <c r="V459" s="722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14" t="s">
        <v>77</v>
      </c>
      <c r="B460" s="714"/>
      <c r="C460" s="714"/>
      <c r="D460" s="714"/>
      <c r="E460" s="714"/>
      <c r="F460" s="714"/>
      <c r="G460" s="714"/>
      <c r="H460" s="714"/>
      <c r="I460" s="714"/>
      <c r="J460" s="714"/>
      <c r="K460" s="714"/>
      <c r="L460" s="714"/>
      <c r="M460" s="714"/>
      <c r="N460" s="714"/>
      <c r="O460" s="714"/>
      <c r="P460" s="714"/>
      <c r="Q460" s="714"/>
      <c r="R460" s="714"/>
      <c r="S460" s="714"/>
      <c r="T460" s="714"/>
      <c r="U460" s="714"/>
      <c r="V460" s="714"/>
      <c r="W460" s="714"/>
      <c r="X460" s="714"/>
      <c r="Y460" s="714"/>
      <c r="Z460" s="714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715">
        <v>4607091384802</v>
      </c>
      <c r="E461" s="715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717"/>
      <c r="R461" s="717"/>
      <c r="S461" s="717"/>
      <c r="T461" s="71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723"/>
      <c r="B462" s="723"/>
      <c r="C462" s="723"/>
      <c r="D462" s="723"/>
      <c r="E462" s="723"/>
      <c r="F462" s="723"/>
      <c r="G462" s="723"/>
      <c r="H462" s="723"/>
      <c r="I462" s="723"/>
      <c r="J462" s="723"/>
      <c r="K462" s="723"/>
      <c r="L462" s="723"/>
      <c r="M462" s="723"/>
      <c r="N462" s="723"/>
      <c r="O462" s="724"/>
      <c r="P462" s="720" t="s">
        <v>40</v>
      </c>
      <c r="Q462" s="721"/>
      <c r="R462" s="721"/>
      <c r="S462" s="721"/>
      <c r="T462" s="721"/>
      <c r="U462" s="721"/>
      <c r="V462" s="722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723"/>
      <c r="B463" s="723"/>
      <c r="C463" s="723"/>
      <c r="D463" s="723"/>
      <c r="E463" s="723"/>
      <c r="F463" s="723"/>
      <c r="G463" s="723"/>
      <c r="H463" s="723"/>
      <c r="I463" s="723"/>
      <c r="J463" s="723"/>
      <c r="K463" s="723"/>
      <c r="L463" s="723"/>
      <c r="M463" s="723"/>
      <c r="N463" s="723"/>
      <c r="O463" s="724"/>
      <c r="P463" s="720" t="s">
        <v>40</v>
      </c>
      <c r="Q463" s="721"/>
      <c r="R463" s="721"/>
      <c r="S463" s="721"/>
      <c r="T463" s="721"/>
      <c r="U463" s="721"/>
      <c r="V463" s="722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714" t="s">
        <v>86</v>
      </c>
      <c r="B464" s="714"/>
      <c r="C464" s="714"/>
      <c r="D464" s="714"/>
      <c r="E464" s="714"/>
      <c r="F464" s="714"/>
      <c r="G464" s="714"/>
      <c r="H464" s="714"/>
      <c r="I464" s="714"/>
      <c r="J464" s="714"/>
      <c r="K464" s="714"/>
      <c r="L464" s="714"/>
      <c r="M464" s="714"/>
      <c r="N464" s="714"/>
      <c r="O464" s="714"/>
      <c r="P464" s="714"/>
      <c r="Q464" s="714"/>
      <c r="R464" s="714"/>
      <c r="S464" s="714"/>
      <c r="T464" s="714"/>
      <c r="U464" s="714"/>
      <c r="V464" s="714"/>
      <c r="W464" s="714"/>
      <c r="X464" s="714"/>
      <c r="Y464" s="714"/>
      <c r="Z464" s="714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715">
        <v>4607091384246</v>
      </c>
      <c r="E465" s="715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717"/>
      <c r="R465" s="717"/>
      <c r="S465" s="717"/>
      <c r="T465" s="71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715">
        <v>4607091384253</v>
      </c>
      <c r="E466" s="71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717"/>
      <c r="R466" s="717"/>
      <c r="S466" s="717"/>
      <c r="T466" s="71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715">
        <v>4607091384253</v>
      </c>
      <c r="E467" s="715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717"/>
      <c r="R467" s="717"/>
      <c r="S467" s="717"/>
      <c r="T467" s="718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723"/>
      <c r="B468" s="723"/>
      <c r="C468" s="723"/>
      <c r="D468" s="723"/>
      <c r="E468" s="723"/>
      <c r="F468" s="723"/>
      <c r="G468" s="723"/>
      <c r="H468" s="723"/>
      <c r="I468" s="723"/>
      <c r="J468" s="723"/>
      <c r="K468" s="723"/>
      <c r="L468" s="723"/>
      <c r="M468" s="723"/>
      <c r="N468" s="723"/>
      <c r="O468" s="724"/>
      <c r="P468" s="720" t="s">
        <v>40</v>
      </c>
      <c r="Q468" s="721"/>
      <c r="R468" s="721"/>
      <c r="S468" s="721"/>
      <c r="T468" s="721"/>
      <c r="U468" s="721"/>
      <c r="V468" s="722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723"/>
      <c r="B469" s="723"/>
      <c r="C469" s="723"/>
      <c r="D469" s="723"/>
      <c r="E469" s="723"/>
      <c r="F469" s="723"/>
      <c r="G469" s="723"/>
      <c r="H469" s="723"/>
      <c r="I469" s="723"/>
      <c r="J469" s="723"/>
      <c r="K469" s="723"/>
      <c r="L469" s="723"/>
      <c r="M469" s="723"/>
      <c r="N469" s="723"/>
      <c r="O469" s="724"/>
      <c r="P469" s="720" t="s">
        <v>40</v>
      </c>
      <c r="Q469" s="721"/>
      <c r="R469" s="721"/>
      <c r="S469" s="721"/>
      <c r="T469" s="721"/>
      <c r="U469" s="721"/>
      <c r="V469" s="722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hidden="1" customHeight="1" x14ac:dyDescent="0.2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54"/>
      <c r="AB470" s="54"/>
      <c r="AC470" s="54"/>
    </row>
    <row r="471" spans="1:68" ht="16.5" hidden="1" customHeight="1" x14ac:dyDescent="0.25">
      <c r="A471" s="713" t="s">
        <v>769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5"/>
      <c r="AB471" s="65"/>
      <c r="AC471" s="79"/>
    </row>
    <row r="472" spans="1:68" ht="14.25" hidden="1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715">
        <v>4680115886100</v>
      </c>
      <c r="E473" s="71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715">
        <v>4680115886124</v>
      </c>
      <c r="E474" s="715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717"/>
      <c r="R474" s="717"/>
      <c r="S474" s="717"/>
      <c r="T474" s="71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715">
        <v>4607091384338</v>
      </c>
      <c r="E475" s="715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717"/>
      <c r="R475" s="717"/>
      <c r="S475" s="717"/>
      <c r="T475" s="71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715">
        <v>4680115883161</v>
      </c>
      <c r="E476" s="715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717"/>
      <c r="R476" s="717"/>
      <c r="S476" s="717"/>
      <c r="T476" s="71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715">
        <v>4607091389531</v>
      </c>
      <c r="E477" s="71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715">
        <v>4607091384345</v>
      </c>
      <c r="E478" s="715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723"/>
      <c r="B479" s="723"/>
      <c r="C479" s="723"/>
      <c r="D479" s="723"/>
      <c r="E479" s="723"/>
      <c r="F479" s="723"/>
      <c r="G479" s="723"/>
      <c r="H479" s="723"/>
      <c r="I479" s="723"/>
      <c r="J479" s="723"/>
      <c r="K479" s="723"/>
      <c r="L479" s="723"/>
      <c r="M479" s="723"/>
      <c r="N479" s="723"/>
      <c r="O479" s="724"/>
      <c r="P479" s="720" t="s">
        <v>40</v>
      </c>
      <c r="Q479" s="721"/>
      <c r="R479" s="721"/>
      <c r="S479" s="721"/>
      <c r="T479" s="721"/>
      <c r="U479" s="721"/>
      <c r="V479" s="722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723"/>
      <c r="B480" s="723"/>
      <c r="C480" s="723"/>
      <c r="D480" s="723"/>
      <c r="E480" s="723"/>
      <c r="F480" s="723"/>
      <c r="G480" s="723"/>
      <c r="H480" s="723"/>
      <c r="I480" s="723"/>
      <c r="J480" s="723"/>
      <c r="K480" s="723"/>
      <c r="L480" s="723"/>
      <c r="M480" s="723"/>
      <c r="N480" s="723"/>
      <c r="O480" s="724"/>
      <c r="P480" s="720" t="s">
        <v>40</v>
      </c>
      <c r="Q480" s="721"/>
      <c r="R480" s="721"/>
      <c r="S480" s="721"/>
      <c r="T480" s="721"/>
      <c r="U480" s="721"/>
      <c r="V480" s="722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714" t="s">
        <v>86</v>
      </c>
      <c r="B481" s="714"/>
      <c r="C481" s="714"/>
      <c r="D481" s="714"/>
      <c r="E481" s="714"/>
      <c r="F481" s="714"/>
      <c r="G481" s="714"/>
      <c r="H481" s="714"/>
      <c r="I481" s="714"/>
      <c r="J481" s="714"/>
      <c r="K481" s="714"/>
      <c r="L481" s="714"/>
      <c r="M481" s="714"/>
      <c r="N481" s="714"/>
      <c r="O481" s="714"/>
      <c r="P481" s="714"/>
      <c r="Q481" s="714"/>
      <c r="R481" s="714"/>
      <c r="S481" s="714"/>
      <c r="T481" s="714"/>
      <c r="U481" s="714"/>
      <c r="V481" s="714"/>
      <c r="W481" s="714"/>
      <c r="X481" s="714"/>
      <c r="Y481" s="714"/>
      <c r="Z481" s="714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715">
        <v>4607091384352</v>
      </c>
      <c r="E482" s="715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717"/>
      <c r="R482" s="717"/>
      <c r="S482" s="717"/>
      <c r="T482" s="71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715">
        <v>4607091389654</v>
      </c>
      <c r="E483" s="715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9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717"/>
      <c r="R483" s="717"/>
      <c r="S483" s="717"/>
      <c r="T483" s="718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723"/>
      <c r="B484" s="723"/>
      <c r="C484" s="723"/>
      <c r="D484" s="723"/>
      <c r="E484" s="723"/>
      <c r="F484" s="723"/>
      <c r="G484" s="723"/>
      <c r="H484" s="723"/>
      <c r="I484" s="723"/>
      <c r="J484" s="723"/>
      <c r="K484" s="723"/>
      <c r="L484" s="723"/>
      <c r="M484" s="723"/>
      <c r="N484" s="723"/>
      <c r="O484" s="724"/>
      <c r="P484" s="720" t="s">
        <v>40</v>
      </c>
      <c r="Q484" s="721"/>
      <c r="R484" s="721"/>
      <c r="S484" s="721"/>
      <c r="T484" s="721"/>
      <c r="U484" s="721"/>
      <c r="V484" s="72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723"/>
      <c r="B485" s="723"/>
      <c r="C485" s="723"/>
      <c r="D485" s="723"/>
      <c r="E485" s="723"/>
      <c r="F485" s="723"/>
      <c r="G485" s="723"/>
      <c r="H485" s="723"/>
      <c r="I485" s="723"/>
      <c r="J485" s="723"/>
      <c r="K485" s="723"/>
      <c r="L485" s="723"/>
      <c r="M485" s="723"/>
      <c r="N485" s="723"/>
      <c r="O485" s="724"/>
      <c r="P485" s="720" t="s">
        <v>40</v>
      </c>
      <c r="Q485" s="721"/>
      <c r="R485" s="721"/>
      <c r="S485" s="721"/>
      <c r="T485" s="721"/>
      <c r="U485" s="721"/>
      <c r="V485" s="72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713" t="s">
        <v>792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5"/>
      <c r="AB486" s="65"/>
      <c r="AC486" s="79"/>
    </row>
    <row r="487" spans="1:68" ht="14.25" hidden="1" customHeight="1" x14ac:dyDescent="0.25">
      <c r="A487" s="714" t="s">
        <v>158</v>
      </c>
      <c r="B487" s="714"/>
      <c r="C487" s="714"/>
      <c r="D487" s="714"/>
      <c r="E487" s="714"/>
      <c r="F487" s="714"/>
      <c r="G487" s="714"/>
      <c r="H487" s="714"/>
      <c r="I487" s="714"/>
      <c r="J487" s="714"/>
      <c r="K487" s="714"/>
      <c r="L487" s="714"/>
      <c r="M487" s="714"/>
      <c r="N487" s="714"/>
      <c r="O487" s="714"/>
      <c r="P487" s="714"/>
      <c r="Q487" s="714"/>
      <c r="R487" s="714"/>
      <c r="S487" s="714"/>
      <c r="T487" s="714"/>
      <c r="U487" s="714"/>
      <c r="V487" s="714"/>
      <c r="W487" s="714"/>
      <c r="X487" s="714"/>
      <c r="Y487" s="714"/>
      <c r="Z487" s="714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715">
        <v>4680115885240</v>
      </c>
      <c r="E488" s="715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9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23"/>
      <c r="B489" s="723"/>
      <c r="C489" s="723"/>
      <c r="D489" s="723"/>
      <c r="E489" s="723"/>
      <c r="F489" s="723"/>
      <c r="G489" s="723"/>
      <c r="H489" s="723"/>
      <c r="I489" s="723"/>
      <c r="J489" s="723"/>
      <c r="K489" s="723"/>
      <c r="L489" s="723"/>
      <c r="M489" s="723"/>
      <c r="N489" s="723"/>
      <c r="O489" s="724"/>
      <c r="P489" s="720" t="s">
        <v>40</v>
      </c>
      <c r="Q489" s="721"/>
      <c r="R489" s="721"/>
      <c r="S489" s="721"/>
      <c r="T489" s="721"/>
      <c r="U489" s="721"/>
      <c r="V489" s="72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723"/>
      <c r="B490" s="723"/>
      <c r="C490" s="723"/>
      <c r="D490" s="723"/>
      <c r="E490" s="723"/>
      <c r="F490" s="723"/>
      <c r="G490" s="723"/>
      <c r="H490" s="723"/>
      <c r="I490" s="723"/>
      <c r="J490" s="723"/>
      <c r="K490" s="723"/>
      <c r="L490" s="723"/>
      <c r="M490" s="723"/>
      <c r="N490" s="723"/>
      <c r="O490" s="724"/>
      <c r="P490" s="720" t="s">
        <v>40</v>
      </c>
      <c r="Q490" s="721"/>
      <c r="R490" s="721"/>
      <c r="S490" s="721"/>
      <c r="T490" s="721"/>
      <c r="U490" s="721"/>
      <c r="V490" s="72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714" t="s">
        <v>77</v>
      </c>
      <c r="B491" s="714"/>
      <c r="C491" s="714"/>
      <c r="D491" s="714"/>
      <c r="E491" s="714"/>
      <c r="F491" s="714"/>
      <c r="G491" s="714"/>
      <c r="H491" s="714"/>
      <c r="I491" s="714"/>
      <c r="J491" s="714"/>
      <c r="K491" s="714"/>
      <c r="L491" s="714"/>
      <c r="M491" s="714"/>
      <c r="N491" s="714"/>
      <c r="O491" s="714"/>
      <c r="P491" s="714"/>
      <c r="Q491" s="714"/>
      <c r="R491" s="714"/>
      <c r="S491" s="714"/>
      <c r="T491" s="714"/>
      <c r="U491" s="714"/>
      <c r="V491" s="714"/>
      <c r="W491" s="714"/>
      <c r="X491" s="714"/>
      <c r="Y491" s="714"/>
      <c r="Z491" s="714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715">
        <v>4680115886094</v>
      </c>
      <c r="E492" s="715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9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717"/>
      <c r="R492" s="717"/>
      <c r="S492" s="717"/>
      <c r="T492" s="71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715">
        <v>4680115880771</v>
      </c>
      <c r="E493" s="715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7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717"/>
      <c r="R493" s="717"/>
      <c r="S493" s="717"/>
      <c r="T493" s="71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715">
        <v>4607091389500</v>
      </c>
      <c r="E494" s="715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97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23"/>
      <c r="B495" s="723"/>
      <c r="C495" s="723"/>
      <c r="D495" s="723"/>
      <c r="E495" s="723"/>
      <c r="F495" s="723"/>
      <c r="G495" s="723"/>
      <c r="H495" s="723"/>
      <c r="I495" s="723"/>
      <c r="J495" s="723"/>
      <c r="K495" s="723"/>
      <c r="L495" s="723"/>
      <c r="M495" s="723"/>
      <c r="N495" s="723"/>
      <c r="O495" s="724"/>
      <c r="P495" s="720" t="s">
        <v>40</v>
      </c>
      <c r="Q495" s="721"/>
      <c r="R495" s="721"/>
      <c r="S495" s="721"/>
      <c r="T495" s="721"/>
      <c r="U495" s="721"/>
      <c r="V495" s="722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723"/>
      <c r="B496" s="723"/>
      <c r="C496" s="723"/>
      <c r="D496" s="723"/>
      <c r="E496" s="723"/>
      <c r="F496" s="723"/>
      <c r="G496" s="723"/>
      <c r="H496" s="723"/>
      <c r="I496" s="723"/>
      <c r="J496" s="723"/>
      <c r="K496" s="723"/>
      <c r="L496" s="723"/>
      <c r="M496" s="723"/>
      <c r="N496" s="723"/>
      <c r="O496" s="724"/>
      <c r="P496" s="720" t="s">
        <v>40</v>
      </c>
      <c r="Q496" s="721"/>
      <c r="R496" s="721"/>
      <c r="S496" s="721"/>
      <c r="T496" s="721"/>
      <c r="U496" s="721"/>
      <c r="V496" s="722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712" t="s">
        <v>804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54"/>
      <c r="AB497" s="54"/>
      <c r="AC497" s="54"/>
    </row>
    <row r="498" spans="1:68" ht="16.5" hidden="1" customHeight="1" x14ac:dyDescent="0.25">
      <c r="A498" s="713" t="s">
        <v>804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5"/>
      <c r="AB498" s="65"/>
      <c r="AC498" s="79"/>
    </row>
    <row r="499" spans="1:68" ht="14.25" hidden="1" customHeight="1" x14ac:dyDescent="0.25">
      <c r="A499" s="714" t="s">
        <v>122</v>
      </c>
      <c r="B499" s="714"/>
      <c r="C499" s="714"/>
      <c r="D499" s="714"/>
      <c r="E499" s="714"/>
      <c r="F499" s="714"/>
      <c r="G499" s="714"/>
      <c r="H499" s="714"/>
      <c r="I499" s="714"/>
      <c r="J499" s="714"/>
      <c r="K499" s="714"/>
      <c r="L499" s="714"/>
      <c r="M499" s="714"/>
      <c r="N499" s="714"/>
      <c r="O499" s="714"/>
      <c r="P499" s="714"/>
      <c r="Q499" s="714"/>
      <c r="R499" s="714"/>
      <c r="S499" s="714"/>
      <c r="T499" s="714"/>
      <c r="U499" s="714"/>
      <c r="V499" s="714"/>
      <c r="W499" s="714"/>
      <c r="X499" s="714"/>
      <c r="Y499" s="714"/>
      <c r="Z499" s="714"/>
      <c r="AA499" s="66"/>
      <c r="AB499" s="66"/>
      <c r="AC499" s="80"/>
    </row>
    <row r="500" spans="1:68" ht="27" customHeight="1" x14ac:dyDescent="0.25">
      <c r="A500" s="63" t="s">
        <v>805</v>
      </c>
      <c r="B500" s="63" t="s">
        <v>806</v>
      </c>
      <c r="C500" s="36">
        <v>4301011769</v>
      </c>
      <c r="D500" s="715">
        <v>4607091389067</v>
      </c>
      <c r="E500" s="71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97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717"/>
      <c r="R500" s="717"/>
      <c r="S500" s="717"/>
      <c r="T500" s="718"/>
      <c r="U500" s="39" t="s">
        <v>46</v>
      </c>
      <c r="V500" s="39" t="s">
        <v>46</v>
      </c>
      <c r="W500" s="40" t="s">
        <v>0</v>
      </c>
      <c r="X500" s="58">
        <v>50</v>
      </c>
      <c r="Y500" s="55">
        <f t="shared" ref="Y500:Y508" si="68">IFERROR(IF(X500="",0,CEILING((X500/$H500),1)*$H500),"")</f>
        <v>52.800000000000004</v>
      </c>
      <c r="Z500" s="41">
        <f t="shared" ref="Z500:Z505" si="69">IFERROR(IF(Y500=0,"",ROUNDUP(Y500/H500,0)*0.01196),"")</f>
        <v>0.1196</v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53.314393939393938</v>
      </c>
      <c r="BN500" s="78">
        <f t="shared" ref="BN500:BN508" si="71">IFERROR(Y500*I500/H500,"0")</f>
        <v>56.3</v>
      </c>
      <c r="BO500" s="78">
        <f t="shared" ref="BO500:BO508" si="72">IFERROR(1/J500*(X500/H500),"0")</f>
        <v>9.1054778554778545E-2</v>
      </c>
      <c r="BP500" s="78">
        <f t="shared" ref="BP500:BP508" si="73">IFERROR(1/J500*(Y500/H500),"0")</f>
        <v>9.6153846153846159E-2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715">
        <v>4680115889576</v>
      </c>
      <c r="E501" s="71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7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717"/>
      <c r="R501" s="717"/>
      <c r="S501" s="717"/>
      <c r="T501" s="71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715">
        <v>4680115885271</v>
      </c>
      <c r="E502" s="71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717"/>
      <c r="R502" s="717"/>
      <c r="S502" s="717"/>
      <c r="T502" s="71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715">
        <v>4680115885226</v>
      </c>
      <c r="E503" s="71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715">
        <v>4680115884502</v>
      </c>
      <c r="E504" s="71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4301011771</v>
      </c>
      <c r="D505" s="715">
        <v>4607091389104</v>
      </c>
      <c r="E505" s="71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140</v>
      </c>
      <c r="Y505" s="55">
        <f t="shared" si="68"/>
        <v>142.56</v>
      </c>
      <c r="Z505" s="41">
        <f t="shared" si="69"/>
        <v>0.32291999999999998</v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149.280303030303</v>
      </c>
      <c r="BN505" s="78">
        <f t="shared" si="71"/>
        <v>152.01</v>
      </c>
      <c r="BO505" s="78">
        <f t="shared" si="72"/>
        <v>0.25495337995337997</v>
      </c>
      <c r="BP505" s="78">
        <f t="shared" si="73"/>
        <v>0.25961538461538464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715">
        <v>4680115886391</v>
      </c>
      <c r="E506" s="715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717"/>
      <c r="R506" s="717"/>
      <c r="S506" s="717"/>
      <c r="T506" s="71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customHeight="1" x14ac:dyDescent="0.25">
      <c r="A507" s="63" t="s">
        <v>824</v>
      </c>
      <c r="B507" s="63" t="s">
        <v>825</v>
      </c>
      <c r="C507" s="36">
        <v>4301012048</v>
      </c>
      <c r="D507" s="715">
        <v>4680115880603</v>
      </c>
      <c r="E507" s="71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717"/>
      <c r="R507" s="717"/>
      <c r="S507" s="717"/>
      <c r="T507" s="718"/>
      <c r="U507" s="39" t="s">
        <v>46</v>
      </c>
      <c r="V507" s="39" t="s">
        <v>46</v>
      </c>
      <c r="W507" s="40" t="s">
        <v>0</v>
      </c>
      <c r="X507" s="58">
        <v>60</v>
      </c>
      <c r="Y507" s="55">
        <f t="shared" si="68"/>
        <v>62.4</v>
      </c>
      <c r="Z507" s="41">
        <f>IFERROR(IF(Y507=0,"",ROUNDUP(Y507/H507,0)*0.00902),"")</f>
        <v>0.11726</v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86.375000000000014</v>
      </c>
      <c r="BN507" s="78">
        <f t="shared" si="71"/>
        <v>89.830000000000013</v>
      </c>
      <c r="BO507" s="78">
        <f t="shared" si="72"/>
        <v>9.4696969696969696E-2</v>
      </c>
      <c r="BP507" s="78">
        <f t="shared" si="73"/>
        <v>9.8484848484848481E-2</v>
      </c>
    </row>
    <row r="508" spans="1:68" ht="27" customHeight="1" x14ac:dyDescent="0.25">
      <c r="A508" s="63" t="s">
        <v>826</v>
      </c>
      <c r="B508" s="63" t="s">
        <v>827</v>
      </c>
      <c r="C508" s="36">
        <v>4301012034</v>
      </c>
      <c r="D508" s="715">
        <v>4607091389982</v>
      </c>
      <c r="E508" s="715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717"/>
      <c r="R508" s="717"/>
      <c r="S508" s="717"/>
      <c r="T508" s="718"/>
      <c r="U508" s="39" t="s">
        <v>46</v>
      </c>
      <c r="V508" s="39" t="s">
        <v>46</v>
      </c>
      <c r="W508" s="40" t="s">
        <v>0</v>
      </c>
      <c r="X508" s="58">
        <v>120</v>
      </c>
      <c r="Y508" s="55">
        <f t="shared" si="68"/>
        <v>120</v>
      </c>
      <c r="Z508" s="41">
        <f>IFERROR(IF(Y508=0,"",ROUNDUP(Y508/H508,0)*0.00902),"")</f>
        <v>0.22550000000000001</v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172.75000000000003</v>
      </c>
      <c r="BN508" s="78">
        <f t="shared" si="71"/>
        <v>172.75000000000003</v>
      </c>
      <c r="BO508" s="78">
        <f t="shared" si="72"/>
        <v>0.18939393939393939</v>
      </c>
      <c r="BP508" s="78">
        <f t="shared" si="73"/>
        <v>0.18939393939393939</v>
      </c>
    </row>
    <row r="509" spans="1:68" x14ac:dyDescent="0.2">
      <c r="A509" s="723"/>
      <c r="B509" s="723"/>
      <c r="C509" s="723"/>
      <c r="D509" s="723"/>
      <c r="E509" s="723"/>
      <c r="F509" s="723"/>
      <c r="G509" s="723"/>
      <c r="H509" s="723"/>
      <c r="I509" s="723"/>
      <c r="J509" s="723"/>
      <c r="K509" s="723"/>
      <c r="L509" s="723"/>
      <c r="M509" s="723"/>
      <c r="N509" s="723"/>
      <c r="O509" s="724"/>
      <c r="P509" s="720" t="s">
        <v>40</v>
      </c>
      <c r="Q509" s="721"/>
      <c r="R509" s="721"/>
      <c r="S509" s="721"/>
      <c r="T509" s="721"/>
      <c r="U509" s="721"/>
      <c r="V509" s="722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73.484848484848484</v>
      </c>
      <c r="Y509" s="43">
        <f>IFERROR(Y500/H500,"0")+IFERROR(Y501/H501,"0")+IFERROR(Y502/H502,"0")+IFERROR(Y503/H503,"0")+IFERROR(Y504/H504,"0")+IFERROR(Y505/H505,"0")+IFERROR(Y506/H506,"0")+IFERROR(Y507/H507,"0")+IFERROR(Y508/H508,"0")</f>
        <v>75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0.78527999999999998</v>
      </c>
      <c r="AA509" s="67"/>
      <c r="AB509" s="67"/>
      <c r="AC509" s="67"/>
    </row>
    <row r="510" spans="1:68" x14ac:dyDescent="0.2">
      <c r="A510" s="723"/>
      <c r="B510" s="723"/>
      <c r="C510" s="723"/>
      <c r="D510" s="723"/>
      <c r="E510" s="723"/>
      <c r="F510" s="723"/>
      <c r="G510" s="723"/>
      <c r="H510" s="723"/>
      <c r="I510" s="723"/>
      <c r="J510" s="723"/>
      <c r="K510" s="723"/>
      <c r="L510" s="723"/>
      <c r="M510" s="723"/>
      <c r="N510" s="723"/>
      <c r="O510" s="724"/>
      <c r="P510" s="720" t="s">
        <v>40</v>
      </c>
      <c r="Q510" s="721"/>
      <c r="R510" s="721"/>
      <c r="S510" s="721"/>
      <c r="T510" s="721"/>
      <c r="U510" s="721"/>
      <c r="V510" s="722"/>
      <c r="W510" s="42" t="s">
        <v>0</v>
      </c>
      <c r="X510" s="43">
        <f>IFERROR(SUM(X500:X508),"0")</f>
        <v>370</v>
      </c>
      <c r="Y510" s="43">
        <f>IFERROR(SUM(Y500:Y508),"0")</f>
        <v>377.76</v>
      </c>
      <c r="Z510" s="42"/>
      <c r="AA510" s="67"/>
      <c r="AB510" s="67"/>
      <c r="AC510" s="67"/>
    </row>
    <row r="511" spans="1:68" ht="14.25" hidden="1" customHeight="1" x14ac:dyDescent="0.25">
      <c r="A511" s="714" t="s">
        <v>158</v>
      </c>
      <c r="B511" s="714"/>
      <c r="C511" s="714"/>
      <c r="D511" s="714"/>
      <c r="E511" s="714"/>
      <c r="F511" s="714"/>
      <c r="G511" s="714"/>
      <c r="H511" s="714"/>
      <c r="I511" s="714"/>
      <c r="J511" s="714"/>
      <c r="K511" s="714"/>
      <c r="L511" s="714"/>
      <c r="M511" s="714"/>
      <c r="N511" s="714"/>
      <c r="O511" s="714"/>
      <c r="P511" s="714"/>
      <c r="Q511" s="714"/>
      <c r="R511" s="714"/>
      <c r="S511" s="714"/>
      <c r="T511" s="714"/>
      <c r="U511" s="714"/>
      <c r="V511" s="714"/>
      <c r="W511" s="714"/>
      <c r="X511" s="714"/>
      <c r="Y511" s="714"/>
      <c r="Z511" s="714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715">
        <v>4607091388930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100</v>
      </c>
      <c r="Y512" s="55">
        <f>IFERROR(IF(X512="",0,CEILING((X512/$H512),1)*$H512),"")</f>
        <v>100.32000000000001</v>
      </c>
      <c r="Z512" s="41">
        <f>IFERROR(IF(Y512=0,"",ROUNDUP(Y512/H512,0)*0.01196),"")</f>
        <v>0.22724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106.62878787878788</v>
      </c>
      <c r="BN512" s="78">
        <f>IFERROR(Y512*I512/H512,"0")</f>
        <v>106.97</v>
      </c>
      <c r="BO512" s="78">
        <f>IFERROR(1/J512*(X512/H512),"0")</f>
        <v>0.18210955710955709</v>
      </c>
      <c r="BP512" s="78">
        <f>IFERROR(1/J512*(Y512/H512),"0")</f>
        <v>0.18269230769230771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715">
        <v>4680115886407</v>
      </c>
      <c r="E513" s="715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customHeight="1" x14ac:dyDescent="0.25">
      <c r="A514" s="63" t="s">
        <v>833</v>
      </c>
      <c r="B514" s="63" t="s">
        <v>834</v>
      </c>
      <c r="C514" s="36">
        <v>4301020385</v>
      </c>
      <c r="D514" s="715">
        <v>4680115880054</v>
      </c>
      <c r="E514" s="715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60</v>
      </c>
      <c r="Y514" s="55">
        <f>IFERROR(IF(X514="",0,CEILING((X514/$H514),1)*$H514),"")</f>
        <v>62.4</v>
      </c>
      <c r="Z514" s="41">
        <f>IFERROR(IF(Y514=0,"",ROUNDUP(Y514/H514,0)*0.00902),"")</f>
        <v>0.11726</v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86.375000000000014</v>
      </c>
      <c r="BN514" s="78">
        <f>IFERROR(Y514*I514/H514,"0")</f>
        <v>89.830000000000013</v>
      </c>
      <c r="BO514" s="78">
        <f>IFERROR(1/J514*(X514/H514),"0")</f>
        <v>9.4696969696969696E-2</v>
      </c>
      <c r="BP514" s="78">
        <f>IFERROR(1/J514*(Y514/H514),"0")</f>
        <v>9.8484848484848481E-2</v>
      </c>
    </row>
    <row r="515" spans="1:68" x14ac:dyDescent="0.2">
      <c r="A515" s="723"/>
      <c r="B515" s="723"/>
      <c r="C515" s="723"/>
      <c r="D515" s="723"/>
      <c r="E515" s="723"/>
      <c r="F515" s="723"/>
      <c r="G515" s="723"/>
      <c r="H515" s="723"/>
      <c r="I515" s="723"/>
      <c r="J515" s="723"/>
      <c r="K515" s="723"/>
      <c r="L515" s="723"/>
      <c r="M515" s="723"/>
      <c r="N515" s="723"/>
      <c r="O515" s="724"/>
      <c r="P515" s="720" t="s">
        <v>40</v>
      </c>
      <c r="Q515" s="721"/>
      <c r="R515" s="721"/>
      <c r="S515" s="721"/>
      <c r="T515" s="721"/>
      <c r="U515" s="721"/>
      <c r="V515" s="722"/>
      <c r="W515" s="42" t="s">
        <v>39</v>
      </c>
      <c r="X515" s="43">
        <f>IFERROR(X512/H512,"0")+IFERROR(X513/H513,"0")+IFERROR(X514/H514,"0")</f>
        <v>31.439393939393938</v>
      </c>
      <c r="Y515" s="43">
        <f>IFERROR(Y512/H512,"0")+IFERROR(Y513/H513,"0")+IFERROR(Y514/H514,"0")</f>
        <v>32</v>
      </c>
      <c r="Z515" s="43">
        <f>IFERROR(IF(Z512="",0,Z512),"0")+IFERROR(IF(Z513="",0,Z513),"0")+IFERROR(IF(Z514="",0,Z514),"0")</f>
        <v>0.34450000000000003</v>
      </c>
      <c r="AA515" s="67"/>
      <c r="AB515" s="67"/>
      <c r="AC515" s="67"/>
    </row>
    <row r="516" spans="1:68" x14ac:dyDescent="0.2">
      <c r="A516" s="723"/>
      <c r="B516" s="723"/>
      <c r="C516" s="723"/>
      <c r="D516" s="723"/>
      <c r="E516" s="723"/>
      <c r="F516" s="723"/>
      <c r="G516" s="723"/>
      <c r="H516" s="723"/>
      <c r="I516" s="723"/>
      <c r="J516" s="723"/>
      <c r="K516" s="723"/>
      <c r="L516" s="723"/>
      <c r="M516" s="723"/>
      <c r="N516" s="723"/>
      <c r="O516" s="724"/>
      <c r="P516" s="720" t="s">
        <v>40</v>
      </c>
      <c r="Q516" s="721"/>
      <c r="R516" s="721"/>
      <c r="S516" s="721"/>
      <c r="T516" s="721"/>
      <c r="U516" s="721"/>
      <c r="V516" s="722"/>
      <c r="W516" s="42" t="s">
        <v>0</v>
      </c>
      <c r="X516" s="43">
        <f>IFERROR(SUM(X512:X514),"0")</f>
        <v>160</v>
      </c>
      <c r="Y516" s="43">
        <f>IFERROR(SUM(Y512:Y514),"0")</f>
        <v>162.72</v>
      </c>
      <c r="Z516" s="42"/>
      <c r="AA516" s="67"/>
      <c r="AB516" s="67"/>
      <c r="AC516" s="67"/>
    </row>
    <row r="517" spans="1:68" ht="14.25" hidden="1" customHeight="1" x14ac:dyDescent="0.25">
      <c r="A517" s="714" t="s">
        <v>77</v>
      </c>
      <c r="B517" s="714"/>
      <c r="C517" s="714"/>
      <c r="D517" s="714"/>
      <c r="E517" s="714"/>
      <c r="F517" s="714"/>
      <c r="G517" s="714"/>
      <c r="H517" s="714"/>
      <c r="I517" s="714"/>
      <c r="J517" s="714"/>
      <c r="K517" s="714"/>
      <c r="L517" s="714"/>
      <c r="M517" s="714"/>
      <c r="N517" s="714"/>
      <c r="O517" s="714"/>
      <c r="P517" s="714"/>
      <c r="Q517" s="714"/>
      <c r="R517" s="714"/>
      <c r="S517" s="714"/>
      <c r="T517" s="714"/>
      <c r="U517" s="714"/>
      <c r="V517" s="714"/>
      <c r="W517" s="714"/>
      <c r="X517" s="714"/>
      <c r="Y517" s="714"/>
      <c r="Z517" s="714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715">
        <v>4680115883116</v>
      </c>
      <c r="E518" s="71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715">
        <v>4680115883093</v>
      </c>
      <c r="E519" s="71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717"/>
      <c r="R519" s="717"/>
      <c r="S519" s="717"/>
      <c r="T519" s="71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715">
        <v>4680115883109</v>
      </c>
      <c r="E520" s="715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717"/>
      <c r="R520" s="717"/>
      <c r="S520" s="717"/>
      <c r="T520" s="718"/>
      <c r="U520" s="39" t="s">
        <v>46</v>
      </c>
      <c r="V520" s="39" t="s">
        <v>46</v>
      </c>
      <c r="W520" s="40" t="s">
        <v>0</v>
      </c>
      <c r="X520" s="58">
        <v>100</v>
      </c>
      <c r="Y520" s="55">
        <f t="shared" si="74"/>
        <v>100.32000000000001</v>
      </c>
      <c r="Z520" s="41">
        <f>IFERROR(IF(Y520=0,"",ROUNDUP(Y520/H520,0)*0.01196),"")</f>
        <v>0.22724</v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106.62878787878788</v>
      </c>
      <c r="BN520" s="78">
        <f t="shared" si="76"/>
        <v>106.97</v>
      </c>
      <c r="BO520" s="78">
        <f t="shared" si="77"/>
        <v>0.18210955710955709</v>
      </c>
      <c r="BP520" s="78">
        <f t="shared" si="78"/>
        <v>0.18269230769230771</v>
      </c>
    </row>
    <row r="521" spans="1:68" ht="27" customHeight="1" x14ac:dyDescent="0.25">
      <c r="A521" s="63" t="s">
        <v>844</v>
      </c>
      <c r="B521" s="63" t="s">
        <v>845</v>
      </c>
      <c r="C521" s="36">
        <v>4301031419</v>
      </c>
      <c r="D521" s="715">
        <v>4680115882072</v>
      </c>
      <c r="E521" s="715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717"/>
      <c r="R521" s="717"/>
      <c r="S521" s="717"/>
      <c r="T521" s="718"/>
      <c r="U521" s="39" t="s">
        <v>46</v>
      </c>
      <c r="V521" s="39" t="s">
        <v>46</v>
      </c>
      <c r="W521" s="40" t="s">
        <v>0</v>
      </c>
      <c r="X521" s="58">
        <v>60</v>
      </c>
      <c r="Y521" s="55">
        <f t="shared" si="74"/>
        <v>62.4</v>
      </c>
      <c r="Z521" s="41">
        <f>IFERROR(IF(Y521=0,"",ROUNDUP(Y521/H521,0)*0.00902),"")</f>
        <v>0.11726</v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86.375000000000014</v>
      </c>
      <c r="BN521" s="78">
        <f t="shared" si="76"/>
        <v>89.830000000000013</v>
      </c>
      <c r="BO521" s="78">
        <f t="shared" si="77"/>
        <v>9.4696969696969696E-2</v>
      </c>
      <c r="BP521" s="78">
        <f t="shared" si="78"/>
        <v>9.8484848484848481E-2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715">
        <v>4680115882102</v>
      </c>
      <c r="E522" s="715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715">
        <v>4680115882102</v>
      </c>
      <c r="E523" s="71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customHeight="1" x14ac:dyDescent="0.25">
      <c r="A524" s="63" t="s">
        <v>849</v>
      </c>
      <c r="B524" s="63" t="s">
        <v>850</v>
      </c>
      <c r="C524" s="36">
        <v>4301031417</v>
      </c>
      <c r="D524" s="715">
        <v>4680115882096</v>
      </c>
      <c r="E524" s="715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150</v>
      </c>
      <c r="Y524" s="55">
        <f t="shared" si="74"/>
        <v>153.6</v>
      </c>
      <c r="Z524" s="41">
        <f>IFERROR(IF(Y524=0,"",ROUNDUP(Y524/H524,0)*0.00902),"")</f>
        <v>0.28864000000000001</v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208.4375</v>
      </c>
      <c r="BN524" s="78">
        <f t="shared" si="76"/>
        <v>213.44</v>
      </c>
      <c r="BO524" s="78">
        <f t="shared" si="77"/>
        <v>0.23674242424242425</v>
      </c>
      <c r="BP524" s="78">
        <f t="shared" si="78"/>
        <v>0.24242424242424243</v>
      </c>
    </row>
    <row r="525" spans="1:68" x14ac:dyDescent="0.2">
      <c r="A525" s="723"/>
      <c r="B525" s="723"/>
      <c r="C525" s="723"/>
      <c r="D525" s="723"/>
      <c r="E525" s="723"/>
      <c r="F525" s="723"/>
      <c r="G525" s="723"/>
      <c r="H525" s="723"/>
      <c r="I525" s="723"/>
      <c r="J525" s="723"/>
      <c r="K525" s="723"/>
      <c r="L525" s="723"/>
      <c r="M525" s="723"/>
      <c r="N525" s="723"/>
      <c r="O525" s="724"/>
      <c r="P525" s="720" t="s">
        <v>40</v>
      </c>
      <c r="Q525" s="721"/>
      <c r="R525" s="721"/>
      <c r="S525" s="721"/>
      <c r="T525" s="721"/>
      <c r="U525" s="721"/>
      <c r="V525" s="722"/>
      <c r="W525" s="42" t="s">
        <v>39</v>
      </c>
      <c r="X525" s="43">
        <f>IFERROR(X518/H518,"0")+IFERROR(X519/H519,"0")+IFERROR(X520/H520,"0")+IFERROR(X521/H521,"0")+IFERROR(X522/H522,"0")+IFERROR(X523/H523,"0")+IFERROR(X524/H524,"0")</f>
        <v>62.689393939393938</v>
      </c>
      <c r="Y525" s="43">
        <f>IFERROR(Y518/H518,"0")+IFERROR(Y519/H519,"0")+IFERROR(Y520/H520,"0")+IFERROR(Y521/H521,"0")+IFERROR(Y522/H522,"0")+IFERROR(Y523/H523,"0")+IFERROR(Y524/H524,"0")</f>
        <v>64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0.63314000000000004</v>
      </c>
      <c r="AA525" s="67"/>
      <c r="AB525" s="67"/>
      <c r="AC525" s="67"/>
    </row>
    <row r="526" spans="1:68" x14ac:dyDescent="0.2">
      <c r="A526" s="723"/>
      <c r="B526" s="723"/>
      <c r="C526" s="723"/>
      <c r="D526" s="723"/>
      <c r="E526" s="723"/>
      <c r="F526" s="723"/>
      <c r="G526" s="723"/>
      <c r="H526" s="723"/>
      <c r="I526" s="723"/>
      <c r="J526" s="723"/>
      <c r="K526" s="723"/>
      <c r="L526" s="723"/>
      <c r="M526" s="723"/>
      <c r="N526" s="723"/>
      <c r="O526" s="724"/>
      <c r="P526" s="720" t="s">
        <v>40</v>
      </c>
      <c r="Q526" s="721"/>
      <c r="R526" s="721"/>
      <c r="S526" s="721"/>
      <c r="T526" s="721"/>
      <c r="U526" s="721"/>
      <c r="V526" s="722"/>
      <c r="W526" s="42" t="s">
        <v>0</v>
      </c>
      <c r="X526" s="43">
        <f>IFERROR(SUM(X518:X524),"0")</f>
        <v>310</v>
      </c>
      <c r="Y526" s="43">
        <f>IFERROR(SUM(Y518:Y524),"0")</f>
        <v>316.32</v>
      </c>
      <c r="Z526" s="42"/>
      <c r="AA526" s="67"/>
      <c r="AB526" s="67"/>
      <c r="AC526" s="67"/>
    </row>
    <row r="527" spans="1:68" ht="27.75" hidden="1" customHeight="1" x14ac:dyDescent="0.2">
      <c r="A527" s="712" t="s">
        <v>851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54"/>
      <c r="AB527" s="54"/>
      <c r="AC527" s="54"/>
    </row>
    <row r="528" spans="1:68" ht="16.5" hidden="1" customHeight="1" x14ac:dyDescent="0.25">
      <c r="A528" s="713" t="s">
        <v>851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5"/>
      <c r="AB528" s="65"/>
      <c r="AC528" s="79"/>
    </row>
    <row r="529" spans="1:68" ht="14.25" hidden="1" customHeight="1" x14ac:dyDescent="0.25">
      <c r="A529" s="714" t="s">
        <v>122</v>
      </c>
      <c r="B529" s="714"/>
      <c r="C529" s="714"/>
      <c r="D529" s="714"/>
      <c r="E529" s="714"/>
      <c r="F529" s="714"/>
      <c r="G529" s="714"/>
      <c r="H529" s="714"/>
      <c r="I529" s="714"/>
      <c r="J529" s="714"/>
      <c r="K529" s="714"/>
      <c r="L529" s="714"/>
      <c r="M529" s="714"/>
      <c r="N529" s="714"/>
      <c r="O529" s="714"/>
      <c r="P529" s="714"/>
      <c r="Q529" s="714"/>
      <c r="R529" s="714"/>
      <c r="S529" s="714"/>
      <c r="T529" s="714"/>
      <c r="U529" s="714"/>
      <c r="V529" s="714"/>
      <c r="W529" s="714"/>
      <c r="X529" s="714"/>
      <c r="Y529" s="714"/>
      <c r="Z529" s="714"/>
      <c r="AA529" s="66"/>
      <c r="AB529" s="66"/>
      <c r="AC529" s="80"/>
    </row>
    <row r="530" spans="1:68" ht="27" customHeight="1" x14ac:dyDescent="0.25">
      <c r="A530" s="63" t="s">
        <v>852</v>
      </c>
      <c r="B530" s="63" t="s">
        <v>853</v>
      </c>
      <c r="C530" s="36">
        <v>4301011584</v>
      </c>
      <c r="D530" s="715">
        <v>4640242180564</v>
      </c>
      <c r="E530" s="715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9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100</v>
      </c>
      <c r="Y530" s="55">
        <f>IFERROR(IF(X530="",0,CEILING((X530/$H530),1)*$H530),"")</f>
        <v>108</v>
      </c>
      <c r="Z530" s="41">
        <f>IFERROR(IF(Y530=0,"",ROUNDUP(Y530/H530,0)*0.01898),"")</f>
        <v>0.17082</v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103.41666666666667</v>
      </c>
      <c r="BN530" s="78">
        <f>IFERROR(Y530*I530/H530,"0")</f>
        <v>111.69</v>
      </c>
      <c r="BO530" s="78">
        <f>IFERROR(1/J530*(X530/H530),"0")</f>
        <v>0.13020833333333334</v>
      </c>
      <c r="BP530" s="78">
        <f>IFERROR(1/J530*(Y530/H530),"0")</f>
        <v>0.140625</v>
      </c>
    </row>
    <row r="531" spans="1:68" x14ac:dyDescent="0.2">
      <c r="A531" s="723"/>
      <c r="B531" s="723"/>
      <c r="C531" s="723"/>
      <c r="D531" s="723"/>
      <c r="E531" s="723"/>
      <c r="F531" s="723"/>
      <c r="G531" s="723"/>
      <c r="H531" s="723"/>
      <c r="I531" s="723"/>
      <c r="J531" s="723"/>
      <c r="K531" s="723"/>
      <c r="L531" s="723"/>
      <c r="M531" s="723"/>
      <c r="N531" s="723"/>
      <c r="O531" s="724"/>
      <c r="P531" s="720" t="s">
        <v>40</v>
      </c>
      <c r="Q531" s="721"/>
      <c r="R531" s="721"/>
      <c r="S531" s="721"/>
      <c r="T531" s="721"/>
      <c r="U531" s="721"/>
      <c r="V531" s="722"/>
      <c r="W531" s="42" t="s">
        <v>39</v>
      </c>
      <c r="X531" s="43">
        <f>IFERROR(X530/H530,"0")</f>
        <v>8.3333333333333339</v>
      </c>
      <c r="Y531" s="43">
        <f>IFERROR(Y530/H530,"0")</f>
        <v>9</v>
      </c>
      <c r="Z531" s="43">
        <f>IFERROR(IF(Z530="",0,Z530),"0")</f>
        <v>0.17082</v>
      </c>
      <c r="AA531" s="67"/>
      <c r="AB531" s="67"/>
      <c r="AC531" s="67"/>
    </row>
    <row r="532" spans="1:68" x14ac:dyDescent="0.2">
      <c r="A532" s="723"/>
      <c r="B532" s="723"/>
      <c r="C532" s="723"/>
      <c r="D532" s="723"/>
      <c r="E532" s="723"/>
      <c r="F532" s="723"/>
      <c r="G532" s="723"/>
      <c r="H532" s="723"/>
      <c r="I532" s="723"/>
      <c r="J532" s="723"/>
      <c r="K532" s="723"/>
      <c r="L532" s="723"/>
      <c r="M532" s="723"/>
      <c r="N532" s="723"/>
      <c r="O532" s="724"/>
      <c r="P532" s="720" t="s">
        <v>40</v>
      </c>
      <c r="Q532" s="721"/>
      <c r="R532" s="721"/>
      <c r="S532" s="721"/>
      <c r="T532" s="721"/>
      <c r="U532" s="721"/>
      <c r="V532" s="722"/>
      <c r="W532" s="42" t="s">
        <v>0</v>
      </c>
      <c r="X532" s="43">
        <f>IFERROR(SUM(X530:X530),"0")</f>
        <v>100</v>
      </c>
      <c r="Y532" s="43">
        <f>IFERROR(SUM(Y530:Y530),"0")</f>
        <v>108</v>
      </c>
      <c r="Z532" s="42"/>
      <c r="AA532" s="67"/>
      <c r="AB532" s="67"/>
      <c r="AC532" s="67"/>
    </row>
    <row r="533" spans="1:68" ht="14.25" hidden="1" customHeight="1" x14ac:dyDescent="0.25">
      <c r="A533" s="714" t="s">
        <v>158</v>
      </c>
      <c r="B533" s="714"/>
      <c r="C533" s="714"/>
      <c r="D533" s="714"/>
      <c r="E533" s="714"/>
      <c r="F533" s="714"/>
      <c r="G533" s="714"/>
      <c r="H533" s="714"/>
      <c r="I533" s="714"/>
      <c r="J533" s="714"/>
      <c r="K533" s="714"/>
      <c r="L533" s="714"/>
      <c r="M533" s="714"/>
      <c r="N533" s="714"/>
      <c r="O533" s="714"/>
      <c r="P533" s="714"/>
      <c r="Q533" s="714"/>
      <c r="R533" s="714"/>
      <c r="S533" s="714"/>
      <c r="T533" s="714"/>
      <c r="U533" s="714"/>
      <c r="V533" s="714"/>
      <c r="W533" s="714"/>
      <c r="X533" s="714"/>
      <c r="Y533" s="714"/>
      <c r="Z533" s="714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715">
        <v>4640242180519</v>
      </c>
      <c r="E534" s="715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99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23"/>
      <c r="B535" s="723"/>
      <c r="C535" s="723"/>
      <c r="D535" s="723"/>
      <c r="E535" s="723"/>
      <c r="F535" s="723"/>
      <c r="G535" s="723"/>
      <c r="H535" s="723"/>
      <c r="I535" s="723"/>
      <c r="J535" s="723"/>
      <c r="K535" s="723"/>
      <c r="L535" s="723"/>
      <c r="M535" s="723"/>
      <c r="N535" s="723"/>
      <c r="O535" s="724"/>
      <c r="P535" s="720" t="s">
        <v>40</v>
      </c>
      <c r="Q535" s="721"/>
      <c r="R535" s="721"/>
      <c r="S535" s="721"/>
      <c r="T535" s="721"/>
      <c r="U535" s="721"/>
      <c r="V535" s="722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23"/>
      <c r="B536" s="723"/>
      <c r="C536" s="723"/>
      <c r="D536" s="723"/>
      <c r="E536" s="723"/>
      <c r="F536" s="723"/>
      <c r="G536" s="723"/>
      <c r="H536" s="723"/>
      <c r="I536" s="723"/>
      <c r="J536" s="723"/>
      <c r="K536" s="723"/>
      <c r="L536" s="723"/>
      <c r="M536" s="723"/>
      <c r="N536" s="723"/>
      <c r="O536" s="724"/>
      <c r="P536" s="720" t="s">
        <v>40</v>
      </c>
      <c r="Q536" s="721"/>
      <c r="R536" s="721"/>
      <c r="S536" s="721"/>
      <c r="T536" s="721"/>
      <c r="U536" s="721"/>
      <c r="V536" s="722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14" t="s">
        <v>77</v>
      </c>
      <c r="B537" s="714"/>
      <c r="C537" s="714"/>
      <c r="D537" s="714"/>
      <c r="E537" s="714"/>
      <c r="F537" s="714"/>
      <c r="G537" s="714"/>
      <c r="H537" s="714"/>
      <c r="I537" s="714"/>
      <c r="J537" s="714"/>
      <c r="K537" s="714"/>
      <c r="L537" s="714"/>
      <c r="M537" s="714"/>
      <c r="N537" s="714"/>
      <c r="O537" s="714"/>
      <c r="P537" s="714"/>
      <c r="Q537" s="714"/>
      <c r="R537" s="714"/>
      <c r="S537" s="714"/>
      <c r="T537" s="714"/>
      <c r="U537" s="714"/>
      <c r="V537" s="714"/>
      <c r="W537" s="714"/>
      <c r="X537" s="714"/>
      <c r="Y537" s="714"/>
      <c r="Z537" s="714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715">
        <v>4640242180595</v>
      </c>
      <c r="E538" s="715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99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717"/>
      <c r="R538" s="717"/>
      <c r="S538" s="717"/>
      <c r="T538" s="718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23"/>
      <c r="B539" s="723"/>
      <c r="C539" s="723"/>
      <c r="D539" s="723"/>
      <c r="E539" s="723"/>
      <c r="F539" s="723"/>
      <c r="G539" s="723"/>
      <c r="H539" s="723"/>
      <c r="I539" s="723"/>
      <c r="J539" s="723"/>
      <c r="K539" s="723"/>
      <c r="L539" s="723"/>
      <c r="M539" s="723"/>
      <c r="N539" s="723"/>
      <c r="O539" s="724"/>
      <c r="P539" s="720" t="s">
        <v>40</v>
      </c>
      <c r="Q539" s="721"/>
      <c r="R539" s="721"/>
      <c r="S539" s="721"/>
      <c r="T539" s="721"/>
      <c r="U539" s="721"/>
      <c r="V539" s="722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23"/>
      <c r="B540" s="723"/>
      <c r="C540" s="723"/>
      <c r="D540" s="723"/>
      <c r="E540" s="723"/>
      <c r="F540" s="723"/>
      <c r="G540" s="723"/>
      <c r="H540" s="723"/>
      <c r="I540" s="723"/>
      <c r="J540" s="723"/>
      <c r="K540" s="723"/>
      <c r="L540" s="723"/>
      <c r="M540" s="723"/>
      <c r="N540" s="723"/>
      <c r="O540" s="724"/>
      <c r="P540" s="720" t="s">
        <v>40</v>
      </c>
      <c r="Q540" s="721"/>
      <c r="R540" s="721"/>
      <c r="S540" s="721"/>
      <c r="T540" s="721"/>
      <c r="U540" s="721"/>
      <c r="V540" s="722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14" t="s">
        <v>86</v>
      </c>
      <c r="B541" s="714"/>
      <c r="C541" s="714"/>
      <c r="D541" s="714"/>
      <c r="E541" s="714"/>
      <c r="F541" s="714"/>
      <c r="G541" s="714"/>
      <c r="H541" s="714"/>
      <c r="I541" s="714"/>
      <c r="J541" s="714"/>
      <c r="K541" s="714"/>
      <c r="L541" s="714"/>
      <c r="M541" s="714"/>
      <c r="N541" s="714"/>
      <c r="O541" s="714"/>
      <c r="P541" s="714"/>
      <c r="Q541" s="714"/>
      <c r="R541" s="714"/>
      <c r="S541" s="714"/>
      <c r="T541" s="714"/>
      <c r="U541" s="714"/>
      <c r="V541" s="714"/>
      <c r="W541" s="714"/>
      <c r="X541" s="714"/>
      <c r="Y541" s="714"/>
      <c r="Z541" s="714"/>
      <c r="AA541" s="66"/>
      <c r="AB541" s="66"/>
      <c r="AC541" s="80"/>
    </row>
    <row r="542" spans="1:68" ht="27" customHeight="1" x14ac:dyDescent="0.25">
      <c r="A542" s="63" t="s">
        <v>861</v>
      </c>
      <c r="B542" s="63" t="s">
        <v>862</v>
      </c>
      <c r="C542" s="36">
        <v>4301052043</v>
      </c>
      <c r="D542" s="715">
        <v>4640242180533</v>
      </c>
      <c r="E542" s="715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9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717"/>
      <c r="R542" s="717"/>
      <c r="S542" s="717"/>
      <c r="T542" s="718"/>
      <c r="U542" s="39" t="s">
        <v>46</v>
      </c>
      <c r="V542" s="39" t="s">
        <v>46</v>
      </c>
      <c r="W542" s="40" t="s">
        <v>0</v>
      </c>
      <c r="X542" s="58">
        <v>830</v>
      </c>
      <c r="Y542" s="55">
        <f>IFERROR(IF(X542="",0,CEILING((X542/$H542),1)*$H542),"")</f>
        <v>837</v>
      </c>
      <c r="Z542" s="41">
        <f>IFERROR(IF(Y542=0,"",ROUNDUP(Y542/H542,0)*0.01898),"")</f>
        <v>1.7651399999999999</v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875.55777777777769</v>
      </c>
      <c r="BN542" s="78">
        <f>IFERROR(Y542*I542/H542,"0")</f>
        <v>882.94200000000001</v>
      </c>
      <c r="BO542" s="78">
        <f>IFERROR(1/J542*(X542/H542),"0")</f>
        <v>1.4409722222222223</v>
      </c>
      <c r="BP542" s="78">
        <f>IFERROR(1/J542*(Y542/H542),"0")</f>
        <v>1.453125</v>
      </c>
    </row>
    <row r="543" spans="1:68" x14ac:dyDescent="0.2">
      <c r="A543" s="723"/>
      <c r="B543" s="723"/>
      <c r="C543" s="723"/>
      <c r="D543" s="723"/>
      <c r="E543" s="723"/>
      <c r="F543" s="723"/>
      <c r="G543" s="723"/>
      <c r="H543" s="723"/>
      <c r="I543" s="723"/>
      <c r="J543" s="723"/>
      <c r="K543" s="723"/>
      <c r="L543" s="723"/>
      <c r="M543" s="723"/>
      <c r="N543" s="723"/>
      <c r="O543" s="724"/>
      <c r="P543" s="720" t="s">
        <v>40</v>
      </c>
      <c r="Q543" s="721"/>
      <c r="R543" s="721"/>
      <c r="S543" s="721"/>
      <c r="T543" s="721"/>
      <c r="U543" s="721"/>
      <c r="V543" s="722"/>
      <c r="W543" s="42" t="s">
        <v>39</v>
      </c>
      <c r="X543" s="43">
        <f>IFERROR(X542/H542,"0")</f>
        <v>92.222222222222229</v>
      </c>
      <c r="Y543" s="43">
        <f>IFERROR(Y542/H542,"0")</f>
        <v>93</v>
      </c>
      <c r="Z543" s="43">
        <f>IFERROR(IF(Z542="",0,Z542),"0")</f>
        <v>1.7651399999999999</v>
      </c>
      <c r="AA543" s="67"/>
      <c r="AB543" s="67"/>
      <c r="AC543" s="67"/>
    </row>
    <row r="544" spans="1:68" x14ac:dyDescent="0.2">
      <c r="A544" s="723"/>
      <c r="B544" s="723"/>
      <c r="C544" s="723"/>
      <c r="D544" s="723"/>
      <c r="E544" s="723"/>
      <c r="F544" s="723"/>
      <c r="G544" s="723"/>
      <c r="H544" s="723"/>
      <c r="I544" s="723"/>
      <c r="J544" s="723"/>
      <c r="K544" s="723"/>
      <c r="L544" s="723"/>
      <c r="M544" s="723"/>
      <c r="N544" s="723"/>
      <c r="O544" s="724"/>
      <c r="P544" s="720" t="s">
        <v>40</v>
      </c>
      <c r="Q544" s="721"/>
      <c r="R544" s="721"/>
      <c r="S544" s="721"/>
      <c r="T544" s="721"/>
      <c r="U544" s="721"/>
      <c r="V544" s="722"/>
      <c r="W544" s="42" t="s">
        <v>0</v>
      </c>
      <c r="X544" s="43">
        <f>IFERROR(SUM(X542:X542),"0")</f>
        <v>830</v>
      </c>
      <c r="Y544" s="43">
        <f>IFERROR(SUM(Y542:Y542),"0")</f>
        <v>837</v>
      </c>
      <c r="Z544" s="42"/>
      <c r="AA544" s="67"/>
      <c r="AB544" s="67"/>
      <c r="AC544" s="67"/>
    </row>
    <row r="545" spans="1:68" ht="14.25" hidden="1" customHeight="1" x14ac:dyDescent="0.25">
      <c r="A545" s="714" t="s">
        <v>175</v>
      </c>
      <c r="B545" s="714"/>
      <c r="C545" s="714"/>
      <c r="D545" s="714"/>
      <c r="E545" s="714"/>
      <c r="F545" s="714"/>
      <c r="G545" s="714"/>
      <c r="H545" s="714"/>
      <c r="I545" s="714"/>
      <c r="J545" s="714"/>
      <c r="K545" s="714"/>
      <c r="L545" s="714"/>
      <c r="M545" s="714"/>
      <c r="N545" s="714"/>
      <c r="O545" s="714"/>
      <c r="P545" s="714"/>
      <c r="Q545" s="714"/>
      <c r="R545" s="714"/>
      <c r="S545" s="714"/>
      <c r="T545" s="714"/>
      <c r="U545" s="714"/>
      <c r="V545" s="714"/>
      <c r="W545" s="714"/>
      <c r="X545" s="714"/>
      <c r="Y545" s="714"/>
      <c r="Z545" s="714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715">
        <v>4640242180120</v>
      </c>
      <c r="E546" s="71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99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717"/>
      <c r="R546" s="717"/>
      <c r="S546" s="717"/>
      <c r="T546" s="71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715">
        <v>4640242180137</v>
      </c>
      <c r="E547" s="715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100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717"/>
      <c r="R547" s="717"/>
      <c r="S547" s="717"/>
      <c r="T547" s="71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23"/>
      <c r="B548" s="723"/>
      <c r="C548" s="723"/>
      <c r="D548" s="723"/>
      <c r="E548" s="723"/>
      <c r="F548" s="723"/>
      <c r="G548" s="723"/>
      <c r="H548" s="723"/>
      <c r="I548" s="723"/>
      <c r="J548" s="723"/>
      <c r="K548" s="723"/>
      <c r="L548" s="723"/>
      <c r="M548" s="723"/>
      <c r="N548" s="723"/>
      <c r="O548" s="724"/>
      <c r="P548" s="720" t="s">
        <v>40</v>
      </c>
      <c r="Q548" s="721"/>
      <c r="R548" s="721"/>
      <c r="S548" s="721"/>
      <c r="T548" s="721"/>
      <c r="U548" s="721"/>
      <c r="V548" s="722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723"/>
      <c r="B549" s="723"/>
      <c r="C549" s="723"/>
      <c r="D549" s="723"/>
      <c r="E549" s="723"/>
      <c r="F549" s="723"/>
      <c r="G549" s="723"/>
      <c r="H549" s="723"/>
      <c r="I549" s="723"/>
      <c r="J549" s="723"/>
      <c r="K549" s="723"/>
      <c r="L549" s="723"/>
      <c r="M549" s="723"/>
      <c r="N549" s="723"/>
      <c r="O549" s="724"/>
      <c r="P549" s="720" t="s">
        <v>40</v>
      </c>
      <c r="Q549" s="721"/>
      <c r="R549" s="721"/>
      <c r="S549" s="721"/>
      <c r="T549" s="721"/>
      <c r="U549" s="721"/>
      <c r="V549" s="722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713" t="s">
        <v>870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5"/>
      <c r="AB550" s="65"/>
      <c r="AC550" s="79"/>
    </row>
    <row r="551" spans="1:68" ht="14.25" hidden="1" customHeight="1" x14ac:dyDescent="0.25">
      <c r="A551" s="714" t="s">
        <v>158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715">
        <v>4640242180090</v>
      </c>
      <c r="E552" s="715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100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23"/>
      <c r="B553" s="723"/>
      <c r="C553" s="723"/>
      <c r="D553" s="723"/>
      <c r="E553" s="723"/>
      <c r="F553" s="723"/>
      <c r="G553" s="723"/>
      <c r="H553" s="723"/>
      <c r="I553" s="723"/>
      <c r="J553" s="723"/>
      <c r="K553" s="723"/>
      <c r="L553" s="723"/>
      <c r="M553" s="723"/>
      <c r="N553" s="723"/>
      <c r="O553" s="724"/>
      <c r="P553" s="720" t="s">
        <v>40</v>
      </c>
      <c r="Q553" s="721"/>
      <c r="R553" s="721"/>
      <c r="S553" s="721"/>
      <c r="T553" s="721"/>
      <c r="U553" s="721"/>
      <c r="V553" s="722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723"/>
      <c r="B554" s="723"/>
      <c r="C554" s="723"/>
      <c r="D554" s="723"/>
      <c r="E554" s="723"/>
      <c r="F554" s="723"/>
      <c r="G554" s="723"/>
      <c r="H554" s="723"/>
      <c r="I554" s="723"/>
      <c r="J554" s="723"/>
      <c r="K554" s="723"/>
      <c r="L554" s="723"/>
      <c r="M554" s="723"/>
      <c r="N554" s="723"/>
      <c r="O554" s="724"/>
      <c r="P554" s="720" t="s">
        <v>40</v>
      </c>
      <c r="Q554" s="721"/>
      <c r="R554" s="721"/>
      <c r="S554" s="721"/>
      <c r="T554" s="721"/>
      <c r="U554" s="721"/>
      <c r="V554" s="722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723"/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1005"/>
      <c r="P555" s="1002" t="s">
        <v>33</v>
      </c>
      <c r="Q555" s="1003"/>
      <c r="R555" s="1003"/>
      <c r="S555" s="1003"/>
      <c r="T555" s="1003"/>
      <c r="U555" s="1003"/>
      <c r="V555" s="1004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11049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11215.979999999998</v>
      </c>
      <c r="Z555" s="42"/>
      <c r="AA555" s="67"/>
      <c r="AB555" s="67"/>
      <c r="AC555" s="67"/>
    </row>
    <row r="556" spans="1:68" x14ac:dyDescent="0.2">
      <c r="A556" s="723"/>
      <c r="B556" s="723"/>
      <c r="C556" s="723"/>
      <c r="D556" s="723"/>
      <c r="E556" s="723"/>
      <c r="F556" s="723"/>
      <c r="G556" s="723"/>
      <c r="H556" s="723"/>
      <c r="I556" s="723"/>
      <c r="J556" s="723"/>
      <c r="K556" s="723"/>
      <c r="L556" s="723"/>
      <c r="M556" s="723"/>
      <c r="N556" s="723"/>
      <c r="O556" s="1005"/>
      <c r="P556" s="1002" t="s">
        <v>34</v>
      </c>
      <c r="Q556" s="1003"/>
      <c r="R556" s="1003"/>
      <c r="S556" s="1003"/>
      <c r="T556" s="1003"/>
      <c r="U556" s="1003"/>
      <c r="V556" s="1004"/>
      <c r="W556" s="42" t="s">
        <v>0</v>
      </c>
      <c r="X556" s="43">
        <f>IFERROR(SUM(BM22:BM552),"0")</f>
        <v>11933.436013283226</v>
      </c>
      <c r="Y556" s="43">
        <f>IFERROR(SUM(BN22:BN552),"0")</f>
        <v>12113.704000000002</v>
      </c>
      <c r="Z556" s="42"/>
      <c r="AA556" s="67"/>
      <c r="AB556" s="67"/>
      <c r="AC556" s="67"/>
    </row>
    <row r="557" spans="1:68" x14ac:dyDescent="0.2">
      <c r="A557" s="723"/>
      <c r="B557" s="723"/>
      <c r="C557" s="723"/>
      <c r="D557" s="723"/>
      <c r="E557" s="723"/>
      <c r="F557" s="723"/>
      <c r="G557" s="723"/>
      <c r="H557" s="723"/>
      <c r="I557" s="723"/>
      <c r="J557" s="723"/>
      <c r="K557" s="723"/>
      <c r="L557" s="723"/>
      <c r="M557" s="723"/>
      <c r="N557" s="723"/>
      <c r="O557" s="1005"/>
      <c r="P557" s="1002" t="s">
        <v>35</v>
      </c>
      <c r="Q557" s="1003"/>
      <c r="R557" s="1003"/>
      <c r="S557" s="1003"/>
      <c r="T557" s="1003"/>
      <c r="U557" s="1003"/>
      <c r="V557" s="1004"/>
      <c r="W557" s="42" t="s">
        <v>20</v>
      </c>
      <c r="X557" s="44">
        <f>ROUNDUP(SUM(BO22:BO552),0)</f>
        <v>22</v>
      </c>
      <c r="Y557" s="44">
        <f>ROUNDUP(SUM(BP22:BP552),0)</f>
        <v>22</v>
      </c>
      <c r="Z557" s="42"/>
      <c r="AA557" s="67"/>
      <c r="AB557" s="67"/>
      <c r="AC557" s="67"/>
    </row>
    <row r="558" spans="1:68" x14ac:dyDescent="0.2">
      <c r="A558" s="723"/>
      <c r="B558" s="723"/>
      <c r="C558" s="723"/>
      <c r="D558" s="723"/>
      <c r="E558" s="723"/>
      <c r="F558" s="723"/>
      <c r="G558" s="723"/>
      <c r="H558" s="723"/>
      <c r="I558" s="723"/>
      <c r="J558" s="723"/>
      <c r="K558" s="723"/>
      <c r="L558" s="723"/>
      <c r="M558" s="723"/>
      <c r="N558" s="723"/>
      <c r="O558" s="1005"/>
      <c r="P558" s="1002" t="s">
        <v>36</v>
      </c>
      <c r="Q558" s="1003"/>
      <c r="R558" s="1003"/>
      <c r="S558" s="1003"/>
      <c r="T558" s="1003"/>
      <c r="U558" s="1003"/>
      <c r="V558" s="1004"/>
      <c r="W558" s="42" t="s">
        <v>0</v>
      </c>
      <c r="X558" s="43">
        <f>GrossWeightTotal+PalletQtyTotal*25</f>
        <v>12483.436013283226</v>
      </c>
      <c r="Y558" s="43">
        <f>GrossWeightTotalR+PalletQtyTotalR*25</f>
        <v>12663.704000000002</v>
      </c>
      <c r="Z558" s="42"/>
      <c r="AA558" s="67"/>
      <c r="AB558" s="67"/>
      <c r="AC558" s="67"/>
    </row>
    <row r="559" spans="1:68" x14ac:dyDescent="0.2">
      <c r="A559" s="723"/>
      <c r="B559" s="723"/>
      <c r="C559" s="723"/>
      <c r="D559" s="723"/>
      <c r="E559" s="723"/>
      <c r="F559" s="723"/>
      <c r="G559" s="723"/>
      <c r="H559" s="723"/>
      <c r="I559" s="723"/>
      <c r="J559" s="723"/>
      <c r="K559" s="723"/>
      <c r="L559" s="723"/>
      <c r="M559" s="723"/>
      <c r="N559" s="723"/>
      <c r="O559" s="1005"/>
      <c r="P559" s="1002" t="s">
        <v>37</v>
      </c>
      <c r="Q559" s="1003"/>
      <c r="R559" s="1003"/>
      <c r="S559" s="1003"/>
      <c r="T559" s="1003"/>
      <c r="U559" s="1003"/>
      <c r="V559" s="1004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2886.7578010537773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2918</v>
      </c>
      <c r="Z559" s="42"/>
      <c r="AA559" s="67"/>
      <c r="AB559" s="67"/>
      <c r="AC559" s="67"/>
    </row>
    <row r="560" spans="1:68" ht="14.25" hidden="1" x14ac:dyDescent="0.2">
      <c r="A560" s="723"/>
      <c r="B560" s="723"/>
      <c r="C560" s="723"/>
      <c r="D560" s="723"/>
      <c r="E560" s="723"/>
      <c r="F560" s="723"/>
      <c r="G560" s="723"/>
      <c r="H560" s="723"/>
      <c r="I560" s="723"/>
      <c r="J560" s="723"/>
      <c r="K560" s="723"/>
      <c r="L560" s="723"/>
      <c r="M560" s="723"/>
      <c r="N560" s="723"/>
      <c r="O560" s="1005"/>
      <c r="P560" s="1002" t="s">
        <v>38</v>
      </c>
      <c r="Q560" s="1003"/>
      <c r="R560" s="1003"/>
      <c r="S560" s="1003"/>
      <c r="T560" s="1003"/>
      <c r="U560" s="1003"/>
      <c r="V560" s="1004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26.088540000000005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1006" t="s">
        <v>120</v>
      </c>
      <c r="E562" s="1006" t="s">
        <v>120</v>
      </c>
      <c r="F562" s="1006" t="s">
        <v>120</v>
      </c>
      <c r="G562" s="1006" t="s">
        <v>120</v>
      </c>
      <c r="H562" s="1006" t="s">
        <v>120</v>
      </c>
      <c r="I562" s="1006" t="s">
        <v>120</v>
      </c>
      <c r="J562" s="1006" t="s">
        <v>120</v>
      </c>
      <c r="K562" s="1006" t="s">
        <v>353</v>
      </c>
      <c r="L562" s="1006" t="s">
        <v>353</v>
      </c>
      <c r="M562" s="1006" t="s">
        <v>353</v>
      </c>
      <c r="N562" s="1007"/>
      <c r="O562" s="1006" t="s">
        <v>353</v>
      </c>
      <c r="P562" s="1006" t="s">
        <v>353</v>
      </c>
      <c r="Q562" s="1006" t="s">
        <v>353</v>
      </c>
      <c r="R562" s="1006" t="s">
        <v>353</v>
      </c>
      <c r="S562" s="1006" t="s">
        <v>353</v>
      </c>
      <c r="T562" s="1006" t="s">
        <v>353</v>
      </c>
      <c r="U562" s="1006" t="s">
        <v>353</v>
      </c>
      <c r="V562" s="1006" t="s">
        <v>353</v>
      </c>
      <c r="W562" s="1006" t="s">
        <v>702</v>
      </c>
      <c r="X562" s="1006" t="s">
        <v>702</v>
      </c>
      <c r="Y562" s="1006" t="s">
        <v>768</v>
      </c>
      <c r="Z562" s="1006" t="s">
        <v>768</v>
      </c>
      <c r="AA562" s="85" t="s">
        <v>804</v>
      </c>
      <c r="AB562" s="1006" t="s">
        <v>851</v>
      </c>
      <c r="AC562" s="1006" t="s">
        <v>851</v>
      </c>
      <c r="AF562" s="1"/>
    </row>
    <row r="563" spans="1:32" ht="14.25" customHeight="1" thickTop="1" x14ac:dyDescent="0.2">
      <c r="A563" s="1008" t="s">
        <v>10</v>
      </c>
      <c r="B563" s="1006" t="s">
        <v>76</v>
      </c>
      <c r="C563" s="1006" t="s">
        <v>104</v>
      </c>
      <c r="D563" s="1006" t="s">
        <v>121</v>
      </c>
      <c r="E563" s="1006" t="s">
        <v>137</v>
      </c>
      <c r="F563" s="1006" t="s">
        <v>182</v>
      </c>
      <c r="G563" s="1006" t="s">
        <v>203</v>
      </c>
      <c r="H563" s="1006" t="s">
        <v>243</v>
      </c>
      <c r="I563" s="1006" t="s">
        <v>267</v>
      </c>
      <c r="J563" s="1006" t="s">
        <v>120</v>
      </c>
      <c r="K563" s="1006" t="s">
        <v>354</v>
      </c>
      <c r="L563" s="1006" t="s">
        <v>375</v>
      </c>
      <c r="M563" s="1006" t="s">
        <v>442</v>
      </c>
      <c r="N563" s="1"/>
      <c r="O563" s="1006" t="s">
        <v>510</v>
      </c>
      <c r="P563" s="1006" t="s">
        <v>543</v>
      </c>
      <c r="Q563" s="1006" t="s">
        <v>559</v>
      </c>
      <c r="R563" s="1006" t="s">
        <v>568</v>
      </c>
      <c r="S563" s="1006" t="s">
        <v>589</v>
      </c>
      <c r="T563" s="1006" t="s">
        <v>598</v>
      </c>
      <c r="U563" s="1006" t="s">
        <v>682</v>
      </c>
      <c r="V563" s="1006" t="s">
        <v>692</v>
      </c>
      <c r="W563" s="1006" t="s">
        <v>703</v>
      </c>
      <c r="X563" s="1006" t="s">
        <v>752</v>
      </c>
      <c r="Y563" s="1006" t="s">
        <v>769</v>
      </c>
      <c r="Z563" s="1006" t="s">
        <v>792</v>
      </c>
      <c r="AA563" s="1006" t="s">
        <v>804</v>
      </c>
      <c r="AB563" s="1006" t="s">
        <v>851</v>
      </c>
      <c r="AC563" s="1006" t="s">
        <v>870</v>
      </c>
      <c r="AF563" s="1"/>
    </row>
    <row r="564" spans="1:32" ht="13.5" thickBot="1" x14ac:dyDescent="0.25">
      <c r="A564" s="1009"/>
      <c r="B564" s="1006"/>
      <c r="C564" s="1006"/>
      <c r="D564" s="1006"/>
      <c r="E564" s="1006"/>
      <c r="F564" s="1006"/>
      <c r="G564" s="1006"/>
      <c r="H564" s="1006"/>
      <c r="I564" s="1006"/>
      <c r="J564" s="1006"/>
      <c r="K564" s="1006"/>
      <c r="L564" s="1006"/>
      <c r="M564" s="1006"/>
      <c r="N564" s="1"/>
      <c r="O564" s="1006"/>
      <c r="P564" s="1006"/>
      <c r="Q564" s="1006"/>
      <c r="R564" s="1006"/>
      <c r="S564" s="1006"/>
      <c r="T564" s="1006"/>
      <c r="U564" s="1006"/>
      <c r="V564" s="1006"/>
      <c r="W564" s="1006"/>
      <c r="X564" s="1006"/>
      <c r="Y564" s="1006"/>
      <c r="Z564" s="1006"/>
      <c r="AA564" s="1006"/>
      <c r="AB564" s="1006"/>
      <c r="AC564" s="1006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289.60000000000002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747</v>
      </c>
      <c r="F565" s="52">
        <f>IFERROR(Y84*1,"0")+IFERROR(Y85*1,"0")+IFERROR(Y86*1,"0")+IFERROR(Y87*1,"0")+IFERROR(Y91*1,"0")+IFERROR(Y92*1,"0")+IFERROR(Y93*1,"0")+IFERROR(Y94*1,"0")</f>
        <v>1189.8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1832.7600000000002</v>
      </c>
      <c r="H565" s="52">
        <f>IFERROR(Y129*1,"0")+IFERROR(Y130*1,"0")+IFERROR(Y131*1,"0")+IFERROR(Y135*1,"0")+IFERROR(Y136*1,"0")+IFERROR(Y137*1,"0")+IFERROR(Y138*1,"0")+IFERROR(Y142*1,"0")+IFERROR(Y143*1,"0")+IFERROR(Y144*1,"0")</f>
        <v>112.32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635.74</v>
      </c>
      <c r="K565" s="52">
        <f>IFERROR(Y206*1,"0")+IFERROR(Y207*1,"0")+IFERROR(Y208*1,"0")+IFERROR(Y209*1,"0")+IFERROR(Y210*1,"0")+IFERROR(Y211*1,"0")+IFERROR(Y212*1,"0")</f>
        <v>54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350.70000000000005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1951.7999999999997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33.659999999999997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362.4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366.6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862.00000000000011</v>
      </c>
      <c r="U565" s="52">
        <f>IFERROR(Y413*1,"0")+IFERROR(Y414*1,"0")</f>
        <v>0</v>
      </c>
      <c r="V565" s="52">
        <f>IFERROR(Y419*1,"0")+IFERROR(Y420*1,"0")+IFERROR(Y421*1,"0")</f>
        <v>457.80000000000007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168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856.80000000000007</v>
      </c>
      <c r="AB565" s="52">
        <f>IFERROR(Y530*1,"0")+IFERROR(Y534*1,"0")+IFERROR(Y538*1,"0")+IFERROR(Y542*1,"0")+IFERROR(Y546*1,"0")+IFERROR(Y547*1,"0")</f>
        <v>945</v>
      </c>
      <c r="AC565" s="52">
        <f>IFERROR(Y552*1,"0")</f>
        <v>0</v>
      </c>
      <c r="AF565" s="1"/>
    </row>
  </sheetData>
  <sheetProtection algorithmName="SHA-512" hashValue="W6xKtQtov4L4myRjPs6AGslIaGv3M7DM6ryDyvZMUY8LKHkWJ71E2pABeLsF7NTOJPE3443iXaEXaMPOZo6Gog==" saltValue="mUkFJ3PFyT1ATOvIhq7cWw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480,00"/>
        <filter val="100,00"/>
        <filter val="105,00"/>
        <filter val="109,26"/>
        <filter val="11 049,00"/>
        <filter val="11 933,44"/>
        <filter val="112,00"/>
        <filter val="116,67"/>
        <filter val="12 483,44"/>
        <filter val="12,50"/>
        <filter val="120,00"/>
        <filter val="135,00"/>
        <filter val="140,00"/>
        <filter val="150,00"/>
        <filter val="157,14"/>
        <filter val="16,67"/>
        <filter val="160,00"/>
        <filter val="175,00"/>
        <filter val="182,72"/>
        <filter val="185,00"/>
        <filter val="192,59"/>
        <filter val="2 886,76"/>
        <filter val="20,00"/>
        <filter val="200,00"/>
        <filter val="210,00"/>
        <filter val="216,67"/>
        <filter val="22"/>
        <filter val="240,00"/>
        <filter val="266,67"/>
        <filter val="280,00"/>
        <filter val="30,00"/>
        <filter val="300,00"/>
        <filter val="31,44"/>
        <filter val="310,00"/>
        <filter val="315,00"/>
        <filter val="319,75"/>
        <filter val="320,00"/>
        <filter val="33,00"/>
        <filter val="345,00"/>
        <filter val="35,00"/>
        <filter val="350,00"/>
        <filter val="360,00"/>
        <filter val="369,52"/>
        <filter val="370,00"/>
        <filter val="4,63"/>
        <filter val="40,00"/>
        <filter val="400,00"/>
        <filter val="415,00"/>
        <filter val="44,87"/>
        <filter val="450,00"/>
        <filter val="455,00"/>
        <filter val="50,00"/>
        <filter val="51,11"/>
        <filter val="54,63"/>
        <filter val="550,00"/>
        <filter val="56,00"/>
        <filter val="570,00"/>
        <filter val="58,33"/>
        <filter val="6,67"/>
        <filter val="60,00"/>
        <filter val="62,69"/>
        <filter val="630,00"/>
        <filter val="680,00"/>
        <filter val="70,00"/>
        <filter val="70,60"/>
        <filter val="73,48"/>
        <filter val="760,00"/>
        <filter val="79,26"/>
        <filter val="8,33"/>
        <filter val="830,00"/>
        <filter val="92,22"/>
        <filter val="970,00"/>
      </filters>
    </filterColumn>
    <filterColumn colId="29" showButton="0"/>
    <filterColumn colId="30" showButton="0"/>
  </autoFilter>
  <dataConsolidate/>
  <mergeCells count="995"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9" spans="2:8" x14ac:dyDescent="0.2">
      <c r="B9" s="53" t="s">
        <v>883</v>
      </c>
      <c r="C9" s="53" t="s">
        <v>878</v>
      </c>
      <c r="D9" s="53" t="s">
        <v>46</v>
      </c>
      <c r="E9" s="53" t="s">
        <v>46</v>
      </c>
    </row>
    <row r="11" spans="2:8" x14ac:dyDescent="0.2">
      <c r="B11" s="53" t="s">
        <v>883</v>
      </c>
      <c r="C11" s="53" t="s">
        <v>881</v>
      </c>
      <c r="D11" s="53" t="s">
        <v>46</v>
      </c>
      <c r="E11" s="53" t="s">
        <v>46</v>
      </c>
    </row>
    <row r="13" spans="2:8" x14ac:dyDescent="0.2">
      <c r="B13" s="53" t="s">
        <v>884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</sheetData>
  <sheetProtection algorithmName="SHA-512" hashValue="GpFm4YsdmBoNDdBmvCk/8x8PC7shbvwLfboWgKcbwIPEf3WEeyTJNpyt3/JSTMkq307BSLAYC9LQJtK874uGtg==" saltValue="pyUt+4FPmuV9o1PK5EZv7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2026-08-14T11:12:38Z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