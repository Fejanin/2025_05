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E1F27E-4495-4CE9-8CA5-7DFE2424B8E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Z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Z487" i="2" s="1"/>
  <c r="Z488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Z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Z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P319" i="2"/>
  <c r="BO319" i="2"/>
  <c r="BM319" i="2"/>
  <c r="Y319" i="2"/>
  <c r="BN319" i="2" s="1"/>
  <c r="P319" i="2"/>
  <c r="BO318" i="2"/>
  <c r="BM318" i="2"/>
  <c r="Y318" i="2"/>
  <c r="P318" i="2"/>
  <c r="BO317" i="2"/>
  <c r="BM317" i="2"/>
  <c r="Z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Z301" i="2"/>
  <c r="Y301" i="2"/>
  <c r="BN301" i="2" s="1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Z257" i="2"/>
  <c r="Y257" i="2"/>
  <c r="BN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BN206" i="2" s="1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Z166" i="2"/>
  <c r="Y166" i="2"/>
  <c r="BN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P143" i="2"/>
  <c r="BO142" i="2"/>
  <c r="BM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O109" i="2"/>
  <c r="BM109" i="2"/>
  <c r="Y109" i="2"/>
  <c r="BP109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N27" i="2" l="1"/>
  <c r="BN38" i="2"/>
  <c r="BN50" i="2"/>
  <c r="BN137" i="2"/>
  <c r="BN178" i="2"/>
  <c r="BP206" i="2"/>
  <c r="Y358" i="2"/>
  <c r="BN380" i="2"/>
  <c r="BN445" i="2"/>
  <c r="BN57" i="2"/>
  <c r="Z67" i="2"/>
  <c r="BN67" i="2"/>
  <c r="Z84" i="2"/>
  <c r="BN84" i="2"/>
  <c r="BN85" i="2"/>
  <c r="Z94" i="2"/>
  <c r="BN94" i="2"/>
  <c r="BN109" i="2"/>
  <c r="Z142" i="2"/>
  <c r="I564" i="2"/>
  <c r="BN151" i="2"/>
  <c r="Z153" i="2"/>
  <c r="BP166" i="2"/>
  <c r="Z206" i="2"/>
  <c r="Z210" i="2"/>
  <c r="BN210" i="2"/>
  <c r="Z225" i="2"/>
  <c r="Z241" i="2"/>
  <c r="Z274" i="2"/>
  <c r="Z280" i="2"/>
  <c r="BN284" i="2"/>
  <c r="Z299" i="2"/>
  <c r="BP301" i="2"/>
  <c r="BP317" i="2"/>
  <c r="Z327" i="2"/>
  <c r="BN334" i="2"/>
  <c r="Z335" i="2"/>
  <c r="Z344" i="2"/>
  <c r="BP355" i="2"/>
  <c r="Z364" i="2"/>
  <c r="Z394" i="2"/>
  <c r="Z406" i="2"/>
  <c r="BN406" i="2"/>
  <c r="Z474" i="2"/>
  <c r="Z513" i="2"/>
  <c r="BP217" i="2"/>
  <c r="BP232" i="2"/>
  <c r="BN487" i="2"/>
  <c r="BN521" i="2"/>
  <c r="BP529" i="2"/>
  <c r="BN533" i="2"/>
  <c r="Z48" i="2"/>
  <c r="Z101" i="2"/>
  <c r="BP101" i="2"/>
  <c r="Z112" i="2"/>
  <c r="BP119" i="2"/>
  <c r="BP144" i="2"/>
  <c r="BP155" i="2"/>
  <c r="Z170" i="2"/>
  <c r="Z172" i="2" s="1"/>
  <c r="Z180" i="2"/>
  <c r="Z217" i="2"/>
  <c r="Z218" i="2" s="1"/>
  <c r="Z223" i="2"/>
  <c r="BP223" i="2"/>
  <c r="Z232" i="2"/>
  <c r="Y254" i="2"/>
  <c r="Z258" i="2"/>
  <c r="Z288" i="2"/>
  <c r="Z309" i="2"/>
  <c r="Z310" i="2" s="1"/>
  <c r="Y310" i="2"/>
  <c r="BP365" i="2"/>
  <c r="Y389" i="2"/>
  <c r="BP386" i="2"/>
  <c r="Z388" i="2"/>
  <c r="Y421" i="2"/>
  <c r="BN37" i="2"/>
  <c r="Z38" i="2"/>
  <c r="BN39" i="2"/>
  <c r="Z50" i="2"/>
  <c r="Y80" i="2"/>
  <c r="Z109" i="2"/>
  <c r="Z113" i="2"/>
  <c r="Z119" i="2"/>
  <c r="Z144" i="2"/>
  <c r="Z150" i="2"/>
  <c r="Z155" i="2"/>
  <c r="Z178" i="2"/>
  <c r="BN191" i="2"/>
  <c r="BP241" i="2"/>
  <c r="Z268" i="2"/>
  <c r="BP274" i="2"/>
  <c r="Z284" i="2"/>
  <c r="BN317" i="2"/>
  <c r="Z343" i="2"/>
  <c r="Z365" i="2"/>
  <c r="Z373" i="2"/>
  <c r="BP375" i="2"/>
  <c r="Z386" i="2"/>
  <c r="Z389" i="2" s="1"/>
  <c r="BP401" i="2"/>
  <c r="Y409" i="2"/>
  <c r="Z418" i="2"/>
  <c r="BP418" i="2"/>
  <c r="BN419" i="2"/>
  <c r="BN430" i="2"/>
  <c r="Z443" i="2"/>
  <c r="BN456" i="2"/>
  <c r="BN500" i="2"/>
  <c r="Z519" i="2"/>
  <c r="Z533" i="2"/>
  <c r="Z534" i="2" s="1"/>
  <c r="Z57" i="2"/>
  <c r="Z78" i="2"/>
  <c r="BP78" i="2"/>
  <c r="Z92" i="2"/>
  <c r="BP138" i="2"/>
  <c r="BP142" i="2"/>
  <c r="BP153" i="2"/>
  <c r="BP176" i="2"/>
  <c r="BN238" i="2"/>
  <c r="BP280" i="2"/>
  <c r="BN288" i="2"/>
  <c r="Y311" i="2"/>
  <c r="BP335" i="2"/>
  <c r="BP342" i="2"/>
  <c r="S564" i="2"/>
  <c r="BP354" i="2"/>
  <c r="Z356" i="2"/>
  <c r="Z363" i="2"/>
  <c r="BP364" i="2"/>
  <c r="Y396" i="2"/>
  <c r="BN407" i="2"/>
  <c r="BN493" i="2"/>
  <c r="BN505" i="2"/>
  <c r="BN512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7" i="2" s="1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BN349" i="2"/>
  <c r="Z361" i="2"/>
  <c r="Z366" i="2" s="1"/>
  <c r="Z371" i="2"/>
  <c r="Z381" i="2"/>
  <c r="BN393" i="2"/>
  <c r="BP405" i="2"/>
  <c r="Y415" i="2"/>
  <c r="Z427" i="2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139" i="2" s="1"/>
  <c r="Z226" i="2"/>
  <c r="Z246" i="2"/>
  <c r="Y260" i="2"/>
  <c r="Z269" i="2"/>
  <c r="Z279" i="2"/>
  <c r="Z300" i="2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306" i="2" l="1"/>
  <c r="Z275" i="2"/>
  <c r="Z249" i="2"/>
  <c r="Z483" i="2"/>
  <c r="Z434" i="2"/>
  <c r="Z329" i="2"/>
  <c r="Z32" i="2"/>
  <c r="Z186" i="2"/>
  <c r="Z421" i="2"/>
  <c r="Z357" i="2"/>
  <c r="Z24" i="2"/>
  <c r="Z451" i="2"/>
  <c r="Z295" i="2"/>
  <c r="Z514" i="2"/>
  <c r="Z467" i="2"/>
  <c r="Z114" i="2"/>
  <c r="Z167" i="2"/>
  <c r="Z88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<sst xmlns="http://schemas.openxmlformats.org/spreadsheetml/2006/main" count="4264" uniqueCount="914">
  <si>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</si>
  <si>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</si>
  <si>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</si>
  <si>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</si>
  <si>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</si>
  <si>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</si>
  <si>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</si>
  <si>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</si>
  <si>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</si>
  <si>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</si>
  <si>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</si>
  <si>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</si>
  <si>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</si>
  <si>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</si>
  <si>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</si>
  <si>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</si>
  <si>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</si>
  <si>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</si>
  <si>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</si>
  <si>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</si>
  <si>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</si>
  <si>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</si>
  <si>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</si>
  <si>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</si>
  <si>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</si>
  <si>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</si>
  <si>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</si>
  <si>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</si>
  <si>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</si>
  <si>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</si>
  <si>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</si>
  <si>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</si>
  <si>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</si>
  <si>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</si>
  <si>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</si>
  <si>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</si>
  <si>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</si>
  <si>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</si>
  <si>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</si>
  <si>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</si>
  <si>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</si>
  <si>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</si>
  <si>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</si>
  <si>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</si>
  <si>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</si>
  <si>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</si>
  <si>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</si>
  <si>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</si>
  <si>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</si>
  <si>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</si>
  <si>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</si>
  <si>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</si>
  <si>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</si>
  <si>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</si>
  <si>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</si>
  <si>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</si>
  <si>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</si>
  <si>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</si>
  <si>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</si>
  <si>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</si>
  <si>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</si>
  <si>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</si>
  <si>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</si>
  <si>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</si>
  <si>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</si>
  <si>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</si>
  <si>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</si>
  <si>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</si>
  <si>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</si>
  <si>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</si>
  <si>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</si>
  <si>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</si>
  <si>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</si>
  <si>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</si>
  <si>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</si>
  <si>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</si>
  <si>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</si>
  <si>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</si>
  <si>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</si>
  <si>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</si>
  <si>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</si>
  <si>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</si>
  <si>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</si>
  <si>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</si>
  <si>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</si>
  <si>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</si>
  <si>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</si>
  <si>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</si>
  <si>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</si>
  <si>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</si>
  <si>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</si>
  <si>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</si>
  <si>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</si>
  <si>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</si>
  <si>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</si>
  <si>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</si>
  <si>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</si>
  <si>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</si>
  <si>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</si>
  <si>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</si>
  <si>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</si>
  <si>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</si>
  <si>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</si>
  <si>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</si>
  <si>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</si>
  <si>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</si>
  <si>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</si>
  <si>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</si>
  <si>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</si>
  <si>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</si>
  <si>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</si>
  <si>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</si>
  <si>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</si>
  <si>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</si>
  <si>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</si>
  <si>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</si>
  <si>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</si>
  <si>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</si>
  <si>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</si>
  <si>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</si>
  <si>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</si>
  <si>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</si>
  <si>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</si>
  <si>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</si>
  <si>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</si>
  <si>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</si>
  <si>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</si>
  <si>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</si>
  <si>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</si>
  <si>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</si>
  <si>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</si>
  <si>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</si>
  <si>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</si>
  <si>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</si>
  <si>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</si>
  <si>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</si>
  <si>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</si>
  <si>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</si>
  <si>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</si>
  <si>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</si>
  <si>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</si>
  <si>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</si>
  <si>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</si>
  <si>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</si>
  <si>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</si>
  <si>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</si>
  <si>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</si>
  <si>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</si>
  <si>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</si>
  <si>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</si>
  <si>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</si>
  <si>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</si>
  <si>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</si>
  <si>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</si>
  <si>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</si>
  <si>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</si>
  <si>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</si>
  <si>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</si>
  <si>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</si>
  <si>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</si>
  <si>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</si>
  <si>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</si>
  <si>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</si>
  <si>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</si>
  <si>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</si>
  <si>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</si>
  <si>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</si>
  <si>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</si>
  <si>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</si>
  <si>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</si>
  <si>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</si>
  <si>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</si>
  <si>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</si>
  <si>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</si>
  <si>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</si>
  <si>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</si>
  <si>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</si>
  <si>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</si>
  <si>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</si>
  <si>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</si>
  <si>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</si>
  <si>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</si>
  <si>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</si>
  <si>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</si>
  <si>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</si>
  <si>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</si>
  <si>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</si>
  <si>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</si>
  <si>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</si>
  <si>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</si>
  <si>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</si>
  <si>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</si>
  <si>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</si>
  <si>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</si>
  <si>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</si>
  <si>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</si>
  <si>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</si>
  <si>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</si>
  <si>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</si>
  <si>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</si>
  <si>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</si>
  <si>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</si>
  <si>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</si>
  <si>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</si>
  <si>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</si>
  <si>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</si>
  <si>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</si>
  <si>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</si>
  <si>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</si>
  <si>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</si>
  <si>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</si>
  <si>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</si>
  <si>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</si>
  <si>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</si>
  <si>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</si>
  <si>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</si>
  <si>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</si>
  <si>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</si>
  <si>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</si>
  <si>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</si>
  <si>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</si>
  <si>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</si>
  <si>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</si>
  <si>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</si>
  <si>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</si>
  <si>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</si>
  <si>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</si>
  <si>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</si>
  <si>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</si>
  <si>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</si>
  <si>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</si>
  <si>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</si>
  <si>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</si>
  <si>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</si>
  <si>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</si>
  <si>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</si>
  <si>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</si>
  <si>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</si>
  <si>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</si>
  <si>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</si>
  <si>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</si>
  <si>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</si>
  <si>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</si>
  <si>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</si>
  <si>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</si>
  <si>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</si>
  <si>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</si>
  <si>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</si>
  <si>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</si>
  <si>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</si>
  <si>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</si>
  <si>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</si>
  <si>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</si>
  <si>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</si>
  <si>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</si>
  <si>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</si>
  <si>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</si>
  <si>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</si>
  <si>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</si>
  <si>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</si>
  <si>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</si>
  <si>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</si>
  <si>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</si>
  <si>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</si>
  <si>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</si>
  <si>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</si>
  <si>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</si>
  <si>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</si>
  <si>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</si>
  <si>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</si>
  <si>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</si>
  <si>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</si>
  <si>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</si>
  <si>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</si>
  <si>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</si>
  <si>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</si>
  <si>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</si>
  <si>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</si>
  <si>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</si>
  <si>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</si>
  <si>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</si>
  <si>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</si>
  <si>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</si>
  <si>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</si>
  <si>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</si>
  <si>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</si>
  <si>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</si>
  <si>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</si>
  <si>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</si>
  <si>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</si>
  <si>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</si>
  <si>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</si>
  <si>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</si>
  <si>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</si>
  <si>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</si>
  <si>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</si>
  <si>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</si>
  <si>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</si>
  <si>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</si>
  <si>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</si>
  <si>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</si>
  <si>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</si>
  <si>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</si>
  <si>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</si>
  <si>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</si>
  <si>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</si>
  <si>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</si>
  <si>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</si>
  <si>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</si>
  <si>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</si>
  <si>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</si>
  <si>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</si>
  <si>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</si>
  <si>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</si>
  <si>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</si>
  <si>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</si>
  <si>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</si>
  <si>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</si>
  <si>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</si>
  <si>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</si>
  <si>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</si>
  <si>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</si>
  <si>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</si>
  <si>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</si>
  <si>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</si>
  <si>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</si>
  <si>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</si>
  <si>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</si>
  <si>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</si>
  <si>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</si>
  <si>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</si>
  <si>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</si>
  <si>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</si>
  <si>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</si>
  <si>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</si>
  <si>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</si>
  <si>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</si>
  <si>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</si>
  <si>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</si>
  <si>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</si>
  <si>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</si>
  <si>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</si>
  <si>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</si>
  <si>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</si>
  <si>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</si>
  <si>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</si>
  <si>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</si>
  <si>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</si>
  <si>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</si>
  <si>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</si>
  <si>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</si>
  <si>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</si>
  <si>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</si>
  <si>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</si>
  <si>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</si>
  <si>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</si>
  <si>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</si>
  <si>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</si>
  <si>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</si>
  <si>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</si>
  <si>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</si>
  <si>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</si>
  <si>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</si>
  <si>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</si>
  <si>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</si>
  <si>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</si>
  <si>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</si>
  <si>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</si>
  <si>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</si>
  <si>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</si>
  <si>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</si>
  <si>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</si>
  <si>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</si>
  <si>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</si>
  <si>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</si>
  <si>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</si>
  <si>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</si>
  <si>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</si>
  <si>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</si>
  <si>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</si>
  <si>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</si>
  <si>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</si>
  <si>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</si>
  <si>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</si>
  <si>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</si>
  <si>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</si>
  <si>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</si>
  <si>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</si>
  <si>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</si>
  <si>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</si>
  <si>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</si>
  <si>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</si>
  <si>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</si>
  <si>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</si>
  <si>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</si>
  <si>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</si>
  <si>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</si>
  <si>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</si>
  <si>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</si>
  <si>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</si>
  <si>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</si>
  <si>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</si>
  <si>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</si>
  <si>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</si>
  <si>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</si>
  <si>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</si>
  <si>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</si>
  <si>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</si>
  <si>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</si>
  <si>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</si>
  <si>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</si>
  <si>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</si>
  <si>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</si>
  <si>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</si>
  <si>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</si>
  <si>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</si>
  <si>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</si>
  <si>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</si>
  <si>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</si>
  <si>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</si>
  <si>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</si>
  <si>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</si>
  <si>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</si>
  <si>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</si>
  <si>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</si>
  <si>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</si>
  <si>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</si>
  <si>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</si>
  <si>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</si>
  <si>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</si>
  <si>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</si>
  <si>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</si>
  <si>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</si>
  <si>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</si>
  <si>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</si>
  <si>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</si>
  <si>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</si>
  <si>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</si>
  <si>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</si>
  <si>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</si>
  <si>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</si>
  <si>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</si>
  <si>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</si>
  <si>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</si>
  <si>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</si>
  <si>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</si>
  <si>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</si>
  <si>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</si>
  <si>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</si>
  <si>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</si>
  <si>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</si>
  <si>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</si>
  <si>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</si>
  <si>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</si>
  <si>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</si>
  <si>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</si>
  <si>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</si>
  <si>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</si>
  <si>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</si>
  <si>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</si>
  <si>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</si>
  <si>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</si>
  <si>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</si>
  <si>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</si>
  <si>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</si>
  <si>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</si>
  <si>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</si>
  <si>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</si>
  <si>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</si>
  <si>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</si>
  <si>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</si>
  <si>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</si>
  <si>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</si>
  <si>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</si>
  <si>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</si>
  <si>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</si>
  <si>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</si>
  <si>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</si>
  <si>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</si>
  <si>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</si>
  <si>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</si>
  <si>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</si>
  <si>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</si>
  <si>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</si>
  <si>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</si>
  <si>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</si>
  <si>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</si>
  <si>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</si>
  <si>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</si>
  <si>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</si>
  <si>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</si>
  <si>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</si>
  <si>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</si>
  <si>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</si>
  <si>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</si>
  <si>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</si>
  <si>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</si>
  <si>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</si>
  <si>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</si>
  <si>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</si>
  <si>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</si>
  <si>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</si>
  <si>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</si>
  <si>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</si>
  <si>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</si>
  <si>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</si>
  <si>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</si>
  <si>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</si>
  <si>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</si>
  <si>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</si>
  <si>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</si>
  <si>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</si>
  <si>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</si>
  <si>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</si>
  <si>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</si>
  <si>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</si>
  <si>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</si>
  <si>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</si>
  <si>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</si>
  <si>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</si>
  <si>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</si>
  <si>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</si>
  <si>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</si>
  <si>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</si>
  <si>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</si>
  <si>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</si>
  <si>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</si>
  <si>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</si>
  <si>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</si>
  <si>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</si>
  <si>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</si>
  <si>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</si>
  <si>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</si>
  <si>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</si>
  <si>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</si>
  <si>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</si>
  <si>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</si>
  <si>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</si>
  <si>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</si>
  <si>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</si>
  <si>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</si>
  <si>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</si>
  <si>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</si>
  <si>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</si>
  <si>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</si>
  <si>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</si>
  <si>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</si>
  <si>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</si>
  <si>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</si>
  <si>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</si>
  <si>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</si>
  <si>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</si>
  <si>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</si>
  <si>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</si>
  <si>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</si>
  <si>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</si>
  <si>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</si>
  <si>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</si>
  <si>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</si>
  <si>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</si>
  <si>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</si>
  <si>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</si>
  <si>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</si>
  <si>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</si>
  <si>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</si>
  <si>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</si>
  <si>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</si>
  <si>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</si>
  <si>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</si>
  <si>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</si>
  <si>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</si>
  <si>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</si>
  <si>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</si>
  <si>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</si>
  <si>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</si>
  <si>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</si>
  <si>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</si>
  <si>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</si>
  <si>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</si>
  <si>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</si>
  <si>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</si>
  <si>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</si>
  <si>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</si>
  <si>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</si>
  <si>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</si>
  <si>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</si>
  <si>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</si>
  <si>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</si>
  <si>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</si>
  <si>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</si>
  <si>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</si>
  <si>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</si>
  <si>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</si>
  <si>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</si>
  <si>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</si>
  <si>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</si>
  <si>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</si>
  <si>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</si>
  <si>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</si>
  <si>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</si>
  <si>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</si>
  <si>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</si>
  <si>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</si>
  <si>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</si>
  <si>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</si>
  <si>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</si>
  <si>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</si>
  <si>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</si>
  <si>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</si>
  <si>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</si>
  <si>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</si>
  <si>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</si>
  <si>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</si>
  <si>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</si>
  <si>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</si>
  <si>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</si>
  <si>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</si>
  <si>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</si>
  <si>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</si>
  <si>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</si>
  <si>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</si>
  <si>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</si>
  <si>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</si>
  <si>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</si>
  <si>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</si>
  <si>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</si>
  <si>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</si>
  <si>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</si>
  <si>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</si>
  <si>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</si>
  <si>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</si>
  <si>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</si>
  <si>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</si>
  <si>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</si>
  <si>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</si>
  <si>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</si>
  <si>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</si>
  <si>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</si>
  <si>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</si>
  <si>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</si>
  <si>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</si>
  <si>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</si>
  <si>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</si>
  <si>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</si>
  <si>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</si>
  <si>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</si>
  <si>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</si>
  <si>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</si>
  <si>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</si>
  <si>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</si>
  <si>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</si>
  <si>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</si>
  <si>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</si>
  <si>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</si>
  <si>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</si>
  <si>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</si>
  <si>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</si>
  <si>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</si>
  <si>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</si>
  <si>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</si>
  <si>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</si>
  <si>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</si>
  <si>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</si>
  <si>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</si>
  <si>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</si>
  <si>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</si>
  <si>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</si>
  <si>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</si>
  <si>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</si>
  <si>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</si>
  <si>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</si>
  <si>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</si>
  <si>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</si>
  <si>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</si>
  <si>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</si>
  <si>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</si>
  <si>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</si>
  <si>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</si>
  <si>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</si>
  <si>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</si>
  <si>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</si>
  <si>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</si>
  <si>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</si>
  <si>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</si>
  <si>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</si>
  <si>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</si>
  <si>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</si>
  <si>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</si>
  <si>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</si>
  <si>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</si>
  <si>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</si>
  <si>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</si>
  <si>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</si>
  <si>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</si>
  <si>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</si>
  <si>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</si>
  <si>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</si>
  <si>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</si>
  <si>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</si>
  <si>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</si>
  <si>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</si>
  <si>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</si>
  <si>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</si>
  <si>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</si>
  <si>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</si>
  <si>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</si>
  <si>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</si>
  <si>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</si>
  <si>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</si>
  <si>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</si>
  <si>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</si>
  <si>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</si>
  <si>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</si>
  <si>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</si>
  <si>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</si>
  <si>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</si>
  <si>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</si>
  <si>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</si>
  <si>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</si>
  <si>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</si>
  <si>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</si>
  <si>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</si>
  <si>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</si>
  <si>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</si>
  <si>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</si>
  <si>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</si>
  <si>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</si>
  <si>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</si>
  <si>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</si>
  <si>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</si>
  <si>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</si>
  <si>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</si>
  <si>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</si>
  <si>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</si>
  <si>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</si>
  <si>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</si>
  <si>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</si>
  <si>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</si>
  <si>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</si>
  <si>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</si>
  <si>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</si>
  <si>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</si>
  <si>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</si>
  <si>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</si>
  <si>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</si>
  <si>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</si>
  <si>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</si>
  <si>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</si>
  <si>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</si>
  <si>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</si>
  <si>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</si>
  <si>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</si>
  <si>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</si>
  <si>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</si>
  <si>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</si>
  <si>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</si>
  <si>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</si>
  <si>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</si>
  <si>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</si>
  <si>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</si>
  <si>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</si>
  <si>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</si>
  <si>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</si>
  <si>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</si>
  <si>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</si>
  <si>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</si>
  <si>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</si>
  <si>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</si>
  <si>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</si>
  <si>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</si>
  <si>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</si>
  <si>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</si>
  <si>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</si>
  <si>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</si>
  <si>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</si>
  <si>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</si>
  <si>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</si>
  <si>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</si>
  <si>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</si>
  <si>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</si>
  <si>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</si>
  <si>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</si>
  <si>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</si>
  <si>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</si>
  <si>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</si>
  <si>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</si>
  <si>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</si>
  <si>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</si>
  <si>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</si>
  <si>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</si>
  <si>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</si>
  <si>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</si>
  <si>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</si>
  <si>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</si>
  <si>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</si>
  <si>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</si>
  <si>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</si>
  <si>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</si>
  <si>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</si>
  <si>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</si>
  <si>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</si>
  <si>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</si>
  <si>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</si>
  <si>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</si>
  <si>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</si>
  <si>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</si>
  <si>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</si>
  <si>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</si>
  <si>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</si>
  <si>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</si>
  <si>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</si>
  <si>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</si>
  <si>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</si>
  <si>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</si>
  <si>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</si>
  <si>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</si>
  <si>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</si>
  <si>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</si>
  <si>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</si>
  <si>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</si>
  <si>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</si>
  <si>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</si>
  <si>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</si>
  <si>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</si>
  <si>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</si>
  <si>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</si>
  <si>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</si>
  <si>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</si>
  <si>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</si>
  <si>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</si>
  <si>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</si>
  <si>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</si>
  <si>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</si>
  <si>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</si>
  <si>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</si>
  <si>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</si>
  <si>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</si>
  <si>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</si>
  <si>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</si>
  <si>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</si>
  <si>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</si>
  <si>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</si>
  <si>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</si>
  <si>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</si>
  <si>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</si>
  <si>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</si>
  <si>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</si>
  <si>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</si>
  <si>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</si>
  <si>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</si>
  <si>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</si>
  <si>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</si>
  <si>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</si>
  <si>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</si>
  <si>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</si>
  <si>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</si>
  <si>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</si>
  <si>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</si>
  <si>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</si>
  <si>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</si>
  <si>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</si>
  <si>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</si>
  <si>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</si>
  <si>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</si>
  <si>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</si>
  <si>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</si>
  <si>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</si>
  <si>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</si>
  <si>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</si>
  <si>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</si>
  <si>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</si>
  <si>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</si>
  <si>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</si>
  <si>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</si>
  <si>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</si>
  <si>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</si>
  <si>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</si>
  <si>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</si>
  <si>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</si>
  <si>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</si>
  <si>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</si>
  <si>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</si>
  <si>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</si>
  <si>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</si>
  <si>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</si>
  <si>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</si>
  <si>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</si>
  <si>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</si>
  <si>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</si>
  <si>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</si>
  <si>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</si>
  <si>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</si>
  <si>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</si>
  <si>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</si>
  <si>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</si>
  <si>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</si>
  <si>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</si>
  <si>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</si>
  <si>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</si>
  <si>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</si>
  <si>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</si>
  <si>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</si>
  <si>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</si>
  <si>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</si>
  <si>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</si>
  <si>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</si>
  <si>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</si>
  <si>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</si>
  <si>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</si>
  <si>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</si>
  <si>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</si>
  <si>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</si>
  <si>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</si>
  <si>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TSO001085425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</si>
</sst>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 t="s">
        <v>913</v>
      </c>
      <c r="I5" s="1000"/>
      <c r="J5" s="1000"/>
      <c r="K5" s="1000"/>
      <c r="L5" s="1000"/>
      <c r="M5" s="1000"/>
      <c r="N5" s="72"/>
      <c r="P5" s="27" t="s">
        <v>4</v>
      </c>
      <c r="Q5" s="1002">
        <v>46252</v>
      </c>
      <c r="R5" s="1002"/>
      <c r="T5" s="1003" t="s">
        <v>3</v>
      </c>
      <c r="U5" s="1004"/>
      <c r="V5" s="1005" t="s">
        <v>872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 t="s">
        <v>891</v>
      </c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Вторник</v>
      </c>
      <c r="R6" s="980"/>
      <c r="T6" s="981" t="s">
        <v>5</v>
      </c>
      <c r="U6" s="982"/>
      <c r="V6" s="983" t="s">
        <v>69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 t="str">
        <f>IFERROR(VLOOKUP(DeliveryAddress,Table,3,0),1)</f>
        <v>7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57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70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912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71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72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73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74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60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58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65</v>
      </c>
      <c r="L17" s="939" t="s">
        <v>63</v>
      </c>
      <c r="M17" s="939" t="s">
        <v>2</v>
      </c>
      <c r="N17" s="939" t="s">
        <v>62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55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59</v>
      </c>
      <c r="AB17" s="945" t="s">
        <v>19</v>
      </c>
      <c r="AC17" s="945" t="s">
        <v>64</v>
      </c>
      <c r="AD17" s="947" t="s">
        <v>56</v>
      </c>
      <c r="AE17" s="948"/>
      <c r="AF17" s="949"/>
      <c r="AG17" s="82"/>
      <c r="BD17" s="81" t="s">
        <v>61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75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75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103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119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120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9" t="s">
        <v>136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89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137</v>
      </c>
      <c r="B56" s="63" t="s">
        <v>140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145</v>
      </c>
      <c r="B59" s="63" t="s">
        <v>148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147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151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141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157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158</v>
      </c>
      <c r="B66" s="63" t="s">
        <v>159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126</v>
      </c>
      <c r="L66" s="37" t="s">
        <v>46</v>
      </c>
      <c r="M66" s="38" t="s">
        <v>125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90</v>
      </c>
      <c r="L67" s="37" t="s">
        <v>46</v>
      </c>
      <c r="M67" s="38" t="s">
        <v>89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163</v>
      </c>
      <c r="B68" s="63" t="s">
        <v>164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130</v>
      </c>
      <c r="L68" s="37" t="s">
        <v>46</v>
      </c>
      <c r="M68" s="38" t="s">
        <v>80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165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166</v>
      </c>
      <c r="B69" s="63" t="s">
        <v>167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90</v>
      </c>
      <c r="L69" s="37" t="s">
        <v>46</v>
      </c>
      <c r="M69" s="38" t="s">
        <v>125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85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168</v>
      </c>
      <c r="B73" s="63" t="s">
        <v>169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172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90</v>
      </c>
      <c r="L74" s="37" t="s">
        <v>46</v>
      </c>
      <c r="M74" s="38" t="s">
        <v>89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174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175</v>
      </c>
      <c r="B78" s="63" t="s">
        <v>176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177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181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121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hidden="1" customHeight="1" x14ac:dyDescent="0.25">
      <c r="A84" s="63" t="s">
        <v>182</v>
      </c>
      <c r="B84" s="63" t="s">
        <v>183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126</v>
      </c>
      <c r="L84" s="37" t="s">
        <v>46</v>
      </c>
      <c r="M84" s="38" t="s">
        <v>96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184</v>
      </c>
      <c r="AG84" s="78"/>
      <c r="AJ84" s="84" t="s">
        <v>46</v>
      </c>
      <c r="AK84" s="84">
        <v>0</v>
      </c>
      <c r="BB84" s="151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185</v>
      </c>
      <c r="B85" s="63" t="s">
        <v>186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130</v>
      </c>
      <c r="L85" s="37" t="s">
        <v>46</v>
      </c>
      <c r="M85" s="38" t="s">
        <v>80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187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188</v>
      </c>
      <c r="B86" s="63" t="s">
        <v>189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133</v>
      </c>
      <c r="L86" s="37" t="s">
        <v>46</v>
      </c>
      <c r="M86" s="38" t="s">
        <v>89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184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190</v>
      </c>
      <c r="B87" s="63" t="s">
        <v>191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133</v>
      </c>
      <c r="L87" s="37" t="s">
        <v>46</v>
      </c>
      <c r="M87" s="38" t="s">
        <v>96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184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0" t="s">
        <v>85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192</v>
      </c>
      <c r="B91" s="63" t="s">
        <v>193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126</v>
      </c>
      <c r="L91" s="37" t="s">
        <v>46</v>
      </c>
      <c r="M91" s="38" t="s">
        <v>96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195</v>
      </c>
      <c r="B92" s="63" t="s">
        <v>196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90</v>
      </c>
      <c r="L92" s="37" t="s">
        <v>46</v>
      </c>
      <c r="M92" s="38" t="s">
        <v>89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197</v>
      </c>
      <c r="B93" s="63" t="s">
        <v>198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90</v>
      </c>
      <c r="L93" s="37" t="s">
        <v>46</v>
      </c>
      <c r="M93" s="38" t="s">
        <v>96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199</v>
      </c>
      <c r="B94" s="63" t="s">
        <v>200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90</v>
      </c>
      <c r="L94" s="37" t="s">
        <v>46</v>
      </c>
      <c r="M94" s="38" t="s">
        <v>89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202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121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203</v>
      </c>
      <c r="B99" s="63" t="s">
        <v>204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126</v>
      </c>
      <c r="L99" s="37" t="s">
        <v>46</v>
      </c>
      <c r="M99" s="38" t="s">
        <v>125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205</v>
      </c>
      <c r="AG99" s="78"/>
      <c r="AJ99" s="84" t="s">
        <v>46</v>
      </c>
      <c r="AK99" s="84">
        <v>0</v>
      </c>
      <c r="BB99" s="167" t="s">
        <v>66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206</v>
      </c>
      <c r="B100" s="63" t="s">
        <v>207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130</v>
      </c>
      <c r="L100" s="37" t="s">
        <v>46</v>
      </c>
      <c r="M100" s="38" t="s">
        <v>80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208</v>
      </c>
      <c r="AG100" s="78"/>
      <c r="AJ100" s="84" t="s">
        <v>46</v>
      </c>
      <c r="AK100" s="84">
        <v>0</v>
      </c>
      <c r="BB100" s="169" t="s">
        <v>66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206</v>
      </c>
      <c r="B101" s="63" t="s">
        <v>209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130</v>
      </c>
      <c r="L101" s="37" t="s">
        <v>46</v>
      </c>
      <c r="M101" s="38" t="s">
        <v>80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208</v>
      </c>
      <c r="AG101" s="78"/>
      <c r="AJ101" s="84" t="s">
        <v>46</v>
      </c>
      <c r="AK101" s="84">
        <v>0</v>
      </c>
      <c r="BB101" s="171" t="s">
        <v>66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206</v>
      </c>
      <c r="B102" s="63" t="s">
        <v>210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130</v>
      </c>
      <c r="L102" s="37" t="s">
        <v>46</v>
      </c>
      <c r="M102" s="38" t="s">
        <v>80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208</v>
      </c>
      <c r="AG102" s="78"/>
      <c r="AJ102" s="84" t="s">
        <v>46</v>
      </c>
      <c r="AK102" s="84">
        <v>0</v>
      </c>
      <c r="BB102" s="173" t="s">
        <v>66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133</v>
      </c>
      <c r="L103" s="37" t="s">
        <v>46</v>
      </c>
      <c r="M103" s="38" t="s">
        <v>89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205</v>
      </c>
      <c r="AG103" s="78"/>
      <c r="AJ103" s="84" t="s">
        <v>46</v>
      </c>
      <c r="AK103" s="84">
        <v>0</v>
      </c>
      <c r="BB103" s="175" t="s">
        <v>66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133</v>
      </c>
      <c r="L104" s="37" t="s">
        <v>46</v>
      </c>
      <c r="M104" s="38" t="s">
        <v>89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205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215</v>
      </c>
      <c r="B105" s="63" t="s">
        <v>216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133</v>
      </c>
      <c r="L105" s="37" t="s">
        <v>46</v>
      </c>
      <c r="M105" s="38" t="s">
        <v>89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157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217</v>
      </c>
      <c r="B109" s="63" t="s">
        <v>218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126</v>
      </c>
      <c r="L109" s="37" t="s">
        <v>46</v>
      </c>
      <c r="M109" s="38" t="s">
        <v>125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219</v>
      </c>
      <c r="AG109" s="78"/>
      <c r="AJ109" s="84" t="s">
        <v>46</v>
      </c>
      <c r="AK109" s="84">
        <v>0</v>
      </c>
      <c r="BB109" s="181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220</v>
      </c>
      <c r="B110" s="63" t="s">
        <v>221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223</v>
      </c>
      <c r="L110" s="37" t="s">
        <v>46</v>
      </c>
      <c r="M110" s="38" t="s">
        <v>80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220</v>
      </c>
      <c r="B111" s="63" t="s">
        <v>224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223</v>
      </c>
      <c r="L111" s="37" t="s">
        <v>46</v>
      </c>
      <c r="M111" s="38" t="s">
        <v>80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81</v>
      </c>
      <c r="L112" s="37" t="s">
        <v>46</v>
      </c>
      <c r="M112" s="38" t="s">
        <v>125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219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227</v>
      </c>
      <c r="B113" s="63" t="s">
        <v>228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90</v>
      </c>
      <c r="L113" s="37" t="s">
        <v>46</v>
      </c>
      <c r="M113" s="38" t="s">
        <v>125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219</v>
      </c>
      <c r="AG113" s="78"/>
      <c r="AJ113" s="84" t="s">
        <v>46</v>
      </c>
      <c r="AK113" s="84">
        <v>0</v>
      </c>
      <c r="BB113" s="189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85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hidden="1" customHeight="1" x14ac:dyDescent="0.25">
      <c r="A117" s="63" t="s">
        <v>229</v>
      </c>
      <c r="B117" s="63" t="s">
        <v>230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126</v>
      </c>
      <c r="L117" s="37" t="s">
        <v>46</v>
      </c>
      <c r="M117" s="38" t="s">
        <v>96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231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232</v>
      </c>
      <c r="B118" s="63" t="s">
        <v>233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231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234</v>
      </c>
      <c r="B119" s="63" t="s">
        <v>235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90</v>
      </c>
      <c r="L119" s="37" t="s">
        <v>46</v>
      </c>
      <c r="M119" s="38" t="s">
        <v>96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231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236</v>
      </c>
      <c r="B120" s="63" t="s">
        <v>237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90</v>
      </c>
      <c r="L120" s="37" t="s">
        <v>46</v>
      </c>
      <c r="M120" s="38" t="s">
        <v>89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238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0" t="s">
        <v>174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239</v>
      </c>
      <c r="B124" s="63" t="s">
        <v>240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242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121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243</v>
      </c>
      <c r="B129" s="63" t="s">
        <v>244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126</v>
      </c>
      <c r="L129" s="37" t="s">
        <v>46</v>
      </c>
      <c r="M129" s="38" t="s">
        <v>246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245</v>
      </c>
      <c r="AG129" s="78"/>
      <c r="AJ129" s="84" t="s">
        <v>46</v>
      </c>
      <c r="AK129" s="84">
        <v>0</v>
      </c>
      <c r="BB129" s="201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247</v>
      </c>
      <c r="B130" s="63" t="s">
        <v>248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250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249</v>
      </c>
      <c r="AG130" s="78"/>
      <c r="AJ130" s="84" t="s">
        <v>46</v>
      </c>
      <c r="AK130" s="84">
        <v>0</v>
      </c>
      <c r="BB130" s="203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247</v>
      </c>
      <c r="B131" s="63" t="s">
        <v>251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90</v>
      </c>
      <c r="L131" s="37" t="s">
        <v>46</v>
      </c>
      <c r="M131" s="38" t="s">
        <v>250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249</v>
      </c>
      <c r="AG131" s="78"/>
      <c r="AJ131" s="84" t="s">
        <v>46</v>
      </c>
      <c r="AK131" s="84">
        <v>0</v>
      </c>
      <c r="BB131" s="205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76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252</v>
      </c>
      <c r="B135" s="63" t="s">
        <v>253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126</v>
      </c>
      <c r="L135" s="37" t="s">
        <v>46</v>
      </c>
      <c r="M135" s="38" t="s">
        <v>246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254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256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250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257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255</v>
      </c>
      <c r="B137" s="63" t="s">
        <v>258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250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257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259</v>
      </c>
      <c r="B138" s="63" t="s">
        <v>260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81</v>
      </c>
      <c r="L138" s="37" t="s">
        <v>46</v>
      </c>
      <c r="M138" s="38" t="s">
        <v>246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254</v>
      </c>
      <c r="AG138" s="78"/>
      <c r="AJ138" s="84" t="s">
        <v>46</v>
      </c>
      <c r="AK138" s="84">
        <v>0</v>
      </c>
      <c r="BB138" s="213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85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261</v>
      </c>
      <c r="B142" s="63" t="s">
        <v>262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90</v>
      </c>
      <c r="L142" s="37" t="s">
        <v>46</v>
      </c>
      <c r="M142" s="38" t="s">
        <v>246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245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263</v>
      </c>
      <c r="B143" s="63" t="s">
        <v>264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250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249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263</v>
      </c>
      <c r="B144" s="63" t="s">
        <v>265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250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249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266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85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267</v>
      </c>
      <c r="B149" s="63" t="s">
        <v>268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66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270</v>
      </c>
      <c r="B150" s="63" t="s">
        <v>271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272</v>
      </c>
      <c r="AG150" s="78"/>
      <c r="AJ150" s="84" t="s">
        <v>46</v>
      </c>
      <c r="AK150" s="84">
        <v>0</v>
      </c>
      <c r="BB150" s="223" t="s">
        <v>66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270</v>
      </c>
      <c r="B151" s="63" t="s">
        <v>273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272</v>
      </c>
      <c r="AG151" s="78"/>
      <c r="AJ151" s="84" t="s">
        <v>46</v>
      </c>
      <c r="AK151" s="84">
        <v>0</v>
      </c>
      <c r="BB151" s="225" t="s">
        <v>66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280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281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282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283</v>
      </c>
      <c r="B159" s="63" t="s">
        <v>284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288</v>
      </c>
      <c r="L159" s="37" t="s">
        <v>46</v>
      </c>
      <c r="M159" s="38" t="s">
        <v>287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285</v>
      </c>
      <c r="AG159" s="78"/>
      <c r="AJ159" s="84" t="s">
        <v>46</v>
      </c>
      <c r="AK159" s="84">
        <v>0</v>
      </c>
      <c r="BB159" s="235" t="s">
        <v>286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119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121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291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292</v>
      </c>
      <c r="B165" s="63" t="s">
        <v>293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294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295</v>
      </c>
      <c r="B166" s="63" t="s">
        <v>296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297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157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298</v>
      </c>
      <c r="B170" s="63" t="s">
        <v>299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81</v>
      </c>
      <c r="L170" s="37" t="s">
        <v>46</v>
      </c>
      <c r="M170" s="38" t="s">
        <v>80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300</v>
      </c>
      <c r="AG170" s="78"/>
      <c r="AJ170" s="84" t="s">
        <v>46</v>
      </c>
      <c r="AK170" s="84">
        <v>0</v>
      </c>
      <c r="BB170" s="243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81</v>
      </c>
      <c r="L171" s="37" t="s">
        <v>46</v>
      </c>
      <c r="M171" s="38" t="s">
        <v>125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303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76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304</v>
      </c>
      <c r="B175" s="63" t="s">
        <v>305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133</v>
      </c>
      <c r="L175" s="37" t="s">
        <v>46</v>
      </c>
      <c r="M175" s="38" t="s">
        <v>80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306</v>
      </c>
      <c r="AG175" s="78"/>
      <c r="AJ175" s="84" t="s">
        <v>46</v>
      </c>
      <c r="AK175" s="84">
        <v>0</v>
      </c>
      <c r="BB175" s="247" t="s">
        <v>66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307</v>
      </c>
      <c r="B176" s="63" t="s">
        <v>308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309</v>
      </c>
      <c r="AG176" s="78"/>
      <c r="AJ176" s="84" t="s">
        <v>46</v>
      </c>
      <c r="AK176" s="84">
        <v>0</v>
      </c>
      <c r="BB176" s="249" t="s">
        <v>66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310</v>
      </c>
      <c r="B177" s="63" t="s">
        <v>311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312</v>
      </c>
      <c r="AG177" s="78"/>
      <c r="AJ177" s="84" t="s">
        <v>46</v>
      </c>
      <c r="AK177" s="84">
        <v>0</v>
      </c>
      <c r="BB177" s="251" t="s">
        <v>66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315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316</v>
      </c>
      <c r="B179" s="63" t="s">
        <v>317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130</v>
      </c>
      <c r="L179" s="37" t="s">
        <v>46</v>
      </c>
      <c r="M179" s="38" t="s">
        <v>80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318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306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321</v>
      </c>
      <c r="B181" s="63" t="s">
        <v>322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323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321</v>
      </c>
      <c r="B182" s="63" t="s">
        <v>324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323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312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329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315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85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334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335</v>
      </c>
      <c r="B190" s="63" t="s">
        <v>336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337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338</v>
      </c>
      <c r="B191" s="63" t="s">
        <v>339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90</v>
      </c>
      <c r="L191" s="37" t="s">
        <v>46</v>
      </c>
      <c r="M191" s="38" t="s">
        <v>89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340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282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341</v>
      </c>
      <c r="B195" s="63" t="s">
        <v>342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344</v>
      </c>
      <c r="L195" s="37" t="s">
        <v>46</v>
      </c>
      <c r="M195" s="38" t="s">
        <v>287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343</v>
      </c>
      <c r="AG195" s="78"/>
      <c r="AJ195" s="84" t="s">
        <v>46</v>
      </c>
      <c r="AK195" s="84">
        <v>0</v>
      </c>
      <c r="BB195" s="275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345</v>
      </c>
      <c r="B196" s="63" t="s">
        <v>346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344</v>
      </c>
      <c r="L196" s="37" t="s">
        <v>46</v>
      </c>
      <c r="M196" s="38" t="s">
        <v>287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347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348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349</v>
      </c>
      <c r="B200" s="63" t="s">
        <v>350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344</v>
      </c>
      <c r="L200" s="37" t="s">
        <v>46</v>
      </c>
      <c r="M200" s="38" t="s">
        <v>287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351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352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353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121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354</v>
      </c>
      <c r="B206" s="63" t="s">
        <v>355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356</v>
      </c>
      <c r="B207" s="63" t="s">
        <v>357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358</v>
      </c>
      <c r="AG207" s="78"/>
      <c r="AJ207" s="84" t="s">
        <v>46</v>
      </c>
      <c r="AK207" s="84">
        <v>0</v>
      </c>
      <c r="BB207" s="283" t="s">
        <v>66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361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364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365</v>
      </c>
      <c r="B210" s="63" t="s">
        <v>366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367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370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371</v>
      </c>
      <c r="B212" s="63" t="s">
        <v>372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373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374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157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375</v>
      </c>
      <c r="B217" s="63" t="s">
        <v>376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377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76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378</v>
      </c>
      <c r="B221" s="63" t="s">
        <v>379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380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381</v>
      </c>
      <c r="B222" s="63" t="s">
        <v>382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383</v>
      </c>
      <c r="AG222" s="78"/>
      <c r="AJ222" s="84" t="s">
        <v>46</v>
      </c>
      <c r="AK222" s="84">
        <v>0</v>
      </c>
      <c r="BB222" s="299" t="s">
        <v>66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387</v>
      </c>
      <c r="B224" s="63" t="s">
        <v>388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389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383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399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402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405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408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409</v>
      </c>
      <c r="B232" s="63" t="s">
        <v>410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386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415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85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416</v>
      </c>
      <c r="B238" s="63" t="s">
        <v>417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418</v>
      </c>
      <c r="AG238" s="78"/>
      <c r="AJ238" s="84" t="s">
        <v>46</v>
      </c>
      <c r="AK238" s="84">
        <v>0</v>
      </c>
      <c r="BB238" s="32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421</v>
      </c>
      <c r="AG239" s="78"/>
      <c r="AJ239" s="84" t="s">
        <v>46</v>
      </c>
      <c r="AK239" s="84">
        <v>0</v>
      </c>
      <c r="BB239" s="32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133</v>
      </c>
      <c r="L240" s="37" t="s">
        <v>46</v>
      </c>
      <c r="M240" s="38" t="s">
        <v>96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424</v>
      </c>
      <c r="AG240" s="78"/>
      <c r="AJ240" s="84" t="s">
        <v>46</v>
      </c>
      <c r="AK240" s="84">
        <v>0</v>
      </c>
      <c r="BB240" s="32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133</v>
      </c>
      <c r="L241" s="37" t="s">
        <v>46</v>
      </c>
      <c r="M241" s="38" t="s">
        <v>96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427</v>
      </c>
      <c r="AG241" s="78"/>
      <c r="AJ241" s="84" t="s">
        <v>46</v>
      </c>
      <c r="AK241" s="84">
        <v>0</v>
      </c>
      <c r="BB241" s="33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421</v>
      </c>
      <c r="AG242" s="78"/>
      <c r="AJ242" s="84" t="s">
        <v>46</v>
      </c>
      <c r="AK242" s="84">
        <v>0</v>
      </c>
      <c r="BB242" s="33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282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430</v>
      </c>
      <c r="B246" s="63" t="s">
        <v>431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287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344</v>
      </c>
      <c r="L247" s="37" t="s">
        <v>46</v>
      </c>
      <c r="M247" s="38" t="s">
        <v>287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435</v>
      </c>
      <c r="AG247" s="78"/>
      <c r="AJ247" s="84" t="s">
        <v>46</v>
      </c>
      <c r="AK247" s="84">
        <v>0</v>
      </c>
      <c r="BB247" s="33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344</v>
      </c>
      <c r="L248" s="37" t="s">
        <v>46</v>
      </c>
      <c r="M248" s="38" t="s">
        <v>287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435</v>
      </c>
      <c r="AG248" s="78"/>
      <c r="AJ248" s="84" t="s">
        <v>46</v>
      </c>
      <c r="AK248" s="84">
        <v>0</v>
      </c>
      <c r="BB248" s="33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438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439</v>
      </c>
      <c r="B252" s="63" t="s">
        <v>440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344</v>
      </c>
      <c r="L252" s="37" t="s">
        <v>46</v>
      </c>
      <c r="M252" s="38" t="s">
        <v>287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435</v>
      </c>
      <c r="AG252" s="78"/>
      <c r="AJ252" s="84" t="s">
        <v>46</v>
      </c>
      <c r="AK252" s="84">
        <v>0</v>
      </c>
      <c r="BB252" s="34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441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121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442</v>
      </c>
      <c r="B257" s="63" t="s">
        <v>443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126</v>
      </c>
      <c r="L257" s="37" t="s">
        <v>46</v>
      </c>
      <c r="M257" s="38" t="s">
        <v>125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444</v>
      </c>
      <c r="AG257" s="78"/>
      <c r="AJ257" s="84" t="s">
        <v>46</v>
      </c>
      <c r="AK257" s="84">
        <v>0</v>
      </c>
      <c r="BB257" s="34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445</v>
      </c>
      <c r="B258" s="63" t="s">
        <v>446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90</v>
      </c>
      <c r="L258" s="37" t="s">
        <v>46</v>
      </c>
      <c r="M258" s="38" t="s">
        <v>125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444</v>
      </c>
      <c r="AG258" s="78"/>
      <c r="AJ258" s="84" t="s">
        <v>46</v>
      </c>
      <c r="AK258" s="84">
        <v>0</v>
      </c>
      <c r="BB258" s="34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157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447</v>
      </c>
      <c r="B262" s="63" t="s">
        <v>448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449</v>
      </c>
      <c r="AG262" s="78"/>
      <c r="AJ262" s="84" t="s">
        <v>46</v>
      </c>
      <c r="AK262" s="84">
        <v>0</v>
      </c>
      <c r="BB262" s="34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450</v>
      </c>
      <c r="B263" s="63" t="s">
        <v>451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449</v>
      </c>
      <c r="AG263" s="78"/>
      <c r="AJ263" s="84" t="s">
        <v>46</v>
      </c>
      <c r="AK263" s="84">
        <v>0</v>
      </c>
      <c r="BB263" s="34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76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452</v>
      </c>
      <c r="B267" s="63" t="s">
        <v>453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133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454</v>
      </c>
      <c r="AG267" s="78"/>
      <c r="AJ267" s="84" t="s">
        <v>46</v>
      </c>
      <c r="AK267" s="84">
        <v>0</v>
      </c>
      <c r="BB267" s="351" t="s">
        <v>66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455</v>
      </c>
      <c r="B268" s="63" t="s">
        <v>456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133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457</v>
      </c>
      <c r="AG268" s="78"/>
      <c r="AJ268" s="84" t="s">
        <v>46</v>
      </c>
      <c r="AK268" s="84">
        <v>0</v>
      </c>
      <c r="BB268" s="353" t="s">
        <v>66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458</v>
      </c>
      <c r="B269" s="63" t="s">
        <v>459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133</v>
      </c>
      <c r="L269" s="37" t="s">
        <v>46</v>
      </c>
      <c r="M269" s="38" t="s">
        <v>80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460</v>
      </c>
      <c r="AG269" s="78"/>
      <c r="AJ269" s="84" t="s">
        <v>46</v>
      </c>
      <c r="AK269" s="84">
        <v>0</v>
      </c>
      <c r="BB269" s="355" t="s">
        <v>66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133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463</v>
      </c>
      <c r="AG270" s="78"/>
      <c r="AJ270" s="84" t="s">
        <v>46</v>
      </c>
      <c r="AK270" s="84">
        <v>0</v>
      </c>
      <c r="BB270" s="357" t="s">
        <v>66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66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66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468</v>
      </c>
      <c r="B273" s="63" t="s">
        <v>469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66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470</v>
      </c>
      <c r="B274" s="63" t="s">
        <v>471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66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0" t="s">
        <v>85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472</v>
      </c>
      <c r="B278" s="63" t="s">
        <v>473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126</v>
      </c>
      <c r="L278" s="37" t="s">
        <v>46</v>
      </c>
      <c r="M278" s="38" t="s">
        <v>89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474</v>
      </c>
      <c r="AG278" s="78"/>
      <c r="AJ278" s="84" t="s">
        <v>46</v>
      </c>
      <c r="AK278" s="84">
        <v>0</v>
      </c>
      <c r="BB278" s="367" t="s">
        <v>66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475</v>
      </c>
      <c r="B279" s="63" t="s">
        <v>476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126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477</v>
      </c>
      <c r="AG279" s="78"/>
      <c r="AJ279" s="84" t="s">
        <v>46</v>
      </c>
      <c r="AK279" s="84">
        <v>0</v>
      </c>
      <c r="BB279" s="369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478</v>
      </c>
      <c r="B280" s="63" t="s">
        <v>479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126</v>
      </c>
      <c r="L280" s="37" t="s">
        <v>46</v>
      </c>
      <c r="M280" s="38" t="s">
        <v>89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480</v>
      </c>
      <c r="AG280" s="78"/>
      <c r="AJ280" s="84" t="s">
        <v>46</v>
      </c>
      <c r="AK280" s="84">
        <v>0</v>
      </c>
      <c r="BB280" s="371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474</v>
      </c>
      <c r="AG281" s="78"/>
      <c r="AJ281" s="84" t="s">
        <v>46</v>
      </c>
      <c r="AK281" s="84">
        <v>0</v>
      </c>
      <c r="BB281" s="373" t="s">
        <v>66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90</v>
      </c>
      <c r="L282" s="37" t="s">
        <v>46</v>
      </c>
      <c r="M282" s="38" t="s">
        <v>96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480</v>
      </c>
      <c r="AG282" s="78"/>
      <c r="AJ282" s="84" t="s">
        <v>46</v>
      </c>
      <c r="AK282" s="84">
        <v>0</v>
      </c>
      <c r="BB282" s="375" t="s">
        <v>66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485</v>
      </c>
      <c r="B283" s="63" t="s">
        <v>486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133</v>
      </c>
      <c r="L283" s="37" t="s">
        <v>46</v>
      </c>
      <c r="M283" s="38" t="s">
        <v>89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487</v>
      </c>
      <c r="AG283" s="78"/>
      <c r="AJ283" s="84" t="s">
        <v>46</v>
      </c>
      <c r="AK283" s="84">
        <v>0</v>
      </c>
      <c r="BB283" s="377" t="s">
        <v>66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66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66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494</v>
      </c>
      <c r="B287" s="63" t="s">
        <v>495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496</v>
      </c>
      <c r="AG287" s="78"/>
      <c r="AJ287" s="84" t="s">
        <v>46</v>
      </c>
      <c r="AK287" s="84">
        <v>0</v>
      </c>
      <c r="BB287" s="385" t="s">
        <v>66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499</v>
      </c>
      <c r="AG288" s="78"/>
      <c r="AJ288" s="84" t="s">
        <v>46</v>
      </c>
      <c r="AK288" s="84">
        <v>0</v>
      </c>
      <c r="BB288" s="387" t="s">
        <v>66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502</v>
      </c>
      <c r="AG289" s="78"/>
      <c r="AJ289" s="84" t="s">
        <v>46</v>
      </c>
      <c r="AK289" s="84">
        <v>0</v>
      </c>
      <c r="BB289" s="389" t="s">
        <v>66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0" t="s">
        <v>174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503</v>
      </c>
      <c r="B293" s="63" t="s">
        <v>504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505</v>
      </c>
      <c r="AG293" s="78"/>
      <c r="AJ293" s="84" t="s">
        <v>46</v>
      </c>
      <c r="AK293" s="84">
        <v>0</v>
      </c>
      <c r="BB293" s="391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506</v>
      </c>
      <c r="B294" s="63" t="s">
        <v>507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508</v>
      </c>
      <c r="AG294" s="78"/>
      <c r="AJ294" s="84" t="s">
        <v>46</v>
      </c>
      <c r="AK294" s="84">
        <v>0</v>
      </c>
      <c r="BB294" s="393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509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121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510</v>
      </c>
      <c r="B299" s="63" t="s">
        <v>511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126</v>
      </c>
      <c r="L299" s="37" t="s">
        <v>46</v>
      </c>
      <c r="M299" s="38" t="s">
        <v>125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512</v>
      </c>
      <c r="AG299" s="78"/>
      <c r="AJ299" s="84" t="s">
        <v>46</v>
      </c>
      <c r="AK299" s="84">
        <v>0</v>
      </c>
      <c r="BB299" s="395" t="s">
        <v>66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513</v>
      </c>
      <c r="B300" s="63" t="s">
        <v>514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126</v>
      </c>
      <c r="L300" s="37" t="s">
        <v>46</v>
      </c>
      <c r="M300" s="38" t="s">
        <v>125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515</v>
      </c>
      <c r="AG300" s="78"/>
      <c r="AJ300" s="84" t="s">
        <v>46</v>
      </c>
      <c r="AK300" s="84">
        <v>0</v>
      </c>
      <c r="BB300" s="397" t="s">
        <v>66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126</v>
      </c>
      <c r="L301" s="37" t="s">
        <v>46</v>
      </c>
      <c r="M301" s="38" t="s">
        <v>125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370</v>
      </c>
      <c r="AG301" s="78"/>
      <c r="AJ301" s="84" t="s">
        <v>46</v>
      </c>
      <c r="AK301" s="84">
        <v>0</v>
      </c>
      <c r="BB301" s="399" t="s">
        <v>66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133</v>
      </c>
      <c r="L302" s="37" t="s">
        <v>46</v>
      </c>
      <c r="M302" s="38" t="s">
        <v>125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512</v>
      </c>
      <c r="AG302" s="78"/>
      <c r="AJ302" s="84" t="s">
        <v>46</v>
      </c>
      <c r="AK302" s="84">
        <v>0</v>
      </c>
      <c r="BB302" s="401" t="s">
        <v>66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520</v>
      </c>
      <c r="B303" s="63" t="s">
        <v>521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133</v>
      </c>
      <c r="L303" s="37" t="s">
        <v>46</v>
      </c>
      <c r="M303" s="38" t="s">
        <v>125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522</v>
      </c>
      <c r="AG303" s="78"/>
      <c r="AJ303" s="84" t="s">
        <v>46</v>
      </c>
      <c r="AK303" s="84">
        <v>0</v>
      </c>
      <c r="BB303" s="403" t="s">
        <v>66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90</v>
      </c>
      <c r="L304" s="37" t="s">
        <v>46</v>
      </c>
      <c r="M304" s="38" t="s">
        <v>125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525</v>
      </c>
      <c r="AG304" s="78"/>
      <c r="AJ304" s="84" t="s">
        <v>46</v>
      </c>
      <c r="AK304" s="84">
        <v>0</v>
      </c>
      <c r="BB304" s="405" t="s">
        <v>66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133</v>
      </c>
      <c r="L305" s="37" t="s">
        <v>46</v>
      </c>
      <c r="M305" s="38" t="s">
        <v>125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370</v>
      </c>
      <c r="AG305" s="78"/>
      <c r="AJ305" s="84" t="s">
        <v>46</v>
      </c>
      <c r="AK305" s="84">
        <v>0</v>
      </c>
      <c r="BB305" s="407" t="s">
        <v>66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157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528</v>
      </c>
      <c r="B309" s="63" t="s">
        <v>529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81</v>
      </c>
      <c r="L309" s="37" t="s">
        <v>46</v>
      </c>
      <c r="M309" s="38" t="s">
        <v>89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530</v>
      </c>
      <c r="AG309" s="78"/>
      <c r="AJ309" s="84" t="s">
        <v>46</v>
      </c>
      <c r="AK309" s="84">
        <v>0</v>
      </c>
      <c r="BB309" s="409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531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532</v>
      </c>
      <c r="B313" s="63" t="s">
        <v>533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344</v>
      </c>
      <c r="L313" s="37" t="s">
        <v>46</v>
      </c>
      <c r="M313" s="38" t="s">
        <v>287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534</v>
      </c>
      <c r="AG313" s="78"/>
      <c r="AJ313" s="84" t="s">
        <v>46</v>
      </c>
      <c r="AK313" s="84">
        <v>0</v>
      </c>
      <c r="BB313" s="411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348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535</v>
      </c>
      <c r="B317" s="63" t="s">
        <v>536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344</v>
      </c>
      <c r="L317" s="37" t="s">
        <v>46</v>
      </c>
      <c r="M317" s="38" t="s">
        <v>287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537</v>
      </c>
      <c r="AG317" s="78"/>
      <c r="AJ317" s="84" t="s">
        <v>46</v>
      </c>
      <c r="AK317" s="84">
        <v>0</v>
      </c>
      <c r="BB317" s="41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538</v>
      </c>
      <c r="B318" s="63" t="s">
        <v>539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344</v>
      </c>
      <c r="L318" s="37" t="s">
        <v>46</v>
      </c>
      <c r="M318" s="38" t="s">
        <v>287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537</v>
      </c>
      <c r="AG318" s="78"/>
      <c r="AJ318" s="84" t="s">
        <v>46</v>
      </c>
      <c r="AK318" s="84">
        <v>0</v>
      </c>
      <c r="BB318" s="41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540</v>
      </c>
      <c r="B319" s="63" t="s">
        <v>541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344</v>
      </c>
      <c r="L319" s="37" t="s">
        <v>46</v>
      </c>
      <c r="M319" s="38" t="s">
        <v>287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537</v>
      </c>
      <c r="AG319" s="78"/>
      <c r="AJ319" s="84" t="s">
        <v>46</v>
      </c>
      <c r="AK319" s="84">
        <v>0</v>
      </c>
      <c r="BB319" s="41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542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121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543</v>
      </c>
      <c r="B324" s="63" t="s">
        <v>544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126</v>
      </c>
      <c r="L324" s="37" t="s">
        <v>46</v>
      </c>
      <c r="M324" s="38" t="s">
        <v>125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545</v>
      </c>
      <c r="AG324" s="78"/>
      <c r="AJ324" s="84" t="s">
        <v>46</v>
      </c>
      <c r="AK324" s="84">
        <v>0</v>
      </c>
      <c r="BB324" s="419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546</v>
      </c>
      <c r="B325" s="63" t="s">
        <v>547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126</v>
      </c>
      <c r="L325" s="37" t="s">
        <v>46</v>
      </c>
      <c r="M325" s="38" t="s">
        <v>125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548</v>
      </c>
      <c r="AG325" s="78"/>
      <c r="AJ325" s="84" t="s">
        <v>46</v>
      </c>
      <c r="AK325" s="84">
        <v>0</v>
      </c>
      <c r="BB325" s="421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549</v>
      </c>
      <c r="B326" s="63" t="s">
        <v>550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551</v>
      </c>
      <c r="AG326" s="78"/>
      <c r="AJ326" s="84" t="s">
        <v>46</v>
      </c>
      <c r="AK326" s="84">
        <v>0</v>
      </c>
      <c r="BB326" s="423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552</v>
      </c>
      <c r="B327" s="63" t="s">
        <v>553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133</v>
      </c>
      <c r="L327" s="37" t="s">
        <v>46</v>
      </c>
      <c r="M327" s="38" t="s">
        <v>125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554</v>
      </c>
      <c r="AG327" s="78"/>
      <c r="AJ327" s="84" t="s">
        <v>46</v>
      </c>
      <c r="AK327" s="84">
        <v>0</v>
      </c>
      <c r="BB327" s="42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555</v>
      </c>
      <c r="B328" s="63" t="s">
        <v>556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133</v>
      </c>
      <c r="L328" s="37" t="s">
        <v>46</v>
      </c>
      <c r="M328" s="38" t="s">
        <v>125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557</v>
      </c>
      <c r="AG328" s="78"/>
      <c r="AJ328" s="84" t="s">
        <v>46</v>
      </c>
      <c r="AK328" s="84">
        <v>0</v>
      </c>
      <c r="BB328" s="42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558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85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559</v>
      </c>
      <c r="B333" s="63" t="s">
        <v>560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561</v>
      </c>
      <c r="AG333" s="78"/>
      <c r="AJ333" s="84" t="s">
        <v>46</v>
      </c>
      <c r="AK333" s="84">
        <v>0</v>
      </c>
      <c r="BB333" s="429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562</v>
      </c>
      <c r="B334" s="63" t="s">
        <v>563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90</v>
      </c>
      <c r="L334" s="37" t="s">
        <v>46</v>
      </c>
      <c r="M334" s="38" t="s">
        <v>96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564</v>
      </c>
      <c r="AG334" s="78"/>
      <c r="AJ334" s="84" t="s">
        <v>46</v>
      </c>
      <c r="AK334" s="84">
        <v>0</v>
      </c>
      <c r="BB334" s="43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565</v>
      </c>
      <c r="B335" s="63" t="s">
        <v>566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561</v>
      </c>
      <c r="AG335" s="78"/>
      <c r="AJ335" s="84" t="s">
        <v>46</v>
      </c>
      <c r="AK335" s="84">
        <v>0</v>
      </c>
      <c r="BB335" s="43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567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76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402</v>
      </c>
      <c r="AG340" s="78"/>
      <c r="AJ340" s="84" t="s">
        <v>46</v>
      </c>
      <c r="AK340" s="84">
        <v>0</v>
      </c>
      <c r="BB340" s="435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572</v>
      </c>
      <c r="AG341" s="78"/>
      <c r="AJ341" s="84" t="s">
        <v>46</v>
      </c>
      <c r="AK341" s="84">
        <v>0</v>
      </c>
      <c r="BB341" s="437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573</v>
      </c>
      <c r="B342" s="63" t="s">
        <v>574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575</v>
      </c>
      <c r="AG342" s="78"/>
      <c r="AJ342" s="84" t="s">
        <v>46</v>
      </c>
      <c r="AK342" s="84">
        <v>0</v>
      </c>
      <c r="BB342" s="439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90</v>
      </c>
      <c r="L343" s="37" t="s">
        <v>46</v>
      </c>
      <c r="M343" s="38" t="s">
        <v>80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578</v>
      </c>
      <c r="AG343" s="78"/>
      <c r="AJ343" s="84" t="s">
        <v>46</v>
      </c>
      <c r="AK343" s="84">
        <v>0</v>
      </c>
      <c r="BB343" s="441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581</v>
      </c>
      <c r="AG344" s="78"/>
      <c r="AJ344" s="84" t="s">
        <v>46</v>
      </c>
      <c r="AK344" s="84">
        <v>0</v>
      </c>
      <c r="BB344" s="443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85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582</v>
      </c>
      <c r="B348" s="63" t="s">
        <v>583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133</v>
      </c>
      <c r="L348" s="37" t="s">
        <v>46</v>
      </c>
      <c r="M348" s="38" t="s">
        <v>89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584</v>
      </c>
      <c r="AG348" s="78"/>
      <c r="AJ348" s="84" t="s">
        <v>46</v>
      </c>
      <c r="AK348" s="84">
        <v>0</v>
      </c>
      <c r="BB348" s="445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133</v>
      </c>
      <c r="L349" s="37" t="s">
        <v>46</v>
      </c>
      <c r="M349" s="38" t="s">
        <v>89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587</v>
      </c>
      <c r="AG349" s="78"/>
      <c r="AJ349" s="84" t="s">
        <v>46</v>
      </c>
      <c r="AK349" s="84">
        <v>0</v>
      </c>
      <c r="BB349" s="447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588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121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589</v>
      </c>
      <c r="B354" s="63" t="s">
        <v>590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126</v>
      </c>
      <c r="L354" s="37" t="s">
        <v>46</v>
      </c>
      <c r="M354" s="38" t="s">
        <v>89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361</v>
      </c>
      <c r="AG354" s="78"/>
      <c r="AJ354" s="84" t="s">
        <v>46</v>
      </c>
      <c r="AK354" s="84">
        <v>0</v>
      </c>
      <c r="BB354" s="449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591</v>
      </c>
      <c r="B355" s="63" t="s">
        <v>592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126</v>
      </c>
      <c r="L355" s="37" t="s">
        <v>46</v>
      </c>
      <c r="M355" s="38" t="s">
        <v>89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593</v>
      </c>
      <c r="AG355" s="78"/>
      <c r="AJ355" s="84" t="s">
        <v>46</v>
      </c>
      <c r="AK355" s="84">
        <v>0</v>
      </c>
      <c r="BB355" s="451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594</v>
      </c>
      <c r="B356" s="63" t="s">
        <v>595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596</v>
      </c>
      <c r="AG356" s="78"/>
      <c r="AJ356" s="84" t="s">
        <v>46</v>
      </c>
      <c r="AK356" s="84">
        <v>0</v>
      </c>
      <c r="BB356" s="453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597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121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598</v>
      </c>
      <c r="B361" s="63" t="s">
        <v>599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126</v>
      </c>
      <c r="L361" s="37" t="s">
        <v>46</v>
      </c>
      <c r="M361" s="38" t="s">
        <v>125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600</v>
      </c>
      <c r="AG361" s="78"/>
      <c r="AJ361" s="84" t="s">
        <v>46</v>
      </c>
      <c r="AK361" s="84">
        <v>0</v>
      </c>
      <c r="BB361" s="455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601</v>
      </c>
      <c r="B362" s="63" t="s">
        <v>602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126</v>
      </c>
      <c r="L362" s="37" t="s">
        <v>46</v>
      </c>
      <c r="M362" s="38" t="s">
        <v>125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603</v>
      </c>
      <c r="AG362" s="78"/>
      <c r="AJ362" s="84" t="s">
        <v>46</v>
      </c>
      <c r="AK362" s="84">
        <v>0</v>
      </c>
      <c r="BB362" s="457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606</v>
      </c>
      <c r="AG363" s="78"/>
      <c r="AJ363" s="84" t="s">
        <v>46</v>
      </c>
      <c r="AK363" s="84">
        <v>0</v>
      </c>
      <c r="BB363" s="459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133</v>
      </c>
      <c r="L364" s="37" t="s">
        <v>46</v>
      </c>
      <c r="M364" s="38" t="s">
        <v>125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600</v>
      </c>
      <c r="AG364" s="78"/>
      <c r="AJ364" s="84" t="s">
        <v>46</v>
      </c>
      <c r="AK364" s="84">
        <v>0</v>
      </c>
      <c r="BB364" s="461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133</v>
      </c>
      <c r="L365" s="37" t="s">
        <v>46</v>
      </c>
      <c r="M365" s="38" t="s">
        <v>125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611</v>
      </c>
      <c r="AG365" s="78"/>
      <c r="AJ365" s="84" t="s">
        <v>46</v>
      </c>
      <c r="AK365" s="84">
        <v>0</v>
      </c>
      <c r="BB365" s="463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76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612</v>
      </c>
      <c r="B369" s="63" t="s">
        <v>613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133</v>
      </c>
      <c r="L369" s="37" t="s">
        <v>46</v>
      </c>
      <c r="M369" s="38" t="s">
        <v>80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614</v>
      </c>
      <c r="AG369" s="78"/>
      <c r="AJ369" s="84" t="s">
        <v>46</v>
      </c>
      <c r="AK369" s="84">
        <v>0</v>
      </c>
      <c r="BB369" s="465" t="s">
        <v>66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133</v>
      </c>
      <c r="L370" s="37" t="s">
        <v>46</v>
      </c>
      <c r="M370" s="38" t="s">
        <v>80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617</v>
      </c>
      <c r="AG370" s="78"/>
      <c r="AJ370" s="84" t="s">
        <v>46</v>
      </c>
      <c r="AK370" s="84">
        <v>0</v>
      </c>
      <c r="BB370" s="467" t="s">
        <v>66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133</v>
      </c>
      <c r="L371" s="37" t="s">
        <v>46</v>
      </c>
      <c r="M371" s="38" t="s">
        <v>80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620</v>
      </c>
      <c r="AG371" s="78"/>
      <c r="AJ371" s="84" t="s">
        <v>46</v>
      </c>
      <c r="AK371" s="84">
        <v>0</v>
      </c>
      <c r="BB371" s="469" t="s">
        <v>66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66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81</v>
      </c>
      <c r="L373" s="37" t="s">
        <v>46</v>
      </c>
      <c r="M373" s="38" t="s">
        <v>80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625</v>
      </c>
      <c r="AG373" s="78"/>
      <c r="AJ373" s="84" t="s">
        <v>46</v>
      </c>
      <c r="AK373" s="84">
        <v>0</v>
      </c>
      <c r="BB373" s="473" t="s">
        <v>66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620</v>
      </c>
      <c r="AG374" s="78"/>
      <c r="AJ374" s="84" t="s">
        <v>46</v>
      </c>
      <c r="AK374" s="84">
        <v>0</v>
      </c>
      <c r="BB374" s="475" t="s">
        <v>66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90</v>
      </c>
      <c r="L375" s="37" t="s">
        <v>46</v>
      </c>
      <c r="M375" s="38" t="s">
        <v>80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630</v>
      </c>
      <c r="AG375" s="78"/>
      <c r="AJ375" s="84" t="s">
        <v>46</v>
      </c>
      <c r="AK375" s="84">
        <v>0</v>
      </c>
      <c r="BB375" s="477" t="s">
        <v>66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85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126</v>
      </c>
      <c r="L379" s="37" t="s">
        <v>46</v>
      </c>
      <c r="M379" s="38" t="s">
        <v>89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633</v>
      </c>
      <c r="AG379" s="78"/>
      <c r="AJ379" s="84" t="s">
        <v>46</v>
      </c>
      <c r="AK379" s="84">
        <v>0</v>
      </c>
      <c r="BB379" s="47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126</v>
      </c>
      <c r="L380" s="37" t="s">
        <v>46</v>
      </c>
      <c r="M380" s="38" t="s">
        <v>89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636</v>
      </c>
      <c r="AG380" s="78"/>
      <c r="AJ380" s="84" t="s">
        <v>46</v>
      </c>
      <c r="AK380" s="84">
        <v>0</v>
      </c>
      <c r="BB380" s="48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126</v>
      </c>
      <c r="L381" s="37" t="s">
        <v>46</v>
      </c>
      <c r="M381" s="38" t="s">
        <v>89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639</v>
      </c>
      <c r="AG381" s="78"/>
      <c r="AJ381" s="84" t="s">
        <v>46</v>
      </c>
      <c r="AK381" s="84">
        <v>0</v>
      </c>
      <c r="BB381" s="48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90</v>
      </c>
      <c r="L382" s="37" t="s">
        <v>46</v>
      </c>
      <c r="M382" s="38" t="s">
        <v>89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633</v>
      </c>
      <c r="AG382" s="78"/>
      <c r="AJ382" s="84" t="s">
        <v>46</v>
      </c>
      <c r="AK382" s="84">
        <v>0</v>
      </c>
      <c r="BB382" s="48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0" t="s">
        <v>174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644</v>
      </c>
      <c r="AG386" s="78"/>
      <c r="AJ386" s="84" t="s">
        <v>46</v>
      </c>
      <c r="AK386" s="84">
        <v>0</v>
      </c>
      <c r="BB386" s="48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647</v>
      </c>
      <c r="AG387" s="78"/>
      <c r="AJ387" s="84" t="s">
        <v>46</v>
      </c>
      <c r="AK387" s="84">
        <v>0</v>
      </c>
      <c r="BB387" s="48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126</v>
      </c>
      <c r="L388" s="37" t="s">
        <v>46</v>
      </c>
      <c r="M388" s="38" t="s">
        <v>96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650</v>
      </c>
      <c r="AG388" s="78"/>
      <c r="AJ388" s="84" t="s">
        <v>46</v>
      </c>
      <c r="AK388" s="84">
        <v>0</v>
      </c>
      <c r="BB388" s="49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0" t="s">
        <v>282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651</v>
      </c>
      <c r="B392" s="63" t="s">
        <v>652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133</v>
      </c>
      <c r="L392" s="37" t="s">
        <v>46</v>
      </c>
      <c r="M392" s="38" t="s">
        <v>250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133</v>
      </c>
      <c r="L393" s="37" t="s">
        <v>46</v>
      </c>
      <c r="M393" s="38" t="s">
        <v>250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90</v>
      </c>
      <c r="L394" s="37" t="s">
        <v>46</v>
      </c>
      <c r="M394" s="38" t="s">
        <v>250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90</v>
      </c>
      <c r="L395" s="37" t="s">
        <v>46</v>
      </c>
      <c r="M395" s="38" t="s">
        <v>250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653</v>
      </c>
      <c r="AG395" s="78"/>
      <c r="AJ395" s="84" t="s">
        <v>46</v>
      </c>
      <c r="AK395" s="84">
        <v>0</v>
      </c>
      <c r="BB395" s="499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660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661</v>
      </c>
      <c r="B399" s="63" t="s">
        <v>662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664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663</v>
      </c>
      <c r="AG401" s="78"/>
      <c r="AJ401" s="84" t="s">
        <v>46</v>
      </c>
      <c r="AK401" s="84">
        <v>0</v>
      </c>
      <c r="BB401" s="505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669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670</v>
      </c>
      <c r="B405" s="63" t="s">
        <v>671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664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672</v>
      </c>
      <c r="AG405" s="78"/>
      <c r="AJ405" s="84" t="s">
        <v>46</v>
      </c>
      <c r="AK405" s="84">
        <v>0</v>
      </c>
      <c r="BB405" s="507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673</v>
      </c>
      <c r="B406" s="63" t="s">
        <v>674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133</v>
      </c>
      <c r="L406" s="37" t="s">
        <v>46</v>
      </c>
      <c r="M406" s="38" t="s">
        <v>664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675</v>
      </c>
      <c r="AG406" s="78"/>
      <c r="AJ406" s="84" t="s">
        <v>46</v>
      </c>
      <c r="AK406" s="84">
        <v>0</v>
      </c>
      <c r="BB406" s="509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664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672</v>
      </c>
      <c r="AG407" s="78"/>
      <c r="AJ407" s="84" t="s">
        <v>46</v>
      </c>
      <c r="AK407" s="84">
        <v>0</v>
      </c>
      <c r="BB407" s="511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678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85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679</v>
      </c>
      <c r="B412" s="63" t="s">
        <v>680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126</v>
      </c>
      <c r="L412" s="37" t="s">
        <v>46</v>
      </c>
      <c r="M412" s="38" t="s">
        <v>89</v>
      </c>
      <c r="N412" s="38"/>
      <c r="O412" s="37">
        <v>40</v>
      </c>
      <c r="P412" s="726" t="s">
        <v>681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683</v>
      </c>
      <c r="AC412" s="512" t="s">
        <v>682</v>
      </c>
      <c r="AG412" s="78"/>
      <c r="AJ412" s="84" t="s">
        <v>46</v>
      </c>
      <c r="AK412" s="84">
        <v>0</v>
      </c>
      <c r="BB412" s="513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684</v>
      </c>
      <c r="B413" s="63" t="s">
        <v>685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126</v>
      </c>
      <c r="L413" s="37" t="s">
        <v>46</v>
      </c>
      <c r="M413" s="38" t="s">
        <v>89</v>
      </c>
      <c r="N413" s="38"/>
      <c r="O413" s="37">
        <v>40</v>
      </c>
      <c r="P413" s="723" t="s">
        <v>686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683</v>
      </c>
      <c r="AC413" s="514" t="s">
        <v>687</v>
      </c>
      <c r="AG413" s="78"/>
      <c r="AJ413" s="84" t="s">
        <v>46</v>
      </c>
      <c r="AK413" s="84">
        <v>0</v>
      </c>
      <c r="BB413" s="515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688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85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689</v>
      </c>
      <c r="B418" s="63" t="s">
        <v>690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126</v>
      </c>
      <c r="L418" s="37" t="s">
        <v>46</v>
      </c>
      <c r="M418" s="38" t="s">
        <v>96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90</v>
      </c>
      <c r="L419" s="37" t="s">
        <v>46</v>
      </c>
      <c r="M419" s="38" t="s">
        <v>89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695</v>
      </c>
      <c r="B420" s="63" t="s">
        <v>696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90</v>
      </c>
      <c r="L420" s="37" t="s">
        <v>46</v>
      </c>
      <c r="M420" s="38" t="s">
        <v>96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697</v>
      </c>
      <c r="AG420" s="78"/>
      <c r="AJ420" s="84" t="s">
        <v>46</v>
      </c>
      <c r="AK420" s="84">
        <v>0</v>
      </c>
      <c r="BB420" s="52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698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699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121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700</v>
      </c>
      <c r="B426" s="63" t="s">
        <v>701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126</v>
      </c>
      <c r="L426" s="37" t="s">
        <v>46</v>
      </c>
      <c r="M426" s="38" t="s">
        <v>96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66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703</v>
      </c>
      <c r="B427" s="63" t="s">
        <v>704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126</v>
      </c>
      <c r="L427" s="37" t="s">
        <v>46</v>
      </c>
      <c r="M427" s="38" t="s">
        <v>80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400</v>
      </c>
      <c r="Y427" s="55">
        <f t="shared" si="53"/>
        <v>405</v>
      </c>
      <c r="Z427" s="41">
        <f>IFERROR(IF(Y427=0,"",ROUNDUP(Y427/H427,0)*0.02175),"")</f>
        <v>0.58724999999999994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66</v>
      </c>
      <c r="BM427" s="78">
        <f t="shared" si="54"/>
        <v>412.53333333333336</v>
      </c>
      <c r="BN427" s="78">
        <f t="shared" si="55"/>
        <v>417.69</v>
      </c>
      <c r="BO427" s="78">
        <f t="shared" si="56"/>
        <v>0.55555555555555558</v>
      </c>
      <c r="BP427" s="78">
        <f t="shared" si="57"/>
        <v>0.5625</v>
      </c>
    </row>
    <row r="428" spans="1:68" ht="27" customHeight="1" x14ac:dyDescent="0.25">
      <c r="A428" s="63" t="s">
        <v>706</v>
      </c>
      <c r="B428" s="63" t="s">
        <v>707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126</v>
      </c>
      <c r="L428" s="37" t="s">
        <v>46</v>
      </c>
      <c r="M428" s="38" t="s">
        <v>125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300</v>
      </c>
      <c r="Y428" s="55">
        <f t="shared" si="53"/>
        <v>300</v>
      </c>
      <c r="Z428" s="41">
        <f>IFERROR(IF(Y428=0,"",ROUNDUP(Y428/H428,0)*0.02175),"")</f>
        <v>0.43499999999999994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66</v>
      </c>
      <c r="BM428" s="78">
        <f t="shared" si="54"/>
        <v>309.39999999999998</v>
      </c>
      <c r="BN428" s="78">
        <f t="shared" si="55"/>
        <v>309.39999999999998</v>
      </c>
      <c r="BO428" s="78">
        <f t="shared" si="56"/>
        <v>0.41666666666666663</v>
      </c>
      <c r="BP428" s="78">
        <f t="shared" si="57"/>
        <v>0.41666666666666663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126</v>
      </c>
      <c r="L429" s="37" t="s">
        <v>46</v>
      </c>
      <c r="M429" s="38" t="s">
        <v>80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133</v>
      </c>
      <c r="L431" s="37" t="s">
        <v>46</v>
      </c>
      <c r="M431" s="38" t="s">
        <v>125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133</v>
      </c>
      <c r="L432" s="37" t="s">
        <v>46</v>
      </c>
      <c r="M432" s="38" t="s">
        <v>80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721</v>
      </c>
      <c r="B433" s="63" t="s">
        <v>722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133</v>
      </c>
      <c r="L433" s="37" t="s">
        <v>46</v>
      </c>
      <c r="M433" s="38" t="s">
        <v>80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723</v>
      </c>
      <c r="AG433" s="78"/>
      <c r="AJ433" s="84" t="s">
        <v>46</v>
      </c>
      <c r="AK433" s="84">
        <v>0</v>
      </c>
      <c r="BB433" s="537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46.666666666666671</v>
      </c>
      <c r="Y434" s="43">
        <f>IFERROR(Y426/H426,"0")+IFERROR(Y427/H427,"0")+IFERROR(Y428/H428,"0")+IFERROR(Y429/H429,"0")+IFERROR(Y430/H430,"0")+IFERROR(Y431/H431,"0")+IFERROR(Y432/H432,"0")+IFERROR(Y433/H433,"0")</f>
        <v>47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1.0222499999999999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700</v>
      </c>
      <c r="Y435" s="43">
        <f>IFERROR(SUM(Y426:Y433),"0")</f>
        <v>705</v>
      </c>
      <c r="Z435" s="42"/>
      <c r="AA435" s="67"/>
      <c r="AB435" s="67"/>
      <c r="AC435" s="67"/>
    </row>
    <row r="436" spans="1:68" ht="14.25" hidden="1" customHeight="1" x14ac:dyDescent="0.25">
      <c r="A436" s="660" t="s">
        <v>157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hidden="1" customHeight="1" x14ac:dyDescent="0.25">
      <c r="A437" s="63" t="s">
        <v>724</v>
      </c>
      <c r="B437" s="63" t="s">
        <v>725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730</v>
      </c>
      <c r="B439" s="63" t="s">
        <v>731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133</v>
      </c>
      <c r="L439" s="37" t="s">
        <v>46</v>
      </c>
      <c r="M439" s="38" t="s">
        <v>125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732</v>
      </c>
      <c r="AG439" s="78"/>
      <c r="AJ439" s="84" t="s">
        <v>46</v>
      </c>
      <c r="AK439" s="84">
        <v>0</v>
      </c>
      <c r="BB439" s="543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0" t="s">
        <v>85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733</v>
      </c>
      <c r="B443" s="63" t="s">
        <v>734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126</v>
      </c>
      <c r="L443" s="37" t="s">
        <v>46</v>
      </c>
      <c r="M443" s="38" t="s">
        <v>89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126</v>
      </c>
      <c r="L444" s="37" t="s">
        <v>46</v>
      </c>
      <c r="M444" s="38" t="s">
        <v>89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739</v>
      </c>
      <c r="B445" s="63" t="s">
        <v>740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126</v>
      </c>
      <c r="L445" s="37" t="s">
        <v>46</v>
      </c>
      <c r="M445" s="38" t="s">
        <v>89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741</v>
      </c>
      <c r="AG445" s="78"/>
      <c r="AJ445" s="84" t="s">
        <v>46</v>
      </c>
      <c r="AK445" s="84">
        <v>0</v>
      </c>
      <c r="BB445" s="54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174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742</v>
      </c>
      <c r="B449" s="63" t="s">
        <v>743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745</v>
      </c>
      <c r="B450" s="63" t="s">
        <v>746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747</v>
      </c>
      <c r="AG450" s="78"/>
      <c r="AJ450" s="84" t="s">
        <v>46</v>
      </c>
      <c r="AK450" s="84">
        <v>0</v>
      </c>
      <c r="BB450" s="55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748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121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126</v>
      </c>
      <c r="L455" s="37" t="s">
        <v>46</v>
      </c>
      <c r="M455" s="38" t="s">
        <v>80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751</v>
      </c>
      <c r="AG455" s="78"/>
      <c r="AJ455" s="84" t="s">
        <v>46</v>
      </c>
      <c r="AK455" s="84">
        <v>0</v>
      </c>
      <c r="BB455" s="555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752</v>
      </c>
      <c r="B456" s="63" t="s">
        <v>753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133</v>
      </c>
      <c r="L456" s="37" t="s">
        <v>46</v>
      </c>
      <c r="M456" s="38" t="s">
        <v>80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751</v>
      </c>
      <c r="AG456" s="78"/>
      <c r="AJ456" s="84" t="s">
        <v>46</v>
      </c>
      <c r="AK456" s="84">
        <v>0</v>
      </c>
      <c r="BB456" s="557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76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756</v>
      </c>
      <c r="AG460" s="78"/>
      <c r="AJ460" s="84" t="s">
        <v>46</v>
      </c>
      <c r="AK460" s="84">
        <v>0</v>
      </c>
      <c r="BB460" s="55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85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hidden="1" customHeight="1" x14ac:dyDescent="0.25">
      <c r="A464" s="63" t="s">
        <v>757</v>
      </c>
      <c r="B464" s="63" t="s">
        <v>758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126</v>
      </c>
      <c r="L464" s="37" t="s">
        <v>46</v>
      </c>
      <c r="M464" s="38" t="s">
        <v>89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759</v>
      </c>
      <c r="AG464" s="78"/>
      <c r="AJ464" s="84" t="s">
        <v>46</v>
      </c>
      <c r="AK464" s="84">
        <v>0</v>
      </c>
      <c r="BB464" s="56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760</v>
      </c>
      <c r="B465" s="63" t="s">
        <v>761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759</v>
      </c>
      <c r="AG465" s="78"/>
      <c r="AJ465" s="84" t="s">
        <v>46</v>
      </c>
      <c r="AK465" s="84">
        <v>0</v>
      </c>
      <c r="BB465" s="56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760</v>
      </c>
      <c r="B466" s="63" t="s">
        <v>762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90</v>
      </c>
      <c r="L466" s="37" t="s">
        <v>46</v>
      </c>
      <c r="M466" s="38" t="s">
        <v>89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66" t="s">
        <v>764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765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76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766</v>
      </c>
      <c r="B472" s="63" t="s">
        <v>767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133</v>
      </c>
      <c r="L472" s="37" t="s">
        <v>46</v>
      </c>
      <c r="M472" s="38" t="s">
        <v>80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66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133</v>
      </c>
      <c r="L473" s="37" t="s">
        <v>46</v>
      </c>
      <c r="M473" s="38" t="s">
        <v>80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771</v>
      </c>
      <c r="AG473" s="78"/>
      <c r="AJ473" s="84" t="s">
        <v>46</v>
      </c>
      <c r="AK473" s="84">
        <v>0</v>
      </c>
      <c r="BB473" s="569" t="s">
        <v>66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772</v>
      </c>
      <c r="B474" s="63" t="s">
        <v>773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768</v>
      </c>
      <c r="AG474" s="78"/>
      <c r="AJ474" s="84" t="s">
        <v>46</v>
      </c>
      <c r="AK474" s="84">
        <v>0</v>
      </c>
      <c r="BB474" s="571" t="s">
        <v>66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66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777</v>
      </c>
      <c r="B476" s="63" t="s">
        <v>778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779</v>
      </c>
      <c r="AG476" s="78"/>
      <c r="AJ476" s="84" t="s">
        <v>46</v>
      </c>
      <c r="AK476" s="84">
        <v>0</v>
      </c>
      <c r="BB476" s="575" t="s">
        <v>66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780</v>
      </c>
      <c r="B477" s="63" t="s">
        <v>781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81</v>
      </c>
      <c r="L477" s="37" t="s">
        <v>46</v>
      </c>
      <c r="M477" s="38" t="s">
        <v>80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776</v>
      </c>
      <c r="AG477" s="78"/>
      <c r="AJ477" s="84" t="s">
        <v>46</v>
      </c>
      <c r="AK477" s="84">
        <v>0</v>
      </c>
      <c r="BB477" s="577" t="s">
        <v>66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85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782</v>
      </c>
      <c r="B481" s="63" t="s">
        <v>783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133</v>
      </c>
      <c r="L481" s="37" t="s">
        <v>46</v>
      </c>
      <c r="M481" s="38" t="s">
        <v>89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90</v>
      </c>
      <c r="L482" s="37" t="s">
        <v>46</v>
      </c>
      <c r="M482" s="38" t="s">
        <v>89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787</v>
      </c>
      <c r="AG482" s="78"/>
      <c r="AJ482" s="84" t="s">
        <v>46</v>
      </c>
      <c r="AK482" s="84">
        <v>0</v>
      </c>
      <c r="BB482" s="581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788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157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90</v>
      </c>
      <c r="L487" s="37" t="s">
        <v>46</v>
      </c>
      <c r="M487" s="38" t="s">
        <v>80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791</v>
      </c>
      <c r="AG487" s="78"/>
      <c r="AJ487" s="84" t="s">
        <v>46</v>
      </c>
      <c r="AK487" s="84">
        <v>0</v>
      </c>
      <c r="BB487" s="583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76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792</v>
      </c>
      <c r="B491" s="63" t="s">
        <v>793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133</v>
      </c>
      <c r="L491" s="37" t="s">
        <v>46</v>
      </c>
      <c r="M491" s="38" t="s">
        <v>80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797</v>
      </c>
      <c r="AG492" s="78"/>
      <c r="AJ492" s="84" t="s">
        <v>46</v>
      </c>
      <c r="AK492" s="84">
        <v>0</v>
      </c>
      <c r="BB492" s="587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81</v>
      </c>
      <c r="L493" s="37" t="s">
        <v>46</v>
      </c>
      <c r="M493" s="38" t="s">
        <v>80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797</v>
      </c>
      <c r="AG493" s="78"/>
      <c r="AJ493" s="84" t="s">
        <v>46</v>
      </c>
      <c r="AK493" s="84">
        <v>0</v>
      </c>
      <c r="BB493" s="589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800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800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121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hidden="1" customHeight="1" x14ac:dyDescent="0.25">
      <c r="A499" s="63" t="s">
        <v>801</v>
      </c>
      <c r="B499" s="63" t="s">
        <v>802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126</v>
      </c>
      <c r="L499" s="37" t="s">
        <v>46</v>
      </c>
      <c r="M499" s="38" t="s">
        <v>89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124</v>
      </c>
      <c r="AG499" s="78"/>
      <c r="AJ499" s="84" t="s">
        <v>46</v>
      </c>
      <c r="AK499" s="84">
        <v>0</v>
      </c>
      <c r="BB499" s="591" t="s">
        <v>66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803</v>
      </c>
      <c r="B500" s="63" t="s">
        <v>804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126</v>
      </c>
      <c r="L500" s="37" t="s">
        <v>46</v>
      </c>
      <c r="M500" s="38" t="s">
        <v>125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66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126</v>
      </c>
      <c r="L501" s="37" t="s">
        <v>46</v>
      </c>
      <c r="M501" s="38" t="s">
        <v>125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66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126</v>
      </c>
      <c r="L502" s="37" t="s">
        <v>46</v>
      </c>
      <c r="M502" s="38" t="s">
        <v>125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66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812</v>
      </c>
      <c r="B503" s="63" t="s">
        <v>813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66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817</v>
      </c>
      <c r="AG504" s="78"/>
      <c r="AJ504" s="84" t="s">
        <v>46</v>
      </c>
      <c r="AK504" s="84">
        <v>0</v>
      </c>
      <c r="BB504" s="601" t="s">
        <v>66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818</v>
      </c>
      <c r="B505" s="63" t="s">
        <v>819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89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820</v>
      </c>
      <c r="B506" s="63" t="s">
        <v>821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133</v>
      </c>
      <c r="L506" s="37" t="s">
        <v>46</v>
      </c>
      <c r="M506" s="38" t="s">
        <v>89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822</v>
      </c>
      <c r="B507" s="63" t="s">
        <v>823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133</v>
      </c>
      <c r="L507" s="37" t="s">
        <v>46</v>
      </c>
      <c r="M507" s="38" t="s">
        <v>125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817</v>
      </c>
      <c r="AG507" s="78"/>
      <c r="AJ507" s="84" t="s">
        <v>46</v>
      </c>
      <c r="AK507" s="84">
        <v>0</v>
      </c>
      <c r="BB507" s="607" t="s">
        <v>66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60" t="s">
        <v>157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hidden="1" customHeight="1" x14ac:dyDescent="0.25">
      <c r="A511" s="63" t="s">
        <v>824</v>
      </c>
      <c r="B511" s="63" t="s">
        <v>825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89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826</v>
      </c>
      <c r="AG511" s="78"/>
      <c r="AJ511" s="84" t="s">
        <v>46</v>
      </c>
      <c r="AK511" s="84">
        <v>0</v>
      </c>
      <c r="BB511" s="609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125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826</v>
      </c>
      <c r="AG512" s="78"/>
      <c r="AJ512" s="84" t="s">
        <v>46</v>
      </c>
      <c r="AK512" s="84">
        <v>0</v>
      </c>
      <c r="BB512" s="611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829</v>
      </c>
      <c r="B513" s="63" t="s">
        <v>830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826</v>
      </c>
      <c r="AG513" s="78"/>
      <c r="AJ513" s="84" t="s">
        <v>46</v>
      </c>
      <c r="AK513" s="84">
        <v>0</v>
      </c>
      <c r="BB513" s="613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0" t="s">
        <v>76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hidden="1" customHeight="1" x14ac:dyDescent="0.25">
      <c r="A517" s="63" t="s">
        <v>831</v>
      </c>
      <c r="B517" s="63" t="s">
        <v>832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125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66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80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66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126</v>
      </c>
      <c r="L519" s="37" t="s">
        <v>46</v>
      </c>
      <c r="M519" s="38" t="s">
        <v>80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839</v>
      </c>
      <c r="AG519" s="78"/>
      <c r="AJ519" s="84" t="s">
        <v>46</v>
      </c>
      <c r="AK519" s="84">
        <v>0</v>
      </c>
      <c r="BB519" s="619" t="s">
        <v>66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840</v>
      </c>
      <c r="B520" s="63" t="s">
        <v>841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66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842</v>
      </c>
      <c r="B521" s="63" t="s">
        <v>843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133</v>
      </c>
      <c r="L521" s="37" t="s">
        <v>46</v>
      </c>
      <c r="M521" s="38" t="s">
        <v>80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836</v>
      </c>
      <c r="AG521" s="78"/>
      <c r="AJ521" s="84" t="s">
        <v>46</v>
      </c>
      <c r="AK521" s="84">
        <v>0</v>
      </c>
      <c r="BB521" s="623" t="s">
        <v>66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842</v>
      </c>
      <c r="B522" s="63" t="s">
        <v>844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133</v>
      </c>
      <c r="L522" s="37" t="s">
        <v>46</v>
      </c>
      <c r="M522" s="38" t="s">
        <v>80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66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845</v>
      </c>
      <c r="B523" s="63" t="s">
        <v>846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133</v>
      </c>
      <c r="L523" s="37" t="s">
        <v>46</v>
      </c>
      <c r="M523" s="38" t="s">
        <v>80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839</v>
      </c>
      <c r="AG523" s="78"/>
      <c r="AJ523" s="84" t="s">
        <v>46</v>
      </c>
      <c r="AK523" s="84">
        <v>0</v>
      </c>
      <c r="BB523" s="627" t="s">
        <v>66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66" t="s">
        <v>847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847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121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848</v>
      </c>
      <c r="B529" s="63" t="s">
        <v>849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126</v>
      </c>
      <c r="L529" s="37" t="s">
        <v>46</v>
      </c>
      <c r="M529" s="38" t="s">
        <v>125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850</v>
      </c>
      <c r="AG529" s="78"/>
      <c r="AJ529" s="84" t="s">
        <v>46</v>
      </c>
      <c r="AK529" s="84">
        <v>0</v>
      </c>
      <c r="BB529" s="62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157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851</v>
      </c>
      <c r="B533" s="63" t="s">
        <v>852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853</v>
      </c>
      <c r="AG533" s="78"/>
      <c r="AJ533" s="84" t="s">
        <v>46</v>
      </c>
      <c r="AK533" s="84">
        <v>0</v>
      </c>
      <c r="BB533" s="63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76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854</v>
      </c>
      <c r="B537" s="63" t="s">
        <v>855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133</v>
      </c>
      <c r="L537" s="37" t="s">
        <v>46</v>
      </c>
      <c r="M537" s="38" t="s">
        <v>80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856</v>
      </c>
      <c r="AG537" s="78"/>
      <c r="AJ537" s="84" t="s">
        <v>46</v>
      </c>
      <c r="AK537" s="84">
        <v>0</v>
      </c>
      <c r="BB537" s="633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85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857</v>
      </c>
      <c r="B541" s="63" t="s">
        <v>858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126</v>
      </c>
      <c r="L541" s="37" t="s">
        <v>46</v>
      </c>
      <c r="M541" s="38" t="s">
        <v>89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859</v>
      </c>
      <c r="AG541" s="78"/>
      <c r="AJ541" s="84" t="s">
        <v>46</v>
      </c>
      <c r="AK541" s="84">
        <v>0</v>
      </c>
      <c r="BB541" s="635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174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860</v>
      </c>
      <c r="B545" s="63" t="s">
        <v>861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863</v>
      </c>
      <c r="B546" s="63" t="s">
        <v>864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865</v>
      </c>
      <c r="AG546" s="78"/>
      <c r="AJ546" s="84" t="s">
        <v>46</v>
      </c>
      <c r="AK546" s="84">
        <v>0</v>
      </c>
      <c r="BB546" s="639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866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157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126</v>
      </c>
      <c r="L551" s="37" t="s">
        <v>46</v>
      </c>
      <c r="M551" s="38" t="s">
        <v>125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869</v>
      </c>
      <c r="AG551" s="78"/>
      <c r="AJ551" s="84" t="s">
        <v>46</v>
      </c>
      <c r="AK551" s="84">
        <v>0</v>
      </c>
      <c r="BB551" s="641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700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705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721.93333333333339</v>
      </c>
      <c r="Y555" s="43">
        <f>IFERROR(SUM(BN22:BN551),"0")</f>
        <v>727.08999999999992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1</v>
      </c>
      <c r="Y556" s="44">
        <f>ROUNDUP(SUM(BP22:BP551),0)</f>
        <v>1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746.93333333333339</v>
      </c>
      <c r="Y557" s="43">
        <f>GrossWeightTotalR+PalletQtyTotalR*25</f>
        <v>752.08999999999992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46.666666666666671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47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1.0222499999999999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75</v>
      </c>
      <c r="C561" s="85" t="s">
        <v>45</v>
      </c>
      <c r="D561" s="642" t="s">
        <v>119</v>
      </c>
      <c r="E561" s="642" t="s">
        <v>119</v>
      </c>
      <c r="F561" s="642" t="s">
        <v>119</v>
      </c>
      <c r="G561" s="642" t="s">
        <v>119</v>
      </c>
      <c r="H561" s="642" t="s">
        <v>119</v>
      </c>
      <c r="I561" s="642" t="s">
        <v>119</v>
      </c>
      <c r="J561" s="642" t="s">
        <v>119</v>
      </c>
      <c r="K561" s="642" t="s">
        <v>352</v>
      </c>
      <c r="L561" s="642" t="s">
        <v>352</v>
      </c>
      <c r="M561" s="642" t="s">
        <v>352</v>
      </c>
      <c r="N561" s="643"/>
      <c r="O561" s="642" t="s">
        <v>352</v>
      </c>
      <c r="P561" s="642" t="s">
        <v>352</v>
      </c>
      <c r="Q561" s="642" t="s">
        <v>352</v>
      </c>
      <c r="R561" s="642" t="s">
        <v>352</v>
      </c>
      <c r="S561" s="642" t="s">
        <v>352</v>
      </c>
      <c r="T561" s="642" t="s">
        <v>352</v>
      </c>
      <c r="U561" s="642" t="s">
        <v>352</v>
      </c>
      <c r="V561" s="642" t="s">
        <v>352</v>
      </c>
      <c r="W561" s="642" t="s">
        <v>698</v>
      </c>
      <c r="X561" s="642" t="s">
        <v>698</v>
      </c>
      <c r="Y561" s="642" t="s">
        <v>764</v>
      </c>
      <c r="Z561" s="642" t="s">
        <v>764</v>
      </c>
      <c r="AA561" s="85" t="s">
        <v>800</v>
      </c>
      <c r="AB561" s="642" t="s">
        <v>847</v>
      </c>
      <c r="AC561" s="642" t="s">
        <v>847</v>
      </c>
      <c r="AF561" s="1"/>
    </row>
    <row r="562" spans="1:32" ht="14.25" customHeight="1" thickTop="1" x14ac:dyDescent="0.2">
      <c r="A562" s="644" t="s">
        <v>10</v>
      </c>
      <c r="B562" s="642" t="s">
        <v>75</v>
      </c>
      <c r="C562" s="642" t="s">
        <v>103</v>
      </c>
      <c r="D562" s="642" t="s">
        <v>120</v>
      </c>
      <c r="E562" s="642" t="s">
        <v>136</v>
      </c>
      <c r="F562" s="642" t="s">
        <v>181</v>
      </c>
      <c r="G562" s="642" t="s">
        <v>202</v>
      </c>
      <c r="H562" s="642" t="s">
        <v>242</v>
      </c>
      <c r="I562" s="642" t="s">
        <v>266</v>
      </c>
      <c r="J562" s="642" t="s">
        <v>119</v>
      </c>
      <c r="K562" s="642" t="s">
        <v>353</v>
      </c>
      <c r="L562" s="642" t="s">
        <v>374</v>
      </c>
      <c r="M562" s="642" t="s">
        <v>441</v>
      </c>
      <c r="N562" s="1"/>
      <c r="O562" s="642" t="s">
        <v>509</v>
      </c>
      <c r="P562" s="642" t="s">
        <v>542</v>
      </c>
      <c r="Q562" s="642" t="s">
        <v>558</v>
      </c>
      <c r="R562" s="642" t="s">
        <v>567</v>
      </c>
      <c r="S562" s="642" t="s">
        <v>588</v>
      </c>
      <c r="T562" s="642" t="s">
        <v>597</v>
      </c>
      <c r="U562" s="642" t="s">
        <v>678</v>
      </c>
      <c r="V562" s="642" t="s">
        <v>688</v>
      </c>
      <c r="W562" s="642" t="s">
        <v>699</v>
      </c>
      <c r="X562" s="642" t="s">
        <v>748</v>
      </c>
      <c r="Y562" s="642" t="s">
        <v>765</v>
      </c>
      <c r="Z562" s="642" t="s">
        <v>788</v>
      </c>
      <c r="AA562" s="642" t="s">
        <v>800</v>
      </c>
      <c r="AB562" s="642" t="s">
        <v>847</v>
      </c>
      <c r="AC562" s="642" t="s">
        <v>866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705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00,00"/>
        <filter val="400,00"/>
        <filter val="46,67"/>
        <filter val="700,00"/>
        <filter val="721,93"/>
        <filter val="746,93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9" spans="2:8" x14ac:dyDescent="0.2">
      <c r="B9" s="53" t="s">
        <v>882</v>
      </c>
      <c r="C9" s="53" t="s">
        <v>883</v>
      </c>
      <c r="D9" s="53" t="s">
        <v>884</v>
      </c>
      <c r="E9" s="53" t="s">
        <v>46</v>
      </c>
    </row>
    <row r="10" spans="2:8" x14ac:dyDescent="0.2">
      <c r="B10" s="53" t="s">
        <v>885</v>
      </c>
      <c r="C10" s="53" t="s">
        <v>886</v>
      </c>
      <c r="D10" s="53" t="s">
        <v>887</v>
      </c>
      <c r="E10" s="53" t="s">
        <v>46</v>
      </c>
    </row>
    <row r="11" spans="2:8" x14ac:dyDescent="0.2">
      <c r="B11" s="53" t="s">
        <v>888</v>
      </c>
      <c r="C11" s="53" t="s">
        <v>889</v>
      </c>
      <c r="D11" s="53" t="s">
        <v>890</v>
      </c>
      <c r="E11" s="53" t="s">
        <v>46</v>
      </c>
    </row>
    <row r="12" spans="2:8" x14ac:dyDescent="0.2">
      <c r="B12" s="53" t="s">
        <v>891</v>
      </c>
      <c r="C12" s="53" t="s">
        <v>892</v>
      </c>
      <c r="D12" s="53" t="s">
        <v>893</v>
      </c>
      <c r="E12" s="53" t="s">
        <v>46</v>
      </c>
    </row>
    <row r="14" spans="2:8" x14ac:dyDescent="0.2">
      <c r="B14" s="53" t="s">
        <v>894</v>
      </c>
      <c r="C14" s="53" t="s">
        <v>874</v>
      </c>
      <c r="D14" s="53" t="s">
        <v>46</v>
      </c>
      <c r="E14" s="53" t="s">
        <v>46</v>
      </c>
    </row>
    <row r="16" spans="2:8" x14ac:dyDescent="0.2">
      <c r="B16" s="53" t="s">
        <v>895</v>
      </c>
      <c r="C16" s="53" t="s">
        <v>877</v>
      </c>
      <c r="D16" s="53" t="s">
        <v>46</v>
      </c>
      <c r="E16" s="53" t="s">
        <v>46</v>
      </c>
    </row>
    <row r="18" spans="2:5" x14ac:dyDescent="0.2">
      <c r="B18" s="53" t="s">
        <v>896</v>
      </c>
      <c r="C18" s="53" t="s">
        <v>880</v>
      </c>
      <c r="D18" s="53" t="s">
        <v>46</v>
      </c>
      <c r="E18" s="53" t="s">
        <v>46</v>
      </c>
    </row>
    <row r="20" spans="2:5" x14ac:dyDescent="0.2">
      <c r="B20" s="53" t="s">
        <v>897</v>
      </c>
      <c r="C20" s="53" t="s">
        <v>883</v>
      </c>
      <c r="D20" s="53" t="s">
        <v>46</v>
      </c>
      <c r="E20" s="53" t="s">
        <v>46</v>
      </c>
    </row>
    <row r="22" spans="2:5" x14ac:dyDescent="0.2">
      <c r="B22" s="53" t="s">
        <v>898</v>
      </c>
      <c r="C22" s="53" t="s">
        <v>886</v>
      </c>
      <c r="D22" s="53" t="s">
        <v>46</v>
      </c>
      <c r="E22" s="53" t="s">
        <v>46</v>
      </c>
    </row>
    <row r="24" spans="2:5" x14ac:dyDescent="0.2">
      <c r="B24" s="53" t="s">
        <v>899</v>
      </c>
      <c r="C24" s="53" t="s">
        <v>889</v>
      </c>
      <c r="D24" s="53" t="s">
        <v>46</v>
      </c>
      <c r="E24" s="53" t="s">
        <v>46</v>
      </c>
    </row>
    <row r="26" spans="2:5" x14ac:dyDescent="0.2">
      <c r="B26" s="53" t="s">
        <v>900</v>
      </c>
      <c r="C26" s="53" t="s">
        <v>892</v>
      </c>
      <c r="D26" s="53" t="s">
        <v>46</v>
      </c>
      <c r="E26" s="53" t="s">
        <v>46</v>
      </c>
    </row>
    <row r="28" spans="2:5" x14ac:dyDescent="0.2">
      <c r="B28" s="53" t="s">
        <v>901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905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906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907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908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909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910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911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2026-08-18T06:24:15Z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