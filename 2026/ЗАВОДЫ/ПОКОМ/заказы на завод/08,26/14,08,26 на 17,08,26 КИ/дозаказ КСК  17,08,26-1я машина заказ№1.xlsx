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98BE928-ADC6-4F4C-8C74-486B498098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BN47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245" i="2"/>
  <c r="Z418" i="2"/>
  <c r="Z405" i="2"/>
  <c r="Z369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<sst xmlns="http://schemas.openxmlformats.org/spreadsheetml/2006/main" count="4194" uniqueCount="891">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</sst>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46251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1500</v>
      </c>
      <c r="Y424" s="55">
        <f t="shared" si="52"/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1547</v>
      </c>
      <c r="BN424" s="78">
        <f t="shared" si="54"/>
        <v>1547</v>
      </c>
      <c r="BO424" s="78">
        <f t="shared" si="55"/>
        <v>2.083333333333333</v>
      </c>
      <c r="BP424" s="78">
        <f t="shared" si="56"/>
        <v>2.083333333333333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750</v>
      </c>
      <c r="Y425" s="55">
        <f t="shared" si="52"/>
        <v>750</v>
      </c>
      <c r="Z425" s="41">
        <f>IFERROR(IF(Y425=0,"",ROUNDUP(Y425/H425,0)*0.02175),"")</f>
        <v>1.0874999999999999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773.5</v>
      </c>
      <c r="BN425" s="78">
        <f t="shared" si="54"/>
        <v>773.5</v>
      </c>
      <c r="BO425" s="78">
        <f t="shared" si="55"/>
        <v>1.0416666666666665</v>
      </c>
      <c r="BP425" s="78">
        <f t="shared" si="56"/>
        <v>1.0416666666666665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1500</v>
      </c>
      <c r="Y426" s="55">
        <f t="shared" si="52"/>
        <v>1500</v>
      </c>
      <c r="Z426" s="41">
        <f>IFERROR(IF(Y426=0,"",ROUNDUP(Y426/H426,0)*0.02175),"")</f>
        <v>2.1749999999999998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1547</v>
      </c>
      <c r="BN426" s="78">
        <f t="shared" si="54"/>
        <v>1547</v>
      </c>
      <c r="BO426" s="78">
        <f t="shared" si="55"/>
        <v>2.083333333333333</v>
      </c>
      <c r="BP426" s="78">
        <f t="shared" si="56"/>
        <v>2.083333333333333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250</v>
      </c>
      <c r="Y431" s="43">
        <f>IFERROR(Y423/H423,"0")+IFERROR(Y424/H424,"0")+IFERROR(Y425/H425,"0")+IFERROR(Y426/H426,"0")+IFERROR(Y427/H427,"0")+IFERROR(Y428/H428,"0")+IFERROR(Y429/H429,"0")+IFERROR(Y430/H430,"0")</f>
        <v>250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5.4375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3750</v>
      </c>
      <c r="Y432" s="43">
        <f>IFERROR(SUM(Y423:Y430),"0")</f>
        <v>3750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3750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3750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3867.5</v>
      </c>
      <c r="Y552" s="43">
        <f>IFERROR(SUM(BN22:BN548),"0")</f>
        <v>3867.5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6</v>
      </c>
      <c r="Y553" s="44">
        <f>ROUNDUP(SUM(BP22:BP548),0)</f>
        <v>6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4017.5</v>
      </c>
      <c r="Y554" s="43">
        <f>GrossWeightTotalR+PalletQtyTotalR*25</f>
        <v>4017.5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250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250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5.4375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3750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250,00"/>
        <filter val="3 750,00"/>
        <filter val="3 867,50"/>
        <filter val="4 017,50"/>
        <filter val="6"/>
        <filter val="75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2026-08-17T06:44:25Z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