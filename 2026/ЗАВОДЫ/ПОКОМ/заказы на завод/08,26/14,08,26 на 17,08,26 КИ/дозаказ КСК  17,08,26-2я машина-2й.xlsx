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DC06DC-DF4E-4E7A-B7FA-ED013D4A99D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BN47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245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<sst xmlns="http://schemas.openxmlformats.org/spreadsheetml/2006/main" count="4194" uniqueCount="891">
  <si>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</si>
  <si>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</si>
  <si>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</si>
  <si>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</si>
  <si>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</si>
  <si>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</si>
  <si>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</si>
  <si>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</si>
  <si>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</si>
  <si>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</si>
  <si>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</si>
  <si>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</si>
  <si>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</si>
  <si>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</si>
  <si>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</si>
  <si>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</si>
  <si>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</si>
  <si>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</si>
  <si>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</si>
  <si>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</si>
  <si>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</si>
  <si>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</si>
  <si>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</si>
  <si>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</si>
  <si>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</si>
  <si>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</si>
  <si>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</si>
  <si>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</si>
  <si>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</si>
  <si>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</si>
  <si>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</si>
  <si>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</si>
  <si>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</si>
  <si>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</si>
  <si>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</si>
  <si>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</si>
  <si>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</si>
  <si>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</si>
  <si>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</si>
  <si>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</si>
  <si>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</si>
  <si>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</si>
  <si>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</si>
  <si>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</si>
  <si>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</si>
  <si>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</si>
  <si>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</si>
  <si>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</si>
  <si>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</si>
  <si>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</si>
  <si>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</si>
  <si>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</si>
  <si>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</si>
  <si>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</si>
  <si>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</si>
  <si>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</si>
  <si>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</si>
  <si>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</si>
  <si>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</si>
  <si>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</si>
  <si>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</si>
  <si>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</si>
  <si>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</si>
  <si>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</si>
  <si>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</si>
  <si>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</si>
  <si>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</si>
  <si>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</si>
  <si>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</si>
  <si>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</si>
  <si>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</si>
  <si>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</si>
  <si>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</si>
  <si>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</si>
  <si>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</si>
  <si>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</si>
  <si>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</si>
  <si>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</si>
  <si>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</si>
  <si>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</si>
  <si>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</si>
  <si>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</si>
  <si>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</si>
  <si>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</si>
  <si>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</si>
  <si>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</si>
  <si>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</si>
  <si>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</si>
  <si>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</si>
  <si>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</si>
  <si>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</si>
  <si>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</si>
  <si>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</si>
  <si>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</si>
  <si>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</si>
  <si>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</si>
  <si>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</si>
  <si>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</si>
  <si>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</si>
  <si>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</si>
  <si>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</si>
  <si>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</si>
  <si>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</si>
  <si>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</si>
  <si>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</si>
  <si>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</si>
  <si>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</si>
  <si>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</si>
  <si>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</si>
  <si>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</si>
  <si>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</si>
  <si>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</si>
  <si>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</si>
  <si>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</si>
  <si>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</si>
  <si>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</si>
  <si>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</si>
  <si>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</si>
  <si>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</si>
  <si>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</si>
  <si>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</si>
  <si>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</si>
  <si>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</si>
  <si>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</si>
  <si>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</si>
  <si>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</si>
  <si>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</si>
  <si>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</si>
  <si>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</si>
  <si>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</si>
  <si>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</si>
  <si>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</si>
  <si>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</si>
  <si>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</si>
  <si>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</si>
  <si>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</si>
  <si>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</si>
  <si>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</si>
  <si>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</si>
  <si>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</si>
  <si>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</si>
  <si>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</si>
  <si>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</si>
  <si>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</si>
  <si>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</si>
  <si>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</si>
  <si>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</si>
  <si>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</si>
  <si>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</si>
  <si>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</si>
  <si>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</si>
  <si>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</si>
  <si>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</si>
  <si>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</si>
  <si>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</si>
  <si>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</si>
  <si>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</si>
  <si>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</si>
  <si>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</si>
  <si>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</si>
  <si>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</si>
  <si>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</si>
  <si>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</si>
  <si>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</si>
  <si>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</si>
  <si>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</si>
  <si>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</si>
  <si>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</si>
  <si>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</si>
  <si>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</si>
  <si>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</si>
  <si>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</si>
  <si>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</si>
  <si>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</si>
  <si>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</si>
  <si>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</si>
  <si>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</si>
  <si>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</si>
  <si>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</si>
  <si>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</si>
  <si>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</si>
  <si>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</si>
  <si>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</si>
  <si>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</si>
  <si>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</si>
  <si>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</si>
  <si>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</si>
  <si>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</si>
  <si>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</si>
  <si>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</si>
  <si>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</si>
  <si>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</si>
  <si>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</si>
  <si>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</si>
  <si>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</si>
  <si>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</si>
  <si>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</si>
  <si>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</si>
  <si>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</si>
  <si>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</si>
  <si>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</si>
  <si>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</si>
  <si>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</si>
  <si>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</si>
  <si>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</si>
  <si>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</si>
  <si>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</si>
  <si>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</si>
  <si>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</si>
  <si>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</si>
  <si>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</si>
  <si>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</si>
  <si>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</si>
  <si>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</si>
  <si>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</si>
  <si>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</si>
  <si>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</si>
  <si>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</si>
  <si>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</si>
  <si>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</si>
  <si>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</si>
  <si>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</si>
  <si>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</si>
  <si>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</si>
  <si>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</si>
  <si>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</si>
  <si>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</si>
  <si>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</si>
  <si>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</si>
  <si>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</si>
  <si>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</si>
  <si>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</si>
  <si>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</si>
  <si>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</si>
  <si>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</si>
  <si>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</si>
  <si>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</si>
  <si>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</si>
  <si>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</si>
  <si>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</si>
  <si>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</si>
  <si>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</si>
  <si>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</si>
  <si>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</si>
  <si>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</si>
  <si>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</si>
  <si>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</si>
  <si>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</si>
  <si>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</si>
  <si>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</si>
  <si>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</si>
  <si>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</si>
  <si>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</si>
  <si>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</si>
  <si>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</si>
  <si>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</si>
  <si>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</si>
  <si>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</si>
  <si>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</si>
  <si>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</si>
  <si>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</si>
  <si>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</si>
  <si>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</si>
  <si>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</si>
  <si>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</si>
  <si>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</si>
  <si>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</si>
  <si>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</si>
  <si>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</si>
  <si>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</si>
  <si>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</si>
  <si>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</si>
  <si>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</si>
  <si>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</si>
  <si>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</si>
  <si>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</si>
  <si>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</si>
  <si>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</si>
  <si>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</si>
  <si>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</si>
  <si>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</si>
  <si>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</si>
  <si>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</si>
  <si>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</si>
  <si>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</si>
  <si>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</si>
  <si>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</si>
  <si>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</si>
  <si>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</si>
  <si>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</si>
  <si>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</si>
  <si>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</si>
  <si>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</si>
  <si>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</si>
  <si>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</si>
  <si>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</si>
  <si>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</si>
  <si>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</si>
  <si>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</si>
  <si>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</si>
  <si>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</si>
  <si>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</si>
  <si>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</si>
  <si>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</si>
  <si>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</si>
  <si>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</si>
  <si>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</si>
  <si>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</si>
  <si>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</si>
  <si>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</si>
  <si>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</si>
  <si>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</si>
  <si>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</si>
  <si>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</si>
  <si>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</si>
  <si>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</si>
  <si>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</si>
  <si>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</si>
  <si>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</si>
  <si>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</si>
  <si>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</si>
  <si>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</si>
  <si>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</si>
  <si>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</si>
  <si>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</si>
  <si>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</si>
  <si>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</si>
  <si>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</si>
  <si>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</si>
  <si>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</si>
  <si>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</si>
  <si>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</si>
  <si>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</si>
  <si>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</si>
  <si>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</si>
  <si>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</si>
  <si>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</si>
  <si>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</si>
  <si>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</si>
  <si>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</si>
  <si>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</si>
  <si>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</si>
  <si>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</si>
  <si>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</si>
  <si>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</si>
  <si>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</si>
  <si>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</si>
  <si>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</si>
  <si>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</si>
  <si>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</si>
  <si>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</si>
  <si>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</si>
  <si>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</si>
  <si>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</si>
  <si>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</si>
  <si>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</si>
  <si>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</si>
  <si>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</si>
  <si>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</si>
  <si>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</si>
  <si>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</si>
  <si>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</si>
  <si>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</si>
  <si>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</si>
  <si>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</si>
  <si>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</si>
  <si>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</si>
  <si>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</si>
  <si>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</si>
  <si>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</si>
  <si>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</si>
  <si>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</si>
  <si>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</si>
  <si>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</si>
  <si>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</si>
  <si>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</si>
  <si>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</si>
  <si>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</si>
  <si>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</si>
  <si>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</si>
  <si>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</si>
  <si>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</si>
  <si>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</si>
  <si>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</si>
  <si>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</si>
  <si>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</si>
  <si>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</si>
  <si>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</si>
  <si>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</si>
  <si>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</si>
  <si>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</si>
  <si>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</si>
  <si>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</si>
  <si>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</si>
  <si>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</si>
  <si>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</si>
  <si>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</si>
  <si>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</si>
  <si>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</si>
  <si>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</si>
  <si>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</si>
  <si>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</si>
  <si>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</si>
  <si>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</si>
  <si>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</si>
  <si>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</si>
  <si>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</si>
  <si>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</si>
  <si>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</si>
  <si>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</si>
  <si>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</si>
  <si>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</si>
  <si>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</si>
  <si>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</si>
  <si>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</si>
  <si>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</si>
  <si>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</si>
  <si>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</si>
  <si>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</si>
  <si>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</si>
  <si>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</si>
  <si>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</si>
  <si>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</si>
  <si>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</si>
  <si>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</si>
  <si>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</si>
  <si>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</si>
  <si>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</si>
  <si>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</si>
  <si>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</si>
  <si>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</si>
  <si>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</si>
  <si>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</si>
  <si>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</si>
  <si>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</si>
  <si>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</si>
  <si>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</si>
  <si>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</si>
  <si>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</si>
  <si>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</si>
  <si>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</si>
  <si>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</si>
  <si>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</si>
  <si>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</si>
  <si>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</si>
  <si>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</si>
  <si>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</si>
  <si>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</si>
  <si>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</si>
  <si>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</si>
  <si>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</si>
  <si>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</si>
  <si>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</si>
  <si>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</si>
  <si>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</si>
  <si>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</si>
  <si>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</si>
  <si>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</si>
  <si>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</si>
  <si>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</si>
  <si>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</si>
  <si>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</si>
  <si>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</si>
  <si>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</si>
  <si>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</si>
  <si>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</si>
  <si>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</si>
  <si>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</si>
  <si>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</si>
  <si>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</si>
  <si>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</si>
  <si>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</si>
  <si>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</si>
  <si>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</si>
  <si>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</si>
  <si>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</si>
  <si>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</si>
  <si>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</si>
  <si>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</si>
  <si>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</si>
  <si>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</si>
  <si>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</si>
  <si>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</si>
  <si>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</si>
  <si>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</si>
  <si>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</si>
  <si>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</si>
  <si>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</si>
  <si>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</si>
  <si>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</si>
  <si>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</si>
  <si>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</si>
  <si>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</si>
  <si>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</si>
  <si>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</si>
  <si>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</si>
  <si>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</si>
  <si>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</si>
  <si>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</si>
  <si>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</si>
  <si>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</si>
  <si>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</si>
  <si>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</si>
  <si>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</si>
  <si>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</si>
  <si>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</si>
  <si>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</si>
  <si>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</si>
  <si>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</si>
  <si>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</si>
  <si>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</si>
  <si>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</si>
  <si>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</si>
  <si>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</si>
  <si>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</si>
  <si>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</si>
  <si>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</si>
  <si>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</si>
  <si>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</si>
  <si>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</si>
  <si>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</si>
  <si>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</si>
  <si>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</si>
  <si>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</si>
  <si>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</si>
  <si>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</si>
  <si>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</si>
  <si>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</si>
  <si>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</si>
  <si>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</si>
  <si>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</si>
  <si>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</si>
  <si>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</si>
  <si>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</si>
  <si>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</si>
  <si>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</si>
  <si>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</si>
  <si>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</si>
  <si>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</si>
  <si>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</si>
  <si>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</si>
  <si>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</si>
  <si>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</si>
  <si>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</si>
  <si>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</si>
  <si>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</si>
  <si>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</si>
  <si>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</si>
  <si>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</si>
  <si>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</si>
  <si>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</si>
  <si>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</si>
  <si>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</si>
  <si>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</si>
  <si>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</si>
  <si>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</si>
  <si>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</si>
  <si>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</si>
  <si>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</si>
  <si>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</si>
  <si>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</si>
  <si>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</si>
  <si>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</si>
  <si>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</si>
  <si>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</si>
  <si>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</si>
  <si>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</si>
  <si>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</si>
  <si>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</si>
  <si>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</si>
  <si>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</si>
  <si>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</si>
  <si>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</si>
  <si>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</si>
  <si>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</si>
  <si>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</si>
  <si>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</si>
  <si>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</si>
  <si>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</si>
  <si>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</si>
  <si>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</si>
  <si>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</si>
  <si>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</si>
  <si>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</si>
  <si>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</si>
  <si>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</si>
  <si>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</si>
  <si>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</si>
  <si>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</si>
  <si>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</si>
  <si>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</si>
  <si>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</si>
  <si>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</si>
  <si>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</si>
  <si>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</si>
  <si>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</si>
  <si>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</si>
  <si>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</si>
  <si>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</si>
  <si>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</si>
  <si>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</si>
  <si>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</si>
  <si>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</si>
  <si>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</si>
  <si>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</si>
  <si>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</si>
  <si>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</si>
  <si>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</si>
  <si>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</si>
  <si>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</si>
  <si>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</si>
  <si>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</si>
  <si>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</si>
  <si>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</si>
  <si>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</si>
  <si>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</si>
  <si>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</si>
  <si>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</si>
  <si>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</si>
  <si>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</si>
  <si>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</si>
  <si>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</si>
  <si>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</si>
  <si>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</si>
  <si>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</si>
  <si>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</si>
  <si>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</si>
  <si>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</si>
  <si>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</si>
  <si>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</si>
  <si>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</si>
  <si>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</si>
  <si>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</si>
  <si>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</si>
  <si>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</si>
  <si>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</si>
  <si>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</si>
  <si>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</si>
  <si>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</si>
  <si>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</si>
  <si>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</si>
  <si>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</si>
  <si>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</si>
  <si>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</si>
  <si>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</si>
  <si>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</si>
  <si>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</si>
  <si>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</si>
  <si>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</si>
  <si>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</si>
  <si>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</si>
  <si>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</si>
  <si>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</si>
  <si>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</si>
  <si>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</si>
  <si>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</si>
  <si>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</si>
  <si>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</si>
  <si>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</si>
  <si>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</si>
  <si>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</si>
  <si>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</si>
  <si>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</si>
  <si>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</si>
  <si>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</si>
  <si>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</si>
  <si>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</si>
  <si>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</si>
  <si>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</si>
  <si>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</si>
  <si>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</si>
  <si>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</si>
  <si>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</si>
  <si>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</si>
  <si>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</si>
  <si>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</si>
  <si>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</si>
  <si>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</si>
  <si>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</si>
  <si>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</si>
  <si>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</si>
  <si>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</si>
  <si>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</si>
  <si>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</si>
  <si>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</si>
  <si>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</si>
  <si>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</si>
  <si>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</si>
  <si>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</si>
  <si>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</si>
  <si>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</si>
  <si>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</si>
  <si>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</si>
  <si>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</si>
  <si>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</si>
  <si>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</si>
  <si>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</si>
  <si>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</si>
  <si>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</si>
  <si>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</si>
  <si>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</si>
  <si>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</si>
  <si>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</si>
  <si>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</si>
  <si>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</si>
  <si>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</si>
  <si>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</si>
  <si>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</si>
  <si>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</si>
  <si>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</si>
  <si>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</si>
  <si>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</si>
  <si>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</si>
  <si>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</si>
  <si>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</si>
  <si>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</si>
  <si>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</si>
  <si>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</si>
  <si>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</si>
  <si>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</si>
  <si>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</si>
  <si>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</si>
  <si>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</si>
  <si>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</si>
  <si>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</si>
  <si>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</si>
  <si>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</si>
  <si>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</si>
  <si>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</si>
  <si>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</si>
  <si>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</si>
  <si>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</si>
  <si>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</si>
  <si>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</si>
  <si>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</si>
  <si>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</si>
  <si>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</si>
  <si>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</si>
  <si>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</si>
  <si>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</si>
  <si>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</si>
  <si>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</si>
  <si>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</si>
  <si>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</si>
  <si>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</si>
  <si>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</si>
  <si>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</si>
  <si>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</si>
  <si>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</si>
  <si>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</si>
  <si>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</si>
  <si>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</si>
  <si>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</si>
  <si>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</si>
  <si>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</si>
  <si>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</si>
  <si>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</si>
  <si>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</si>
  <si>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</si>
  <si>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</si>
  <si>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</si>
  <si>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</si>
  <si>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</si>
  <si>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</si>
  <si>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</si>
  <si>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</si>
  <si>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</si>
  <si>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</si>
  <si>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</si>
  <si>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</si>
  <si>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</si>
  <si>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</si>
  <si>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</si>
  <si>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</si>
  <si>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</si>
  <si>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</si>
  <si>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</si>
  <si>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</si>
  <si>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</si>
  <si>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</si>
  <si>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</si>
  <si>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</si>
  <si>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</si>
  <si>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</si>
  <si>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</si>
  <si>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</si>
  <si>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</si>
  <si>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</si>
  <si>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</si>
  <si>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</si>
  <si>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</si>
  <si>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</si>
  <si>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</si>
  <si>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</si>
  <si>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</si>
  <si>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</si>
  <si>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</si>
  <si>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</si>
  <si>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</si>
  <si>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</si>
  <si>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</si>
  <si>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</si>
  <si>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</si>
  <si>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</si>
  <si>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</si>
  <si>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</si>
  <si>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</si>
  <si>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</si>
  <si>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</si>
  <si>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</si>
  <si>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</si>
  <si>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</si>
  <si>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</si>
  <si>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</si>
  <si>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</si>
  <si>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</si>
  <si>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</si>
  <si>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</si>
  <si>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</si>
  <si>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</si>
  <si>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</si>
  <si>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</si>
  <si>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</si>
  <si>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</si>
  <si>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</si>
  <si>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</si>
  <si>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</si>
  <si>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</si>
  <si>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</si>
  <si>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</si>
  <si>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</si>
  <si>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</si>
  <si>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</si>
  <si>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</si>
  <si>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</si>
  <si>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</si>
  <si>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</si>
  <si>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</si>
  <si>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</si>
  <si>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</si>
  <si>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</si>
  <si>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</si>
  <si>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</si>
  <si>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</si>
  <si>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</si>
  <si>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</si>
  <si>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</si>
  <si>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</si>
  <si>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</si>
  <si>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</si>
  <si>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</si>
  <si>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</si>
  <si>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</si>
  <si>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</si>
  <si>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</si>
  <si>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</si>
  <si>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</si>
  <si>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</si>
  <si>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</si>
  <si>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</si>
  <si>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</si>
  <si>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</si>
  <si>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</si>
  <si>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</si>
  <si>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</si>
  <si>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</si>
  <si>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</si>
  <si>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</si>
  <si>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</si>
  <si>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</si>
  <si>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</si>
  <si>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</si>
  <si>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</si>
  <si>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</si>
  <si>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</si>
  <si>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</si>
  <si>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</si>
  <si>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</si>
  <si>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</si>
  <si>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</si>
  <si>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</si>
  <si>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</si>
  <si>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</si>
  <si>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</si>
  <si>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</si>
  <si>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</si>
  <si>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</si>
  <si>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</si>
  <si>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</si>
  <si>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</si>
  <si>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второй 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</si>
</sst>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46251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900</v>
      </c>
      <c r="Y425" s="55">
        <f t="shared" si="52"/>
        <v>900</v>
      </c>
      <c r="Z425" s="41">
        <f>IFERROR(IF(Y425=0,"",ROUNDUP(Y425/H425,0)*0.02175),"")</f>
        <v>1.3049999999999999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928.2</v>
      </c>
      <c r="BN425" s="78">
        <f t="shared" si="54"/>
        <v>928.2</v>
      </c>
      <c r="BO425" s="78">
        <f t="shared" si="55"/>
        <v>1.25</v>
      </c>
      <c r="BP425" s="78">
        <f t="shared" si="56"/>
        <v>1.25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1000</v>
      </c>
      <c r="Y427" s="55">
        <f t="shared" si="52"/>
        <v>1005</v>
      </c>
      <c r="Z427" s="41">
        <f>IFERROR(IF(Y427=0,"",ROUNDUP(Y427/H427,0)*0.02175),"")</f>
        <v>1.4572499999999999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1031.3333333333333</v>
      </c>
      <c r="BN427" s="78">
        <f t="shared" si="54"/>
        <v>1036.49</v>
      </c>
      <c r="BO427" s="78">
        <f t="shared" si="55"/>
        <v>1.3888888888888888</v>
      </c>
      <c r="BP427" s="78">
        <f t="shared" si="56"/>
        <v>1.3958333333333333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126.66666666666667</v>
      </c>
      <c r="Y431" s="43">
        <f>IFERROR(Y423/H423,"0")+IFERROR(Y424/H424,"0")+IFERROR(Y425/H425,"0")+IFERROR(Y426/H426,"0")+IFERROR(Y427/H427,"0")+IFERROR(Y428/H428,"0")+IFERROR(Y429/H429,"0")+IFERROR(Y430/H430,"0")</f>
        <v>127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2.7622499999999999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1900</v>
      </c>
      <c r="Y432" s="43">
        <f>IFERROR(SUM(Y423:Y430),"0")</f>
        <v>1905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1900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1905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1959.5333333333333</v>
      </c>
      <c r="Y552" s="43">
        <f>IFERROR(SUM(BN22:BN548),"0")</f>
        <v>1964.69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2034.5333333333333</v>
      </c>
      <c r="Y554" s="43">
        <f>GrossWeightTotalR+PalletQtyTotalR*25</f>
        <v>2039.69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126.66666666666667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127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2.7622499999999999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1905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900,00"/>
        <filter val="1 959,53"/>
        <filter val="126,67"/>
        <filter val="2 034,53"/>
        <filter val="3"/>
        <filter val="900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2026-08-17T08:01:36Z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