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E956010-E6F6-4BC4-84E6-875B5B4FF74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X547" i="1"/>
  <c r="BO546" i="1"/>
  <c r="BM546" i="1"/>
  <c r="Y546" i="1"/>
  <c r="BP546" i="1" s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O522" i="1"/>
  <c r="BM522" i="1"/>
  <c r="Y522" i="1"/>
  <c r="BN522" i="1" s="1"/>
  <c r="P522" i="1"/>
  <c r="BO521" i="1"/>
  <c r="BM521" i="1"/>
  <c r="Y521" i="1"/>
  <c r="P521" i="1"/>
  <c r="BO520" i="1"/>
  <c r="BM520" i="1"/>
  <c r="Y520" i="1"/>
  <c r="BP520" i="1" s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BP512" i="1" s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BN506" i="1" s="1"/>
  <c r="P506" i="1"/>
  <c r="BO505" i="1"/>
  <c r="BM505" i="1"/>
  <c r="Y505" i="1"/>
  <c r="P505" i="1"/>
  <c r="BO504" i="1"/>
  <c r="BM504" i="1"/>
  <c r="Y504" i="1"/>
  <c r="BP504" i="1" s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Z500" i="1"/>
  <c r="Y500" i="1"/>
  <c r="BN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BN482" i="1" s="1"/>
  <c r="P482" i="1"/>
  <c r="BO481" i="1"/>
  <c r="BM481" i="1"/>
  <c r="Y481" i="1"/>
  <c r="Y484" i="1" s="1"/>
  <c r="P481" i="1"/>
  <c r="X479" i="1"/>
  <c r="X478" i="1"/>
  <c r="BO477" i="1"/>
  <c r="BM477" i="1"/>
  <c r="Y477" i="1"/>
  <c r="BP477" i="1" s="1"/>
  <c r="P477" i="1"/>
  <c r="BP476" i="1"/>
  <c r="BO476" i="1"/>
  <c r="BN476" i="1"/>
  <c r="BM476" i="1"/>
  <c r="Z476" i="1"/>
  <c r="Y476" i="1"/>
  <c r="P476" i="1"/>
  <c r="BO475" i="1"/>
  <c r="BM475" i="1"/>
  <c r="Y475" i="1"/>
  <c r="BP475" i="1" s="1"/>
  <c r="P475" i="1"/>
  <c r="BO474" i="1"/>
  <c r="BM474" i="1"/>
  <c r="Y474" i="1"/>
  <c r="P474" i="1"/>
  <c r="BO473" i="1"/>
  <c r="BM473" i="1"/>
  <c r="Y473" i="1"/>
  <c r="BP473" i="1" s="1"/>
  <c r="P473" i="1"/>
  <c r="BO472" i="1"/>
  <c r="BM472" i="1"/>
  <c r="Y472" i="1"/>
  <c r="P472" i="1"/>
  <c r="X468" i="1"/>
  <c r="X467" i="1"/>
  <c r="BO466" i="1"/>
  <c r="BM466" i="1"/>
  <c r="Y466" i="1"/>
  <c r="BN466" i="1" s="1"/>
  <c r="P466" i="1"/>
  <c r="BO465" i="1"/>
  <c r="BM465" i="1"/>
  <c r="Y465" i="1"/>
  <c r="BP465" i="1" s="1"/>
  <c r="P465" i="1"/>
  <c r="BO464" i="1"/>
  <c r="BM464" i="1"/>
  <c r="Y464" i="1"/>
  <c r="BN464" i="1" s="1"/>
  <c r="P464" i="1"/>
  <c r="X462" i="1"/>
  <c r="Y461" i="1"/>
  <c r="X461" i="1"/>
  <c r="BP460" i="1"/>
  <c r="BO460" i="1"/>
  <c r="BN460" i="1"/>
  <c r="BM460" i="1"/>
  <c r="Z460" i="1"/>
  <c r="Z461" i="1" s="1"/>
  <c r="Y460" i="1"/>
  <c r="Y462" i="1" s="1"/>
  <c r="P460" i="1"/>
  <c r="X458" i="1"/>
  <c r="X457" i="1"/>
  <c r="BO456" i="1"/>
  <c r="BM456" i="1"/>
  <c r="Y456" i="1"/>
  <c r="BP456" i="1" s="1"/>
  <c r="P456" i="1"/>
  <c r="BO455" i="1"/>
  <c r="BM455" i="1"/>
  <c r="Y455" i="1"/>
  <c r="P455" i="1"/>
  <c r="X452" i="1"/>
  <c r="X451" i="1"/>
  <c r="BO450" i="1"/>
  <c r="BM450" i="1"/>
  <c r="Y450" i="1"/>
  <c r="P450" i="1"/>
  <c r="BO449" i="1"/>
  <c r="BM449" i="1"/>
  <c r="Y449" i="1"/>
  <c r="BN449" i="1" s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BN443" i="1" s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Z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BN431" i="1" s="1"/>
  <c r="P431" i="1"/>
  <c r="BO430" i="1"/>
  <c r="BM430" i="1"/>
  <c r="Y430" i="1"/>
  <c r="P430" i="1"/>
  <c r="BO429" i="1"/>
  <c r="BM429" i="1"/>
  <c r="Y429" i="1"/>
  <c r="BN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X422" i="1"/>
  <c r="X421" i="1"/>
  <c r="BO420" i="1"/>
  <c r="BM420" i="1"/>
  <c r="Y420" i="1"/>
  <c r="P420" i="1"/>
  <c r="BO419" i="1"/>
  <c r="BM419" i="1"/>
  <c r="Y419" i="1"/>
  <c r="BN419" i="1" s="1"/>
  <c r="P419" i="1"/>
  <c r="BO418" i="1"/>
  <c r="BM418" i="1"/>
  <c r="Y418" i="1"/>
  <c r="P418" i="1"/>
  <c r="X415" i="1"/>
  <c r="X414" i="1"/>
  <c r="BO413" i="1"/>
  <c r="BM413" i="1"/>
  <c r="Y413" i="1"/>
  <c r="BO412" i="1"/>
  <c r="BM412" i="1"/>
  <c r="Y412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BN405" i="1" s="1"/>
  <c r="P405" i="1"/>
  <c r="X403" i="1"/>
  <c r="X402" i="1"/>
  <c r="BO401" i="1"/>
  <c r="BM401" i="1"/>
  <c r="Y401" i="1"/>
  <c r="BN401" i="1" s="1"/>
  <c r="P401" i="1"/>
  <c r="BO400" i="1"/>
  <c r="BM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BN387" i="1" s="1"/>
  <c r="P387" i="1"/>
  <c r="BO386" i="1"/>
  <c r="BM386" i="1"/>
  <c r="Y386" i="1"/>
  <c r="Y390" i="1" s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Z379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BN369" i="1" s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BP363" i="1" s="1"/>
  <c r="P363" i="1"/>
  <c r="BO362" i="1"/>
  <c r="BM362" i="1"/>
  <c r="Y362" i="1"/>
  <c r="P362" i="1"/>
  <c r="BO361" i="1"/>
  <c r="BM361" i="1"/>
  <c r="Y361" i="1"/>
  <c r="P361" i="1"/>
  <c r="X358" i="1"/>
  <c r="X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M349" i="1"/>
  <c r="Y349" i="1"/>
  <c r="BN349" i="1" s="1"/>
  <c r="P349" i="1"/>
  <c r="BO348" i="1"/>
  <c r="BM348" i="1"/>
  <c r="Y348" i="1"/>
  <c r="Y350" i="1" s="1"/>
  <c r="P348" i="1"/>
  <c r="X346" i="1"/>
  <c r="X345" i="1"/>
  <c r="BO344" i="1"/>
  <c r="BM344" i="1"/>
  <c r="Y344" i="1"/>
  <c r="P344" i="1"/>
  <c r="BO343" i="1"/>
  <c r="BM343" i="1"/>
  <c r="Z343" i="1"/>
  <c r="Y343" i="1"/>
  <c r="BN343" i="1" s="1"/>
  <c r="P343" i="1"/>
  <c r="BO342" i="1"/>
  <c r="BM342" i="1"/>
  <c r="Y342" i="1"/>
  <c r="P342" i="1"/>
  <c r="BO341" i="1"/>
  <c r="BM341" i="1"/>
  <c r="Y341" i="1"/>
  <c r="BN341" i="1" s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BN334" i="1" s="1"/>
  <c r="P334" i="1"/>
  <c r="BO333" i="1"/>
  <c r="BM333" i="1"/>
  <c r="Y333" i="1"/>
  <c r="P333" i="1"/>
  <c r="X330" i="1"/>
  <c r="X329" i="1"/>
  <c r="BO328" i="1"/>
  <c r="BM328" i="1"/>
  <c r="Y328" i="1"/>
  <c r="P328" i="1"/>
  <c r="BO327" i="1"/>
  <c r="BM327" i="1"/>
  <c r="Y327" i="1"/>
  <c r="BP327" i="1" s="1"/>
  <c r="P327" i="1"/>
  <c r="BO326" i="1"/>
  <c r="BM326" i="1"/>
  <c r="Y326" i="1"/>
  <c r="BP326" i="1" s="1"/>
  <c r="P326" i="1"/>
  <c r="BO325" i="1"/>
  <c r="BM325" i="1"/>
  <c r="Y325" i="1"/>
  <c r="BP325" i="1" s="1"/>
  <c r="P325" i="1"/>
  <c r="BO324" i="1"/>
  <c r="BM324" i="1"/>
  <c r="Y324" i="1"/>
  <c r="P324" i="1"/>
  <c r="X321" i="1"/>
  <c r="X320" i="1"/>
  <c r="BO319" i="1"/>
  <c r="BM319" i="1"/>
  <c r="Y319" i="1"/>
  <c r="BP319" i="1" s="1"/>
  <c r="P319" i="1"/>
  <c r="BO318" i="1"/>
  <c r="BM318" i="1"/>
  <c r="Y318" i="1"/>
  <c r="BP318" i="1" s="1"/>
  <c r="P318" i="1"/>
  <c r="BO317" i="1"/>
  <c r="BM317" i="1"/>
  <c r="Y317" i="1"/>
  <c r="Y320" i="1" s="1"/>
  <c r="P317" i="1"/>
  <c r="X315" i="1"/>
  <c r="X314" i="1"/>
  <c r="BO313" i="1"/>
  <c r="BM313" i="1"/>
  <c r="Y313" i="1"/>
  <c r="Y314" i="1" s="1"/>
  <c r="P313" i="1"/>
  <c r="X311" i="1"/>
  <c r="X310" i="1"/>
  <c r="BO309" i="1"/>
  <c r="BM309" i="1"/>
  <c r="Y309" i="1"/>
  <c r="Y310" i="1" s="1"/>
  <c r="P309" i="1"/>
  <c r="X307" i="1"/>
  <c r="X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BN300" i="1" s="1"/>
  <c r="P300" i="1"/>
  <c r="BO299" i="1"/>
  <c r="BM299" i="1"/>
  <c r="Y299" i="1"/>
  <c r="P299" i="1"/>
  <c r="X296" i="1"/>
  <c r="X295" i="1"/>
  <c r="BO294" i="1"/>
  <c r="BM294" i="1"/>
  <c r="Y294" i="1"/>
  <c r="BP294" i="1" s="1"/>
  <c r="P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BP288" i="1" s="1"/>
  <c r="P288" i="1"/>
  <c r="BO287" i="1"/>
  <c r="BM287" i="1"/>
  <c r="Z287" i="1"/>
  <c r="Y287" i="1"/>
  <c r="BN287" i="1" s="1"/>
  <c r="P287" i="1"/>
  <c r="BO286" i="1"/>
  <c r="BM286" i="1"/>
  <c r="Y286" i="1"/>
  <c r="BP286" i="1" s="1"/>
  <c r="P286" i="1"/>
  <c r="BO285" i="1"/>
  <c r="BM285" i="1"/>
  <c r="Y285" i="1"/>
  <c r="BN285" i="1" s="1"/>
  <c r="P285" i="1"/>
  <c r="BO284" i="1"/>
  <c r="BM284" i="1"/>
  <c r="Y284" i="1"/>
  <c r="BP284" i="1" s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BN279" i="1" s="1"/>
  <c r="P279" i="1"/>
  <c r="BO278" i="1"/>
  <c r="BM278" i="1"/>
  <c r="Y278" i="1"/>
  <c r="Y291" i="1" s="1"/>
  <c r="P278" i="1"/>
  <c r="X276" i="1"/>
  <c r="X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BN267" i="1" s="1"/>
  <c r="P267" i="1"/>
  <c r="X265" i="1"/>
  <c r="X264" i="1"/>
  <c r="BO263" i="1"/>
  <c r="BM263" i="1"/>
  <c r="Y263" i="1"/>
  <c r="BN263" i="1" s="1"/>
  <c r="P263" i="1"/>
  <c r="BO262" i="1"/>
  <c r="BM262" i="1"/>
  <c r="Y262" i="1"/>
  <c r="Y265" i="1" s="1"/>
  <c r="P262" i="1"/>
  <c r="X260" i="1"/>
  <c r="X259" i="1"/>
  <c r="BO258" i="1"/>
  <c r="BM258" i="1"/>
  <c r="Y258" i="1"/>
  <c r="BP258" i="1" s="1"/>
  <c r="P258" i="1"/>
  <c r="BO257" i="1"/>
  <c r="BM257" i="1"/>
  <c r="Y257" i="1"/>
  <c r="BN257" i="1" s="1"/>
  <c r="P257" i="1"/>
  <c r="X254" i="1"/>
  <c r="X253" i="1"/>
  <c r="BO252" i="1"/>
  <c r="BM252" i="1"/>
  <c r="Y252" i="1"/>
  <c r="P252" i="1"/>
  <c r="X250" i="1"/>
  <c r="X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BN246" i="1" s="1"/>
  <c r="P246" i="1"/>
  <c r="X244" i="1"/>
  <c r="X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X236" i="1"/>
  <c r="X235" i="1"/>
  <c r="BO234" i="1"/>
  <c r="BM234" i="1"/>
  <c r="Y234" i="1"/>
  <c r="BN234" i="1" s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N226" i="1" s="1"/>
  <c r="P226" i="1"/>
  <c r="BO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BN222" i="1" s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X202" i="1"/>
  <c r="X201" i="1"/>
  <c r="BO200" i="1"/>
  <c r="BM200" i="1"/>
  <c r="Y200" i="1"/>
  <c r="Y201" i="1" s="1"/>
  <c r="P200" i="1"/>
  <c r="X198" i="1"/>
  <c r="X197" i="1"/>
  <c r="BO196" i="1"/>
  <c r="BM196" i="1"/>
  <c r="Y196" i="1"/>
  <c r="BP196" i="1" s="1"/>
  <c r="P196" i="1"/>
  <c r="BO195" i="1"/>
  <c r="BM195" i="1"/>
  <c r="Z195" i="1"/>
  <c r="Y195" i="1"/>
  <c r="P195" i="1"/>
  <c r="X193" i="1"/>
  <c r="X192" i="1"/>
  <c r="BO191" i="1"/>
  <c r="BM191" i="1"/>
  <c r="Y191" i="1"/>
  <c r="P191" i="1"/>
  <c r="BO190" i="1"/>
  <c r="BM190" i="1"/>
  <c r="Y190" i="1"/>
  <c r="BP190" i="1" s="1"/>
  <c r="P190" i="1"/>
  <c r="BO189" i="1"/>
  <c r="BM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Y173" i="1" s="1"/>
  <c r="P170" i="1"/>
  <c r="X168" i="1"/>
  <c r="X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BN150" i="1" s="1"/>
  <c r="P150" i="1"/>
  <c r="BO149" i="1"/>
  <c r="BM149" i="1"/>
  <c r="Y149" i="1"/>
  <c r="I564" i="1" s="1"/>
  <c r="P149" i="1"/>
  <c r="X146" i="1"/>
  <c r="X145" i="1"/>
  <c r="BO144" i="1"/>
  <c r="BM144" i="1"/>
  <c r="Y144" i="1"/>
  <c r="BP144" i="1" s="1"/>
  <c r="P144" i="1"/>
  <c r="BO143" i="1"/>
  <c r="BM143" i="1"/>
  <c r="Y143" i="1"/>
  <c r="BN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BO136" i="1"/>
  <c r="BM136" i="1"/>
  <c r="Y136" i="1"/>
  <c r="BP136" i="1" s="1"/>
  <c r="P136" i="1"/>
  <c r="BO135" i="1"/>
  <c r="BM135" i="1"/>
  <c r="Y135" i="1"/>
  <c r="Z135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BP130" i="1" s="1"/>
  <c r="P130" i="1"/>
  <c r="BO129" i="1"/>
  <c r="BM129" i="1"/>
  <c r="Y129" i="1"/>
  <c r="BN129" i="1" s="1"/>
  <c r="P129" i="1"/>
  <c r="X126" i="1"/>
  <c r="X125" i="1"/>
  <c r="BO124" i="1"/>
  <c r="BM124" i="1"/>
  <c r="Y124" i="1"/>
  <c r="BN124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Y119" i="1"/>
  <c r="BP119" i="1" s="1"/>
  <c r="P119" i="1"/>
  <c r="BO118" i="1"/>
  <c r="BM118" i="1"/>
  <c r="Y118" i="1"/>
  <c r="P118" i="1"/>
  <c r="BO117" i="1"/>
  <c r="BM117" i="1"/>
  <c r="Y117" i="1"/>
  <c r="Y122" i="1" s="1"/>
  <c r="P117" i="1"/>
  <c r="X115" i="1"/>
  <c r="X114" i="1"/>
  <c r="BO113" i="1"/>
  <c r="BM113" i="1"/>
  <c r="Y113" i="1"/>
  <c r="BP113" i="1" s="1"/>
  <c r="P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BN110" i="1" s="1"/>
  <c r="P110" i="1"/>
  <c r="BO109" i="1"/>
  <c r="BM109" i="1"/>
  <c r="Y109" i="1"/>
  <c r="P109" i="1"/>
  <c r="X107" i="1"/>
  <c r="X106" i="1"/>
  <c r="BO105" i="1"/>
  <c r="BM105" i="1"/>
  <c r="Y105" i="1"/>
  <c r="BP105" i="1" s="1"/>
  <c r="P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N93" i="1" s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X89" i="1"/>
  <c r="X88" i="1"/>
  <c r="BO87" i="1"/>
  <c r="BN87" i="1"/>
  <c r="BM87" i="1"/>
  <c r="Z87" i="1"/>
  <c r="Y87" i="1"/>
  <c r="BP87" i="1" s="1"/>
  <c r="P87" i="1"/>
  <c r="BO86" i="1"/>
  <c r="BM86" i="1"/>
  <c r="Y86" i="1"/>
  <c r="BP86" i="1" s="1"/>
  <c r="P86" i="1"/>
  <c r="BO85" i="1"/>
  <c r="BM85" i="1"/>
  <c r="Y85" i="1"/>
  <c r="BN85" i="1" s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BN66" i="1" s="1"/>
  <c r="P66" i="1"/>
  <c r="X64" i="1"/>
  <c r="X63" i="1"/>
  <c r="BO62" i="1"/>
  <c r="BM62" i="1"/>
  <c r="Y62" i="1"/>
  <c r="P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P59" i="1"/>
  <c r="BP58" i="1"/>
  <c r="BO58" i="1"/>
  <c r="BN58" i="1"/>
  <c r="BM58" i="1"/>
  <c r="Z58" i="1"/>
  <c r="Y58" i="1"/>
  <c r="P58" i="1"/>
  <c r="BO57" i="1"/>
  <c r="BM57" i="1"/>
  <c r="Y57" i="1"/>
  <c r="P57" i="1"/>
  <c r="BO56" i="1"/>
  <c r="BM56" i="1"/>
  <c r="Y56" i="1"/>
  <c r="BN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P48" i="1"/>
  <c r="BO47" i="1"/>
  <c r="BM47" i="1"/>
  <c r="Y47" i="1"/>
  <c r="BN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N39" i="1" s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N27" i="1" s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62" i="1" l="1"/>
  <c r="BN62" i="1"/>
  <c r="Z62" i="1"/>
  <c r="BP104" i="1"/>
  <c r="BN104" i="1"/>
  <c r="Z104" i="1"/>
  <c r="BP112" i="1"/>
  <c r="BN112" i="1"/>
  <c r="Z112" i="1"/>
  <c r="BN152" i="1"/>
  <c r="Z152" i="1"/>
  <c r="BN183" i="1"/>
  <c r="Z183" i="1"/>
  <c r="BP207" i="1"/>
  <c r="BN207" i="1"/>
  <c r="Z207" i="1"/>
  <c r="BP242" i="1"/>
  <c r="BN242" i="1"/>
  <c r="Z242" i="1"/>
  <c r="BP248" i="1"/>
  <c r="BN248" i="1"/>
  <c r="Z248" i="1"/>
  <c r="BN271" i="1"/>
  <c r="Z271" i="1"/>
  <c r="BN395" i="1"/>
  <c r="Z395" i="1"/>
  <c r="BN407" i="1"/>
  <c r="Z407" i="1"/>
  <c r="BN427" i="1"/>
  <c r="BP439" i="1"/>
  <c r="BN439" i="1"/>
  <c r="Z439" i="1"/>
  <c r="BN445" i="1"/>
  <c r="Z445" i="1"/>
  <c r="BN456" i="1"/>
  <c r="BP492" i="1"/>
  <c r="BN492" i="1"/>
  <c r="Z492" i="1"/>
  <c r="BN546" i="1"/>
  <c r="Z23" i="1"/>
  <c r="BN23" i="1"/>
  <c r="X554" i="1"/>
  <c r="Z37" i="1"/>
  <c r="BN37" i="1"/>
  <c r="Y42" i="1"/>
  <c r="Z49" i="1"/>
  <c r="BN49" i="1"/>
  <c r="Y63" i="1"/>
  <c r="BP78" i="1"/>
  <c r="BN78" i="1"/>
  <c r="Z78" i="1"/>
  <c r="J564" i="1"/>
  <c r="BP171" i="1"/>
  <c r="BN171" i="1"/>
  <c r="Z171" i="1"/>
  <c r="BP191" i="1"/>
  <c r="BN191" i="1"/>
  <c r="Z191" i="1"/>
  <c r="Y236" i="1"/>
  <c r="BP224" i="1"/>
  <c r="BN224" i="1"/>
  <c r="Z224" i="1"/>
  <c r="BN230" i="1"/>
  <c r="Z230" i="1"/>
  <c r="BP281" i="1"/>
  <c r="BN281" i="1"/>
  <c r="Z281" i="1"/>
  <c r="BP289" i="1"/>
  <c r="BN289" i="1"/>
  <c r="Z289" i="1"/>
  <c r="BN302" i="1"/>
  <c r="Z302" i="1"/>
  <c r="BP354" i="1"/>
  <c r="BN354" i="1"/>
  <c r="Z354" i="1"/>
  <c r="BP361" i="1"/>
  <c r="BN361" i="1"/>
  <c r="Z361" i="1"/>
  <c r="BP433" i="1"/>
  <c r="BN433" i="1"/>
  <c r="Z433" i="1"/>
  <c r="BN474" i="1"/>
  <c r="Z474" i="1"/>
  <c r="BP502" i="1"/>
  <c r="BN502" i="1"/>
  <c r="Z502" i="1"/>
  <c r="BN512" i="1"/>
  <c r="BN520" i="1"/>
  <c r="F564" i="1"/>
  <c r="Y114" i="1"/>
  <c r="BN283" i="1"/>
  <c r="O564" i="1"/>
  <c r="BN356" i="1"/>
  <c r="BN363" i="1"/>
  <c r="BN504" i="1"/>
  <c r="BP102" i="1"/>
  <c r="Z102" i="1"/>
  <c r="BP118" i="1"/>
  <c r="Z118" i="1"/>
  <c r="BP143" i="1"/>
  <c r="BP165" i="1"/>
  <c r="Z165" i="1"/>
  <c r="Y187" i="1"/>
  <c r="BN175" i="1"/>
  <c r="BP175" i="1"/>
  <c r="Y193" i="1"/>
  <c r="BN189" i="1"/>
  <c r="BP189" i="1"/>
  <c r="BP209" i="1"/>
  <c r="Z209" i="1"/>
  <c r="BP222" i="1"/>
  <c r="BP240" i="1"/>
  <c r="Z240" i="1"/>
  <c r="Y254" i="1"/>
  <c r="BP252" i="1"/>
  <c r="Z252" i="1"/>
  <c r="Z253" i="1" s="1"/>
  <c r="BP257" i="1"/>
  <c r="BP279" i="1"/>
  <c r="BP387" i="1"/>
  <c r="BP393" i="1"/>
  <c r="Z393" i="1"/>
  <c r="BP431" i="1"/>
  <c r="BP466" i="1"/>
  <c r="BP472" i="1"/>
  <c r="Z472" i="1"/>
  <c r="BP482" i="1"/>
  <c r="Y489" i="1"/>
  <c r="BP487" i="1"/>
  <c r="Z487" i="1"/>
  <c r="Z488" i="1" s="1"/>
  <c r="B564" i="1"/>
  <c r="Z31" i="1"/>
  <c r="BP31" i="1"/>
  <c r="Z39" i="1"/>
  <c r="BP39" i="1"/>
  <c r="Z47" i="1"/>
  <c r="BP47" i="1"/>
  <c r="Z56" i="1"/>
  <c r="BP56" i="1"/>
  <c r="BN60" i="1"/>
  <c r="BN74" i="1"/>
  <c r="Z85" i="1"/>
  <c r="BP85" i="1"/>
  <c r="Y139" i="1"/>
  <c r="BN135" i="1"/>
  <c r="BP135" i="1"/>
  <c r="Z143" i="1"/>
  <c r="Z150" i="1"/>
  <c r="BP150" i="1"/>
  <c r="Z175" i="1"/>
  <c r="BP179" i="1"/>
  <c r="Z179" i="1"/>
  <c r="BN181" i="1"/>
  <c r="BP183" i="1"/>
  <c r="Z189" i="1"/>
  <c r="Z222" i="1"/>
  <c r="BP226" i="1"/>
  <c r="Z226" i="1"/>
  <c r="BN228" i="1"/>
  <c r="BP230" i="1"/>
  <c r="Y253" i="1"/>
  <c r="Z257" i="1"/>
  <c r="Z263" i="1"/>
  <c r="BP263" i="1"/>
  <c r="Y275" i="1"/>
  <c r="BP267" i="1"/>
  <c r="Z267" i="1"/>
  <c r="BN269" i="1"/>
  <c r="BP271" i="1"/>
  <c r="Z279" i="1"/>
  <c r="BP365" i="1"/>
  <c r="Z365" i="1"/>
  <c r="Y376" i="1"/>
  <c r="BP371" i="1"/>
  <c r="Z371" i="1"/>
  <c r="Y383" i="1"/>
  <c r="BN379" i="1"/>
  <c r="BP379" i="1"/>
  <c r="Z387" i="1"/>
  <c r="BP395" i="1"/>
  <c r="Y403" i="1"/>
  <c r="BP399" i="1"/>
  <c r="Z399" i="1"/>
  <c r="Z431" i="1"/>
  <c r="Z466" i="1"/>
  <c r="BP474" i="1"/>
  <c r="Z482" i="1"/>
  <c r="Y488" i="1"/>
  <c r="BP500" i="1"/>
  <c r="BP522" i="1"/>
  <c r="Z522" i="1"/>
  <c r="X555" i="1"/>
  <c r="Y32" i="1"/>
  <c r="Y70" i="1"/>
  <c r="BP93" i="1"/>
  <c r="Z93" i="1"/>
  <c r="BN102" i="1"/>
  <c r="BP110" i="1"/>
  <c r="Z110" i="1"/>
  <c r="BN118" i="1"/>
  <c r="Y126" i="1"/>
  <c r="BP124" i="1"/>
  <c r="Z124" i="1"/>
  <c r="Z125" i="1" s="1"/>
  <c r="BP129" i="1"/>
  <c r="BN165" i="1"/>
  <c r="BN209" i="1"/>
  <c r="L564" i="1"/>
  <c r="BP234" i="1"/>
  <c r="Z234" i="1"/>
  <c r="BN240" i="1"/>
  <c r="Y250" i="1"/>
  <c r="BP246" i="1"/>
  <c r="Z246" i="1"/>
  <c r="BN252" i="1"/>
  <c r="BP285" i="1"/>
  <c r="Z285" i="1"/>
  <c r="Y295" i="1"/>
  <c r="BN293" i="1"/>
  <c r="BP293" i="1"/>
  <c r="BP300" i="1"/>
  <c r="Z300" i="1"/>
  <c r="BP334" i="1"/>
  <c r="BP341" i="1"/>
  <c r="Z341" i="1"/>
  <c r="BP373" i="1"/>
  <c r="BN393" i="1"/>
  <c r="BP401" i="1"/>
  <c r="Y409" i="1"/>
  <c r="BP405" i="1"/>
  <c r="Z405" i="1"/>
  <c r="Y447" i="1"/>
  <c r="BP443" i="1"/>
  <c r="Z443" i="1"/>
  <c r="Z446" i="1" s="1"/>
  <c r="BN472" i="1"/>
  <c r="BN487" i="1"/>
  <c r="X556" i="1"/>
  <c r="X558" i="1"/>
  <c r="Z27" i="1"/>
  <c r="BP27" i="1"/>
  <c r="Y52" i="1"/>
  <c r="Z60" i="1"/>
  <c r="Z66" i="1"/>
  <c r="BP66" i="1"/>
  <c r="Z74" i="1"/>
  <c r="Y80" i="1"/>
  <c r="Y125" i="1"/>
  <c r="Z129" i="1"/>
  <c r="BP152" i="1"/>
  <c r="BN179" i="1"/>
  <c r="Z181" i="1"/>
  <c r="Y197" i="1"/>
  <c r="BN195" i="1"/>
  <c r="BP195" i="1"/>
  <c r="Z228" i="1"/>
  <c r="Z269" i="1"/>
  <c r="BP287" i="1"/>
  <c r="Z293" i="1"/>
  <c r="BP302" i="1"/>
  <c r="Z334" i="1"/>
  <c r="BP343" i="1"/>
  <c r="BP349" i="1"/>
  <c r="Z349" i="1"/>
  <c r="BN365" i="1"/>
  <c r="BN371" i="1"/>
  <c r="Z373" i="1"/>
  <c r="BN399" i="1"/>
  <c r="Z401" i="1"/>
  <c r="Y408" i="1"/>
  <c r="BP407" i="1"/>
  <c r="Y422" i="1"/>
  <c r="BP419" i="1"/>
  <c r="Z419" i="1"/>
  <c r="BP429" i="1"/>
  <c r="Z429" i="1"/>
  <c r="Y441" i="1"/>
  <c r="BN437" i="1"/>
  <c r="Y440" i="1"/>
  <c r="BP437" i="1"/>
  <c r="Y446" i="1"/>
  <c r="BP445" i="1"/>
  <c r="BP449" i="1"/>
  <c r="Z449" i="1"/>
  <c r="Y468" i="1"/>
  <c r="BP464" i="1"/>
  <c r="Z464" i="1"/>
  <c r="BP506" i="1"/>
  <c r="Z506" i="1"/>
  <c r="Y377" i="1"/>
  <c r="Y95" i="1"/>
  <c r="G564" i="1"/>
  <c r="K564" i="1"/>
  <c r="Y244" i="1"/>
  <c r="Z283" i="1"/>
  <c r="Z356" i="1"/>
  <c r="T564" i="1"/>
  <c r="Z363" i="1"/>
  <c r="Z369" i="1"/>
  <c r="BP369" i="1"/>
  <c r="Z427" i="1"/>
  <c r="Z456" i="1"/>
  <c r="Z504" i="1"/>
  <c r="Z512" i="1"/>
  <c r="Z520" i="1"/>
  <c r="Z546" i="1"/>
  <c r="F9" i="1"/>
  <c r="J9" i="1"/>
  <c r="F10" i="1"/>
  <c r="Z22" i="1"/>
  <c r="BN22" i="1"/>
  <c r="BP22" i="1"/>
  <c r="Y25" i="1"/>
  <c r="Z28" i="1"/>
  <c r="BN28" i="1"/>
  <c r="Z30" i="1"/>
  <c r="BN30" i="1"/>
  <c r="Y33" i="1"/>
  <c r="C564" i="1"/>
  <c r="Z38" i="1"/>
  <c r="BN38" i="1"/>
  <c r="BP38" i="1"/>
  <c r="Z40" i="1"/>
  <c r="BN40" i="1"/>
  <c r="Y43" i="1"/>
  <c r="D564" i="1"/>
  <c r="Z48" i="1"/>
  <c r="BN48" i="1"/>
  <c r="BP48" i="1"/>
  <c r="Z50" i="1"/>
  <c r="BN50" i="1"/>
  <c r="Y51" i="1"/>
  <c r="Z55" i="1"/>
  <c r="BN55" i="1"/>
  <c r="BP55" i="1"/>
  <c r="BP59" i="1"/>
  <c r="BN59" i="1"/>
  <c r="Z59" i="1"/>
  <c r="BP67" i="1"/>
  <c r="BN67" i="1"/>
  <c r="Z67" i="1"/>
  <c r="H9" i="1"/>
  <c r="Y24" i="1"/>
  <c r="E564" i="1"/>
  <c r="Y64" i="1"/>
  <c r="BP57" i="1"/>
  <c r="BN57" i="1"/>
  <c r="Z57" i="1"/>
  <c r="BP61" i="1"/>
  <c r="BN61" i="1"/>
  <c r="Z61" i="1"/>
  <c r="BP69" i="1"/>
  <c r="BN69" i="1"/>
  <c r="Z69" i="1"/>
  <c r="Y71" i="1"/>
  <c r="Y76" i="1"/>
  <c r="BP73" i="1"/>
  <c r="BN73" i="1"/>
  <c r="Z73" i="1"/>
  <c r="Y75" i="1"/>
  <c r="Y81" i="1"/>
  <c r="Y88" i="1"/>
  <c r="Y96" i="1"/>
  <c r="Y107" i="1"/>
  <c r="Y115" i="1"/>
  <c r="Y121" i="1"/>
  <c r="Y132" i="1"/>
  <c r="Y140" i="1"/>
  <c r="Y146" i="1"/>
  <c r="Y157" i="1"/>
  <c r="Y161" i="1"/>
  <c r="Y168" i="1"/>
  <c r="Y172" i="1"/>
  <c r="Y186" i="1"/>
  <c r="Y192" i="1"/>
  <c r="Y198" i="1"/>
  <c r="Y202" i="1"/>
  <c r="Y214" i="1"/>
  <c r="Y219" i="1"/>
  <c r="Y235" i="1"/>
  <c r="Y243" i="1"/>
  <c r="Y249" i="1"/>
  <c r="Y260" i="1"/>
  <c r="Y264" i="1"/>
  <c r="Y276" i="1"/>
  <c r="Y290" i="1"/>
  <c r="Y296" i="1"/>
  <c r="Y307" i="1"/>
  <c r="Y311" i="1"/>
  <c r="Y315" i="1"/>
  <c r="Z318" i="1"/>
  <c r="BN318" i="1"/>
  <c r="Y321" i="1"/>
  <c r="P564" i="1"/>
  <c r="Y329" i="1"/>
  <c r="Z325" i="1"/>
  <c r="BN325" i="1"/>
  <c r="Z327" i="1"/>
  <c r="BN327" i="1"/>
  <c r="BP328" i="1"/>
  <c r="BN328" i="1"/>
  <c r="Z328" i="1"/>
  <c r="Y330" i="1"/>
  <c r="Q564" i="1"/>
  <c r="Y336" i="1"/>
  <c r="BP333" i="1"/>
  <c r="BN333" i="1"/>
  <c r="Z333" i="1"/>
  <c r="BP342" i="1"/>
  <c r="BN342" i="1"/>
  <c r="Z342" i="1"/>
  <c r="BP355" i="1"/>
  <c r="BN355" i="1"/>
  <c r="Z355" i="1"/>
  <c r="Z357" i="1" s="1"/>
  <c r="BP364" i="1"/>
  <c r="BN364" i="1"/>
  <c r="Z364" i="1"/>
  <c r="BP372" i="1"/>
  <c r="BN372" i="1"/>
  <c r="Z372" i="1"/>
  <c r="BP380" i="1"/>
  <c r="BN380" i="1"/>
  <c r="Z380" i="1"/>
  <c r="BP388" i="1"/>
  <c r="BN388" i="1"/>
  <c r="Z388" i="1"/>
  <c r="Y397" i="1"/>
  <c r="BP392" i="1"/>
  <c r="BN392" i="1"/>
  <c r="Z392" i="1"/>
  <c r="Y396" i="1"/>
  <c r="BP400" i="1"/>
  <c r="BN400" i="1"/>
  <c r="Z400" i="1"/>
  <c r="U564" i="1"/>
  <c r="Y414" i="1"/>
  <c r="BP412" i="1"/>
  <c r="BN412" i="1"/>
  <c r="Z412" i="1"/>
  <c r="BP420" i="1"/>
  <c r="BN420" i="1"/>
  <c r="Z420" i="1"/>
  <c r="W564" i="1"/>
  <c r="Y435" i="1"/>
  <c r="BP426" i="1"/>
  <c r="BN426" i="1"/>
  <c r="Z426" i="1"/>
  <c r="BP430" i="1"/>
  <c r="BN430" i="1"/>
  <c r="Z430" i="1"/>
  <c r="Y434" i="1"/>
  <c r="BP438" i="1"/>
  <c r="BN438" i="1"/>
  <c r="Z438" i="1"/>
  <c r="BP450" i="1"/>
  <c r="BN450" i="1"/>
  <c r="Z450" i="1"/>
  <c r="Z451" i="1" s="1"/>
  <c r="Y452" i="1"/>
  <c r="X564" i="1"/>
  <c r="Y458" i="1"/>
  <c r="BP455" i="1"/>
  <c r="BN455" i="1"/>
  <c r="Z455" i="1"/>
  <c r="Y457" i="1"/>
  <c r="Z79" i="1"/>
  <c r="Z80" i="1" s="1"/>
  <c r="BN79" i="1"/>
  <c r="Z84" i="1"/>
  <c r="Z88" i="1" s="1"/>
  <c r="BN84" i="1"/>
  <c r="BP84" i="1"/>
  <c r="Z86" i="1"/>
  <c r="BN86" i="1"/>
  <c r="Y89" i="1"/>
  <c r="Z92" i="1"/>
  <c r="BN92" i="1"/>
  <c r="Z94" i="1"/>
  <c r="BN94" i="1"/>
  <c r="Z99" i="1"/>
  <c r="BN99" i="1"/>
  <c r="BP99" i="1"/>
  <c r="Z101" i="1"/>
  <c r="BN101" i="1"/>
  <c r="Z103" i="1"/>
  <c r="BN103" i="1"/>
  <c r="Z105" i="1"/>
  <c r="BN105" i="1"/>
  <c r="Y106" i="1"/>
  <c r="Z109" i="1"/>
  <c r="BN109" i="1"/>
  <c r="BP109" i="1"/>
  <c r="Z111" i="1"/>
  <c r="BN111" i="1"/>
  <c r="Z113" i="1"/>
  <c r="BN113" i="1"/>
  <c r="Z117" i="1"/>
  <c r="BN117" i="1"/>
  <c r="BP117" i="1"/>
  <c r="Z119" i="1"/>
  <c r="BN119" i="1"/>
  <c r="H564" i="1"/>
  <c r="Z130" i="1"/>
  <c r="BN130" i="1"/>
  <c r="Y133" i="1"/>
  <c r="Z136" i="1"/>
  <c r="BN136" i="1"/>
  <c r="Z138" i="1"/>
  <c r="BN138" i="1"/>
  <c r="Z142" i="1"/>
  <c r="Z145" i="1" s="1"/>
  <c r="BN142" i="1"/>
  <c r="BP142" i="1"/>
  <c r="Z144" i="1"/>
  <c r="BN144" i="1"/>
  <c r="Z149" i="1"/>
  <c r="BN149" i="1"/>
  <c r="BP149" i="1"/>
  <c r="Z151" i="1"/>
  <c r="BN151" i="1"/>
  <c r="Z153" i="1"/>
  <c r="BN153" i="1"/>
  <c r="Z155" i="1"/>
  <c r="BN155" i="1"/>
  <c r="Y156" i="1"/>
  <c r="Z159" i="1"/>
  <c r="Z160" i="1" s="1"/>
  <c r="BN159" i="1"/>
  <c r="BP159" i="1"/>
  <c r="Z164" i="1"/>
  <c r="BN164" i="1"/>
  <c r="BP164" i="1"/>
  <c r="Z166" i="1"/>
  <c r="BN166" i="1"/>
  <c r="Y167" i="1"/>
  <c r="Z170" i="1"/>
  <c r="Z172" i="1" s="1"/>
  <c r="BN170" i="1"/>
  <c r="BP170" i="1"/>
  <c r="Z176" i="1"/>
  <c r="BN176" i="1"/>
  <c r="Z178" i="1"/>
  <c r="BN178" i="1"/>
  <c r="Z180" i="1"/>
  <c r="BN180" i="1"/>
  <c r="Z182" i="1"/>
  <c r="BN182" i="1"/>
  <c r="Z184" i="1"/>
  <c r="BN184" i="1"/>
  <c r="Z190" i="1"/>
  <c r="BN190" i="1"/>
  <c r="Z196" i="1"/>
  <c r="Z197" i="1" s="1"/>
  <c r="BN196" i="1"/>
  <c r="Z200" i="1"/>
  <c r="Z201" i="1" s="1"/>
  <c r="BN200" i="1"/>
  <c r="BP200" i="1"/>
  <c r="Z206" i="1"/>
  <c r="BN206" i="1"/>
  <c r="BP206" i="1"/>
  <c r="Z208" i="1"/>
  <c r="BN208" i="1"/>
  <c r="Z210" i="1"/>
  <c r="BN210" i="1"/>
  <c r="Z212" i="1"/>
  <c r="BN212" i="1"/>
  <c r="Y213" i="1"/>
  <c r="Z217" i="1"/>
  <c r="Z218" i="1" s="1"/>
  <c r="BN217" i="1"/>
  <c r="BP217" i="1"/>
  <c r="Y218" i="1"/>
  <c r="Z221" i="1"/>
  <c r="BN221" i="1"/>
  <c r="BP221" i="1"/>
  <c r="Z223" i="1"/>
  <c r="BN223" i="1"/>
  <c r="Z225" i="1"/>
  <c r="BN225" i="1"/>
  <c r="Z227" i="1"/>
  <c r="BN227" i="1"/>
  <c r="Z229" i="1"/>
  <c r="BN229" i="1"/>
  <c r="Z231" i="1"/>
  <c r="BN231" i="1"/>
  <c r="Z233" i="1"/>
  <c r="BN233" i="1"/>
  <c r="Z239" i="1"/>
  <c r="BN239" i="1"/>
  <c r="Z241" i="1"/>
  <c r="BN241" i="1"/>
  <c r="Z247" i="1"/>
  <c r="BN247" i="1"/>
  <c r="M564" i="1"/>
  <c r="Z258" i="1"/>
  <c r="Z259" i="1" s="1"/>
  <c r="BN258" i="1"/>
  <c r="Y259" i="1"/>
  <c r="Z262" i="1"/>
  <c r="BN262" i="1"/>
  <c r="BP262" i="1"/>
  <c r="Z268" i="1"/>
  <c r="BN268" i="1"/>
  <c r="Z270" i="1"/>
  <c r="BN270" i="1"/>
  <c r="Z272" i="1"/>
  <c r="BN272" i="1"/>
  <c r="Z274" i="1"/>
  <c r="BN274" i="1"/>
  <c r="Z278" i="1"/>
  <c r="BN278" i="1"/>
  <c r="BP278" i="1"/>
  <c r="Z280" i="1"/>
  <c r="BN280" i="1"/>
  <c r="Z282" i="1"/>
  <c r="BN282" i="1"/>
  <c r="Z284" i="1"/>
  <c r="BN284" i="1"/>
  <c r="Z286" i="1"/>
  <c r="BN286" i="1"/>
  <c r="Z288" i="1"/>
  <c r="BN288" i="1"/>
  <c r="Z294" i="1"/>
  <c r="BN294" i="1"/>
  <c r="Z299" i="1"/>
  <c r="BN299" i="1"/>
  <c r="BP299" i="1"/>
  <c r="Z301" i="1"/>
  <c r="BN301" i="1"/>
  <c r="Z303" i="1"/>
  <c r="BN303" i="1"/>
  <c r="Z305" i="1"/>
  <c r="BN305" i="1"/>
  <c r="Y306" i="1"/>
  <c r="Z309" i="1"/>
  <c r="Z310" i="1" s="1"/>
  <c r="BN309" i="1"/>
  <c r="BP309" i="1"/>
  <c r="Z313" i="1"/>
  <c r="Z314" i="1" s="1"/>
  <c r="BN313" i="1"/>
  <c r="BP313" i="1"/>
  <c r="Z317" i="1"/>
  <c r="BN317" i="1"/>
  <c r="BP317" i="1"/>
  <c r="Z319" i="1"/>
  <c r="BN319" i="1"/>
  <c r="Z324" i="1"/>
  <c r="BN324" i="1"/>
  <c r="BP324" i="1"/>
  <c r="Z326" i="1"/>
  <c r="BN326" i="1"/>
  <c r="BP335" i="1"/>
  <c r="BN335" i="1"/>
  <c r="Z335" i="1"/>
  <c r="Y337" i="1"/>
  <c r="Y345" i="1"/>
  <c r="BP340" i="1"/>
  <c r="BN340" i="1"/>
  <c r="Z340" i="1"/>
  <c r="R564" i="1"/>
  <c r="BP344" i="1"/>
  <c r="BN344" i="1"/>
  <c r="Z344" i="1"/>
  <c r="Y346" i="1"/>
  <c r="Y351" i="1"/>
  <c r="BP348" i="1"/>
  <c r="BN348" i="1"/>
  <c r="Z348" i="1"/>
  <c r="Z350" i="1" s="1"/>
  <c r="Y357" i="1"/>
  <c r="BP362" i="1"/>
  <c r="BN362" i="1"/>
  <c r="Z362" i="1"/>
  <c r="Y366" i="1"/>
  <c r="BP370" i="1"/>
  <c r="BN370" i="1"/>
  <c r="Z370" i="1"/>
  <c r="BP374" i="1"/>
  <c r="BN374" i="1"/>
  <c r="Z374" i="1"/>
  <c r="Z376" i="1" s="1"/>
  <c r="BP382" i="1"/>
  <c r="BN382" i="1"/>
  <c r="Z382" i="1"/>
  <c r="Y384" i="1"/>
  <c r="Y389" i="1"/>
  <c r="BP386" i="1"/>
  <c r="BN386" i="1"/>
  <c r="Z386" i="1"/>
  <c r="Z389" i="1" s="1"/>
  <c r="BP394" i="1"/>
  <c r="BN394" i="1"/>
  <c r="Z394" i="1"/>
  <c r="Y402" i="1"/>
  <c r="BP406" i="1"/>
  <c r="BN406" i="1"/>
  <c r="Z406" i="1"/>
  <c r="BP413" i="1"/>
  <c r="BN413" i="1"/>
  <c r="Z413" i="1"/>
  <c r="Y415" i="1"/>
  <c r="Y421" i="1"/>
  <c r="BP418" i="1"/>
  <c r="BN418" i="1"/>
  <c r="Z418" i="1"/>
  <c r="Z421" i="1" s="1"/>
  <c r="V564" i="1"/>
  <c r="BP428" i="1"/>
  <c r="BN428" i="1"/>
  <c r="Z428" i="1"/>
  <c r="BP432" i="1"/>
  <c r="BN432" i="1"/>
  <c r="Z432" i="1"/>
  <c r="BP444" i="1"/>
  <c r="BN444" i="1"/>
  <c r="Z444" i="1"/>
  <c r="Y451" i="1"/>
  <c r="Y467" i="1"/>
  <c r="Y479" i="1"/>
  <c r="Y483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BP519" i="1"/>
  <c r="BN519" i="1"/>
  <c r="Z519" i="1"/>
  <c r="BP523" i="1"/>
  <c r="BN523" i="1"/>
  <c r="Z523" i="1"/>
  <c r="Y525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Z564" i="1"/>
  <c r="S564" i="1"/>
  <c r="Y358" i="1"/>
  <c r="Y367" i="1"/>
  <c r="Z465" i="1"/>
  <c r="Z467" i="1" s="1"/>
  <c r="BN465" i="1"/>
  <c r="Y564" i="1"/>
  <c r="Z473" i="1"/>
  <c r="BN473" i="1"/>
  <c r="Z475" i="1"/>
  <c r="BN475" i="1"/>
  <c r="Z477" i="1"/>
  <c r="BN477" i="1"/>
  <c r="Y478" i="1"/>
  <c r="Z481" i="1"/>
  <c r="Z483" i="1" s="1"/>
  <c r="BN481" i="1"/>
  <c r="BP481" i="1"/>
  <c r="Y494" i="1"/>
  <c r="BP491" i="1"/>
  <c r="BN491" i="1"/>
  <c r="Z491" i="1"/>
  <c r="Z494" i="1" s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BP521" i="1"/>
  <c r="BN521" i="1"/>
  <c r="Z521" i="1"/>
  <c r="Y547" i="1"/>
  <c r="AB564" i="1"/>
  <c r="Y553" i="1"/>
  <c r="Z95" i="1" l="1"/>
  <c r="Z408" i="1"/>
  <c r="Z366" i="1"/>
  <c r="Z295" i="1"/>
  <c r="Z264" i="1"/>
  <c r="Z249" i="1"/>
  <c r="Z243" i="1"/>
  <c r="Z192" i="1"/>
  <c r="Z132" i="1"/>
  <c r="Z440" i="1"/>
  <c r="Z402" i="1"/>
  <c r="Z32" i="1"/>
  <c r="Z24" i="1"/>
  <c r="X557" i="1"/>
  <c r="Z213" i="1"/>
  <c r="Z139" i="1"/>
  <c r="Z114" i="1"/>
  <c r="Z457" i="1"/>
  <c r="Z478" i="1"/>
  <c r="Z186" i="1"/>
  <c r="Z383" i="1"/>
  <c r="Z42" i="1"/>
  <c r="Z329" i="1"/>
  <c r="Z290" i="1"/>
  <c r="Z275" i="1"/>
  <c r="Z235" i="1"/>
  <c r="Z167" i="1"/>
  <c r="Z106" i="1"/>
  <c r="Z75" i="1"/>
  <c r="Z51" i="1"/>
  <c r="Z524" i="1"/>
  <c r="Z514" i="1"/>
  <c r="Z320" i="1"/>
  <c r="Z306" i="1"/>
  <c r="Z156" i="1"/>
  <c r="Z121" i="1"/>
  <c r="Z434" i="1"/>
  <c r="Z414" i="1"/>
  <c r="Z396" i="1"/>
  <c r="Z70" i="1"/>
  <c r="Z63" i="1"/>
  <c r="Y554" i="1"/>
  <c r="Y555" i="1"/>
  <c r="Z508" i="1"/>
  <c r="Z345" i="1"/>
  <c r="Z336" i="1"/>
  <c r="Y558" i="1"/>
  <c r="Y556" i="1"/>
  <c r="Z559" i="1" l="1"/>
  <c r="Y557" i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<sst xmlns="http://schemas.openxmlformats.org/spreadsheetml/2006/main" count="2517" uniqueCount="913">
  <si>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</si>
  <si>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</si>
  <si>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</si>
  <si>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</si>
  <si>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</si>
  <si>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</si>
  <si>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</si>
  <si>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</si>
  <si>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</si>
  <si>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</si>
  <si>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</si>
  <si>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</si>
  <si>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</si>
  <si>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</si>
  <si>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</si>
  <si>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</si>
  <si>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</si>
  <si>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</si>
  <si>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</si>
  <si>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</si>
  <si>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</si>
  <si>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</si>
  <si>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</si>
  <si>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</si>
  <si>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</si>
  <si>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</si>
  <si>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</si>
  <si>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</si>
  <si>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</si>
  <si>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</si>
  <si>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</si>
  <si>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</si>
  <si>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</si>
  <si>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</si>
  <si>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</si>
  <si>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</si>
  <si>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</si>
  <si>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</si>
  <si>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</si>
  <si>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</si>
  <si>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</si>
  <si>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</si>
  <si>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</si>
  <si>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</si>
  <si>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</si>
  <si>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</si>
  <si>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</si>
  <si>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</si>
  <si>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</si>
  <si>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</si>
  <si>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</si>
  <si>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</si>
  <si>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</si>
  <si>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</si>
  <si>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</si>
  <si>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</si>
  <si>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</si>
  <si>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</si>
  <si>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</si>
  <si>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</si>
  <si>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</si>
  <si>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</si>
  <si>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</si>
  <si>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</si>
  <si>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</si>
  <si>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</si>
  <si>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</si>
  <si>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</si>
  <si>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</si>
  <si>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</si>
  <si>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</si>
  <si>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</si>
  <si>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</si>
  <si>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</si>
  <si>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</si>
  <si>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</si>
  <si>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</si>
  <si>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</si>
  <si>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</si>
  <si>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</si>
  <si>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</si>
  <si>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</si>
  <si>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</si>
  <si>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</si>
  <si>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</si>
  <si>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</si>
  <si>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</si>
  <si>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</si>
  <si>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</si>
  <si>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</si>
  <si>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</si>
  <si>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</si>
  <si>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</si>
  <si>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</si>
  <si>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</si>
  <si>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</si>
  <si>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</si>
  <si>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</si>
  <si>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</si>
  <si>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</si>
  <si>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</si>
  <si>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</si>
  <si>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</si>
  <si>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</si>
  <si>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</si>
  <si>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</si>
  <si>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</si>
  <si>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</si>
  <si>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</si>
  <si>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</si>
  <si>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</si>
  <si>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</si>
  <si>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</si>
  <si>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</si>
  <si>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</si>
  <si>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</si>
  <si>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</si>
  <si>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</si>
  <si>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</si>
  <si>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</si>
  <si>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</si>
  <si>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</si>
  <si>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</si>
  <si>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</si>
  <si>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</si>
  <si>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</si>
  <si>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</si>
  <si>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</si>
  <si>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</si>
  <si>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</si>
  <si>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</si>
  <si>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</si>
  <si>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</si>
  <si>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</si>
  <si>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</si>
  <si>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</si>
  <si>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</si>
  <si>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</si>
  <si>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</si>
  <si>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</si>
  <si>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</si>
  <si>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</si>
  <si>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</si>
  <si>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</si>
  <si>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</si>
  <si>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</si>
  <si>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</si>
  <si>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</si>
  <si>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</si>
  <si>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</si>
  <si>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</si>
  <si>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</si>
  <si>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</si>
  <si>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</si>
  <si>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</si>
  <si>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</si>
  <si>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</si>
  <si>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</si>
  <si>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</si>
  <si>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</si>
  <si>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</si>
  <si>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</si>
  <si>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</si>
  <si>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</si>
  <si>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</si>
  <si>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</si>
  <si>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</si>
  <si>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</si>
  <si>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</si>
  <si>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</si>
  <si>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</si>
  <si>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</si>
  <si>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</si>
  <si>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</si>
  <si>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</si>
  <si>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</si>
  <si>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</si>
  <si>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</si>
  <si>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</si>
  <si>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</si>
  <si>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</si>
  <si>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</si>
  <si>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</si>
  <si>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</si>
  <si>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</si>
  <si>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</si>
  <si>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</si>
  <si>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</si>
  <si>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</si>
  <si>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</si>
  <si>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</si>
  <si>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</si>
  <si>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</si>
  <si>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</si>
  <si>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</si>
  <si>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</si>
  <si>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</si>
  <si>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</si>
  <si>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</si>
  <si>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</si>
  <si>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</si>
  <si>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</si>
  <si>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</si>
  <si>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</si>
  <si>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</si>
  <si>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</si>
  <si>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</si>
  <si>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</si>
  <si>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</si>
  <si>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</si>
  <si>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</si>
  <si>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</si>
  <si>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</si>
  <si>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</si>
  <si>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</si>
  <si>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</si>
  <si>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</si>
  <si>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</si>
  <si>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</si>
  <si>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</si>
  <si>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</si>
  <si>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</si>
  <si>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</si>
  <si>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</si>
  <si>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</si>
  <si>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</si>
  <si>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</si>
  <si>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</si>
  <si>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</si>
  <si>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</si>
  <si>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</si>
  <si>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</si>
  <si>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</si>
  <si>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</si>
  <si>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</si>
  <si>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</si>
  <si>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</si>
  <si>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</si>
  <si>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</si>
  <si>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</si>
  <si>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</si>
  <si>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</si>
  <si>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</si>
  <si>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</si>
  <si>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</si>
  <si>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</si>
  <si>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</si>
  <si>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</si>
  <si>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</si>
  <si>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</si>
  <si>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</si>
  <si>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</si>
  <si>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</si>
  <si>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</si>
  <si>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</si>
  <si>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</si>
  <si>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</si>
  <si>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</si>
  <si>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</si>
  <si>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</si>
  <si>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</si>
  <si>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</si>
  <si>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</si>
  <si>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</si>
  <si>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</si>
  <si>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</si>
  <si>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</si>
  <si>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</si>
  <si>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</si>
  <si>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</si>
  <si>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</si>
  <si>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</si>
  <si>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</si>
  <si>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</si>
  <si>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</si>
  <si>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</si>
  <si>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</si>
  <si>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</si>
  <si>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</si>
  <si>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</si>
  <si>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</si>
  <si>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</si>
  <si>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</si>
  <si>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</si>
  <si>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</si>
  <si>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</si>
  <si>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</si>
  <si>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</si>
  <si>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</si>
  <si>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</si>
  <si>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</si>
  <si>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</si>
  <si>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</si>
  <si>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</si>
  <si>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</si>
  <si>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</si>
  <si>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</si>
  <si>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</si>
  <si>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</si>
  <si>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</si>
  <si>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</si>
  <si>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</si>
  <si>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</si>
  <si>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</si>
  <si>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</si>
  <si>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</si>
  <si>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</si>
  <si>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</si>
  <si>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</si>
  <si>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</si>
  <si>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</si>
  <si>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</si>
  <si>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</si>
  <si>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</si>
  <si>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</si>
  <si>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</si>
  <si>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</si>
  <si>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</si>
  <si>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</si>
  <si>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</si>
  <si>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</si>
  <si>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</si>
  <si>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</si>
  <si>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</si>
  <si>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</si>
  <si>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</si>
  <si>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</si>
  <si>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</si>
  <si>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</si>
  <si>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</si>
  <si>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</si>
  <si>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</si>
  <si>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</si>
  <si>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</si>
  <si>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</si>
  <si>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</si>
  <si>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</si>
  <si>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</si>
  <si>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</si>
  <si>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</si>
  <si>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</si>
  <si>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</si>
  <si>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</si>
  <si>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</si>
  <si>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</si>
  <si>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</si>
  <si>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</si>
  <si>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</si>
  <si>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</si>
  <si>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</si>
  <si>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</si>
  <si>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</si>
  <si>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</si>
  <si>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</si>
  <si>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</si>
  <si>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</si>
  <si>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</si>
  <si>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</si>
  <si>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</si>
  <si>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</si>
  <si>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</si>
  <si>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</si>
  <si>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</si>
  <si>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</si>
  <si>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</si>
  <si>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</si>
  <si>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</si>
  <si>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</si>
  <si>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</si>
  <si>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</si>
  <si>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</si>
  <si>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</si>
  <si>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</si>
  <si>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</si>
  <si>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</si>
  <si>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</si>
  <si>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</si>
  <si>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</si>
  <si>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</si>
  <si>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</si>
  <si>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</si>
  <si>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</si>
  <si>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</si>
  <si>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</si>
  <si>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</si>
  <si>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</si>
  <si>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</si>
  <si>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</si>
  <si>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</si>
  <si>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</si>
  <si>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</si>
  <si>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</si>
  <si>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</si>
  <si>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</si>
  <si>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</si>
  <si>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</si>
  <si>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</si>
  <si>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</si>
  <si>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</si>
  <si>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</si>
  <si>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</si>
  <si>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</si>
  <si>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</si>
  <si>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</si>
  <si>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</si>
  <si>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</si>
  <si>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</si>
  <si>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</si>
  <si>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</si>
  <si>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</si>
  <si>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</si>
  <si>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</si>
  <si>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</si>
  <si>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</si>
  <si>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</si>
  <si>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</si>
  <si>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</si>
  <si>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</si>
  <si>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</si>
  <si>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</si>
  <si>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</si>
  <si>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</si>
  <si>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</si>
  <si>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</si>
  <si>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</si>
  <si>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</si>
  <si>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</si>
  <si>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</si>
  <si>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</si>
  <si>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</si>
  <si>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</si>
  <si>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</si>
  <si>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</si>
  <si>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</si>
  <si>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</si>
  <si>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</si>
  <si>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</si>
  <si>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</si>
  <si>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</si>
  <si>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</si>
  <si>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</si>
  <si>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</si>
  <si>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</si>
  <si>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</si>
  <si>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</si>
  <si>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</si>
  <si>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</si>
  <si>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</si>
  <si>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</si>
  <si>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</si>
  <si>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</si>
  <si>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</si>
  <si>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</si>
  <si>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</si>
  <si>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</si>
  <si>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</si>
  <si>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</si>
  <si>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</si>
  <si>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</si>
  <si>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</si>
  <si>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</si>
  <si>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</si>
  <si>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</si>
  <si>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</si>
  <si>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</si>
  <si>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</si>
  <si>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</si>
  <si>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</si>
  <si>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</si>
  <si>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</si>
  <si>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</si>
  <si>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</si>
  <si>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</si>
  <si>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</si>
  <si>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</si>
  <si>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</si>
  <si>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</si>
  <si>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</si>
  <si>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</si>
  <si>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</si>
  <si>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</si>
  <si>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</si>
  <si>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</si>
  <si>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</si>
  <si>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</si>
  <si>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</si>
  <si>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</si>
  <si>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</si>
  <si>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</si>
  <si>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</si>
  <si>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</si>
  <si>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</si>
  <si>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</si>
  <si>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</si>
  <si>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</si>
  <si>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</si>
  <si>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</si>
  <si>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</si>
  <si>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</si>
  <si>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</si>
  <si>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</si>
  <si>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</si>
  <si>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</si>
  <si>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</si>
  <si>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</si>
  <si>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</si>
  <si>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</si>
  <si>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</si>
  <si>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</si>
  <si>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</si>
  <si>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</si>
  <si>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</si>
  <si>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</si>
  <si>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</si>
  <si>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</si>
  <si>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</si>
  <si>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</si>
  <si>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</si>
  <si>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</si>
  <si>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</si>
  <si>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</si>
  <si>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</si>
  <si>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</si>
  <si>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</si>
  <si>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</si>
  <si>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</si>
  <si>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</si>
  <si>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</si>
  <si>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</si>
  <si>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</si>
  <si>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</si>
  <si>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</si>
  <si>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</si>
  <si>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</si>
  <si>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</si>
  <si>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</si>
  <si>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</si>
  <si>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</si>
  <si>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</si>
  <si>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</si>
  <si>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</si>
  <si>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</si>
  <si>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</si>
  <si>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</si>
  <si>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</si>
  <si>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</si>
  <si>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</si>
  <si>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</si>
  <si>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</si>
  <si>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</si>
  <si>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</si>
  <si>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</si>
  <si>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</si>
  <si>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</si>
  <si>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</si>
  <si>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</si>
  <si>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</si>
  <si>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</si>
  <si>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</si>
  <si>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</si>
  <si>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</si>
  <si>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</si>
  <si>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</si>
  <si>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</si>
  <si>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</si>
  <si>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</si>
  <si>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</si>
  <si>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</si>
  <si>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</si>
  <si>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</si>
  <si>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</si>
  <si>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</si>
  <si>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</si>
  <si>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</si>
  <si>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</si>
  <si>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</si>
  <si>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</si>
  <si>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</si>
  <si>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</si>
  <si>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</si>
  <si>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</si>
  <si>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</si>
  <si>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</si>
  <si>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</si>
  <si>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</si>
  <si>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</si>
  <si>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</si>
  <si>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</si>
  <si>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</si>
  <si>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</si>
  <si>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</si>
  <si>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</si>
  <si>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</si>
  <si>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</si>
  <si>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</si>
  <si>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</si>
  <si>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</si>
  <si>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</si>
  <si>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</si>
  <si>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</si>
  <si>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</si>
  <si>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</si>
  <si>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</si>
  <si>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</si>
  <si>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</si>
  <si>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</si>
  <si>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</si>
  <si>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</si>
  <si>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</si>
  <si>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</si>
  <si>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</si>
  <si>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</si>
  <si>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</si>
  <si>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</si>
  <si>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</si>
  <si>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</si>
  <si>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</si>
  <si>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</si>
  <si>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</si>
  <si>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</si>
  <si>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</si>
  <si>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</si>
  <si>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</si>
  <si>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</si>
  <si>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</si>
  <si>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</si>
  <si>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</si>
  <si>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</si>
  <si>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</si>
  <si>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</si>
  <si>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</si>
  <si>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</si>
  <si>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</si>
  <si>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</si>
  <si>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</si>
  <si>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</si>
  <si>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</si>
  <si>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</si>
  <si>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</si>
  <si>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</si>
  <si>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</si>
  <si>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</si>
  <si>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</si>
  <si>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</si>
  <si>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</si>
  <si>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</si>
  <si>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</si>
  <si>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</si>
  <si>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</si>
  <si>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</si>
  <si>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</si>
  <si>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</si>
  <si>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</si>
  <si>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</si>
  <si>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</si>
  <si>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</si>
  <si>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</si>
  <si>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</si>
  <si>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</si>
  <si>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</si>
  <si>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</si>
  <si>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</si>
  <si>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</si>
  <si>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</si>
  <si>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</si>
  <si>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</si>
  <si>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</si>
  <si>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</si>
  <si>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</si>
  <si>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</si>
  <si>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</si>
  <si>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</si>
  <si>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</si>
  <si>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</si>
  <si>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</si>
  <si>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</si>
  <si>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</si>
  <si>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</si>
  <si>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</si>
  <si>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</si>
  <si>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</si>
  <si>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</si>
  <si>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</si>
  <si>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</si>
  <si>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</si>
  <si>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</si>
  <si>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</si>
  <si>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</si>
  <si>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</si>
  <si>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</si>
  <si>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</si>
  <si>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</si>
  <si>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</si>
  <si>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</si>
  <si>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</si>
  <si>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</si>
  <si>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</si>
  <si>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</si>
  <si>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</si>
  <si>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</si>
  <si>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</si>
  <si>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</si>
  <si>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</si>
  <si>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</si>
  <si>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</si>
  <si>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</si>
  <si>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</si>
  <si>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</si>
  <si>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</si>
  <si>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</si>
  <si>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</si>
  <si>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</si>
  <si>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</si>
  <si>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</si>
  <si>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</si>
  <si>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</si>
  <si>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</si>
  <si>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</si>
  <si>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</si>
  <si>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</si>
  <si>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</si>
  <si>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</si>
  <si>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</si>
  <si>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</si>
  <si>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</si>
  <si>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</si>
  <si>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</si>
  <si>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</si>
  <si>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</si>
  <si>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</si>
  <si>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</si>
  <si>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</si>
  <si>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</si>
  <si>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</si>
  <si>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</si>
  <si>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</si>
  <si>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</si>
  <si>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</si>
  <si>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</si>
  <si>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</si>
  <si>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</si>
  <si>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</si>
  <si>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</si>
  <si>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</si>
  <si>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</si>
  <si>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</si>
  <si>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</si>
  <si>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</si>
  <si>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</si>
  <si>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</si>
  <si>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</si>
  <si>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</si>
  <si>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</si>
  <si>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</si>
  <si>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</si>
  <si>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</si>
  <si>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</si>
  <si>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</si>
  <si>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</si>
  <si>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</si>
  <si>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</si>
  <si>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</si>
  <si>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</si>
  <si>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</si>
  <si>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</si>
  <si>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</si>
  <si>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</si>
  <si>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</si>
  <si>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</si>
  <si>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</si>
  <si>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</si>
  <si>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</si>
  <si>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</si>
  <si>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</si>
  <si>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</si>
  <si>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</si>
  <si>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</si>
  <si>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</si>
  <si>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</si>
  <si>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</si>
  <si>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</si>
  <si>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</si>
  <si>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</si>
  <si>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</si>
  <si>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</si>
  <si>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</si>
  <si>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</si>
  <si>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</si>
  <si>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</si>
  <si>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</si>
  <si>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</si>
  <si>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</si>
  <si>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</si>
  <si>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</si>
  <si>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</si>
  <si>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</si>
  <si>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</si>
  <si>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</si>
  <si>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</si>
  <si>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</si>
  <si>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</si>
  <si>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</si>
  <si>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</si>
  <si>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</si>
  <si>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</si>
  <si>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</si>
  <si>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</si>
  <si>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</si>
  <si>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</si>
  <si>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</si>
  <si>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</si>
  <si>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</si>
  <si>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</si>
  <si>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</si>
  <si>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</si>
  <si>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</si>
  <si>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</si>
  <si>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</si>
  <si>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</si>
  <si>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</si>
  <si>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</si>
  <si>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</si>
  <si>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</si>
  <si>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</si>
  <si>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</si>
  <si>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</si>
  <si>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</si>
  <si>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</si>
  <si>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</si>
  <si>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</si>
  <si>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</si>
  <si>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</si>
  <si>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</si>
  <si>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</si>
  <si>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</si>
  <si>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</si>
  <si>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</si>
  <si>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</si>
  <si>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</si>
  <si>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</si>
  <si>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</si>
  <si>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</si>
  <si>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</si>
  <si>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</si>
  <si>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</si>
  <si>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</si>
  <si>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</si>
  <si>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</si>
  <si>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</si>
  <si>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</si>
  <si>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</si>
  <si>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</si>
  <si>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</si>
  <si>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</si>
  <si>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</si>
  <si>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</si>
  <si>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</si>
  <si>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</si>
  <si>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</si>
  <si>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</si>
  <si>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</si>
  <si>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</si>
  <si>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</si>
  <si>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</si>
  <si>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</si>
  <si>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</si>
  <si>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</si>
  <si>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</si>
  <si>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</si>
  <si>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</si>
  <si>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</si>
  <si>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</si>
  <si>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</si>
  <si>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</si>
  <si>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</si>
  <si>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</si>
  <si>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</si>
  <si>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</si>
  <si>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</si>
  <si>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</si>
  <si>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</si>
  <si>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</si>
  <si>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</si>
  <si>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</si>
  <si>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</si>
  <si>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</si>
  <si>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</si>
  <si>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</si>
  <si>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</si>
  <si>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</si>
  <si>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</si>
  <si>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</si>
  <si>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</si>
  <si>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</si>
  <si>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</si>
  <si>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</si>
  <si>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</si>
  <si>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</si>
  <si>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</si>
  <si>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</si>
  <si>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</si>
  <si>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</si>
  <si>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</si>
  <si>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</si>
  <si>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</si>
  <si>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</si>
  <si>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</si>
  <si>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</si>
  <si>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</si>
  <si>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</si>
  <si>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</si>
  <si>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</si>
  <si>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15 европалет,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</si>
</sst>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818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3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topLeftCell="A468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914" t="s">
        <v>0</v>
      </c>
      <c r="E1" s="671"/>
      <c r="F1" s="671"/>
      <c r="G1" s="12" t="s">
        <v>1</v>
      </c>
      <c r="H1" s="914" t="s">
        <v>2</v>
      </c>
      <c r="I1" s="671"/>
      <c r="J1" s="671"/>
      <c r="K1" s="671"/>
      <c r="L1" s="671"/>
      <c r="M1" s="671"/>
      <c r="N1" s="671"/>
      <c r="O1" s="671"/>
      <c r="P1" s="671"/>
      <c r="Q1" s="671"/>
      <c r="R1" s="970" t="s">
        <v>3</v>
      </c>
      <c r="S1" s="671"/>
      <c r="T1" s="6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2"/>
      <c r="R2" s="652"/>
      <c r="S2" s="652"/>
      <c r="T2" s="652"/>
      <c r="U2" s="652"/>
      <c r="V2" s="652"/>
      <c r="W2" s="652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2"/>
      <c r="Q3" s="652"/>
      <c r="R3" s="652"/>
      <c r="S3" s="652"/>
      <c r="T3" s="652"/>
      <c r="U3" s="652"/>
      <c r="V3" s="652"/>
      <c r="W3" s="652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877" t="s">
        <v>8</v>
      </c>
      <c r="B5" s="722"/>
      <c r="C5" s="685"/>
      <c r="D5" s="754"/>
      <c r="E5" s="756"/>
      <c r="F5" s="703" t="s">
        <v>9</v>
      </c>
      <c r="G5" s="685"/>
      <c r="H5" s="754" t="s">
        <v>912</v>
      </c>
      <c r="I5" s="755"/>
      <c r="J5" s="755"/>
      <c r="K5" s="755"/>
      <c r="L5" s="755"/>
      <c r="M5" s="756"/>
      <c r="N5" s="58"/>
      <c r="P5" s="24" t="s">
        <v>10</v>
      </c>
      <c r="Q5" s="673">
        <v>46251</v>
      </c>
      <c r="R5" s="674"/>
      <c r="T5" s="840" t="s">
        <v>11</v>
      </c>
      <c r="U5" s="834"/>
      <c r="V5" s="842" t="s">
        <v>12</v>
      </c>
      <c r="W5" s="674"/>
      <c r="AB5" s="51"/>
      <c r="AC5" s="51"/>
      <c r="AD5" s="51"/>
      <c r="AE5" s="51"/>
    </row>
    <row r="6" spans="1:32" s="627" customFormat="1" ht="24" customHeight="1" x14ac:dyDescent="0.2">
      <c r="A6" s="877" t="s">
        <v>13</v>
      </c>
      <c r="B6" s="722"/>
      <c r="C6" s="685"/>
      <c r="D6" s="758" t="s">
        <v>891</v>
      </c>
      <c r="E6" s="759"/>
      <c r="F6" s="759"/>
      <c r="G6" s="759"/>
      <c r="H6" s="759"/>
      <c r="I6" s="759"/>
      <c r="J6" s="759"/>
      <c r="K6" s="759"/>
      <c r="L6" s="759"/>
      <c r="M6" s="674"/>
      <c r="N6" s="59"/>
      <c r="P6" s="24" t="s">
        <v>14</v>
      </c>
      <c r="Q6" s="668" t="str">
        <f>IF(Q5=0," ",CHOOSE(WEEKDAY(Q5,2),"Понедельник","Вторник","Среда","Четверг","Пятница","Суббота","Воскресенье"))</f>
        <v>Понедельник</v>
      </c>
      <c r="R6" s="644"/>
      <c r="T6" s="833" t="s">
        <v>15</v>
      </c>
      <c r="U6" s="834"/>
      <c r="V6" s="767" t="s">
        <v>16</v>
      </c>
      <c r="W6" s="768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979" t="str">
        <f>IFERROR(VLOOKUP(DeliveryAddress,Table,3,0),1)</f>
        <v>7</v>
      </c>
      <c r="E7" s="980"/>
      <c r="F7" s="980"/>
      <c r="G7" s="980"/>
      <c r="H7" s="980"/>
      <c r="I7" s="980"/>
      <c r="J7" s="980"/>
      <c r="K7" s="980"/>
      <c r="L7" s="980"/>
      <c r="M7" s="845"/>
      <c r="N7" s="60"/>
      <c r="P7" s="24"/>
      <c r="Q7" s="42"/>
      <c r="R7" s="42"/>
      <c r="T7" s="652"/>
      <c r="U7" s="834"/>
      <c r="V7" s="769"/>
      <c r="W7" s="770"/>
      <c r="AB7" s="51"/>
      <c r="AC7" s="51"/>
      <c r="AD7" s="51"/>
      <c r="AE7" s="51"/>
    </row>
    <row r="8" spans="1:32" s="627" customFormat="1" ht="25.5" customHeight="1" x14ac:dyDescent="0.2">
      <c r="A8" s="646" t="s">
        <v>17</v>
      </c>
      <c r="B8" s="647"/>
      <c r="C8" s="648"/>
      <c r="D8" s="981"/>
      <c r="E8" s="982"/>
      <c r="F8" s="982"/>
      <c r="G8" s="982"/>
      <c r="H8" s="982"/>
      <c r="I8" s="982"/>
      <c r="J8" s="982"/>
      <c r="K8" s="982"/>
      <c r="L8" s="982"/>
      <c r="M8" s="983"/>
      <c r="N8" s="61"/>
      <c r="P8" s="24" t="s">
        <v>18</v>
      </c>
      <c r="Q8" s="844">
        <v>0.45833333333333331</v>
      </c>
      <c r="R8" s="845"/>
      <c r="T8" s="652"/>
      <c r="U8" s="834"/>
      <c r="V8" s="769"/>
      <c r="W8" s="770"/>
      <c r="AB8" s="51"/>
      <c r="AC8" s="51"/>
      <c r="AD8" s="51"/>
      <c r="AE8" s="51"/>
    </row>
    <row r="9" spans="1:32" s="627" customFormat="1" ht="39.950000000000003" customHeight="1" x14ac:dyDescent="0.2">
      <c r="A9" s="6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2"/>
      <c r="C9" s="652"/>
      <c r="D9" s="712"/>
      <c r="E9" s="713"/>
      <c r="F9" s="6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2"/>
      <c r="H9" s="815" t="str">
        <f>IF(AND($A$9="Тип доверенности/получателя при получении в адресе перегруза:",$D$9="Разовая доверенность"),"Введите ФИО","")</f>
        <v/>
      </c>
      <c r="I9" s="713"/>
      <c r="J9" s="8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3"/>
      <c r="L9" s="713"/>
      <c r="M9" s="713"/>
      <c r="N9" s="625"/>
      <c r="P9" s="26" t="s">
        <v>19</v>
      </c>
      <c r="Q9" s="925"/>
      <c r="R9" s="656"/>
      <c r="T9" s="652"/>
      <c r="U9" s="834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6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2"/>
      <c r="C10" s="652"/>
      <c r="D10" s="712"/>
      <c r="E10" s="713"/>
      <c r="F10" s="6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2"/>
      <c r="H10" s="785" t="str">
        <f>IFERROR(VLOOKUP($D$10,Proxy,2,FALSE),"")</f>
        <v/>
      </c>
      <c r="I10" s="652"/>
      <c r="J10" s="652"/>
      <c r="K10" s="652"/>
      <c r="L10" s="652"/>
      <c r="M10" s="652"/>
      <c r="N10" s="626"/>
      <c r="P10" s="26" t="s">
        <v>20</v>
      </c>
      <c r="Q10" s="835"/>
      <c r="R10" s="836"/>
      <c r="U10" s="24" t="s">
        <v>21</v>
      </c>
      <c r="V10" s="993" t="s">
        <v>22</v>
      </c>
      <c r="W10" s="768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86"/>
      <c r="R11" s="674"/>
      <c r="U11" s="24" t="s">
        <v>25</v>
      </c>
      <c r="V11" s="655" t="s">
        <v>26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685"/>
      <c r="N12" s="62"/>
      <c r="P12" s="24" t="s">
        <v>28</v>
      </c>
      <c r="Q12" s="844"/>
      <c r="R12" s="845"/>
      <c r="S12" s="23"/>
      <c r="U12" s="24"/>
      <c r="V12" s="671"/>
      <c r="W12" s="652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685"/>
      <c r="N13" s="62"/>
      <c r="O13" s="26"/>
      <c r="P13" s="26" t="s">
        <v>30</v>
      </c>
      <c r="Q13" s="655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2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685"/>
      <c r="N15" s="63"/>
      <c r="P15" s="861" t="s">
        <v>33</v>
      </c>
      <c r="Q15" s="671"/>
      <c r="R15" s="671"/>
      <c r="S15" s="671"/>
      <c r="T15" s="6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62"/>
      <c r="Q16" s="862"/>
      <c r="R16" s="862"/>
      <c r="S16" s="862"/>
      <c r="T16" s="86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7" t="s">
        <v>34</v>
      </c>
      <c r="B17" s="637" t="s">
        <v>35</v>
      </c>
      <c r="C17" s="884" t="s">
        <v>36</v>
      </c>
      <c r="D17" s="637" t="s">
        <v>37</v>
      </c>
      <c r="E17" s="689"/>
      <c r="F17" s="637" t="s">
        <v>38</v>
      </c>
      <c r="G17" s="637" t="s">
        <v>39</v>
      </c>
      <c r="H17" s="637" t="s">
        <v>40</v>
      </c>
      <c r="I17" s="637" t="s">
        <v>41</v>
      </c>
      <c r="J17" s="637" t="s">
        <v>42</v>
      </c>
      <c r="K17" s="637" t="s">
        <v>43</v>
      </c>
      <c r="L17" s="637" t="s">
        <v>44</v>
      </c>
      <c r="M17" s="637" t="s">
        <v>45</v>
      </c>
      <c r="N17" s="637" t="s">
        <v>46</v>
      </c>
      <c r="O17" s="637" t="s">
        <v>47</v>
      </c>
      <c r="P17" s="637" t="s">
        <v>48</v>
      </c>
      <c r="Q17" s="917"/>
      <c r="R17" s="917"/>
      <c r="S17" s="917"/>
      <c r="T17" s="689"/>
      <c r="U17" s="684" t="s">
        <v>49</v>
      </c>
      <c r="V17" s="685"/>
      <c r="W17" s="637" t="s">
        <v>50</v>
      </c>
      <c r="X17" s="637" t="s">
        <v>51</v>
      </c>
      <c r="Y17" s="686" t="s">
        <v>52</v>
      </c>
      <c r="Z17" s="782" t="s">
        <v>53</v>
      </c>
      <c r="AA17" s="697" t="s">
        <v>54</v>
      </c>
      <c r="AB17" s="697" t="s">
        <v>55</v>
      </c>
      <c r="AC17" s="697" t="s">
        <v>56</v>
      </c>
      <c r="AD17" s="697" t="s">
        <v>57</v>
      </c>
      <c r="AE17" s="698"/>
      <c r="AF17" s="699"/>
      <c r="AG17" s="66"/>
      <c r="BD17" s="65" t="s">
        <v>58</v>
      </c>
    </row>
    <row r="18" spans="1:68" ht="14.25" customHeight="1" x14ac:dyDescent="0.2">
      <c r="A18" s="638"/>
      <c r="B18" s="638"/>
      <c r="C18" s="638"/>
      <c r="D18" s="690"/>
      <c r="E18" s="691"/>
      <c r="F18" s="638"/>
      <c r="G18" s="638"/>
      <c r="H18" s="638"/>
      <c r="I18" s="638"/>
      <c r="J18" s="638"/>
      <c r="K18" s="638"/>
      <c r="L18" s="638"/>
      <c r="M18" s="638"/>
      <c r="N18" s="638"/>
      <c r="O18" s="638"/>
      <c r="P18" s="690"/>
      <c r="Q18" s="918"/>
      <c r="R18" s="918"/>
      <c r="S18" s="918"/>
      <c r="T18" s="691"/>
      <c r="U18" s="67" t="s">
        <v>59</v>
      </c>
      <c r="V18" s="67" t="s">
        <v>60</v>
      </c>
      <c r="W18" s="638"/>
      <c r="X18" s="638"/>
      <c r="Y18" s="687"/>
      <c r="Z18" s="783"/>
      <c r="AA18" s="784"/>
      <c r="AB18" s="784"/>
      <c r="AC18" s="784"/>
      <c r="AD18" s="700"/>
      <c r="AE18" s="701"/>
      <c r="AF18" s="702"/>
      <c r="AG18" s="66"/>
      <c r="BD18" s="65"/>
    </row>
    <row r="19" spans="1:68" ht="27.75" hidden="1" customHeight="1" x14ac:dyDescent="0.2">
      <c r="A19" s="719" t="s">
        <v>61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48"/>
      <c r="AB19" s="48"/>
      <c r="AC19" s="48"/>
    </row>
    <row r="20" spans="1:68" ht="16.5" hidden="1" customHeight="1" x14ac:dyDescent="0.25">
      <c r="A20" s="661" t="s">
        <v>61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28"/>
      <c r="AB20" s="628"/>
      <c r="AC20" s="628"/>
    </row>
    <row r="21" spans="1:68" ht="14.25" hidden="1" customHeight="1" x14ac:dyDescent="0.25">
      <c r="A21" s="657" t="s">
        <v>62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3">
        <v>4680115886643</v>
      </c>
      <c r="E22" s="644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3">
        <v>4680115889071</v>
      </c>
      <c r="E23" s="644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0"/>
      <c r="R23" s="640"/>
      <c r="S23" s="640"/>
      <c r="T23" s="641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1"/>
      <c r="B24" s="652"/>
      <c r="C24" s="652"/>
      <c r="D24" s="652"/>
      <c r="E24" s="652"/>
      <c r="F24" s="652"/>
      <c r="G24" s="652"/>
      <c r="H24" s="652"/>
      <c r="I24" s="652"/>
      <c r="J24" s="652"/>
      <c r="K24" s="652"/>
      <c r="L24" s="652"/>
      <c r="M24" s="652"/>
      <c r="N24" s="652"/>
      <c r="O24" s="653"/>
      <c r="P24" s="650" t="s">
        <v>72</v>
      </c>
      <c r="Q24" s="647"/>
      <c r="R24" s="647"/>
      <c r="S24" s="647"/>
      <c r="T24" s="647"/>
      <c r="U24" s="647"/>
      <c r="V24" s="648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52"/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3"/>
      <c r="P25" s="650" t="s">
        <v>72</v>
      </c>
      <c r="Q25" s="647"/>
      <c r="R25" s="647"/>
      <c r="S25" s="647"/>
      <c r="T25" s="647"/>
      <c r="U25" s="647"/>
      <c r="V25" s="648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57" t="s">
        <v>74</v>
      </c>
      <c r="B26" s="652"/>
      <c r="C26" s="652"/>
      <c r="D26" s="652"/>
      <c r="E26" s="652"/>
      <c r="F26" s="652"/>
      <c r="G26" s="652"/>
      <c r="H26" s="652"/>
      <c r="I26" s="652"/>
      <c r="J26" s="652"/>
      <c r="K26" s="652"/>
      <c r="L26" s="652"/>
      <c r="M26" s="652"/>
      <c r="N26" s="652"/>
      <c r="O26" s="652"/>
      <c r="P26" s="652"/>
      <c r="Q26" s="652"/>
      <c r="R26" s="652"/>
      <c r="S26" s="652"/>
      <c r="T26" s="652"/>
      <c r="U26" s="652"/>
      <c r="V26" s="652"/>
      <c r="W26" s="652"/>
      <c r="X26" s="652"/>
      <c r="Y26" s="652"/>
      <c r="Z26" s="652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3">
        <v>4680115885912</v>
      </c>
      <c r="E27" s="644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3">
        <v>4607091388237</v>
      </c>
      <c r="E28" s="644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3">
        <v>4680115887350</v>
      </c>
      <c r="E29" s="644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6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3">
        <v>4680115885905</v>
      </c>
      <c r="E30" s="644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9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3">
        <v>4680115887619</v>
      </c>
      <c r="E31" s="644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96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0"/>
      <c r="R31" s="640"/>
      <c r="S31" s="640"/>
      <c r="T31" s="641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1"/>
      <c r="B32" s="652"/>
      <c r="C32" s="652"/>
      <c r="D32" s="652"/>
      <c r="E32" s="652"/>
      <c r="F32" s="652"/>
      <c r="G32" s="652"/>
      <c r="H32" s="652"/>
      <c r="I32" s="652"/>
      <c r="J32" s="652"/>
      <c r="K32" s="652"/>
      <c r="L32" s="652"/>
      <c r="M32" s="652"/>
      <c r="N32" s="652"/>
      <c r="O32" s="653"/>
      <c r="P32" s="650" t="s">
        <v>72</v>
      </c>
      <c r="Q32" s="647"/>
      <c r="R32" s="647"/>
      <c r="S32" s="647"/>
      <c r="T32" s="647"/>
      <c r="U32" s="647"/>
      <c r="V32" s="648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52"/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3"/>
      <c r="P33" s="650" t="s">
        <v>72</v>
      </c>
      <c r="Q33" s="647"/>
      <c r="R33" s="647"/>
      <c r="S33" s="647"/>
      <c r="T33" s="647"/>
      <c r="U33" s="647"/>
      <c r="V33" s="648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9" t="s">
        <v>92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48"/>
      <c r="AB34" s="48"/>
      <c r="AC34" s="48"/>
    </row>
    <row r="35" spans="1:68" ht="16.5" hidden="1" customHeight="1" x14ac:dyDescent="0.25">
      <c r="A35" s="661" t="s">
        <v>93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28"/>
      <c r="AB35" s="628"/>
      <c r="AC35" s="628"/>
    </row>
    <row r="36" spans="1:68" ht="14.25" hidden="1" customHeight="1" x14ac:dyDescent="0.25">
      <c r="A36" s="657" t="s">
        <v>74</v>
      </c>
      <c r="B36" s="652"/>
      <c r="C36" s="652"/>
      <c r="D36" s="652"/>
      <c r="E36" s="652"/>
      <c r="F36" s="652"/>
      <c r="G36" s="652"/>
      <c r="H36" s="652"/>
      <c r="I36" s="652"/>
      <c r="J36" s="652"/>
      <c r="K36" s="652"/>
      <c r="L36" s="652"/>
      <c r="M36" s="652"/>
      <c r="N36" s="652"/>
      <c r="O36" s="652"/>
      <c r="P36" s="652"/>
      <c r="Q36" s="652"/>
      <c r="R36" s="652"/>
      <c r="S36" s="652"/>
      <c r="T36" s="652"/>
      <c r="U36" s="652"/>
      <c r="V36" s="652"/>
      <c r="W36" s="652"/>
      <c r="X36" s="652"/>
      <c r="Y36" s="652"/>
      <c r="Z36" s="652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3">
        <v>4680115889354</v>
      </c>
      <c r="E37" s="644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3">
        <v>4680115888463</v>
      </c>
      <c r="E38" s="644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77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43">
        <v>4680115888494</v>
      </c>
      <c r="E39" s="644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9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0"/>
      <c r="R39" s="640"/>
      <c r="S39" s="640"/>
      <c r="T39" s="641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3">
        <v>4680115888272</v>
      </c>
      <c r="E40" s="644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78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3">
        <v>4680115888364</v>
      </c>
      <c r="E41" s="644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1"/>
      <c r="B42" s="652"/>
      <c r="C42" s="652"/>
      <c r="D42" s="652"/>
      <c r="E42" s="652"/>
      <c r="F42" s="652"/>
      <c r="G42" s="652"/>
      <c r="H42" s="652"/>
      <c r="I42" s="652"/>
      <c r="J42" s="652"/>
      <c r="K42" s="652"/>
      <c r="L42" s="652"/>
      <c r="M42" s="652"/>
      <c r="N42" s="652"/>
      <c r="O42" s="653"/>
      <c r="P42" s="650" t="s">
        <v>72</v>
      </c>
      <c r="Q42" s="647"/>
      <c r="R42" s="647"/>
      <c r="S42" s="647"/>
      <c r="T42" s="647"/>
      <c r="U42" s="647"/>
      <c r="V42" s="648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52"/>
      <c r="B43" s="652"/>
      <c r="C43" s="652"/>
      <c r="D43" s="652"/>
      <c r="E43" s="652"/>
      <c r="F43" s="652"/>
      <c r="G43" s="652"/>
      <c r="H43" s="652"/>
      <c r="I43" s="652"/>
      <c r="J43" s="652"/>
      <c r="K43" s="652"/>
      <c r="L43" s="652"/>
      <c r="M43" s="652"/>
      <c r="N43" s="652"/>
      <c r="O43" s="653"/>
      <c r="P43" s="650" t="s">
        <v>72</v>
      </c>
      <c r="Q43" s="647"/>
      <c r="R43" s="647"/>
      <c r="S43" s="647"/>
      <c r="T43" s="647"/>
      <c r="U43" s="647"/>
      <c r="V43" s="648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9" t="s">
        <v>109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48"/>
      <c r="AB44" s="48"/>
      <c r="AC44" s="48"/>
    </row>
    <row r="45" spans="1:68" ht="16.5" hidden="1" customHeight="1" x14ac:dyDescent="0.25">
      <c r="A45" s="661" t="s">
        <v>110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28"/>
      <c r="AB45" s="628"/>
      <c r="AC45" s="628"/>
    </row>
    <row r="46" spans="1:68" ht="14.25" hidden="1" customHeight="1" x14ac:dyDescent="0.25">
      <c r="A46" s="657" t="s">
        <v>111</v>
      </c>
      <c r="B46" s="652"/>
      <c r="C46" s="652"/>
      <c r="D46" s="652"/>
      <c r="E46" s="652"/>
      <c r="F46" s="652"/>
      <c r="G46" s="652"/>
      <c r="H46" s="652"/>
      <c r="I46" s="652"/>
      <c r="J46" s="652"/>
      <c r="K46" s="652"/>
      <c r="L46" s="652"/>
      <c r="M46" s="652"/>
      <c r="N46" s="652"/>
      <c r="O46" s="652"/>
      <c r="P46" s="652"/>
      <c r="Q46" s="652"/>
      <c r="R46" s="652"/>
      <c r="S46" s="652"/>
      <c r="T46" s="652"/>
      <c r="U46" s="652"/>
      <c r="V46" s="652"/>
      <c r="W46" s="652"/>
      <c r="X46" s="652"/>
      <c r="Y46" s="652"/>
      <c r="Z46" s="652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3">
        <v>4607091385670</v>
      </c>
      <c r="E47" s="644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91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67</v>
      </c>
      <c r="X47" s="633">
        <v>165</v>
      </c>
      <c r="Y47" s="634">
        <f>IFERROR(IF(X47="",0,CEILING((X47/$H47),1)*$H47),"")</f>
        <v>172.8</v>
      </c>
      <c r="Z47" s="36">
        <f>IFERROR(IF(Y47=0,"",ROUNDUP(Y47/H47,0)*0.01898),"")</f>
        <v>0.30368000000000001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171.26388888888889</v>
      </c>
      <c r="BN47" s="64">
        <f>IFERROR(Y47*I47/H47,"0")</f>
        <v>179.36</v>
      </c>
      <c r="BO47" s="64">
        <f>IFERROR(1/J47*(X47/H47),"0")</f>
        <v>0.23871527777777776</v>
      </c>
      <c r="BP47" s="64">
        <f>IFERROR(1/J47*(Y47/H47),"0")</f>
        <v>0.25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3">
        <v>4680115887725</v>
      </c>
      <c r="E48" s="644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74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3">
        <v>4607091385687</v>
      </c>
      <c r="E49" s="644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7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3">
        <v>4680115882539</v>
      </c>
      <c r="E50" s="644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67</v>
      </c>
      <c r="X50" s="633">
        <v>16</v>
      </c>
      <c r="Y50" s="634">
        <f>IFERROR(IF(X50="",0,CEILING((X50/$H50),1)*$H50),"")</f>
        <v>18.5</v>
      </c>
      <c r="Z50" s="36">
        <f>IFERROR(IF(Y50=0,"",ROUNDUP(Y50/H50,0)*0.00902),"")</f>
        <v>4.5100000000000001E-2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16.82162162162162</v>
      </c>
      <c r="BN50" s="64">
        <f>IFERROR(Y50*I50/H50,"0")</f>
        <v>19.45</v>
      </c>
      <c r="BO50" s="64">
        <f>IFERROR(1/J50*(X50/H50),"0")</f>
        <v>3.2760032760032753E-2</v>
      </c>
      <c r="BP50" s="64">
        <f>IFERROR(1/J50*(Y50/H50),"0")</f>
        <v>3.787878787878788E-2</v>
      </c>
    </row>
    <row r="51" spans="1:68" x14ac:dyDescent="0.2">
      <c r="A51" s="651"/>
      <c r="B51" s="652"/>
      <c r="C51" s="652"/>
      <c r="D51" s="652"/>
      <c r="E51" s="652"/>
      <c r="F51" s="652"/>
      <c r="G51" s="652"/>
      <c r="H51" s="652"/>
      <c r="I51" s="652"/>
      <c r="J51" s="652"/>
      <c r="K51" s="652"/>
      <c r="L51" s="652"/>
      <c r="M51" s="652"/>
      <c r="N51" s="652"/>
      <c r="O51" s="653"/>
      <c r="P51" s="650" t="s">
        <v>72</v>
      </c>
      <c r="Q51" s="647"/>
      <c r="R51" s="647"/>
      <c r="S51" s="647"/>
      <c r="T51" s="647"/>
      <c r="U51" s="647"/>
      <c r="V51" s="648"/>
      <c r="W51" s="37" t="s">
        <v>73</v>
      </c>
      <c r="X51" s="635">
        <f>IFERROR(X47/H47,"0")+IFERROR(X48/H48,"0")+IFERROR(X49/H49,"0")+IFERROR(X50/H50,"0")</f>
        <v>19.602102102102101</v>
      </c>
      <c r="Y51" s="635">
        <f>IFERROR(Y47/H47,"0")+IFERROR(Y48/H48,"0")+IFERROR(Y49/H49,"0")+IFERROR(Y50/H50,"0")</f>
        <v>21</v>
      </c>
      <c r="Z51" s="635">
        <f>IFERROR(IF(Z47="",0,Z47),"0")+IFERROR(IF(Z48="",0,Z48),"0")+IFERROR(IF(Z49="",0,Z49),"0")+IFERROR(IF(Z50="",0,Z50),"0")</f>
        <v>0.34877999999999998</v>
      </c>
      <c r="AA51" s="636"/>
      <c r="AB51" s="636"/>
      <c r="AC51" s="636"/>
    </row>
    <row r="52" spans="1:68" x14ac:dyDescent="0.2">
      <c r="A52" s="652"/>
      <c r="B52" s="652"/>
      <c r="C52" s="652"/>
      <c r="D52" s="652"/>
      <c r="E52" s="652"/>
      <c r="F52" s="652"/>
      <c r="G52" s="652"/>
      <c r="H52" s="652"/>
      <c r="I52" s="652"/>
      <c r="J52" s="652"/>
      <c r="K52" s="652"/>
      <c r="L52" s="652"/>
      <c r="M52" s="652"/>
      <c r="N52" s="652"/>
      <c r="O52" s="653"/>
      <c r="P52" s="650" t="s">
        <v>72</v>
      </c>
      <c r="Q52" s="647"/>
      <c r="R52" s="647"/>
      <c r="S52" s="647"/>
      <c r="T52" s="647"/>
      <c r="U52" s="647"/>
      <c r="V52" s="648"/>
      <c r="W52" s="37" t="s">
        <v>67</v>
      </c>
      <c r="X52" s="635">
        <f>IFERROR(SUM(X47:X50),"0")</f>
        <v>181</v>
      </c>
      <c r="Y52" s="635">
        <f>IFERROR(SUM(Y47:Y50),"0")</f>
        <v>191.3</v>
      </c>
      <c r="Z52" s="37"/>
      <c r="AA52" s="636"/>
      <c r="AB52" s="636"/>
      <c r="AC52" s="636"/>
    </row>
    <row r="53" spans="1:68" ht="16.5" hidden="1" customHeight="1" x14ac:dyDescent="0.25">
      <c r="A53" s="661" t="s">
        <v>126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28"/>
      <c r="AB53" s="628"/>
      <c r="AC53" s="628"/>
    </row>
    <row r="54" spans="1:68" ht="14.25" hidden="1" customHeight="1" x14ac:dyDescent="0.25">
      <c r="A54" s="657" t="s">
        <v>111</v>
      </c>
      <c r="B54" s="652"/>
      <c r="C54" s="652"/>
      <c r="D54" s="652"/>
      <c r="E54" s="652"/>
      <c r="F54" s="652"/>
      <c r="G54" s="652"/>
      <c r="H54" s="652"/>
      <c r="I54" s="652"/>
      <c r="J54" s="652"/>
      <c r="K54" s="652"/>
      <c r="L54" s="652"/>
      <c r="M54" s="652"/>
      <c r="N54" s="652"/>
      <c r="O54" s="652"/>
      <c r="P54" s="652"/>
      <c r="Q54" s="652"/>
      <c r="R54" s="652"/>
      <c r="S54" s="652"/>
      <c r="T54" s="652"/>
      <c r="U54" s="652"/>
      <c r="V54" s="652"/>
      <c r="W54" s="652"/>
      <c r="X54" s="652"/>
      <c r="Y54" s="652"/>
      <c r="Z54" s="652"/>
      <c r="AA54" s="629"/>
      <c r="AB54" s="629"/>
      <c r="AC54" s="629"/>
    </row>
    <row r="55" spans="1:68" ht="27" hidden="1" customHeight="1" x14ac:dyDescent="0.25">
      <c r="A55" s="54" t="s">
        <v>127</v>
      </c>
      <c r="B55" s="54" t="s">
        <v>128</v>
      </c>
      <c r="C55" s="31">
        <v>4301012030</v>
      </c>
      <c r="D55" s="643">
        <v>4680115885882</v>
      </c>
      <c r="E55" s="644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8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0"/>
      <c r="R55" s="640"/>
      <c r="S55" s="640"/>
      <c r="T55" s="641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43">
        <v>4680115885882</v>
      </c>
      <c r="E56" s="644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9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0"/>
      <c r="R56" s="640"/>
      <c r="S56" s="640"/>
      <c r="T56" s="641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3">
        <v>4680115881426</v>
      </c>
      <c r="E57" s="644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0"/>
      <c r="R57" s="640"/>
      <c r="S57" s="640"/>
      <c r="T57" s="641"/>
      <c r="U57" s="34"/>
      <c r="V57" s="34"/>
      <c r="W57" s="35" t="s">
        <v>67</v>
      </c>
      <c r="X57" s="633">
        <v>90</v>
      </c>
      <c r="Y57" s="634">
        <f t="shared" si="0"/>
        <v>97.2</v>
      </c>
      <c r="Z57" s="36">
        <f>IFERROR(IF(Y57=0,"",ROUNDUP(Y57/H57,0)*0.01898),"")</f>
        <v>0.17082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93.416666666666671</v>
      </c>
      <c r="BN57" s="64">
        <f t="shared" si="2"/>
        <v>100.89</v>
      </c>
      <c r="BO57" s="64">
        <f t="shared" si="3"/>
        <v>0.13020833333333331</v>
      </c>
      <c r="BP57" s="64">
        <f t="shared" si="4"/>
        <v>0.140625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43">
        <v>4680115880283</v>
      </c>
      <c r="E58" s="644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0"/>
      <c r="R58" s="640"/>
      <c r="S58" s="640"/>
      <c r="T58" s="641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43">
        <v>4680115880283</v>
      </c>
      <c r="E59" s="644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7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4301011806</v>
      </c>
      <c r="D60" s="643">
        <v>4680115881525</v>
      </c>
      <c r="E60" s="644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65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43">
        <v>4680115885899</v>
      </c>
      <c r="E61" s="644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75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3">
        <v>4680115881419</v>
      </c>
      <c r="E62" s="644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7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5</v>
      </c>
      <c r="Y62" s="634">
        <f t="shared" si="0"/>
        <v>9</v>
      </c>
      <c r="Z62" s="36">
        <f>IFERROR(IF(Y62=0,"",ROUNDUP(Y62/H62,0)*0.00902),"")</f>
        <v>1.804E-2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5.2111111111111121</v>
      </c>
      <c r="BN62" s="64">
        <f t="shared" si="2"/>
        <v>9.3800000000000008</v>
      </c>
      <c r="BO62" s="64">
        <f t="shared" si="3"/>
        <v>8.4175084175084174E-3</v>
      </c>
      <c r="BP62" s="64">
        <f t="shared" si="4"/>
        <v>1.5151515151515152E-2</v>
      </c>
    </row>
    <row r="63" spans="1:68" x14ac:dyDescent="0.2">
      <c r="A63" s="651"/>
      <c r="B63" s="652"/>
      <c r="C63" s="652"/>
      <c r="D63" s="652"/>
      <c r="E63" s="652"/>
      <c r="F63" s="652"/>
      <c r="G63" s="652"/>
      <c r="H63" s="652"/>
      <c r="I63" s="652"/>
      <c r="J63" s="652"/>
      <c r="K63" s="652"/>
      <c r="L63" s="652"/>
      <c r="M63" s="652"/>
      <c r="N63" s="652"/>
      <c r="O63" s="653"/>
      <c r="P63" s="650" t="s">
        <v>72</v>
      </c>
      <c r="Q63" s="647"/>
      <c r="R63" s="647"/>
      <c r="S63" s="647"/>
      <c r="T63" s="647"/>
      <c r="U63" s="647"/>
      <c r="V63" s="648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9.4444444444444429</v>
      </c>
      <c r="Y63" s="635">
        <f>IFERROR(Y55/H55,"0")+IFERROR(Y56/H56,"0")+IFERROR(Y57/H57,"0")+IFERROR(Y58/H58,"0")+IFERROR(Y59/H59,"0")+IFERROR(Y60/H60,"0")+IFERROR(Y61/H61,"0")+IFERROR(Y62/H62,"0")</f>
        <v>11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0.18886</v>
      </c>
      <c r="AA63" s="636"/>
      <c r="AB63" s="636"/>
      <c r="AC63" s="636"/>
    </row>
    <row r="64" spans="1:68" x14ac:dyDescent="0.2">
      <c r="A64" s="652"/>
      <c r="B64" s="652"/>
      <c r="C64" s="652"/>
      <c r="D64" s="652"/>
      <c r="E64" s="652"/>
      <c r="F64" s="652"/>
      <c r="G64" s="652"/>
      <c r="H64" s="652"/>
      <c r="I64" s="652"/>
      <c r="J64" s="652"/>
      <c r="K64" s="652"/>
      <c r="L64" s="652"/>
      <c r="M64" s="652"/>
      <c r="N64" s="652"/>
      <c r="O64" s="653"/>
      <c r="P64" s="650" t="s">
        <v>72</v>
      </c>
      <c r="Q64" s="647"/>
      <c r="R64" s="647"/>
      <c r="S64" s="647"/>
      <c r="T64" s="647"/>
      <c r="U64" s="647"/>
      <c r="V64" s="648"/>
      <c r="W64" s="37" t="s">
        <v>67</v>
      </c>
      <c r="X64" s="635">
        <f>IFERROR(SUM(X55:X62),"0")</f>
        <v>95</v>
      </c>
      <c r="Y64" s="635">
        <f>IFERROR(SUM(Y55:Y62),"0")</f>
        <v>106.2</v>
      </c>
      <c r="Z64" s="37"/>
      <c r="AA64" s="636"/>
      <c r="AB64" s="636"/>
      <c r="AC64" s="636"/>
    </row>
    <row r="65" spans="1:68" ht="14.25" hidden="1" customHeight="1" x14ac:dyDescent="0.25">
      <c r="A65" s="657" t="s">
        <v>147</v>
      </c>
      <c r="B65" s="652"/>
      <c r="C65" s="652"/>
      <c r="D65" s="652"/>
      <c r="E65" s="652"/>
      <c r="F65" s="652"/>
      <c r="G65" s="652"/>
      <c r="H65" s="652"/>
      <c r="I65" s="652"/>
      <c r="J65" s="652"/>
      <c r="K65" s="652"/>
      <c r="L65" s="652"/>
      <c r="M65" s="652"/>
      <c r="N65" s="652"/>
      <c r="O65" s="652"/>
      <c r="P65" s="652"/>
      <c r="Q65" s="652"/>
      <c r="R65" s="652"/>
      <c r="S65" s="652"/>
      <c r="T65" s="652"/>
      <c r="U65" s="652"/>
      <c r="V65" s="652"/>
      <c r="W65" s="652"/>
      <c r="X65" s="652"/>
      <c r="Y65" s="652"/>
      <c r="Z65" s="652"/>
      <c r="AA65" s="629"/>
      <c r="AB65" s="629"/>
      <c r="AC65" s="629"/>
    </row>
    <row r="66" spans="1:68" ht="16.5" hidden="1" customHeight="1" x14ac:dyDescent="0.25">
      <c r="A66" s="54" t="s">
        <v>148</v>
      </c>
      <c r="B66" s="54" t="s">
        <v>149</v>
      </c>
      <c r="C66" s="31">
        <v>4301020298</v>
      </c>
      <c r="D66" s="643">
        <v>4680115881440</v>
      </c>
      <c r="E66" s="644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90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43">
        <v>4680115885950</v>
      </c>
      <c r="E67" s="644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0"/>
      <c r="R67" s="640"/>
      <c r="S67" s="640"/>
      <c r="T67" s="641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43">
        <v>4680115887688</v>
      </c>
      <c r="E68" s="644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43">
        <v>4680115881433</v>
      </c>
      <c r="E69" s="644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0"/>
      <c r="R69" s="640"/>
      <c r="S69" s="640"/>
      <c r="T69" s="641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51"/>
      <c r="B70" s="652"/>
      <c r="C70" s="652"/>
      <c r="D70" s="652"/>
      <c r="E70" s="652"/>
      <c r="F70" s="652"/>
      <c r="G70" s="652"/>
      <c r="H70" s="652"/>
      <c r="I70" s="652"/>
      <c r="J70" s="652"/>
      <c r="K70" s="652"/>
      <c r="L70" s="652"/>
      <c r="M70" s="652"/>
      <c r="N70" s="652"/>
      <c r="O70" s="653"/>
      <c r="P70" s="650" t="s">
        <v>72</v>
      </c>
      <c r="Q70" s="647"/>
      <c r="R70" s="647"/>
      <c r="S70" s="647"/>
      <c r="T70" s="647"/>
      <c r="U70" s="647"/>
      <c r="V70" s="648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52"/>
      <c r="B71" s="652"/>
      <c r="C71" s="652"/>
      <c r="D71" s="652"/>
      <c r="E71" s="652"/>
      <c r="F71" s="652"/>
      <c r="G71" s="652"/>
      <c r="H71" s="652"/>
      <c r="I71" s="652"/>
      <c r="J71" s="652"/>
      <c r="K71" s="652"/>
      <c r="L71" s="652"/>
      <c r="M71" s="652"/>
      <c r="N71" s="652"/>
      <c r="O71" s="653"/>
      <c r="P71" s="650" t="s">
        <v>72</v>
      </c>
      <c r="Q71" s="647"/>
      <c r="R71" s="647"/>
      <c r="S71" s="647"/>
      <c r="T71" s="647"/>
      <c r="U71" s="647"/>
      <c r="V71" s="648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57" t="s">
        <v>74</v>
      </c>
      <c r="B72" s="652"/>
      <c r="C72" s="652"/>
      <c r="D72" s="652"/>
      <c r="E72" s="652"/>
      <c r="F72" s="652"/>
      <c r="G72" s="652"/>
      <c r="H72" s="652"/>
      <c r="I72" s="652"/>
      <c r="J72" s="652"/>
      <c r="K72" s="652"/>
      <c r="L72" s="652"/>
      <c r="M72" s="652"/>
      <c r="N72" s="652"/>
      <c r="O72" s="652"/>
      <c r="P72" s="652"/>
      <c r="Q72" s="652"/>
      <c r="R72" s="652"/>
      <c r="S72" s="652"/>
      <c r="T72" s="652"/>
      <c r="U72" s="652"/>
      <c r="V72" s="652"/>
      <c r="W72" s="652"/>
      <c r="X72" s="652"/>
      <c r="Y72" s="652"/>
      <c r="Z72" s="652"/>
      <c r="AA72" s="629"/>
      <c r="AB72" s="629"/>
      <c r="AC72" s="629"/>
    </row>
    <row r="73" spans="1:68" ht="16.5" hidden="1" customHeight="1" x14ac:dyDescent="0.25">
      <c r="A73" s="54" t="s">
        <v>158</v>
      </c>
      <c r="B73" s="54" t="s">
        <v>159</v>
      </c>
      <c r="C73" s="31">
        <v>4301051837</v>
      </c>
      <c r="D73" s="643">
        <v>4680115884311</v>
      </c>
      <c r="E73" s="644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93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43">
        <v>4680115884403</v>
      </c>
      <c r="E74" s="644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4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0"/>
      <c r="R74" s="640"/>
      <c r="S74" s="640"/>
      <c r="T74" s="641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1"/>
      <c r="B75" s="652"/>
      <c r="C75" s="652"/>
      <c r="D75" s="652"/>
      <c r="E75" s="652"/>
      <c r="F75" s="652"/>
      <c r="G75" s="652"/>
      <c r="H75" s="652"/>
      <c r="I75" s="652"/>
      <c r="J75" s="652"/>
      <c r="K75" s="652"/>
      <c r="L75" s="652"/>
      <c r="M75" s="652"/>
      <c r="N75" s="652"/>
      <c r="O75" s="653"/>
      <c r="P75" s="650" t="s">
        <v>72</v>
      </c>
      <c r="Q75" s="647"/>
      <c r="R75" s="647"/>
      <c r="S75" s="647"/>
      <c r="T75" s="647"/>
      <c r="U75" s="647"/>
      <c r="V75" s="648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52"/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3"/>
      <c r="P76" s="650" t="s">
        <v>72</v>
      </c>
      <c r="Q76" s="647"/>
      <c r="R76" s="647"/>
      <c r="S76" s="647"/>
      <c r="T76" s="647"/>
      <c r="U76" s="647"/>
      <c r="V76" s="648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57" t="s">
        <v>164</v>
      </c>
      <c r="B77" s="652"/>
      <c r="C77" s="652"/>
      <c r="D77" s="652"/>
      <c r="E77" s="652"/>
      <c r="F77" s="652"/>
      <c r="G77" s="652"/>
      <c r="H77" s="652"/>
      <c r="I77" s="652"/>
      <c r="J77" s="652"/>
      <c r="K77" s="652"/>
      <c r="L77" s="652"/>
      <c r="M77" s="652"/>
      <c r="N77" s="652"/>
      <c r="O77" s="652"/>
      <c r="P77" s="652"/>
      <c r="Q77" s="652"/>
      <c r="R77" s="652"/>
      <c r="S77" s="652"/>
      <c r="T77" s="652"/>
      <c r="U77" s="652"/>
      <c r="V77" s="652"/>
      <c r="W77" s="652"/>
      <c r="X77" s="652"/>
      <c r="Y77" s="652"/>
      <c r="Z77" s="652"/>
      <c r="AA77" s="629"/>
      <c r="AB77" s="629"/>
      <c r="AC77" s="629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43">
        <v>4680115881532</v>
      </c>
      <c r="E78" s="644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43">
        <v>4680115881464</v>
      </c>
      <c r="E79" s="644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99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0"/>
      <c r="R79" s="640"/>
      <c r="S79" s="640"/>
      <c r="T79" s="641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51"/>
      <c r="B80" s="652"/>
      <c r="C80" s="652"/>
      <c r="D80" s="652"/>
      <c r="E80" s="652"/>
      <c r="F80" s="652"/>
      <c r="G80" s="652"/>
      <c r="H80" s="652"/>
      <c r="I80" s="652"/>
      <c r="J80" s="652"/>
      <c r="K80" s="652"/>
      <c r="L80" s="652"/>
      <c r="M80" s="652"/>
      <c r="N80" s="652"/>
      <c r="O80" s="653"/>
      <c r="P80" s="650" t="s">
        <v>72</v>
      </c>
      <c r="Q80" s="647"/>
      <c r="R80" s="647"/>
      <c r="S80" s="647"/>
      <c r="T80" s="647"/>
      <c r="U80" s="647"/>
      <c r="V80" s="648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52"/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3"/>
      <c r="P81" s="650" t="s">
        <v>72</v>
      </c>
      <c r="Q81" s="647"/>
      <c r="R81" s="647"/>
      <c r="S81" s="647"/>
      <c r="T81" s="647"/>
      <c r="U81" s="647"/>
      <c r="V81" s="648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61" t="s">
        <v>171</v>
      </c>
      <c r="B82" s="652"/>
      <c r="C82" s="652"/>
      <c r="D82" s="652"/>
      <c r="E82" s="652"/>
      <c r="F82" s="652"/>
      <c r="G82" s="652"/>
      <c r="H82" s="652"/>
      <c r="I82" s="652"/>
      <c r="J82" s="652"/>
      <c r="K82" s="652"/>
      <c r="L82" s="652"/>
      <c r="M82" s="652"/>
      <c r="N82" s="652"/>
      <c r="O82" s="652"/>
      <c r="P82" s="652"/>
      <c r="Q82" s="652"/>
      <c r="R82" s="652"/>
      <c r="S82" s="652"/>
      <c r="T82" s="652"/>
      <c r="U82" s="652"/>
      <c r="V82" s="652"/>
      <c r="W82" s="652"/>
      <c r="X82" s="652"/>
      <c r="Y82" s="652"/>
      <c r="Z82" s="652"/>
      <c r="AA82" s="628"/>
      <c r="AB82" s="628"/>
      <c r="AC82" s="628"/>
    </row>
    <row r="83" spans="1:68" ht="14.25" hidden="1" customHeight="1" x14ac:dyDescent="0.25">
      <c r="A83" s="657" t="s">
        <v>111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3">
        <v>4680115881327</v>
      </c>
      <c r="E84" s="644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77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0"/>
      <c r="R84" s="640"/>
      <c r="S84" s="640"/>
      <c r="T84" s="641"/>
      <c r="U84" s="34"/>
      <c r="V84" s="34"/>
      <c r="W84" s="35" t="s">
        <v>67</v>
      </c>
      <c r="X84" s="633">
        <v>56</v>
      </c>
      <c r="Y84" s="634">
        <f>IFERROR(IF(X84="",0,CEILING((X84/$H84),1)*$H84),"")</f>
        <v>64.800000000000011</v>
      </c>
      <c r="Z84" s="36">
        <f>IFERROR(IF(Y84=0,"",ROUNDUP(Y84/H84,0)*0.01898),"")</f>
        <v>0.11388000000000001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58.12592592592592</v>
      </c>
      <c r="BN84" s="64">
        <f>IFERROR(Y84*I84/H84,"0")</f>
        <v>67.260000000000005</v>
      </c>
      <c r="BO84" s="64">
        <f>IFERROR(1/J84*(X84/H84),"0")</f>
        <v>8.1018518518518517E-2</v>
      </c>
      <c r="BP84" s="64">
        <f>IFERROR(1/J84*(Y84/H84),"0")</f>
        <v>9.3750000000000014E-2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4301011261</v>
      </c>
      <c r="D85" s="643">
        <v>4680115887732</v>
      </c>
      <c r="E85" s="644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68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0"/>
      <c r="R85" s="640"/>
      <c r="S85" s="640"/>
      <c r="T85" s="641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43">
        <v>4680115881518</v>
      </c>
      <c r="E86" s="644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9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0"/>
      <c r="R86" s="640"/>
      <c r="S86" s="640"/>
      <c r="T86" s="641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180</v>
      </c>
      <c r="B87" s="54" t="s">
        <v>181</v>
      </c>
      <c r="C87" s="31">
        <v>4301011443</v>
      </c>
      <c r="D87" s="643">
        <v>4680115881303</v>
      </c>
      <c r="E87" s="644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0"/>
      <c r="R87" s="640"/>
      <c r="S87" s="640"/>
      <c r="T87" s="641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51"/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3"/>
      <c r="P88" s="650" t="s">
        <v>72</v>
      </c>
      <c r="Q88" s="647"/>
      <c r="R88" s="647"/>
      <c r="S88" s="647"/>
      <c r="T88" s="647"/>
      <c r="U88" s="647"/>
      <c r="V88" s="648"/>
      <c r="W88" s="37" t="s">
        <v>73</v>
      </c>
      <c r="X88" s="635">
        <f>IFERROR(X84/H84,"0")+IFERROR(X85/H85,"0")+IFERROR(X86/H86,"0")+IFERROR(X87/H87,"0")</f>
        <v>5.1851851851851851</v>
      </c>
      <c r="Y88" s="635">
        <f>IFERROR(Y84/H84,"0")+IFERROR(Y85/H85,"0")+IFERROR(Y86/H86,"0")+IFERROR(Y87/H87,"0")</f>
        <v>6.0000000000000009</v>
      </c>
      <c r="Z88" s="635">
        <f>IFERROR(IF(Z84="",0,Z84),"0")+IFERROR(IF(Z85="",0,Z85),"0")+IFERROR(IF(Z86="",0,Z86),"0")+IFERROR(IF(Z87="",0,Z87),"0")</f>
        <v>0.11388000000000001</v>
      </c>
      <c r="AA88" s="636"/>
      <c r="AB88" s="636"/>
      <c r="AC88" s="636"/>
    </row>
    <row r="89" spans="1:68" x14ac:dyDescent="0.2">
      <c r="A89" s="652"/>
      <c r="B89" s="652"/>
      <c r="C89" s="652"/>
      <c r="D89" s="652"/>
      <c r="E89" s="652"/>
      <c r="F89" s="652"/>
      <c r="G89" s="652"/>
      <c r="H89" s="652"/>
      <c r="I89" s="652"/>
      <c r="J89" s="652"/>
      <c r="K89" s="652"/>
      <c r="L89" s="652"/>
      <c r="M89" s="652"/>
      <c r="N89" s="652"/>
      <c r="O89" s="653"/>
      <c r="P89" s="650" t="s">
        <v>72</v>
      </c>
      <c r="Q89" s="647"/>
      <c r="R89" s="647"/>
      <c r="S89" s="647"/>
      <c r="T89" s="647"/>
      <c r="U89" s="647"/>
      <c r="V89" s="648"/>
      <c r="W89" s="37" t="s">
        <v>67</v>
      </c>
      <c r="X89" s="635">
        <f>IFERROR(SUM(X84:X87),"0")</f>
        <v>56</v>
      </c>
      <c r="Y89" s="635">
        <f>IFERROR(SUM(Y84:Y87),"0")</f>
        <v>64.800000000000011</v>
      </c>
      <c r="Z89" s="37"/>
      <c r="AA89" s="636"/>
      <c r="AB89" s="636"/>
      <c r="AC89" s="636"/>
    </row>
    <row r="90" spans="1:68" ht="14.25" hidden="1" customHeight="1" x14ac:dyDescent="0.25">
      <c r="A90" s="657" t="s">
        <v>74</v>
      </c>
      <c r="B90" s="652"/>
      <c r="C90" s="652"/>
      <c r="D90" s="652"/>
      <c r="E90" s="652"/>
      <c r="F90" s="652"/>
      <c r="G90" s="652"/>
      <c r="H90" s="652"/>
      <c r="I90" s="652"/>
      <c r="J90" s="652"/>
      <c r="K90" s="652"/>
      <c r="L90" s="652"/>
      <c r="M90" s="652"/>
      <c r="N90" s="652"/>
      <c r="O90" s="652"/>
      <c r="P90" s="652"/>
      <c r="Q90" s="652"/>
      <c r="R90" s="652"/>
      <c r="S90" s="652"/>
      <c r="T90" s="652"/>
      <c r="U90" s="652"/>
      <c r="V90" s="652"/>
      <c r="W90" s="652"/>
      <c r="X90" s="652"/>
      <c r="Y90" s="652"/>
      <c r="Z90" s="652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3">
        <v>4607091386967</v>
      </c>
      <c r="E91" s="644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0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639</v>
      </c>
      <c r="Y91" s="634">
        <f>IFERROR(IF(X91="",0,CEILING((X91/$H91),1)*$H91),"")</f>
        <v>639.9</v>
      </c>
      <c r="Z91" s="36">
        <f>IFERROR(IF(Y91=0,"",ROUNDUP(Y91/H91,0)*0.01898),"")</f>
        <v>1.49942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677.9711111111111</v>
      </c>
      <c r="BN91" s="64">
        <f>IFERROR(Y91*I91/H91,"0")</f>
        <v>678.92599999999993</v>
      </c>
      <c r="BO91" s="64">
        <f>IFERROR(1/J91*(X91/H91),"0")</f>
        <v>1.2326388888888888</v>
      </c>
      <c r="BP91" s="64">
        <f>IFERROR(1/J91*(Y91/H91),"0")</f>
        <v>1.234375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43">
        <v>4680115884953</v>
      </c>
      <c r="E92" s="644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96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3">
        <v>4607091385731</v>
      </c>
      <c r="E93" s="644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7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129</v>
      </c>
      <c r="Y93" s="634">
        <f>IFERROR(IF(X93="",0,CEILING((X93/$H93),1)*$H93),"")</f>
        <v>129.60000000000002</v>
      </c>
      <c r="Z93" s="36">
        <f>IFERROR(IF(Y93=0,"",ROUNDUP(Y93/H93,0)*0.00651),"")</f>
        <v>0.31247999999999998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141.04</v>
      </c>
      <c r="BN93" s="64">
        <f>IFERROR(Y93*I93/H93,"0")</f>
        <v>141.69600000000003</v>
      </c>
      <c r="BO93" s="64">
        <f>IFERROR(1/J93*(X93/H93),"0")</f>
        <v>0.26251526251526253</v>
      </c>
      <c r="BP93" s="64">
        <f>IFERROR(1/J93*(Y93/H93),"0")</f>
        <v>0.2637362637362638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43">
        <v>4680115880894</v>
      </c>
      <c r="E94" s="644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9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51"/>
      <c r="B95" s="652"/>
      <c r="C95" s="652"/>
      <c r="D95" s="652"/>
      <c r="E95" s="652"/>
      <c r="F95" s="652"/>
      <c r="G95" s="652"/>
      <c r="H95" s="652"/>
      <c r="I95" s="652"/>
      <c r="J95" s="652"/>
      <c r="K95" s="652"/>
      <c r="L95" s="652"/>
      <c r="M95" s="652"/>
      <c r="N95" s="652"/>
      <c r="O95" s="653"/>
      <c r="P95" s="650" t="s">
        <v>72</v>
      </c>
      <c r="Q95" s="647"/>
      <c r="R95" s="647"/>
      <c r="S95" s="647"/>
      <c r="T95" s="647"/>
      <c r="U95" s="647"/>
      <c r="V95" s="648"/>
      <c r="W95" s="37" t="s">
        <v>73</v>
      </c>
      <c r="X95" s="635">
        <f>IFERROR(X91/H91,"0")+IFERROR(X92/H92,"0")+IFERROR(X93/H93,"0")+IFERROR(X94/H94,"0")</f>
        <v>126.66666666666666</v>
      </c>
      <c r="Y95" s="635">
        <f>IFERROR(Y91/H91,"0")+IFERROR(Y92/H92,"0")+IFERROR(Y93/H93,"0")+IFERROR(Y94/H94,"0")</f>
        <v>127</v>
      </c>
      <c r="Z95" s="635">
        <f>IFERROR(IF(Z91="",0,Z91),"0")+IFERROR(IF(Z92="",0,Z92),"0")+IFERROR(IF(Z93="",0,Z93),"0")+IFERROR(IF(Z94="",0,Z94),"0")</f>
        <v>1.8119000000000001</v>
      </c>
      <c r="AA95" s="636"/>
      <c r="AB95" s="636"/>
      <c r="AC95" s="636"/>
    </row>
    <row r="96" spans="1:68" x14ac:dyDescent="0.2">
      <c r="A96" s="652"/>
      <c r="B96" s="652"/>
      <c r="C96" s="652"/>
      <c r="D96" s="652"/>
      <c r="E96" s="652"/>
      <c r="F96" s="652"/>
      <c r="G96" s="652"/>
      <c r="H96" s="652"/>
      <c r="I96" s="652"/>
      <c r="J96" s="652"/>
      <c r="K96" s="652"/>
      <c r="L96" s="652"/>
      <c r="M96" s="652"/>
      <c r="N96" s="652"/>
      <c r="O96" s="653"/>
      <c r="P96" s="650" t="s">
        <v>72</v>
      </c>
      <c r="Q96" s="647"/>
      <c r="R96" s="647"/>
      <c r="S96" s="647"/>
      <c r="T96" s="647"/>
      <c r="U96" s="647"/>
      <c r="V96" s="648"/>
      <c r="W96" s="37" t="s">
        <v>67</v>
      </c>
      <c r="X96" s="635">
        <f>IFERROR(SUM(X91:X94),"0")</f>
        <v>768</v>
      </c>
      <c r="Y96" s="635">
        <f>IFERROR(SUM(Y91:Y94),"0")</f>
        <v>769.5</v>
      </c>
      <c r="Z96" s="37"/>
      <c r="AA96" s="636"/>
      <c r="AB96" s="636"/>
      <c r="AC96" s="636"/>
    </row>
    <row r="97" spans="1:68" ht="16.5" hidden="1" customHeight="1" x14ac:dyDescent="0.25">
      <c r="A97" s="661" t="s">
        <v>192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28"/>
      <c r="AB97" s="628"/>
      <c r="AC97" s="628"/>
    </row>
    <row r="98" spans="1:68" ht="14.25" hidden="1" customHeight="1" x14ac:dyDescent="0.25">
      <c r="A98" s="657" t="s">
        <v>111</v>
      </c>
      <c r="B98" s="652"/>
      <c r="C98" s="652"/>
      <c r="D98" s="652"/>
      <c r="E98" s="652"/>
      <c r="F98" s="652"/>
      <c r="G98" s="652"/>
      <c r="H98" s="652"/>
      <c r="I98" s="652"/>
      <c r="J98" s="652"/>
      <c r="K98" s="652"/>
      <c r="L98" s="652"/>
      <c r="M98" s="652"/>
      <c r="N98" s="652"/>
      <c r="O98" s="652"/>
      <c r="P98" s="652"/>
      <c r="Q98" s="652"/>
      <c r="R98" s="652"/>
      <c r="S98" s="652"/>
      <c r="T98" s="652"/>
      <c r="U98" s="652"/>
      <c r="V98" s="652"/>
      <c r="W98" s="652"/>
      <c r="X98" s="652"/>
      <c r="Y98" s="652"/>
      <c r="Z98" s="652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3">
        <v>4680115882133</v>
      </c>
      <c r="E99" s="644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9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95</v>
      </c>
      <c r="Y99" s="634">
        <f t="shared" ref="Y99:Y105" si="5">IFERROR(IF(X99="",0,CEILING((X99/$H99),1)*$H99),"")</f>
        <v>97.2</v>
      </c>
      <c r="Z99" s="36">
        <f>IFERROR(IF(Y99=0,"",ROUNDUP(Y99/H99,0)*0.01898),"")</f>
        <v>0.17082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98.606481481481481</v>
      </c>
      <c r="BN99" s="64">
        <f t="shared" ref="BN99:BN105" si="7">IFERROR(Y99*I99/H99,"0")</f>
        <v>100.89</v>
      </c>
      <c r="BO99" s="64">
        <f t="shared" ref="BO99:BO105" si="8">IFERROR(1/J99*(X99/H99),"0")</f>
        <v>0.13744212962962962</v>
      </c>
      <c r="BP99" s="64">
        <f t="shared" ref="BP99:BP105" si="9">IFERROR(1/J99*(Y99/H99),"0")</f>
        <v>0.140625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43">
        <v>4680115887718</v>
      </c>
      <c r="E100" s="644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9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43">
        <v>4680115887718</v>
      </c>
      <c r="E101" s="644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73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43">
        <v>4680115887718</v>
      </c>
      <c r="E102" s="644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8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0"/>
      <c r="R102" s="640"/>
      <c r="S102" s="640"/>
      <c r="T102" s="641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43">
        <v>4680115880269</v>
      </c>
      <c r="E103" s="644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9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0"/>
      <c r="R103" s="640"/>
      <c r="S103" s="640"/>
      <c r="T103" s="641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3">
        <v>4680115880429</v>
      </c>
      <c r="E104" s="644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9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0"/>
      <c r="R104" s="640"/>
      <c r="S104" s="640"/>
      <c r="T104" s="641"/>
      <c r="U104" s="34"/>
      <c r="V104" s="34"/>
      <c r="W104" s="35" t="s">
        <v>67</v>
      </c>
      <c r="X104" s="633">
        <v>4</v>
      </c>
      <c r="Y104" s="634">
        <f t="shared" si="5"/>
        <v>4.5</v>
      </c>
      <c r="Z104" s="36">
        <f>IFERROR(IF(Y104=0,"",ROUNDUP(Y104/H104,0)*0.00902),"")</f>
        <v>9.0200000000000002E-3</v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4.1688888888888895</v>
      </c>
      <c r="BN104" s="64">
        <f t="shared" si="7"/>
        <v>4.6900000000000004</v>
      </c>
      <c r="BO104" s="64">
        <f t="shared" si="8"/>
        <v>6.7340067340067337E-3</v>
      </c>
      <c r="BP104" s="64">
        <f t="shared" si="9"/>
        <v>7.575757575757576E-3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43">
        <v>4680115881457</v>
      </c>
      <c r="E105" s="644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7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0"/>
      <c r="R105" s="640"/>
      <c r="S105" s="640"/>
      <c r="T105" s="641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51"/>
      <c r="B106" s="652"/>
      <c r="C106" s="652"/>
      <c r="D106" s="652"/>
      <c r="E106" s="652"/>
      <c r="F106" s="652"/>
      <c r="G106" s="652"/>
      <c r="H106" s="652"/>
      <c r="I106" s="652"/>
      <c r="J106" s="652"/>
      <c r="K106" s="652"/>
      <c r="L106" s="652"/>
      <c r="M106" s="652"/>
      <c r="N106" s="652"/>
      <c r="O106" s="653"/>
      <c r="P106" s="650" t="s">
        <v>72</v>
      </c>
      <c r="Q106" s="647"/>
      <c r="R106" s="647"/>
      <c r="S106" s="647"/>
      <c r="T106" s="647"/>
      <c r="U106" s="647"/>
      <c r="V106" s="648"/>
      <c r="W106" s="37" t="s">
        <v>73</v>
      </c>
      <c r="X106" s="635">
        <f>IFERROR(X99/H99,"0")+IFERROR(X100/H100,"0")+IFERROR(X101/H101,"0")+IFERROR(X102/H102,"0")+IFERROR(X103/H103,"0")+IFERROR(X104/H104,"0")+IFERROR(X105/H105,"0")</f>
        <v>9.6851851851851851</v>
      </c>
      <c r="Y106" s="635">
        <f>IFERROR(Y99/H99,"0")+IFERROR(Y100/H100,"0")+IFERROR(Y101/H101,"0")+IFERROR(Y102/H102,"0")+IFERROR(Y103/H103,"0")+IFERROR(Y104/H104,"0")+IFERROR(Y105/H105,"0")</f>
        <v>10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0.17984</v>
      </c>
      <c r="AA106" s="636"/>
      <c r="AB106" s="636"/>
      <c r="AC106" s="636"/>
    </row>
    <row r="107" spans="1:68" x14ac:dyDescent="0.2">
      <c r="A107" s="652"/>
      <c r="B107" s="652"/>
      <c r="C107" s="652"/>
      <c r="D107" s="652"/>
      <c r="E107" s="652"/>
      <c r="F107" s="652"/>
      <c r="G107" s="652"/>
      <c r="H107" s="652"/>
      <c r="I107" s="652"/>
      <c r="J107" s="652"/>
      <c r="K107" s="652"/>
      <c r="L107" s="652"/>
      <c r="M107" s="652"/>
      <c r="N107" s="652"/>
      <c r="O107" s="653"/>
      <c r="P107" s="650" t="s">
        <v>72</v>
      </c>
      <c r="Q107" s="647"/>
      <c r="R107" s="647"/>
      <c r="S107" s="647"/>
      <c r="T107" s="647"/>
      <c r="U107" s="647"/>
      <c r="V107" s="648"/>
      <c r="W107" s="37" t="s">
        <v>67</v>
      </c>
      <c r="X107" s="635">
        <f>IFERROR(SUM(X99:X105),"0")</f>
        <v>99</v>
      </c>
      <c r="Y107" s="635">
        <f>IFERROR(SUM(Y99:Y105),"0")</f>
        <v>101.7</v>
      </c>
      <c r="Z107" s="37"/>
      <c r="AA107" s="636"/>
      <c r="AB107" s="636"/>
      <c r="AC107" s="636"/>
    </row>
    <row r="108" spans="1:68" ht="14.25" hidden="1" customHeight="1" x14ac:dyDescent="0.25">
      <c r="A108" s="657" t="s">
        <v>147</v>
      </c>
      <c r="B108" s="652"/>
      <c r="C108" s="652"/>
      <c r="D108" s="652"/>
      <c r="E108" s="652"/>
      <c r="F108" s="652"/>
      <c r="G108" s="652"/>
      <c r="H108" s="652"/>
      <c r="I108" s="652"/>
      <c r="J108" s="652"/>
      <c r="K108" s="652"/>
      <c r="L108" s="652"/>
      <c r="M108" s="652"/>
      <c r="N108" s="652"/>
      <c r="O108" s="652"/>
      <c r="P108" s="652"/>
      <c r="Q108" s="652"/>
      <c r="R108" s="652"/>
      <c r="S108" s="652"/>
      <c r="T108" s="652"/>
      <c r="U108" s="652"/>
      <c r="V108" s="652"/>
      <c r="W108" s="652"/>
      <c r="X108" s="652"/>
      <c r="Y108" s="652"/>
      <c r="Z108" s="652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3">
        <v>4680115881488</v>
      </c>
      <c r="E109" s="644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31</v>
      </c>
      <c r="Y109" s="634">
        <f>IFERROR(IF(X109="",0,CEILING((X109/$H109),1)*$H109),"")</f>
        <v>32.400000000000006</v>
      </c>
      <c r="Z109" s="36">
        <f>IFERROR(IF(Y109=0,"",ROUNDUP(Y109/H109,0)*0.01898),"")</f>
        <v>5.6940000000000004E-2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32.176851851851858</v>
      </c>
      <c r="BN109" s="64">
        <f>IFERROR(Y109*I109/H109,"0")</f>
        <v>33.630000000000003</v>
      </c>
      <c r="BO109" s="64">
        <f>IFERROR(1/J109*(X109/H109),"0")</f>
        <v>4.4849537037037035E-2</v>
      </c>
      <c r="BP109" s="64">
        <f>IFERROR(1/J109*(Y109/H109),"0")</f>
        <v>4.6875000000000007E-2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43">
        <v>4680115887664</v>
      </c>
      <c r="E110" s="644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0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43">
        <v>4680115887664</v>
      </c>
      <c r="E111" s="644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7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43">
        <v>4680115882775</v>
      </c>
      <c r="E112" s="644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74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4301020392</v>
      </c>
      <c r="D113" s="643">
        <v>4680115880658</v>
      </c>
      <c r="E113" s="644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91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0"/>
      <c r="R113" s="640"/>
      <c r="S113" s="640"/>
      <c r="T113" s="641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51"/>
      <c r="B114" s="652"/>
      <c r="C114" s="652"/>
      <c r="D114" s="652"/>
      <c r="E114" s="652"/>
      <c r="F114" s="652"/>
      <c r="G114" s="652"/>
      <c r="H114" s="652"/>
      <c r="I114" s="652"/>
      <c r="J114" s="652"/>
      <c r="K114" s="652"/>
      <c r="L114" s="652"/>
      <c r="M114" s="652"/>
      <c r="N114" s="652"/>
      <c r="O114" s="653"/>
      <c r="P114" s="650" t="s">
        <v>72</v>
      </c>
      <c r="Q114" s="647"/>
      <c r="R114" s="647"/>
      <c r="S114" s="647"/>
      <c r="T114" s="647"/>
      <c r="U114" s="647"/>
      <c r="V114" s="648"/>
      <c r="W114" s="37" t="s">
        <v>73</v>
      </c>
      <c r="X114" s="635">
        <f>IFERROR(X109/H109,"0")+IFERROR(X110/H110,"0")+IFERROR(X111/H111,"0")+IFERROR(X112/H112,"0")+IFERROR(X113/H113,"0")</f>
        <v>2.8703703703703702</v>
      </c>
      <c r="Y114" s="635">
        <f>IFERROR(Y109/H109,"0")+IFERROR(Y110/H110,"0")+IFERROR(Y111/H111,"0")+IFERROR(Y112/H112,"0")+IFERROR(Y113/H113,"0")</f>
        <v>3.0000000000000004</v>
      </c>
      <c r="Z114" s="635">
        <f>IFERROR(IF(Z109="",0,Z109),"0")+IFERROR(IF(Z110="",0,Z110),"0")+IFERROR(IF(Z111="",0,Z111),"0")+IFERROR(IF(Z112="",0,Z112),"0")+IFERROR(IF(Z113="",0,Z113),"0")</f>
        <v>5.6940000000000004E-2</v>
      </c>
      <c r="AA114" s="636"/>
      <c r="AB114" s="636"/>
      <c r="AC114" s="636"/>
    </row>
    <row r="115" spans="1:68" x14ac:dyDescent="0.2">
      <c r="A115" s="652"/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3"/>
      <c r="P115" s="650" t="s">
        <v>72</v>
      </c>
      <c r="Q115" s="647"/>
      <c r="R115" s="647"/>
      <c r="S115" s="647"/>
      <c r="T115" s="647"/>
      <c r="U115" s="647"/>
      <c r="V115" s="648"/>
      <c r="W115" s="37" t="s">
        <v>67</v>
      </c>
      <c r="X115" s="635">
        <f>IFERROR(SUM(X109:X113),"0")</f>
        <v>31</v>
      </c>
      <c r="Y115" s="635">
        <f>IFERROR(SUM(Y109:Y113),"0")</f>
        <v>32.400000000000006</v>
      </c>
      <c r="Z115" s="37"/>
      <c r="AA115" s="636"/>
      <c r="AB115" s="636"/>
      <c r="AC115" s="636"/>
    </row>
    <row r="116" spans="1:68" ht="14.25" hidden="1" customHeight="1" x14ac:dyDescent="0.25">
      <c r="A116" s="657" t="s">
        <v>74</v>
      </c>
      <c r="B116" s="652"/>
      <c r="C116" s="652"/>
      <c r="D116" s="652"/>
      <c r="E116" s="652"/>
      <c r="F116" s="652"/>
      <c r="G116" s="652"/>
      <c r="H116" s="652"/>
      <c r="I116" s="652"/>
      <c r="J116" s="652"/>
      <c r="K116" s="652"/>
      <c r="L116" s="652"/>
      <c r="M116" s="652"/>
      <c r="N116" s="652"/>
      <c r="O116" s="652"/>
      <c r="P116" s="652"/>
      <c r="Q116" s="652"/>
      <c r="R116" s="652"/>
      <c r="S116" s="652"/>
      <c r="T116" s="652"/>
      <c r="U116" s="652"/>
      <c r="V116" s="652"/>
      <c r="W116" s="652"/>
      <c r="X116" s="652"/>
      <c r="Y116" s="652"/>
      <c r="Z116" s="652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3">
        <v>4607091385168</v>
      </c>
      <c r="E117" s="644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644</v>
      </c>
      <c r="Y117" s="634">
        <f>IFERROR(IF(X117="",0,CEILING((X117/$H117),1)*$H117),"")</f>
        <v>648</v>
      </c>
      <c r="Z117" s="36">
        <f>IFERROR(IF(Y117=0,"",ROUNDUP(Y117/H117,0)*0.01898),"")</f>
        <v>1.5184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682.79901234567899</v>
      </c>
      <c r="BN117" s="64">
        <f>IFERROR(Y117*I117/H117,"0")</f>
        <v>687.04</v>
      </c>
      <c r="BO117" s="64">
        <f>IFERROR(1/J117*(X117/H117),"0")</f>
        <v>1.242283950617284</v>
      </c>
      <c r="BP117" s="64">
        <f>IFERROR(1/J117*(Y117/H117),"0")</f>
        <v>1.25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43">
        <v>4607091383256</v>
      </c>
      <c r="E118" s="644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88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3">
        <v>4607091385748</v>
      </c>
      <c r="E119" s="644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9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115</v>
      </c>
      <c r="Y119" s="634">
        <f>IFERROR(IF(X119="",0,CEILING((X119/$H119),1)*$H119),"")</f>
        <v>116.10000000000001</v>
      </c>
      <c r="Z119" s="36">
        <f>IFERROR(IF(Y119=0,"",ROUNDUP(Y119/H119,0)*0.00651),"")</f>
        <v>0.27993000000000001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125.73333333333333</v>
      </c>
      <c r="BN119" s="64">
        <f>IFERROR(Y119*I119/H119,"0")</f>
        <v>126.93600000000001</v>
      </c>
      <c r="BO119" s="64">
        <f>IFERROR(1/J119*(X119/H119),"0")</f>
        <v>0.23402523402523401</v>
      </c>
      <c r="BP119" s="64">
        <f>IFERROR(1/J119*(Y119/H119),"0")</f>
        <v>0.23626373626373628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43">
        <v>4680115884533</v>
      </c>
      <c r="E120" s="644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9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0"/>
      <c r="R120" s="640"/>
      <c r="S120" s="640"/>
      <c r="T120" s="641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51"/>
      <c r="B121" s="652"/>
      <c r="C121" s="652"/>
      <c r="D121" s="652"/>
      <c r="E121" s="652"/>
      <c r="F121" s="652"/>
      <c r="G121" s="652"/>
      <c r="H121" s="652"/>
      <c r="I121" s="652"/>
      <c r="J121" s="652"/>
      <c r="K121" s="652"/>
      <c r="L121" s="652"/>
      <c r="M121" s="652"/>
      <c r="N121" s="652"/>
      <c r="O121" s="653"/>
      <c r="P121" s="650" t="s">
        <v>72</v>
      </c>
      <c r="Q121" s="647"/>
      <c r="R121" s="647"/>
      <c r="S121" s="647"/>
      <c r="T121" s="647"/>
      <c r="U121" s="647"/>
      <c r="V121" s="648"/>
      <c r="W121" s="37" t="s">
        <v>73</v>
      </c>
      <c r="X121" s="635">
        <f>IFERROR(X117/H117,"0")+IFERROR(X118/H118,"0")+IFERROR(X119/H119,"0")+IFERROR(X120/H120,"0")</f>
        <v>122.09876543209876</v>
      </c>
      <c r="Y121" s="635">
        <f>IFERROR(Y117/H117,"0")+IFERROR(Y118/H118,"0")+IFERROR(Y119/H119,"0")+IFERROR(Y120/H120,"0")</f>
        <v>123</v>
      </c>
      <c r="Z121" s="635">
        <f>IFERROR(IF(Z117="",0,Z117),"0")+IFERROR(IF(Z118="",0,Z118),"0")+IFERROR(IF(Z119="",0,Z119),"0")+IFERROR(IF(Z120="",0,Z120),"0")</f>
        <v>1.79833</v>
      </c>
      <c r="AA121" s="636"/>
      <c r="AB121" s="636"/>
      <c r="AC121" s="636"/>
    </row>
    <row r="122" spans="1:68" x14ac:dyDescent="0.2">
      <c r="A122" s="652"/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3"/>
      <c r="P122" s="650" t="s">
        <v>72</v>
      </c>
      <c r="Q122" s="647"/>
      <c r="R122" s="647"/>
      <c r="S122" s="647"/>
      <c r="T122" s="647"/>
      <c r="U122" s="647"/>
      <c r="V122" s="648"/>
      <c r="W122" s="37" t="s">
        <v>67</v>
      </c>
      <c r="X122" s="635">
        <f>IFERROR(SUM(X117:X120),"0")</f>
        <v>759</v>
      </c>
      <c r="Y122" s="635">
        <f>IFERROR(SUM(Y117:Y120),"0")</f>
        <v>764.1</v>
      </c>
      <c r="Z122" s="37"/>
      <c r="AA122" s="636"/>
      <c r="AB122" s="636"/>
      <c r="AC122" s="636"/>
    </row>
    <row r="123" spans="1:68" ht="14.25" hidden="1" customHeight="1" x14ac:dyDescent="0.25">
      <c r="A123" s="657" t="s">
        <v>164</v>
      </c>
      <c r="B123" s="652"/>
      <c r="C123" s="652"/>
      <c r="D123" s="652"/>
      <c r="E123" s="652"/>
      <c r="F123" s="652"/>
      <c r="G123" s="652"/>
      <c r="H123" s="652"/>
      <c r="I123" s="652"/>
      <c r="J123" s="652"/>
      <c r="K123" s="652"/>
      <c r="L123" s="652"/>
      <c r="M123" s="652"/>
      <c r="N123" s="652"/>
      <c r="O123" s="652"/>
      <c r="P123" s="652"/>
      <c r="Q123" s="652"/>
      <c r="R123" s="652"/>
      <c r="S123" s="652"/>
      <c r="T123" s="652"/>
      <c r="U123" s="652"/>
      <c r="V123" s="652"/>
      <c r="W123" s="652"/>
      <c r="X123" s="652"/>
      <c r="Y123" s="652"/>
      <c r="Z123" s="652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3">
        <v>4680115880238</v>
      </c>
      <c r="E124" s="644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6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9</v>
      </c>
      <c r="Y124" s="634">
        <f>IFERROR(IF(X124="",0,CEILING((X124/$H124),1)*$H124),"")</f>
        <v>9.9</v>
      </c>
      <c r="Z124" s="36">
        <f>IFERROR(IF(Y124=0,"",ROUNDUP(Y124/H124,0)*0.00651),"")</f>
        <v>3.2550000000000003E-2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10.172727272727272</v>
      </c>
      <c r="BN124" s="64">
        <f>IFERROR(Y124*I124/H124,"0")</f>
        <v>11.190000000000001</v>
      </c>
      <c r="BO124" s="64">
        <f>IFERROR(1/J124*(X124/H124),"0")</f>
        <v>2.4975024975024979E-2</v>
      </c>
      <c r="BP124" s="64">
        <f>IFERROR(1/J124*(Y124/H124),"0")</f>
        <v>2.7472527472527476E-2</v>
      </c>
    </row>
    <row r="125" spans="1:68" x14ac:dyDescent="0.2">
      <c r="A125" s="651"/>
      <c r="B125" s="652"/>
      <c r="C125" s="652"/>
      <c r="D125" s="652"/>
      <c r="E125" s="652"/>
      <c r="F125" s="652"/>
      <c r="G125" s="652"/>
      <c r="H125" s="652"/>
      <c r="I125" s="652"/>
      <c r="J125" s="652"/>
      <c r="K125" s="652"/>
      <c r="L125" s="652"/>
      <c r="M125" s="652"/>
      <c r="N125" s="652"/>
      <c r="O125" s="653"/>
      <c r="P125" s="650" t="s">
        <v>72</v>
      </c>
      <c r="Q125" s="647"/>
      <c r="R125" s="647"/>
      <c r="S125" s="647"/>
      <c r="T125" s="647"/>
      <c r="U125" s="647"/>
      <c r="V125" s="648"/>
      <c r="W125" s="37" t="s">
        <v>73</v>
      </c>
      <c r="X125" s="635">
        <f>IFERROR(X124/H124,"0")</f>
        <v>4.5454545454545459</v>
      </c>
      <c r="Y125" s="635">
        <f>IFERROR(Y124/H124,"0")</f>
        <v>5</v>
      </c>
      <c r="Z125" s="635">
        <f>IFERROR(IF(Z124="",0,Z124),"0")</f>
        <v>3.2550000000000003E-2</v>
      </c>
      <c r="AA125" s="636"/>
      <c r="AB125" s="636"/>
      <c r="AC125" s="636"/>
    </row>
    <row r="126" spans="1:68" x14ac:dyDescent="0.2">
      <c r="A126" s="652"/>
      <c r="B126" s="652"/>
      <c r="C126" s="652"/>
      <c r="D126" s="652"/>
      <c r="E126" s="652"/>
      <c r="F126" s="652"/>
      <c r="G126" s="652"/>
      <c r="H126" s="652"/>
      <c r="I126" s="652"/>
      <c r="J126" s="652"/>
      <c r="K126" s="652"/>
      <c r="L126" s="652"/>
      <c r="M126" s="652"/>
      <c r="N126" s="652"/>
      <c r="O126" s="653"/>
      <c r="P126" s="650" t="s">
        <v>72</v>
      </c>
      <c r="Q126" s="647"/>
      <c r="R126" s="647"/>
      <c r="S126" s="647"/>
      <c r="T126" s="647"/>
      <c r="U126" s="647"/>
      <c r="V126" s="648"/>
      <c r="W126" s="37" t="s">
        <v>67</v>
      </c>
      <c r="X126" s="635">
        <f>IFERROR(SUM(X124:X124),"0")</f>
        <v>9</v>
      </c>
      <c r="Y126" s="635">
        <f>IFERROR(SUM(Y124:Y124),"0")</f>
        <v>9.9</v>
      </c>
      <c r="Z126" s="37"/>
      <c r="AA126" s="636"/>
      <c r="AB126" s="636"/>
      <c r="AC126" s="636"/>
    </row>
    <row r="127" spans="1:68" ht="16.5" hidden="1" customHeight="1" x14ac:dyDescent="0.25">
      <c r="A127" s="661" t="s">
        <v>232</v>
      </c>
      <c r="B127" s="652"/>
      <c r="C127" s="652"/>
      <c r="D127" s="652"/>
      <c r="E127" s="652"/>
      <c r="F127" s="652"/>
      <c r="G127" s="652"/>
      <c r="H127" s="652"/>
      <c r="I127" s="652"/>
      <c r="J127" s="652"/>
      <c r="K127" s="652"/>
      <c r="L127" s="652"/>
      <c r="M127" s="652"/>
      <c r="N127" s="652"/>
      <c r="O127" s="652"/>
      <c r="P127" s="652"/>
      <c r="Q127" s="652"/>
      <c r="R127" s="652"/>
      <c r="S127" s="652"/>
      <c r="T127" s="652"/>
      <c r="U127" s="652"/>
      <c r="V127" s="652"/>
      <c r="W127" s="652"/>
      <c r="X127" s="652"/>
      <c r="Y127" s="652"/>
      <c r="Z127" s="652"/>
      <c r="AA127" s="628"/>
      <c r="AB127" s="628"/>
      <c r="AC127" s="628"/>
    </row>
    <row r="128" spans="1:68" ht="14.25" hidden="1" customHeight="1" x14ac:dyDescent="0.25">
      <c r="A128" s="657" t="s">
        <v>111</v>
      </c>
      <c r="B128" s="652"/>
      <c r="C128" s="652"/>
      <c r="D128" s="652"/>
      <c r="E128" s="652"/>
      <c r="F128" s="652"/>
      <c r="G128" s="652"/>
      <c r="H128" s="652"/>
      <c r="I128" s="652"/>
      <c r="J128" s="652"/>
      <c r="K128" s="652"/>
      <c r="L128" s="652"/>
      <c r="M128" s="652"/>
      <c r="N128" s="652"/>
      <c r="O128" s="652"/>
      <c r="P128" s="652"/>
      <c r="Q128" s="652"/>
      <c r="R128" s="652"/>
      <c r="S128" s="652"/>
      <c r="T128" s="652"/>
      <c r="U128" s="652"/>
      <c r="V128" s="652"/>
      <c r="W128" s="652"/>
      <c r="X128" s="652"/>
      <c r="Y128" s="652"/>
      <c r="Z128" s="652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43">
        <v>4680115888784</v>
      </c>
      <c r="E129" s="644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911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0"/>
      <c r="R129" s="640"/>
      <c r="S129" s="640"/>
      <c r="T129" s="641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3">
        <v>4680115882577</v>
      </c>
      <c r="E130" s="644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18</v>
      </c>
      <c r="Y130" s="634">
        <f>IFERROR(IF(X130="",0,CEILING((X130/$H130),1)*$H130),"")</f>
        <v>19.200000000000003</v>
      </c>
      <c r="Z130" s="36">
        <f>IFERROR(IF(Y130=0,"",ROUNDUP(Y130/H130,0)*0.00651),"")</f>
        <v>3.9059999999999997E-2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19.012499999999999</v>
      </c>
      <c r="BN130" s="64">
        <f>IFERROR(Y130*I130/H130,"0")</f>
        <v>20.279999999999998</v>
      </c>
      <c r="BO130" s="64">
        <f>IFERROR(1/J130*(X130/H130),"0")</f>
        <v>3.0906593406593408E-2</v>
      </c>
      <c r="BP130" s="64">
        <f>IFERROR(1/J130*(Y130/H130),"0")</f>
        <v>3.2967032967032975E-2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43">
        <v>4680115882577</v>
      </c>
      <c r="E131" s="644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92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51"/>
      <c r="B132" s="652"/>
      <c r="C132" s="652"/>
      <c r="D132" s="652"/>
      <c r="E132" s="652"/>
      <c r="F132" s="652"/>
      <c r="G132" s="652"/>
      <c r="H132" s="652"/>
      <c r="I132" s="652"/>
      <c r="J132" s="652"/>
      <c r="K132" s="652"/>
      <c r="L132" s="652"/>
      <c r="M132" s="652"/>
      <c r="N132" s="652"/>
      <c r="O132" s="653"/>
      <c r="P132" s="650" t="s">
        <v>72</v>
      </c>
      <c r="Q132" s="647"/>
      <c r="R132" s="647"/>
      <c r="S132" s="647"/>
      <c r="T132" s="647"/>
      <c r="U132" s="647"/>
      <c r="V132" s="648"/>
      <c r="W132" s="37" t="s">
        <v>73</v>
      </c>
      <c r="X132" s="635">
        <f>IFERROR(X129/H129,"0")+IFERROR(X130/H130,"0")+IFERROR(X131/H131,"0")</f>
        <v>5.625</v>
      </c>
      <c r="Y132" s="635">
        <f>IFERROR(Y129/H129,"0")+IFERROR(Y130/H130,"0")+IFERROR(Y131/H131,"0")</f>
        <v>6.0000000000000009</v>
      </c>
      <c r="Z132" s="635">
        <f>IFERROR(IF(Z129="",0,Z129),"0")+IFERROR(IF(Z130="",0,Z130),"0")+IFERROR(IF(Z131="",0,Z131),"0")</f>
        <v>3.9059999999999997E-2</v>
      </c>
      <c r="AA132" s="636"/>
      <c r="AB132" s="636"/>
      <c r="AC132" s="636"/>
    </row>
    <row r="133" spans="1:68" x14ac:dyDescent="0.2">
      <c r="A133" s="652"/>
      <c r="B133" s="652"/>
      <c r="C133" s="652"/>
      <c r="D133" s="652"/>
      <c r="E133" s="652"/>
      <c r="F133" s="652"/>
      <c r="G133" s="652"/>
      <c r="H133" s="652"/>
      <c r="I133" s="652"/>
      <c r="J133" s="652"/>
      <c r="K133" s="652"/>
      <c r="L133" s="652"/>
      <c r="M133" s="652"/>
      <c r="N133" s="652"/>
      <c r="O133" s="653"/>
      <c r="P133" s="650" t="s">
        <v>72</v>
      </c>
      <c r="Q133" s="647"/>
      <c r="R133" s="647"/>
      <c r="S133" s="647"/>
      <c r="T133" s="647"/>
      <c r="U133" s="647"/>
      <c r="V133" s="648"/>
      <c r="W133" s="37" t="s">
        <v>67</v>
      </c>
      <c r="X133" s="635">
        <f>IFERROR(SUM(X129:X131),"0")</f>
        <v>18</v>
      </c>
      <c r="Y133" s="635">
        <f>IFERROR(SUM(Y129:Y131),"0")</f>
        <v>19.200000000000003</v>
      </c>
      <c r="Z133" s="37"/>
      <c r="AA133" s="636"/>
      <c r="AB133" s="636"/>
      <c r="AC133" s="636"/>
    </row>
    <row r="134" spans="1:68" ht="14.25" hidden="1" customHeight="1" x14ac:dyDescent="0.25">
      <c r="A134" s="657" t="s">
        <v>62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43">
        <v>4680115888913</v>
      </c>
      <c r="E135" s="644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71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3">
        <v>4680115883444</v>
      </c>
      <c r="E136" s="644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6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22</v>
      </c>
      <c r="Y136" s="634">
        <f>IFERROR(IF(X136="",0,CEILING((X136/$H136),1)*$H136),"")</f>
        <v>22.4</v>
      </c>
      <c r="Z136" s="36">
        <f>IFERROR(IF(Y136=0,"",ROUNDUP(Y136/H136,0)*0.00651),"")</f>
        <v>5.2080000000000001E-2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24.105714285714285</v>
      </c>
      <c r="BN136" s="64">
        <f>IFERROR(Y136*I136/H136,"0")</f>
        <v>24.543999999999997</v>
      </c>
      <c r="BO136" s="64">
        <f>IFERROR(1/J136*(X136/H136),"0")</f>
        <v>4.3171114599686033E-2</v>
      </c>
      <c r="BP136" s="64">
        <f>IFERROR(1/J136*(Y136/H136),"0")</f>
        <v>4.3956043956043959E-2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43">
        <v>4680115883444</v>
      </c>
      <c r="E137" s="644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9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0"/>
      <c r="R137" s="640"/>
      <c r="S137" s="640"/>
      <c r="T137" s="641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43">
        <v>4680115888920</v>
      </c>
      <c r="E138" s="644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5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0"/>
      <c r="R138" s="640"/>
      <c r="S138" s="640"/>
      <c r="T138" s="641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51"/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3"/>
      <c r="P139" s="650" t="s">
        <v>72</v>
      </c>
      <c r="Q139" s="647"/>
      <c r="R139" s="647"/>
      <c r="S139" s="647"/>
      <c r="T139" s="647"/>
      <c r="U139" s="647"/>
      <c r="V139" s="648"/>
      <c r="W139" s="37" t="s">
        <v>73</v>
      </c>
      <c r="X139" s="635">
        <f>IFERROR(X135/H135,"0")+IFERROR(X136/H136,"0")+IFERROR(X137/H137,"0")+IFERROR(X138/H138,"0")</f>
        <v>7.8571428571428577</v>
      </c>
      <c r="Y139" s="635">
        <f>IFERROR(Y135/H135,"0")+IFERROR(Y136/H136,"0")+IFERROR(Y137/H137,"0")+IFERROR(Y138/H138,"0")</f>
        <v>8</v>
      </c>
      <c r="Z139" s="635">
        <f>IFERROR(IF(Z135="",0,Z135),"0")+IFERROR(IF(Z136="",0,Z136),"0")+IFERROR(IF(Z137="",0,Z137),"0")+IFERROR(IF(Z138="",0,Z138),"0")</f>
        <v>5.2080000000000001E-2</v>
      </c>
      <c r="AA139" s="636"/>
      <c r="AB139" s="636"/>
      <c r="AC139" s="636"/>
    </row>
    <row r="140" spans="1:68" x14ac:dyDescent="0.2">
      <c r="A140" s="652"/>
      <c r="B140" s="652"/>
      <c r="C140" s="652"/>
      <c r="D140" s="652"/>
      <c r="E140" s="652"/>
      <c r="F140" s="652"/>
      <c r="G140" s="652"/>
      <c r="H140" s="652"/>
      <c r="I140" s="652"/>
      <c r="J140" s="652"/>
      <c r="K140" s="652"/>
      <c r="L140" s="652"/>
      <c r="M140" s="652"/>
      <c r="N140" s="652"/>
      <c r="O140" s="653"/>
      <c r="P140" s="650" t="s">
        <v>72</v>
      </c>
      <c r="Q140" s="647"/>
      <c r="R140" s="647"/>
      <c r="S140" s="647"/>
      <c r="T140" s="647"/>
      <c r="U140" s="647"/>
      <c r="V140" s="648"/>
      <c r="W140" s="37" t="s">
        <v>67</v>
      </c>
      <c r="X140" s="635">
        <f>IFERROR(SUM(X135:X138),"0")</f>
        <v>22</v>
      </c>
      <c r="Y140" s="635">
        <f>IFERROR(SUM(Y135:Y138),"0")</f>
        <v>22.4</v>
      </c>
      <c r="Z140" s="37"/>
      <c r="AA140" s="636"/>
      <c r="AB140" s="636"/>
      <c r="AC140" s="636"/>
    </row>
    <row r="141" spans="1:68" ht="14.25" hidden="1" customHeight="1" x14ac:dyDescent="0.25">
      <c r="A141" s="657" t="s">
        <v>74</v>
      </c>
      <c r="B141" s="652"/>
      <c r="C141" s="652"/>
      <c r="D141" s="652"/>
      <c r="E141" s="652"/>
      <c r="F141" s="652"/>
      <c r="G141" s="652"/>
      <c r="H141" s="652"/>
      <c r="I141" s="652"/>
      <c r="J141" s="652"/>
      <c r="K141" s="652"/>
      <c r="L141" s="652"/>
      <c r="M141" s="652"/>
      <c r="N141" s="652"/>
      <c r="O141" s="652"/>
      <c r="P141" s="652"/>
      <c r="Q141" s="652"/>
      <c r="R141" s="652"/>
      <c r="S141" s="652"/>
      <c r="T141" s="652"/>
      <c r="U141" s="652"/>
      <c r="V141" s="652"/>
      <c r="W141" s="652"/>
      <c r="X141" s="652"/>
      <c r="Y141" s="652"/>
      <c r="Z141" s="652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43">
        <v>4680115888944</v>
      </c>
      <c r="E142" s="644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889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0"/>
      <c r="R142" s="640"/>
      <c r="S142" s="640"/>
      <c r="T142" s="641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3">
        <v>4680115882584</v>
      </c>
      <c r="E143" s="644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2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0"/>
      <c r="R143" s="640"/>
      <c r="S143" s="640"/>
      <c r="T143" s="641"/>
      <c r="U143" s="34"/>
      <c r="V143" s="34"/>
      <c r="W143" s="35" t="s">
        <v>67</v>
      </c>
      <c r="X143" s="633">
        <v>28</v>
      </c>
      <c r="Y143" s="634">
        <f>IFERROR(IF(X143="",0,CEILING((X143/$H143),1)*$H143),"")</f>
        <v>29.040000000000003</v>
      </c>
      <c r="Z143" s="36">
        <f>IFERROR(IF(Y143=0,"",ROUNDUP(Y143/H143,0)*0.00651),"")</f>
        <v>7.1610000000000007E-2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30.842424242424237</v>
      </c>
      <c r="BN143" s="64">
        <f>IFERROR(Y143*I143/H143,"0")</f>
        <v>31.988000000000003</v>
      </c>
      <c r="BO143" s="64">
        <f>IFERROR(1/J143*(X143/H143),"0")</f>
        <v>5.8275058275058279E-2</v>
      </c>
      <c r="BP143" s="64">
        <f>IFERROR(1/J143*(Y143/H143),"0")</f>
        <v>6.0439560439560447E-2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43">
        <v>4680115882584</v>
      </c>
      <c r="E144" s="644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94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0"/>
      <c r="R144" s="640"/>
      <c r="S144" s="640"/>
      <c r="T144" s="641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1"/>
      <c r="B145" s="652"/>
      <c r="C145" s="652"/>
      <c r="D145" s="652"/>
      <c r="E145" s="652"/>
      <c r="F145" s="652"/>
      <c r="G145" s="652"/>
      <c r="H145" s="652"/>
      <c r="I145" s="652"/>
      <c r="J145" s="652"/>
      <c r="K145" s="652"/>
      <c r="L145" s="652"/>
      <c r="M145" s="652"/>
      <c r="N145" s="652"/>
      <c r="O145" s="653"/>
      <c r="P145" s="650" t="s">
        <v>72</v>
      </c>
      <c r="Q145" s="647"/>
      <c r="R145" s="647"/>
      <c r="S145" s="647"/>
      <c r="T145" s="647"/>
      <c r="U145" s="647"/>
      <c r="V145" s="648"/>
      <c r="W145" s="37" t="s">
        <v>73</v>
      </c>
      <c r="X145" s="635">
        <f>IFERROR(X142/H142,"0")+IFERROR(X143/H143,"0")+IFERROR(X144/H144,"0")</f>
        <v>10.606060606060606</v>
      </c>
      <c r="Y145" s="635">
        <f>IFERROR(Y142/H142,"0")+IFERROR(Y143/H143,"0")+IFERROR(Y144/H144,"0")</f>
        <v>11</v>
      </c>
      <c r="Z145" s="635">
        <f>IFERROR(IF(Z142="",0,Z142),"0")+IFERROR(IF(Z143="",0,Z143),"0")+IFERROR(IF(Z144="",0,Z144),"0")</f>
        <v>7.1610000000000007E-2</v>
      </c>
      <c r="AA145" s="636"/>
      <c r="AB145" s="636"/>
      <c r="AC145" s="636"/>
    </row>
    <row r="146" spans="1:68" x14ac:dyDescent="0.2">
      <c r="A146" s="652"/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3"/>
      <c r="P146" s="650" t="s">
        <v>72</v>
      </c>
      <c r="Q146" s="647"/>
      <c r="R146" s="647"/>
      <c r="S146" s="647"/>
      <c r="T146" s="647"/>
      <c r="U146" s="647"/>
      <c r="V146" s="648"/>
      <c r="W146" s="37" t="s">
        <v>67</v>
      </c>
      <c r="X146" s="635">
        <f>IFERROR(SUM(X142:X144),"0")</f>
        <v>28</v>
      </c>
      <c r="Y146" s="635">
        <f>IFERROR(SUM(Y142:Y144),"0")</f>
        <v>29.040000000000003</v>
      </c>
      <c r="Z146" s="37"/>
      <c r="AA146" s="636"/>
      <c r="AB146" s="636"/>
      <c r="AC146" s="636"/>
    </row>
    <row r="147" spans="1:68" ht="16.5" hidden="1" customHeight="1" x14ac:dyDescent="0.25">
      <c r="A147" s="661" t="s">
        <v>256</v>
      </c>
      <c r="B147" s="652"/>
      <c r="C147" s="652"/>
      <c r="D147" s="652"/>
      <c r="E147" s="652"/>
      <c r="F147" s="652"/>
      <c r="G147" s="652"/>
      <c r="H147" s="652"/>
      <c r="I147" s="652"/>
      <c r="J147" s="652"/>
      <c r="K147" s="652"/>
      <c r="L147" s="652"/>
      <c r="M147" s="652"/>
      <c r="N147" s="652"/>
      <c r="O147" s="652"/>
      <c r="P147" s="652"/>
      <c r="Q147" s="652"/>
      <c r="R147" s="652"/>
      <c r="S147" s="652"/>
      <c r="T147" s="652"/>
      <c r="U147" s="652"/>
      <c r="V147" s="652"/>
      <c r="W147" s="652"/>
      <c r="X147" s="652"/>
      <c r="Y147" s="652"/>
      <c r="Z147" s="652"/>
      <c r="AA147" s="628"/>
      <c r="AB147" s="628"/>
      <c r="AC147" s="628"/>
    </row>
    <row r="148" spans="1:68" ht="14.25" hidden="1" customHeight="1" x14ac:dyDescent="0.25">
      <c r="A148" s="657" t="s">
        <v>74</v>
      </c>
      <c r="B148" s="652"/>
      <c r="C148" s="652"/>
      <c r="D148" s="652"/>
      <c r="E148" s="652"/>
      <c r="F148" s="652"/>
      <c r="G148" s="652"/>
      <c r="H148" s="652"/>
      <c r="I148" s="652"/>
      <c r="J148" s="652"/>
      <c r="K148" s="652"/>
      <c r="L148" s="652"/>
      <c r="M148" s="652"/>
      <c r="N148" s="652"/>
      <c r="O148" s="652"/>
      <c r="P148" s="652"/>
      <c r="Q148" s="652"/>
      <c r="R148" s="652"/>
      <c r="S148" s="652"/>
      <c r="T148" s="652"/>
      <c r="U148" s="652"/>
      <c r="V148" s="652"/>
      <c r="W148" s="652"/>
      <c r="X148" s="652"/>
      <c r="Y148" s="652"/>
      <c r="Z148" s="652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43">
        <v>4680115888203</v>
      </c>
      <c r="E149" s="644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6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0"/>
      <c r="R149" s="640"/>
      <c r="S149" s="640"/>
      <c r="T149" s="641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43">
        <v>4680115888180</v>
      </c>
      <c r="E150" s="644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7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0"/>
      <c r="R150" s="640"/>
      <c r="S150" s="640"/>
      <c r="T150" s="641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43">
        <v>4680115888180</v>
      </c>
      <c r="E151" s="644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4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43">
        <v>4680115888197</v>
      </c>
      <c r="E152" s="644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9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43">
        <v>4680115888197</v>
      </c>
      <c r="E153" s="644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92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43">
        <v>4680115888210</v>
      </c>
      <c r="E154" s="644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0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43">
        <v>4680115888210</v>
      </c>
      <c r="E155" s="644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9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0"/>
      <c r="R155" s="640"/>
      <c r="S155" s="640"/>
      <c r="T155" s="641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51"/>
      <c r="B156" s="652"/>
      <c r="C156" s="652"/>
      <c r="D156" s="652"/>
      <c r="E156" s="652"/>
      <c r="F156" s="652"/>
      <c r="G156" s="652"/>
      <c r="H156" s="652"/>
      <c r="I156" s="652"/>
      <c r="J156" s="652"/>
      <c r="K156" s="652"/>
      <c r="L156" s="652"/>
      <c r="M156" s="652"/>
      <c r="N156" s="652"/>
      <c r="O156" s="653"/>
      <c r="P156" s="650" t="s">
        <v>72</v>
      </c>
      <c r="Q156" s="647"/>
      <c r="R156" s="647"/>
      <c r="S156" s="647"/>
      <c r="T156" s="647"/>
      <c r="U156" s="647"/>
      <c r="V156" s="648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52"/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3"/>
      <c r="P157" s="650" t="s">
        <v>72</v>
      </c>
      <c r="Q157" s="647"/>
      <c r="R157" s="647"/>
      <c r="S157" s="647"/>
      <c r="T157" s="647"/>
      <c r="U157" s="647"/>
      <c r="V157" s="648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57" t="s">
        <v>272</v>
      </c>
      <c r="B158" s="652"/>
      <c r="C158" s="652"/>
      <c r="D158" s="652"/>
      <c r="E158" s="652"/>
      <c r="F158" s="652"/>
      <c r="G158" s="652"/>
      <c r="H158" s="652"/>
      <c r="I158" s="652"/>
      <c r="J158" s="652"/>
      <c r="K158" s="652"/>
      <c r="L158" s="652"/>
      <c r="M158" s="652"/>
      <c r="N158" s="652"/>
      <c r="O158" s="652"/>
      <c r="P158" s="652"/>
      <c r="Q158" s="652"/>
      <c r="R158" s="652"/>
      <c r="S158" s="652"/>
      <c r="T158" s="652"/>
      <c r="U158" s="652"/>
      <c r="V158" s="652"/>
      <c r="W158" s="652"/>
      <c r="X158" s="652"/>
      <c r="Y158" s="652"/>
      <c r="Z158" s="652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43">
        <v>4680115889132</v>
      </c>
      <c r="E159" s="644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100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0"/>
      <c r="R159" s="640"/>
      <c r="S159" s="640"/>
      <c r="T159" s="641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1"/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3"/>
      <c r="P160" s="650" t="s">
        <v>72</v>
      </c>
      <c r="Q160" s="647"/>
      <c r="R160" s="647"/>
      <c r="S160" s="647"/>
      <c r="T160" s="647"/>
      <c r="U160" s="647"/>
      <c r="V160" s="648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52"/>
      <c r="B161" s="652"/>
      <c r="C161" s="652"/>
      <c r="D161" s="652"/>
      <c r="E161" s="652"/>
      <c r="F161" s="652"/>
      <c r="G161" s="652"/>
      <c r="H161" s="652"/>
      <c r="I161" s="652"/>
      <c r="J161" s="652"/>
      <c r="K161" s="652"/>
      <c r="L161" s="652"/>
      <c r="M161" s="652"/>
      <c r="N161" s="652"/>
      <c r="O161" s="653"/>
      <c r="P161" s="650" t="s">
        <v>72</v>
      </c>
      <c r="Q161" s="647"/>
      <c r="R161" s="647"/>
      <c r="S161" s="647"/>
      <c r="T161" s="647"/>
      <c r="U161" s="647"/>
      <c r="V161" s="648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61" t="s">
        <v>109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28"/>
      <c r="AB162" s="628"/>
      <c r="AC162" s="628"/>
    </row>
    <row r="163" spans="1:68" ht="14.25" hidden="1" customHeight="1" x14ac:dyDescent="0.25">
      <c r="A163" s="657" t="s">
        <v>111</v>
      </c>
      <c r="B163" s="652"/>
      <c r="C163" s="652"/>
      <c r="D163" s="652"/>
      <c r="E163" s="652"/>
      <c r="F163" s="652"/>
      <c r="G163" s="652"/>
      <c r="H163" s="652"/>
      <c r="I163" s="652"/>
      <c r="J163" s="652"/>
      <c r="K163" s="652"/>
      <c r="L163" s="652"/>
      <c r="M163" s="652"/>
      <c r="N163" s="652"/>
      <c r="O163" s="652"/>
      <c r="P163" s="652"/>
      <c r="Q163" s="652"/>
      <c r="R163" s="652"/>
      <c r="S163" s="652"/>
      <c r="T163" s="652"/>
      <c r="U163" s="652"/>
      <c r="V163" s="652"/>
      <c r="W163" s="652"/>
      <c r="X163" s="652"/>
      <c r="Y163" s="652"/>
      <c r="Z163" s="652"/>
      <c r="AA163" s="629"/>
      <c r="AB163" s="629"/>
      <c r="AC163" s="629"/>
    </row>
    <row r="164" spans="1:68" ht="27" hidden="1" customHeight="1" x14ac:dyDescent="0.25">
      <c r="A164" s="54" t="s">
        <v>279</v>
      </c>
      <c r="B164" s="54" t="s">
        <v>280</v>
      </c>
      <c r="C164" s="31">
        <v>4301012338</v>
      </c>
      <c r="D164" s="643">
        <v>4680115887374</v>
      </c>
      <c r="E164" s="644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43">
        <v>4607091384604</v>
      </c>
      <c r="E165" s="644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9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43">
        <v>4680115888876</v>
      </c>
      <c r="E166" s="644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92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51"/>
      <c r="B167" s="652"/>
      <c r="C167" s="652"/>
      <c r="D167" s="652"/>
      <c r="E167" s="652"/>
      <c r="F167" s="652"/>
      <c r="G167" s="652"/>
      <c r="H167" s="652"/>
      <c r="I167" s="652"/>
      <c r="J167" s="652"/>
      <c r="K167" s="652"/>
      <c r="L167" s="652"/>
      <c r="M167" s="652"/>
      <c r="N167" s="652"/>
      <c r="O167" s="653"/>
      <c r="P167" s="650" t="s">
        <v>72</v>
      </c>
      <c r="Q167" s="647"/>
      <c r="R167" s="647"/>
      <c r="S167" s="647"/>
      <c r="T167" s="647"/>
      <c r="U167" s="647"/>
      <c r="V167" s="648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52"/>
      <c r="B168" s="652"/>
      <c r="C168" s="652"/>
      <c r="D168" s="652"/>
      <c r="E168" s="652"/>
      <c r="F168" s="652"/>
      <c r="G168" s="652"/>
      <c r="H168" s="652"/>
      <c r="I168" s="652"/>
      <c r="J168" s="652"/>
      <c r="K168" s="652"/>
      <c r="L168" s="652"/>
      <c r="M168" s="652"/>
      <c r="N168" s="652"/>
      <c r="O168" s="653"/>
      <c r="P168" s="650" t="s">
        <v>72</v>
      </c>
      <c r="Q168" s="647"/>
      <c r="R168" s="647"/>
      <c r="S168" s="647"/>
      <c r="T168" s="647"/>
      <c r="U168" s="647"/>
      <c r="V168" s="648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57" t="s">
        <v>147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43">
        <v>4680115887695</v>
      </c>
      <c r="E170" s="644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95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43">
        <v>4680115889491</v>
      </c>
      <c r="E171" s="644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99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1"/>
      <c r="B172" s="652"/>
      <c r="C172" s="652"/>
      <c r="D172" s="652"/>
      <c r="E172" s="652"/>
      <c r="F172" s="652"/>
      <c r="G172" s="652"/>
      <c r="H172" s="652"/>
      <c r="I172" s="652"/>
      <c r="J172" s="652"/>
      <c r="K172" s="652"/>
      <c r="L172" s="652"/>
      <c r="M172" s="652"/>
      <c r="N172" s="652"/>
      <c r="O172" s="653"/>
      <c r="P172" s="650" t="s">
        <v>72</v>
      </c>
      <c r="Q172" s="647"/>
      <c r="R172" s="647"/>
      <c r="S172" s="647"/>
      <c r="T172" s="647"/>
      <c r="U172" s="647"/>
      <c r="V172" s="648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52"/>
      <c r="B173" s="652"/>
      <c r="C173" s="652"/>
      <c r="D173" s="652"/>
      <c r="E173" s="652"/>
      <c r="F173" s="652"/>
      <c r="G173" s="652"/>
      <c r="H173" s="652"/>
      <c r="I173" s="652"/>
      <c r="J173" s="652"/>
      <c r="K173" s="652"/>
      <c r="L173" s="652"/>
      <c r="M173" s="652"/>
      <c r="N173" s="652"/>
      <c r="O173" s="653"/>
      <c r="P173" s="650" t="s">
        <v>72</v>
      </c>
      <c r="Q173" s="647"/>
      <c r="R173" s="647"/>
      <c r="S173" s="647"/>
      <c r="T173" s="647"/>
      <c r="U173" s="647"/>
      <c r="V173" s="648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57" t="s">
        <v>62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3">
        <v>4680115887428</v>
      </c>
      <c r="E175" s="644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7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180</v>
      </c>
      <c r="Y175" s="634">
        <f t="shared" ref="Y175:Y185" si="16">IFERROR(IF(X175="",0,CEILING((X175/$H175),1)*$H175),"")</f>
        <v>182</v>
      </c>
      <c r="Z175" s="36">
        <f>IFERROR(IF(Y175=0,"",ROUNDUP(Y175/H175,0)*0.00902),"")</f>
        <v>0.46904000000000001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189.77142857142857</v>
      </c>
      <c r="BN175" s="64">
        <f t="shared" ref="BN175:BN185" si="18">IFERROR(Y175*I175/H175,"0")</f>
        <v>191.88000000000002</v>
      </c>
      <c r="BO175" s="64">
        <f t="shared" ref="BO175:BO185" si="19">IFERROR(1/J175*(X175/H175),"0")</f>
        <v>0.38961038961038963</v>
      </c>
      <c r="BP175" s="64">
        <f t="shared" ref="BP175:BP185" si="20">IFERROR(1/J175*(Y175/H175),"0")</f>
        <v>0.39393939393939392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43">
        <v>4680115889170</v>
      </c>
      <c r="E176" s="644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73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3">
        <v>4680115887398</v>
      </c>
      <c r="E177" s="644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7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160</v>
      </c>
      <c r="Y177" s="634">
        <f t="shared" si="16"/>
        <v>161</v>
      </c>
      <c r="Z177" s="36">
        <f>IFERROR(IF(Y177=0,"",ROUNDUP(Y177/H177,0)*0.00902),"")</f>
        <v>0.41492000000000001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168.68571428571428</v>
      </c>
      <c r="BN177" s="64">
        <f t="shared" si="18"/>
        <v>169.74</v>
      </c>
      <c r="BO177" s="64">
        <f t="shared" si="19"/>
        <v>0.34632034632034636</v>
      </c>
      <c r="BP177" s="64">
        <f t="shared" si="20"/>
        <v>0.34848484848484851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3">
        <v>4680115887336</v>
      </c>
      <c r="E178" s="644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73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205</v>
      </c>
      <c r="Y178" s="634">
        <f t="shared" si="16"/>
        <v>206.5</v>
      </c>
      <c r="Z178" s="36">
        <f>IFERROR(IF(Y178=0,"",ROUNDUP(Y178/H178,0)*0.00902),"")</f>
        <v>0.53217999999999999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216.12857142857143</v>
      </c>
      <c r="BN178" s="64">
        <f t="shared" si="18"/>
        <v>217.71</v>
      </c>
      <c r="BO178" s="64">
        <f t="shared" si="19"/>
        <v>0.44372294372294374</v>
      </c>
      <c r="BP178" s="64">
        <f t="shared" si="20"/>
        <v>0.44696969696969696</v>
      </c>
    </row>
    <row r="179" spans="1:68" ht="16.5" hidden="1" customHeight="1" x14ac:dyDescent="0.25">
      <c r="A179" s="54" t="s">
        <v>306</v>
      </c>
      <c r="B179" s="54" t="s">
        <v>307</v>
      </c>
      <c r="C179" s="31">
        <v>4301032049</v>
      </c>
      <c r="D179" s="643">
        <v>4680115887787</v>
      </c>
      <c r="E179" s="644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3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4301031448</v>
      </c>
      <c r="D180" s="643">
        <v>4680115887503</v>
      </c>
      <c r="E180" s="644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88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311</v>
      </c>
      <c r="B181" s="54" t="s">
        <v>312</v>
      </c>
      <c r="C181" s="31">
        <v>4301031389</v>
      </c>
      <c r="D181" s="643">
        <v>4680115887763</v>
      </c>
      <c r="E181" s="644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72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43">
        <v>4680115887763</v>
      </c>
      <c r="E182" s="644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89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4301031454</v>
      </c>
      <c r="D183" s="643">
        <v>4680115887480</v>
      </c>
      <c r="E183" s="644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72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4301031434</v>
      </c>
      <c r="D184" s="643">
        <v>4680115888067</v>
      </c>
      <c r="E184" s="644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99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3">
        <v>4680115887435</v>
      </c>
      <c r="E185" s="644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6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0"/>
      <c r="R185" s="640"/>
      <c r="S185" s="640"/>
      <c r="T185" s="641"/>
      <c r="U185" s="34"/>
      <c r="V185" s="34"/>
      <c r="W185" s="35" t="s">
        <v>67</v>
      </c>
      <c r="X185" s="633">
        <v>10</v>
      </c>
      <c r="Y185" s="634">
        <f t="shared" si="16"/>
        <v>10.08</v>
      </c>
      <c r="Z185" s="36">
        <f>IFERROR(IF(Y185=0,"",ROUNDUP(Y185/H185,0)*0.00502),"")</f>
        <v>3.0120000000000001E-2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10.595238095238097</v>
      </c>
      <c r="BN185" s="64">
        <f t="shared" si="18"/>
        <v>10.68</v>
      </c>
      <c r="BO185" s="64">
        <f t="shared" si="19"/>
        <v>2.5437525437525442E-2</v>
      </c>
      <c r="BP185" s="64">
        <f t="shared" si="20"/>
        <v>2.5641025641025644E-2</v>
      </c>
    </row>
    <row r="186" spans="1:68" x14ac:dyDescent="0.2">
      <c r="A186" s="651"/>
      <c r="B186" s="652"/>
      <c r="C186" s="652"/>
      <c r="D186" s="652"/>
      <c r="E186" s="652"/>
      <c r="F186" s="652"/>
      <c r="G186" s="652"/>
      <c r="H186" s="652"/>
      <c r="I186" s="652"/>
      <c r="J186" s="652"/>
      <c r="K186" s="652"/>
      <c r="L186" s="652"/>
      <c r="M186" s="652"/>
      <c r="N186" s="652"/>
      <c r="O186" s="653"/>
      <c r="P186" s="650" t="s">
        <v>72</v>
      </c>
      <c r="Q186" s="647"/>
      <c r="R186" s="647"/>
      <c r="S186" s="647"/>
      <c r="T186" s="647"/>
      <c r="U186" s="647"/>
      <c r="V186" s="648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161.66666666666669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163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1.4462599999999999</v>
      </c>
      <c r="AA186" s="636"/>
      <c r="AB186" s="636"/>
      <c r="AC186" s="636"/>
    </row>
    <row r="187" spans="1:68" x14ac:dyDescent="0.2">
      <c r="A187" s="652"/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3"/>
      <c r="P187" s="650" t="s">
        <v>72</v>
      </c>
      <c r="Q187" s="647"/>
      <c r="R187" s="647"/>
      <c r="S187" s="647"/>
      <c r="T187" s="647"/>
      <c r="U187" s="647"/>
      <c r="V187" s="648"/>
      <c r="W187" s="37" t="s">
        <v>67</v>
      </c>
      <c r="X187" s="635">
        <f>IFERROR(SUM(X175:X185),"0")</f>
        <v>555</v>
      </c>
      <c r="Y187" s="635">
        <f>IFERROR(SUM(Y175:Y185),"0")</f>
        <v>559.58000000000004</v>
      </c>
      <c r="Z187" s="37"/>
      <c r="AA187" s="636"/>
      <c r="AB187" s="636"/>
      <c r="AC187" s="636"/>
    </row>
    <row r="188" spans="1:68" ht="14.25" hidden="1" customHeight="1" x14ac:dyDescent="0.25">
      <c r="A188" s="657" t="s">
        <v>74</v>
      </c>
      <c r="B188" s="652"/>
      <c r="C188" s="652"/>
      <c r="D188" s="652"/>
      <c r="E188" s="652"/>
      <c r="F188" s="652"/>
      <c r="G188" s="652"/>
      <c r="H188" s="652"/>
      <c r="I188" s="652"/>
      <c r="J188" s="652"/>
      <c r="K188" s="652"/>
      <c r="L188" s="652"/>
      <c r="M188" s="652"/>
      <c r="N188" s="652"/>
      <c r="O188" s="652"/>
      <c r="P188" s="652"/>
      <c r="Q188" s="652"/>
      <c r="R188" s="652"/>
      <c r="S188" s="652"/>
      <c r="T188" s="652"/>
      <c r="U188" s="652"/>
      <c r="V188" s="652"/>
      <c r="W188" s="652"/>
      <c r="X188" s="652"/>
      <c r="Y188" s="652"/>
      <c r="Z188" s="652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43">
        <v>4680115888395</v>
      </c>
      <c r="E189" s="644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90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43">
        <v>4680115888371</v>
      </c>
      <c r="E190" s="644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7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0"/>
      <c r="R190" s="640"/>
      <c r="S190" s="640"/>
      <c r="T190" s="641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43">
        <v>4680115887459</v>
      </c>
      <c r="E191" s="644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7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0"/>
      <c r="R191" s="640"/>
      <c r="S191" s="640"/>
      <c r="T191" s="641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1"/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3"/>
      <c r="P192" s="650" t="s">
        <v>72</v>
      </c>
      <c r="Q192" s="647"/>
      <c r="R192" s="647"/>
      <c r="S192" s="647"/>
      <c r="T192" s="647"/>
      <c r="U192" s="647"/>
      <c r="V192" s="648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52"/>
      <c r="B193" s="652"/>
      <c r="C193" s="652"/>
      <c r="D193" s="652"/>
      <c r="E193" s="652"/>
      <c r="F193" s="652"/>
      <c r="G193" s="652"/>
      <c r="H193" s="652"/>
      <c r="I193" s="652"/>
      <c r="J193" s="652"/>
      <c r="K193" s="652"/>
      <c r="L193" s="652"/>
      <c r="M193" s="652"/>
      <c r="N193" s="652"/>
      <c r="O193" s="653"/>
      <c r="P193" s="650" t="s">
        <v>72</v>
      </c>
      <c r="Q193" s="647"/>
      <c r="R193" s="647"/>
      <c r="S193" s="647"/>
      <c r="T193" s="647"/>
      <c r="U193" s="647"/>
      <c r="V193" s="648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57" t="s">
        <v>272</v>
      </c>
      <c r="B194" s="652"/>
      <c r="C194" s="652"/>
      <c r="D194" s="652"/>
      <c r="E194" s="652"/>
      <c r="F194" s="652"/>
      <c r="G194" s="652"/>
      <c r="H194" s="652"/>
      <c r="I194" s="652"/>
      <c r="J194" s="652"/>
      <c r="K194" s="652"/>
      <c r="L194" s="652"/>
      <c r="M194" s="652"/>
      <c r="N194" s="652"/>
      <c r="O194" s="652"/>
      <c r="P194" s="652"/>
      <c r="Q194" s="652"/>
      <c r="R194" s="652"/>
      <c r="S194" s="652"/>
      <c r="T194" s="652"/>
      <c r="U194" s="652"/>
      <c r="V194" s="652"/>
      <c r="W194" s="652"/>
      <c r="X194" s="652"/>
      <c r="Y194" s="652"/>
      <c r="Z194" s="652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43">
        <v>4680115889026</v>
      </c>
      <c r="E195" s="644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8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0"/>
      <c r="R195" s="640"/>
      <c r="S195" s="640"/>
      <c r="T195" s="641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43">
        <v>4680115889088</v>
      </c>
      <c r="E196" s="644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72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0"/>
      <c r="R196" s="640"/>
      <c r="S196" s="640"/>
      <c r="T196" s="641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1"/>
      <c r="B197" s="652"/>
      <c r="C197" s="652"/>
      <c r="D197" s="652"/>
      <c r="E197" s="652"/>
      <c r="F197" s="652"/>
      <c r="G197" s="652"/>
      <c r="H197" s="652"/>
      <c r="I197" s="652"/>
      <c r="J197" s="652"/>
      <c r="K197" s="652"/>
      <c r="L197" s="652"/>
      <c r="M197" s="652"/>
      <c r="N197" s="652"/>
      <c r="O197" s="653"/>
      <c r="P197" s="650" t="s">
        <v>72</v>
      </c>
      <c r="Q197" s="647"/>
      <c r="R197" s="647"/>
      <c r="S197" s="647"/>
      <c r="T197" s="647"/>
      <c r="U197" s="647"/>
      <c r="V197" s="648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52"/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3"/>
      <c r="P198" s="650" t="s">
        <v>72</v>
      </c>
      <c r="Q198" s="647"/>
      <c r="R198" s="647"/>
      <c r="S198" s="647"/>
      <c r="T198" s="647"/>
      <c r="U198" s="647"/>
      <c r="V198" s="648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57" t="s">
        <v>338</v>
      </c>
      <c r="B199" s="652"/>
      <c r="C199" s="652"/>
      <c r="D199" s="652"/>
      <c r="E199" s="652"/>
      <c r="F199" s="652"/>
      <c r="G199" s="652"/>
      <c r="H199" s="652"/>
      <c r="I199" s="652"/>
      <c r="J199" s="652"/>
      <c r="K199" s="652"/>
      <c r="L199" s="652"/>
      <c r="M199" s="652"/>
      <c r="N199" s="652"/>
      <c r="O199" s="652"/>
      <c r="P199" s="652"/>
      <c r="Q199" s="652"/>
      <c r="R199" s="652"/>
      <c r="S199" s="652"/>
      <c r="T199" s="652"/>
      <c r="U199" s="652"/>
      <c r="V199" s="652"/>
      <c r="W199" s="652"/>
      <c r="X199" s="652"/>
      <c r="Y199" s="652"/>
      <c r="Z199" s="652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43">
        <v>4680115889033</v>
      </c>
      <c r="E200" s="644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66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0"/>
      <c r="R200" s="640"/>
      <c r="S200" s="640"/>
      <c r="T200" s="641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1"/>
      <c r="B201" s="652"/>
      <c r="C201" s="652"/>
      <c r="D201" s="652"/>
      <c r="E201" s="652"/>
      <c r="F201" s="652"/>
      <c r="G201" s="652"/>
      <c r="H201" s="652"/>
      <c r="I201" s="652"/>
      <c r="J201" s="652"/>
      <c r="K201" s="652"/>
      <c r="L201" s="652"/>
      <c r="M201" s="652"/>
      <c r="N201" s="652"/>
      <c r="O201" s="653"/>
      <c r="P201" s="650" t="s">
        <v>72</v>
      </c>
      <c r="Q201" s="647"/>
      <c r="R201" s="647"/>
      <c r="S201" s="647"/>
      <c r="T201" s="647"/>
      <c r="U201" s="647"/>
      <c r="V201" s="648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52"/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3"/>
      <c r="P202" s="650" t="s">
        <v>72</v>
      </c>
      <c r="Q202" s="647"/>
      <c r="R202" s="647"/>
      <c r="S202" s="647"/>
      <c r="T202" s="647"/>
      <c r="U202" s="647"/>
      <c r="V202" s="648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9" t="s">
        <v>342</v>
      </c>
      <c r="B203" s="720"/>
      <c r="C203" s="720"/>
      <c r="D203" s="720"/>
      <c r="E203" s="720"/>
      <c r="F203" s="720"/>
      <c r="G203" s="720"/>
      <c r="H203" s="720"/>
      <c r="I203" s="720"/>
      <c r="J203" s="720"/>
      <c r="K203" s="720"/>
      <c r="L203" s="720"/>
      <c r="M203" s="720"/>
      <c r="N203" s="720"/>
      <c r="O203" s="720"/>
      <c r="P203" s="720"/>
      <c r="Q203" s="720"/>
      <c r="R203" s="720"/>
      <c r="S203" s="720"/>
      <c r="T203" s="720"/>
      <c r="U203" s="720"/>
      <c r="V203" s="720"/>
      <c r="W203" s="720"/>
      <c r="X203" s="720"/>
      <c r="Y203" s="720"/>
      <c r="Z203" s="720"/>
      <c r="AA203" s="48"/>
      <c r="AB203" s="48"/>
      <c r="AC203" s="48"/>
    </row>
    <row r="204" spans="1:68" ht="16.5" hidden="1" customHeight="1" x14ac:dyDescent="0.25">
      <c r="A204" s="661" t="s">
        <v>343</v>
      </c>
      <c r="B204" s="652"/>
      <c r="C204" s="652"/>
      <c r="D204" s="652"/>
      <c r="E204" s="652"/>
      <c r="F204" s="652"/>
      <c r="G204" s="652"/>
      <c r="H204" s="652"/>
      <c r="I204" s="652"/>
      <c r="J204" s="652"/>
      <c r="K204" s="652"/>
      <c r="L204" s="652"/>
      <c r="M204" s="652"/>
      <c r="N204" s="652"/>
      <c r="O204" s="652"/>
      <c r="P204" s="652"/>
      <c r="Q204" s="652"/>
      <c r="R204" s="652"/>
      <c r="S204" s="652"/>
      <c r="T204" s="652"/>
      <c r="U204" s="652"/>
      <c r="V204" s="652"/>
      <c r="W204" s="652"/>
      <c r="X204" s="652"/>
      <c r="Y204" s="652"/>
      <c r="Z204" s="652"/>
      <c r="AA204" s="628"/>
      <c r="AB204" s="628"/>
      <c r="AC204" s="628"/>
    </row>
    <row r="205" spans="1:68" ht="14.25" hidden="1" customHeight="1" x14ac:dyDescent="0.25">
      <c r="A205" s="657" t="s">
        <v>111</v>
      </c>
      <c r="B205" s="652"/>
      <c r="C205" s="652"/>
      <c r="D205" s="652"/>
      <c r="E205" s="652"/>
      <c r="F205" s="652"/>
      <c r="G205" s="652"/>
      <c r="H205" s="652"/>
      <c r="I205" s="652"/>
      <c r="J205" s="652"/>
      <c r="K205" s="652"/>
      <c r="L205" s="652"/>
      <c r="M205" s="652"/>
      <c r="N205" s="652"/>
      <c r="O205" s="652"/>
      <c r="P205" s="652"/>
      <c r="Q205" s="652"/>
      <c r="R205" s="652"/>
      <c r="S205" s="652"/>
      <c r="T205" s="652"/>
      <c r="U205" s="652"/>
      <c r="V205" s="652"/>
      <c r="W205" s="652"/>
      <c r="X205" s="652"/>
      <c r="Y205" s="652"/>
      <c r="Z205" s="652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43">
        <v>4607091383423</v>
      </c>
      <c r="E206" s="644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43">
        <v>4680115888760</v>
      </c>
      <c r="E207" s="644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100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43">
        <v>4680115888807</v>
      </c>
      <c r="E208" s="644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43">
        <v>4680115888852</v>
      </c>
      <c r="E209" s="644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96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43">
        <v>4680115886957</v>
      </c>
      <c r="E210" s="644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6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0"/>
      <c r="R210" s="640"/>
      <c r="S210" s="640"/>
      <c r="T210" s="641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43">
        <v>4680115885660</v>
      </c>
      <c r="E211" s="644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5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0"/>
      <c r="R211" s="640"/>
      <c r="S211" s="640"/>
      <c r="T211" s="641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43">
        <v>4680115886773</v>
      </c>
      <c r="E212" s="644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1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0"/>
      <c r="R212" s="640"/>
      <c r="S212" s="640"/>
      <c r="T212" s="641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51"/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3"/>
      <c r="P213" s="650" t="s">
        <v>72</v>
      </c>
      <c r="Q213" s="647"/>
      <c r="R213" s="647"/>
      <c r="S213" s="647"/>
      <c r="T213" s="647"/>
      <c r="U213" s="647"/>
      <c r="V213" s="648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52"/>
      <c r="B214" s="652"/>
      <c r="C214" s="652"/>
      <c r="D214" s="652"/>
      <c r="E214" s="652"/>
      <c r="F214" s="652"/>
      <c r="G214" s="652"/>
      <c r="H214" s="652"/>
      <c r="I214" s="652"/>
      <c r="J214" s="652"/>
      <c r="K214" s="652"/>
      <c r="L214" s="652"/>
      <c r="M214" s="652"/>
      <c r="N214" s="652"/>
      <c r="O214" s="653"/>
      <c r="P214" s="650" t="s">
        <v>72</v>
      </c>
      <c r="Q214" s="647"/>
      <c r="R214" s="647"/>
      <c r="S214" s="647"/>
      <c r="T214" s="647"/>
      <c r="U214" s="647"/>
      <c r="V214" s="648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61" t="s">
        <v>364</v>
      </c>
      <c r="B215" s="652"/>
      <c r="C215" s="652"/>
      <c r="D215" s="652"/>
      <c r="E215" s="652"/>
      <c r="F215" s="652"/>
      <c r="G215" s="652"/>
      <c r="H215" s="652"/>
      <c r="I215" s="652"/>
      <c r="J215" s="652"/>
      <c r="K215" s="652"/>
      <c r="L215" s="652"/>
      <c r="M215" s="652"/>
      <c r="N215" s="652"/>
      <c r="O215" s="652"/>
      <c r="P215" s="652"/>
      <c r="Q215" s="652"/>
      <c r="R215" s="652"/>
      <c r="S215" s="652"/>
      <c r="T215" s="652"/>
      <c r="U215" s="652"/>
      <c r="V215" s="652"/>
      <c r="W215" s="652"/>
      <c r="X215" s="652"/>
      <c r="Y215" s="652"/>
      <c r="Z215" s="652"/>
      <c r="AA215" s="628"/>
      <c r="AB215" s="628"/>
      <c r="AC215" s="628"/>
    </row>
    <row r="216" spans="1:68" ht="14.25" hidden="1" customHeight="1" x14ac:dyDescent="0.25">
      <c r="A216" s="657" t="s">
        <v>147</v>
      </c>
      <c r="B216" s="652"/>
      <c r="C216" s="652"/>
      <c r="D216" s="652"/>
      <c r="E216" s="652"/>
      <c r="F216" s="652"/>
      <c r="G216" s="652"/>
      <c r="H216" s="652"/>
      <c r="I216" s="652"/>
      <c r="J216" s="652"/>
      <c r="K216" s="652"/>
      <c r="L216" s="652"/>
      <c r="M216" s="652"/>
      <c r="N216" s="652"/>
      <c r="O216" s="652"/>
      <c r="P216" s="652"/>
      <c r="Q216" s="652"/>
      <c r="R216" s="652"/>
      <c r="S216" s="652"/>
      <c r="T216" s="652"/>
      <c r="U216" s="652"/>
      <c r="V216" s="652"/>
      <c r="W216" s="652"/>
      <c r="X216" s="652"/>
      <c r="Y216" s="652"/>
      <c r="Z216" s="652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43">
        <v>4680115886223</v>
      </c>
      <c r="E217" s="644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0"/>
      <c r="R217" s="640"/>
      <c r="S217" s="640"/>
      <c r="T217" s="641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1"/>
      <c r="B218" s="652"/>
      <c r="C218" s="652"/>
      <c r="D218" s="652"/>
      <c r="E218" s="652"/>
      <c r="F218" s="652"/>
      <c r="G218" s="652"/>
      <c r="H218" s="652"/>
      <c r="I218" s="652"/>
      <c r="J218" s="652"/>
      <c r="K218" s="652"/>
      <c r="L218" s="652"/>
      <c r="M218" s="652"/>
      <c r="N218" s="652"/>
      <c r="O218" s="653"/>
      <c r="P218" s="650" t="s">
        <v>72</v>
      </c>
      <c r="Q218" s="647"/>
      <c r="R218" s="647"/>
      <c r="S218" s="647"/>
      <c r="T218" s="647"/>
      <c r="U218" s="647"/>
      <c r="V218" s="648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52"/>
      <c r="B219" s="652"/>
      <c r="C219" s="652"/>
      <c r="D219" s="652"/>
      <c r="E219" s="652"/>
      <c r="F219" s="652"/>
      <c r="G219" s="652"/>
      <c r="H219" s="652"/>
      <c r="I219" s="652"/>
      <c r="J219" s="652"/>
      <c r="K219" s="652"/>
      <c r="L219" s="652"/>
      <c r="M219" s="652"/>
      <c r="N219" s="652"/>
      <c r="O219" s="653"/>
      <c r="P219" s="650" t="s">
        <v>72</v>
      </c>
      <c r="Q219" s="647"/>
      <c r="R219" s="647"/>
      <c r="S219" s="647"/>
      <c r="T219" s="647"/>
      <c r="U219" s="647"/>
      <c r="V219" s="648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57" t="s">
        <v>62</v>
      </c>
      <c r="B220" s="652"/>
      <c r="C220" s="652"/>
      <c r="D220" s="652"/>
      <c r="E220" s="652"/>
      <c r="F220" s="652"/>
      <c r="G220" s="652"/>
      <c r="H220" s="652"/>
      <c r="I220" s="652"/>
      <c r="J220" s="652"/>
      <c r="K220" s="652"/>
      <c r="L220" s="652"/>
      <c r="M220" s="652"/>
      <c r="N220" s="652"/>
      <c r="O220" s="652"/>
      <c r="P220" s="652"/>
      <c r="Q220" s="652"/>
      <c r="R220" s="652"/>
      <c r="S220" s="652"/>
      <c r="T220" s="652"/>
      <c r="U220" s="652"/>
      <c r="V220" s="652"/>
      <c r="W220" s="652"/>
      <c r="X220" s="652"/>
      <c r="Y220" s="652"/>
      <c r="Z220" s="652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3">
        <v>4680115880993</v>
      </c>
      <c r="E221" s="644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9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41</v>
      </c>
      <c r="Y221" s="634">
        <f t="shared" ref="Y221:Y234" si="27">IFERROR(IF(X221="",0,CEILING((X221/$H221),1)*$H221),"")</f>
        <v>42</v>
      </c>
      <c r="Z221" s="36">
        <f>IFERROR(IF(Y221=0,"",ROUNDUP(Y221/H221,0)*0.00902),"")</f>
        <v>9.0200000000000002E-2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43.44047619047619</v>
      </c>
      <c r="BN221" s="64">
        <f t="shared" ref="BN221:BN234" si="29">IFERROR(Y221*I221/H221,"0")</f>
        <v>44.5</v>
      </c>
      <c r="BO221" s="64">
        <f t="shared" ref="BO221:BO234" si="30">IFERROR(1/J221*(X221/H221),"0")</f>
        <v>7.3953823953823952E-2</v>
      </c>
      <c r="BP221" s="64">
        <f t="shared" ref="BP221:BP234" si="31">IFERROR(1/J221*(Y221/H221),"0")</f>
        <v>7.575757575757576E-2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43">
        <v>4680115881761</v>
      </c>
      <c r="E222" s="644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7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3">
        <v>4680115881563</v>
      </c>
      <c r="E223" s="644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9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89</v>
      </c>
      <c r="Y223" s="634">
        <f t="shared" si="27"/>
        <v>92.4</v>
      </c>
      <c r="Z223" s="36">
        <f>IFERROR(IF(Y223=0,"",ROUNDUP(Y223/H223,0)*0.00902),"")</f>
        <v>0.19844000000000001</v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93.026190476190465</v>
      </c>
      <c r="BN223" s="64">
        <f t="shared" si="29"/>
        <v>96.579999999999984</v>
      </c>
      <c r="BO223" s="64">
        <f t="shared" si="30"/>
        <v>0.16053391053391053</v>
      </c>
      <c r="BP223" s="64">
        <f t="shared" si="31"/>
        <v>0.16666666666666669</v>
      </c>
    </row>
    <row r="224" spans="1:68" ht="37.5" hidden="1" customHeight="1" x14ac:dyDescent="0.25">
      <c r="A224" s="54" t="s">
        <v>377</v>
      </c>
      <c r="B224" s="54" t="s">
        <v>378</v>
      </c>
      <c r="C224" s="31">
        <v>4301031447</v>
      </c>
      <c r="D224" s="643">
        <v>4680115887565</v>
      </c>
      <c r="E224" s="644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3">
        <v>4680115880986</v>
      </c>
      <c r="E225" s="644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75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35</v>
      </c>
      <c r="Y225" s="634">
        <f t="shared" si="27"/>
        <v>35.700000000000003</v>
      </c>
      <c r="Z225" s="36">
        <f t="shared" ref="Z225:Z230" si="32">IFERROR(IF(Y225=0,"",ROUNDUP(Y225/H225,0)*0.00502),"")</f>
        <v>8.5339999999999999E-2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37.166666666666664</v>
      </c>
      <c r="BN225" s="64">
        <f t="shared" si="29"/>
        <v>37.910000000000004</v>
      </c>
      <c r="BO225" s="64">
        <f t="shared" si="30"/>
        <v>7.1225071225071226E-2</v>
      </c>
      <c r="BP225" s="64">
        <f t="shared" si="31"/>
        <v>7.2649572649572655E-2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43">
        <v>4680115887213</v>
      </c>
      <c r="E226" s="644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79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43">
        <v>4680115881785</v>
      </c>
      <c r="E227" s="644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7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43">
        <v>4680115888432</v>
      </c>
      <c r="E228" s="644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67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43">
        <v>4680115888104</v>
      </c>
      <c r="E229" s="644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3">
        <v>4680115886537</v>
      </c>
      <c r="E230" s="644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7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6</v>
      </c>
      <c r="Y230" s="634">
        <f t="shared" si="27"/>
        <v>7.2</v>
      </c>
      <c r="Z230" s="36">
        <f t="shared" si="32"/>
        <v>2.0080000000000001E-2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6.4333333333333336</v>
      </c>
      <c r="BN230" s="64">
        <f t="shared" si="29"/>
        <v>7.7199999999999989</v>
      </c>
      <c r="BO230" s="64">
        <f t="shared" si="30"/>
        <v>1.4245014245014245E-2</v>
      </c>
      <c r="BP230" s="64">
        <f t="shared" si="31"/>
        <v>1.7094017094017096E-2</v>
      </c>
    </row>
    <row r="231" spans="1:68" ht="27" hidden="1" customHeight="1" x14ac:dyDescent="0.25">
      <c r="A231" s="54" t="s">
        <v>396</v>
      </c>
      <c r="B231" s="54" t="s">
        <v>397</v>
      </c>
      <c r="C231" s="31">
        <v>4301031279</v>
      </c>
      <c r="D231" s="643">
        <v>4680115887596</v>
      </c>
      <c r="E231" s="644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9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3">
        <v>4680115881679</v>
      </c>
      <c r="E232" s="644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10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0"/>
      <c r="R232" s="640"/>
      <c r="S232" s="640"/>
      <c r="T232" s="641"/>
      <c r="U232" s="34"/>
      <c r="V232" s="34"/>
      <c r="W232" s="35" t="s">
        <v>67</v>
      </c>
      <c r="X232" s="633">
        <v>188</v>
      </c>
      <c r="Y232" s="634">
        <f t="shared" si="27"/>
        <v>189</v>
      </c>
      <c r="Z232" s="36">
        <f>IFERROR(IF(Y232=0,"",ROUNDUP(Y232/H232,0)*0.00502),"")</f>
        <v>0.45180000000000003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196.95238095238096</v>
      </c>
      <c r="BN232" s="64">
        <f t="shared" si="29"/>
        <v>198</v>
      </c>
      <c r="BO232" s="64">
        <f t="shared" si="30"/>
        <v>0.38258038258038257</v>
      </c>
      <c r="BP232" s="64">
        <f t="shared" si="31"/>
        <v>0.38461538461538464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43">
        <v>4680115880191</v>
      </c>
      <c r="E233" s="644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0"/>
      <c r="R233" s="640"/>
      <c r="S233" s="640"/>
      <c r="T233" s="641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43">
        <v>4680115883963</v>
      </c>
      <c r="E234" s="644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95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0"/>
      <c r="R234" s="640"/>
      <c r="S234" s="640"/>
      <c r="T234" s="641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51"/>
      <c r="B235" s="652"/>
      <c r="C235" s="652"/>
      <c r="D235" s="652"/>
      <c r="E235" s="652"/>
      <c r="F235" s="652"/>
      <c r="G235" s="652"/>
      <c r="H235" s="652"/>
      <c r="I235" s="652"/>
      <c r="J235" s="652"/>
      <c r="K235" s="652"/>
      <c r="L235" s="652"/>
      <c r="M235" s="652"/>
      <c r="N235" s="652"/>
      <c r="O235" s="653"/>
      <c r="P235" s="650" t="s">
        <v>72</v>
      </c>
      <c r="Q235" s="647"/>
      <c r="R235" s="647"/>
      <c r="S235" s="647"/>
      <c r="T235" s="647"/>
      <c r="U235" s="647"/>
      <c r="V235" s="648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140.47619047619048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143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0.84586000000000006</v>
      </c>
      <c r="AA235" s="636"/>
      <c r="AB235" s="636"/>
      <c r="AC235" s="636"/>
    </row>
    <row r="236" spans="1:68" x14ac:dyDescent="0.2">
      <c r="A236" s="652"/>
      <c r="B236" s="652"/>
      <c r="C236" s="652"/>
      <c r="D236" s="652"/>
      <c r="E236" s="652"/>
      <c r="F236" s="652"/>
      <c r="G236" s="652"/>
      <c r="H236" s="652"/>
      <c r="I236" s="652"/>
      <c r="J236" s="652"/>
      <c r="K236" s="652"/>
      <c r="L236" s="652"/>
      <c r="M236" s="652"/>
      <c r="N236" s="652"/>
      <c r="O236" s="653"/>
      <c r="P236" s="650" t="s">
        <v>72</v>
      </c>
      <c r="Q236" s="647"/>
      <c r="R236" s="647"/>
      <c r="S236" s="647"/>
      <c r="T236" s="647"/>
      <c r="U236" s="647"/>
      <c r="V236" s="648"/>
      <c r="W236" s="37" t="s">
        <v>67</v>
      </c>
      <c r="X236" s="635">
        <f>IFERROR(SUM(X221:X234),"0")</f>
        <v>359</v>
      </c>
      <c r="Y236" s="635">
        <f>IFERROR(SUM(Y221:Y234),"0")</f>
        <v>366.3</v>
      </c>
      <c r="Z236" s="37"/>
      <c r="AA236" s="636"/>
      <c r="AB236" s="636"/>
      <c r="AC236" s="636"/>
    </row>
    <row r="237" spans="1:68" ht="14.25" hidden="1" customHeight="1" x14ac:dyDescent="0.25">
      <c r="A237" s="657" t="s">
        <v>74</v>
      </c>
      <c r="B237" s="652"/>
      <c r="C237" s="652"/>
      <c r="D237" s="652"/>
      <c r="E237" s="652"/>
      <c r="F237" s="652"/>
      <c r="G237" s="652"/>
      <c r="H237" s="652"/>
      <c r="I237" s="652"/>
      <c r="J237" s="652"/>
      <c r="K237" s="652"/>
      <c r="L237" s="652"/>
      <c r="M237" s="652"/>
      <c r="N237" s="652"/>
      <c r="O237" s="652"/>
      <c r="P237" s="652"/>
      <c r="Q237" s="652"/>
      <c r="R237" s="652"/>
      <c r="S237" s="652"/>
      <c r="T237" s="652"/>
      <c r="U237" s="652"/>
      <c r="V237" s="652"/>
      <c r="W237" s="652"/>
      <c r="X237" s="652"/>
      <c r="Y237" s="652"/>
      <c r="Z237" s="652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43">
        <v>4680115888692</v>
      </c>
      <c r="E238" s="644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2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43">
        <v>4680115888722</v>
      </c>
      <c r="E239" s="644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7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43">
        <v>4680115888951</v>
      </c>
      <c r="E240" s="644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9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0"/>
      <c r="R240" s="640"/>
      <c r="S240" s="640"/>
      <c r="T240" s="641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43">
        <v>4680115888975</v>
      </c>
      <c r="E241" s="644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74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0"/>
      <c r="R241" s="640"/>
      <c r="S241" s="640"/>
      <c r="T241" s="641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43">
        <v>4680115888982</v>
      </c>
      <c r="E242" s="644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99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0"/>
      <c r="R242" s="640"/>
      <c r="S242" s="640"/>
      <c r="T242" s="641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51"/>
      <c r="B243" s="652"/>
      <c r="C243" s="652"/>
      <c r="D243" s="652"/>
      <c r="E243" s="652"/>
      <c r="F243" s="652"/>
      <c r="G243" s="652"/>
      <c r="H243" s="652"/>
      <c r="I243" s="652"/>
      <c r="J243" s="652"/>
      <c r="K243" s="652"/>
      <c r="L243" s="652"/>
      <c r="M243" s="652"/>
      <c r="N243" s="652"/>
      <c r="O243" s="653"/>
      <c r="P243" s="650" t="s">
        <v>72</v>
      </c>
      <c r="Q243" s="647"/>
      <c r="R243" s="647"/>
      <c r="S243" s="647"/>
      <c r="T243" s="647"/>
      <c r="U243" s="647"/>
      <c r="V243" s="648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52"/>
      <c r="B244" s="652"/>
      <c r="C244" s="652"/>
      <c r="D244" s="652"/>
      <c r="E244" s="652"/>
      <c r="F244" s="652"/>
      <c r="G244" s="652"/>
      <c r="H244" s="652"/>
      <c r="I244" s="652"/>
      <c r="J244" s="652"/>
      <c r="K244" s="652"/>
      <c r="L244" s="652"/>
      <c r="M244" s="652"/>
      <c r="N244" s="652"/>
      <c r="O244" s="653"/>
      <c r="P244" s="650" t="s">
        <v>72</v>
      </c>
      <c r="Q244" s="647"/>
      <c r="R244" s="647"/>
      <c r="S244" s="647"/>
      <c r="T244" s="647"/>
      <c r="U244" s="647"/>
      <c r="V244" s="648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57" t="s">
        <v>272</v>
      </c>
      <c r="B245" s="652"/>
      <c r="C245" s="652"/>
      <c r="D245" s="652"/>
      <c r="E245" s="652"/>
      <c r="F245" s="652"/>
      <c r="G245" s="652"/>
      <c r="H245" s="652"/>
      <c r="I245" s="652"/>
      <c r="J245" s="652"/>
      <c r="K245" s="652"/>
      <c r="L245" s="652"/>
      <c r="M245" s="652"/>
      <c r="N245" s="652"/>
      <c r="O245" s="652"/>
      <c r="P245" s="652"/>
      <c r="Q245" s="652"/>
      <c r="R245" s="652"/>
      <c r="S245" s="652"/>
      <c r="T245" s="652"/>
      <c r="U245" s="652"/>
      <c r="V245" s="652"/>
      <c r="W245" s="652"/>
      <c r="X245" s="652"/>
      <c r="Y245" s="652"/>
      <c r="Z245" s="652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43">
        <v>4680115886780</v>
      </c>
      <c r="E246" s="644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8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0"/>
      <c r="R246" s="640"/>
      <c r="S246" s="640"/>
      <c r="T246" s="641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423</v>
      </c>
      <c r="B247" s="54" t="s">
        <v>424</v>
      </c>
      <c r="C247" s="31">
        <v>4301032051</v>
      </c>
      <c r="D247" s="643">
        <v>4680115886742</v>
      </c>
      <c r="E247" s="644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7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0"/>
      <c r="R247" s="640"/>
      <c r="S247" s="640"/>
      <c r="T247" s="641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3">
        <v>4680115886766</v>
      </c>
      <c r="E248" s="644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0"/>
      <c r="R248" s="640"/>
      <c r="S248" s="640"/>
      <c r="T248" s="641"/>
      <c r="U248" s="34"/>
      <c r="V248" s="34"/>
      <c r="W248" s="35" t="s">
        <v>67</v>
      </c>
      <c r="X248" s="633">
        <v>4</v>
      </c>
      <c r="Y248" s="634">
        <f>IFERROR(IF(X248="",0,CEILING((X248/$H248),1)*$H248),"")</f>
        <v>5.04</v>
      </c>
      <c r="Z248" s="36">
        <f>IFERROR(IF(Y248=0,"",ROUNDUP(Y248/H248,0)*0.0059),"")</f>
        <v>2.3599999999999999E-2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4.6031746031746028</v>
      </c>
      <c r="BN248" s="64">
        <f>IFERROR(Y248*I248/H248,"0")</f>
        <v>5.8</v>
      </c>
      <c r="BO248" s="64">
        <f>IFERROR(1/J248*(X248/H248),"0")</f>
        <v>1.469723691945914E-2</v>
      </c>
      <c r="BP248" s="64">
        <f>IFERROR(1/J248*(Y248/H248),"0")</f>
        <v>1.8518518518518517E-2</v>
      </c>
    </row>
    <row r="249" spans="1:68" x14ac:dyDescent="0.2">
      <c r="A249" s="651"/>
      <c r="B249" s="652"/>
      <c r="C249" s="652"/>
      <c r="D249" s="652"/>
      <c r="E249" s="652"/>
      <c r="F249" s="652"/>
      <c r="G249" s="652"/>
      <c r="H249" s="652"/>
      <c r="I249" s="652"/>
      <c r="J249" s="652"/>
      <c r="K249" s="652"/>
      <c r="L249" s="652"/>
      <c r="M249" s="652"/>
      <c r="N249" s="652"/>
      <c r="O249" s="653"/>
      <c r="P249" s="650" t="s">
        <v>72</v>
      </c>
      <c r="Q249" s="647"/>
      <c r="R249" s="647"/>
      <c r="S249" s="647"/>
      <c r="T249" s="647"/>
      <c r="U249" s="647"/>
      <c r="V249" s="648"/>
      <c r="W249" s="37" t="s">
        <v>73</v>
      </c>
      <c r="X249" s="635">
        <f>IFERROR(X246/H246,"0")+IFERROR(X247/H247,"0")+IFERROR(X248/H248,"0")</f>
        <v>3.1746031746031744</v>
      </c>
      <c r="Y249" s="635">
        <f>IFERROR(Y246/H246,"0")+IFERROR(Y247/H247,"0")+IFERROR(Y248/H248,"0")</f>
        <v>4</v>
      </c>
      <c r="Z249" s="635">
        <f>IFERROR(IF(Z246="",0,Z246),"0")+IFERROR(IF(Z247="",0,Z247),"0")+IFERROR(IF(Z248="",0,Z248),"0")</f>
        <v>2.3599999999999999E-2</v>
      </c>
      <c r="AA249" s="636"/>
      <c r="AB249" s="636"/>
      <c r="AC249" s="636"/>
    </row>
    <row r="250" spans="1:68" x14ac:dyDescent="0.2">
      <c r="A250" s="652"/>
      <c r="B250" s="652"/>
      <c r="C250" s="652"/>
      <c r="D250" s="652"/>
      <c r="E250" s="652"/>
      <c r="F250" s="652"/>
      <c r="G250" s="652"/>
      <c r="H250" s="652"/>
      <c r="I250" s="652"/>
      <c r="J250" s="652"/>
      <c r="K250" s="652"/>
      <c r="L250" s="652"/>
      <c r="M250" s="652"/>
      <c r="N250" s="652"/>
      <c r="O250" s="653"/>
      <c r="P250" s="650" t="s">
        <v>72</v>
      </c>
      <c r="Q250" s="647"/>
      <c r="R250" s="647"/>
      <c r="S250" s="647"/>
      <c r="T250" s="647"/>
      <c r="U250" s="647"/>
      <c r="V250" s="648"/>
      <c r="W250" s="37" t="s">
        <v>67</v>
      </c>
      <c r="X250" s="635">
        <f>IFERROR(SUM(X246:X248),"0")</f>
        <v>4</v>
      </c>
      <c r="Y250" s="635">
        <f>IFERROR(SUM(Y246:Y248),"0")</f>
        <v>5.04</v>
      </c>
      <c r="Z250" s="37"/>
      <c r="AA250" s="636"/>
      <c r="AB250" s="636"/>
      <c r="AC250" s="636"/>
    </row>
    <row r="251" spans="1:68" ht="14.25" hidden="1" customHeight="1" x14ac:dyDescent="0.25">
      <c r="A251" s="657" t="s">
        <v>428</v>
      </c>
      <c r="B251" s="652"/>
      <c r="C251" s="652"/>
      <c r="D251" s="652"/>
      <c r="E251" s="652"/>
      <c r="F251" s="652"/>
      <c r="G251" s="652"/>
      <c r="H251" s="652"/>
      <c r="I251" s="652"/>
      <c r="J251" s="652"/>
      <c r="K251" s="652"/>
      <c r="L251" s="652"/>
      <c r="M251" s="652"/>
      <c r="N251" s="652"/>
      <c r="O251" s="652"/>
      <c r="P251" s="652"/>
      <c r="Q251" s="652"/>
      <c r="R251" s="652"/>
      <c r="S251" s="652"/>
      <c r="T251" s="652"/>
      <c r="U251" s="652"/>
      <c r="V251" s="652"/>
      <c r="W251" s="652"/>
      <c r="X251" s="652"/>
      <c r="Y251" s="652"/>
      <c r="Z251" s="652"/>
      <c r="AA251" s="629"/>
      <c r="AB251" s="629"/>
      <c r="AC251" s="629"/>
    </row>
    <row r="252" spans="1:68" ht="27" hidden="1" customHeight="1" x14ac:dyDescent="0.25">
      <c r="A252" s="54" t="s">
        <v>429</v>
      </c>
      <c r="B252" s="54" t="s">
        <v>430</v>
      </c>
      <c r="C252" s="31">
        <v>4301170013</v>
      </c>
      <c r="D252" s="643">
        <v>4680115886797</v>
      </c>
      <c r="E252" s="644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9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0"/>
      <c r="R252" s="640"/>
      <c r="S252" s="640"/>
      <c r="T252" s="641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51"/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3"/>
      <c r="P253" s="650" t="s">
        <v>72</v>
      </c>
      <c r="Q253" s="647"/>
      <c r="R253" s="647"/>
      <c r="S253" s="647"/>
      <c r="T253" s="647"/>
      <c r="U253" s="647"/>
      <c r="V253" s="648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52"/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3"/>
      <c r="P254" s="650" t="s">
        <v>72</v>
      </c>
      <c r="Q254" s="647"/>
      <c r="R254" s="647"/>
      <c r="S254" s="647"/>
      <c r="T254" s="647"/>
      <c r="U254" s="647"/>
      <c r="V254" s="648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61" t="s">
        <v>431</v>
      </c>
      <c r="B255" s="652"/>
      <c r="C255" s="652"/>
      <c r="D255" s="652"/>
      <c r="E255" s="652"/>
      <c r="F255" s="652"/>
      <c r="G255" s="652"/>
      <c r="H255" s="652"/>
      <c r="I255" s="652"/>
      <c r="J255" s="652"/>
      <c r="K255" s="652"/>
      <c r="L255" s="652"/>
      <c r="M255" s="652"/>
      <c r="N255" s="652"/>
      <c r="O255" s="652"/>
      <c r="P255" s="652"/>
      <c r="Q255" s="652"/>
      <c r="R255" s="652"/>
      <c r="S255" s="652"/>
      <c r="T255" s="652"/>
      <c r="U255" s="652"/>
      <c r="V255" s="652"/>
      <c r="W255" s="652"/>
      <c r="X255" s="652"/>
      <c r="Y255" s="652"/>
      <c r="Z255" s="652"/>
      <c r="AA255" s="628"/>
      <c r="AB255" s="628"/>
      <c r="AC255" s="628"/>
    </row>
    <row r="256" spans="1:68" ht="14.25" hidden="1" customHeight="1" x14ac:dyDescent="0.25">
      <c r="A256" s="657" t="s">
        <v>111</v>
      </c>
      <c r="B256" s="652"/>
      <c r="C256" s="652"/>
      <c r="D256" s="652"/>
      <c r="E256" s="652"/>
      <c r="F256" s="652"/>
      <c r="G256" s="652"/>
      <c r="H256" s="652"/>
      <c r="I256" s="652"/>
      <c r="J256" s="652"/>
      <c r="K256" s="652"/>
      <c r="L256" s="652"/>
      <c r="M256" s="652"/>
      <c r="N256" s="652"/>
      <c r="O256" s="652"/>
      <c r="P256" s="652"/>
      <c r="Q256" s="652"/>
      <c r="R256" s="652"/>
      <c r="S256" s="652"/>
      <c r="T256" s="652"/>
      <c r="U256" s="652"/>
      <c r="V256" s="652"/>
      <c r="W256" s="652"/>
      <c r="X256" s="652"/>
      <c r="Y256" s="652"/>
      <c r="Z256" s="652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43">
        <v>4680115881402</v>
      </c>
      <c r="E257" s="644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0"/>
      <c r="R257" s="640"/>
      <c r="S257" s="640"/>
      <c r="T257" s="641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43">
        <v>4680115881396</v>
      </c>
      <c r="E258" s="644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9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0"/>
      <c r="R258" s="640"/>
      <c r="S258" s="640"/>
      <c r="T258" s="641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51"/>
      <c r="B259" s="652"/>
      <c r="C259" s="652"/>
      <c r="D259" s="652"/>
      <c r="E259" s="652"/>
      <c r="F259" s="652"/>
      <c r="G259" s="652"/>
      <c r="H259" s="652"/>
      <c r="I259" s="652"/>
      <c r="J259" s="652"/>
      <c r="K259" s="652"/>
      <c r="L259" s="652"/>
      <c r="M259" s="652"/>
      <c r="N259" s="652"/>
      <c r="O259" s="653"/>
      <c r="P259" s="650" t="s">
        <v>72</v>
      </c>
      <c r="Q259" s="647"/>
      <c r="R259" s="647"/>
      <c r="S259" s="647"/>
      <c r="T259" s="647"/>
      <c r="U259" s="647"/>
      <c r="V259" s="648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52"/>
      <c r="B260" s="652"/>
      <c r="C260" s="652"/>
      <c r="D260" s="652"/>
      <c r="E260" s="652"/>
      <c r="F260" s="652"/>
      <c r="G260" s="652"/>
      <c r="H260" s="652"/>
      <c r="I260" s="652"/>
      <c r="J260" s="652"/>
      <c r="K260" s="652"/>
      <c r="L260" s="652"/>
      <c r="M260" s="652"/>
      <c r="N260" s="652"/>
      <c r="O260" s="653"/>
      <c r="P260" s="650" t="s">
        <v>72</v>
      </c>
      <c r="Q260" s="647"/>
      <c r="R260" s="647"/>
      <c r="S260" s="647"/>
      <c r="T260" s="647"/>
      <c r="U260" s="647"/>
      <c r="V260" s="648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57" t="s">
        <v>147</v>
      </c>
      <c r="B261" s="652"/>
      <c r="C261" s="652"/>
      <c r="D261" s="652"/>
      <c r="E261" s="652"/>
      <c r="F261" s="652"/>
      <c r="G261" s="652"/>
      <c r="H261" s="652"/>
      <c r="I261" s="652"/>
      <c r="J261" s="652"/>
      <c r="K261" s="652"/>
      <c r="L261" s="652"/>
      <c r="M261" s="652"/>
      <c r="N261" s="652"/>
      <c r="O261" s="652"/>
      <c r="P261" s="652"/>
      <c r="Q261" s="652"/>
      <c r="R261" s="652"/>
      <c r="S261" s="652"/>
      <c r="T261" s="652"/>
      <c r="U261" s="652"/>
      <c r="V261" s="652"/>
      <c r="W261" s="652"/>
      <c r="X261" s="652"/>
      <c r="Y261" s="652"/>
      <c r="Z261" s="652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43">
        <v>4680115882935</v>
      </c>
      <c r="E262" s="644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6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0"/>
      <c r="R262" s="640"/>
      <c r="S262" s="640"/>
      <c r="T262" s="641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43">
        <v>4680115880764</v>
      </c>
      <c r="E263" s="644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6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0"/>
      <c r="R263" s="640"/>
      <c r="S263" s="640"/>
      <c r="T263" s="641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1"/>
      <c r="B264" s="652"/>
      <c r="C264" s="652"/>
      <c r="D264" s="652"/>
      <c r="E264" s="652"/>
      <c r="F264" s="652"/>
      <c r="G264" s="652"/>
      <c r="H264" s="652"/>
      <c r="I264" s="652"/>
      <c r="J264" s="652"/>
      <c r="K264" s="652"/>
      <c r="L264" s="652"/>
      <c r="M264" s="652"/>
      <c r="N264" s="652"/>
      <c r="O264" s="653"/>
      <c r="P264" s="650" t="s">
        <v>72</v>
      </c>
      <c r="Q264" s="647"/>
      <c r="R264" s="647"/>
      <c r="S264" s="647"/>
      <c r="T264" s="647"/>
      <c r="U264" s="647"/>
      <c r="V264" s="648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52"/>
      <c r="B265" s="652"/>
      <c r="C265" s="652"/>
      <c r="D265" s="652"/>
      <c r="E265" s="652"/>
      <c r="F265" s="652"/>
      <c r="G265" s="652"/>
      <c r="H265" s="652"/>
      <c r="I265" s="652"/>
      <c r="J265" s="652"/>
      <c r="K265" s="652"/>
      <c r="L265" s="652"/>
      <c r="M265" s="652"/>
      <c r="N265" s="652"/>
      <c r="O265" s="653"/>
      <c r="P265" s="650" t="s">
        <v>72</v>
      </c>
      <c r="Q265" s="647"/>
      <c r="R265" s="647"/>
      <c r="S265" s="647"/>
      <c r="T265" s="647"/>
      <c r="U265" s="647"/>
      <c r="V265" s="648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57" t="s">
        <v>62</v>
      </c>
      <c r="B266" s="652"/>
      <c r="C266" s="652"/>
      <c r="D266" s="652"/>
      <c r="E266" s="652"/>
      <c r="F266" s="652"/>
      <c r="G266" s="652"/>
      <c r="H266" s="652"/>
      <c r="I266" s="652"/>
      <c r="J266" s="652"/>
      <c r="K266" s="652"/>
      <c r="L266" s="652"/>
      <c r="M266" s="652"/>
      <c r="N266" s="652"/>
      <c r="O266" s="652"/>
      <c r="P266" s="652"/>
      <c r="Q266" s="652"/>
      <c r="R266" s="652"/>
      <c r="S266" s="652"/>
      <c r="T266" s="652"/>
      <c r="U266" s="652"/>
      <c r="V266" s="652"/>
      <c r="W266" s="652"/>
      <c r="X266" s="652"/>
      <c r="Y266" s="652"/>
      <c r="Z266" s="652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3">
        <v>4680115882683</v>
      </c>
      <c r="E267" s="644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80</v>
      </c>
      <c r="Y267" s="634">
        <f t="shared" ref="Y267:Y274" si="33">IFERROR(IF(X267="",0,CEILING((X267/$H267),1)*$H267),"")</f>
        <v>81</v>
      </c>
      <c r="Z267" s="36">
        <f>IFERROR(IF(Y267=0,"",ROUNDUP(Y267/H267,0)*0.00902),"")</f>
        <v>0.1353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82.81481481481481</v>
      </c>
      <c r="BN267" s="64">
        <f t="shared" ref="BN267:BN274" si="35">IFERROR(Y267*I267/H267,"0")</f>
        <v>83.85</v>
      </c>
      <c r="BO267" s="64">
        <f t="shared" ref="BO267:BO274" si="36">IFERROR(1/J267*(X267/H267),"0")</f>
        <v>0.11223344556677889</v>
      </c>
      <c r="BP267" s="64">
        <f t="shared" ref="BP267:BP274" si="37">IFERROR(1/J267*(Y267/H267),"0")</f>
        <v>0.11363636363636363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3">
        <v>4680115882690</v>
      </c>
      <c r="E268" s="644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7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70</v>
      </c>
      <c r="Y268" s="634">
        <f t="shared" si="33"/>
        <v>70.2</v>
      </c>
      <c r="Z268" s="36">
        <f>IFERROR(IF(Y268=0,"",ROUNDUP(Y268/H268,0)*0.00902),"")</f>
        <v>0.11726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72.462962962962962</v>
      </c>
      <c r="BN268" s="64">
        <f t="shared" si="35"/>
        <v>72.67</v>
      </c>
      <c r="BO268" s="64">
        <f t="shared" si="36"/>
        <v>9.8204264870931535E-2</v>
      </c>
      <c r="BP268" s="64">
        <f t="shared" si="37"/>
        <v>9.8484848484848481E-2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3">
        <v>4680115882669</v>
      </c>
      <c r="E269" s="644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76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265</v>
      </c>
      <c r="Y269" s="634">
        <f t="shared" si="33"/>
        <v>270</v>
      </c>
      <c r="Z269" s="36">
        <f>IFERROR(IF(Y269=0,"",ROUNDUP(Y269/H269,0)*0.00902),"")</f>
        <v>0.45100000000000001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274.32407407407402</v>
      </c>
      <c r="BN269" s="64">
        <f t="shared" si="35"/>
        <v>279.5</v>
      </c>
      <c r="BO269" s="64">
        <f t="shared" si="36"/>
        <v>0.37177328843995505</v>
      </c>
      <c r="BP269" s="64">
        <f t="shared" si="37"/>
        <v>0.37878787878787878</v>
      </c>
    </row>
    <row r="270" spans="1:68" ht="27" hidden="1" customHeight="1" x14ac:dyDescent="0.25">
      <c r="A270" s="54" t="s">
        <v>451</v>
      </c>
      <c r="B270" s="54" t="s">
        <v>452</v>
      </c>
      <c r="C270" s="31">
        <v>4301031221</v>
      </c>
      <c r="D270" s="643">
        <v>4680115882676</v>
      </c>
      <c r="E270" s="644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3">
        <v>4680115884014</v>
      </c>
      <c r="E271" s="644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54</v>
      </c>
      <c r="Y271" s="634">
        <f t="shared" si="33"/>
        <v>54</v>
      </c>
      <c r="Z271" s="36">
        <f>IFERROR(IF(Y271=0,"",ROUNDUP(Y271/H271,0)*0.00502),"")</f>
        <v>0.15060000000000001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57.9</v>
      </c>
      <c r="BN271" s="64">
        <f t="shared" si="35"/>
        <v>57.9</v>
      </c>
      <c r="BO271" s="64">
        <f t="shared" si="36"/>
        <v>0.12820512820512822</v>
      </c>
      <c r="BP271" s="64">
        <f t="shared" si="37"/>
        <v>0.12820512820512822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4301031222</v>
      </c>
      <c r="D272" s="643">
        <v>4680115884007</v>
      </c>
      <c r="E272" s="644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6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0"/>
      <c r="R272" s="640"/>
      <c r="S272" s="640"/>
      <c r="T272" s="641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43">
        <v>4680115884038</v>
      </c>
      <c r="E273" s="644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0"/>
      <c r="R273" s="640"/>
      <c r="S273" s="640"/>
      <c r="T273" s="641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3">
        <v>4680115884021</v>
      </c>
      <c r="E274" s="644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7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0"/>
      <c r="R274" s="640"/>
      <c r="S274" s="640"/>
      <c r="T274" s="641"/>
      <c r="U274" s="34"/>
      <c r="V274" s="34"/>
      <c r="W274" s="35" t="s">
        <v>67</v>
      </c>
      <c r="X274" s="633">
        <v>88</v>
      </c>
      <c r="Y274" s="634">
        <f t="shared" si="33"/>
        <v>88.2</v>
      </c>
      <c r="Z274" s="36">
        <f>IFERROR(IF(Y274=0,"",ROUNDUP(Y274/H274,0)*0.00502),"")</f>
        <v>0.24598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92.888888888888886</v>
      </c>
      <c r="BN274" s="64">
        <f t="shared" si="35"/>
        <v>93.1</v>
      </c>
      <c r="BO274" s="64">
        <f t="shared" si="36"/>
        <v>0.20892687559354226</v>
      </c>
      <c r="BP274" s="64">
        <f t="shared" si="37"/>
        <v>0.20940170940170943</v>
      </c>
    </row>
    <row r="275" spans="1:68" x14ac:dyDescent="0.2">
      <c r="A275" s="651"/>
      <c r="B275" s="652"/>
      <c r="C275" s="652"/>
      <c r="D275" s="652"/>
      <c r="E275" s="652"/>
      <c r="F275" s="652"/>
      <c r="G275" s="652"/>
      <c r="H275" s="652"/>
      <c r="I275" s="652"/>
      <c r="J275" s="652"/>
      <c r="K275" s="652"/>
      <c r="L275" s="652"/>
      <c r="M275" s="652"/>
      <c r="N275" s="652"/>
      <c r="O275" s="653"/>
      <c r="P275" s="650" t="s">
        <v>72</v>
      </c>
      <c r="Q275" s="647"/>
      <c r="R275" s="647"/>
      <c r="S275" s="647"/>
      <c r="T275" s="647"/>
      <c r="U275" s="647"/>
      <c r="V275" s="648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155.74074074074073</v>
      </c>
      <c r="Y275" s="635">
        <f>IFERROR(Y267/H267,"0")+IFERROR(Y268/H268,"0")+IFERROR(Y269/H269,"0")+IFERROR(Y270/H270,"0")+IFERROR(Y271/H271,"0")+IFERROR(Y272/H272,"0")+IFERROR(Y273/H273,"0")+IFERROR(Y274/H274,"0")</f>
        <v>157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1.1001400000000001</v>
      </c>
      <c r="AA275" s="636"/>
      <c r="AB275" s="636"/>
      <c r="AC275" s="636"/>
    </row>
    <row r="276" spans="1:68" x14ac:dyDescent="0.2">
      <c r="A276" s="652"/>
      <c r="B276" s="652"/>
      <c r="C276" s="652"/>
      <c r="D276" s="652"/>
      <c r="E276" s="652"/>
      <c r="F276" s="652"/>
      <c r="G276" s="652"/>
      <c r="H276" s="652"/>
      <c r="I276" s="652"/>
      <c r="J276" s="652"/>
      <c r="K276" s="652"/>
      <c r="L276" s="652"/>
      <c r="M276" s="652"/>
      <c r="N276" s="652"/>
      <c r="O276" s="653"/>
      <c r="P276" s="650" t="s">
        <v>72</v>
      </c>
      <c r="Q276" s="647"/>
      <c r="R276" s="647"/>
      <c r="S276" s="647"/>
      <c r="T276" s="647"/>
      <c r="U276" s="647"/>
      <c r="V276" s="648"/>
      <c r="W276" s="37" t="s">
        <v>67</v>
      </c>
      <c r="X276" s="635">
        <f>IFERROR(SUM(X267:X274),"0")</f>
        <v>557</v>
      </c>
      <c r="Y276" s="635">
        <f>IFERROR(SUM(Y267:Y274),"0")</f>
        <v>563.4</v>
      </c>
      <c r="Z276" s="37"/>
      <c r="AA276" s="636"/>
      <c r="AB276" s="636"/>
      <c r="AC276" s="636"/>
    </row>
    <row r="277" spans="1:68" ht="14.25" hidden="1" customHeight="1" x14ac:dyDescent="0.25">
      <c r="A277" s="657" t="s">
        <v>74</v>
      </c>
      <c r="B277" s="652"/>
      <c r="C277" s="652"/>
      <c r="D277" s="652"/>
      <c r="E277" s="652"/>
      <c r="F277" s="652"/>
      <c r="G277" s="652"/>
      <c r="H277" s="652"/>
      <c r="I277" s="652"/>
      <c r="J277" s="652"/>
      <c r="K277" s="652"/>
      <c r="L277" s="652"/>
      <c r="M277" s="652"/>
      <c r="N277" s="652"/>
      <c r="O277" s="652"/>
      <c r="P277" s="652"/>
      <c r="Q277" s="652"/>
      <c r="R277" s="652"/>
      <c r="S277" s="652"/>
      <c r="T277" s="652"/>
      <c r="U277" s="652"/>
      <c r="V277" s="652"/>
      <c r="W277" s="652"/>
      <c r="X277" s="652"/>
      <c r="Y277" s="652"/>
      <c r="Z277" s="652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3">
        <v>4680115881594</v>
      </c>
      <c r="E278" s="644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73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44</v>
      </c>
      <c r="Y278" s="634">
        <f t="shared" ref="Y278:Y289" si="38">IFERROR(IF(X278="",0,CEILING((X278/$H278),1)*$H278),"")</f>
        <v>48.599999999999994</v>
      </c>
      <c r="Z278" s="36">
        <f>IFERROR(IF(Y278=0,"",ROUNDUP(Y278/H278,0)*0.01898),"")</f>
        <v>0.11388000000000001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46.683456790123458</v>
      </c>
      <c r="BN278" s="64">
        <f t="shared" ref="BN278:BN289" si="40">IFERROR(Y278*I278/H278,"0")</f>
        <v>51.563999999999993</v>
      </c>
      <c r="BO278" s="64">
        <f t="shared" ref="BO278:BO289" si="41">IFERROR(1/J278*(X278/H278),"0")</f>
        <v>8.4876543209876545E-2</v>
      </c>
      <c r="BP278" s="64">
        <f t="shared" ref="BP278:BP289" si="42">IFERROR(1/J278*(Y278/H278),"0")</f>
        <v>9.375E-2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3">
        <v>4680115881617</v>
      </c>
      <c r="E279" s="644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7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42</v>
      </c>
      <c r="Y279" s="634">
        <f t="shared" si="38"/>
        <v>48.599999999999994</v>
      </c>
      <c r="Z279" s="36">
        <f>IFERROR(IF(Y279=0,"",ROUNDUP(Y279/H279,0)*0.01898),"")</f>
        <v>0.11388000000000001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44.468148148148153</v>
      </c>
      <c r="BN279" s="64">
        <f t="shared" si="40"/>
        <v>51.455999999999996</v>
      </c>
      <c r="BO279" s="64">
        <f t="shared" si="41"/>
        <v>8.1018518518518517E-2</v>
      </c>
      <c r="BP279" s="64">
        <f t="shared" si="42"/>
        <v>9.375E-2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3">
        <v>4680115880573</v>
      </c>
      <c r="E280" s="644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20</v>
      </c>
      <c r="Y280" s="634">
        <f t="shared" si="38"/>
        <v>26.099999999999998</v>
      </c>
      <c r="Z280" s="36">
        <f>IFERROR(IF(Y280=0,"",ROUNDUP(Y280/H280,0)*0.01898),"")</f>
        <v>5.6940000000000004E-2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21.135632183908051</v>
      </c>
      <c r="BN280" s="64">
        <f t="shared" si="40"/>
        <v>27.582000000000004</v>
      </c>
      <c r="BO280" s="64">
        <f t="shared" si="41"/>
        <v>3.5919540229885062E-2</v>
      </c>
      <c r="BP280" s="64">
        <f t="shared" si="42"/>
        <v>4.6875E-2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4301051407</v>
      </c>
      <c r="D281" s="643">
        <v>4680115882195</v>
      </c>
      <c r="E281" s="644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43">
        <v>4680115882607</v>
      </c>
      <c r="E282" s="644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75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43">
        <v>4680115882607</v>
      </c>
      <c r="E283" s="644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3">
        <v>4680115880092</v>
      </c>
      <c r="E284" s="644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9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200</v>
      </c>
      <c r="Y284" s="634">
        <f t="shared" si="38"/>
        <v>201.6</v>
      </c>
      <c r="Z284" s="36">
        <f>IFERROR(IF(Y284=0,"",ROUNDUP(Y284/H284,0)*0.00651),"")</f>
        <v>0.54683999999999999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221</v>
      </c>
      <c r="BN284" s="64">
        <f t="shared" si="40"/>
        <v>222.768</v>
      </c>
      <c r="BO284" s="64">
        <f t="shared" si="41"/>
        <v>0.45787545787545797</v>
      </c>
      <c r="BP284" s="64">
        <f t="shared" si="42"/>
        <v>0.46153846153846156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43">
        <v>4680115889064</v>
      </c>
      <c r="E285" s="644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5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3">
        <v>4680115880221</v>
      </c>
      <c r="E286" s="644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0"/>
      <c r="R286" s="640"/>
      <c r="S286" s="640"/>
      <c r="T286" s="641"/>
      <c r="U286" s="34"/>
      <c r="V286" s="34"/>
      <c r="W286" s="35" t="s">
        <v>67</v>
      </c>
      <c r="X286" s="633">
        <v>60</v>
      </c>
      <c r="Y286" s="634">
        <f t="shared" si="38"/>
        <v>60</v>
      </c>
      <c r="Z286" s="36">
        <f>IFERROR(IF(Y286=0,"",ROUNDUP(Y286/H286,0)*0.00651),"")</f>
        <v>0.16275000000000001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66.300000000000011</v>
      </c>
      <c r="BN286" s="64">
        <f t="shared" si="40"/>
        <v>66.300000000000011</v>
      </c>
      <c r="BO286" s="64">
        <f t="shared" si="41"/>
        <v>0.13736263736263737</v>
      </c>
      <c r="BP286" s="64">
        <f t="shared" si="42"/>
        <v>0.13736263736263737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3">
        <v>4680115880504</v>
      </c>
      <c r="E287" s="644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9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0"/>
      <c r="R287" s="640"/>
      <c r="S287" s="640"/>
      <c r="T287" s="641"/>
      <c r="U287" s="34"/>
      <c r="V287" s="34"/>
      <c r="W287" s="35" t="s">
        <v>67</v>
      </c>
      <c r="X287" s="633">
        <v>20</v>
      </c>
      <c r="Y287" s="634">
        <f t="shared" si="38"/>
        <v>21.599999999999998</v>
      </c>
      <c r="Z287" s="36">
        <f>IFERROR(IF(Y287=0,"",ROUNDUP(Y287/H287,0)*0.00651),"")</f>
        <v>5.8590000000000003E-2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22.100000000000005</v>
      </c>
      <c r="BN287" s="64">
        <f t="shared" si="40"/>
        <v>23.868000000000002</v>
      </c>
      <c r="BO287" s="64">
        <f t="shared" si="41"/>
        <v>4.5787545787545791E-2</v>
      </c>
      <c r="BP287" s="64">
        <f t="shared" si="42"/>
        <v>4.9450549450549455E-2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3">
        <v>4680115882164</v>
      </c>
      <c r="E288" s="644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6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0"/>
      <c r="R288" s="640"/>
      <c r="S288" s="640"/>
      <c r="T288" s="641"/>
      <c r="U288" s="34"/>
      <c r="V288" s="34"/>
      <c r="W288" s="35" t="s">
        <v>67</v>
      </c>
      <c r="X288" s="633">
        <v>40</v>
      </c>
      <c r="Y288" s="634">
        <f t="shared" si="38"/>
        <v>40.799999999999997</v>
      </c>
      <c r="Z288" s="36">
        <f>IFERROR(IF(Y288=0,"",ROUNDUP(Y288/H288,0)*0.00651),"")</f>
        <v>0.11067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44.3</v>
      </c>
      <c r="BN288" s="64">
        <f t="shared" si="40"/>
        <v>45.185999999999993</v>
      </c>
      <c r="BO288" s="64">
        <f t="shared" si="41"/>
        <v>9.1575091575091583E-2</v>
      </c>
      <c r="BP288" s="64">
        <f t="shared" si="42"/>
        <v>9.3406593406593408E-2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43">
        <v>4680115888340</v>
      </c>
      <c r="E289" s="644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10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51"/>
      <c r="B290" s="652"/>
      <c r="C290" s="652"/>
      <c r="D290" s="652"/>
      <c r="E290" s="652"/>
      <c r="F290" s="652"/>
      <c r="G290" s="652"/>
      <c r="H290" s="652"/>
      <c r="I290" s="652"/>
      <c r="J290" s="652"/>
      <c r="K290" s="652"/>
      <c r="L290" s="652"/>
      <c r="M290" s="652"/>
      <c r="N290" s="652"/>
      <c r="O290" s="653"/>
      <c r="P290" s="650" t="s">
        <v>72</v>
      </c>
      <c r="Q290" s="647"/>
      <c r="R290" s="647"/>
      <c r="S290" s="647"/>
      <c r="T290" s="647"/>
      <c r="U290" s="647"/>
      <c r="V290" s="648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146.24946785866325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150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1.1635499999999999</v>
      </c>
      <c r="AA290" s="636"/>
      <c r="AB290" s="636"/>
      <c r="AC290" s="636"/>
    </row>
    <row r="291" spans="1:68" x14ac:dyDescent="0.2">
      <c r="A291" s="652"/>
      <c r="B291" s="652"/>
      <c r="C291" s="652"/>
      <c r="D291" s="652"/>
      <c r="E291" s="652"/>
      <c r="F291" s="652"/>
      <c r="G291" s="652"/>
      <c r="H291" s="652"/>
      <c r="I291" s="652"/>
      <c r="J291" s="652"/>
      <c r="K291" s="652"/>
      <c r="L291" s="652"/>
      <c r="M291" s="652"/>
      <c r="N291" s="652"/>
      <c r="O291" s="653"/>
      <c r="P291" s="650" t="s">
        <v>72</v>
      </c>
      <c r="Q291" s="647"/>
      <c r="R291" s="647"/>
      <c r="S291" s="647"/>
      <c r="T291" s="647"/>
      <c r="U291" s="647"/>
      <c r="V291" s="648"/>
      <c r="W291" s="37" t="s">
        <v>67</v>
      </c>
      <c r="X291" s="635">
        <f>IFERROR(SUM(X278:X289),"0")</f>
        <v>426</v>
      </c>
      <c r="Y291" s="635">
        <f>IFERROR(SUM(Y278:Y289),"0")</f>
        <v>447.3</v>
      </c>
      <c r="Z291" s="37"/>
      <c r="AA291" s="636"/>
      <c r="AB291" s="636"/>
      <c r="AC291" s="636"/>
    </row>
    <row r="292" spans="1:68" ht="14.25" hidden="1" customHeight="1" x14ac:dyDescent="0.25">
      <c r="A292" s="657" t="s">
        <v>164</v>
      </c>
      <c r="B292" s="652"/>
      <c r="C292" s="652"/>
      <c r="D292" s="652"/>
      <c r="E292" s="652"/>
      <c r="F292" s="652"/>
      <c r="G292" s="652"/>
      <c r="H292" s="652"/>
      <c r="I292" s="652"/>
      <c r="J292" s="652"/>
      <c r="K292" s="652"/>
      <c r="L292" s="652"/>
      <c r="M292" s="652"/>
      <c r="N292" s="652"/>
      <c r="O292" s="652"/>
      <c r="P292" s="652"/>
      <c r="Q292" s="652"/>
      <c r="R292" s="652"/>
      <c r="S292" s="652"/>
      <c r="T292" s="652"/>
      <c r="U292" s="652"/>
      <c r="V292" s="652"/>
      <c r="W292" s="652"/>
      <c r="X292" s="652"/>
      <c r="Y292" s="652"/>
      <c r="Z292" s="652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3">
        <v>4680115880818</v>
      </c>
      <c r="E293" s="644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6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0"/>
      <c r="R293" s="640"/>
      <c r="S293" s="640"/>
      <c r="T293" s="641"/>
      <c r="U293" s="34"/>
      <c r="V293" s="34"/>
      <c r="W293" s="35" t="s">
        <v>67</v>
      </c>
      <c r="X293" s="633">
        <v>21</v>
      </c>
      <c r="Y293" s="634">
        <f>IFERROR(IF(X293="",0,CEILING((X293/$H293),1)*$H293),"")</f>
        <v>21.599999999999998</v>
      </c>
      <c r="Z293" s="36">
        <f>IFERROR(IF(Y293=0,"",ROUNDUP(Y293/H293,0)*0.00651),"")</f>
        <v>5.8590000000000003E-2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23.205000000000002</v>
      </c>
      <c r="BN293" s="64">
        <f>IFERROR(Y293*I293/H293,"0")</f>
        <v>23.868000000000002</v>
      </c>
      <c r="BO293" s="64">
        <f>IFERROR(1/J293*(X293/H293),"0")</f>
        <v>4.807692307692308E-2</v>
      </c>
      <c r="BP293" s="64">
        <f>IFERROR(1/J293*(Y293/H293),"0")</f>
        <v>4.9450549450549455E-2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3">
        <v>4680115880801</v>
      </c>
      <c r="E294" s="644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6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0"/>
      <c r="R294" s="640"/>
      <c r="S294" s="640"/>
      <c r="T294" s="641"/>
      <c r="U294" s="34"/>
      <c r="V294" s="34"/>
      <c r="W294" s="35" t="s">
        <v>67</v>
      </c>
      <c r="X294" s="633">
        <v>34</v>
      </c>
      <c r="Y294" s="634">
        <f>IFERROR(IF(X294="",0,CEILING((X294/$H294),1)*$H294),"")</f>
        <v>36</v>
      </c>
      <c r="Z294" s="36">
        <f>IFERROR(IF(Y294=0,"",ROUNDUP(Y294/H294,0)*0.00651),"")</f>
        <v>9.7650000000000001E-2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37.570000000000007</v>
      </c>
      <c r="BN294" s="64">
        <f>IFERROR(Y294*I294/H294,"0")</f>
        <v>39.780000000000008</v>
      </c>
      <c r="BO294" s="64">
        <f>IFERROR(1/J294*(X294/H294),"0")</f>
        <v>7.7838827838827854E-2</v>
      </c>
      <c r="BP294" s="64">
        <f>IFERROR(1/J294*(Y294/H294),"0")</f>
        <v>8.241758241758243E-2</v>
      </c>
    </row>
    <row r="295" spans="1:68" x14ac:dyDescent="0.2">
      <c r="A295" s="651"/>
      <c r="B295" s="652"/>
      <c r="C295" s="652"/>
      <c r="D295" s="652"/>
      <c r="E295" s="652"/>
      <c r="F295" s="652"/>
      <c r="G295" s="652"/>
      <c r="H295" s="652"/>
      <c r="I295" s="652"/>
      <c r="J295" s="652"/>
      <c r="K295" s="652"/>
      <c r="L295" s="652"/>
      <c r="M295" s="652"/>
      <c r="N295" s="652"/>
      <c r="O295" s="653"/>
      <c r="P295" s="650" t="s">
        <v>72</v>
      </c>
      <c r="Q295" s="647"/>
      <c r="R295" s="647"/>
      <c r="S295" s="647"/>
      <c r="T295" s="647"/>
      <c r="U295" s="647"/>
      <c r="V295" s="648"/>
      <c r="W295" s="37" t="s">
        <v>73</v>
      </c>
      <c r="X295" s="635">
        <f>IFERROR(X293/H293,"0")+IFERROR(X294/H294,"0")</f>
        <v>22.916666666666668</v>
      </c>
      <c r="Y295" s="635">
        <f>IFERROR(Y293/H293,"0")+IFERROR(Y294/H294,"0")</f>
        <v>24</v>
      </c>
      <c r="Z295" s="635">
        <f>IFERROR(IF(Z293="",0,Z293),"0")+IFERROR(IF(Z294="",0,Z294),"0")</f>
        <v>0.15623999999999999</v>
      </c>
      <c r="AA295" s="636"/>
      <c r="AB295" s="636"/>
      <c r="AC295" s="636"/>
    </row>
    <row r="296" spans="1:68" x14ac:dyDescent="0.2">
      <c r="A296" s="652"/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3"/>
      <c r="P296" s="650" t="s">
        <v>72</v>
      </c>
      <c r="Q296" s="647"/>
      <c r="R296" s="647"/>
      <c r="S296" s="647"/>
      <c r="T296" s="647"/>
      <c r="U296" s="647"/>
      <c r="V296" s="648"/>
      <c r="W296" s="37" t="s">
        <v>67</v>
      </c>
      <c r="X296" s="635">
        <f>IFERROR(SUM(X293:X294),"0")</f>
        <v>55</v>
      </c>
      <c r="Y296" s="635">
        <f>IFERROR(SUM(Y293:Y294),"0")</f>
        <v>57.599999999999994</v>
      </c>
      <c r="Z296" s="37"/>
      <c r="AA296" s="636"/>
      <c r="AB296" s="636"/>
      <c r="AC296" s="636"/>
    </row>
    <row r="297" spans="1:68" ht="16.5" hidden="1" customHeight="1" x14ac:dyDescent="0.25">
      <c r="A297" s="661" t="s">
        <v>499</v>
      </c>
      <c r="B297" s="652"/>
      <c r="C297" s="652"/>
      <c r="D297" s="652"/>
      <c r="E297" s="652"/>
      <c r="F297" s="652"/>
      <c r="G297" s="652"/>
      <c r="H297" s="652"/>
      <c r="I297" s="652"/>
      <c r="J297" s="652"/>
      <c r="K297" s="652"/>
      <c r="L297" s="652"/>
      <c r="M297" s="652"/>
      <c r="N297" s="652"/>
      <c r="O297" s="652"/>
      <c r="P297" s="652"/>
      <c r="Q297" s="652"/>
      <c r="R297" s="652"/>
      <c r="S297" s="652"/>
      <c r="T297" s="652"/>
      <c r="U297" s="652"/>
      <c r="V297" s="652"/>
      <c r="W297" s="652"/>
      <c r="X297" s="652"/>
      <c r="Y297" s="652"/>
      <c r="Z297" s="652"/>
      <c r="AA297" s="628"/>
      <c r="AB297" s="628"/>
      <c r="AC297" s="628"/>
    </row>
    <row r="298" spans="1:68" ht="14.25" hidden="1" customHeight="1" x14ac:dyDescent="0.25">
      <c r="A298" s="657" t="s">
        <v>111</v>
      </c>
      <c r="B298" s="652"/>
      <c r="C298" s="652"/>
      <c r="D298" s="652"/>
      <c r="E298" s="652"/>
      <c r="F298" s="652"/>
      <c r="G298" s="652"/>
      <c r="H298" s="652"/>
      <c r="I298" s="652"/>
      <c r="J298" s="652"/>
      <c r="K298" s="652"/>
      <c r="L298" s="652"/>
      <c r="M298" s="652"/>
      <c r="N298" s="652"/>
      <c r="O298" s="652"/>
      <c r="P298" s="652"/>
      <c r="Q298" s="652"/>
      <c r="R298" s="652"/>
      <c r="S298" s="652"/>
      <c r="T298" s="652"/>
      <c r="U298" s="652"/>
      <c r="V298" s="652"/>
      <c r="W298" s="652"/>
      <c r="X298" s="652"/>
      <c r="Y298" s="652"/>
      <c r="Z298" s="652"/>
      <c r="AA298" s="629"/>
      <c r="AB298" s="629"/>
      <c r="AC298" s="629"/>
    </row>
    <row r="299" spans="1:68" ht="27" hidden="1" customHeight="1" x14ac:dyDescent="0.25">
      <c r="A299" s="54" t="s">
        <v>500</v>
      </c>
      <c r="B299" s="54" t="s">
        <v>501</v>
      </c>
      <c r="C299" s="31">
        <v>4301011826</v>
      </c>
      <c r="D299" s="643">
        <v>4680115884137</v>
      </c>
      <c r="E299" s="644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100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43">
        <v>4680115884236</v>
      </c>
      <c r="E300" s="644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8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43">
        <v>4680115884175</v>
      </c>
      <c r="E301" s="644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7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43">
        <v>4680115884144</v>
      </c>
      <c r="E302" s="644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0"/>
      <c r="R302" s="640"/>
      <c r="S302" s="640"/>
      <c r="T302" s="641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43">
        <v>4680115886551</v>
      </c>
      <c r="E303" s="644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0"/>
      <c r="R303" s="640"/>
      <c r="S303" s="640"/>
      <c r="T303" s="641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43">
        <v>4680115887282</v>
      </c>
      <c r="E304" s="644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0"/>
      <c r="R304" s="640"/>
      <c r="S304" s="640"/>
      <c r="T304" s="641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516</v>
      </c>
      <c r="B305" s="54" t="s">
        <v>517</v>
      </c>
      <c r="C305" s="31">
        <v>4301011722</v>
      </c>
      <c r="D305" s="643">
        <v>4680115884205</v>
      </c>
      <c r="E305" s="644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51"/>
      <c r="B306" s="652"/>
      <c r="C306" s="652"/>
      <c r="D306" s="652"/>
      <c r="E306" s="652"/>
      <c r="F306" s="652"/>
      <c r="G306" s="652"/>
      <c r="H306" s="652"/>
      <c r="I306" s="652"/>
      <c r="J306" s="652"/>
      <c r="K306" s="652"/>
      <c r="L306" s="652"/>
      <c r="M306" s="652"/>
      <c r="N306" s="652"/>
      <c r="O306" s="653"/>
      <c r="P306" s="650" t="s">
        <v>72</v>
      </c>
      <c r="Q306" s="647"/>
      <c r="R306" s="647"/>
      <c r="S306" s="647"/>
      <c r="T306" s="647"/>
      <c r="U306" s="647"/>
      <c r="V306" s="648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52"/>
      <c r="B307" s="652"/>
      <c r="C307" s="652"/>
      <c r="D307" s="652"/>
      <c r="E307" s="652"/>
      <c r="F307" s="652"/>
      <c r="G307" s="652"/>
      <c r="H307" s="652"/>
      <c r="I307" s="652"/>
      <c r="J307" s="652"/>
      <c r="K307" s="652"/>
      <c r="L307" s="652"/>
      <c r="M307" s="652"/>
      <c r="N307" s="652"/>
      <c r="O307" s="653"/>
      <c r="P307" s="650" t="s">
        <v>72</v>
      </c>
      <c r="Q307" s="647"/>
      <c r="R307" s="647"/>
      <c r="S307" s="647"/>
      <c r="T307" s="647"/>
      <c r="U307" s="647"/>
      <c r="V307" s="648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57" t="s">
        <v>147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43">
        <v>4680115885981</v>
      </c>
      <c r="E309" s="644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5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51"/>
      <c r="B310" s="652"/>
      <c r="C310" s="652"/>
      <c r="D310" s="652"/>
      <c r="E310" s="652"/>
      <c r="F310" s="652"/>
      <c r="G310" s="652"/>
      <c r="H310" s="652"/>
      <c r="I310" s="652"/>
      <c r="J310" s="652"/>
      <c r="K310" s="652"/>
      <c r="L310" s="652"/>
      <c r="M310" s="652"/>
      <c r="N310" s="652"/>
      <c r="O310" s="653"/>
      <c r="P310" s="650" t="s">
        <v>72</v>
      </c>
      <c r="Q310" s="647"/>
      <c r="R310" s="647"/>
      <c r="S310" s="647"/>
      <c r="T310" s="647"/>
      <c r="U310" s="647"/>
      <c r="V310" s="648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52"/>
      <c r="B311" s="652"/>
      <c r="C311" s="652"/>
      <c r="D311" s="652"/>
      <c r="E311" s="652"/>
      <c r="F311" s="652"/>
      <c r="G311" s="652"/>
      <c r="H311" s="652"/>
      <c r="I311" s="652"/>
      <c r="J311" s="652"/>
      <c r="K311" s="652"/>
      <c r="L311" s="652"/>
      <c r="M311" s="652"/>
      <c r="N311" s="652"/>
      <c r="O311" s="653"/>
      <c r="P311" s="650" t="s">
        <v>72</v>
      </c>
      <c r="Q311" s="647"/>
      <c r="R311" s="647"/>
      <c r="S311" s="647"/>
      <c r="T311" s="647"/>
      <c r="U311" s="647"/>
      <c r="V311" s="648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57" t="s">
        <v>521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29"/>
      <c r="AB312" s="629"/>
      <c r="AC312" s="629"/>
    </row>
    <row r="313" spans="1:68" ht="27" hidden="1" customHeight="1" x14ac:dyDescent="0.25">
      <c r="A313" s="54" t="s">
        <v>522</v>
      </c>
      <c r="B313" s="54" t="s">
        <v>523</v>
      </c>
      <c r="C313" s="31">
        <v>4301040362</v>
      </c>
      <c r="D313" s="643">
        <v>4680115886803</v>
      </c>
      <c r="E313" s="644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6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1"/>
      <c r="B314" s="652"/>
      <c r="C314" s="652"/>
      <c r="D314" s="652"/>
      <c r="E314" s="652"/>
      <c r="F314" s="652"/>
      <c r="G314" s="652"/>
      <c r="H314" s="652"/>
      <c r="I314" s="652"/>
      <c r="J314" s="652"/>
      <c r="K314" s="652"/>
      <c r="L314" s="652"/>
      <c r="M314" s="652"/>
      <c r="N314" s="652"/>
      <c r="O314" s="653"/>
      <c r="P314" s="650" t="s">
        <v>72</v>
      </c>
      <c r="Q314" s="647"/>
      <c r="R314" s="647"/>
      <c r="S314" s="647"/>
      <c r="T314" s="647"/>
      <c r="U314" s="647"/>
      <c r="V314" s="648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hidden="1" x14ac:dyDescent="0.2">
      <c r="A315" s="652"/>
      <c r="B315" s="652"/>
      <c r="C315" s="652"/>
      <c r="D315" s="652"/>
      <c r="E315" s="652"/>
      <c r="F315" s="652"/>
      <c r="G315" s="652"/>
      <c r="H315" s="652"/>
      <c r="I315" s="652"/>
      <c r="J315" s="652"/>
      <c r="K315" s="652"/>
      <c r="L315" s="652"/>
      <c r="M315" s="652"/>
      <c r="N315" s="652"/>
      <c r="O315" s="653"/>
      <c r="P315" s="650" t="s">
        <v>72</v>
      </c>
      <c r="Q315" s="647"/>
      <c r="R315" s="647"/>
      <c r="S315" s="647"/>
      <c r="T315" s="647"/>
      <c r="U315" s="647"/>
      <c r="V315" s="648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hidden="1" customHeight="1" x14ac:dyDescent="0.25">
      <c r="A316" s="657" t="s">
        <v>338</v>
      </c>
      <c r="B316" s="652"/>
      <c r="C316" s="652"/>
      <c r="D316" s="652"/>
      <c r="E316" s="652"/>
      <c r="F316" s="652"/>
      <c r="G316" s="652"/>
      <c r="H316" s="652"/>
      <c r="I316" s="652"/>
      <c r="J316" s="652"/>
      <c r="K316" s="652"/>
      <c r="L316" s="652"/>
      <c r="M316" s="652"/>
      <c r="N316" s="652"/>
      <c r="O316" s="652"/>
      <c r="P316" s="652"/>
      <c r="Q316" s="652"/>
      <c r="R316" s="652"/>
      <c r="S316" s="652"/>
      <c r="T316" s="652"/>
      <c r="U316" s="652"/>
      <c r="V316" s="652"/>
      <c r="W316" s="652"/>
      <c r="X316" s="652"/>
      <c r="Y316" s="652"/>
      <c r="Z316" s="652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43">
        <v>4680115886704</v>
      </c>
      <c r="E317" s="644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70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0"/>
      <c r="R317" s="640"/>
      <c r="S317" s="640"/>
      <c r="T317" s="641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43">
        <v>4680115886681</v>
      </c>
      <c r="E318" s="644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79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0"/>
      <c r="R318" s="640"/>
      <c r="S318" s="640"/>
      <c r="T318" s="641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43">
        <v>4680115886735</v>
      </c>
      <c r="E319" s="644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67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0"/>
      <c r="R319" s="640"/>
      <c r="S319" s="640"/>
      <c r="T319" s="641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51"/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3"/>
      <c r="P320" s="650" t="s">
        <v>72</v>
      </c>
      <c r="Q320" s="647"/>
      <c r="R320" s="647"/>
      <c r="S320" s="647"/>
      <c r="T320" s="647"/>
      <c r="U320" s="647"/>
      <c r="V320" s="648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52"/>
      <c r="B321" s="652"/>
      <c r="C321" s="652"/>
      <c r="D321" s="652"/>
      <c r="E321" s="652"/>
      <c r="F321" s="652"/>
      <c r="G321" s="652"/>
      <c r="H321" s="652"/>
      <c r="I321" s="652"/>
      <c r="J321" s="652"/>
      <c r="K321" s="652"/>
      <c r="L321" s="652"/>
      <c r="M321" s="652"/>
      <c r="N321" s="652"/>
      <c r="O321" s="653"/>
      <c r="P321" s="650" t="s">
        <v>72</v>
      </c>
      <c r="Q321" s="647"/>
      <c r="R321" s="647"/>
      <c r="S321" s="647"/>
      <c r="T321" s="647"/>
      <c r="U321" s="647"/>
      <c r="V321" s="648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61" t="s">
        <v>532</v>
      </c>
      <c r="B322" s="652"/>
      <c r="C322" s="652"/>
      <c r="D322" s="652"/>
      <c r="E322" s="652"/>
      <c r="F322" s="652"/>
      <c r="G322" s="652"/>
      <c r="H322" s="652"/>
      <c r="I322" s="652"/>
      <c r="J322" s="652"/>
      <c r="K322" s="652"/>
      <c r="L322" s="652"/>
      <c r="M322" s="652"/>
      <c r="N322" s="652"/>
      <c r="O322" s="652"/>
      <c r="P322" s="652"/>
      <c r="Q322" s="652"/>
      <c r="R322" s="652"/>
      <c r="S322" s="652"/>
      <c r="T322" s="652"/>
      <c r="U322" s="652"/>
      <c r="V322" s="652"/>
      <c r="W322" s="652"/>
      <c r="X322" s="652"/>
      <c r="Y322" s="652"/>
      <c r="Z322" s="652"/>
      <c r="AA322" s="628"/>
      <c r="AB322" s="628"/>
      <c r="AC322" s="628"/>
    </row>
    <row r="323" spans="1:68" ht="14.25" hidden="1" customHeight="1" x14ac:dyDescent="0.25">
      <c r="A323" s="657" t="s">
        <v>111</v>
      </c>
      <c r="B323" s="652"/>
      <c r="C323" s="652"/>
      <c r="D323" s="652"/>
      <c r="E323" s="652"/>
      <c r="F323" s="652"/>
      <c r="G323" s="652"/>
      <c r="H323" s="652"/>
      <c r="I323" s="652"/>
      <c r="J323" s="652"/>
      <c r="K323" s="652"/>
      <c r="L323" s="652"/>
      <c r="M323" s="652"/>
      <c r="N323" s="652"/>
      <c r="O323" s="652"/>
      <c r="P323" s="652"/>
      <c r="Q323" s="652"/>
      <c r="R323" s="652"/>
      <c r="S323" s="652"/>
      <c r="T323" s="652"/>
      <c r="U323" s="652"/>
      <c r="V323" s="652"/>
      <c r="W323" s="652"/>
      <c r="X323" s="652"/>
      <c r="Y323" s="652"/>
      <c r="Z323" s="652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43">
        <v>4680115885837</v>
      </c>
      <c r="E324" s="644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5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43">
        <v>4680115887237</v>
      </c>
      <c r="E325" s="644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0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43">
        <v>4680115885806</v>
      </c>
      <c r="E326" s="644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9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43">
        <v>4680115885844</v>
      </c>
      <c r="E327" s="644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0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43">
        <v>4680115885820</v>
      </c>
      <c r="E328" s="644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9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0"/>
      <c r="R328" s="640"/>
      <c r="S328" s="640"/>
      <c r="T328" s="641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51"/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3"/>
      <c r="P329" s="650" t="s">
        <v>72</v>
      </c>
      <c r="Q329" s="647"/>
      <c r="R329" s="647"/>
      <c r="S329" s="647"/>
      <c r="T329" s="647"/>
      <c r="U329" s="647"/>
      <c r="V329" s="648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52"/>
      <c r="B330" s="652"/>
      <c r="C330" s="652"/>
      <c r="D330" s="652"/>
      <c r="E330" s="652"/>
      <c r="F330" s="652"/>
      <c r="G330" s="652"/>
      <c r="H330" s="652"/>
      <c r="I330" s="652"/>
      <c r="J330" s="652"/>
      <c r="K330" s="652"/>
      <c r="L330" s="652"/>
      <c r="M330" s="652"/>
      <c r="N330" s="652"/>
      <c r="O330" s="653"/>
      <c r="P330" s="650" t="s">
        <v>72</v>
      </c>
      <c r="Q330" s="647"/>
      <c r="R330" s="647"/>
      <c r="S330" s="647"/>
      <c r="T330" s="647"/>
      <c r="U330" s="647"/>
      <c r="V330" s="648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61" t="s">
        <v>548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28"/>
      <c r="AB331" s="628"/>
      <c r="AC331" s="628"/>
    </row>
    <row r="332" spans="1:68" ht="14.25" hidden="1" customHeight="1" x14ac:dyDescent="0.25">
      <c r="A332" s="657" t="s">
        <v>74</v>
      </c>
      <c r="B332" s="652"/>
      <c r="C332" s="652"/>
      <c r="D332" s="652"/>
      <c r="E332" s="652"/>
      <c r="F332" s="652"/>
      <c r="G332" s="652"/>
      <c r="H332" s="652"/>
      <c r="I332" s="652"/>
      <c r="J332" s="652"/>
      <c r="K332" s="652"/>
      <c r="L332" s="652"/>
      <c r="M332" s="652"/>
      <c r="N332" s="652"/>
      <c r="O332" s="652"/>
      <c r="P332" s="652"/>
      <c r="Q332" s="652"/>
      <c r="R332" s="652"/>
      <c r="S332" s="652"/>
      <c r="T332" s="652"/>
      <c r="U332" s="652"/>
      <c r="V332" s="652"/>
      <c r="W332" s="652"/>
      <c r="X332" s="652"/>
      <c r="Y332" s="652"/>
      <c r="Z332" s="652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43">
        <v>4680115886186</v>
      </c>
      <c r="E333" s="644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79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3">
        <v>4680115881228</v>
      </c>
      <c r="E334" s="644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95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16</v>
      </c>
      <c r="Y334" s="634">
        <f>IFERROR(IF(X334="",0,CEILING((X334/$H334),1)*$H334),"")</f>
        <v>16.8</v>
      </c>
      <c r="Z334" s="36">
        <f>IFERROR(IF(Y334=0,"",ROUNDUP(Y334/H334,0)*0.00651),"")</f>
        <v>4.5569999999999999E-2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17.680000000000003</v>
      </c>
      <c r="BN334" s="64">
        <f>IFERROR(Y334*I334/H334,"0")</f>
        <v>18.564000000000004</v>
      </c>
      <c r="BO334" s="64">
        <f>IFERROR(1/J334*(X334/H334),"0")</f>
        <v>3.6630036630036632E-2</v>
      </c>
      <c r="BP334" s="64">
        <f>IFERROR(1/J334*(Y334/H334),"0")</f>
        <v>3.8461538461538471E-2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3">
        <v>4680115881211</v>
      </c>
      <c r="E335" s="644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7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0"/>
      <c r="R335" s="640"/>
      <c r="S335" s="640"/>
      <c r="T335" s="641"/>
      <c r="U335" s="34"/>
      <c r="V335" s="34"/>
      <c r="W335" s="35" t="s">
        <v>67</v>
      </c>
      <c r="X335" s="633">
        <v>7</v>
      </c>
      <c r="Y335" s="634">
        <f>IFERROR(IF(X335="",0,CEILING((X335/$H335),1)*$H335),"")</f>
        <v>7.1999999999999993</v>
      </c>
      <c r="Z335" s="36">
        <f>IFERROR(IF(Y335=0,"",ROUNDUP(Y335/H335,0)*0.00651),"")</f>
        <v>1.9529999999999999E-2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7.5250000000000012</v>
      </c>
      <c r="BN335" s="64">
        <f>IFERROR(Y335*I335/H335,"0")</f>
        <v>7.7399999999999993</v>
      </c>
      <c r="BO335" s="64">
        <f>IFERROR(1/J335*(X335/H335),"0")</f>
        <v>1.6025641025641028E-2</v>
      </c>
      <c r="BP335" s="64">
        <f>IFERROR(1/J335*(Y335/H335),"0")</f>
        <v>1.6483516483516484E-2</v>
      </c>
    </row>
    <row r="336" spans="1:68" x14ac:dyDescent="0.2">
      <c r="A336" s="651"/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3"/>
      <c r="P336" s="650" t="s">
        <v>72</v>
      </c>
      <c r="Q336" s="647"/>
      <c r="R336" s="647"/>
      <c r="S336" s="647"/>
      <c r="T336" s="647"/>
      <c r="U336" s="647"/>
      <c r="V336" s="648"/>
      <c r="W336" s="37" t="s">
        <v>73</v>
      </c>
      <c r="X336" s="635">
        <f>IFERROR(X333/H333,"0")+IFERROR(X334/H334,"0")+IFERROR(X335/H335,"0")</f>
        <v>9.5833333333333339</v>
      </c>
      <c r="Y336" s="635">
        <f>IFERROR(Y333/H333,"0")+IFERROR(Y334/H334,"0")+IFERROR(Y335/H335,"0")</f>
        <v>10</v>
      </c>
      <c r="Z336" s="635">
        <f>IFERROR(IF(Z333="",0,Z333),"0")+IFERROR(IF(Z334="",0,Z334),"0")+IFERROR(IF(Z335="",0,Z335),"0")</f>
        <v>6.5099999999999991E-2</v>
      </c>
      <c r="AA336" s="636"/>
      <c r="AB336" s="636"/>
      <c r="AC336" s="636"/>
    </row>
    <row r="337" spans="1:68" x14ac:dyDescent="0.2">
      <c r="A337" s="652"/>
      <c r="B337" s="652"/>
      <c r="C337" s="652"/>
      <c r="D337" s="652"/>
      <c r="E337" s="652"/>
      <c r="F337" s="652"/>
      <c r="G337" s="652"/>
      <c r="H337" s="652"/>
      <c r="I337" s="652"/>
      <c r="J337" s="652"/>
      <c r="K337" s="652"/>
      <c r="L337" s="652"/>
      <c r="M337" s="652"/>
      <c r="N337" s="652"/>
      <c r="O337" s="653"/>
      <c r="P337" s="650" t="s">
        <v>72</v>
      </c>
      <c r="Q337" s="647"/>
      <c r="R337" s="647"/>
      <c r="S337" s="647"/>
      <c r="T337" s="647"/>
      <c r="U337" s="647"/>
      <c r="V337" s="648"/>
      <c r="W337" s="37" t="s">
        <v>67</v>
      </c>
      <c r="X337" s="635">
        <f>IFERROR(SUM(X333:X335),"0")</f>
        <v>23</v>
      </c>
      <c r="Y337" s="635">
        <f>IFERROR(SUM(Y333:Y335),"0")</f>
        <v>24</v>
      </c>
      <c r="Z337" s="37"/>
      <c r="AA337" s="636"/>
      <c r="AB337" s="636"/>
      <c r="AC337" s="636"/>
    </row>
    <row r="338" spans="1:68" ht="16.5" hidden="1" customHeight="1" x14ac:dyDescent="0.25">
      <c r="A338" s="661" t="s">
        <v>557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28"/>
      <c r="AB338" s="628"/>
      <c r="AC338" s="628"/>
    </row>
    <row r="339" spans="1:68" ht="14.25" hidden="1" customHeight="1" x14ac:dyDescent="0.25">
      <c r="A339" s="657" t="s">
        <v>62</v>
      </c>
      <c r="B339" s="652"/>
      <c r="C339" s="652"/>
      <c r="D339" s="652"/>
      <c r="E339" s="652"/>
      <c r="F339" s="652"/>
      <c r="G339" s="652"/>
      <c r="H339" s="652"/>
      <c r="I339" s="652"/>
      <c r="J339" s="652"/>
      <c r="K339" s="652"/>
      <c r="L339" s="652"/>
      <c r="M339" s="652"/>
      <c r="N339" s="652"/>
      <c r="O339" s="652"/>
      <c r="P339" s="652"/>
      <c r="Q339" s="652"/>
      <c r="R339" s="652"/>
      <c r="S339" s="652"/>
      <c r="T339" s="652"/>
      <c r="U339" s="652"/>
      <c r="V339" s="652"/>
      <c r="W339" s="652"/>
      <c r="X339" s="652"/>
      <c r="Y339" s="652"/>
      <c r="Z339" s="652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43">
        <v>4680115888319</v>
      </c>
      <c r="E340" s="644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87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43">
        <v>4680115884700</v>
      </c>
      <c r="E341" s="644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43">
        <v>4680115880344</v>
      </c>
      <c r="E342" s="644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43">
        <v>4680115886919</v>
      </c>
      <c r="E343" s="644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79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0"/>
      <c r="R343" s="640"/>
      <c r="S343" s="640"/>
      <c r="T343" s="641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43">
        <v>4680115883970</v>
      </c>
      <c r="E344" s="644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8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0"/>
      <c r="R344" s="640"/>
      <c r="S344" s="640"/>
      <c r="T344" s="641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1"/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3"/>
      <c r="P345" s="650" t="s">
        <v>72</v>
      </c>
      <c r="Q345" s="647"/>
      <c r="R345" s="647"/>
      <c r="S345" s="647"/>
      <c r="T345" s="647"/>
      <c r="U345" s="647"/>
      <c r="V345" s="648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52"/>
      <c r="B346" s="652"/>
      <c r="C346" s="652"/>
      <c r="D346" s="652"/>
      <c r="E346" s="652"/>
      <c r="F346" s="652"/>
      <c r="G346" s="652"/>
      <c r="H346" s="652"/>
      <c r="I346" s="652"/>
      <c r="J346" s="652"/>
      <c r="K346" s="652"/>
      <c r="L346" s="652"/>
      <c r="M346" s="652"/>
      <c r="N346" s="652"/>
      <c r="O346" s="653"/>
      <c r="P346" s="650" t="s">
        <v>72</v>
      </c>
      <c r="Q346" s="647"/>
      <c r="R346" s="647"/>
      <c r="S346" s="647"/>
      <c r="T346" s="647"/>
      <c r="U346" s="647"/>
      <c r="V346" s="648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57" t="s">
        <v>74</v>
      </c>
      <c r="B347" s="652"/>
      <c r="C347" s="652"/>
      <c r="D347" s="652"/>
      <c r="E347" s="652"/>
      <c r="F347" s="652"/>
      <c r="G347" s="652"/>
      <c r="H347" s="652"/>
      <c r="I347" s="652"/>
      <c r="J347" s="652"/>
      <c r="K347" s="652"/>
      <c r="L347" s="652"/>
      <c r="M347" s="652"/>
      <c r="N347" s="652"/>
      <c r="O347" s="652"/>
      <c r="P347" s="652"/>
      <c r="Q347" s="652"/>
      <c r="R347" s="652"/>
      <c r="S347" s="652"/>
      <c r="T347" s="652"/>
      <c r="U347" s="652"/>
      <c r="V347" s="652"/>
      <c r="W347" s="652"/>
      <c r="X347" s="652"/>
      <c r="Y347" s="652"/>
      <c r="Z347" s="652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43">
        <v>4680115884618</v>
      </c>
      <c r="E348" s="644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43">
        <v>4680115887114</v>
      </c>
      <c r="E349" s="644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71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0"/>
      <c r="R349" s="640"/>
      <c r="S349" s="640"/>
      <c r="T349" s="641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1"/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3"/>
      <c r="P350" s="650" t="s">
        <v>72</v>
      </c>
      <c r="Q350" s="647"/>
      <c r="R350" s="647"/>
      <c r="S350" s="647"/>
      <c r="T350" s="647"/>
      <c r="U350" s="647"/>
      <c r="V350" s="648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52"/>
      <c r="B351" s="652"/>
      <c r="C351" s="652"/>
      <c r="D351" s="652"/>
      <c r="E351" s="652"/>
      <c r="F351" s="652"/>
      <c r="G351" s="652"/>
      <c r="H351" s="652"/>
      <c r="I351" s="652"/>
      <c r="J351" s="652"/>
      <c r="K351" s="652"/>
      <c r="L351" s="652"/>
      <c r="M351" s="652"/>
      <c r="N351" s="652"/>
      <c r="O351" s="653"/>
      <c r="P351" s="650" t="s">
        <v>72</v>
      </c>
      <c r="Q351" s="647"/>
      <c r="R351" s="647"/>
      <c r="S351" s="647"/>
      <c r="T351" s="647"/>
      <c r="U351" s="647"/>
      <c r="V351" s="648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61" t="s">
        <v>578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28"/>
      <c r="AB352" s="628"/>
      <c r="AC352" s="628"/>
    </row>
    <row r="353" spans="1:68" ht="14.25" hidden="1" customHeight="1" x14ac:dyDescent="0.25">
      <c r="A353" s="657" t="s">
        <v>111</v>
      </c>
      <c r="B353" s="652"/>
      <c r="C353" s="652"/>
      <c r="D353" s="652"/>
      <c r="E353" s="652"/>
      <c r="F353" s="652"/>
      <c r="G353" s="652"/>
      <c r="H353" s="652"/>
      <c r="I353" s="652"/>
      <c r="J353" s="652"/>
      <c r="K353" s="652"/>
      <c r="L353" s="652"/>
      <c r="M353" s="652"/>
      <c r="N353" s="652"/>
      <c r="O353" s="652"/>
      <c r="P353" s="652"/>
      <c r="Q353" s="652"/>
      <c r="R353" s="652"/>
      <c r="S353" s="652"/>
      <c r="T353" s="652"/>
      <c r="U353" s="652"/>
      <c r="V353" s="652"/>
      <c r="W353" s="652"/>
      <c r="X353" s="652"/>
      <c r="Y353" s="652"/>
      <c r="Z353" s="652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3">
        <v>4680115887947</v>
      </c>
      <c r="E354" s="644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7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0"/>
      <c r="R354" s="640"/>
      <c r="S354" s="640"/>
      <c r="T354" s="641"/>
      <c r="U354" s="34"/>
      <c r="V354" s="34"/>
      <c r="W354" s="35" t="s">
        <v>67</v>
      </c>
      <c r="X354" s="633">
        <v>103</v>
      </c>
      <c r="Y354" s="634">
        <f>IFERROR(IF(X354="",0,CEILING((X354/$H354),1)*$H354),"")</f>
        <v>109.2</v>
      </c>
      <c r="Z354" s="36">
        <f>IFERROR(IF(Y354=0,"",ROUNDUP(Y354/H354,0)*0.01898),"")</f>
        <v>0.26572000000000001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108.41410256410258</v>
      </c>
      <c r="BN354" s="64">
        <f>IFERROR(Y354*I354/H354,"0")</f>
        <v>114.94000000000003</v>
      </c>
      <c r="BO354" s="64">
        <f>IFERROR(1/J354*(X354/H354),"0")</f>
        <v>0.20633012820512822</v>
      </c>
      <c r="BP354" s="64">
        <f>IFERROR(1/J354*(Y354/H354),"0")</f>
        <v>0.21875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3">
        <v>4680115887978</v>
      </c>
      <c r="E355" s="644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68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0"/>
      <c r="R355" s="640"/>
      <c r="S355" s="640"/>
      <c r="T355" s="641"/>
      <c r="U355" s="34"/>
      <c r="V355" s="34"/>
      <c r="W355" s="35" t="s">
        <v>67</v>
      </c>
      <c r="X355" s="633">
        <v>41</v>
      </c>
      <c r="Y355" s="634">
        <f>IFERROR(IF(X355="",0,CEILING((X355/$H355),1)*$H355),"")</f>
        <v>46.8</v>
      </c>
      <c r="Z355" s="36">
        <f>IFERROR(IF(Y355=0,"",ROUNDUP(Y355/H355,0)*0.01898),"")</f>
        <v>0.11388000000000001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43.155128205128207</v>
      </c>
      <c r="BN355" s="64">
        <f>IFERROR(Y355*I355/H355,"0")</f>
        <v>49.260000000000005</v>
      </c>
      <c r="BO355" s="64">
        <f>IFERROR(1/J355*(X355/H355),"0")</f>
        <v>8.2131410256410256E-2</v>
      </c>
      <c r="BP355" s="64">
        <f>IFERROR(1/J355*(Y355/H355),"0")</f>
        <v>9.375E-2</v>
      </c>
    </row>
    <row r="356" spans="1:68" ht="27" hidden="1" customHeight="1" x14ac:dyDescent="0.25">
      <c r="A356" s="54" t="s">
        <v>584</v>
      </c>
      <c r="B356" s="54" t="s">
        <v>585</v>
      </c>
      <c r="C356" s="31">
        <v>4301012327</v>
      </c>
      <c r="D356" s="643">
        <v>4680115887992</v>
      </c>
      <c r="E356" s="644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0"/>
      <c r="R356" s="640"/>
      <c r="S356" s="640"/>
      <c r="T356" s="641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51"/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3"/>
      <c r="P357" s="650" t="s">
        <v>72</v>
      </c>
      <c r="Q357" s="647"/>
      <c r="R357" s="647"/>
      <c r="S357" s="647"/>
      <c r="T357" s="647"/>
      <c r="U357" s="647"/>
      <c r="V357" s="648"/>
      <c r="W357" s="37" t="s">
        <v>73</v>
      </c>
      <c r="X357" s="635">
        <f>IFERROR(X354/H354,"0")+IFERROR(X355/H355,"0")+IFERROR(X356/H356,"0")</f>
        <v>18.461538461538463</v>
      </c>
      <c r="Y357" s="635">
        <f>IFERROR(Y354/H354,"0")+IFERROR(Y355/H355,"0")+IFERROR(Y356/H356,"0")</f>
        <v>20</v>
      </c>
      <c r="Z357" s="635">
        <f>IFERROR(IF(Z354="",0,Z354),"0")+IFERROR(IF(Z355="",0,Z355),"0")+IFERROR(IF(Z356="",0,Z356),"0")</f>
        <v>0.37960000000000005</v>
      </c>
      <c r="AA357" s="636"/>
      <c r="AB357" s="636"/>
      <c r="AC357" s="636"/>
    </row>
    <row r="358" spans="1:68" x14ac:dyDescent="0.2">
      <c r="A358" s="652"/>
      <c r="B358" s="652"/>
      <c r="C358" s="652"/>
      <c r="D358" s="652"/>
      <c r="E358" s="652"/>
      <c r="F358" s="652"/>
      <c r="G358" s="652"/>
      <c r="H358" s="652"/>
      <c r="I358" s="652"/>
      <c r="J358" s="652"/>
      <c r="K358" s="652"/>
      <c r="L358" s="652"/>
      <c r="M358" s="652"/>
      <c r="N358" s="652"/>
      <c r="O358" s="653"/>
      <c r="P358" s="650" t="s">
        <v>72</v>
      </c>
      <c r="Q358" s="647"/>
      <c r="R358" s="647"/>
      <c r="S358" s="647"/>
      <c r="T358" s="647"/>
      <c r="U358" s="647"/>
      <c r="V358" s="648"/>
      <c r="W358" s="37" t="s">
        <v>67</v>
      </c>
      <c r="X358" s="635">
        <f>IFERROR(SUM(X354:X356),"0")</f>
        <v>144</v>
      </c>
      <c r="Y358" s="635">
        <f>IFERROR(SUM(Y354:Y356),"0")</f>
        <v>156</v>
      </c>
      <c r="Z358" s="37"/>
      <c r="AA358" s="636"/>
      <c r="AB358" s="636"/>
      <c r="AC358" s="636"/>
    </row>
    <row r="359" spans="1:68" ht="16.5" hidden="1" customHeight="1" x14ac:dyDescent="0.25">
      <c r="A359" s="661" t="s">
        <v>587</v>
      </c>
      <c r="B359" s="652"/>
      <c r="C359" s="652"/>
      <c r="D359" s="652"/>
      <c r="E359" s="652"/>
      <c r="F359" s="652"/>
      <c r="G359" s="652"/>
      <c r="H359" s="652"/>
      <c r="I359" s="652"/>
      <c r="J359" s="652"/>
      <c r="K359" s="652"/>
      <c r="L359" s="652"/>
      <c r="M359" s="652"/>
      <c r="N359" s="652"/>
      <c r="O359" s="652"/>
      <c r="P359" s="652"/>
      <c r="Q359" s="652"/>
      <c r="R359" s="652"/>
      <c r="S359" s="652"/>
      <c r="T359" s="652"/>
      <c r="U359" s="652"/>
      <c r="V359" s="652"/>
      <c r="W359" s="652"/>
      <c r="X359" s="652"/>
      <c r="Y359" s="652"/>
      <c r="Z359" s="652"/>
      <c r="AA359" s="628"/>
      <c r="AB359" s="628"/>
      <c r="AC359" s="628"/>
    </row>
    <row r="360" spans="1:68" ht="14.25" hidden="1" customHeight="1" x14ac:dyDescent="0.25">
      <c r="A360" s="657" t="s">
        <v>111</v>
      </c>
      <c r="B360" s="652"/>
      <c r="C360" s="652"/>
      <c r="D360" s="652"/>
      <c r="E360" s="652"/>
      <c r="F360" s="652"/>
      <c r="G360" s="652"/>
      <c r="H360" s="652"/>
      <c r="I360" s="652"/>
      <c r="J360" s="652"/>
      <c r="K360" s="652"/>
      <c r="L360" s="652"/>
      <c r="M360" s="652"/>
      <c r="N360" s="652"/>
      <c r="O360" s="652"/>
      <c r="P360" s="652"/>
      <c r="Q360" s="652"/>
      <c r="R360" s="652"/>
      <c r="S360" s="652"/>
      <c r="T360" s="652"/>
      <c r="U360" s="652"/>
      <c r="V360" s="652"/>
      <c r="W360" s="652"/>
      <c r="X360" s="652"/>
      <c r="Y360" s="652"/>
      <c r="Z360" s="652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43">
        <v>4680115887190</v>
      </c>
      <c r="E361" s="644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4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43">
        <v>4680115887138</v>
      </c>
      <c r="E362" s="644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7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43">
        <v>4680115885554</v>
      </c>
      <c r="E363" s="644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6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43">
        <v>4680115887220</v>
      </c>
      <c r="E364" s="644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72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43">
        <v>4680115885608</v>
      </c>
      <c r="E365" s="644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7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0"/>
      <c r="R365" s="640"/>
      <c r="S365" s="640"/>
      <c r="T365" s="641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51"/>
      <c r="B366" s="652"/>
      <c r="C366" s="652"/>
      <c r="D366" s="652"/>
      <c r="E366" s="652"/>
      <c r="F366" s="652"/>
      <c r="G366" s="652"/>
      <c r="H366" s="652"/>
      <c r="I366" s="652"/>
      <c r="J366" s="652"/>
      <c r="K366" s="652"/>
      <c r="L366" s="652"/>
      <c r="M366" s="652"/>
      <c r="N366" s="652"/>
      <c r="O366" s="653"/>
      <c r="P366" s="650" t="s">
        <v>72</v>
      </c>
      <c r="Q366" s="647"/>
      <c r="R366" s="647"/>
      <c r="S366" s="647"/>
      <c r="T366" s="647"/>
      <c r="U366" s="647"/>
      <c r="V366" s="648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52"/>
      <c r="B367" s="652"/>
      <c r="C367" s="652"/>
      <c r="D367" s="652"/>
      <c r="E367" s="652"/>
      <c r="F367" s="652"/>
      <c r="G367" s="652"/>
      <c r="H367" s="652"/>
      <c r="I367" s="652"/>
      <c r="J367" s="652"/>
      <c r="K367" s="652"/>
      <c r="L367" s="652"/>
      <c r="M367" s="652"/>
      <c r="N367" s="652"/>
      <c r="O367" s="653"/>
      <c r="P367" s="650" t="s">
        <v>72</v>
      </c>
      <c r="Q367" s="647"/>
      <c r="R367" s="647"/>
      <c r="S367" s="647"/>
      <c r="T367" s="647"/>
      <c r="U367" s="647"/>
      <c r="V367" s="648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57" t="s">
        <v>62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43">
        <v>4607091387193</v>
      </c>
      <c r="E369" s="644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605</v>
      </c>
      <c r="B370" s="54" t="s">
        <v>606</v>
      </c>
      <c r="C370" s="31">
        <v>4301031153</v>
      </c>
      <c r="D370" s="643">
        <v>4607091387230</v>
      </c>
      <c r="E370" s="644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6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43">
        <v>4607091387292</v>
      </c>
      <c r="E371" s="644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43">
        <v>4607091387285</v>
      </c>
      <c r="E372" s="644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43">
        <v>4607091389845</v>
      </c>
      <c r="E373" s="644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6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43">
        <v>4680115887442</v>
      </c>
      <c r="E374" s="644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3">
        <v>4607091383836</v>
      </c>
      <c r="E375" s="644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24</v>
      </c>
      <c r="Y375" s="634">
        <f t="shared" si="48"/>
        <v>25.2</v>
      </c>
      <c r="Z375" s="36">
        <f>IFERROR(IF(Y375=0,"",ROUNDUP(Y375/H375,0)*0.00651),"")</f>
        <v>9.1139999999999999E-2</v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27.04</v>
      </c>
      <c r="BN375" s="64">
        <f t="shared" si="50"/>
        <v>28.391999999999999</v>
      </c>
      <c r="BO375" s="64">
        <f t="shared" si="51"/>
        <v>7.3260073260073263E-2</v>
      </c>
      <c r="BP375" s="64">
        <f t="shared" si="52"/>
        <v>7.6923076923076927E-2</v>
      </c>
    </row>
    <row r="376" spans="1:68" x14ac:dyDescent="0.2">
      <c r="A376" s="651"/>
      <c r="B376" s="652"/>
      <c r="C376" s="652"/>
      <c r="D376" s="652"/>
      <c r="E376" s="652"/>
      <c r="F376" s="652"/>
      <c r="G376" s="652"/>
      <c r="H376" s="652"/>
      <c r="I376" s="652"/>
      <c r="J376" s="652"/>
      <c r="K376" s="652"/>
      <c r="L376" s="652"/>
      <c r="M376" s="652"/>
      <c r="N376" s="652"/>
      <c r="O376" s="653"/>
      <c r="P376" s="650" t="s">
        <v>72</v>
      </c>
      <c r="Q376" s="647"/>
      <c r="R376" s="647"/>
      <c r="S376" s="647"/>
      <c r="T376" s="647"/>
      <c r="U376" s="647"/>
      <c r="V376" s="648"/>
      <c r="W376" s="37" t="s">
        <v>73</v>
      </c>
      <c r="X376" s="635">
        <f>IFERROR(X369/H369,"0")+IFERROR(X370/H370,"0")+IFERROR(X371/H371,"0")+IFERROR(X372/H372,"0")+IFERROR(X373/H373,"0")+IFERROR(X374/H374,"0")+IFERROR(X375/H375,"0")</f>
        <v>13.333333333333332</v>
      </c>
      <c r="Y376" s="635">
        <f>IFERROR(Y369/H369,"0")+IFERROR(Y370/H370,"0")+IFERROR(Y371/H371,"0")+IFERROR(Y372/H372,"0")+IFERROR(Y373/H373,"0")+IFERROR(Y374/H374,"0")+IFERROR(Y375/H375,"0")</f>
        <v>14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9.1139999999999999E-2</v>
      </c>
      <c r="AA376" s="636"/>
      <c r="AB376" s="636"/>
      <c r="AC376" s="636"/>
    </row>
    <row r="377" spans="1:68" x14ac:dyDescent="0.2">
      <c r="A377" s="652"/>
      <c r="B377" s="652"/>
      <c r="C377" s="652"/>
      <c r="D377" s="652"/>
      <c r="E377" s="652"/>
      <c r="F377" s="652"/>
      <c r="G377" s="652"/>
      <c r="H377" s="652"/>
      <c r="I377" s="652"/>
      <c r="J377" s="652"/>
      <c r="K377" s="652"/>
      <c r="L377" s="652"/>
      <c r="M377" s="652"/>
      <c r="N377" s="652"/>
      <c r="O377" s="653"/>
      <c r="P377" s="650" t="s">
        <v>72</v>
      </c>
      <c r="Q377" s="647"/>
      <c r="R377" s="647"/>
      <c r="S377" s="647"/>
      <c r="T377" s="647"/>
      <c r="U377" s="647"/>
      <c r="V377" s="648"/>
      <c r="W377" s="37" t="s">
        <v>67</v>
      </c>
      <c r="X377" s="635">
        <f>IFERROR(SUM(X369:X375),"0")</f>
        <v>24</v>
      </c>
      <c r="Y377" s="635">
        <f>IFERROR(SUM(Y369:Y375),"0")</f>
        <v>25.2</v>
      </c>
      <c r="Z377" s="37"/>
      <c r="AA377" s="636"/>
      <c r="AB377" s="636"/>
      <c r="AC377" s="636"/>
    </row>
    <row r="378" spans="1:68" ht="14.25" hidden="1" customHeight="1" x14ac:dyDescent="0.25">
      <c r="A378" s="657" t="s">
        <v>74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43">
        <v>4607091387766</v>
      </c>
      <c r="E379" s="644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95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43">
        <v>4607091387957</v>
      </c>
      <c r="E380" s="644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100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43">
        <v>4607091387964</v>
      </c>
      <c r="E381" s="644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9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43">
        <v>4680115884588</v>
      </c>
      <c r="E382" s="644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51"/>
      <c r="B383" s="652"/>
      <c r="C383" s="652"/>
      <c r="D383" s="652"/>
      <c r="E383" s="652"/>
      <c r="F383" s="652"/>
      <c r="G383" s="652"/>
      <c r="H383" s="652"/>
      <c r="I383" s="652"/>
      <c r="J383" s="652"/>
      <c r="K383" s="652"/>
      <c r="L383" s="652"/>
      <c r="M383" s="652"/>
      <c r="N383" s="652"/>
      <c r="O383" s="653"/>
      <c r="P383" s="650" t="s">
        <v>72</v>
      </c>
      <c r="Q383" s="647"/>
      <c r="R383" s="647"/>
      <c r="S383" s="647"/>
      <c r="T383" s="647"/>
      <c r="U383" s="647"/>
      <c r="V383" s="648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52"/>
      <c r="B384" s="652"/>
      <c r="C384" s="652"/>
      <c r="D384" s="652"/>
      <c r="E384" s="652"/>
      <c r="F384" s="652"/>
      <c r="G384" s="652"/>
      <c r="H384" s="652"/>
      <c r="I384" s="652"/>
      <c r="J384" s="652"/>
      <c r="K384" s="652"/>
      <c r="L384" s="652"/>
      <c r="M384" s="652"/>
      <c r="N384" s="652"/>
      <c r="O384" s="653"/>
      <c r="P384" s="650" t="s">
        <v>72</v>
      </c>
      <c r="Q384" s="647"/>
      <c r="R384" s="647"/>
      <c r="S384" s="647"/>
      <c r="T384" s="647"/>
      <c r="U384" s="647"/>
      <c r="V384" s="648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57" t="s">
        <v>164</v>
      </c>
      <c r="B385" s="652"/>
      <c r="C385" s="652"/>
      <c r="D385" s="652"/>
      <c r="E385" s="652"/>
      <c r="F385" s="652"/>
      <c r="G385" s="652"/>
      <c r="H385" s="652"/>
      <c r="I385" s="652"/>
      <c r="J385" s="652"/>
      <c r="K385" s="652"/>
      <c r="L385" s="652"/>
      <c r="M385" s="652"/>
      <c r="N385" s="652"/>
      <c r="O385" s="652"/>
      <c r="P385" s="652"/>
      <c r="Q385" s="652"/>
      <c r="R385" s="652"/>
      <c r="S385" s="652"/>
      <c r="T385" s="652"/>
      <c r="U385" s="652"/>
      <c r="V385" s="652"/>
      <c r="W385" s="652"/>
      <c r="X385" s="652"/>
      <c r="Y385" s="652"/>
      <c r="Z385" s="652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3">
        <v>4607091380880</v>
      </c>
      <c r="E386" s="644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9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0"/>
      <c r="R386" s="640"/>
      <c r="S386" s="640"/>
      <c r="T386" s="641"/>
      <c r="U386" s="34"/>
      <c r="V386" s="34"/>
      <c r="W386" s="35" t="s">
        <v>67</v>
      </c>
      <c r="X386" s="633">
        <v>317</v>
      </c>
      <c r="Y386" s="634">
        <f>IFERROR(IF(X386="",0,CEILING((X386/$H386),1)*$H386),"")</f>
        <v>319.2</v>
      </c>
      <c r="Z386" s="36">
        <f>IFERROR(IF(Y386=0,"",ROUNDUP(Y386/H386,0)*0.01898),"")</f>
        <v>0.72123999999999999</v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335.64261904761906</v>
      </c>
      <c r="BN386" s="64">
        <f>IFERROR(Y386*I386/H386,"0")</f>
        <v>337.97199999999998</v>
      </c>
      <c r="BO386" s="64">
        <f>IFERROR(1/J386*(X386/H386),"0")</f>
        <v>0.58965773809523803</v>
      </c>
      <c r="BP386" s="64">
        <f>IFERROR(1/J386*(Y386/H386),"0")</f>
        <v>0.59375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3">
        <v>4607091384482</v>
      </c>
      <c r="E387" s="644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0"/>
      <c r="R387" s="640"/>
      <c r="S387" s="640"/>
      <c r="T387" s="641"/>
      <c r="U387" s="34"/>
      <c r="V387" s="34"/>
      <c r="W387" s="35" t="s">
        <v>67</v>
      </c>
      <c r="X387" s="633">
        <v>200</v>
      </c>
      <c r="Y387" s="634">
        <f>IFERROR(IF(X387="",0,CEILING((X387/$H387),1)*$H387),"")</f>
        <v>202.79999999999998</v>
      </c>
      <c r="Z387" s="36">
        <f>IFERROR(IF(Y387=0,"",ROUNDUP(Y387/H387,0)*0.01898),"")</f>
        <v>0.49348000000000003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212.66666666666669</v>
      </c>
      <c r="BN387" s="64">
        <f>IFERROR(Y387*I387/H387,"0")</f>
        <v>215.64399999999998</v>
      </c>
      <c r="BO387" s="64">
        <f>IFERROR(1/J387*(X387/H387),"0")</f>
        <v>0.40064102564102566</v>
      </c>
      <c r="BP387" s="64">
        <f>IFERROR(1/J387*(Y387/H387),"0")</f>
        <v>0.40625</v>
      </c>
    </row>
    <row r="388" spans="1:68" ht="27" hidden="1" customHeight="1" x14ac:dyDescent="0.25">
      <c r="A388" s="54" t="s">
        <v>638</v>
      </c>
      <c r="B388" s="54" t="s">
        <v>639</v>
      </c>
      <c r="C388" s="31">
        <v>4301060484</v>
      </c>
      <c r="D388" s="643">
        <v>4607091380897</v>
      </c>
      <c r="E388" s="644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7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0"/>
      <c r="R388" s="640"/>
      <c r="S388" s="640"/>
      <c r="T388" s="641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51"/>
      <c r="B389" s="652"/>
      <c r="C389" s="652"/>
      <c r="D389" s="652"/>
      <c r="E389" s="652"/>
      <c r="F389" s="652"/>
      <c r="G389" s="652"/>
      <c r="H389" s="652"/>
      <c r="I389" s="652"/>
      <c r="J389" s="652"/>
      <c r="K389" s="652"/>
      <c r="L389" s="652"/>
      <c r="M389" s="652"/>
      <c r="N389" s="652"/>
      <c r="O389" s="653"/>
      <c r="P389" s="650" t="s">
        <v>72</v>
      </c>
      <c r="Q389" s="647"/>
      <c r="R389" s="647"/>
      <c r="S389" s="647"/>
      <c r="T389" s="647"/>
      <c r="U389" s="647"/>
      <c r="V389" s="648"/>
      <c r="W389" s="37" t="s">
        <v>73</v>
      </c>
      <c r="X389" s="635">
        <f>IFERROR(X386/H386,"0")+IFERROR(X387/H387,"0")+IFERROR(X388/H388,"0")</f>
        <v>63.379120879120876</v>
      </c>
      <c r="Y389" s="635">
        <f>IFERROR(Y386/H386,"0")+IFERROR(Y387/H387,"0")+IFERROR(Y388/H388,"0")</f>
        <v>64</v>
      </c>
      <c r="Z389" s="635">
        <f>IFERROR(IF(Z386="",0,Z386),"0")+IFERROR(IF(Z387="",0,Z387),"0")+IFERROR(IF(Z388="",0,Z388),"0")</f>
        <v>1.21472</v>
      </c>
      <c r="AA389" s="636"/>
      <c r="AB389" s="636"/>
      <c r="AC389" s="636"/>
    </row>
    <row r="390" spans="1:68" x14ac:dyDescent="0.2">
      <c r="A390" s="652"/>
      <c r="B390" s="652"/>
      <c r="C390" s="652"/>
      <c r="D390" s="652"/>
      <c r="E390" s="652"/>
      <c r="F390" s="652"/>
      <c r="G390" s="652"/>
      <c r="H390" s="652"/>
      <c r="I390" s="652"/>
      <c r="J390" s="652"/>
      <c r="K390" s="652"/>
      <c r="L390" s="652"/>
      <c r="M390" s="652"/>
      <c r="N390" s="652"/>
      <c r="O390" s="653"/>
      <c r="P390" s="650" t="s">
        <v>72</v>
      </c>
      <c r="Q390" s="647"/>
      <c r="R390" s="647"/>
      <c r="S390" s="647"/>
      <c r="T390" s="647"/>
      <c r="U390" s="647"/>
      <c r="V390" s="648"/>
      <c r="W390" s="37" t="s">
        <v>67</v>
      </c>
      <c r="X390" s="635">
        <f>IFERROR(SUM(X386:X388),"0")</f>
        <v>517</v>
      </c>
      <c r="Y390" s="635">
        <f>IFERROR(SUM(Y386:Y388),"0")</f>
        <v>522</v>
      </c>
      <c r="Z390" s="37"/>
      <c r="AA390" s="636"/>
      <c r="AB390" s="636"/>
      <c r="AC390" s="636"/>
    </row>
    <row r="391" spans="1:68" ht="14.25" hidden="1" customHeight="1" x14ac:dyDescent="0.25">
      <c r="A391" s="657" t="s">
        <v>272</v>
      </c>
      <c r="B391" s="652"/>
      <c r="C391" s="652"/>
      <c r="D391" s="652"/>
      <c r="E391" s="652"/>
      <c r="F391" s="652"/>
      <c r="G391" s="652"/>
      <c r="H391" s="652"/>
      <c r="I391" s="652"/>
      <c r="J391" s="652"/>
      <c r="K391" s="652"/>
      <c r="L391" s="652"/>
      <c r="M391" s="652"/>
      <c r="N391" s="652"/>
      <c r="O391" s="652"/>
      <c r="P391" s="652"/>
      <c r="Q391" s="652"/>
      <c r="R391" s="652"/>
      <c r="S391" s="652"/>
      <c r="T391" s="652"/>
      <c r="U391" s="652"/>
      <c r="V391" s="652"/>
      <c r="W391" s="652"/>
      <c r="X391" s="652"/>
      <c r="Y391" s="652"/>
      <c r="Z391" s="652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3">
        <v>4607091388381</v>
      </c>
      <c r="E392" s="644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9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18</v>
      </c>
      <c r="Y392" s="634">
        <f>IFERROR(IF(X392="",0,CEILING((X392/$H392),1)*$H392),"")</f>
        <v>18.240000000000002</v>
      </c>
      <c r="Z392" s="36">
        <f>IFERROR(IF(Y392=0,"",ROUNDUP(Y392/H392,0)*0.00902),"")</f>
        <v>5.4120000000000001E-2</v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19.598684210526315</v>
      </c>
      <c r="BN392" s="64">
        <f>IFERROR(Y392*I392/H392,"0")</f>
        <v>19.860000000000003</v>
      </c>
      <c r="BO392" s="64">
        <f>IFERROR(1/J392*(X392/H392),"0")</f>
        <v>4.4856459330143539E-2</v>
      </c>
      <c r="BP392" s="64">
        <f>IFERROR(1/J392*(Y392/H392),"0")</f>
        <v>4.5454545454545463E-2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3">
        <v>4607091388374</v>
      </c>
      <c r="E393" s="644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0"/>
      <c r="R393" s="640"/>
      <c r="S393" s="640"/>
      <c r="T393" s="641"/>
      <c r="U393" s="34"/>
      <c r="V393" s="34"/>
      <c r="W393" s="35" t="s">
        <v>67</v>
      </c>
      <c r="X393" s="633">
        <v>31</v>
      </c>
      <c r="Y393" s="634">
        <f>IFERROR(IF(X393="",0,CEILING((X393/$H393),1)*$H393),"")</f>
        <v>33.44</v>
      </c>
      <c r="Z393" s="36">
        <f>IFERROR(IF(Y393=0,"",ROUNDUP(Y393/H393,0)*0.00902),"")</f>
        <v>9.9220000000000003E-2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33.34539473684211</v>
      </c>
      <c r="BN393" s="64">
        <f>IFERROR(Y393*I393/H393,"0")</f>
        <v>35.97</v>
      </c>
      <c r="BO393" s="64">
        <f>IFERROR(1/J393*(X393/H393),"0")</f>
        <v>7.7252791068580545E-2</v>
      </c>
      <c r="BP393" s="64">
        <f>IFERROR(1/J393*(Y393/H393),"0")</f>
        <v>8.3333333333333343E-2</v>
      </c>
    </row>
    <row r="394" spans="1:68" ht="27" hidden="1" customHeight="1" x14ac:dyDescent="0.25">
      <c r="A394" s="54" t="s">
        <v>646</v>
      </c>
      <c r="B394" s="54" t="s">
        <v>647</v>
      </c>
      <c r="C394" s="31">
        <v>4301032015</v>
      </c>
      <c r="D394" s="643">
        <v>4607091383102</v>
      </c>
      <c r="E394" s="644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9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0"/>
      <c r="R394" s="640"/>
      <c r="S394" s="640"/>
      <c r="T394" s="641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3">
        <v>4607091388404</v>
      </c>
      <c r="E395" s="644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1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0"/>
      <c r="R395" s="640"/>
      <c r="S395" s="640"/>
      <c r="T395" s="641"/>
      <c r="U395" s="34"/>
      <c r="V395" s="34"/>
      <c r="W395" s="35" t="s">
        <v>67</v>
      </c>
      <c r="X395" s="633">
        <v>1</v>
      </c>
      <c r="Y395" s="634">
        <f>IFERROR(IF(X395="",0,CEILING((X395/$H395),1)*$H395),"")</f>
        <v>2.5499999999999998</v>
      </c>
      <c r="Z395" s="36">
        <f>IFERROR(IF(Y395=0,"",ROUNDUP(Y395/H395,0)*0.00651),"")</f>
        <v>6.5100000000000002E-3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1.1294117647058823</v>
      </c>
      <c r="BN395" s="64">
        <f>IFERROR(Y395*I395/H395,"0")</f>
        <v>2.88</v>
      </c>
      <c r="BO395" s="64">
        <f>IFERROR(1/J395*(X395/H395),"0")</f>
        <v>2.1547080370609788E-3</v>
      </c>
      <c r="BP395" s="64">
        <f>IFERROR(1/J395*(Y395/H395),"0")</f>
        <v>5.4945054945054949E-3</v>
      </c>
    </row>
    <row r="396" spans="1:68" x14ac:dyDescent="0.2">
      <c r="A396" s="651"/>
      <c r="B396" s="652"/>
      <c r="C396" s="652"/>
      <c r="D396" s="652"/>
      <c r="E396" s="652"/>
      <c r="F396" s="652"/>
      <c r="G396" s="652"/>
      <c r="H396" s="652"/>
      <c r="I396" s="652"/>
      <c r="J396" s="652"/>
      <c r="K396" s="652"/>
      <c r="L396" s="652"/>
      <c r="M396" s="652"/>
      <c r="N396" s="652"/>
      <c r="O396" s="653"/>
      <c r="P396" s="650" t="s">
        <v>72</v>
      </c>
      <c r="Q396" s="647"/>
      <c r="R396" s="647"/>
      <c r="S396" s="647"/>
      <c r="T396" s="647"/>
      <c r="U396" s="647"/>
      <c r="V396" s="648"/>
      <c r="W396" s="37" t="s">
        <v>73</v>
      </c>
      <c r="X396" s="635">
        <f>IFERROR(X392/H392,"0")+IFERROR(X393/H393,"0")+IFERROR(X394/H394,"0")+IFERROR(X395/H395,"0")</f>
        <v>16.510577915376675</v>
      </c>
      <c r="Y396" s="635">
        <f>IFERROR(Y392/H392,"0")+IFERROR(Y393/H393,"0")+IFERROR(Y394/H394,"0")+IFERROR(Y395/H395,"0")</f>
        <v>18</v>
      </c>
      <c r="Z396" s="635">
        <f>IFERROR(IF(Z392="",0,Z392),"0")+IFERROR(IF(Z393="",0,Z393),"0")+IFERROR(IF(Z394="",0,Z394),"0")+IFERROR(IF(Z395="",0,Z395),"0")</f>
        <v>0.15984999999999999</v>
      </c>
      <c r="AA396" s="636"/>
      <c r="AB396" s="636"/>
      <c r="AC396" s="636"/>
    </row>
    <row r="397" spans="1:68" x14ac:dyDescent="0.2">
      <c r="A397" s="652"/>
      <c r="B397" s="652"/>
      <c r="C397" s="652"/>
      <c r="D397" s="652"/>
      <c r="E397" s="652"/>
      <c r="F397" s="652"/>
      <c r="G397" s="652"/>
      <c r="H397" s="652"/>
      <c r="I397" s="652"/>
      <c r="J397" s="652"/>
      <c r="K397" s="652"/>
      <c r="L397" s="652"/>
      <c r="M397" s="652"/>
      <c r="N397" s="652"/>
      <c r="O397" s="653"/>
      <c r="P397" s="650" t="s">
        <v>72</v>
      </c>
      <c r="Q397" s="647"/>
      <c r="R397" s="647"/>
      <c r="S397" s="647"/>
      <c r="T397" s="647"/>
      <c r="U397" s="647"/>
      <c r="V397" s="648"/>
      <c r="W397" s="37" t="s">
        <v>67</v>
      </c>
      <c r="X397" s="635">
        <f>IFERROR(SUM(X392:X395),"0")</f>
        <v>50</v>
      </c>
      <c r="Y397" s="635">
        <f>IFERROR(SUM(Y392:Y395),"0")</f>
        <v>54.23</v>
      </c>
      <c r="Z397" s="37"/>
      <c r="AA397" s="636"/>
      <c r="AB397" s="636"/>
      <c r="AC397" s="636"/>
    </row>
    <row r="398" spans="1:68" ht="14.25" hidden="1" customHeight="1" x14ac:dyDescent="0.25">
      <c r="A398" s="657" t="s">
        <v>650</v>
      </c>
      <c r="B398" s="652"/>
      <c r="C398" s="652"/>
      <c r="D398" s="652"/>
      <c r="E398" s="652"/>
      <c r="F398" s="652"/>
      <c r="G398" s="652"/>
      <c r="H398" s="652"/>
      <c r="I398" s="652"/>
      <c r="J398" s="652"/>
      <c r="K398" s="652"/>
      <c r="L398" s="652"/>
      <c r="M398" s="652"/>
      <c r="N398" s="652"/>
      <c r="O398" s="652"/>
      <c r="P398" s="652"/>
      <c r="Q398" s="652"/>
      <c r="R398" s="652"/>
      <c r="S398" s="652"/>
      <c r="T398" s="652"/>
      <c r="U398" s="652"/>
      <c r="V398" s="652"/>
      <c r="W398" s="652"/>
      <c r="X398" s="652"/>
      <c r="Y398" s="652"/>
      <c r="Z398" s="652"/>
      <c r="AA398" s="629"/>
      <c r="AB398" s="629"/>
      <c r="AC398" s="629"/>
    </row>
    <row r="399" spans="1:68" ht="16.5" hidden="1" customHeight="1" x14ac:dyDescent="0.25">
      <c r="A399" s="54" t="s">
        <v>651</v>
      </c>
      <c r="B399" s="54" t="s">
        <v>652</v>
      </c>
      <c r="C399" s="31">
        <v>4301180007</v>
      </c>
      <c r="D399" s="643">
        <v>4680115881808</v>
      </c>
      <c r="E399" s="644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0"/>
      <c r="R399" s="640"/>
      <c r="S399" s="640"/>
      <c r="T399" s="641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655</v>
      </c>
      <c r="B400" s="54" t="s">
        <v>656</v>
      </c>
      <c r="C400" s="31">
        <v>4301180006</v>
      </c>
      <c r="D400" s="643">
        <v>4680115881822</v>
      </c>
      <c r="E400" s="644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99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0"/>
      <c r="R400" s="640"/>
      <c r="S400" s="640"/>
      <c r="T400" s="641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657</v>
      </c>
      <c r="B401" s="54" t="s">
        <v>658</v>
      </c>
      <c r="C401" s="31">
        <v>4301180001</v>
      </c>
      <c r="D401" s="643">
        <v>4680115880016</v>
      </c>
      <c r="E401" s="644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0"/>
      <c r="R401" s="640"/>
      <c r="S401" s="640"/>
      <c r="T401" s="641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1"/>
      <c r="B402" s="652"/>
      <c r="C402" s="652"/>
      <c r="D402" s="652"/>
      <c r="E402" s="652"/>
      <c r="F402" s="652"/>
      <c r="G402" s="652"/>
      <c r="H402" s="652"/>
      <c r="I402" s="652"/>
      <c r="J402" s="652"/>
      <c r="K402" s="652"/>
      <c r="L402" s="652"/>
      <c r="M402" s="652"/>
      <c r="N402" s="652"/>
      <c r="O402" s="653"/>
      <c r="P402" s="650" t="s">
        <v>72</v>
      </c>
      <c r="Q402" s="647"/>
      <c r="R402" s="647"/>
      <c r="S402" s="647"/>
      <c r="T402" s="647"/>
      <c r="U402" s="647"/>
      <c r="V402" s="648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52"/>
      <c r="B403" s="652"/>
      <c r="C403" s="652"/>
      <c r="D403" s="652"/>
      <c r="E403" s="652"/>
      <c r="F403" s="652"/>
      <c r="G403" s="652"/>
      <c r="H403" s="652"/>
      <c r="I403" s="652"/>
      <c r="J403" s="652"/>
      <c r="K403" s="652"/>
      <c r="L403" s="652"/>
      <c r="M403" s="652"/>
      <c r="N403" s="652"/>
      <c r="O403" s="653"/>
      <c r="P403" s="650" t="s">
        <v>72</v>
      </c>
      <c r="Q403" s="647"/>
      <c r="R403" s="647"/>
      <c r="S403" s="647"/>
      <c r="T403" s="647"/>
      <c r="U403" s="647"/>
      <c r="V403" s="648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57" t="s">
        <v>659</v>
      </c>
      <c r="B404" s="652"/>
      <c r="C404" s="652"/>
      <c r="D404" s="652"/>
      <c r="E404" s="652"/>
      <c r="F404" s="652"/>
      <c r="G404" s="652"/>
      <c r="H404" s="652"/>
      <c r="I404" s="652"/>
      <c r="J404" s="652"/>
      <c r="K404" s="652"/>
      <c r="L404" s="652"/>
      <c r="M404" s="652"/>
      <c r="N404" s="652"/>
      <c r="O404" s="652"/>
      <c r="P404" s="652"/>
      <c r="Q404" s="652"/>
      <c r="R404" s="652"/>
      <c r="S404" s="652"/>
      <c r="T404" s="652"/>
      <c r="U404" s="652"/>
      <c r="V404" s="652"/>
      <c r="W404" s="652"/>
      <c r="X404" s="652"/>
      <c r="Y404" s="652"/>
      <c r="Z404" s="652"/>
      <c r="AA404" s="629"/>
      <c r="AB404" s="629"/>
      <c r="AC404" s="629"/>
    </row>
    <row r="405" spans="1:68" ht="27" hidden="1" customHeight="1" x14ac:dyDescent="0.25">
      <c r="A405" s="54" t="s">
        <v>660</v>
      </c>
      <c r="B405" s="54" t="s">
        <v>661</v>
      </c>
      <c r="C405" s="31">
        <v>4301220003</v>
      </c>
      <c r="D405" s="643">
        <v>4680115888678</v>
      </c>
      <c r="E405" s="644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99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663</v>
      </c>
      <c r="B406" s="54" t="s">
        <v>664</v>
      </c>
      <c r="C406" s="31">
        <v>4301220001</v>
      </c>
      <c r="D406" s="643">
        <v>4680115888654</v>
      </c>
      <c r="E406" s="644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87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0"/>
      <c r="R406" s="640"/>
      <c r="S406" s="640"/>
      <c r="T406" s="641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666</v>
      </c>
      <c r="B407" s="54" t="s">
        <v>667</v>
      </c>
      <c r="C407" s="31">
        <v>4301220002</v>
      </c>
      <c r="D407" s="643">
        <v>4680115888753</v>
      </c>
      <c r="E407" s="644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0"/>
      <c r="R407" s="640"/>
      <c r="S407" s="640"/>
      <c r="T407" s="641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1"/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3"/>
      <c r="P408" s="650" t="s">
        <v>72</v>
      </c>
      <c r="Q408" s="647"/>
      <c r="R408" s="647"/>
      <c r="S408" s="647"/>
      <c r="T408" s="647"/>
      <c r="U408" s="647"/>
      <c r="V408" s="648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hidden="1" x14ac:dyDescent="0.2">
      <c r="A409" s="652"/>
      <c r="B409" s="652"/>
      <c r="C409" s="652"/>
      <c r="D409" s="652"/>
      <c r="E409" s="652"/>
      <c r="F409" s="652"/>
      <c r="G409" s="652"/>
      <c r="H409" s="652"/>
      <c r="I409" s="652"/>
      <c r="J409" s="652"/>
      <c r="K409" s="652"/>
      <c r="L409" s="652"/>
      <c r="M409" s="652"/>
      <c r="N409" s="652"/>
      <c r="O409" s="653"/>
      <c r="P409" s="650" t="s">
        <v>72</v>
      </c>
      <c r="Q409" s="647"/>
      <c r="R409" s="647"/>
      <c r="S409" s="647"/>
      <c r="T409" s="647"/>
      <c r="U409" s="647"/>
      <c r="V409" s="648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hidden="1" customHeight="1" x14ac:dyDescent="0.25">
      <c r="A410" s="661" t="s">
        <v>668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28"/>
      <c r="AB410" s="628"/>
      <c r="AC410" s="628"/>
    </row>
    <row r="411" spans="1:68" ht="14.25" hidden="1" customHeight="1" x14ac:dyDescent="0.25">
      <c r="A411" s="657" t="s">
        <v>74</v>
      </c>
      <c r="B411" s="652"/>
      <c r="C411" s="652"/>
      <c r="D411" s="652"/>
      <c r="E411" s="652"/>
      <c r="F411" s="652"/>
      <c r="G411" s="652"/>
      <c r="H411" s="652"/>
      <c r="I411" s="652"/>
      <c r="J411" s="652"/>
      <c r="K411" s="652"/>
      <c r="L411" s="652"/>
      <c r="M411" s="652"/>
      <c r="N411" s="652"/>
      <c r="O411" s="652"/>
      <c r="P411" s="652"/>
      <c r="Q411" s="652"/>
      <c r="R411" s="652"/>
      <c r="S411" s="652"/>
      <c r="T411" s="652"/>
      <c r="U411" s="652"/>
      <c r="V411" s="652"/>
      <c r="W411" s="652"/>
      <c r="X411" s="652"/>
      <c r="Y411" s="652"/>
      <c r="Z411" s="652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43">
        <v>4680115889415</v>
      </c>
      <c r="E412" s="644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711" t="s">
        <v>671</v>
      </c>
      <c r="Q412" s="640"/>
      <c r="R412" s="640"/>
      <c r="S412" s="640"/>
      <c r="T412" s="641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43">
        <v>4680115889422</v>
      </c>
      <c r="E413" s="644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947" t="s">
        <v>676</v>
      </c>
      <c r="Q413" s="640"/>
      <c r="R413" s="640"/>
      <c r="S413" s="640"/>
      <c r="T413" s="641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1"/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3"/>
      <c r="P414" s="650" t="s">
        <v>72</v>
      </c>
      <c r="Q414" s="647"/>
      <c r="R414" s="647"/>
      <c r="S414" s="647"/>
      <c r="T414" s="647"/>
      <c r="U414" s="647"/>
      <c r="V414" s="648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52"/>
      <c r="B415" s="652"/>
      <c r="C415" s="652"/>
      <c r="D415" s="652"/>
      <c r="E415" s="652"/>
      <c r="F415" s="652"/>
      <c r="G415" s="652"/>
      <c r="H415" s="652"/>
      <c r="I415" s="652"/>
      <c r="J415" s="652"/>
      <c r="K415" s="652"/>
      <c r="L415" s="652"/>
      <c r="M415" s="652"/>
      <c r="N415" s="652"/>
      <c r="O415" s="653"/>
      <c r="P415" s="650" t="s">
        <v>72</v>
      </c>
      <c r="Q415" s="647"/>
      <c r="R415" s="647"/>
      <c r="S415" s="647"/>
      <c r="T415" s="647"/>
      <c r="U415" s="647"/>
      <c r="V415" s="648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61" t="s">
        <v>678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28"/>
      <c r="AB416" s="628"/>
      <c r="AC416" s="628"/>
    </row>
    <row r="417" spans="1:68" ht="14.25" hidden="1" customHeight="1" x14ac:dyDescent="0.25">
      <c r="A417" s="657" t="s">
        <v>74</v>
      </c>
      <c r="B417" s="652"/>
      <c r="C417" s="652"/>
      <c r="D417" s="652"/>
      <c r="E417" s="652"/>
      <c r="F417" s="652"/>
      <c r="G417" s="652"/>
      <c r="H417" s="652"/>
      <c r="I417" s="652"/>
      <c r="J417" s="652"/>
      <c r="K417" s="652"/>
      <c r="L417" s="652"/>
      <c r="M417" s="652"/>
      <c r="N417" s="652"/>
      <c r="O417" s="652"/>
      <c r="P417" s="652"/>
      <c r="Q417" s="652"/>
      <c r="R417" s="652"/>
      <c r="S417" s="652"/>
      <c r="T417" s="652"/>
      <c r="U417" s="652"/>
      <c r="V417" s="652"/>
      <c r="W417" s="652"/>
      <c r="X417" s="652"/>
      <c r="Y417" s="652"/>
      <c r="Z417" s="652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43">
        <v>4607091387919</v>
      </c>
      <c r="E418" s="644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7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0"/>
      <c r="R418" s="640"/>
      <c r="S418" s="640"/>
      <c r="T418" s="641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682</v>
      </c>
      <c r="B419" s="54" t="s">
        <v>683</v>
      </c>
      <c r="C419" s="31">
        <v>4301051461</v>
      </c>
      <c r="D419" s="643">
        <v>4680115883604</v>
      </c>
      <c r="E419" s="644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0"/>
      <c r="R419" s="640"/>
      <c r="S419" s="640"/>
      <c r="T419" s="641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685</v>
      </c>
      <c r="B420" s="54" t="s">
        <v>686</v>
      </c>
      <c r="C420" s="31">
        <v>4301051864</v>
      </c>
      <c r="D420" s="643">
        <v>4680115883567</v>
      </c>
      <c r="E420" s="644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0"/>
      <c r="R420" s="640"/>
      <c r="S420" s="640"/>
      <c r="T420" s="641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51"/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3"/>
      <c r="P421" s="650" t="s">
        <v>72</v>
      </c>
      <c r="Q421" s="647"/>
      <c r="R421" s="647"/>
      <c r="S421" s="647"/>
      <c r="T421" s="647"/>
      <c r="U421" s="647"/>
      <c r="V421" s="648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hidden="1" x14ac:dyDescent="0.2">
      <c r="A422" s="652"/>
      <c r="B422" s="652"/>
      <c r="C422" s="652"/>
      <c r="D422" s="652"/>
      <c r="E422" s="652"/>
      <c r="F422" s="652"/>
      <c r="G422" s="652"/>
      <c r="H422" s="652"/>
      <c r="I422" s="652"/>
      <c r="J422" s="652"/>
      <c r="K422" s="652"/>
      <c r="L422" s="652"/>
      <c r="M422" s="652"/>
      <c r="N422" s="652"/>
      <c r="O422" s="653"/>
      <c r="P422" s="650" t="s">
        <v>72</v>
      </c>
      <c r="Q422" s="647"/>
      <c r="R422" s="647"/>
      <c r="S422" s="647"/>
      <c r="T422" s="647"/>
      <c r="U422" s="647"/>
      <c r="V422" s="648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hidden="1" customHeight="1" x14ac:dyDescent="0.2">
      <c r="A423" s="719" t="s">
        <v>688</v>
      </c>
      <c r="B423" s="720"/>
      <c r="C423" s="720"/>
      <c r="D423" s="720"/>
      <c r="E423" s="720"/>
      <c r="F423" s="720"/>
      <c r="G423" s="720"/>
      <c r="H423" s="720"/>
      <c r="I423" s="720"/>
      <c r="J423" s="720"/>
      <c r="K423" s="720"/>
      <c r="L423" s="720"/>
      <c r="M423" s="720"/>
      <c r="N423" s="720"/>
      <c r="O423" s="720"/>
      <c r="P423" s="720"/>
      <c r="Q423" s="720"/>
      <c r="R423" s="720"/>
      <c r="S423" s="720"/>
      <c r="T423" s="720"/>
      <c r="U423" s="720"/>
      <c r="V423" s="720"/>
      <c r="W423" s="720"/>
      <c r="X423" s="720"/>
      <c r="Y423" s="720"/>
      <c r="Z423" s="720"/>
      <c r="AA423" s="48"/>
      <c r="AB423" s="48"/>
      <c r="AC423" s="48"/>
    </row>
    <row r="424" spans="1:68" ht="16.5" hidden="1" customHeight="1" x14ac:dyDescent="0.25">
      <c r="A424" s="661" t="s">
        <v>689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28"/>
      <c r="AB424" s="628"/>
      <c r="AC424" s="628"/>
    </row>
    <row r="425" spans="1:68" ht="14.25" hidden="1" customHeight="1" x14ac:dyDescent="0.25">
      <c r="A425" s="657" t="s">
        <v>111</v>
      </c>
      <c r="B425" s="652"/>
      <c r="C425" s="652"/>
      <c r="D425" s="652"/>
      <c r="E425" s="652"/>
      <c r="F425" s="652"/>
      <c r="G425" s="652"/>
      <c r="H425" s="652"/>
      <c r="I425" s="652"/>
      <c r="J425" s="652"/>
      <c r="K425" s="652"/>
      <c r="L425" s="652"/>
      <c r="M425" s="652"/>
      <c r="N425" s="652"/>
      <c r="O425" s="652"/>
      <c r="P425" s="652"/>
      <c r="Q425" s="652"/>
      <c r="R425" s="652"/>
      <c r="S425" s="652"/>
      <c r="T425" s="652"/>
      <c r="U425" s="652"/>
      <c r="V425" s="652"/>
      <c r="W425" s="652"/>
      <c r="X425" s="652"/>
      <c r="Y425" s="652"/>
      <c r="Z425" s="652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43">
        <v>4680115888401</v>
      </c>
      <c r="E426" s="644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9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0"/>
      <c r="R426" s="640"/>
      <c r="S426" s="640"/>
      <c r="T426" s="641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hidden="1" customHeight="1" x14ac:dyDescent="0.25">
      <c r="A427" s="54" t="s">
        <v>693</v>
      </c>
      <c r="B427" s="54" t="s">
        <v>694</v>
      </c>
      <c r="C427" s="31">
        <v>4301011869</v>
      </c>
      <c r="D427" s="643">
        <v>4680115884847</v>
      </c>
      <c r="E427" s="644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0"/>
      <c r="R427" s="640"/>
      <c r="S427" s="640"/>
      <c r="T427" s="641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3">
        <v>4680115884854</v>
      </c>
      <c r="E428" s="644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90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0"/>
      <c r="R428" s="640"/>
      <c r="S428" s="640"/>
      <c r="T428" s="641"/>
      <c r="U428" s="34"/>
      <c r="V428" s="34"/>
      <c r="W428" s="35" t="s">
        <v>67</v>
      </c>
      <c r="X428" s="633">
        <v>811</v>
      </c>
      <c r="Y428" s="634">
        <f t="shared" si="53"/>
        <v>825</v>
      </c>
      <c r="Z428" s="36">
        <f>IFERROR(IF(Y428=0,"",ROUNDUP(Y428/H428,0)*0.02175),"")</f>
        <v>1.1962499999999998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836.41133333333335</v>
      </c>
      <c r="BN428" s="64">
        <f t="shared" si="55"/>
        <v>850.85</v>
      </c>
      <c r="BO428" s="64">
        <f t="shared" si="56"/>
        <v>1.1263888888888889</v>
      </c>
      <c r="BP428" s="64">
        <f t="shared" si="57"/>
        <v>1.1458333333333333</v>
      </c>
    </row>
    <row r="429" spans="1:68" ht="27" hidden="1" customHeight="1" x14ac:dyDescent="0.25">
      <c r="A429" s="54" t="s">
        <v>699</v>
      </c>
      <c r="B429" s="54" t="s">
        <v>700</v>
      </c>
      <c r="C429" s="31">
        <v>4301011867</v>
      </c>
      <c r="D429" s="643">
        <v>4680115884830</v>
      </c>
      <c r="E429" s="644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92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0"/>
      <c r="R429" s="640"/>
      <c r="S429" s="640"/>
      <c r="T429" s="641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3">
        <v>4680115889231</v>
      </c>
      <c r="E430" s="644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7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29</v>
      </c>
      <c r="Y430" s="634">
        <f t="shared" si="53"/>
        <v>30</v>
      </c>
      <c r="Z430" s="36">
        <f>IFERROR(IF(Y430=0,"",ROUNDUP(Y430/H430,0)*0.02175),"")</f>
        <v>4.3499999999999997E-2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29.908666666666665</v>
      </c>
      <c r="BN430" s="64">
        <f t="shared" si="55"/>
        <v>30.94</v>
      </c>
      <c r="BO430" s="64">
        <f t="shared" si="56"/>
        <v>4.0277777777777773E-2</v>
      </c>
      <c r="BP430" s="64">
        <f t="shared" si="57"/>
        <v>4.1666666666666664E-2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43">
        <v>4680115882638</v>
      </c>
      <c r="E431" s="644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88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43">
        <v>4680115884922</v>
      </c>
      <c r="E432" s="644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99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43">
        <v>4680115884861</v>
      </c>
      <c r="E433" s="644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0"/>
      <c r="R433" s="640"/>
      <c r="S433" s="640"/>
      <c r="T433" s="641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51"/>
      <c r="B434" s="652"/>
      <c r="C434" s="652"/>
      <c r="D434" s="652"/>
      <c r="E434" s="652"/>
      <c r="F434" s="652"/>
      <c r="G434" s="652"/>
      <c r="H434" s="652"/>
      <c r="I434" s="652"/>
      <c r="J434" s="652"/>
      <c r="K434" s="652"/>
      <c r="L434" s="652"/>
      <c r="M434" s="652"/>
      <c r="N434" s="652"/>
      <c r="O434" s="653"/>
      <c r="P434" s="650" t="s">
        <v>72</v>
      </c>
      <c r="Q434" s="647"/>
      <c r="R434" s="647"/>
      <c r="S434" s="647"/>
      <c r="T434" s="647"/>
      <c r="U434" s="647"/>
      <c r="V434" s="648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56</v>
      </c>
      <c r="Y434" s="635">
        <f>IFERROR(Y426/H426,"0")+IFERROR(Y427/H427,"0")+IFERROR(Y428/H428,"0")+IFERROR(Y429/H429,"0")+IFERROR(Y430/H430,"0")+IFERROR(Y431/H431,"0")+IFERROR(Y432/H432,"0")+IFERROR(Y433/H433,"0")</f>
        <v>57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1.2397499999999999</v>
      </c>
      <c r="AA434" s="636"/>
      <c r="AB434" s="636"/>
      <c r="AC434" s="636"/>
    </row>
    <row r="435" spans="1:68" x14ac:dyDescent="0.2">
      <c r="A435" s="652"/>
      <c r="B435" s="652"/>
      <c r="C435" s="652"/>
      <c r="D435" s="652"/>
      <c r="E435" s="652"/>
      <c r="F435" s="652"/>
      <c r="G435" s="652"/>
      <c r="H435" s="652"/>
      <c r="I435" s="652"/>
      <c r="J435" s="652"/>
      <c r="K435" s="652"/>
      <c r="L435" s="652"/>
      <c r="M435" s="652"/>
      <c r="N435" s="652"/>
      <c r="O435" s="653"/>
      <c r="P435" s="650" t="s">
        <v>72</v>
      </c>
      <c r="Q435" s="647"/>
      <c r="R435" s="647"/>
      <c r="S435" s="647"/>
      <c r="T435" s="647"/>
      <c r="U435" s="647"/>
      <c r="V435" s="648"/>
      <c r="W435" s="37" t="s">
        <v>67</v>
      </c>
      <c r="X435" s="635">
        <f>IFERROR(SUM(X426:X433),"0")</f>
        <v>840</v>
      </c>
      <c r="Y435" s="635">
        <f>IFERROR(SUM(Y426:Y433),"0")</f>
        <v>855</v>
      </c>
      <c r="Z435" s="37"/>
      <c r="AA435" s="636"/>
      <c r="AB435" s="636"/>
      <c r="AC435" s="636"/>
    </row>
    <row r="436" spans="1:68" ht="14.25" hidden="1" customHeight="1" x14ac:dyDescent="0.25">
      <c r="A436" s="657" t="s">
        <v>147</v>
      </c>
      <c r="B436" s="652"/>
      <c r="C436" s="652"/>
      <c r="D436" s="652"/>
      <c r="E436" s="652"/>
      <c r="F436" s="652"/>
      <c r="G436" s="652"/>
      <c r="H436" s="652"/>
      <c r="I436" s="652"/>
      <c r="J436" s="652"/>
      <c r="K436" s="652"/>
      <c r="L436" s="652"/>
      <c r="M436" s="652"/>
      <c r="N436" s="652"/>
      <c r="O436" s="652"/>
      <c r="P436" s="652"/>
      <c r="Q436" s="652"/>
      <c r="R436" s="652"/>
      <c r="S436" s="652"/>
      <c r="T436" s="652"/>
      <c r="U436" s="652"/>
      <c r="V436" s="652"/>
      <c r="W436" s="652"/>
      <c r="X436" s="652"/>
      <c r="Y436" s="652"/>
      <c r="Z436" s="652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3">
        <v>4607091383980</v>
      </c>
      <c r="E437" s="644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93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0"/>
      <c r="R437" s="640"/>
      <c r="S437" s="640"/>
      <c r="T437" s="641"/>
      <c r="U437" s="34"/>
      <c r="V437" s="34"/>
      <c r="W437" s="35" t="s">
        <v>67</v>
      </c>
      <c r="X437" s="633">
        <v>1430</v>
      </c>
      <c r="Y437" s="634">
        <f>IFERROR(IF(X437="",0,CEILING((X437/$H437),1)*$H437),"")</f>
        <v>1440</v>
      </c>
      <c r="Z437" s="36">
        <f>IFERROR(IF(Y437=0,"",ROUNDUP(Y437/H437,0)*0.02175),"")</f>
        <v>2.0880000000000001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1474.8066666666668</v>
      </c>
      <c r="BN437" s="64">
        <f>IFERROR(Y437*I437/H437,"0")</f>
        <v>1485.12</v>
      </c>
      <c r="BO437" s="64">
        <f>IFERROR(1/J437*(X437/H437),"0")</f>
        <v>1.9861111111111109</v>
      </c>
      <c r="BP437" s="64">
        <f>IFERROR(1/J437*(Y437/H437),"0")</f>
        <v>2</v>
      </c>
    </row>
    <row r="438" spans="1:68" ht="27" hidden="1" customHeight="1" x14ac:dyDescent="0.25">
      <c r="A438" s="54" t="s">
        <v>717</v>
      </c>
      <c r="B438" s="54" t="s">
        <v>718</v>
      </c>
      <c r="C438" s="31">
        <v>4301020355</v>
      </c>
      <c r="D438" s="643">
        <v>4680115888425</v>
      </c>
      <c r="E438" s="644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4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43">
        <v>4607091384178</v>
      </c>
      <c r="E439" s="644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6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1"/>
      <c r="B440" s="652"/>
      <c r="C440" s="652"/>
      <c r="D440" s="652"/>
      <c r="E440" s="652"/>
      <c r="F440" s="652"/>
      <c r="G440" s="652"/>
      <c r="H440" s="652"/>
      <c r="I440" s="652"/>
      <c r="J440" s="652"/>
      <c r="K440" s="652"/>
      <c r="L440" s="652"/>
      <c r="M440" s="652"/>
      <c r="N440" s="652"/>
      <c r="O440" s="653"/>
      <c r="P440" s="650" t="s">
        <v>72</v>
      </c>
      <c r="Q440" s="647"/>
      <c r="R440" s="647"/>
      <c r="S440" s="647"/>
      <c r="T440" s="647"/>
      <c r="U440" s="647"/>
      <c r="V440" s="648"/>
      <c r="W440" s="37" t="s">
        <v>73</v>
      </c>
      <c r="X440" s="635">
        <f>IFERROR(X437/H437,"0")+IFERROR(X438/H438,"0")+IFERROR(X439/H439,"0")</f>
        <v>95.333333333333329</v>
      </c>
      <c r="Y440" s="635">
        <f>IFERROR(Y437/H437,"0")+IFERROR(Y438/H438,"0")+IFERROR(Y439/H439,"0")</f>
        <v>96</v>
      </c>
      <c r="Z440" s="635">
        <f>IFERROR(IF(Z437="",0,Z437),"0")+IFERROR(IF(Z438="",0,Z438),"0")+IFERROR(IF(Z439="",0,Z439),"0")</f>
        <v>2.0880000000000001</v>
      </c>
      <c r="AA440" s="636"/>
      <c r="AB440" s="636"/>
      <c r="AC440" s="636"/>
    </row>
    <row r="441" spans="1:68" x14ac:dyDescent="0.2">
      <c r="A441" s="652"/>
      <c r="B441" s="652"/>
      <c r="C441" s="652"/>
      <c r="D441" s="652"/>
      <c r="E441" s="652"/>
      <c r="F441" s="652"/>
      <c r="G441" s="652"/>
      <c r="H441" s="652"/>
      <c r="I441" s="652"/>
      <c r="J441" s="652"/>
      <c r="K441" s="652"/>
      <c r="L441" s="652"/>
      <c r="M441" s="652"/>
      <c r="N441" s="652"/>
      <c r="O441" s="653"/>
      <c r="P441" s="650" t="s">
        <v>72</v>
      </c>
      <c r="Q441" s="647"/>
      <c r="R441" s="647"/>
      <c r="S441" s="647"/>
      <c r="T441" s="647"/>
      <c r="U441" s="647"/>
      <c r="V441" s="648"/>
      <c r="W441" s="37" t="s">
        <v>67</v>
      </c>
      <c r="X441" s="635">
        <f>IFERROR(SUM(X437:X439),"0")</f>
        <v>1430</v>
      </c>
      <c r="Y441" s="635">
        <f>IFERROR(SUM(Y437:Y439),"0")</f>
        <v>1440</v>
      </c>
      <c r="Z441" s="37"/>
      <c r="AA441" s="636"/>
      <c r="AB441" s="636"/>
      <c r="AC441" s="636"/>
    </row>
    <row r="442" spans="1:68" ht="14.25" hidden="1" customHeight="1" x14ac:dyDescent="0.25">
      <c r="A442" s="657" t="s">
        <v>74</v>
      </c>
      <c r="B442" s="652"/>
      <c r="C442" s="652"/>
      <c r="D442" s="652"/>
      <c r="E442" s="652"/>
      <c r="F442" s="652"/>
      <c r="G442" s="652"/>
      <c r="H442" s="652"/>
      <c r="I442" s="652"/>
      <c r="J442" s="652"/>
      <c r="K442" s="652"/>
      <c r="L442" s="652"/>
      <c r="M442" s="652"/>
      <c r="N442" s="652"/>
      <c r="O442" s="652"/>
      <c r="P442" s="652"/>
      <c r="Q442" s="652"/>
      <c r="R442" s="652"/>
      <c r="S442" s="652"/>
      <c r="T442" s="652"/>
      <c r="U442" s="652"/>
      <c r="V442" s="652"/>
      <c r="W442" s="652"/>
      <c r="X442" s="652"/>
      <c r="Y442" s="652"/>
      <c r="Z442" s="652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43">
        <v>4607091383928</v>
      </c>
      <c r="E443" s="644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9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3">
        <v>4607091384260</v>
      </c>
      <c r="E444" s="644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63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10</v>
      </c>
      <c r="Y444" s="634">
        <f>IFERROR(IF(X444="",0,CEILING((X444/$H444),1)*$H444),"")</f>
        <v>18</v>
      </c>
      <c r="Z444" s="36">
        <f>IFERROR(IF(Y444=0,"",ROUNDUP(Y444/H444,0)*0.01898),"")</f>
        <v>3.7960000000000001E-2</v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10.548888888888889</v>
      </c>
      <c r="BN444" s="64">
        <f>IFERROR(Y444*I444/H444,"0")</f>
        <v>18.988</v>
      </c>
      <c r="BO444" s="64">
        <f>IFERROR(1/J444*(X444/H444),"0")</f>
        <v>1.7361111111111112E-2</v>
      </c>
      <c r="BP444" s="64">
        <f>IFERROR(1/J444*(Y444/H444),"0")</f>
        <v>3.125E-2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43">
        <v>4680115889538</v>
      </c>
      <c r="E445" s="644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96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51"/>
      <c r="B446" s="652"/>
      <c r="C446" s="652"/>
      <c r="D446" s="652"/>
      <c r="E446" s="652"/>
      <c r="F446" s="652"/>
      <c r="G446" s="652"/>
      <c r="H446" s="652"/>
      <c r="I446" s="652"/>
      <c r="J446" s="652"/>
      <c r="K446" s="652"/>
      <c r="L446" s="652"/>
      <c r="M446" s="652"/>
      <c r="N446" s="652"/>
      <c r="O446" s="653"/>
      <c r="P446" s="650" t="s">
        <v>72</v>
      </c>
      <c r="Q446" s="647"/>
      <c r="R446" s="647"/>
      <c r="S446" s="647"/>
      <c r="T446" s="647"/>
      <c r="U446" s="647"/>
      <c r="V446" s="648"/>
      <c r="W446" s="37" t="s">
        <v>73</v>
      </c>
      <c r="X446" s="635">
        <f>IFERROR(X443/H443,"0")+IFERROR(X444/H444,"0")+IFERROR(X445/H445,"0")</f>
        <v>1.1111111111111112</v>
      </c>
      <c r="Y446" s="635">
        <f>IFERROR(Y443/H443,"0")+IFERROR(Y444/H444,"0")+IFERROR(Y445/H445,"0")</f>
        <v>2</v>
      </c>
      <c r="Z446" s="635">
        <f>IFERROR(IF(Z443="",0,Z443),"0")+IFERROR(IF(Z444="",0,Z444),"0")+IFERROR(IF(Z445="",0,Z445),"0")</f>
        <v>3.7960000000000001E-2</v>
      </c>
      <c r="AA446" s="636"/>
      <c r="AB446" s="636"/>
      <c r="AC446" s="636"/>
    </row>
    <row r="447" spans="1:68" x14ac:dyDescent="0.2">
      <c r="A447" s="652"/>
      <c r="B447" s="652"/>
      <c r="C447" s="652"/>
      <c r="D447" s="652"/>
      <c r="E447" s="652"/>
      <c r="F447" s="652"/>
      <c r="G447" s="652"/>
      <c r="H447" s="652"/>
      <c r="I447" s="652"/>
      <c r="J447" s="652"/>
      <c r="K447" s="652"/>
      <c r="L447" s="652"/>
      <c r="M447" s="652"/>
      <c r="N447" s="652"/>
      <c r="O447" s="653"/>
      <c r="P447" s="650" t="s">
        <v>72</v>
      </c>
      <c r="Q447" s="647"/>
      <c r="R447" s="647"/>
      <c r="S447" s="647"/>
      <c r="T447" s="647"/>
      <c r="U447" s="647"/>
      <c r="V447" s="648"/>
      <c r="W447" s="37" t="s">
        <v>67</v>
      </c>
      <c r="X447" s="635">
        <f>IFERROR(SUM(X443:X445),"0")</f>
        <v>10</v>
      </c>
      <c r="Y447" s="635">
        <f>IFERROR(SUM(Y443:Y445),"0")</f>
        <v>18</v>
      </c>
      <c r="Z447" s="37"/>
      <c r="AA447" s="636"/>
      <c r="AB447" s="636"/>
      <c r="AC447" s="636"/>
    </row>
    <row r="448" spans="1:68" ht="14.25" hidden="1" customHeight="1" x14ac:dyDescent="0.25">
      <c r="A448" s="657" t="s">
        <v>164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43">
        <v>4680115889545</v>
      </c>
      <c r="E449" s="644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66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3">
        <v>4607091384673</v>
      </c>
      <c r="E450" s="644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120</v>
      </c>
      <c r="Y450" s="634">
        <f>IFERROR(IF(X450="",0,CEILING((X450/$H450),1)*$H450),"")</f>
        <v>126</v>
      </c>
      <c r="Z450" s="36">
        <f>IFERROR(IF(Y450=0,"",ROUNDUP(Y450/H450,0)*0.01898),"")</f>
        <v>0.26572000000000001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126.58666666666666</v>
      </c>
      <c r="BN450" s="64">
        <f>IFERROR(Y450*I450/H450,"0")</f>
        <v>132.916</v>
      </c>
      <c r="BO450" s="64">
        <f>IFERROR(1/J450*(X450/H450),"0")</f>
        <v>0.20833333333333334</v>
      </c>
      <c r="BP450" s="64">
        <f>IFERROR(1/J450*(Y450/H450),"0")</f>
        <v>0.21875</v>
      </c>
    </row>
    <row r="451" spans="1:68" x14ac:dyDescent="0.2">
      <c r="A451" s="651"/>
      <c r="B451" s="652"/>
      <c r="C451" s="652"/>
      <c r="D451" s="652"/>
      <c r="E451" s="652"/>
      <c r="F451" s="652"/>
      <c r="G451" s="652"/>
      <c r="H451" s="652"/>
      <c r="I451" s="652"/>
      <c r="J451" s="652"/>
      <c r="K451" s="652"/>
      <c r="L451" s="652"/>
      <c r="M451" s="652"/>
      <c r="N451" s="652"/>
      <c r="O451" s="653"/>
      <c r="P451" s="650" t="s">
        <v>72</v>
      </c>
      <c r="Q451" s="647"/>
      <c r="R451" s="647"/>
      <c r="S451" s="647"/>
      <c r="T451" s="647"/>
      <c r="U451" s="647"/>
      <c r="V451" s="648"/>
      <c r="W451" s="37" t="s">
        <v>73</v>
      </c>
      <c r="X451" s="635">
        <f>IFERROR(X449/H449,"0")+IFERROR(X450/H450,"0")</f>
        <v>13.333333333333334</v>
      </c>
      <c r="Y451" s="635">
        <f>IFERROR(Y449/H449,"0")+IFERROR(Y450/H450,"0")</f>
        <v>14</v>
      </c>
      <c r="Z451" s="635">
        <f>IFERROR(IF(Z449="",0,Z449),"0")+IFERROR(IF(Z450="",0,Z450),"0")</f>
        <v>0.26572000000000001</v>
      </c>
      <c r="AA451" s="636"/>
      <c r="AB451" s="636"/>
      <c r="AC451" s="636"/>
    </row>
    <row r="452" spans="1:68" x14ac:dyDescent="0.2">
      <c r="A452" s="652"/>
      <c r="B452" s="652"/>
      <c r="C452" s="652"/>
      <c r="D452" s="652"/>
      <c r="E452" s="652"/>
      <c r="F452" s="652"/>
      <c r="G452" s="652"/>
      <c r="H452" s="652"/>
      <c r="I452" s="652"/>
      <c r="J452" s="652"/>
      <c r="K452" s="652"/>
      <c r="L452" s="652"/>
      <c r="M452" s="652"/>
      <c r="N452" s="652"/>
      <c r="O452" s="653"/>
      <c r="P452" s="650" t="s">
        <v>72</v>
      </c>
      <c r="Q452" s="647"/>
      <c r="R452" s="647"/>
      <c r="S452" s="647"/>
      <c r="T452" s="647"/>
      <c r="U452" s="647"/>
      <c r="V452" s="648"/>
      <c r="W452" s="37" t="s">
        <v>67</v>
      </c>
      <c r="X452" s="635">
        <f>IFERROR(SUM(X449:X450),"0")</f>
        <v>120</v>
      </c>
      <c r="Y452" s="635">
        <f>IFERROR(SUM(Y449:Y450),"0")</f>
        <v>126</v>
      </c>
      <c r="Z452" s="37"/>
      <c r="AA452" s="636"/>
      <c r="AB452" s="636"/>
      <c r="AC452" s="636"/>
    </row>
    <row r="453" spans="1:68" ht="16.5" hidden="1" customHeight="1" x14ac:dyDescent="0.25">
      <c r="A453" s="661" t="s">
        <v>738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28"/>
      <c r="AB453" s="628"/>
      <c r="AC453" s="628"/>
    </row>
    <row r="454" spans="1:68" ht="14.25" hidden="1" customHeight="1" x14ac:dyDescent="0.25">
      <c r="A454" s="657" t="s">
        <v>111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43">
        <v>4680115884885</v>
      </c>
      <c r="E455" s="644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9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43">
        <v>4680115884908</v>
      </c>
      <c r="E456" s="644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9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1"/>
      <c r="B457" s="652"/>
      <c r="C457" s="652"/>
      <c r="D457" s="652"/>
      <c r="E457" s="652"/>
      <c r="F457" s="652"/>
      <c r="G457" s="652"/>
      <c r="H457" s="652"/>
      <c r="I457" s="652"/>
      <c r="J457" s="652"/>
      <c r="K457" s="652"/>
      <c r="L457" s="652"/>
      <c r="M457" s="652"/>
      <c r="N457" s="652"/>
      <c r="O457" s="653"/>
      <c r="P457" s="650" t="s">
        <v>72</v>
      </c>
      <c r="Q457" s="647"/>
      <c r="R457" s="647"/>
      <c r="S457" s="647"/>
      <c r="T457" s="647"/>
      <c r="U457" s="647"/>
      <c r="V457" s="648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52"/>
      <c r="B458" s="652"/>
      <c r="C458" s="652"/>
      <c r="D458" s="652"/>
      <c r="E458" s="652"/>
      <c r="F458" s="652"/>
      <c r="G458" s="652"/>
      <c r="H458" s="652"/>
      <c r="I458" s="652"/>
      <c r="J458" s="652"/>
      <c r="K458" s="652"/>
      <c r="L458" s="652"/>
      <c r="M458" s="652"/>
      <c r="N458" s="652"/>
      <c r="O458" s="653"/>
      <c r="P458" s="650" t="s">
        <v>72</v>
      </c>
      <c r="Q458" s="647"/>
      <c r="R458" s="647"/>
      <c r="S458" s="647"/>
      <c r="T458" s="647"/>
      <c r="U458" s="647"/>
      <c r="V458" s="648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57" t="s">
        <v>62</v>
      </c>
      <c r="B459" s="652"/>
      <c r="C459" s="652"/>
      <c r="D459" s="652"/>
      <c r="E459" s="652"/>
      <c r="F459" s="652"/>
      <c r="G459" s="652"/>
      <c r="H459" s="652"/>
      <c r="I459" s="652"/>
      <c r="J459" s="652"/>
      <c r="K459" s="652"/>
      <c r="L459" s="652"/>
      <c r="M459" s="652"/>
      <c r="N459" s="652"/>
      <c r="O459" s="652"/>
      <c r="P459" s="652"/>
      <c r="Q459" s="652"/>
      <c r="R459" s="652"/>
      <c r="S459" s="652"/>
      <c r="T459" s="652"/>
      <c r="U459" s="652"/>
      <c r="V459" s="652"/>
      <c r="W459" s="652"/>
      <c r="X459" s="652"/>
      <c r="Y459" s="652"/>
      <c r="Z459" s="652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43">
        <v>4607091384802</v>
      </c>
      <c r="E460" s="644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7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0"/>
      <c r="R460" s="640"/>
      <c r="S460" s="640"/>
      <c r="T460" s="641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1"/>
      <c r="B461" s="652"/>
      <c r="C461" s="652"/>
      <c r="D461" s="652"/>
      <c r="E461" s="652"/>
      <c r="F461" s="652"/>
      <c r="G461" s="652"/>
      <c r="H461" s="652"/>
      <c r="I461" s="652"/>
      <c r="J461" s="652"/>
      <c r="K461" s="652"/>
      <c r="L461" s="652"/>
      <c r="M461" s="652"/>
      <c r="N461" s="652"/>
      <c r="O461" s="653"/>
      <c r="P461" s="650" t="s">
        <v>72</v>
      </c>
      <c r="Q461" s="647"/>
      <c r="R461" s="647"/>
      <c r="S461" s="647"/>
      <c r="T461" s="647"/>
      <c r="U461" s="647"/>
      <c r="V461" s="648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52"/>
      <c r="B462" s="652"/>
      <c r="C462" s="652"/>
      <c r="D462" s="652"/>
      <c r="E462" s="652"/>
      <c r="F462" s="652"/>
      <c r="G462" s="652"/>
      <c r="H462" s="652"/>
      <c r="I462" s="652"/>
      <c r="J462" s="652"/>
      <c r="K462" s="652"/>
      <c r="L462" s="652"/>
      <c r="M462" s="652"/>
      <c r="N462" s="652"/>
      <c r="O462" s="653"/>
      <c r="P462" s="650" t="s">
        <v>72</v>
      </c>
      <c r="Q462" s="647"/>
      <c r="R462" s="647"/>
      <c r="S462" s="647"/>
      <c r="T462" s="647"/>
      <c r="U462" s="647"/>
      <c r="V462" s="648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57" t="s">
        <v>74</v>
      </c>
      <c r="B463" s="652"/>
      <c r="C463" s="652"/>
      <c r="D463" s="652"/>
      <c r="E463" s="652"/>
      <c r="F463" s="652"/>
      <c r="G463" s="652"/>
      <c r="H463" s="652"/>
      <c r="I463" s="652"/>
      <c r="J463" s="652"/>
      <c r="K463" s="652"/>
      <c r="L463" s="652"/>
      <c r="M463" s="652"/>
      <c r="N463" s="652"/>
      <c r="O463" s="652"/>
      <c r="P463" s="652"/>
      <c r="Q463" s="652"/>
      <c r="R463" s="652"/>
      <c r="S463" s="652"/>
      <c r="T463" s="652"/>
      <c r="U463" s="652"/>
      <c r="V463" s="652"/>
      <c r="W463" s="652"/>
      <c r="X463" s="652"/>
      <c r="Y463" s="652"/>
      <c r="Z463" s="652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3">
        <v>4607091384246</v>
      </c>
      <c r="E464" s="644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9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0"/>
      <c r="R464" s="640"/>
      <c r="S464" s="640"/>
      <c r="T464" s="641"/>
      <c r="U464" s="34"/>
      <c r="V464" s="34"/>
      <c r="W464" s="35" t="s">
        <v>67</v>
      </c>
      <c r="X464" s="633">
        <v>400</v>
      </c>
      <c r="Y464" s="634">
        <f>IFERROR(IF(X464="",0,CEILING((X464/$H464),1)*$H464),"")</f>
        <v>405</v>
      </c>
      <c r="Z464" s="36">
        <f>IFERROR(IF(Y464=0,"",ROUNDUP(Y464/H464,0)*0.01898),"")</f>
        <v>0.85409999999999997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421.95555555555552</v>
      </c>
      <c r="BN464" s="64">
        <f>IFERROR(Y464*I464/H464,"0")</f>
        <v>427.22999999999996</v>
      </c>
      <c r="BO464" s="64">
        <f>IFERROR(1/J464*(X464/H464),"0")</f>
        <v>0.69444444444444442</v>
      </c>
      <c r="BP464" s="64">
        <f>IFERROR(1/J464*(Y464/H464),"0")</f>
        <v>0.703125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3">
        <v>4607091384253</v>
      </c>
      <c r="E465" s="644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7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0"/>
      <c r="R465" s="640"/>
      <c r="S465" s="640"/>
      <c r="T465" s="641"/>
      <c r="U465" s="34"/>
      <c r="V465" s="34"/>
      <c r="W465" s="35" t="s">
        <v>67</v>
      </c>
      <c r="X465" s="633">
        <v>12</v>
      </c>
      <c r="Y465" s="634">
        <f>IFERROR(IF(X465="",0,CEILING((X465/$H465),1)*$H465),"")</f>
        <v>12</v>
      </c>
      <c r="Z465" s="36">
        <f>IFERROR(IF(Y465=0,"",ROUNDUP(Y465/H465,0)*0.00651),"")</f>
        <v>3.2550000000000003E-2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13.320000000000002</v>
      </c>
      <c r="BN465" s="64">
        <f>IFERROR(Y465*I465/H465,"0")</f>
        <v>13.320000000000002</v>
      </c>
      <c r="BO465" s="64">
        <f>IFERROR(1/J465*(X465/H465),"0")</f>
        <v>2.7472527472527476E-2</v>
      </c>
      <c r="BP465" s="64">
        <f>IFERROR(1/J465*(Y465/H465),"0")</f>
        <v>2.7472527472527476E-2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43">
        <v>4607091384253</v>
      </c>
      <c r="E466" s="644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100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0"/>
      <c r="R466" s="640"/>
      <c r="S466" s="640"/>
      <c r="T466" s="641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51"/>
      <c r="B467" s="652"/>
      <c r="C467" s="652"/>
      <c r="D467" s="652"/>
      <c r="E467" s="652"/>
      <c r="F467" s="652"/>
      <c r="G467" s="652"/>
      <c r="H467" s="652"/>
      <c r="I467" s="652"/>
      <c r="J467" s="652"/>
      <c r="K467" s="652"/>
      <c r="L467" s="652"/>
      <c r="M467" s="652"/>
      <c r="N467" s="652"/>
      <c r="O467" s="653"/>
      <c r="P467" s="650" t="s">
        <v>72</v>
      </c>
      <c r="Q467" s="647"/>
      <c r="R467" s="647"/>
      <c r="S467" s="647"/>
      <c r="T467" s="647"/>
      <c r="U467" s="647"/>
      <c r="V467" s="648"/>
      <c r="W467" s="37" t="s">
        <v>73</v>
      </c>
      <c r="X467" s="635">
        <f>IFERROR(X464/H464,"0")+IFERROR(X465/H465,"0")+IFERROR(X466/H466,"0")</f>
        <v>49.444444444444443</v>
      </c>
      <c r="Y467" s="635">
        <f>IFERROR(Y464/H464,"0")+IFERROR(Y465/H465,"0")+IFERROR(Y466/H466,"0")</f>
        <v>50</v>
      </c>
      <c r="Z467" s="635">
        <f>IFERROR(IF(Z464="",0,Z464),"0")+IFERROR(IF(Z465="",0,Z465),"0")+IFERROR(IF(Z466="",0,Z466),"0")</f>
        <v>0.88664999999999994</v>
      </c>
      <c r="AA467" s="636"/>
      <c r="AB467" s="636"/>
      <c r="AC467" s="636"/>
    </row>
    <row r="468" spans="1:68" x14ac:dyDescent="0.2">
      <c r="A468" s="652"/>
      <c r="B468" s="652"/>
      <c r="C468" s="652"/>
      <c r="D468" s="652"/>
      <c r="E468" s="652"/>
      <c r="F468" s="652"/>
      <c r="G468" s="652"/>
      <c r="H468" s="652"/>
      <c r="I468" s="652"/>
      <c r="J468" s="652"/>
      <c r="K468" s="652"/>
      <c r="L468" s="652"/>
      <c r="M468" s="652"/>
      <c r="N468" s="652"/>
      <c r="O468" s="653"/>
      <c r="P468" s="650" t="s">
        <v>72</v>
      </c>
      <c r="Q468" s="647"/>
      <c r="R468" s="647"/>
      <c r="S468" s="647"/>
      <c r="T468" s="647"/>
      <c r="U468" s="647"/>
      <c r="V468" s="648"/>
      <c r="W468" s="37" t="s">
        <v>67</v>
      </c>
      <c r="X468" s="635">
        <f>IFERROR(SUM(X464:X466),"0")</f>
        <v>412</v>
      </c>
      <c r="Y468" s="635">
        <f>IFERROR(SUM(Y464:Y466),"0")</f>
        <v>417</v>
      </c>
      <c r="Z468" s="37"/>
      <c r="AA468" s="636"/>
      <c r="AB468" s="636"/>
      <c r="AC468" s="636"/>
    </row>
    <row r="469" spans="1:68" ht="27.75" hidden="1" customHeight="1" x14ac:dyDescent="0.2">
      <c r="A469" s="719" t="s">
        <v>754</v>
      </c>
      <c r="B469" s="720"/>
      <c r="C469" s="720"/>
      <c r="D469" s="720"/>
      <c r="E469" s="720"/>
      <c r="F469" s="720"/>
      <c r="G469" s="720"/>
      <c r="H469" s="720"/>
      <c r="I469" s="720"/>
      <c r="J469" s="720"/>
      <c r="K469" s="720"/>
      <c r="L469" s="720"/>
      <c r="M469" s="720"/>
      <c r="N469" s="720"/>
      <c r="O469" s="720"/>
      <c r="P469" s="720"/>
      <c r="Q469" s="720"/>
      <c r="R469" s="720"/>
      <c r="S469" s="720"/>
      <c r="T469" s="720"/>
      <c r="U469" s="720"/>
      <c r="V469" s="720"/>
      <c r="W469" s="720"/>
      <c r="X469" s="720"/>
      <c r="Y469" s="720"/>
      <c r="Z469" s="720"/>
      <c r="AA469" s="48"/>
      <c r="AB469" s="48"/>
      <c r="AC469" s="48"/>
    </row>
    <row r="470" spans="1:68" ht="16.5" hidden="1" customHeight="1" x14ac:dyDescent="0.25">
      <c r="A470" s="661" t="s">
        <v>755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28"/>
      <c r="AB470" s="628"/>
      <c r="AC470" s="628"/>
    </row>
    <row r="471" spans="1:68" ht="14.25" hidden="1" customHeight="1" x14ac:dyDescent="0.25">
      <c r="A471" s="657" t="s">
        <v>62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3">
        <v>4680115886100</v>
      </c>
      <c r="E472" s="644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78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37</v>
      </c>
      <c r="Y472" s="634">
        <f t="shared" ref="Y472:Y477" si="58">IFERROR(IF(X472="",0,CEILING((X472/$H472),1)*$H472),"")</f>
        <v>37.800000000000004</v>
      </c>
      <c r="Z472" s="36">
        <f>IFERROR(IF(Y472=0,"",ROUNDUP(Y472/H472,0)*0.00902),"")</f>
        <v>6.3140000000000002E-2</v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38.301851851851843</v>
      </c>
      <c r="BN472" s="64">
        <f t="shared" ref="BN472:BN477" si="60">IFERROR(Y472*I472/H472,"0")</f>
        <v>39.130000000000003</v>
      </c>
      <c r="BO472" s="64">
        <f t="shared" ref="BO472:BO477" si="61">IFERROR(1/J472*(X472/H472),"0")</f>
        <v>5.1907968574635241E-2</v>
      </c>
      <c r="BP472" s="64">
        <f t="shared" ref="BP472:BP477" si="62">IFERROR(1/J472*(Y472/H472),"0")</f>
        <v>5.3030303030303032E-2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43">
        <v>4680115886124</v>
      </c>
      <c r="E473" s="644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0"/>
      <c r="R473" s="640"/>
      <c r="S473" s="640"/>
      <c r="T473" s="641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43">
        <v>4607091384338</v>
      </c>
      <c r="E474" s="644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92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0"/>
      <c r="R474" s="640"/>
      <c r="S474" s="640"/>
      <c r="T474" s="641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43">
        <v>4680115883161</v>
      </c>
      <c r="E475" s="644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76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0"/>
      <c r="R475" s="640"/>
      <c r="S475" s="640"/>
      <c r="T475" s="641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43">
        <v>4607091389531</v>
      </c>
      <c r="E476" s="644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94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43">
        <v>4607091384345</v>
      </c>
      <c r="E477" s="644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51"/>
      <c r="B478" s="652"/>
      <c r="C478" s="652"/>
      <c r="D478" s="652"/>
      <c r="E478" s="652"/>
      <c r="F478" s="652"/>
      <c r="G478" s="652"/>
      <c r="H478" s="652"/>
      <c r="I478" s="652"/>
      <c r="J478" s="652"/>
      <c r="K478" s="652"/>
      <c r="L478" s="652"/>
      <c r="M478" s="652"/>
      <c r="N478" s="652"/>
      <c r="O478" s="653"/>
      <c r="P478" s="650" t="s">
        <v>72</v>
      </c>
      <c r="Q478" s="647"/>
      <c r="R478" s="647"/>
      <c r="S478" s="647"/>
      <c r="T478" s="647"/>
      <c r="U478" s="647"/>
      <c r="V478" s="648"/>
      <c r="W478" s="37" t="s">
        <v>73</v>
      </c>
      <c r="X478" s="635">
        <f>IFERROR(X472/H472,"0")+IFERROR(X473/H473,"0")+IFERROR(X474/H474,"0")+IFERROR(X475/H475,"0")+IFERROR(X476/H476,"0")+IFERROR(X477/H477,"0")</f>
        <v>6.8518518518518512</v>
      </c>
      <c r="Y478" s="635">
        <f>IFERROR(Y472/H472,"0")+IFERROR(Y473/H473,"0")+IFERROR(Y474/H474,"0")+IFERROR(Y475/H475,"0")+IFERROR(Y476/H476,"0")+IFERROR(Y477/H477,"0")</f>
        <v>7</v>
      </c>
      <c r="Z478" s="635">
        <f>IFERROR(IF(Z472="",0,Z472),"0")+IFERROR(IF(Z473="",0,Z473),"0")+IFERROR(IF(Z474="",0,Z474),"0")+IFERROR(IF(Z475="",0,Z475),"0")+IFERROR(IF(Z476="",0,Z476),"0")+IFERROR(IF(Z477="",0,Z477),"0")</f>
        <v>6.3140000000000002E-2</v>
      </c>
      <c r="AA478" s="636"/>
      <c r="AB478" s="636"/>
      <c r="AC478" s="636"/>
    </row>
    <row r="479" spans="1:68" x14ac:dyDescent="0.2">
      <c r="A479" s="652"/>
      <c r="B479" s="652"/>
      <c r="C479" s="652"/>
      <c r="D479" s="652"/>
      <c r="E479" s="652"/>
      <c r="F479" s="652"/>
      <c r="G479" s="652"/>
      <c r="H479" s="652"/>
      <c r="I479" s="652"/>
      <c r="J479" s="652"/>
      <c r="K479" s="652"/>
      <c r="L479" s="652"/>
      <c r="M479" s="652"/>
      <c r="N479" s="652"/>
      <c r="O479" s="653"/>
      <c r="P479" s="650" t="s">
        <v>72</v>
      </c>
      <c r="Q479" s="647"/>
      <c r="R479" s="647"/>
      <c r="S479" s="647"/>
      <c r="T479" s="647"/>
      <c r="U479" s="647"/>
      <c r="V479" s="648"/>
      <c r="W479" s="37" t="s">
        <v>67</v>
      </c>
      <c r="X479" s="635">
        <f>IFERROR(SUM(X472:X477),"0")</f>
        <v>37</v>
      </c>
      <c r="Y479" s="635">
        <f>IFERROR(SUM(Y472:Y477),"0")</f>
        <v>37.800000000000004</v>
      </c>
      <c r="Z479" s="37"/>
      <c r="AA479" s="636"/>
      <c r="AB479" s="636"/>
      <c r="AC479" s="636"/>
    </row>
    <row r="480" spans="1:68" ht="14.25" hidden="1" customHeight="1" x14ac:dyDescent="0.25">
      <c r="A480" s="657" t="s">
        <v>74</v>
      </c>
      <c r="B480" s="652"/>
      <c r="C480" s="652"/>
      <c r="D480" s="652"/>
      <c r="E480" s="652"/>
      <c r="F480" s="652"/>
      <c r="G480" s="652"/>
      <c r="H480" s="652"/>
      <c r="I480" s="652"/>
      <c r="J480" s="652"/>
      <c r="K480" s="652"/>
      <c r="L480" s="652"/>
      <c r="M480" s="652"/>
      <c r="N480" s="652"/>
      <c r="O480" s="652"/>
      <c r="P480" s="652"/>
      <c r="Q480" s="652"/>
      <c r="R480" s="652"/>
      <c r="S480" s="652"/>
      <c r="T480" s="652"/>
      <c r="U480" s="652"/>
      <c r="V480" s="652"/>
      <c r="W480" s="652"/>
      <c r="X480" s="652"/>
      <c r="Y480" s="652"/>
      <c r="Z480" s="652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43">
        <v>4607091384352</v>
      </c>
      <c r="E481" s="644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9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0"/>
      <c r="R481" s="640"/>
      <c r="S481" s="640"/>
      <c r="T481" s="641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43">
        <v>4607091389654</v>
      </c>
      <c r="E482" s="644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9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0"/>
      <c r="R482" s="640"/>
      <c r="S482" s="640"/>
      <c r="T482" s="641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51"/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3"/>
      <c r="P483" s="650" t="s">
        <v>72</v>
      </c>
      <c r="Q483" s="647"/>
      <c r="R483" s="647"/>
      <c r="S483" s="647"/>
      <c r="T483" s="647"/>
      <c r="U483" s="647"/>
      <c r="V483" s="648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52"/>
      <c r="B484" s="652"/>
      <c r="C484" s="652"/>
      <c r="D484" s="652"/>
      <c r="E484" s="652"/>
      <c r="F484" s="652"/>
      <c r="G484" s="652"/>
      <c r="H484" s="652"/>
      <c r="I484" s="652"/>
      <c r="J484" s="652"/>
      <c r="K484" s="652"/>
      <c r="L484" s="652"/>
      <c r="M484" s="652"/>
      <c r="N484" s="652"/>
      <c r="O484" s="653"/>
      <c r="P484" s="650" t="s">
        <v>72</v>
      </c>
      <c r="Q484" s="647"/>
      <c r="R484" s="647"/>
      <c r="S484" s="647"/>
      <c r="T484" s="647"/>
      <c r="U484" s="647"/>
      <c r="V484" s="648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61" t="s">
        <v>778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28"/>
      <c r="AB485" s="628"/>
      <c r="AC485" s="628"/>
    </row>
    <row r="486" spans="1:68" ht="14.25" hidden="1" customHeight="1" x14ac:dyDescent="0.25">
      <c r="A486" s="657" t="s">
        <v>147</v>
      </c>
      <c r="B486" s="652"/>
      <c r="C486" s="652"/>
      <c r="D486" s="652"/>
      <c r="E486" s="652"/>
      <c r="F486" s="652"/>
      <c r="G486" s="652"/>
      <c r="H486" s="652"/>
      <c r="I486" s="652"/>
      <c r="J486" s="652"/>
      <c r="K486" s="652"/>
      <c r="L486" s="652"/>
      <c r="M486" s="652"/>
      <c r="N486" s="652"/>
      <c r="O486" s="652"/>
      <c r="P486" s="652"/>
      <c r="Q486" s="652"/>
      <c r="R486" s="652"/>
      <c r="S486" s="652"/>
      <c r="T486" s="652"/>
      <c r="U486" s="652"/>
      <c r="V486" s="652"/>
      <c r="W486" s="652"/>
      <c r="X486" s="652"/>
      <c r="Y486" s="652"/>
      <c r="Z486" s="652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43">
        <v>4680115885240</v>
      </c>
      <c r="E487" s="644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7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1"/>
      <c r="B488" s="652"/>
      <c r="C488" s="652"/>
      <c r="D488" s="652"/>
      <c r="E488" s="652"/>
      <c r="F488" s="652"/>
      <c r="G488" s="652"/>
      <c r="H488" s="652"/>
      <c r="I488" s="652"/>
      <c r="J488" s="652"/>
      <c r="K488" s="652"/>
      <c r="L488" s="652"/>
      <c r="M488" s="652"/>
      <c r="N488" s="652"/>
      <c r="O488" s="653"/>
      <c r="P488" s="650" t="s">
        <v>72</v>
      </c>
      <c r="Q488" s="647"/>
      <c r="R488" s="647"/>
      <c r="S488" s="647"/>
      <c r="T488" s="647"/>
      <c r="U488" s="647"/>
      <c r="V488" s="648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52"/>
      <c r="B489" s="652"/>
      <c r="C489" s="652"/>
      <c r="D489" s="652"/>
      <c r="E489" s="652"/>
      <c r="F489" s="652"/>
      <c r="G489" s="652"/>
      <c r="H489" s="652"/>
      <c r="I489" s="652"/>
      <c r="J489" s="652"/>
      <c r="K489" s="652"/>
      <c r="L489" s="652"/>
      <c r="M489" s="652"/>
      <c r="N489" s="652"/>
      <c r="O489" s="653"/>
      <c r="P489" s="650" t="s">
        <v>72</v>
      </c>
      <c r="Q489" s="647"/>
      <c r="R489" s="647"/>
      <c r="S489" s="647"/>
      <c r="T489" s="647"/>
      <c r="U489" s="647"/>
      <c r="V489" s="648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57" t="s">
        <v>62</v>
      </c>
      <c r="B490" s="652"/>
      <c r="C490" s="652"/>
      <c r="D490" s="652"/>
      <c r="E490" s="652"/>
      <c r="F490" s="652"/>
      <c r="G490" s="652"/>
      <c r="H490" s="652"/>
      <c r="I490" s="652"/>
      <c r="J490" s="652"/>
      <c r="K490" s="652"/>
      <c r="L490" s="652"/>
      <c r="M490" s="652"/>
      <c r="N490" s="652"/>
      <c r="O490" s="652"/>
      <c r="P490" s="652"/>
      <c r="Q490" s="652"/>
      <c r="R490" s="652"/>
      <c r="S490" s="652"/>
      <c r="T490" s="652"/>
      <c r="U490" s="652"/>
      <c r="V490" s="652"/>
      <c r="W490" s="652"/>
      <c r="X490" s="652"/>
      <c r="Y490" s="652"/>
      <c r="Z490" s="652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3">
        <v>4680115886094</v>
      </c>
      <c r="E491" s="644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5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0"/>
      <c r="R491" s="640"/>
      <c r="S491" s="640"/>
      <c r="T491" s="641"/>
      <c r="U491" s="34"/>
      <c r="V491" s="34"/>
      <c r="W491" s="35" t="s">
        <v>67</v>
      </c>
      <c r="X491" s="633">
        <v>52</v>
      </c>
      <c r="Y491" s="634">
        <f>IFERROR(IF(X491="",0,CEILING((X491/$H491),1)*$H491),"")</f>
        <v>54</v>
      </c>
      <c r="Z491" s="36">
        <f>IFERROR(IF(Y491=0,"",ROUNDUP(Y491/H491,0)*0.00902),"")</f>
        <v>9.0200000000000002E-2</v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53.829629629629629</v>
      </c>
      <c r="BN491" s="64">
        <f>IFERROR(Y491*I491/H491,"0")</f>
        <v>55.9</v>
      </c>
      <c r="BO491" s="64">
        <f>IFERROR(1/J491*(X491/H491),"0")</f>
        <v>7.2951739618406286E-2</v>
      </c>
      <c r="BP491" s="64">
        <f>IFERROR(1/J491*(Y491/H491),"0")</f>
        <v>7.575757575757576E-2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43">
        <v>4680115880771</v>
      </c>
      <c r="E492" s="644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9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0"/>
      <c r="R492" s="640"/>
      <c r="S492" s="640"/>
      <c r="T492" s="641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43">
        <v>4607091389500</v>
      </c>
      <c r="E493" s="644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8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51"/>
      <c r="B494" s="652"/>
      <c r="C494" s="652"/>
      <c r="D494" s="652"/>
      <c r="E494" s="652"/>
      <c r="F494" s="652"/>
      <c r="G494" s="652"/>
      <c r="H494" s="652"/>
      <c r="I494" s="652"/>
      <c r="J494" s="652"/>
      <c r="K494" s="652"/>
      <c r="L494" s="652"/>
      <c r="M494" s="652"/>
      <c r="N494" s="652"/>
      <c r="O494" s="653"/>
      <c r="P494" s="650" t="s">
        <v>72</v>
      </c>
      <c r="Q494" s="647"/>
      <c r="R494" s="647"/>
      <c r="S494" s="647"/>
      <c r="T494" s="647"/>
      <c r="U494" s="647"/>
      <c r="V494" s="648"/>
      <c r="W494" s="37" t="s">
        <v>73</v>
      </c>
      <c r="X494" s="635">
        <f>IFERROR(X491/H491,"0")+IFERROR(X492/H492,"0")+IFERROR(X493/H493,"0")</f>
        <v>9.6296296296296298</v>
      </c>
      <c r="Y494" s="635">
        <f>IFERROR(Y491/H491,"0")+IFERROR(Y492/H492,"0")+IFERROR(Y493/H493,"0")</f>
        <v>10</v>
      </c>
      <c r="Z494" s="635">
        <f>IFERROR(IF(Z491="",0,Z491),"0")+IFERROR(IF(Z492="",0,Z492),"0")+IFERROR(IF(Z493="",0,Z493),"0")</f>
        <v>9.0200000000000002E-2</v>
      </c>
      <c r="AA494" s="636"/>
      <c r="AB494" s="636"/>
      <c r="AC494" s="636"/>
    </row>
    <row r="495" spans="1:68" x14ac:dyDescent="0.2">
      <c r="A495" s="652"/>
      <c r="B495" s="652"/>
      <c r="C495" s="652"/>
      <c r="D495" s="652"/>
      <c r="E495" s="652"/>
      <c r="F495" s="652"/>
      <c r="G495" s="652"/>
      <c r="H495" s="652"/>
      <c r="I495" s="652"/>
      <c r="J495" s="652"/>
      <c r="K495" s="652"/>
      <c r="L495" s="652"/>
      <c r="M495" s="652"/>
      <c r="N495" s="652"/>
      <c r="O495" s="653"/>
      <c r="P495" s="650" t="s">
        <v>72</v>
      </c>
      <c r="Q495" s="647"/>
      <c r="R495" s="647"/>
      <c r="S495" s="647"/>
      <c r="T495" s="647"/>
      <c r="U495" s="647"/>
      <c r="V495" s="648"/>
      <c r="W495" s="37" t="s">
        <v>67</v>
      </c>
      <c r="X495" s="635">
        <f>IFERROR(SUM(X491:X493),"0")</f>
        <v>52</v>
      </c>
      <c r="Y495" s="635">
        <f>IFERROR(SUM(Y491:Y493),"0")</f>
        <v>54</v>
      </c>
      <c r="Z495" s="37"/>
      <c r="AA495" s="636"/>
      <c r="AB495" s="636"/>
      <c r="AC495" s="636"/>
    </row>
    <row r="496" spans="1:68" ht="27.75" hidden="1" customHeight="1" x14ac:dyDescent="0.2">
      <c r="A496" s="719" t="s">
        <v>790</v>
      </c>
      <c r="B496" s="720"/>
      <c r="C496" s="720"/>
      <c r="D496" s="720"/>
      <c r="E496" s="720"/>
      <c r="F496" s="720"/>
      <c r="G496" s="720"/>
      <c r="H496" s="720"/>
      <c r="I496" s="720"/>
      <c r="J496" s="720"/>
      <c r="K496" s="720"/>
      <c r="L496" s="720"/>
      <c r="M496" s="720"/>
      <c r="N496" s="720"/>
      <c r="O496" s="720"/>
      <c r="P496" s="720"/>
      <c r="Q496" s="720"/>
      <c r="R496" s="720"/>
      <c r="S496" s="720"/>
      <c r="T496" s="720"/>
      <c r="U496" s="720"/>
      <c r="V496" s="720"/>
      <c r="W496" s="720"/>
      <c r="X496" s="720"/>
      <c r="Y496" s="720"/>
      <c r="Z496" s="720"/>
      <c r="AA496" s="48"/>
      <c r="AB496" s="48"/>
      <c r="AC496" s="48"/>
    </row>
    <row r="497" spans="1:68" ht="16.5" hidden="1" customHeight="1" x14ac:dyDescent="0.25">
      <c r="A497" s="661" t="s">
        <v>790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28"/>
      <c r="AB497" s="628"/>
      <c r="AC497" s="628"/>
    </row>
    <row r="498" spans="1:68" ht="14.25" hidden="1" customHeight="1" x14ac:dyDescent="0.25">
      <c r="A498" s="657" t="s">
        <v>111</v>
      </c>
      <c r="B498" s="652"/>
      <c r="C498" s="652"/>
      <c r="D498" s="652"/>
      <c r="E498" s="652"/>
      <c r="F498" s="652"/>
      <c r="G498" s="652"/>
      <c r="H498" s="652"/>
      <c r="I498" s="652"/>
      <c r="J498" s="652"/>
      <c r="K498" s="652"/>
      <c r="L498" s="652"/>
      <c r="M498" s="652"/>
      <c r="N498" s="652"/>
      <c r="O498" s="652"/>
      <c r="P498" s="652"/>
      <c r="Q498" s="652"/>
      <c r="R498" s="652"/>
      <c r="S498" s="652"/>
      <c r="T498" s="652"/>
      <c r="U498" s="652"/>
      <c r="V498" s="652"/>
      <c r="W498" s="652"/>
      <c r="X498" s="652"/>
      <c r="Y498" s="652"/>
      <c r="Z498" s="652"/>
      <c r="AA498" s="629"/>
      <c r="AB498" s="629"/>
      <c r="AC498" s="629"/>
    </row>
    <row r="499" spans="1:68" ht="27" hidden="1" customHeight="1" x14ac:dyDescent="0.25">
      <c r="A499" s="54" t="s">
        <v>791</v>
      </c>
      <c r="B499" s="54" t="s">
        <v>792</v>
      </c>
      <c r="C499" s="31">
        <v>4301011769</v>
      </c>
      <c r="D499" s="643">
        <v>4607091389067</v>
      </c>
      <c r="E499" s="644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6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0"/>
      <c r="R499" s="640"/>
      <c r="S499" s="640"/>
      <c r="T499" s="641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43">
        <v>4680115889576</v>
      </c>
      <c r="E500" s="644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64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0"/>
      <c r="R500" s="640"/>
      <c r="S500" s="640"/>
      <c r="T500" s="641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3">
        <v>4680115885271</v>
      </c>
      <c r="E501" s="644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5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0"/>
      <c r="R501" s="640"/>
      <c r="S501" s="640"/>
      <c r="T501" s="641"/>
      <c r="U501" s="34"/>
      <c r="V501" s="34"/>
      <c r="W501" s="35" t="s">
        <v>67</v>
      </c>
      <c r="X501" s="633">
        <v>71</v>
      </c>
      <c r="Y501" s="634">
        <f t="shared" si="63"/>
        <v>73.92</v>
      </c>
      <c r="Z501" s="36">
        <f t="shared" si="64"/>
        <v>0.16744000000000001</v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75.706439393939391</v>
      </c>
      <c r="BN501" s="64">
        <f t="shared" si="66"/>
        <v>78.819999999999993</v>
      </c>
      <c r="BO501" s="64">
        <f t="shared" si="67"/>
        <v>0.12929778554778554</v>
      </c>
      <c r="BP501" s="64">
        <f t="shared" si="68"/>
        <v>0.13461538461538464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3">
        <v>4680115885226</v>
      </c>
      <c r="E502" s="644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9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4</v>
      </c>
      <c r="Y502" s="634">
        <f t="shared" si="63"/>
        <v>5.28</v>
      </c>
      <c r="Z502" s="36">
        <f t="shared" si="64"/>
        <v>1.196E-2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4.2651515151515147</v>
      </c>
      <c r="BN502" s="64">
        <f t="shared" si="66"/>
        <v>5.63</v>
      </c>
      <c r="BO502" s="64">
        <f t="shared" si="67"/>
        <v>7.2843822843822849E-3</v>
      </c>
      <c r="BP502" s="64">
        <f t="shared" si="68"/>
        <v>9.6153846153846159E-3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43">
        <v>4680115884502</v>
      </c>
      <c r="E503" s="644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7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3">
        <v>4607091389104</v>
      </c>
      <c r="E504" s="644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96</v>
      </c>
      <c r="Y504" s="634">
        <f t="shared" si="63"/>
        <v>100.32000000000001</v>
      </c>
      <c r="Z504" s="36">
        <f t="shared" si="64"/>
        <v>0.22724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102.36363636363636</v>
      </c>
      <c r="BN504" s="64">
        <f t="shared" si="66"/>
        <v>106.97</v>
      </c>
      <c r="BO504" s="64">
        <f t="shared" si="67"/>
        <v>0.17482517482517482</v>
      </c>
      <c r="BP504" s="64">
        <f t="shared" si="68"/>
        <v>0.18269230769230771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43">
        <v>4680115886391</v>
      </c>
      <c r="E505" s="644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0"/>
      <c r="R505" s="640"/>
      <c r="S505" s="640"/>
      <c r="T505" s="641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810</v>
      </c>
      <c r="B506" s="54" t="s">
        <v>811</v>
      </c>
      <c r="C506" s="31">
        <v>4301012048</v>
      </c>
      <c r="D506" s="643">
        <v>4680115880603</v>
      </c>
      <c r="E506" s="644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0"/>
      <c r="R506" s="640"/>
      <c r="S506" s="640"/>
      <c r="T506" s="641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hidden="1" customHeight="1" x14ac:dyDescent="0.25">
      <c r="A507" s="54" t="s">
        <v>812</v>
      </c>
      <c r="B507" s="54" t="s">
        <v>813</v>
      </c>
      <c r="C507" s="31">
        <v>4301012034</v>
      </c>
      <c r="D507" s="643">
        <v>4607091389982</v>
      </c>
      <c r="E507" s="644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66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0"/>
      <c r="R507" s="640"/>
      <c r="S507" s="640"/>
      <c r="T507" s="641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51"/>
      <c r="B508" s="652"/>
      <c r="C508" s="652"/>
      <c r="D508" s="652"/>
      <c r="E508" s="652"/>
      <c r="F508" s="652"/>
      <c r="G508" s="652"/>
      <c r="H508" s="652"/>
      <c r="I508" s="652"/>
      <c r="J508" s="652"/>
      <c r="K508" s="652"/>
      <c r="L508" s="652"/>
      <c r="M508" s="652"/>
      <c r="N508" s="652"/>
      <c r="O508" s="653"/>
      <c r="P508" s="650" t="s">
        <v>72</v>
      </c>
      <c r="Q508" s="647"/>
      <c r="R508" s="647"/>
      <c r="S508" s="647"/>
      <c r="T508" s="647"/>
      <c r="U508" s="647"/>
      <c r="V508" s="648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32.386363636363633</v>
      </c>
      <c r="Y508" s="635">
        <f>IFERROR(Y499/H499,"0")+IFERROR(Y500/H500,"0")+IFERROR(Y501/H501,"0")+IFERROR(Y502/H502,"0")+IFERROR(Y503/H503,"0")+IFERROR(Y504/H504,"0")+IFERROR(Y505/H505,"0")+IFERROR(Y506/H506,"0")+IFERROR(Y507/H507,"0")</f>
        <v>34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0.40664</v>
      </c>
      <c r="AA508" s="636"/>
      <c r="AB508" s="636"/>
      <c r="AC508" s="636"/>
    </row>
    <row r="509" spans="1:68" x14ac:dyDescent="0.2">
      <c r="A509" s="652"/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3"/>
      <c r="P509" s="650" t="s">
        <v>72</v>
      </c>
      <c r="Q509" s="647"/>
      <c r="R509" s="647"/>
      <c r="S509" s="647"/>
      <c r="T509" s="647"/>
      <c r="U509" s="647"/>
      <c r="V509" s="648"/>
      <c r="W509" s="37" t="s">
        <v>67</v>
      </c>
      <c r="X509" s="635">
        <f>IFERROR(SUM(X499:X507),"0")</f>
        <v>171</v>
      </c>
      <c r="Y509" s="635">
        <f>IFERROR(SUM(Y499:Y507),"0")</f>
        <v>179.52</v>
      </c>
      <c r="Z509" s="37"/>
      <c r="AA509" s="636"/>
      <c r="AB509" s="636"/>
      <c r="AC509" s="636"/>
    </row>
    <row r="510" spans="1:68" ht="14.25" hidden="1" customHeight="1" x14ac:dyDescent="0.25">
      <c r="A510" s="657" t="s">
        <v>147</v>
      </c>
      <c r="B510" s="652"/>
      <c r="C510" s="652"/>
      <c r="D510" s="652"/>
      <c r="E510" s="652"/>
      <c r="F510" s="652"/>
      <c r="G510" s="652"/>
      <c r="H510" s="652"/>
      <c r="I510" s="652"/>
      <c r="J510" s="652"/>
      <c r="K510" s="652"/>
      <c r="L510" s="652"/>
      <c r="M510" s="652"/>
      <c r="N510" s="652"/>
      <c r="O510" s="652"/>
      <c r="P510" s="652"/>
      <c r="Q510" s="652"/>
      <c r="R510" s="652"/>
      <c r="S510" s="652"/>
      <c r="T510" s="652"/>
      <c r="U510" s="652"/>
      <c r="V510" s="652"/>
      <c r="W510" s="652"/>
      <c r="X510" s="652"/>
      <c r="Y510" s="652"/>
      <c r="Z510" s="652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3">
        <v>4607091388930</v>
      </c>
      <c r="E511" s="644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37</v>
      </c>
      <c r="Y511" s="634">
        <f>IFERROR(IF(X511="",0,CEILING((X511/$H511),1)*$H511),"")</f>
        <v>42.24</v>
      </c>
      <c r="Z511" s="36">
        <f>IFERROR(IF(Y511=0,"",ROUNDUP(Y511/H511,0)*0.01196),"")</f>
        <v>9.5680000000000001E-2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39.452651515151516</v>
      </c>
      <c r="BN511" s="64">
        <f>IFERROR(Y511*I511/H511,"0")</f>
        <v>45.04</v>
      </c>
      <c r="BO511" s="64">
        <f>IFERROR(1/J511*(X511/H511),"0")</f>
        <v>6.7380536130536128E-2</v>
      </c>
      <c r="BP511" s="64">
        <f>IFERROR(1/J511*(Y511/H511),"0")</f>
        <v>7.6923076923076927E-2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43">
        <v>4680115886407</v>
      </c>
      <c r="E512" s="644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78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819</v>
      </c>
      <c r="B513" s="54" t="s">
        <v>820</v>
      </c>
      <c r="C513" s="31">
        <v>4301020385</v>
      </c>
      <c r="D513" s="643">
        <v>4680115880054</v>
      </c>
      <c r="E513" s="644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9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51"/>
      <c r="B514" s="652"/>
      <c r="C514" s="652"/>
      <c r="D514" s="652"/>
      <c r="E514" s="652"/>
      <c r="F514" s="652"/>
      <c r="G514" s="652"/>
      <c r="H514" s="652"/>
      <c r="I514" s="652"/>
      <c r="J514" s="652"/>
      <c r="K514" s="652"/>
      <c r="L514" s="652"/>
      <c r="M514" s="652"/>
      <c r="N514" s="652"/>
      <c r="O514" s="653"/>
      <c r="P514" s="650" t="s">
        <v>72</v>
      </c>
      <c r="Q514" s="647"/>
      <c r="R514" s="647"/>
      <c r="S514" s="647"/>
      <c r="T514" s="647"/>
      <c r="U514" s="647"/>
      <c r="V514" s="648"/>
      <c r="W514" s="37" t="s">
        <v>73</v>
      </c>
      <c r="X514" s="635">
        <f>IFERROR(X511/H511,"0")+IFERROR(X512/H512,"0")+IFERROR(X513/H513,"0")</f>
        <v>7.0075757575757569</v>
      </c>
      <c r="Y514" s="635">
        <f>IFERROR(Y511/H511,"0")+IFERROR(Y512/H512,"0")+IFERROR(Y513/H513,"0")</f>
        <v>8</v>
      </c>
      <c r="Z514" s="635">
        <f>IFERROR(IF(Z511="",0,Z511),"0")+IFERROR(IF(Z512="",0,Z512),"0")+IFERROR(IF(Z513="",0,Z513),"0")</f>
        <v>9.5680000000000001E-2</v>
      </c>
      <c r="AA514" s="636"/>
      <c r="AB514" s="636"/>
      <c r="AC514" s="636"/>
    </row>
    <row r="515" spans="1:68" x14ac:dyDescent="0.2">
      <c r="A515" s="652"/>
      <c r="B515" s="652"/>
      <c r="C515" s="652"/>
      <c r="D515" s="652"/>
      <c r="E515" s="652"/>
      <c r="F515" s="652"/>
      <c r="G515" s="652"/>
      <c r="H515" s="652"/>
      <c r="I515" s="652"/>
      <c r="J515" s="652"/>
      <c r="K515" s="652"/>
      <c r="L515" s="652"/>
      <c r="M515" s="652"/>
      <c r="N515" s="652"/>
      <c r="O515" s="653"/>
      <c r="P515" s="650" t="s">
        <v>72</v>
      </c>
      <c r="Q515" s="647"/>
      <c r="R515" s="647"/>
      <c r="S515" s="647"/>
      <c r="T515" s="647"/>
      <c r="U515" s="647"/>
      <c r="V515" s="648"/>
      <c r="W515" s="37" t="s">
        <v>67</v>
      </c>
      <c r="X515" s="635">
        <f>IFERROR(SUM(X511:X513),"0")</f>
        <v>37</v>
      </c>
      <c r="Y515" s="635">
        <f>IFERROR(SUM(Y511:Y513),"0")</f>
        <v>42.24</v>
      </c>
      <c r="Z515" s="37"/>
      <c r="AA515" s="636"/>
      <c r="AB515" s="636"/>
      <c r="AC515" s="636"/>
    </row>
    <row r="516" spans="1:68" ht="14.25" hidden="1" customHeight="1" x14ac:dyDescent="0.25">
      <c r="A516" s="657" t="s">
        <v>62</v>
      </c>
      <c r="B516" s="652"/>
      <c r="C516" s="652"/>
      <c r="D516" s="652"/>
      <c r="E516" s="652"/>
      <c r="F516" s="652"/>
      <c r="G516" s="652"/>
      <c r="H516" s="652"/>
      <c r="I516" s="652"/>
      <c r="J516" s="652"/>
      <c r="K516" s="652"/>
      <c r="L516" s="652"/>
      <c r="M516" s="652"/>
      <c r="N516" s="652"/>
      <c r="O516" s="652"/>
      <c r="P516" s="652"/>
      <c r="Q516" s="652"/>
      <c r="R516" s="652"/>
      <c r="S516" s="652"/>
      <c r="T516" s="652"/>
      <c r="U516" s="652"/>
      <c r="V516" s="652"/>
      <c r="W516" s="652"/>
      <c r="X516" s="652"/>
      <c r="Y516" s="652"/>
      <c r="Z516" s="652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3">
        <v>4680115883116</v>
      </c>
      <c r="E517" s="644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79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44</v>
      </c>
      <c r="Y517" s="634">
        <f t="shared" ref="Y517:Y523" si="69">IFERROR(IF(X517="",0,CEILING((X517/$H517),1)*$H517),"")</f>
        <v>47.52</v>
      </c>
      <c r="Z517" s="36">
        <f>IFERROR(IF(Y517=0,"",ROUNDUP(Y517/H517,0)*0.01196),"")</f>
        <v>0.10764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46.916666666666664</v>
      </c>
      <c r="BN517" s="64">
        <f t="shared" ref="BN517:BN523" si="71">IFERROR(Y517*I517/H517,"0")</f>
        <v>50.669999999999995</v>
      </c>
      <c r="BO517" s="64">
        <f t="shared" ref="BO517:BO523" si="72">IFERROR(1/J517*(X517/H517),"0")</f>
        <v>8.0128205128205121E-2</v>
      </c>
      <c r="BP517" s="64">
        <f t="shared" ref="BP517:BP523" si="73">IFERROR(1/J517*(Y517/H517),"0")</f>
        <v>8.6538461538461536E-2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3">
        <v>4680115883093</v>
      </c>
      <c r="E518" s="644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0"/>
      <c r="R518" s="640"/>
      <c r="S518" s="640"/>
      <c r="T518" s="641"/>
      <c r="U518" s="34"/>
      <c r="V518" s="34"/>
      <c r="W518" s="35" t="s">
        <v>67</v>
      </c>
      <c r="X518" s="633">
        <v>144</v>
      </c>
      <c r="Y518" s="634">
        <f t="shared" si="69"/>
        <v>147.84</v>
      </c>
      <c r="Z518" s="36">
        <f>IFERROR(IF(Y518=0,"",ROUNDUP(Y518/H518,0)*0.01196),"")</f>
        <v>0.33488000000000001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153.54545454545453</v>
      </c>
      <c r="BN518" s="64">
        <f t="shared" si="71"/>
        <v>157.63999999999999</v>
      </c>
      <c r="BO518" s="64">
        <f t="shared" si="72"/>
        <v>0.26223776223776224</v>
      </c>
      <c r="BP518" s="64">
        <f t="shared" si="73"/>
        <v>0.26923076923076927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3">
        <v>4680115883109</v>
      </c>
      <c r="E519" s="644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9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0"/>
      <c r="R519" s="640"/>
      <c r="S519" s="640"/>
      <c r="T519" s="641"/>
      <c r="U519" s="34"/>
      <c r="V519" s="34"/>
      <c r="W519" s="35" t="s">
        <v>67</v>
      </c>
      <c r="X519" s="633">
        <v>146</v>
      </c>
      <c r="Y519" s="634">
        <f t="shared" si="69"/>
        <v>147.84</v>
      </c>
      <c r="Z519" s="36">
        <f>IFERROR(IF(Y519=0,"",ROUNDUP(Y519/H519,0)*0.01196),"")</f>
        <v>0.33488000000000001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155.67803030303031</v>
      </c>
      <c r="BN519" s="64">
        <f t="shared" si="71"/>
        <v>157.63999999999999</v>
      </c>
      <c r="BO519" s="64">
        <f t="shared" si="72"/>
        <v>0.26587995337995335</v>
      </c>
      <c r="BP519" s="64">
        <f t="shared" si="73"/>
        <v>0.26923076923076927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43">
        <v>4680115882072</v>
      </c>
      <c r="E520" s="644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9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0"/>
      <c r="R520" s="640"/>
      <c r="S520" s="640"/>
      <c r="T520" s="641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43">
        <v>4680115882102</v>
      </c>
      <c r="E521" s="644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9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43">
        <v>4680115882102</v>
      </c>
      <c r="E522" s="644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9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43">
        <v>4680115882096</v>
      </c>
      <c r="E523" s="644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8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51"/>
      <c r="B524" s="652"/>
      <c r="C524" s="652"/>
      <c r="D524" s="652"/>
      <c r="E524" s="652"/>
      <c r="F524" s="652"/>
      <c r="G524" s="652"/>
      <c r="H524" s="652"/>
      <c r="I524" s="652"/>
      <c r="J524" s="652"/>
      <c r="K524" s="652"/>
      <c r="L524" s="652"/>
      <c r="M524" s="652"/>
      <c r="N524" s="652"/>
      <c r="O524" s="653"/>
      <c r="P524" s="650" t="s">
        <v>72</v>
      </c>
      <c r="Q524" s="647"/>
      <c r="R524" s="647"/>
      <c r="S524" s="647"/>
      <c r="T524" s="647"/>
      <c r="U524" s="647"/>
      <c r="V524" s="648"/>
      <c r="W524" s="37" t="s">
        <v>73</v>
      </c>
      <c r="X524" s="635">
        <f>IFERROR(X517/H517,"0")+IFERROR(X518/H518,"0")+IFERROR(X519/H519,"0")+IFERROR(X520/H520,"0")+IFERROR(X521/H521,"0")+IFERROR(X522/H522,"0")+IFERROR(X523/H523,"0")</f>
        <v>63.257575757575751</v>
      </c>
      <c r="Y524" s="635">
        <f>IFERROR(Y517/H517,"0")+IFERROR(Y518/H518,"0")+IFERROR(Y519/H519,"0")+IFERROR(Y520/H520,"0")+IFERROR(Y521/H521,"0")+IFERROR(Y522/H522,"0")+IFERROR(Y523/H523,"0")</f>
        <v>65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0.77740000000000009</v>
      </c>
      <c r="AA524" s="636"/>
      <c r="AB524" s="636"/>
      <c r="AC524" s="636"/>
    </row>
    <row r="525" spans="1:68" x14ac:dyDescent="0.2">
      <c r="A525" s="652"/>
      <c r="B525" s="652"/>
      <c r="C525" s="652"/>
      <c r="D525" s="652"/>
      <c r="E525" s="652"/>
      <c r="F525" s="652"/>
      <c r="G525" s="652"/>
      <c r="H525" s="652"/>
      <c r="I525" s="652"/>
      <c r="J525" s="652"/>
      <c r="K525" s="652"/>
      <c r="L525" s="652"/>
      <c r="M525" s="652"/>
      <c r="N525" s="652"/>
      <c r="O525" s="653"/>
      <c r="P525" s="650" t="s">
        <v>72</v>
      </c>
      <c r="Q525" s="647"/>
      <c r="R525" s="647"/>
      <c r="S525" s="647"/>
      <c r="T525" s="647"/>
      <c r="U525" s="647"/>
      <c r="V525" s="648"/>
      <c r="W525" s="37" t="s">
        <v>67</v>
      </c>
      <c r="X525" s="635">
        <f>IFERROR(SUM(X517:X523),"0")</f>
        <v>334</v>
      </c>
      <c r="Y525" s="635">
        <f>IFERROR(SUM(Y517:Y523),"0")</f>
        <v>343.20000000000005</v>
      </c>
      <c r="Z525" s="37"/>
      <c r="AA525" s="636"/>
      <c r="AB525" s="636"/>
      <c r="AC525" s="636"/>
    </row>
    <row r="526" spans="1:68" ht="27.75" hidden="1" customHeight="1" x14ac:dyDescent="0.2">
      <c r="A526" s="719" t="s">
        <v>837</v>
      </c>
      <c r="B526" s="720"/>
      <c r="C526" s="720"/>
      <c r="D526" s="720"/>
      <c r="E526" s="720"/>
      <c r="F526" s="720"/>
      <c r="G526" s="720"/>
      <c r="H526" s="720"/>
      <c r="I526" s="720"/>
      <c r="J526" s="720"/>
      <c r="K526" s="720"/>
      <c r="L526" s="720"/>
      <c r="M526" s="720"/>
      <c r="N526" s="720"/>
      <c r="O526" s="720"/>
      <c r="P526" s="720"/>
      <c r="Q526" s="720"/>
      <c r="R526" s="720"/>
      <c r="S526" s="720"/>
      <c r="T526" s="720"/>
      <c r="U526" s="720"/>
      <c r="V526" s="720"/>
      <c r="W526" s="720"/>
      <c r="X526" s="720"/>
      <c r="Y526" s="720"/>
      <c r="Z526" s="720"/>
      <c r="AA526" s="48"/>
      <c r="AB526" s="48"/>
      <c r="AC526" s="48"/>
    </row>
    <row r="527" spans="1:68" ht="16.5" hidden="1" customHeight="1" x14ac:dyDescent="0.25">
      <c r="A527" s="661" t="s">
        <v>837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28"/>
      <c r="AB527" s="628"/>
      <c r="AC527" s="628"/>
    </row>
    <row r="528" spans="1:68" ht="14.25" hidden="1" customHeight="1" x14ac:dyDescent="0.25">
      <c r="A528" s="657" t="s">
        <v>111</v>
      </c>
      <c r="B528" s="652"/>
      <c r="C528" s="652"/>
      <c r="D528" s="652"/>
      <c r="E528" s="652"/>
      <c r="F528" s="652"/>
      <c r="G528" s="652"/>
      <c r="H528" s="652"/>
      <c r="I528" s="652"/>
      <c r="J528" s="652"/>
      <c r="K528" s="652"/>
      <c r="L528" s="652"/>
      <c r="M528" s="652"/>
      <c r="N528" s="652"/>
      <c r="O528" s="652"/>
      <c r="P528" s="652"/>
      <c r="Q528" s="652"/>
      <c r="R528" s="652"/>
      <c r="S528" s="652"/>
      <c r="T528" s="652"/>
      <c r="U528" s="652"/>
      <c r="V528" s="652"/>
      <c r="W528" s="652"/>
      <c r="X528" s="652"/>
      <c r="Y528" s="652"/>
      <c r="Z528" s="652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43">
        <v>4640242180564</v>
      </c>
      <c r="E529" s="644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8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51"/>
      <c r="B530" s="652"/>
      <c r="C530" s="652"/>
      <c r="D530" s="652"/>
      <c r="E530" s="652"/>
      <c r="F530" s="652"/>
      <c r="G530" s="652"/>
      <c r="H530" s="652"/>
      <c r="I530" s="652"/>
      <c r="J530" s="652"/>
      <c r="K530" s="652"/>
      <c r="L530" s="652"/>
      <c r="M530" s="652"/>
      <c r="N530" s="652"/>
      <c r="O530" s="653"/>
      <c r="P530" s="650" t="s">
        <v>72</v>
      </c>
      <c r="Q530" s="647"/>
      <c r="R530" s="647"/>
      <c r="S530" s="647"/>
      <c r="T530" s="647"/>
      <c r="U530" s="647"/>
      <c r="V530" s="648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52"/>
      <c r="B531" s="652"/>
      <c r="C531" s="652"/>
      <c r="D531" s="652"/>
      <c r="E531" s="652"/>
      <c r="F531" s="652"/>
      <c r="G531" s="652"/>
      <c r="H531" s="652"/>
      <c r="I531" s="652"/>
      <c r="J531" s="652"/>
      <c r="K531" s="652"/>
      <c r="L531" s="652"/>
      <c r="M531" s="652"/>
      <c r="N531" s="652"/>
      <c r="O531" s="653"/>
      <c r="P531" s="650" t="s">
        <v>72</v>
      </c>
      <c r="Q531" s="647"/>
      <c r="R531" s="647"/>
      <c r="S531" s="647"/>
      <c r="T531" s="647"/>
      <c r="U531" s="647"/>
      <c r="V531" s="648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57" t="s">
        <v>147</v>
      </c>
      <c r="B532" s="652"/>
      <c r="C532" s="652"/>
      <c r="D532" s="652"/>
      <c r="E532" s="652"/>
      <c r="F532" s="652"/>
      <c r="G532" s="652"/>
      <c r="H532" s="652"/>
      <c r="I532" s="652"/>
      <c r="J532" s="652"/>
      <c r="K532" s="652"/>
      <c r="L532" s="652"/>
      <c r="M532" s="652"/>
      <c r="N532" s="652"/>
      <c r="O532" s="652"/>
      <c r="P532" s="652"/>
      <c r="Q532" s="652"/>
      <c r="R532" s="652"/>
      <c r="S532" s="652"/>
      <c r="T532" s="652"/>
      <c r="U532" s="652"/>
      <c r="V532" s="652"/>
      <c r="W532" s="652"/>
      <c r="X532" s="652"/>
      <c r="Y532" s="652"/>
      <c r="Z532" s="652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43">
        <v>4640242180519</v>
      </c>
      <c r="E533" s="644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3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51"/>
      <c r="B534" s="652"/>
      <c r="C534" s="652"/>
      <c r="D534" s="652"/>
      <c r="E534" s="652"/>
      <c r="F534" s="652"/>
      <c r="G534" s="652"/>
      <c r="H534" s="652"/>
      <c r="I534" s="652"/>
      <c r="J534" s="652"/>
      <c r="K534" s="652"/>
      <c r="L534" s="652"/>
      <c r="M534" s="652"/>
      <c r="N534" s="652"/>
      <c r="O534" s="653"/>
      <c r="P534" s="650" t="s">
        <v>72</v>
      </c>
      <c r="Q534" s="647"/>
      <c r="R534" s="647"/>
      <c r="S534" s="647"/>
      <c r="T534" s="647"/>
      <c r="U534" s="647"/>
      <c r="V534" s="648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52"/>
      <c r="B535" s="652"/>
      <c r="C535" s="652"/>
      <c r="D535" s="652"/>
      <c r="E535" s="652"/>
      <c r="F535" s="652"/>
      <c r="G535" s="652"/>
      <c r="H535" s="652"/>
      <c r="I535" s="652"/>
      <c r="J535" s="652"/>
      <c r="K535" s="652"/>
      <c r="L535" s="652"/>
      <c r="M535" s="652"/>
      <c r="N535" s="652"/>
      <c r="O535" s="653"/>
      <c r="P535" s="650" t="s">
        <v>72</v>
      </c>
      <c r="Q535" s="647"/>
      <c r="R535" s="647"/>
      <c r="S535" s="647"/>
      <c r="T535" s="647"/>
      <c r="U535" s="647"/>
      <c r="V535" s="648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57" t="s">
        <v>62</v>
      </c>
      <c r="B536" s="652"/>
      <c r="C536" s="652"/>
      <c r="D536" s="652"/>
      <c r="E536" s="652"/>
      <c r="F536" s="652"/>
      <c r="G536" s="652"/>
      <c r="H536" s="652"/>
      <c r="I536" s="652"/>
      <c r="J536" s="652"/>
      <c r="K536" s="652"/>
      <c r="L536" s="652"/>
      <c r="M536" s="652"/>
      <c r="N536" s="652"/>
      <c r="O536" s="652"/>
      <c r="P536" s="652"/>
      <c r="Q536" s="652"/>
      <c r="R536" s="652"/>
      <c r="S536" s="652"/>
      <c r="T536" s="652"/>
      <c r="U536" s="652"/>
      <c r="V536" s="652"/>
      <c r="W536" s="652"/>
      <c r="X536" s="652"/>
      <c r="Y536" s="652"/>
      <c r="Z536" s="652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43">
        <v>4640242180595</v>
      </c>
      <c r="E537" s="644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92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0"/>
      <c r="R537" s="640"/>
      <c r="S537" s="640"/>
      <c r="T537" s="641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1"/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3"/>
      <c r="P538" s="650" t="s">
        <v>72</v>
      </c>
      <c r="Q538" s="647"/>
      <c r="R538" s="647"/>
      <c r="S538" s="647"/>
      <c r="T538" s="647"/>
      <c r="U538" s="647"/>
      <c r="V538" s="648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52"/>
      <c r="B539" s="652"/>
      <c r="C539" s="652"/>
      <c r="D539" s="652"/>
      <c r="E539" s="652"/>
      <c r="F539" s="652"/>
      <c r="G539" s="652"/>
      <c r="H539" s="652"/>
      <c r="I539" s="652"/>
      <c r="J539" s="652"/>
      <c r="K539" s="652"/>
      <c r="L539" s="652"/>
      <c r="M539" s="652"/>
      <c r="N539" s="652"/>
      <c r="O539" s="653"/>
      <c r="P539" s="650" t="s">
        <v>72</v>
      </c>
      <c r="Q539" s="647"/>
      <c r="R539" s="647"/>
      <c r="S539" s="647"/>
      <c r="T539" s="647"/>
      <c r="U539" s="647"/>
      <c r="V539" s="648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57" t="s">
        <v>74</v>
      </c>
      <c r="B540" s="652"/>
      <c r="C540" s="652"/>
      <c r="D540" s="652"/>
      <c r="E540" s="652"/>
      <c r="F540" s="652"/>
      <c r="G540" s="652"/>
      <c r="H540" s="652"/>
      <c r="I540" s="652"/>
      <c r="J540" s="652"/>
      <c r="K540" s="652"/>
      <c r="L540" s="652"/>
      <c r="M540" s="652"/>
      <c r="N540" s="652"/>
      <c r="O540" s="652"/>
      <c r="P540" s="652"/>
      <c r="Q540" s="652"/>
      <c r="R540" s="652"/>
      <c r="S540" s="652"/>
      <c r="T540" s="652"/>
      <c r="U540" s="652"/>
      <c r="V540" s="652"/>
      <c r="W540" s="652"/>
      <c r="X540" s="652"/>
      <c r="Y540" s="652"/>
      <c r="Z540" s="652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3">
        <v>4640242180533</v>
      </c>
      <c r="E541" s="644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77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0"/>
      <c r="R541" s="640"/>
      <c r="S541" s="640"/>
      <c r="T541" s="641"/>
      <c r="U541" s="34"/>
      <c r="V541" s="34"/>
      <c r="W541" s="35" t="s">
        <v>67</v>
      </c>
      <c r="X541" s="633">
        <v>80</v>
      </c>
      <c r="Y541" s="634">
        <f>IFERROR(IF(X541="",0,CEILING((X541/$H541),1)*$H541),"")</f>
        <v>81</v>
      </c>
      <c r="Z541" s="36">
        <f>IFERROR(IF(Y541=0,"",ROUNDUP(Y541/H541,0)*0.01898),"")</f>
        <v>0.17082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84.391111111111115</v>
      </c>
      <c r="BN541" s="64">
        <f>IFERROR(Y541*I541/H541,"0")</f>
        <v>85.445999999999998</v>
      </c>
      <c r="BO541" s="64">
        <f>IFERROR(1/J541*(X541/H541),"0")</f>
        <v>0.1388888888888889</v>
      </c>
      <c r="BP541" s="64">
        <f>IFERROR(1/J541*(Y541/H541),"0")</f>
        <v>0.140625</v>
      </c>
    </row>
    <row r="542" spans="1:68" x14ac:dyDescent="0.2">
      <c r="A542" s="651"/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3"/>
      <c r="P542" s="650" t="s">
        <v>72</v>
      </c>
      <c r="Q542" s="647"/>
      <c r="R542" s="647"/>
      <c r="S542" s="647"/>
      <c r="T542" s="647"/>
      <c r="U542" s="647"/>
      <c r="V542" s="648"/>
      <c r="W542" s="37" t="s">
        <v>73</v>
      </c>
      <c r="X542" s="635">
        <f>IFERROR(X541/H541,"0")</f>
        <v>8.8888888888888893</v>
      </c>
      <c r="Y542" s="635">
        <f>IFERROR(Y541/H541,"0")</f>
        <v>9</v>
      </c>
      <c r="Z542" s="635">
        <f>IFERROR(IF(Z541="",0,Z541),"0")</f>
        <v>0.17082</v>
      </c>
      <c r="AA542" s="636"/>
      <c r="AB542" s="636"/>
      <c r="AC542" s="636"/>
    </row>
    <row r="543" spans="1:68" x14ac:dyDescent="0.2">
      <c r="A543" s="652"/>
      <c r="B543" s="652"/>
      <c r="C543" s="652"/>
      <c r="D543" s="652"/>
      <c r="E543" s="652"/>
      <c r="F543" s="652"/>
      <c r="G543" s="652"/>
      <c r="H543" s="652"/>
      <c r="I543" s="652"/>
      <c r="J543" s="652"/>
      <c r="K543" s="652"/>
      <c r="L543" s="652"/>
      <c r="M543" s="652"/>
      <c r="N543" s="652"/>
      <c r="O543" s="653"/>
      <c r="P543" s="650" t="s">
        <v>72</v>
      </c>
      <c r="Q543" s="647"/>
      <c r="R543" s="647"/>
      <c r="S543" s="647"/>
      <c r="T543" s="647"/>
      <c r="U543" s="647"/>
      <c r="V543" s="648"/>
      <c r="W543" s="37" t="s">
        <v>67</v>
      </c>
      <c r="X543" s="635">
        <f>IFERROR(SUM(X541:X541),"0")</f>
        <v>80</v>
      </c>
      <c r="Y543" s="635">
        <f>IFERROR(SUM(Y541:Y541),"0")</f>
        <v>81</v>
      </c>
      <c r="Z543" s="37"/>
      <c r="AA543" s="636"/>
      <c r="AB543" s="636"/>
      <c r="AC543" s="636"/>
    </row>
    <row r="544" spans="1:68" ht="14.25" hidden="1" customHeight="1" x14ac:dyDescent="0.25">
      <c r="A544" s="657" t="s">
        <v>164</v>
      </c>
      <c r="B544" s="652"/>
      <c r="C544" s="652"/>
      <c r="D544" s="652"/>
      <c r="E544" s="652"/>
      <c r="F544" s="652"/>
      <c r="G544" s="652"/>
      <c r="H544" s="652"/>
      <c r="I544" s="652"/>
      <c r="J544" s="652"/>
      <c r="K544" s="652"/>
      <c r="L544" s="652"/>
      <c r="M544" s="652"/>
      <c r="N544" s="652"/>
      <c r="O544" s="652"/>
      <c r="P544" s="652"/>
      <c r="Q544" s="652"/>
      <c r="R544" s="652"/>
      <c r="S544" s="652"/>
      <c r="T544" s="652"/>
      <c r="U544" s="652"/>
      <c r="V544" s="652"/>
      <c r="W544" s="652"/>
      <c r="X544" s="652"/>
      <c r="Y544" s="652"/>
      <c r="Z544" s="652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43">
        <v>4640242180120</v>
      </c>
      <c r="E545" s="644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0"/>
      <c r="R545" s="640"/>
      <c r="S545" s="640"/>
      <c r="T545" s="641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43">
        <v>4640242180137</v>
      </c>
      <c r="E546" s="644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89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0"/>
      <c r="R546" s="640"/>
      <c r="S546" s="640"/>
      <c r="T546" s="641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1"/>
      <c r="B547" s="652"/>
      <c r="C547" s="652"/>
      <c r="D547" s="652"/>
      <c r="E547" s="652"/>
      <c r="F547" s="652"/>
      <c r="G547" s="652"/>
      <c r="H547" s="652"/>
      <c r="I547" s="652"/>
      <c r="J547" s="652"/>
      <c r="K547" s="652"/>
      <c r="L547" s="652"/>
      <c r="M547" s="652"/>
      <c r="N547" s="652"/>
      <c r="O547" s="653"/>
      <c r="P547" s="650" t="s">
        <v>72</v>
      </c>
      <c r="Q547" s="647"/>
      <c r="R547" s="647"/>
      <c r="S547" s="647"/>
      <c r="T547" s="647"/>
      <c r="U547" s="647"/>
      <c r="V547" s="648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52"/>
      <c r="B548" s="652"/>
      <c r="C548" s="652"/>
      <c r="D548" s="652"/>
      <c r="E548" s="652"/>
      <c r="F548" s="652"/>
      <c r="G548" s="652"/>
      <c r="H548" s="652"/>
      <c r="I548" s="652"/>
      <c r="J548" s="652"/>
      <c r="K548" s="652"/>
      <c r="L548" s="652"/>
      <c r="M548" s="652"/>
      <c r="N548" s="652"/>
      <c r="O548" s="653"/>
      <c r="P548" s="650" t="s">
        <v>72</v>
      </c>
      <c r="Q548" s="647"/>
      <c r="R548" s="647"/>
      <c r="S548" s="647"/>
      <c r="T548" s="647"/>
      <c r="U548" s="647"/>
      <c r="V548" s="648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61" t="s">
        <v>856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28"/>
      <c r="AB549" s="628"/>
      <c r="AC549" s="628"/>
    </row>
    <row r="550" spans="1:68" ht="14.25" hidden="1" customHeight="1" x14ac:dyDescent="0.25">
      <c r="A550" s="657" t="s">
        <v>147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43">
        <v>4640242180090</v>
      </c>
      <c r="E551" s="644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74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1"/>
      <c r="B552" s="652"/>
      <c r="C552" s="652"/>
      <c r="D552" s="652"/>
      <c r="E552" s="652"/>
      <c r="F552" s="652"/>
      <c r="G552" s="652"/>
      <c r="H552" s="652"/>
      <c r="I552" s="652"/>
      <c r="J552" s="652"/>
      <c r="K552" s="652"/>
      <c r="L552" s="652"/>
      <c r="M552" s="652"/>
      <c r="N552" s="652"/>
      <c r="O552" s="653"/>
      <c r="P552" s="650" t="s">
        <v>72</v>
      </c>
      <c r="Q552" s="647"/>
      <c r="R552" s="647"/>
      <c r="S552" s="647"/>
      <c r="T552" s="647"/>
      <c r="U552" s="647"/>
      <c r="V552" s="648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52"/>
      <c r="B553" s="652"/>
      <c r="C553" s="652"/>
      <c r="D553" s="652"/>
      <c r="E553" s="652"/>
      <c r="F553" s="652"/>
      <c r="G553" s="652"/>
      <c r="H553" s="652"/>
      <c r="I553" s="652"/>
      <c r="J553" s="652"/>
      <c r="K553" s="652"/>
      <c r="L553" s="652"/>
      <c r="M553" s="652"/>
      <c r="N553" s="652"/>
      <c r="O553" s="653"/>
      <c r="P553" s="650" t="s">
        <v>72</v>
      </c>
      <c r="Q553" s="647"/>
      <c r="R553" s="647"/>
      <c r="S553" s="647"/>
      <c r="T553" s="647"/>
      <c r="U553" s="647"/>
      <c r="V553" s="648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949"/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834"/>
      <c r="P554" s="721" t="s">
        <v>860</v>
      </c>
      <c r="Q554" s="722"/>
      <c r="R554" s="722"/>
      <c r="S554" s="722"/>
      <c r="T554" s="722"/>
      <c r="U554" s="722"/>
      <c r="V554" s="68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8303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8484.9500000000007</v>
      </c>
      <c r="Z554" s="37"/>
      <c r="AA554" s="636"/>
      <c r="AB554" s="636"/>
      <c r="AC554" s="636"/>
    </row>
    <row r="555" spans="1:68" x14ac:dyDescent="0.2">
      <c r="A555" s="652"/>
      <c r="B555" s="652"/>
      <c r="C555" s="652"/>
      <c r="D555" s="652"/>
      <c r="E555" s="652"/>
      <c r="F555" s="652"/>
      <c r="G555" s="652"/>
      <c r="H555" s="652"/>
      <c r="I555" s="652"/>
      <c r="J555" s="652"/>
      <c r="K555" s="652"/>
      <c r="L555" s="652"/>
      <c r="M555" s="652"/>
      <c r="N555" s="652"/>
      <c r="O555" s="834"/>
      <c r="P555" s="721" t="s">
        <v>861</v>
      </c>
      <c r="Q555" s="722"/>
      <c r="R555" s="722"/>
      <c r="S555" s="722"/>
      <c r="T555" s="722"/>
      <c r="U555" s="722"/>
      <c r="V555" s="685"/>
      <c r="W555" s="37" t="s">
        <v>67</v>
      </c>
      <c r="X555" s="635">
        <f>IFERROR(SUM(BM22:BM551),"0")</f>
        <v>8739.6098193625112</v>
      </c>
      <c r="Y555" s="635">
        <f>IFERROR(SUM(BN22:BN551),"0")</f>
        <v>8931.5339999999978</v>
      </c>
      <c r="Z555" s="37"/>
      <c r="AA555" s="636"/>
      <c r="AB555" s="636"/>
      <c r="AC555" s="636"/>
    </row>
    <row r="556" spans="1:68" x14ac:dyDescent="0.2">
      <c r="A556" s="652"/>
      <c r="B556" s="652"/>
      <c r="C556" s="652"/>
      <c r="D556" s="652"/>
      <c r="E556" s="652"/>
      <c r="F556" s="652"/>
      <c r="G556" s="652"/>
      <c r="H556" s="652"/>
      <c r="I556" s="652"/>
      <c r="J556" s="652"/>
      <c r="K556" s="652"/>
      <c r="L556" s="652"/>
      <c r="M556" s="652"/>
      <c r="N556" s="652"/>
      <c r="O556" s="834"/>
      <c r="P556" s="721" t="s">
        <v>862</v>
      </c>
      <c r="Q556" s="722"/>
      <c r="R556" s="722"/>
      <c r="S556" s="722"/>
      <c r="T556" s="722"/>
      <c r="U556" s="722"/>
      <c r="V556" s="685"/>
      <c r="W556" s="37" t="s">
        <v>863</v>
      </c>
      <c r="X556" s="38">
        <f>ROUNDUP(SUM(BO22:BO551),0)</f>
        <v>15</v>
      </c>
      <c r="Y556" s="38">
        <f>ROUNDUP(SUM(BP22:BP551),0)</f>
        <v>15</v>
      </c>
      <c r="Z556" s="37"/>
      <c r="AA556" s="636"/>
      <c r="AB556" s="636"/>
      <c r="AC556" s="636"/>
    </row>
    <row r="557" spans="1:68" x14ac:dyDescent="0.2">
      <c r="A557" s="652"/>
      <c r="B557" s="652"/>
      <c r="C557" s="652"/>
      <c r="D557" s="652"/>
      <c r="E557" s="652"/>
      <c r="F557" s="652"/>
      <c r="G557" s="652"/>
      <c r="H557" s="652"/>
      <c r="I557" s="652"/>
      <c r="J557" s="652"/>
      <c r="K557" s="652"/>
      <c r="L557" s="652"/>
      <c r="M557" s="652"/>
      <c r="N557" s="652"/>
      <c r="O557" s="834"/>
      <c r="P557" s="721" t="s">
        <v>864</v>
      </c>
      <c r="Q557" s="722"/>
      <c r="R557" s="722"/>
      <c r="S557" s="722"/>
      <c r="T557" s="722"/>
      <c r="U557" s="722"/>
      <c r="V557" s="685"/>
      <c r="W557" s="37" t="s">
        <v>67</v>
      </c>
      <c r="X557" s="635">
        <f>GrossWeightTotal+PalletQtyTotal*25</f>
        <v>9114.6098193625112</v>
      </c>
      <c r="Y557" s="635">
        <f>GrossWeightTotalR+PalletQtyTotalR*25</f>
        <v>9306.5339999999978</v>
      </c>
      <c r="Z557" s="37"/>
      <c r="AA557" s="636"/>
      <c r="AB557" s="636"/>
      <c r="AC557" s="636"/>
    </row>
    <row r="558" spans="1:68" x14ac:dyDescent="0.2">
      <c r="A558" s="652"/>
      <c r="B558" s="652"/>
      <c r="C558" s="652"/>
      <c r="D558" s="652"/>
      <c r="E558" s="652"/>
      <c r="F558" s="652"/>
      <c r="G558" s="652"/>
      <c r="H558" s="652"/>
      <c r="I558" s="652"/>
      <c r="J558" s="652"/>
      <c r="K558" s="652"/>
      <c r="L558" s="652"/>
      <c r="M558" s="652"/>
      <c r="N558" s="652"/>
      <c r="O558" s="834"/>
      <c r="P558" s="721" t="s">
        <v>865</v>
      </c>
      <c r="Q558" s="722"/>
      <c r="R558" s="722"/>
      <c r="S558" s="722"/>
      <c r="T558" s="722"/>
      <c r="U558" s="722"/>
      <c r="V558" s="68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1418.9227246450521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1450</v>
      </c>
      <c r="Z558" s="37"/>
      <c r="AA558" s="636"/>
      <c r="AB558" s="636"/>
      <c r="AC558" s="636"/>
    </row>
    <row r="559" spans="1:68" ht="14.25" hidden="1" customHeight="1" x14ac:dyDescent="0.2">
      <c r="A559" s="652"/>
      <c r="B559" s="652"/>
      <c r="C559" s="652"/>
      <c r="D559" s="652"/>
      <c r="E559" s="652"/>
      <c r="F559" s="652"/>
      <c r="G559" s="652"/>
      <c r="H559" s="652"/>
      <c r="I559" s="652"/>
      <c r="J559" s="652"/>
      <c r="K559" s="652"/>
      <c r="L559" s="652"/>
      <c r="M559" s="652"/>
      <c r="N559" s="652"/>
      <c r="O559" s="834"/>
      <c r="P559" s="721" t="s">
        <v>866</v>
      </c>
      <c r="Q559" s="722"/>
      <c r="R559" s="722"/>
      <c r="S559" s="722"/>
      <c r="T559" s="722"/>
      <c r="U559" s="722"/>
      <c r="V559" s="68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17.461850000000002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58" t="s">
        <v>109</v>
      </c>
      <c r="E561" s="827"/>
      <c r="F561" s="827"/>
      <c r="G561" s="827"/>
      <c r="H561" s="827"/>
      <c r="I561" s="827"/>
      <c r="J561" s="666"/>
      <c r="K561" s="658" t="s">
        <v>342</v>
      </c>
      <c r="L561" s="827"/>
      <c r="M561" s="827"/>
      <c r="N561" s="827"/>
      <c r="O561" s="827"/>
      <c r="P561" s="827"/>
      <c r="Q561" s="827"/>
      <c r="R561" s="827"/>
      <c r="S561" s="827"/>
      <c r="T561" s="827"/>
      <c r="U561" s="827"/>
      <c r="V561" s="666"/>
      <c r="W561" s="658" t="s">
        <v>688</v>
      </c>
      <c r="X561" s="666"/>
      <c r="Y561" s="658" t="s">
        <v>754</v>
      </c>
      <c r="Z561" s="666"/>
      <c r="AA561" s="630" t="s">
        <v>790</v>
      </c>
      <c r="AB561" s="658" t="s">
        <v>837</v>
      </c>
      <c r="AC561" s="666"/>
      <c r="AF561" s="631"/>
    </row>
    <row r="562" spans="1:32" ht="14.25" customHeight="1" thickTop="1" x14ac:dyDescent="0.2">
      <c r="A562" s="942" t="s">
        <v>869</v>
      </c>
      <c r="B562" s="658" t="s">
        <v>61</v>
      </c>
      <c r="C562" s="658" t="s">
        <v>93</v>
      </c>
      <c r="D562" s="658" t="s">
        <v>110</v>
      </c>
      <c r="E562" s="658" t="s">
        <v>126</v>
      </c>
      <c r="F562" s="658" t="s">
        <v>171</v>
      </c>
      <c r="G562" s="658" t="s">
        <v>192</v>
      </c>
      <c r="H562" s="658" t="s">
        <v>232</v>
      </c>
      <c r="I562" s="658" t="s">
        <v>256</v>
      </c>
      <c r="J562" s="658" t="s">
        <v>109</v>
      </c>
      <c r="K562" s="658" t="s">
        <v>343</v>
      </c>
      <c r="L562" s="658" t="s">
        <v>364</v>
      </c>
      <c r="M562" s="658" t="s">
        <v>431</v>
      </c>
      <c r="N562" s="631"/>
      <c r="O562" s="658" t="s">
        <v>499</v>
      </c>
      <c r="P562" s="658" t="s">
        <v>532</v>
      </c>
      <c r="Q562" s="658" t="s">
        <v>548</v>
      </c>
      <c r="R562" s="658" t="s">
        <v>557</v>
      </c>
      <c r="S562" s="658" t="s">
        <v>578</v>
      </c>
      <c r="T562" s="658" t="s">
        <v>587</v>
      </c>
      <c r="U562" s="658" t="s">
        <v>668</v>
      </c>
      <c r="V562" s="658" t="s">
        <v>678</v>
      </c>
      <c r="W562" s="658" t="s">
        <v>689</v>
      </c>
      <c r="X562" s="658" t="s">
        <v>738</v>
      </c>
      <c r="Y562" s="658" t="s">
        <v>755</v>
      </c>
      <c r="Z562" s="658" t="s">
        <v>778</v>
      </c>
      <c r="AA562" s="658" t="s">
        <v>790</v>
      </c>
      <c r="AB562" s="658" t="s">
        <v>837</v>
      </c>
      <c r="AC562" s="658" t="s">
        <v>856</v>
      </c>
      <c r="AF562" s="631"/>
    </row>
    <row r="563" spans="1:32" ht="13.5" customHeight="1" thickBot="1" x14ac:dyDescent="0.25">
      <c r="A563" s="943"/>
      <c r="B563" s="659"/>
      <c r="C563" s="659"/>
      <c r="D563" s="659"/>
      <c r="E563" s="659"/>
      <c r="F563" s="659"/>
      <c r="G563" s="659"/>
      <c r="H563" s="659"/>
      <c r="I563" s="659"/>
      <c r="J563" s="659"/>
      <c r="K563" s="659"/>
      <c r="L563" s="659"/>
      <c r="M563" s="659"/>
      <c r="N563" s="631"/>
      <c r="O563" s="659"/>
      <c r="P563" s="659"/>
      <c r="Q563" s="659"/>
      <c r="R563" s="659"/>
      <c r="S563" s="659"/>
      <c r="T563" s="659"/>
      <c r="U563" s="659"/>
      <c r="V563" s="659"/>
      <c r="W563" s="659"/>
      <c r="X563" s="659"/>
      <c r="Y563" s="659"/>
      <c r="Z563" s="659"/>
      <c r="AA563" s="659"/>
      <c r="AB563" s="659"/>
      <c r="AC563" s="659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191.3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106.2</v>
      </c>
      <c r="F564" s="46">
        <f>IFERROR(Y84*1,"0")+IFERROR(Y85*1,"0")+IFERROR(Y86*1,"0")+IFERROR(Y87*1,"0")+IFERROR(Y91*1,"0")+IFERROR(Y92*1,"0")+IFERROR(Y93*1,"0")+IFERROR(Y94*1,"0")</f>
        <v>834.30000000000007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908.1</v>
      </c>
      <c r="H564" s="46">
        <f>IFERROR(Y129*1,"0")+IFERROR(Y130*1,"0")+IFERROR(Y131*1,"0")+IFERROR(Y135*1,"0")+IFERROR(Y136*1,"0")+IFERROR(Y137*1,"0")+IFERROR(Y138*1,"0")+IFERROR(Y142*1,"0")+IFERROR(Y143*1,"0")+IFERROR(Y144*1,"0")</f>
        <v>70.64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559.58000000000004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371.34000000000003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1068.3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24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156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601.42999999999984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2439</v>
      </c>
      <c r="X564" s="46">
        <f>IFERROR(Y455*1,"0")+IFERROR(Y456*1,"0")+IFERROR(Y460*1,"0")+IFERROR(Y464*1,"0")+IFERROR(Y465*1,"0")+IFERROR(Y466*1,"0")</f>
        <v>417</v>
      </c>
      <c r="Y564" s="46">
        <f>IFERROR(Y472*1,"0")+IFERROR(Y473*1,"0")+IFERROR(Y474*1,"0")+IFERROR(Y475*1,"0")+IFERROR(Y476*1,"0")+IFERROR(Y477*1,"0")+IFERROR(Y481*1,"0")+IFERROR(Y482*1,"0")</f>
        <v>37.800000000000004</v>
      </c>
      <c r="Z564" s="46">
        <f>IFERROR(Y487*1,"0")+IFERROR(Y491*1,"0")+IFERROR(Y492*1,"0")+IFERROR(Y493*1,"0")</f>
        <v>54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564.96</v>
      </c>
      <c r="AB564" s="46">
        <f>IFERROR(Y529*1,"0")+IFERROR(Y533*1,"0")+IFERROR(Y537*1,"0")+IFERROR(Y541*1,"0")+IFERROR(Y545*1,"0")+IFERROR(Y546*1,"0")</f>
        <v>81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18,92"/>
        <filter val="1 430,00"/>
        <filter val="1,00"/>
        <filter val="1,11"/>
        <filter val="10,00"/>
        <filter val="10,61"/>
        <filter val="103,00"/>
        <filter val="115,00"/>
        <filter val="12,00"/>
        <filter val="120,00"/>
        <filter val="122,10"/>
        <filter val="126,67"/>
        <filter val="129,00"/>
        <filter val="13,33"/>
        <filter val="140,48"/>
        <filter val="144,00"/>
        <filter val="146,00"/>
        <filter val="146,25"/>
        <filter val="15"/>
        <filter val="155,74"/>
        <filter val="16,00"/>
        <filter val="16,51"/>
        <filter val="160,00"/>
        <filter val="161,67"/>
        <filter val="165,00"/>
        <filter val="171,00"/>
        <filter val="18,00"/>
        <filter val="18,46"/>
        <filter val="180,00"/>
        <filter val="181,00"/>
        <filter val="188,00"/>
        <filter val="19,60"/>
        <filter val="2,87"/>
        <filter val="20,00"/>
        <filter val="200,00"/>
        <filter val="205,00"/>
        <filter val="21,00"/>
        <filter val="22,00"/>
        <filter val="22,92"/>
        <filter val="23,00"/>
        <filter val="24,00"/>
        <filter val="265,00"/>
        <filter val="28,00"/>
        <filter val="29,00"/>
        <filter val="3,17"/>
        <filter val="31,00"/>
        <filter val="317,00"/>
        <filter val="32,39"/>
        <filter val="334,00"/>
        <filter val="34,00"/>
        <filter val="35,00"/>
        <filter val="359,00"/>
        <filter val="37,00"/>
        <filter val="4,00"/>
        <filter val="4,55"/>
        <filter val="40,00"/>
        <filter val="400,00"/>
        <filter val="41,00"/>
        <filter val="412,00"/>
        <filter val="42,00"/>
        <filter val="426,00"/>
        <filter val="44,00"/>
        <filter val="49,44"/>
        <filter val="5,00"/>
        <filter val="5,19"/>
        <filter val="5,63"/>
        <filter val="50,00"/>
        <filter val="517,00"/>
        <filter val="52,00"/>
        <filter val="54,00"/>
        <filter val="55,00"/>
        <filter val="555,00"/>
        <filter val="557,00"/>
        <filter val="56,00"/>
        <filter val="6,00"/>
        <filter val="6,85"/>
        <filter val="60,00"/>
        <filter val="63,26"/>
        <filter val="63,38"/>
        <filter val="639,00"/>
        <filter val="644,00"/>
        <filter val="7,00"/>
        <filter val="7,01"/>
        <filter val="7,86"/>
        <filter val="70,00"/>
        <filter val="71,00"/>
        <filter val="759,00"/>
        <filter val="768,00"/>
        <filter val="8 303,00"/>
        <filter val="8 739,61"/>
        <filter val="8,89"/>
        <filter val="80,00"/>
        <filter val="811,00"/>
        <filter val="840,00"/>
        <filter val="88,00"/>
        <filter val="89,00"/>
        <filter val="9 114,61"/>
        <filter val="9,00"/>
        <filter val="9,44"/>
        <filter val="9,58"/>
        <filter val="9,63"/>
        <filter val="9,69"/>
        <filter val="90,00"/>
        <filter val="95,00"/>
        <filter val="95,33"/>
        <filter val="96,00"/>
        <filter val="99,00"/>
      </filters>
    </filterColumn>
    <filterColumn colId="29" showButton="0"/>
    <filterColumn colId="30" showButton="0"/>
  </autoFilter>
  <mergeCells count="993"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D164:E164"/>
    <mergeCell ref="P344:T344"/>
    <mergeCell ref="D252:E252"/>
    <mergeCell ref="P358:V358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A82:Z82"/>
    <mergeCell ref="P102:T102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2026-08-14T11:26:00Z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