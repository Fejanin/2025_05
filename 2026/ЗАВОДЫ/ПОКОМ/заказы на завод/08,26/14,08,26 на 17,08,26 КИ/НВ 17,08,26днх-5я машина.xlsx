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D3801F1-EB1C-4F6C-9A89-3A1F6AF700A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P551" i="1"/>
  <c r="BO551" i="1"/>
  <c r="BM551" i="1"/>
  <c r="Z551" i="1"/>
  <c r="Z552" i="1" s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N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N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M502" i="1"/>
  <c r="Z502" i="1"/>
  <c r="Y502" i="1"/>
  <c r="BN502" i="1" s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Y489" i="1" s="1"/>
  <c r="P487" i="1"/>
  <c r="X484" i="1"/>
  <c r="X483" i="1"/>
  <c r="BO482" i="1"/>
  <c r="BM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BO476" i="1"/>
  <c r="BN476" i="1"/>
  <c r="BM476" i="1"/>
  <c r="Y476" i="1"/>
  <c r="BP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O472" i="1"/>
  <c r="BN472" i="1"/>
  <c r="BM472" i="1"/>
  <c r="Y472" i="1"/>
  <c r="BP472" i="1" s="1"/>
  <c r="P472" i="1"/>
  <c r="X468" i="1"/>
  <c r="X467" i="1"/>
  <c r="BO466" i="1"/>
  <c r="BN466" i="1"/>
  <c r="BM466" i="1"/>
  <c r="Y466" i="1"/>
  <c r="BP466" i="1" s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N456" i="1"/>
  <c r="BM456" i="1"/>
  <c r="Y456" i="1"/>
  <c r="BP456" i="1" s="1"/>
  <c r="P456" i="1"/>
  <c r="BO455" i="1"/>
  <c r="BM455" i="1"/>
  <c r="Y455" i="1"/>
  <c r="Y457" i="1" s="1"/>
  <c r="P455" i="1"/>
  <c r="X452" i="1"/>
  <c r="X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N439" i="1"/>
  <c r="BM439" i="1"/>
  <c r="Y439" i="1"/>
  <c r="BP439" i="1" s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N433" i="1"/>
  <c r="BM433" i="1"/>
  <c r="Y433" i="1"/>
  <c r="BP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N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O419" i="1"/>
  <c r="BN419" i="1"/>
  <c r="BM419" i="1"/>
  <c r="Y419" i="1"/>
  <c r="BP419" i="1" s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Y415" i="1" s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BN405" i="1" s="1"/>
  <c r="P405" i="1"/>
  <c r="X403" i="1"/>
  <c r="X402" i="1"/>
  <c r="BO401" i="1"/>
  <c r="BM401" i="1"/>
  <c r="Y401" i="1"/>
  <c r="P401" i="1"/>
  <c r="BO400" i="1"/>
  <c r="BM400" i="1"/>
  <c r="Y400" i="1"/>
  <c r="Y402" i="1" s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N393" i="1"/>
  <c r="BM393" i="1"/>
  <c r="Y393" i="1"/>
  <c r="BP393" i="1" s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N375" i="1"/>
  <c r="BM375" i="1"/>
  <c r="Y375" i="1"/>
  <c r="BP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X367" i="1"/>
  <c r="X366" i="1"/>
  <c r="BO365" i="1"/>
  <c r="BN365" i="1"/>
  <c r="BM365" i="1"/>
  <c r="Y365" i="1"/>
  <c r="BP365" i="1" s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8" i="1"/>
  <c r="X357" i="1"/>
  <c r="BO356" i="1"/>
  <c r="BN356" i="1"/>
  <c r="BM356" i="1"/>
  <c r="Y356" i="1"/>
  <c r="BP356" i="1" s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N349" i="1"/>
  <c r="BM349" i="1"/>
  <c r="Y349" i="1"/>
  <c r="BP349" i="1" s="1"/>
  <c r="P349" i="1"/>
  <c r="BO348" i="1"/>
  <c r="BM348" i="1"/>
  <c r="Y348" i="1"/>
  <c r="P348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BN341" i="1" s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BP327" i="1" s="1"/>
  <c r="P327" i="1"/>
  <c r="BO326" i="1"/>
  <c r="BN326" i="1"/>
  <c r="BM326" i="1"/>
  <c r="Y326" i="1"/>
  <c r="BP326" i="1" s="1"/>
  <c r="P326" i="1"/>
  <c r="BO325" i="1"/>
  <c r="BM325" i="1"/>
  <c r="Y325" i="1"/>
  <c r="BP325" i="1" s="1"/>
  <c r="P325" i="1"/>
  <c r="BO324" i="1"/>
  <c r="BM324" i="1"/>
  <c r="Y324" i="1"/>
  <c r="P324" i="1"/>
  <c r="X321" i="1"/>
  <c r="X320" i="1"/>
  <c r="BO319" i="1"/>
  <c r="BM319" i="1"/>
  <c r="Y319" i="1"/>
  <c r="BN319" i="1" s="1"/>
  <c r="P319" i="1"/>
  <c r="BO318" i="1"/>
  <c r="BM318" i="1"/>
  <c r="Y318" i="1"/>
  <c r="BP318" i="1" s="1"/>
  <c r="P318" i="1"/>
  <c r="BO317" i="1"/>
  <c r="BM317" i="1"/>
  <c r="Z317" i="1"/>
  <c r="Y317" i="1"/>
  <c r="P317" i="1"/>
  <c r="X315" i="1"/>
  <c r="Y314" i="1"/>
  <c r="X314" i="1"/>
  <c r="BO313" i="1"/>
  <c r="BN313" i="1"/>
  <c r="BM313" i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O305" i="1"/>
  <c r="BM305" i="1"/>
  <c r="Y305" i="1"/>
  <c r="BP305" i="1" s="1"/>
  <c r="P305" i="1"/>
  <c r="BO304" i="1"/>
  <c r="BM304" i="1"/>
  <c r="Y304" i="1"/>
  <c r="BP304" i="1" s="1"/>
  <c r="P304" i="1"/>
  <c r="BO303" i="1"/>
  <c r="BN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X296" i="1"/>
  <c r="X295" i="1"/>
  <c r="BO294" i="1"/>
  <c r="BM294" i="1"/>
  <c r="Y294" i="1"/>
  <c r="BP294" i="1" s="1"/>
  <c r="P294" i="1"/>
  <c r="BO293" i="1"/>
  <c r="BM293" i="1"/>
  <c r="Y293" i="1"/>
  <c r="Y296" i="1" s="1"/>
  <c r="P293" i="1"/>
  <c r="X291" i="1"/>
  <c r="X290" i="1"/>
  <c r="BO289" i="1"/>
  <c r="BM289" i="1"/>
  <c r="Y289" i="1"/>
  <c r="BP289" i="1" s="1"/>
  <c r="P289" i="1"/>
  <c r="BO288" i="1"/>
  <c r="BM288" i="1"/>
  <c r="Y288" i="1"/>
  <c r="BN288" i="1" s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O284" i="1"/>
  <c r="BN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O280" i="1"/>
  <c r="BN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P278" i="1"/>
  <c r="X276" i="1"/>
  <c r="X275" i="1"/>
  <c r="BO274" i="1"/>
  <c r="BN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N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P267" i="1"/>
  <c r="X265" i="1"/>
  <c r="X264" i="1"/>
  <c r="BO263" i="1"/>
  <c r="BM263" i="1"/>
  <c r="Y263" i="1"/>
  <c r="BP263" i="1" s="1"/>
  <c r="P263" i="1"/>
  <c r="BO262" i="1"/>
  <c r="BN262" i="1"/>
  <c r="BM262" i="1"/>
  <c r="Y262" i="1"/>
  <c r="BP262" i="1" s="1"/>
  <c r="P262" i="1"/>
  <c r="X260" i="1"/>
  <c r="X259" i="1"/>
  <c r="BO258" i="1"/>
  <c r="BM258" i="1"/>
  <c r="Y258" i="1"/>
  <c r="BP258" i="1" s="1"/>
  <c r="P258" i="1"/>
  <c r="BO257" i="1"/>
  <c r="BM257" i="1"/>
  <c r="Y257" i="1"/>
  <c r="P257" i="1"/>
  <c r="X254" i="1"/>
  <c r="X253" i="1"/>
  <c r="BO252" i="1"/>
  <c r="BM252" i="1"/>
  <c r="Y252" i="1"/>
  <c r="Y253" i="1" s="1"/>
  <c r="P252" i="1"/>
  <c r="X250" i="1"/>
  <c r="X249" i="1"/>
  <c r="BO248" i="1"/>
  <c r="BM248" i="1"/>
  <c r="Y248" i="1"/>
  <c r="BP248" i="1" s="1"/>
  <c r="P248" i="1"/>
  <c r="BO247" i="1"/>
  <c r="BM247" i="1"/>
  <c r="Y247" i="1"/>
  <c r="BN247" i="1" s="1"/>
  <c r="P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N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N223" i="1" s="1"/>
  <c r="P223" i="1"/>
  <c r="BO222" i="1"/>
  <c r="BM222" i="1"/>
  <c r="Y222" i="1"/>
  <c r="BP222" i="1" s="1"/>
  <c r="P222" i="1"/>
  <c r="BO221" i="1"/>
  <c r="BM221" i="1"/>
  <c r="Y221" i="1"/>
  <c r="Y235" i="1" s="1"/>
  <c r="P221" i="1"/>
  <c r="X219" i="1"/>
  <c r="X218" i="1"/>
  <c r="BO217" i="1"/>
  <c r="BM217" i="1"/>
  <c r="Y217" i="1"/>
  <c r="Y218" i="1" s="1"/>
  <c r="P217" i="1"/>
  <c r="X214" i="1"/>
  <c r="X213" i="1"/>
  <c r="BO212" i="1"/>
  <c r="BN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N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X202" i="1"/>
  <c r="X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Y198" i="1" s="1"/>
  <c r="P195" i="1"/>
  <c r="X193" i="1"/>
  <c r="X192" i="1"/>
  <c r="BO191" i="1"/>
  <c r="BM191" i="1"/>
  <c r="Y191" i="1"/>
  <c r="BP191" i="1" s="1"/>
  <c r="P191" i="1"/>
  <c r="BO190" i="1"/>
  <c r="BM190" i="1"/>
  <c r="Y190" i="1"/>
  <c r="BP190" i="1" s="1"/>
  <c r="P190" i="1"/>
  <c r="BO189" i="1"/>
  <c r="BM189" i="1"/>
  <c r="Y189" i="1"/>
  <c r="Y192" i="1" s="1"/>
  <c r="P189" i="1"/>
  <c r="X187" i="1"/>
  <c r="X186" i="1"/>
  <c r="BO185" i="1"/>
  <c r="BM185" i="1"/>
  <c r="Y185" i="1"/>
  <c r="BP185" i="1" s="1"/>
  <c r="P185" i="1"/>
  <c r="BO184" i="1"/>
  <c r="BM184" i="1"/>
  <c r="Y184" i="1"/>
  <c r="BN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N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N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Y172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O155" i="1"/>
  <c r="BM155" i="1"/>
  <c r="Y155" i="1"/>
  <c r="BN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N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X146" i="1"/>
  <c r="X145" i="1"/>
  <c r="BO144" i="1"/>
  <c r="BM144" i="1"/>
  <c r="Y144" i="1"/>
  <c r="BN144" i="1" s="1"/>
  <c r="P144" i="1"/>
  <c r="BO143" i="1"/>
  <c r="BM143" i="1"/>
  <c r="Y143" i="1"/>
  <c r="BP143" i="1" s="1"/>
  <c r="P143" i="1"/>
  <c r="BO142" i="1"/>
  <c r="BM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O130" i="1"/>
  <c r="BN130" i="1"/>
  <c r="BM130" i="1"/>
  <c r="Y130" i="1"/>
  <c r="BP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N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X107" i="1"/>
  <c r="X106" i="1"/>
  <c r="BO105" i="1"/>
  <c r="BN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N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N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Y75" i="1" s="1"/>
  <c r="P73" i="1"/>
  <c r="X71" i="1"/>
  <c r="X70" i="1"/>
  <c r="BO69" i="1"/>
  <c r="BM69" i="1"/>
  <c r="Y69" i="1"/>
  <c r="BN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P41" i="1"/>
  <c r="BO40" i="1"/>
  <c r="BN40" i="1"/>
  <c r="BM40" i="1"/>
  <c r="Y40" i="1"/>
  <c r="BP40" i="1" s="1"/>
  <c r="P40" i="1"/>
  <c r="BO39" i="1"/>
  <c r="BM39" i="1"/>
  <c r="Y39" i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P31" i="1"/>
  <c r="BO30" i="1"/>
  <c r="BN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Z27" i="1" s="1"/>
  <c r="P27" i="1"/>
  <c r="X25" i="1"/>
  <c r="X24" i="1"/>
  <c r="BO23" i="1"/>
  <c r="BM23" i="1"/>
  <c r="Y23" i="1"/>
  <c r="BP23" i="1" s="1"/>
  <c r="P23" i="1"/>
  <c r="BO22" i="1"/>
  <c r="X556" i="1" s="1"/>
  <c r="BM22" i="1"/>
  <c r="Y22" i="1"/>
  <c r="P22" i="1"/>
  <c r="H10" i="1"/>
  <c r="A9" i="1"/>
  <c r="A10" i="1" s="1"/>
  <c r="D7" i="1"/>
  <c r="Q6" i="1"/>
  <c r="P2" i="1"/>
  <c r="Z57" i="1" l="1"/>
  <c r="BP86" i="1"/>
  <c r="Z144" i="1"/>
  <c r="BP144" i="1"/>
  <c r="Z155" i="1"/>
  <c r="BP155" i="1"/>
  <c r="Z184" i="1"/>
  <c r="BP184" i="1"/>
  <c r="Z223" i="1"/>
  <c r="BP223" i="1"/>
  <c r="Z247" i="1"/>
  <c r="BP247" i="1"/>
  <c r="Z288" i="1"/>
  <c r="BP288" i="1"/>
  <c r="Z319" i="1"/>
  <c r="BP319" i="1"/>
  <c r="Z341" i="1"/>
  <c r="BP341" i="1"/>
  <c r="Z405" i="1"/>
  <c r="BP405" i="1"/>
  <c r="Z487" i="1"/>
  <c r="Z488" i="1" s="1"/>
  <c r="BP487" i="1"/>
  <c r="Z522" i="1"/>
  <c r="BP522" i="1"/>
  <c r="X558" i="1"/>
  <c r="BP57" i="1"/>
  <c r="Z69" i="1"/>
  <c r="BP69" i="1"/>
  <c r="B564" i="1"/>
  <c r="Z30" i="1"/>
  <c r="Z94" i="1"/>
  <c r="Z105" i="1"/>
  <c r="Y115" i="1"/>
  <c r="Z151" i="1"/>
  <c r="Z180" i="1"/>
  <c r="Z212" i="1"/>
  <c r="Z262" i="1"/>
  <c r="Y276" i="1"/>
  <c r="Z274" i="1"/>
  <c r="Y290" i="1"/>
  <c r="Z284" i="1"/>
  <c r="Z313" i="1"/>
  <c r="Z314" i="1" s="1"/>
  <c r="BP313" i="1"/>
  <c r="Z326" i="1"/>
  <c r="Z349" i="1"/>
  <c r="Z419" i="1"/>
  <c r="Z433" i="1"/>
  <c r="Z466" i="1"/>
  <c r="Z476" i="1"/>
  <c r="Z518" i="1"/>
  <c r="BN551" i="1"/>
  <c r="Y552" i="1"/>
  <c r="Z86" i="1"/>
  <c r="Z40" i="1"/>
  <c r="Z101" i="1"/>
  <c r="Z111" i="1"/>
  <c r="Z130" i="1"/>
  <c r="Z176" i="1"/>
  <c r="Z208" i="1"/>
  <c r="Z231" i="1"/>
  <c r="M564" i="1"/>
  <c r="Z270" i="1"/>
  <c r="Z280" i="1"/>
  <c r="Z303" i="1"/>
  <c r="Z356" i="1"/>
  <c r="Z365" i="1"/>
  <c r="Z375" i="1"/>
  <c r="Z393" i="1"/>
  <c r="Z429" i="1"/>
  <c r="Z439" i="1"/>
  <c r="Z456" i="1"/>
  <c r="Z472" i="1"/>
  <c r="BN487" i="1"/>
  <c r="Y488" i="1"/>
  <c r="BP334" i="1"/>
  <c r="BN334" i="1"/>
  <c r="Z334" i="1"/>
  <c r="BP354" i="1"/>
  <c r="BN354" i="1"/>
  <c r="Z354" i="1"/>
  <c r="Z357" i="1" s="1"/>
  <c r="Y377" i="1"/>
  <c r="BP369" i="1"/>
  <c r="BN369" i="1"/>
  <c r="Z369" i="1"/>
  <c r="Y383" i="1"/>
  <c r="BP379" i="1"/>
  <c r="BN379" i="1"/>
  <c r="Z379" i="1"/>
  <c r="BP395" i="1"/>
  <c r="BN395" i="1"/>
  <c r="Z395" i="1"/>
  <c r="BP407" i="1"/>
  <c r="BN407" i="1"/>
  <c r="Z407" i="1"/>
  <c r="BP431" i="1"/>
  <c r="BN431" i="1"/>
  <c r="Z431" i="1"/>
  <c r="Y447" i="1"/>
  <c r="BP443" i="1"/>
  <c r="BN443" i="1"/>
  <c r="Z443" i="1"/>
  <c r="Y462" i="1"/>
  <c r="Y461" i="1"/>
  <c r="BP460" i="1"/>
  <c r="BN460" i="1"/>
  <c r="Z460" i="1"/>
  <c r="Z461" i="1" s="1"/>
  <c r="Y468" i="1"/>
  <c r="BP464" i="1"/>
  <c r="BN464" i="1"/>
  <c r="Z464" i="1"/>
  <c r="BP482" i="1"/>
  <c r="BN482" i="1"/>
  <c r="Z482" i="1"/>
  <c r="BP504" i="1"/>
  <c r="BN504" i="1"/>
  <c r="Z504" i="1"/>
  <c r="BP520" i="1"/>
  <c r="BN520" i="1"/>
  <c r="Z520" i="1"/>
  <c r="X555" i="1"/>
  <c r="X557" i="1" s="1"/>
  <c r="Z23" i="1"/>
  <c r="BN23" i="1"/>
  <c r="X554" i="1"/>
  <c r="Z28" i="1"/>
  <c r="BN28" i="1"/>
  <c r="Z38" i="1"/>
  <c r="BN38" i="1"/>
  <c r="Z48" i="1"/>
  <c r="BN48" i="1"/>
  <c r="Z55" i="1"/>
  <c r="BN55" i="1"/>
  <c r="Z59" i="1"/>
  <c r="BN59" i="1"/>
  <c r="Z67" i="1"/>
  <c r="BN67" i="1"/>
  <c r="Z73" i="1"/>
  <c r="BN73" i="1"/>
  <c r="BP73" i="1"/>
  <c r="Z84" i="1"/>
  <c r="BN84" i="1"/>
  <c r="Z92" i="1"/>
  <c r="BN92" i="1"/>
  <c r="Z99" i="1"/>
  <c r="BN99" i="1"/>
  <c r="Z103" i="1"/>
  <c r="BN103" i="1"/>
  <c r="Z109" i="1"/>
  <c r="BN109" i="1"/>
  <c r="BP109" i="1"/>
  <c r="Z113" i="1"/>
  <c r="BN113" i="1"/>
  <c r="Y121" i="1"/>
  <c r="Z119" i="1"/>
  <c r="BN119" i="1"/>
  <c r="H564" i="1"/>
  <c r="Z136" i="1"/>
  <c r="BN136" i="1"/>
  <c r="Z142" i="1"/>
  <c r="BN142" i="1"/>
  <c r="BP142" i="1"/>
  <c r="Z149" i="1"/>
  <c r="BN149" i="1"/>
  <c r="Z153" i="1"/>
  <c r="BN153" i="1"/>
  <c r="Z159" i="1"/>
  <c r="Z160" i="1" s="1"/>
  <c r="BN159" i="1"/>
  <c r="BP159" i="1"/>
  <c r="Y160" i="1"/>
  <c r="Z164" i="1"/>
  <c r="BN164" i="1"/>
  <c r="Z170" i="1"/>
  <c r="BN170" i="1"/>
  <c r="BP170" i="1"/>
  <c r="Y186" i="1"/>
  <c r="Z178" i="1"/>
  <c r="BN178" i="1"/>
  <c r="Z182" i="1"/>
  <c r="BN182" i="1"/>
  <c r="Z190" i="1"/>
  <c r="BN190" i="1"/>
  <c r="Z200" i="1"/>
  <c r="Z201" i="1" s="1"/>
  <c r="BN200" i="1"/>
  <c r="BP200" i="1"/>
  <c r="Y201" i="1"/>
  <c r="Z206" i="1"/>
  <c r="BN206" i="1"/>
  <c r="Z210" i="1"/>
  <c r="BN210" i="1"/>
  <c r="Z217" i="1"/>
  <c r="Z218" i="1" s="1"/>
  <c r="BN217" i="1"/>
  <c r="BP217" i="1"/>
  <c r="Z221" i="1"/>
  <c r="BN221" i="1"/>
  <c r="BP221" i="1"/>
  <c r="Z225" i="1"/>
  <c r="BN225" i="1"/>
  <c r="Z229" i="1"/>
  <c r="BN229" i="1"/>
  <c r="Z233" i="1"/>
  <c r="BN233" i="1"/>
  <c r="Y243" i="1"/>
  <c r="Z241" i="1"/>
  <c r="BN241" i="1"/>
  <c r="Y249" i="1"/>
  <c r="Z258" i="1"/>
  <c r="BN258" i="1"/>
  <c r="Y264" i="1"/>
  <c r="Z268" i="1"/>
  <c r="BN268" i="1"/>
  <c r="Z272" i="1"/>
  <c r="BN272" i="1"/>
  <c r="Z278" i="1"/>
  <c r="BN278" i="1"/>
  <c r="BP278" i="1"/>
  <c r="Z282" i="1"/>
  <c r="BN282" i="1"/>
  <c r="Z286" i="1"/>
  <c r="BN286" i="1"/>
  <c r="Z294" i="1"/>
  <c r="BN294" i="1"/>
  <c r="Y306" i="1"/>
  <c r="Z301" i="1"/>
  <c r="BN301" i="1"/>
  <c r="Z305" i="1"/>
  <c r="BN305" i="1"/>
  <c r="Y321" i="1"/>
  <c r="BP317" i="1"/>
  <c r="BN317" i="1"/>
  <c r="BP324" i="1"/>
  <c r="BN324" i="1"/>
  <c r="Z324" i="1"/>
  <c r="BP343" i="1"/>
  <c r="BN343" i="1"/>
  <c r="Z343" i="1"/>
  <c r="Y357" i="1"/>
  <c r="BP363" i="1"/>
  <c r="BN363" i="1"/>
  <c r="Z363" i="1"/>
  <c r="BP373" i="1"/>
  <c r="BN373" i="1"/>
  <c r="Z373" i="1"/>
  <c r="BP387" i="1"/>
  <c r="BN387" i="1"/>
  <c r="Z387" i="1"/>
  <c r="BP401" i="1"/>
  <c r="BN401" i="1"/>
  <c r="Z401" i="1"/>
  <c r="BP427" i="1"/>
  <c r="BN427" i="1"/>
  <c r="Z427" i="1"/>
  <c r="Y441" i="1"/>
  <c r="BP437" i="1"/>
  <c r="BN437" i="1"/>
  <c r="Z437" i="1"/>
  <c r="Y451" i="1"/>
  <c r="BP449" i="1"/>
  <c r="BN449" i="1"/>
  <c r="Z449" i="1"/>
  <c r="Y467" i="1"/>
  <c r="BP474" i="1"/>
  <c r="BN474" i="1"/>
  <c r="Z474" i="1"/>
  <c r="BP500" i="1"/>
  <c r="BN500" i="1"/>
  <c r="Z500" i="1"/>
  <c r="BP512" i="1"/>
  <c r="BN512" i="1"/>
  <c r="Z512" i="1"/>
  <c r="BP546" i="1"/>
  <c r="BN546" i="1"/>
  <c r="Z546" i="1"/>
  <c r="Y384" i="1"/>
  <c r="Y403" i="1"/>
  <c r="Y409" i="1"/>
  <c r="Y440" i="1"/>
  <c r="F9" i="1"/>
  <c r="J9" i="1"/>
  <c r="F10" i="1"/>
  <c r="Z22" i="1"/>
  <c r="Z24" i="1" s="1"/>
  <c r="BN22" i="1"/>
  <c r="BP22" i="1"/>
  <c r="Y25" i="1"/>
  <c r="Y32" i="1"/>
  <c r="BP27" i="1"/>
  <c r="BN27" i="1"/>
  <c r="BP29" i="1"/>
  <c r="BN29" i="1"/>
  <c r="Z29" i="1"/>
  <c r="BP39" i="1"/>
  <c r="BN39" i="1"/>
  <c r="Z39" i="1"/>
  <c r="H9" i="1"/>
  <c r="Y24" i="1"/>
  <c r="BP31" i="1"/>
  <c r="BN31" i="1"/>
  <c r="Z31" i="1"/>
  <c r="Y33" i="1"/>
  <c r="C564" i="1"/>
  <c r="Y42" i="1"/>
  <c r="BP37" i="1"/>
  <c r="BN37" i="1"/>
  <c r="Z37" i="1"/>
  <c r="BP41" i="1"/>
  <c r="BN41" i="1"/>
  <c r="Z41" i="1"/>
  <c r="Y43" i="1"/>
  <c r="D564" i="1"/>
  <c r="Y52" i="1"/>
  <c r="BP47" i="1"/>
  <c r="BN47" i="1"/>
  <c r="Z47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6" i="1"/>
  <c r="Y167" i="1"/>
  <c r="Y173" i="1"/>
  <c r="Y187" i="1"/>
  <c r="Y193" i="1"/>
  <c r="Y197" i="1"/>
  <c r="Y213" i="1"/>
  <c r="Y236" i="1"/>
  <c r="Y244" i="1"/>
  <c r="Y250" i="1"/>
  <c r="Y254" i="1"/>
  <c r="Y259" i="1"/>
  <c r="Y265" i="1"/>
  <c r="Y275" i="1"/>
  <c r="Y291" i="1"/>
  <c r="Y295" i="1"/>
  <c r="Y320" i="1"/>
  <c r="BP335" i="1"/>
  <c r="BN335" i="1"/>
  <c r="Z335" i="1"/>
  <c r="Y337" i="1"/>
  <c r="Y345" i="1"/>
  <c r="BP340" i="1"/>
  <c r="BN340" i="1"/>
  <c r="Z340" i="1"/>
  <c r="R564" i="1"/>
  <c r="BP344" i="1"/>
  <c r="BN344" i="1"/>
  <c r="Z344" i="1"/>
  <c r="Y346" i="1"/>
  <c r="Y351" i="1"/>
  <c r="BP348" i="1"/>
  <c r="BN348" i="1"/>
  <c r="Z348" i="1"/>
  <c r="Z350" i="1" s="1"/>
  <c r="BP362" i="1"/>
  <c r="BN362" i="1"/>
  <c r="Z362" i="1"/>
  <c r="Y366" i="1"/>
  <c r="BP370" i="1"/>
  <c r="BN370" i="1"/>
  <c r="Z370" i="1"/>
  <c r="BP374" i="1"/>
  <c r="BN374" i="1"/>
  <c r="Z374" i="1"/>
  <c r="BP382" i="1"/>
  <c r="BN382" i="1"/>
  <c r="Z382" i="1"/>
  <c r="Y389" i="1"/>
  <c r="BP386" i="1"/>
  <c r="BN386" i="1"/>
  <c r="Z386" i="1"/>
  <c r="BP394" i="1"/>
  <c r="BN394" i="1"/>
  <c r="Z394" i="1"/>
  <c r="BP406" i="1"/>
  <c r="BN406" i="1"/>
  <c r="Z406" i="1"/>
  <c r="BP413" i="1"/>
  <c r="BN413" i="1"/>
  <c r="Z413" i="1"/>
  <c r="Y421" i="1"/>
  <c r="BP418" i="1"/>
  <c r="BN418" i="1"/>
  <c r="Z418" i="1"/>
  <c r="V564" i="1"/>
  <c r="BP428" i="1"/>
  <c r="BN428" i="1"/>
  <c r="Z428" i="1"/>
  <c r="BP432" i="1"/>
  <c r="BN432" i="1"/>
  <c r="Z432" i="1"/>
  <c r="BP444" i="1"/>
  <c r="BN444" i="1"/>
  <c r="Z444" i="1"/>
  <c r="Z446" i="1" s="1"/>
  <c r="BP465" i="1"/>
  <c r="BN465" i="1"/>
  <c r="Z465" i="1"/>
  <c r="BP475" i="1"/>
  <c r="BN475" i="1"/>
  <c r="Z475" i="1"/>
  <c r="Z49" i="1"/>
  <c r="BN49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BN74" i="1"/>
  <c r="Z78" i="1"/>
  <c r="Z80" i="1" s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BN143" i="1"/>
  <c r="I564" i="1"/>
  <c r="Z150" i="1"/>
  <c r="BN150" i="1"/>
  <c r="Z152" i="1"/>
  <c r="BN152" i="1"/>
  <c r="Z154" i="1"/>
  <c r="BN154" i="1"/>
  <c r="Y157" i="1"/>
  <c r="J564" i="1"/>
  <c r="Z165" i="1"/>
  <c r="Z167" i="1" s="1"/>
  <c r="BN165" i="1"/>
  <c r="Y168" i="1"/>
  <c r="Z171" i="1"/>
  <c r="Z172" i="1" s="1"/>
  <c r="BN171" i="1"/>
  <c r="Z175" i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Z189" i="1"/>
  <c r="BN189" i="1"/>
  <c r="BP189" i="1"/>
  <c r="Z191" i="1"/>
  <c r="BN191" i="1"/>
  <c r="Z195" i="1"/>
  <c r="Z197" i="1" s="1"/>
  <c r="BN195" i="1"/>
  <c r="BP195" i="1"/>
  <c r="K564" i="1"/>
  <c r="Z207" i="1"/>
  <c r="BN207" i="1"/>
  <c r="Z209" i="1"/>
  <c r="BN209" i="1"/>
  <c r="Z211" i="1"/>
  <c r="BN211" i="1"/>
  <c r="Y214" i="1"/>
  <c r="L564" i="1"/>
  <c r="Y219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6" i="1"/>
  <c r="BN246" i="1"/>
  <c r="BP246" i="1"/>
  <c r="Z248" i="1"/>
  <c r="BN248" i="1"/>
  <c r="Z252" i="1"/>
  <c r="Z253" i="1" s="1"/>
  <c r="BN252" i="1"/>
  <c r="BP252" i="1"/>
  <c r="Z257" i="1"/>
  <c r="Z259" i="1" s="1"/>
  <c r="BN257" i="1"/>
  <c r="BP257" i="1"/>
  <c r="Y260" i="1"/>
  <c r="Z263" i="1"/>
  <c r="Z264" i="1" s="1"/>
  <c r="BN263" i="1"/>
  <c r="Z267" i="1"/>
  <c r="BN267" i="1"/>
  <c r="BP267" i="1"/>
  <c r="Z269" i="1"/>
  <c r="BN269" i="1"/>
  <c r="Z271" i="1"/>
  <c r="BN271" i="1"/>
  <c r="Z273" i="1"/>
  <c r="BN273" i="1"/>
  <c r="Z279" i="1"/>
  <c r="BN279" i="1"/>
  <c r="Z281" i="1"/>
  <c r="BN281" i="1"/>
  <c r="Z283" i="1"/>
  <c r="BN283" i="1"/>
  <c r="Z285" i="1"/>
  <c r="BN285" i="1"/>
  <c r="Z287" i="1"/>
  <c r="BN287" i="1"/>
  <c r="Z289" i="1"/>
  <c r="BN289" i="1"/>
  <c r="Z293" i="1"/>
  <c r="Z295" i="1" s="1"/>
  <c r="BN293" i="1"/>
  <c r="BP293" i="1"/>
  <c r="O564" i="1"/>
  <c r="Z300" i="1"/>
  <c r="BN300" i="1"/>
  <c r="Z302" i="1"/>
  <c r="BN302" i="1"/>
  <c r="Z304" i="1"/>
  <c r="BN304" i="1"/>
  <c r="Y307" i="1"/>
  <c r="Z318" i="1"/>
  <c r="Z320" i="1" s="1"/>
  <c r="BN318" i="1"/>
  <c r="P564" i="1"/>
  <c r="Y329" i="1"/>
  <c r="Z325" i="1"/>
  <c r="BN325" i="1"/>
  <c r="Z327" i="1"/>
  <c r="BN327" i="1"/>
  <c r="BP328" i="1"/>
  <c r="BN328" i="1"/>
  <c r="Z328" i="1"/>
  <c r="Y330" i="1"/>
  <c r="Q564" i="1"/>
  <c r="Y336" i="1"/>
  <c r="BP333" i="1"/>
  <c r="BN333" i="1"/>
  <c r="Z333" i="1"/>
  <c r="BP342" i="1"/>
  <c r="BN342" i="1"/>
  <c r="Z342" i="1"/>
  <c r="Y350" i="1"/>
  <c r="BP355" i="1"/>
  <c r="BN355" i="1"/>
  <c r="Z355" i="1"/>
  <c r="T564" i="1"/>
  <c r="BP364" i="1"/>
  <c r="BN364" i="1"/>
  <c r="Z364" i="1"/>
  <c r="BP372" i="1"/>
  <c r="BN372" i="1"/>
  <c r="Z372" i="1"/>
  <c r="Y376" i="1"/>
  <c r="BP380" i="1"/>
  <c r="BN380" i="1"/>
  <c r="Z380" i="1"/>
  <c r="BP388" i="1"/>
  <c r="BN388" i="1"/>
  <c r="Z388" i="1"/>
  <c r="Y390" i="1"/>
  <c r="Y397" i="1"/>
  <c r="BP392" i="1"/>
  <c r="BN392" i="1"/>
  <c r="Z392" i="1"/>
  <c r="Y396" i="1"/>
  <c r="BP400" i="1"/>
  <c r="BN400" i="1"/>
  <c r="Z400" i="1"/>
  <c r="Z402" i="1" s="1"/>
  <c r="Y408" i="1"/>
  <c r="U564" i="1"/>
  <c r="Y414" i="1"/>
  <c r="BP412" i="1"/>
  <c r="BN412" i="1"/>
  <c r="Z412" i="1"/>
  <c r="Z414" i="1" s="1"/>
  <c r="BP420" i="1"/>
  <c r="BN420" i="1"/>
  <c r="Z420" i="1"/>
  <c r="Y422" i="1"/>
  <c r="W564" i="1"/>
  <c r="Y435" i="1"/>
  <c r="BP426" i="1"/>
  <c r="BN426" i="1"/>
  <c r="Z426" i="1"/>
  <c r="BP430" i="1"/>
  <c r="BN430" i="1"/>
  <c r="Z430" i="1"/>
  <c r="Y434" i="1"/>
  <c r="BP438" i="1"/>
  <c r="BN438" i="1"/>
  <c r="Z438" i="1"/>
  <c r="Z440" i="1" s="1"/>
  <c r="Y446" i="1"/>
  <c r="BP450" i="1"/>
  <c r="BN450" i="1"/>
  <c r="Z450" i="1"/>
  <c r="Z451" i="1" s="1"/>
  <c r="Y452" i="1"/>
  <c r="X564" i="1"/>
  <c r="Y458" i="1"/>
  <c r="BP455" i="1"/>
  <c r="BN455" i="1"/>
  <c r="Z455" i="1"/>
  <c r="Z457" i="1" s="1"/>
  <c r="BP473" i="1"/>
  <c r="BN473" i="1"/>
  <c r="Z473" i="1"/>
  <c r="BP477" i="1"/>
  <c r="BN477" i="1"/>
  <c r="Z477" i="1"/>
  <c r="Y479" i="1"/>
  <c r="Y484" i="1"/>
  <c r="BP481" i="1"/>
  <c r="BN481" i="1"/>
  <c r="Z481" i="1"/>
  <c r="Z483" i="1" s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Z564" i="1"/>
  <c r="S564" i="1"/>
  <c r="Y358" i="1"/>
  <c r="Y367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Z524" i="1" s="1"/>
  <c r="BP521" i="1"/>
  <c r="BN521" i="1"/>
  <c r="Z521" i="1"/>
  <c r="Y547" i="1"/>
  <c r="AB564" i="1"/>
  <c r="Y553" i="1"/>
  <c r="Z213" i="1" l="1"/>
  <c r="Z75" i="1"/>
  <c r="Z145" i="1"/>
  <c r="Z329" i="1"/>
  <c r="Z121" i="1"/>
  <c r="Z114" i="1"/>
  <c r="Z88" i="1"/>
  <c r="Z63" i="1"/>
  <c r="Z478" i="1"/>
  <c r="Z434" i="1"/>
  <c r="Z396" i="1"/>
  <c r="Z383" i="1"/>
  <c r="Z376" i="1"/>
  <c r="Z306" i="1"/>
  <c r="Z290" i="1"/>
  <c r="Z243" i="1"/>
  <c r="Z235" i="1"/>
  <c r="Z192" i="1"/>
  <c r="Z156" i="1"/>
  <c r="Z139" i="1"/>
  <c r="Z132" i="1"/>
  <c r="Z106" i="1"/>
  <c r="Z95" i="1"/>
  <c r="Z70" i="1"/>
  <c r="Z467" i="1"/>
  <c r="Z408" i="1"/>
  <c r="Z366" i="1"/>
  <c r="Z42" i="1"/>
  <c r="Z32" i="1"/>
  <c r="Z508" i="1"/>
  <c r="Y556" i="1"/>
  <c r="Z514" i="1"/>
  <c r="Z336" i="1"/>
  <c r="Z275" i="1"/>
  <c r="Z249" i="1"/>
  <c r="Z186" i="1"/>
  <c r="Z421" i="1"/>
  <c r="Z389" i="1"/>
  <c r="Z345" i="1"/>
  <c r="Z51" i="1"/>
  <c r="Y558" i="1"/>
  <c r="Y554" i="1"/>
  <c r="Y555" i="1"/>
  <c r="Y557" i="1" s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<sst xmlns="http://schemas.openxmlformats.org/spreadsheetml/2006/main" count="2517" uniqueCount="913">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</sst>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93" t="s">
        <v>0</v>
      </c>
      <c r="E1" s="678"/>
      <c r="F1" s="678"/>
      <c r="G1" s="12" t="s">
        <v>1</v>
      </c>
      <c r="H1" s="693" t="s">
        <v>2</v>
      </c>
      <c r="I1" s="678"/>
      <c r="J1" s="678"/>
      <c r="K1" s="678"/>
      <c r="L1" s="678"/>
      <c r="M1" s="678"/>
      <c r="N1" s="678"/>
      <c r="O1" s="678"/>
      <c r="P1" s="678"/>
      <c r="Q1" s="678"/>
      <c r="R1" s="677" t="s">
        <v>3</v>
      </c>
      <c r="S1" s="678"/>
      <c r="T1" s="6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8" t="s">
        <v>8</v>
      </c>
      <c r="B5" s="668"/>
      <c r="C5" s="669"/>
      <c r="D5" s="731"/>
      <c r="E5" s="732"/>
      <c r="F5" s="967" t="s">
        <v>9</v>
      </c>
      <c r="G5" s="669"/>
      <c r="H5" s="731" t="s">
        <v>912</v>
      </c>
      <c r="I5" s="910"/>
      <c r="J5" s="910"/>
      <c r="K5" s="910"/>
      <c r="L5" s="910"/>
      <c r="M5" s="732"/>
      <c r="N5" s="58"/>
      <c r="P5" s="24" t="s">
        <v>10</v>
      </c>
      <c r="Q5" s="983">
        <v>46251</v>
      </c>
      <c r="R5" s="787"/>
      <c r="T5" s="835" t="s">
        <v>11</v>
      </c>
      <c r="U5" s="729"/>
      <c r="V5" s="837" t="s">
        <v>12</v>
      </c>
      <c r="W5" s="787"/>
      <c r="AB5" s="51"/>
      <c r="AC5" s="51"/>
      <c r="AD5" s="51"/>
      <c r="AE5" s="51"/>
    </row>
    <row r="6" spans="1:32" s="627" customFormat="1" ht="24" customHeight="1" x14ac:dyDescent="0.2">
      <c r="A6" s="788" t="s">
        <v>13</v>
      </c>
      <c r="B6" s="668"/>
      <c r="C6" s="669"/>
      <c r="D6" s="912" t="s">
        <v>885</v>
      </c>
      <c r="E6" s="913"/>
      <c r="F6" s="913"/>
      <c r="G6" s="913"/>
      <c r="H6" s="913"/>
      <c r="I6" s="913"/>
      <c r="J6" s="913"/>
      <c r="K6" s="913"/>
      <c r="L6" s="913"/>
      <c r="M6" s="787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42" t="s">
        <v>15</v>
      </c>
      <c r="U6" s="729"/>
      <c r="V6" s="894" t="s">
        <v>16</v>
      </c>
      <c r="W6" s="659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7" t="str">
        <f>IFERROR(VLOOKUP(DeliveryAddress,Table,3,0),1)</f>
        <v>5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40"/>
      <c r="U7" s="729"/>
      <c r="V7" s="895"/>
      <c r="W7" s="896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96">
        <v>0.54166666666666663</v>
      </c>
      <c r="R8" s="689"/>
      <c r="T8" s="640"/>
      <c r="U8" s="729"/>
      <c r="V8" s="895"/>
      <c r="W8" s="896"/>
      <c r="AB8" s="51"/>
      <c r="AC8" s="51"/>
      <c r="AD8" s="51"/>
      <c r="AE8" s="51"/>
    </row>
    <row r="9" spans="1:32" s="627" customFormat="1" ht="39.950000000000003" customHeight="1" x14ac:dyDescent="0.2">
      <c r="A9" s="79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797"/>
      <c r="E9" s="656"/>
      <c r="F9" s="79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62"/>
      <c r="R9" s="763"/>
      <c r="T9" s="640"/>
      <c r="U9" s="729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9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797"/>
      <c r="E10" s="656"/>
      <c r="F10" s="79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5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3"/>
      <c r="R10" s="844"/>
      <c r="U10" s="24" t="s">
        <v>21</v>
      </c>
      <c r="V10" s="658" t="s">
        <v>22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6"/>
      <c r="R11" s="787"/>
      <c r="U11" s="24" t="s">
        <v>25</v>
      </c>
      <c r="V11" s="969" t="s">
        <v>26</v>
      </c>
      <c r="W11" s="76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8" t="s">
        <v>27</v>
      </c>
      <c r="B12" s="668"/>
      <c r="C12" s="668"/>
      <c r="D12" s="668"/>
      <c r="E12" s="668"/>
      <c r="F12" s="668"/>
      <c r="G12" s="668"/>
      <c r="H12" s="668"/>
      <c r="I12" s="668"/>
      <c r="J12" s="668"/>
      <c r="K12" s="668"/>
      <c r="L12" s="668"/>
      <c r="M12" s="669"/>
      <c r="N12" s="62"/>
      <c r="P12" s="24" t="s">
        <v>28</v>
      </c>
      <c r="Q12" s="796"/>
      <c r="R12" s="689"/>
      <c r="S12" s="23"/>
      <c r="U12" s="24"/>
      <c r="V12" s="678"/>
      <c r="W12" s="640"/>
      <c r="AB12" s="51"/>
      <c r="AC12" s="51"/>
      <c r="AD12" s="51"/>
      <c r="AE12" s="51"/>
    </row>
    <row r="13" spans="1:32" s="627" customFormat="1" ht="23.25" customHeight="1" x14ac:dyDescent="0.2">
      <c r="A13" s="828" t="s">
        <v>29</v>
      </c>
      <c r="B13" s="668"/>
      <c r="C13" s="668"/>
      <c r="D13" s="668"/>
      <c r="E13" s="668"/>
      <c r="F13" s="668"/>
      <c r="G13" s="668"/>
      <c r="H13" s="668"/>
      <c r="I13" s="668"/>
      <c r="J13" s="668"/>
      <c r="K13" s="668"/>
      <c r="L13" s="668"/>
      <c r="M13" s="669"/>
      <c r="N13" s="62"/>
      <c r="O13" s="26"/>
      <c r="P13" s="26" t="s">
        <v>30</v>
      </c>
      <c r="Q13" s="969"/>
      <c r="R13" s="7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8" t="s">
        <v>31</v>
      </c>
      <c r="B14" s="668"/>
      <c r="C14" s="668"/>
      <c r="D14" s="668"/>
      <c r="E14" s="668"/>
      <c r="F14" s="668"/>
      <c r="G14" s="668"/>
      <c r="H14" s="668"/>
      <c r="I14" s="668"/>
      <c r="J14" s="668"/>
      <c r="K14" s="668"/>
      <c r="L14" s="668"/>
      <c r="M14" s="66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8" t="s">
        <v>32</v>
      </c>
      <c r="B15" s="668"/>
      <c r="C15" s="668"/>
      <c r="D15" s="668"/>
      <c r="E15" s="668"/>
      <c r="F15" s="668"/>
      <c r="G15" s="668"/>
      <c r="H15" s="668"/>
      <c r="I15" s="668"/>
      <c r="J15" s="668"/>
      <c r="K15" s="668"/>
      <c r="L15" s="668"/>
      <c r="M15" s="669"/>
      <c r="N15" s="63"/>
      <c r="P15" s="811" t="s">
        <v>33</v>
      </c>
      <c r="Q15" s="678"/>
      <c r="R15" s="678"/>
      <c r="S15" s="678"/>
      <c r="T15" s="6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6" t="s">
        <v>34</v>
      </c>
      <c r="B17" s="696" t="s">
        <v>35</v>
      </c>
      <c r="C17" s="805" t="s">
        <v>36</v>
      </c>
      <c r="D17" s="696" t="s">
        <v>37</v>
      </c>
      <c r="E17" s="752"/>
      <c r="F17" s="696" t="s">
        <v>38</v>
      </c>
      <c r="G17" s="696" t="s">
        <v>39</v>
      </c>
      <c r="H17" s="696" t="s">
        <v>40</v>
      </c>
      <c r="I17" s="696" t="s">
        <v>41</v>
      </c>
      <c r="J17" s="696" t="s">
        <v>42</v>
      </c>
      <c r="K17" s="696" t="s">
        <v>43</v>
      </c>
      <c r="L17" s="696" t="s">
        <v>44</v>
      </c>
      <c r="M17" s="696" t="s">
        <v>45</v>
      </c>
      <c r="N17" s="696" t="s">
        <v>46</v>
      </c>
      <c r="O17" s="696" t="s">
        <v>47</v>
      </c>
      <c r="P17" s="696" t="s">
        <v>48</v>
      </c>
      <c r="Q17" s="751"/>
      <c r="R17" s="751"/>
      <c r="S17" s="751"/>
      <c r="T17" s="752"/>
      <c r="U17" s="974" t="s">
        <v>49</v>
      </c>
      <c r="V17" s="669"/>
      <c r="W17" s="696" t="s">
        <v>50</v>
      </c>
      <c r="X17" s="696" t="s">
        <v>51</v>
      </c>
      <c r="Y17" s="975" t="s">
        <v>52</v>
      </c>
      <c r="Z17" s="908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7"/>
      <c r="B18" s="697"/>
      <c r="C18" s="697"/>
      <c r="D18" s="753"/>
      <c r="E18" s="755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97"/>
      <c r="X18" s="697"/>
      <c r="Y18" s="976"/>
      <c r="Z18" s="909"/>
      <c r="AA18" s="880"/>
      <c r="AB18" s="880"/>
      <c r="AC18" s="880"/>
      <c r="AD18" s="964"/>
      <c r="AE18" s="965"/>
      <c r="AF18" s="966"/>
      <c r="AG18" s="66"/>
      <c r="BD18" s="65"/>
    </row>
    <row r="19" spans="1:68" ht="27.75" hidden="1" customHeight="1" x14ac:dyDescent="0.2">
      <c r="A19" s="722" t="s">
        <v>61</v>
      </c>
      <c r="B19" s="723"/>
      <c r="C19" s="723"/>
      <c r="D19" s="723"/>
      <c r="E19" s="723"/>
      <c r="F19" s="723"/>
      <c r="G19" s="723"/>
      <c r="H19" s="723"/>
      <c r="I19" s="723"/>
      <c r="J19" s="723"/>
      <c r="K19" s="723"/>
      <c r="L19" s="723"/>
      <c r="M19" s="723"/>
      <c r="N19" s="723"/>
      <c r="O19" s="723"/>
      <c r="P19" s="723"/>
      <c r="Q19" s="723"/>
      <c r="R19" s="723"/>
      <c r="S19" s="723"/>
      <c r="T19" s="723"/>
      <c r="U19" s="723"/>
      <c r="V19" s="723"/>
      <c r="W19" s="723"/>
      <c r="X19" s="723"/>
      <c r="Y19" s="723"/>
      <c r="Z19" s="723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4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5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5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16</v>
      </c>
      <c r="Y30" s="634">
        <f>IFERROR(IF(X30="",0,CEILING((X30/$H30),1)*$H30),"")</f>
        <v>16.2</v>
      </c>
      <c r="Z30" s="36">
        <f>IFERROR(IF(Y30=0,"",ROUNDUP(Y30/H30,0)*0.00651),"")</f>
        <v>5.8590000000000003E-2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28.266666666666666</v>
      </c>
      <c r="BN30" s="64">
        <f>IFERROR(Y30*I30/H30,"0")</f>
        <v>28.619999999999997</v>
      </c>
      <c r="BO30" s="64">
        <f>IFERROR(1/J30*(X30/H30),"0")</f>
        <v>4.8840048840048847E-2</v>
      </c>
      <c r="BP30" s="64">
        <f>IFERROR(1/J30*(Y30/H30),"0")</f>
        <v>4.9450549450549455E-2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4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5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8.8888888888888893</v>
      </c>
      <c r="Y32" s="635">
        <f>IFERROR(Y27/H27,"0")+IFERROR(Y28/H28,"0")+IFERROR(Y29/H29,"0")+IFERROR(Y30/H30,"0")+IFERROR(Y31/H31,"0")</f>
        <v>9</v>
      </c>
      <c r="Z32" s="635">
        <f>IFERROR(IF(Z27="",0,Z27),"0")+IFERROR(IF(Z28="",0,Z28),"0")+IFERROR(IF(Z29="",0,Z29),"0")+IFERROR(IF(Z30="",0,Z30),"0")+IFERROR(IF(Z31="",0,Z31),"0")</f>
        <v>5.8590000000000003E-2</v>
      </c>
      <c r="AA32" s="636"/>
      <c r="AB32" s="636"/>
      <c r="AC32" s="636"/>
    </row>
    <row r="33" spans="1:68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5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16</v>
      </c>
      <c r="Y33" s="635">
        <f>IFERROR(SUM(Y27:Y31),"0")</f>
        <v>16.2</v>
      </c>
      <c r="Z33" s="37"/>
      <c r="AA33" s="636"/>
      <c r="AB33" s="636"/>
      <c r="AC33" s="636"/>
    </row>
    <row r="34" spans="1:68" ht="27.75" hidden="1" customHeight="1" x14ac:dyDescent="0.2">
      <c r="A34" s="722" t="s">
        <v>92</v>
      </c>
      <c r="B34" s="723"/>
      <c r="C34" s="723"/>
      <c r="D34" s="723"/>
      <c r="E34" s="723"/>
      <c r="F34" s="723"/>
      <c r="G34" s="723"/>
      <c r="H34" s="723"/>
      <c r="I34" s="723"/>
      <c r="J34" s="723"/>
      <c r="K34" s="723"/>
      <c r="L34" s="723"/>
      <c r="M34" s="723"/>
      <c r="N34" s="723"/>
      <c r="O34" s="723"/>
      <c r="P34" s="723"/>
      <c r="Q34" s="723"/>
      <c r="R34" s="723"/>
      <c r="S34" s="723"/>
      <c r="T34" s="723"/>
      <c r="U34" s="723"/>
      <c r="V34" s="723"/>
      <c r="W34" s="723"/>
      <c r="X34" s="723"/>
      <c r="Y34" s="723"/>
      <c r="Z34" s="723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4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5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5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22" t="s">
        <v>109</v>
      </c>
      <c r="B44" s="723"/>
      <c r="C44" s="723"/>
      <c r="D44" s="723"/>
      <c r="E44" s="723"/>
      <c r="F44" s="723"/>
      <c r="G44" s="723"/>
      <c r="H44" s="723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Y44" s="723"/>
      <c r="Z44" s="723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528</v>
      </c>
      <c r="Y47" s="634">
        <f>IFERROR(IF(X47="",0,CEILING((X47/$H47),1)*$H47),"")</f>
        <v>529.20000000000005</v>
      </c>
      <c r="Z47" s="36">
        <f>IFERROR(IF(Y47=0,"",ROUNDUP(Y47/H47,0)*0.01898),"")</f>
        <v>0.93002000000000007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548.04444444444437</v>
      </c>
      <c r="BN47" s="64">
        <f>IFERROR(Y47*I47/H47,"0")</f>
        <v>549.29000000000008</v>
      </c>
      <c r="BO47" s="64">
        <f>IFERROR(1/J47*(X47/H47),"0")</f>
        <v>0.76388888888888884</v>
      </c>
      <c r="BP47" s="64">
        <f>IFERROR(1/J47*(Y47/H47),"0")</f>
        <v>0.765625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4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5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48.888888888888886</v>
      </c>
      <c r="Y51" s="635">
        <f>IFERROR(Y47/H47,"0")+IFERROR(Y48/H48,"0")+IFERROR(Y49/H49,"0")+IFERROR(Y50/H50,"0")</f>
        <v>49</v>
      </c>
      <c r="Z51" s="635">
        <f>IFERROR(IF(Z47="",0,Z47),"0")+IFERROR(IF(Z48="",0,Z48),"0")+IFERROR(IF(Z49="",0,Z49),"0")+IFERROR(IF(Z50="",0,Z50),"0")</f>
        <v>0.93002000000000007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5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528</v>
      </c>
      <c r="Y52" s="635">
        <f>IFERROR(SUM(Y47:Y50),"0")</f>
        <v>529.20000000000005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39</v>
      </c>
      <c r="Y55" s="634">
        <f t="shared" ref="Y55:Y62" si="0">IFERROR(IF(X55="",0,CEILING((X55/$H55),1)*$H55),"")</f>
        <v>44.8</v>
      </c>
      <c r="Z55" s="36">
        <f>IFERROR(IF(Y55=0,"",ROUNDUP(Y55/H55,0)*0.01898),"")</f>
        <v>7.5920000000000001E-2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40.427678571428572</v>
      </c>
      <c r="BN55" s="64">
        <f t="shared" ref="BN55:BN62" si="2">IFERROR(Y55*I55/H55,"0")</f>
        <v>46.44</v>
      </c>
      <c r="BO55" s="64">
        <f t="shared" ref="BO55:BO62" si="3">IFERROR(1/J55*(X55/H55),"0")</f>
        <v>5.4408482142857144E-2</v>
      </c>
      <c r="BP55" s="64">
        <f t="shared" ref="BP55:BP62" si="4">IFERROR(1/J55*(Y55/H55),"0")</f>
        <v>6.25E-2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214</v>
      </c>
      <c r="Y57" s="634">
        <f t="shared" si="0"/>
        <v>216</v>
      </c>
      <c r="Z57" s="36">
        <f>IFERROR(IF(Y57=0,"",ROUNDUP(Y57/H57,0)*0.01898),"")</f>
        <v>0.37959999999999999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222.12407407407406</v>
      </c>
      <c r="BN57" s="64">
        <f t="shared" si="2"/>
        <v>224.2</v>
      </c>
      <c r="BO57" s="64">
        <f t="shared" si="3"/>
        <v>0.30960648148148145</v>
      </c>
      <c r="BP57" s="64">
        <f t="shared" si="4"/>
        <v>0.3125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52</v>
      </c>
      <c r="Y62" s="634">
        <f t="shared" si="0"/>
        <v>54</v>
      </c>
      <c r="Z62" s="36">
        <f>IFERROR(IF(Y62=0,"",ROUNDUP(Y62/H62,0)*0.00902),"")</f>
        <v>0.10824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54.195555555555558</v>
      </c>
      <c r="BN62" s="64">
        <f t="shared" si="2"/>
        <v>56.28</v>
      </c>
      <c r="BO62" s="64">
        <f t="shared" si="3"/>
        <v>8.7542087542087546E-2</v>
      </c>
      <c r="BP62" s="64">
        <f t="shared" si="4"/>
        <v>9.0909090909090912E-2</v>
      </c>
    </row>
    <row r="63" spans="1:68" x14ac:dyDescent="0.2">
      <c r="A63" s="664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5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34.852513227513228</v>
      </c>
      <c r="Y63" s="635">
        <f>IFERROR(Y55/H55,"0")+IFERROR(Y56/H56,"0")+IFERROR(Y57/H57,"0")+IFERROR(Y58/H58,"0")+IFERROR(Y59/H59,"0")+IFERROR(Y60/H60,"0")+IFERROR(Y61/H61,"0")+IFERROR(Y62/H62,"0")</f>
        <v>36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0.56376000000000004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5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305</v>
      </c>
      <c r="Y64" s="635">
        <f>IFERROR(SUM(Y55:Y62),"0")</f>
        <v>314.8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69</v>
      </c>
      <c r="Y66" s="634">
        <f>IFERROR(IF(X66="",0,CEILING((X66/$H66),1)*$H66),"")</f>
        <v>75.600000000000009</v>
      </c>
      <c r="Z66" s="36">
        <f>IFERROR(IF(Y66=0,"",ROUNDUP(Y66/H66,0)*0.01898),"")</f>
        <v>0.13286000000000001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71.61944444444444</v>
      </c>
      <c r="BN66" s="64">
        <f>IFERROR(Y66*I66/H66,"0")</f>
        <v>78.47</v>
      </c>
      <c r="BO66" s="64">
        <f>IFERROR(1/J66*(X66/H66),"0")</f>
        <v>9.9826388888888881E-2</v>
      </c>
      <c r="BP66" s="64">
        <f>IFERROR(1/J66*(Y66/H66),"0")</f>
        <v>0.109375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4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5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6.3888888888888884</v>
      </c>
      <c r="Y70" s="635">
        <f>IFERROR(Y66/H66,"0")+IFERROR(Y67/H67,"0")+IFERROR(Y68/H68,"0")+IFERROR(Y69/H69,"0")</f>
        <v>7</v>
      </c>
      <c r="Z70" s="635">
        <f>IFERROR(IF(Z66="",0,Z66),"0")+IFERROR(IF(Z67="",0,Z67),"0")+IFERROR(IF(Z68="",0,Z68),"0")+IFERROR(IF(Z69="",0,Z69),"0")</f>
        <v>0.13286000000000001</v>
      </c>
      <c r="AA70" s="636"/>
      <c r="AB70" s="636"/>
      <c r="AC70" s="636"/>
    </row>
    <row r="71" spans="1:68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5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69</v>
      </c>
      <c r="Y71" s="635">
        <f>IFERROR(SUM(Y66:Y69),"0")</f>
        <v>75.600000000000009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60</v>
      </c>
      <c r="Y73" s="634">
        <f>IFERROR(IF(X73="",0,CEILING((X73/$H73),1)*$H73),"")</f>
        <v>61.2</v>
      </c>
      <c r="Z73" s="36">
        <f>IFERROR(IF(Y73=0,"",ROUNDUP(Y73/H73,0)*0.00651),"")</f>
        <v>0.22134000000000001</v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68.199999999999989</v>
      </c>
      <c r="BN73" s="64">
        <f>IFERROR(Y73*I73/H73,"0")</f>
        <v>69.563999999999993</v>
      </c>
      <c r="BO73" s="64">
        <f>IFERROR(1/J73*(X73/H73),"0")</f>
        <v>0.18315018315018317</v>
      </c>
      <c r="BP73" s="64">
        <f>IFERROR(1/J73*(Y73/H73),"0")</f>
        <v>0.18681318681318682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4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5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33.333333333333336</v>
      </c>
      <c r="Y75" s="635">
        <f>IFERROR(Y73/H73,"0")+IFERROR(Y74/H74,"0")</f>
        <v>34</v>
      </c>
      <c r="Z75" s="635">
        <f>IFERROR(IF(Z73="",0,Z73),"0")+IFERROR(IF(Z74="",0,Z74),"0")</f>
        <v>0.22134000000000001</v>
      </c>
      <c r="AA75" s="636"/>
      <c r="AB75" s="636"/>
      <c r="AC75" s="636"/>
    </row>
    <row r="76" spans="1:68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5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60</v>
      </c>
      <c r="Y76" s="635">
        <f>IFERROR(SUM(Y73:Y74),"0")</f>
        <v>61.2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182</v>
      </c>
      <c r="Y78" s="634">
        <f>IFERROR(IF(X78="",0,CEILING((X78/$H78),1)*$H78),"")</f>
        <v>187.2</v>
      </c>
      <c r="Z78" s="36">
        <f>IFERROR(IF(Y78=0,"",ROUNDUP(Y78/H78,0)*0.01898),"")</f>
        <v>0.45552000000000004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191.56666666666669</v>
      </c>
      <c r="BN78" s="64">
        <f>IFERROR(Y78*I78/H78,"0")</f>
        <v>197.04000000000002</v>
      </c>
      <c r="BO78" s="64">
        <f>IFERROR(1/J78*(X78/H78),"0")</f>
        <v>0.36458333333333331</v>
      </c>
      <c r="BP78" s="64">
        <f>IFERROR(1/J78*(Y78/H78),"0")</f>
        <v>0.375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4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5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23.333333333333332</v>
      </c>
      <c r="Y80" s="635">
        <f>IFERROR(Y78/H78,"0")+IFERROR(Y79/H79,"0")</f>
        <v>24</v>
      </c>
      <c r="Z80" s="635">
        <f>IFERROR(IF(Z78="",0,Z78),"0")+IFERROR(IF(Z79="",0,Z79),"0")</f>
        <v>0.45552000000000004</v>
      </c>
      <c r="AA80" s="636"/>
      <c r="AB80" s="636"/>
      <c r="AC80" s="636"/>
    </row>
    <row r="81" spans="1:68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5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182</v>
      </c>
      <c r="Y81" s="635">
        <f>IFERROR(SUM(Y78:Y79),"0")</f>
        <v>187.2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13</v>
      </c>
      <c r="Y85" s="634">
        <f>IFERROR(IF(X85="",0,CEILING((X85/$H85),1)*$H85),"")</f>
        <v>13.6</v>
      </c>
      <c r="Z85" s="36">
        <f>IFERROR(IF(Y85=0,"",ROUNDUP(Y85/H85,0)*0.00726),"")</f>
        <v>5.808E-2</v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13.764705882352942</v>
      </c>
      <c r="BN85" s="64">
        <f>IFERROR(Y85*I85/H85,"0")</f>
        <v>14.4</v>
      </c>
      <c r="BO85" s="64">
        <f>IFERROR(1/J85*(X85/H85),"0")</f>
        <v>3.9828431372549017E-2</v>
      </c>
      <c r="BP85" s="64">
        <f>IFERROR(1/J85*(Y85/H85),"0")</f>
        <v>4.1666666666666664E-2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69</v>
      </c>
      <c r="Y87" s="634">
        <f>IFERROR(IF(X87="",0,CEILING((X87/$H87),1)*$H87),"")</f>
        <v>72</v>
      </c>
      <c r="Z87" s="36">
        <f>IFERROR(IF(Y87=0,"",ROUNDUP(Y87/H87,0)*0.00902),"")</f>
        <v>0.14432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71.913333333333341</v>
      </c>
      <c r="BN87" s="64">
        <f>IFERROR(Y87*I87/H87,"0")</f>
        <v>75.040000000000006</v>
      </c>
      <c r="BO87" s="64">
        <f>IFERROR(1/J87*(X87/H87),"0")</f>
        <v>0.11616161616161617</v>
      </c>
      <c r="BP87" s="64">
        <f>IFERROR(1/J87*(Y87/H87),"0")</f>
        <v>0.12121212121212122</v>
      </c>
    </row>
    <row r="88" spans="1:68" x14ac:dyDescent="0.2">
      <c r="A88" s="664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5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22.980392156862745</v>
      </c>
      <c r="Y88" s="635">
        <f>IFERROR(Y84/H84,"0")+IFERROR(Y85/H85,"0")+IFERROR(Y86/H86,"0")+IFERROR(Y87/H87,"0")</f>
        <v>24</v>
      </c>
      <c r="Z88" s="635">
        <f>IFERROR(IF(Z84="",0,Z84),"0")+IFERROR(IF(Z85="",0,Z85),"0")+IFERROR(IF(Z86="",0,Z86),"0")+IFERROR(IF(Z87="",0,Z87),"0")</f>
        <v>0.2024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5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82</v>
      </c>
      <c r="Y89" s="635">
        <f>IFERROR(SUM(Y84:Y87),"0")</f>
        <v>85.6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696</v>
      </c>
      <c r="Y91" s="634">
        <f>IFERROR(IF(X91="",0,CEILING((X91/$H91),1)*$H91),"")</f>
        <v>696.6</v>
      </c>
      <c r="Z91" s="36">
        <f>IFERROR(IF(Y91=0,"",ROUNDUP(Y91/H91,0)*0.01898),"")</f>
        <v>1.63228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738.44740740740747</v>
      </c>
      <c r="BN91" s="64">
        <f>IFERROR(Y91*I91/H91,"0")</f>
        <v>739.08400000000006</v>
      </c>
      <c r="BO91" s="64">
        <f>IFERROR(1/J91*(X91/H91),"0")</f>
        <v>1.3425925925925926</v>
      </c>
      <c r="BP91" s="64">
        <f>IFERROR(1/J91*(Y91/H91),"0")</f>
        <v>1.34375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377</v>
      </c>
      <c r="Y93" s="634">
        <f>IFERROR(IF(X93="",0,CEILING((X93/$H93),1)*$H93),"")</f>
        <v>378</v>
      </c>
      <c r="Z93" s="36">
        <f>IFERROR(IF(Y93=0,"",ROUNDUP(Y93/H93,0)*0.00651),"")</f>
        <v>0.91139999999999999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412.18666666666661</v>
      </c>
      <c r="BN93" s="64">
        <f>IFERROR(Y93*I93/H93,"0")</f>
        <v>413.28</v>
      </c>
      <c r="BO93" s="64">
        <f>IFERROR(1/J93*(X93/H93),"0")</f>
        <v>0.76719576719576721</v>
      </c>
      <c r="BP93" s="64">
        <f>IFERROR(1/J93*(Y93/H93),"0")</f>
        <v>0.76923076923076927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4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5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225.55555555555554</v>
      </c>
      <c r="Y95" s="635">
        <f>IFERROR(Y91/H91,"0")+IFERROR(Y92/H92,"0")+IFERROR(Y93/H93,"0")+IFERROR(Y94/H94,"0")</f>
        <v>226</v>
      </c>
      <c r="Z95" s="635">
        <f>IFERROR(IF(Z91="",0,Z91),"0")+IFERROR(IF(Z92="",0,Z92),"0")+IFERROR(IF(Z93="",0,Z93),"0")+IFERROR(IF(Z94="",0,Z94),"0")</f>
        <v>2.5436800000000002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5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1073</v>
      </c>
      <c r="Y96" s="635">
        <f>IFERROR(SUM(Y91:Y94),"0")</f>
        <v>1074.5999999999999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122</v>
      </c>
      <c r="Y99" s="634">
        <f t="shared" ref="Y99:Y105" si="5">IFERROR(IF(X99="",0,CEILING((X99/$H99),1)*$H99),"")</f>
        <v>129.60000000000002</v>
      </c>
      <c r="Z99" s="36">
        <f>IFERROR(IF(Y99=0,"",ROUNDUP(Y99/H99,0)*0.01898),"")</f>
        <v>0.22776000000000002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126.63148148148149</v>
      </c>
      <c r="BN99" s="64">
        <f t="shared" ref="BN99:BN105" si="7">IFERROR(Y99*I99/H99,"0")</f>
        <v>134.52000000000001</v>
      </c>
      <c r="BO99" s="64">
        <f t="shared" ref="BO99:BO105" si="8">IFERROR(1/J99*(X99/H99),"0")</f>
        <v>0.17650462962962962</v>
      </c>
      <c r="BP99" s="64">
        <f t="shared" ref="BP99:BP105" si="9">IFERROR(1/J99*(Y99/H99),"0")</f>
        <v>0.18750000000000003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90</v>
      </c>
      <c r="Y104" s="634">
        <f t="shared" si="5"/>
        <v>90</v>
      </c>
      <c r="Z104" s="36">
        <f>IFERROR(IF(Y104=0,"",ROUNDUP(Y104/H104,0)*0.00902),"")</f>
        <v>0.1804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93.800000000000011</v>
      </c>
      <c r="BN104" s="64">
        <f t="shared" si="7"/>
        <v>93.800000000000011</v>
      </c>
      <c r="BO104" s="64">
        <f t="shared" si="8"/>
        <v>0.15151515151515152</v>
      </c>
      <c r="BP104" s="64">
        <f t="shared" si="9"/>
        <v>0.15151515151515152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4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5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31.296296296296298</v>
      </c>
      <c r="Y106" s="635">
        <f>IFERROR(Y99/H99,"0")+IFERROR(Y100/H100,"0")+IFERROR(Y101/H101,"0")+IFERROR(Y102/H102,"0")+IFERROR(Y103/H103,"0")+IFERROR(Y104/H104,"0")+IFERROR(Y105/H105,"0")</f>
        <v>32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0.40816000000000002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5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212</v>
      </c>
      <c r="Y107" s="635">
        <f>IFERROR(SUM(Y99:Y105),"0")</f>
        <v>219.60000000000002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90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39</v>
      </c>
      <c r="Y109" s="634">
        <f>IFERROR(IF(X109="",0,CEILING((X109/$H109),1)*$H109),"")</f>
        <v>43.2</v>
      </c>
      <c r="Z109" s="36">
        <f>IFERROR(IF(Y109=0,"",ROUNDUP(Y109/H109,0)*0.01898),"")</f>
        <v>7.5920000000000001E-2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40.480555555555561</v>
      </c>
      <c r="BN109" s="64">
        <f>IFERROR(Y109*I109/H109,"0")</f>
        <v>44.84</v>
      </c>
      <c r="BO109" s="64">
        <f>IFERROR(1/J109*(X109/H109),"0")</f>
        <v>5.6423611111111105E-2</v>
      </c>
      <c r="BP109" s="64">
        <f>IFERROR(1/J109*(Y109/H109),"0")</f>
        <v>6.25E-2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3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32</v>
      </c>
      <c r="Y113" s="634">
        <f>IFERROR(IF(X113="",0,CEILING((X113/$H113),1)*$H113),"")</f>
        <v>33.6</v>
      </c>
      <c r="Z113" s="36">
        <f>IFERROR(IF(Y113=0,"",ROUNDUP(Y113/H113,0)*0.00651),"")</f>
        <v>9.1139999999999999E-2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34.400000000000006</v>
      </c>
      <c r="BN113" s="64">
        <f>IFERROR(Y113*I113/H113,"0")</f>
        <v>36.120000000000005</v>
      </c>
      <c r="BO113" s="64">
        <f>IFERROR(1/J113*(X113/H113),"0")</f>
        <v>7.3260073260073263E-2</v>
      </c>
      <c r="BP113" s="64">
        <f>IFERROR(1/J113*(Y113/H113),"0")</f>
        <v>7.6923076923076941E-2</v>
      </c>
    </row>
    <row r="114" spans="1:68" x14ac:dyDescent="0.2">
      <c r="A114" s="664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5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16.944444444444443</v>
      </c>
      <c r="Y114" s="635">
        <f>IFERROR(Y109/H109,"0")+IFERROR(Y110/H110,"0")+IFERROR(Y111/H111,"0")+IFERROR(Y112/H112,"0")+IFERROR(Y113/H113,"0")</f>
        <v>18</v>
      </c>
      <c r="Z114" s="635">
        <f>IFERROR(IF(Z109="",0,Z109),"0")+IFERROR(IF(Z110="",0,Z110),"0")+IFERROR(IF(Z111="",0,Z111),"0")+IFERROR(IF(Z112="",0,Z112),"0")+IFERROR(IF(Z113="",0,Z113),"0")</f>
        <v>0.16705999999999999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5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71</v>
      </c>
      <c r="Y115" s="635">
        <f>IFERROR(SUM(Y109:Y113),"0")</f>
        <v>76.800000000000011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902</v>
      </c>
      <c r="Y117" s="634">
        <f>IFERROR(IF(X117="",0,CEILING((X117/$H117),1)*$H117),"")</f>
        <v>907.19999999999993</v>
      </c>
      <c r="Z117" s="36">
        <f>IFERROR(IF(Y117=0,"",ROUNDUP(Y117/H117,0)*0.01898),"")</f>
        <v>2.1257600000000001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956.34271604938272</v>
      </c>
      <c r="BN117" s="64">
        <f>IFERROR(Y117*I117/H117,"0")</f>
        <v>961.85599999999988</v>
      </c>
      <c r="BO117" s="64">
        <f>IFERROR(1/J117*(X117/H117),"0")</f>
        <v>1.7399691358024691</v>
      </c>
      <c r="BP117" s="64">
        <f>IFERROR(1/J117*(Y117/H117),"0")</f>
        <v>1.75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108</v>
      </c>
      <c r="Y119" s="634">
        <f>IFERROR(IF(X119="",0,CEILING((X119/$H119),1)*$H119),"")</f>
        <v>108</v>
      </c>
      <c r="Z119" s="36">
        <f>IFERROR(IF(Y119=0,"",ROUNDUP(Y119/H119,0)*0.00651),"")</f>
        <v>0.26040000000000002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118.07999999999998</v>
      </c>
      <c r="BN119" s="64">
        <f>IFERROR(Y119*I119/H119,"0")</f>
        <v>118.07999999999998</v>
      </c>
      <c r="BO119" s="64">
        <f>IFERROR(1/J119*(X119/H119),"0")</f>
        <v>0.2197802197802198</v>
      </c>
      <c r="BP119" s="64">
        <f>IFERROR(1/J119*(Y119/H119),"0")</f>
        <v>0.2197802197802198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4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5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151.35802469135803</v>
      </c>
      <c r="Y121" s="635">
        <f>IFERROR(Y117/H117,"0")+IFERROR(Y118/H118,"0")+IFERROR(Y119/H119,"0")+IFERROR(Y120/H120,"0")</f>
        <v>152</v>
      </c>
      <c r="Z121" s="635">
        <f>IFERROR(IF(Z117="",0,Z117),"0")+IFERROR(IF(Z118="",0,Z118),"0")+IFERROR(IF(Z119="",0,Z119),"0")+IFERROR(IF(Z120="",0,Z120),"0")</f>
        <v>2.3861600000000003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5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1010</v>
      </c>
      <c r="Y122" s="635">
        <f>IFERROR(SUM(Y117:Y120),"0")</f>
        <v>1015.1999999999999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44</v>
      </c>
      <c r="Y124" s="634">
        <f>IFERROR(IF(X124="",0,CEILING((X124/$H124),1)*$H124),"")</f>
        <v>45.54</v>
      </c>
      <c r="Z124" s="36">
        <f>IFERROR(IF(Y124=0,"",ROUNDUP(Y124/H124,0)*0.00651),"")</f>
        <v>0.14973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49.733333333333334</v>
      </c>
      <c r="BN124" s="64">
        <f>IFERROR(Y124*I124/H124,"0")</f>
        <v>51.474000000000004</v>
      </c>
      <c r="BO124" s="64">
        <f>IFERROR(1/J124*(X124/H124),"0")</f>
        <v>0.12210012210012211</v>
      </c>
      <c r="BP124" s="64">
        <f>IFERROR(1/J124*(Y124/H124),"0")</f>
        <v>0.1263736263736264</v>
      </c>
    </row>
    <row r="125" spans="1:68" x14ac:dyDescent="0.2">
      <c r="A125" s="664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5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22.222222222222221</v>
      </c>
      <c r="Y125" s="635">
        <f>IFERROR(Y124/H124,"0")</f>
        <v>23</v>
      </c>
      <c r="Z125" s="635">
        <f>IFERROR(IF(Z124="",0,Z124),"0")</f>
        <v>0.14973</v>
      </c>
      <c r="AA125" s="636"/>
      <c r="AB125" s="636"/>
      <c r="AC125" s="636"/>
    </row>
    <row r="126" spans="1:68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5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44</v>
      </c>
      <c r="Y126" s="635">
        <f>IFERROR(SUM(Y124:Y124),"0")</f>
        <v>45.54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16</v>
      </c>
      <c r="Y130" s="634">
        <f>IFERROR(IF(X130="",0,CEILING((X130/$H130),1)*$H130),"")</f>
        <v>16</v>
      </c>
      <c r="Z130" s="36">
        <f>IFERROR(IF(Y130=0,"",ROUNDUP(Y130/H130,0)*0.00651),"")</f>
        <v>3.2550000000000003E-2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16.899999999999999</v>
      </c>
      <c r="BN130" s="64">
        <f>IFERROR(Y130*I130/H130,"0")</f>
        <v>16.899999999999999</v>
      </c>
      <c r="BO130" s="64">
        <f>IFERROR(1/J130*(X130/H130),"0")</f>
        <v>2.7472527472527476E-2</v>
      </c>
      <c r="BP130" s="64">
        <f>IFERROR(1/J130*(Y130/H130),"0")</f>
        <v>2.7472527472527476E-2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4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5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5</v>
      </c>
      <c r="Y132" s="635">
        <f>IFERROR(Y129/H129,"0")+IFERROR(Y130/H130,"0")+IFERROR(Y131/H131,"0")</f>
        <v>5</v>
      </c>
      <c r="Z132" s="635">
        <f>IFERROR(IF(Z129="",0,Z129),"0")+IFERROR(IF(Z130="",0,Z130),"0")+IFERROR(IF(Z131="",0,Z131),"0")</f>
        <v>3.2550000000000003E-2</v>
      </c>
      <c r="AA132" s="636"/>
      <c r="AB132" s="636"/>
      <c r="AC132" s="636"/>
    </row>
    <row r="133" spans="1:68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5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16</v>
      </c>
      <c r="Y133" s="635">
        <f>IFERROR(SUM(Y129:Y131),"0")</f>
        <v>16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15</v>
      </c>
      <c r="Y136" s="634">
        <f>IFERROR(IF(X136="",0,CEILING((X136/$H136),1)*$H136),"")</f>
        <v>16.799999999999997</v>
      </c>
      <c r="Z136" s="36">
        <f>IFERROR(IF(Y136=0,"",ROUNDUP(Y136/H136,0)*0.00651),"")</f>
        <v>3.9059999999999997E-2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16.435714285714287</v>
      </c>
      <c r="BN136" s="64">
        <f>IFERROR(Y136*I136/H136,"0")</f>
        <v>18.407999999999998</v>
      </c>
      <c r="BO136" s="64">
        <f>IFERROR(1/J136*(X136/H136),"0")</f>
        <v>2.9434850863422297E-2</v>
      </c>
      <c r="BP136" s="64">
        <f>IFERROR(1/J136*(Y136/H136),"0")</f>
        <v>3.2967032967032968E-2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3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4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5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5.3571428571428577</v>
      </c>
      <c r="Y139" s="635">
        <f>IFERROR(Y135/H135,"0")+IFERROR(Y136/H136,"0")+IFERROR(Y137/H137,"0")+IFERROR(Y138/H138,"0")</f>
        <v>5.9999999999999991</v>
      </c>
      <c r="Z139" s="635">
        <f>IFERROR(IF(Z135="",0,Z135),"0")+IFERROR(IF(Z136="",0,Z136),"0")+IFERROR(IF(Z137="",0,Z137),"0")+IFERROR(IF(Z138="",0,Z138),"0")</f>
        <v>3.9059999999999997E-2</v>
      </c>
      <c r="AA139" s="636"/>
      <c r="AB139" s="636"/>
      <c r="AC139" s="636"/>
    </row>
    <row r="140" spans="1:68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5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15</v>
      </c>
      <c r="Y140" s="635">
        <f>IFERROR(SUM(Y135:Y138),"0")</f>
        <v>16.799999999999997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9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4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5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5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6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4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5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5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65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4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5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5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4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5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5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1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6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4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5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5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105</v>
      </c>
      <c r="Y175" s="634">
        <f t="shared" ref="Y175:Y185" si="16">IFERROR(IF(X175="",0,CEILING((X175/$H175),1)*$H175),"")</f>
        <v>105</v>
      </c>
      <c r="Z175" s="36">
        <f>IFERROR(IF(Y175=0,"",ROUNDUP(Y175/H175,0)*0.00902),"")</f>
        <v>0.27060000000000001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110.7</v>
      </c>
      <c r="BN175" s="64">
        <f t="shared" ref="BN175:BN185" si="18">IFERROR(Y175*I175/H175,"0")</f>
        <v>110.7</v>
      </c>
      <c r="BO175" s="64">
        <f t="shared" ref="BO175:BO185" si="19">IFERROR(1/J175*(X175/H175),"0")</f>
        <v>0.22727272727272729</v>
      </c>
      <c r="BP175" s="64">
        <f t="shared" ref="BP175:BP185" si="20">IFERROR(1/J175*(Y175/H175),"0")</f>
        <v>0.22727272727272729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27</v>
      </c>
      <c r="Y177" s="634">
        <f t="shared" si="16"/>
        <v>28</v>
      </c>
      <c r="Z177" s="36">
        <f>IFERROR(IF(Y177=0,"",ROUNDUP(Y177/H177,0)*0.00902),"")</f>
        <v>7.2160000000000002E-2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28.465714285714284</v>
      </c>
      <c r="BN177" s="64">
        <f t="shared" si="18"/>
        <v>29.52</v>
      </c>
      <c r="BO177" s="64">
        <f t="shared" si="19"/>
        <v>5.8441558441558447E-2</v>
      </c>
      <c r="BP177" s="64">
        <f t="shared" si="20"/>
        <v>6.0606060606060608E-2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102</v>
      </c>
      <c r="Y178" s="634">
        <f t="shared" si="16"/>
        <v>105</v>
      </c>
      <c r="Z178" s="36">
        <f>IFERROR(IF(Y178=0,"",ROUNDUP(Y178/H178,0)*0.00902),"")</f>
        <v>0.27060000000000001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107.53714285714285</v>
      </c>
      <c r="BN178" s="64">
        <f t="shared" si="18"/>
        <v>110.7</v>
      </c>
      <c r="BO178" s="64">
        <f t="shared" si="19"/>
        <v>0.22077922077922077</v>
      </c>
      <c r="BP178" s="64">
        <f t="shared" si="20"/>
        <v>0.22727272727272729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49</v>
      </c>
      <c r="Y180" s="634">
        <f t="shared" si="16"/>
        <v>50.4</v>
      </c>
      <c r="Z180" s="36">
        <f>IFERROR(IF(Y180=0,"",ROUNDUP(Y180/H180,0)*0.00502),"")</f>
        <v>0.15060000000000001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51.916666666666671</v>
      </c>
      <c r="BN180" s="64">
        <f t="shared" si="18"/>
        <v>53.400000000000006</v>
      </c>
      <c r="BO180" s="64">
        <f t="shared" si="19"/>
        <v>0.12464387464387466</v>
      </c>
      <c r="BP180" s="64">
        <f t="shared" si="20"/>
        <v>0.12820512820512822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7</v>
      </c>
      <c r="Y181" s="634">
        <f t="shared" si="16"/>
        <v>7.2</v>
      </c>
      <c r="Z181" s="36">
        <f>IFERROR(IF(Y181=0,"",ROUNDUP(Y181/H181,0)*0.00417),"")</f>
        <v>3.3360000000000001E-2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8.6333333333333329</v>
      </c>
      <c r="BN181" s="64">
        <f t="shared" si="18"/>
        <v>8.8800000000000008</v>
      </c>
      <c r="BO181" s="64">
        <f t="shared" si="19"/>
        <v>2.3148148148148147E-2</v>
      </c>
      <c r="BP181" s="64">
        <f t="shared" si="20"/>
        <v>2.3809523809523808E-2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48</v>
      </c>
      <c r="Y183" s="634">
        <f t="shared" si="16"/>
        <v>48.72</v>
      </c>
      <c r="Z183" s="36">
        <f>IFERROR(IF(Y183=0,"",ROUNDUP(Y183/H183,0)*0.00502),"")</f>
        <v>0.14558000000000001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50.857142857142861</v>
      </c>
      <c r="BN183" s="64">
        <f t="shared" si="18"/>
        <v>51.62</v>
      </c>
      <c r="BO183" s="64">
        <f t="shared" si="19"/>
        <v>0.12210012210012212</v>
      </c>
      <c r="BP183" s="64">
        <f t="shared" si="20"/>
        <v>0.12393162393162395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4</v>
      </c>
      <c r="Y184" s="634">
        <f t="shared" si="16"/>
        <v>4.5</v>
      </c>
      <c r="Z184" s="36">
        <f>IFERROR(IF(Y184=0,"",ROUNDUP(Y184/H184,0)*0.00417),"")</f>
        <v>2.085E-2</v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4.4444444444444446</v>
      </c>
      <c r="BN184" s="64">
        <f t="shared" si="18"/>
        <v>5</v>
      </c>
      <c r="BO184" s="64">
        <f t="shared" si="19"/>
        <v>1.3227513227513227E-2</v>
      </c>
      <c r="BP184" s="64">
        <f t="shared" si="20"/>
        <v>1.488095238095238E-2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42</v>
      </c>
      <c r="Y185" s="634">
        <f t="shared" si="16"/>
        <v>42</v>
      </c>
      <c r="Z185" s="36">
        <f>IFERROR(IF(Y185=0,"",ROUNDUP(Y185/H185,0)*0.00502),"")</f>
        <v>0.1255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44.500000000000007</v>
      </c>
      <c r="BN185" s="64">
        <f t="shared" si="18"/>
        <v>44.500000000000007</v>
      </c>
      <c r="BO185" s="64">
        <f t="shared" si="19"/>
        <v>0.10683760683760685</v>
      </c>
      <c r="BP185" s="64">
        <f t="shared" si="20"/>
        <v>0.10683760683760685</v>
      </c>
    </row>
    <row r="186" spans="1:68" x14ac:dyDescent="0.2">
      <c r="A186" s="664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5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161.81746031746033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165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1.0892500000000001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5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384</v>
      </c>
      <c r="Y187" s="635">
        <f>IFERROR(SUM(Y175:Y185),"0")</f>
        <v>390.81999999999994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7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4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5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5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4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5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5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4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5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5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22" t="s">
        <v>342</v>
      </c>
      <c r="B203" s="723"/>
      <c r="C203" s="723"/>
      <c r="D203" s="723"/>
      <c r="E203" s="723"/>
      <c r="F203" s="723"/>
      <c r="G203" s="723"/>
      <c r="H203" s="723"/>
      <c r="I203" s="723"/>
      <c r="J203" s="723"/>
      <c r="K203" s="723"/>
      <c r="L203" s="723"/>
      <c r="M203" s="723"/>
      <c r="N203" s="723"/>
      <c r="O203" s="723"/>
      <c r="P203" s="723"/>
      <c r="Q203" s="723"/>
      <c r="R203" s="723"/>
      <c r="S203" s="723"/>
      <c r="T203" s="723"/>
      <c r="U203" s="723"/>
      <c r="V203" s="723"/>
      <c r="W203" s="723"/>
      <c r="X203" s="723"/>
      <c r="Y203" s="723"/>
      <c r="Z203" s="723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4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5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5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4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5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5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28</v>
      </c>
      <c r="Y223" s="634">
        <f t="shared" si="27"/>
        <v>29.400000000000002</v>
      </c>
      <c r="Z223" s="36">
        <f>IFERROR(IF(Y223=0,"",ROUNDUP(Y223/H223,0)*0.00902),"")</f>
        <v>6.3140000000000002E-2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29.266666666666662</v>
      </c>
      <c r="BN223" s="64">
        <f t="shared" si="29"/>
        <v>30.73</v>
      </c>
      <c r="BO223" s="64">
        <f t="shared" si="30"/>
        <v>5.0505050505050504E-2</v>
      </c>
      <c r="BP223" s="64">
        <f t="shared" si="31"/>
        <v>5.3030303030303032E-2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16</v>
      </c>
      <c r="Y224" s="634">
        <f t="shared" si="27"/>
        <v>16</v>
      </c>
      <c r="Z224" s="36">
        <f>IFERROR(IF(Y224=0,"",ROUNDUP(Y224/H224,0)*0.00556),"")</f>
        <v>0.11119999999999999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18.600000000000001</v>
      </c>
      <c r="BN224" s="64">
        <f t="shared" si="29"/>
        <v>18.600000000000001</v>
      </c>
      <c r="BO224" s="64">
        <f t="shared" si="30"/>
        <v>7.9365079365079361E-2</v>
      </c>
      <c r="BP224" s="64">
        <f t="shared" si="31"/>
        <v>7.9365079365079361E-2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18</v>
      </c>
      <c r="Y225" s="634">
        <f t="shared" si="27"/>
        <v>18.900000000000002</v>
      </c>
      <c r="Z225" s="36">
        <f t="shared" ref="Z225:Z230" si="32">IFERROR(IF(Y225=0,"",ROUNDUP(Y225/H225,0)*0.00502),"")</f>
        <v>4.5179999999999998E-2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19.114285714285714</v>
      </c>
      <c r="BN225" s="64">
        <f t="shared" si="29"/>
        <v>20.07</v>
      </c>
      <c r="BO225" s="64">
        <f t="shared" si="30"/>
        <v>3.6630036630036632E-2</v>
      </c>
      <c r="BP225" s="64">
        <f t="shared" si="31"/>
        <v>3.8461538461538464E-2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2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5</v>
      </c>
      <c r="Y230" s="634">
        <f t="shared" si="27"/>
        <v>5.4</v>
      </c>
      <c r="Z230" s="36">
        <f t="shared" si="32"/>
        <v>1.506E-2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5.3611111111111116</v>
      </c>
      <c r="BN230" s="64">
        <f t="shared" si="29"/>
        <v>5.79</v>
      </c>
      <c r="BO230" s="64">
        <f t="shared" si="30"/>
        <v>1.1870845204178538E-2</v>
      </c>
      <c r="BP230" s="64">
        <f t="shared" si="31"/>
        <v>1.2820512820512822E-2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3</v>
      </c>
      <c r="Y231" s="634">
        <f t="shared" si="27"/>
        <v>3.2</v>
      </c>
      <c r="Z231" s="36">
        <f>IFERROR(IF(Y231=0,"",ROUNDUP(Y231/H231,0)*0.00417),"")</f>
        <v>1.668E-2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3.7875000000000001</v>
      </c>
      <c r="BN231" s="64">
        <f t="shared" si="29"/>
        <v>4.04</v>
      </c>
      <c r="BO231" s="64">
        <f t="shared" si="30"/>
        <v>1.1160714285714284E-2</v>
      </c>
      <c r="BP231" s="64">
        <f t="shared" si="31"/>
        <v>1.1904761904761904E-2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6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51</v>
      </c>
      <c r="Y232" s="634">
        <f t="shared" si="27"/>
        <v>52.5</v>
      </c>
      <c r="Z232" s="36">
        <f>IFERROR(IF(Y232=0,"",ROUNDUP(Y232/H232,0)*0.00502),"")</f>
        <v>0.1255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53.428571428571431</v>
      </c>
      <c r="BN232" s="64">
        <f t="shared" si="29"/>
        <v>55.000000000000007</v>
      </c>
      <c r="BO232" s="64">
        <f t="shared" si="30"/>
        <v>0.10378510378510379</v>
      </c>
      <c r="BP232" s="64">
        <f t="shared" si="31"/>
        <v>0.10683760683760685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4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5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66.05158730158729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68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0.37675999999999998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5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121</v>
      </c>
      <c r="Y236" s="635">
        <f>IFERROR(SUM(Y221:Y234),"0")</f>
        <v>125.40000000000002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6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4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5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5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7</v>
      </c>
      <c r="Y247" s="634">
        <f>IFERROR(IF(X247="",0,CEILING((X247/$H247),1)*$H247),"")</f>
        <v>7.5600000000000005</v>
      </c>
      <c r="Z247" s="36">
        <f>IFERROR(IF(Y247=0,"",ROUNDUP(Y247/H247,0)*0.0059),"")</f>
        <v>3.5400000000000001E-2</v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8.0555555555555554</v>
      </c>
      <c r="BN247" s="64">
        <f>IFERROR(Y247*I247/H247,"0")</f>
        <v>8.6999999999999993</v>
      </c>
      <c r="BO247" s="64">
        <f>IFERROR(1/J247*(X247/H247),"0")</f>
        <v>2.5720164609053495E-2</v>
      </c>
      <c r="BP247" s="64">
        <f>IFERROR(1/J247*(Y247/H247),"0")</f>
        <v>2.7777777777777776E-2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6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11</v>
      </c>
      <c r="Y248" s="634">
        <f>IFERROR(IF(X248="",0,CEILING((X248/$H248),1)*$H248),"")</f>
        <v>11.34</v>
      </c>
      <c r="Z248" s="36">
        <f>IFERROR(IF(Y248=0,"",ROUNDUP(Y248/H248,0)*0.0059),"")</f>
        <v>5.3100000000000001E-2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12.658730158730158</v>
      </c>
      <c r="BN248" s="64">
        <f>IFERROR(Y248*I248/H248,"0")</f>
        <v>13.049999999999999</v>
      </c>
      <c r="BO248" s="64">
        <f>IFERROR(1/J248*(X248/H248),"0")</f>
        <v>4.0417401528512635E-2</v>
      </c>
      <c r="BP248" s="64">
        <f>IFERROR(1/J248*(Y248/H248),"0")</f>
        <v>4.1666666666666664E-2</v>
      </c>
    </row>
    <row r="249" spans="1:68" x14ac:dyDescent="0.2">
      <c r="A249" s="664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5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14.285714285714285</v>
      </c>
      <c r="Y249" s="635">
        <f>IFERROR(Y246/H246,"0")+IFERROR(Y247/H247,"0")+IFERROR(Y248/H248,"0")</f>
        <v>15</v>
      </c>
      <c r="Z249" s="635">
        <f>IFERROR(IF(Z246="",0,Z246),"0")+IFERROR(IF(Z247="",0,Z247),"0")+IFERROR(IF(Z248="",0,Z248),"0")</f>
        <v>8.8499999999999995E-2</v>
      </c>
      <c r="AA249" s="636"/>
      <c r="AB249" s="636"/>
      <c r="AC249" s="636"/>
    </row>
    <row r="250" spans="1:68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5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18</v>
      </c>
      <c r="Y250" s="635">
        <f>IFERROR(SUM(Y246:Y248),"0")</f>
        <v>18.899999999999999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6</v>
      </c>
      <c r="Y252" s="634">
        <f>IFERROR(IF(X252="",0,CEILING((X252/$H252),1)*$H252),"")</f>
        <v>6.3</v>
      </c>
      <c r="Z252" s="36">
        <f>IFERROR(IF(Y252=0,"",ROUNDUP(Y252/H252,0)*0.0059),"")</f>
        <v>2.9499999999999998E-2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6.9047619047619042</v>
      </c>
      <c r="BN252" s="64">
        <f>IFERROR(Y252*I252/H252,"0")</f>
        <v>7.25</v>
      </c>
      <c r="BO252" s="64">
        <f>IFERROR(1/J252*(X252/H252),"0")</f>
        <v>2.2045855379188711E-2</v>
      </c>
      <c r="BP252" s="64">
        <f>IFERROR(1/J252*(Y252/H252),"0")</f>
        <v>2.3148148148148147E-2</v>
      </c>
    </row>
    <row r="253" spans="1:68" x14ac:dyDescent="0.2">
      <c r="A253" s="664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5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4.7619047619047619</v>
      </c>
      <c r="Y253" s="635">
        <f>IFERROR(Y252/H252,"0")</f>
        <v>5</v>
      </c>
      <c r="Z253" s="635">
        <f>IFERROR(IF(Z252="",0,Z252),"0")</f>
        <v>2.9499999999999998E-2</v>
      </c>
      <c r="AA253" s="636"/>
      <c r="AB253" s="636"/>
      <c r="AC253" s="636"/>
    </row>
    <row r="254" spans="1:68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5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6</v>
      </c>
      <c r="Y254" s="635">
        <f>IFERROR(SUM(Y252:Y252),"0")</f>
        <v>6.3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4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5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5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4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5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5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81</v>
      </c>
      <c r="Y267" s="634">
        <f t="shared" ref="Y267:Y274" si="33">IFERROR(IF(X267="",0,CEILING((X267/$H267),1)*$H267),"")</f>
        <v>81</v>
      </c>
      <c r="Z267" s="36">
        <f>IFERROR(IF(Y267=0,"",ROUNDUP(Y267/H267,0)*0.00902),"")</f>
        <v>0.1353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83.85</v>
      </c>
      <c r="BN267" s="64">
        <f t="shared" ref="BN267:BN274" si="35">IFERROR(Y267*I267/H267,"0")</f>
        <v>83.85</v>
      </c>
      <c r="BO267" s="64">
        <f t="shared" ref="BO267:BO274" si="36">IFERROR(1/J267*(X267/H267),"0")</f>
        <v>0.11363636363636363</v>
      </c>
      <c r="BP267" s="64">
        <f t="shared" ref="BP267:BP274" si="37">IFERROR(1/J267*(Y267/H267),"0")</f>
        <v>0.11363636363636363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105</v>
      </c>
      <c r="Y268" s="634">
        <f t="shared" si="33"/>
        <v>108</v>
      </c>
      <c r="Z268" s="36">
        <f>IFERROR(IF(Y268=0,"",ROUNDUP(Y268/H268,0)*0.00902),"")</f>
        <v>0.1804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108.69444444444443</v>
      </c>
      <c r="BN268" s="64">
        <f t="shared" si="35"/>
        <v>111.8</v>
      </c>
      <c r="BO268" s="64">
        <f t="shared" si="36"/>
        <v>0.1473063973063973</v>
      </c>
      <c r="BP268" s="64">
        <f t="shared" si="37"/>
        <v>0.15151515151515152</v>
      </c>
    </row>
    <row r="269" spans="1:68" ht="27" hidden="1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58</v>
      </c>
      <c r="Y271" s="634">
        <f t="shared" si="33"/>
        <v>59.4</v>
      </c>
      <c r="Z271" s="36">
        <f>IFERROR(IF(Y271=0,"",ROUNDUP(Y271/H271,0)*0.00502),"")</f>
        <v>0.16566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62.188888888888883</v>
      </c>
      <c r="BN271" s="64">
        <f t="shared" si="35"/>
        <v>63.69</v>
      </c>
      <c r="BO271" s="64">
        <f t="shared" si="36"/>
        <v>0.13770180436847104</v>
      </c>
      <c r="BP271" s="64">
        <f t="shared" si="37"/>
        <v>0.14102564102564105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15</v>
      </c>
      <c r="Y272" s="634">
        <f t="shared" si="33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15.833333333333332</v>
      </c>
      <c r="BN272" s="64">
        <f t="shared" si="35"/>
        <v>17.099999999999998</v>
      </c>
      <c r="BO272" s="64">
        <f t="shared" si="36"/>
        <v>3.561253561253562E-2</v>
      </c>
      <c r="BP272" s="64">
        <f t="shared" si="37"/>
        <v>3.8461538461538464E-2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15</v>
      </c>
      <c r="Y274" s="634">
        <f t="shared" si="33"/>
        <v>16.2</v>
      </c>
      <c r="Z274" s="36">
        <f>IFERROR(IF(Y274=0,"",ROUNDUP(Y274/H274,0)*0.00502),"")</f>
        <v>4.5179999999999998E-2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15.833333333333332</v>
      </c>
      <c r="BN274" s="64">
        <f t="shared" si="35"/>
        <v>17.099999999999998</v>
      </c>
      <c r="BO274" s="64">
        <f t="shared" si="36"/>
        <v>3.561253561253562E-2</v>
      </c>
      <c r="BP274" s="64">
        <f t="shared" si="37"/>
        <v>3.8461538461538464E-2</v>
      </c>
    </row>
    <row r="275" spans="1:68" x14ac:dyDescent="0.2">
      <c r="A275" s="664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5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83.333333333333314</v>
      </c>
      <c r="Y275" s="635">
        <f>IFERROR(Y267/H267,"0")+IFERROR(Y268/H268,"0")+IFERROR(Y269/H269,"0")+IFERROR(Y270/H270,"0")+IFERROR(Y271/H271,"0")+IFERROR(Y272/H272,"0")+IFERROR(Y273/H273,"0")+IFERROR(Y274/H274,"0")</f>
        <v>86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0.57172000000000001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5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274</v>
      </c>
      <c r="Y276" s="635">
        <f>IFERROR(SUM(Y267:Y274),"0")</f>
        <v>280.8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100</v>
      </c>
      <c r="Y278" s="634">
        <f t="shared" ref="Y278:Y289" si="38">IFERROR(IF(X278="",0,CEILING((X278/$H278),1)*$H278),"")</f>
        <v>105.3</v>
      </c>
      <c r="Z278" s="36">
        <f>IFERROR(IF(Y278=0,"",ROUNDUP(Y278/H278,0)*0.01898),"")</f>
        <v>0.24674000000000001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106.09876543209877</v>
      </c>
      <c r="BN278" s="64">
        <f t="shared" ref="BN278:BN289" si="40">IFERROR(Y278*I278/H278,"0")</f>
        <v>111.72199999999999</v>
      </c>
      <c r="BO278" s="64">
        <f t="shared" ref="BO278:BO289" si="41">IFERROR(1/J278*(X278/H278),"0")</f>
        <v>0.19290123456790123</v>
      </c>
      <c r="BP278" s="64">
        <f t="shared" ref="BP278:BP289" si="42">IFERROR(1/J278*(Y278/H278),"0")</f>
        <v>0.203125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100</v>
      </c>
      <c r="Y279" s="634">
        <f t="shared" si="38"/>
        <v>105.3</v>
      </c>
      <c r="Z279" s="36">
        <f>IFERROR(IF(Y279=0,"",ROUNDUP(Y279/H279,0)*0.01898),"")</f>
        <v>0.24674000000000001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105.87654320987654</v>
      </c>
      <c r="BN279" s="64">
        <f t="shared" si="40"/>
        <v>111.48800000000001</v>
      </c>
      <c r="BO279" s="64">
        <f t="shared" si="41"/>
        <v>0.19290123456790123</v>
      </c>
      <c r="BP279" s="64">
        <f t="shared" si="42"/>
        <v>0.203125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20</v>
      </c>
      <c r="Y280" s="634">
        <f t="shared" si="38"/>
        <v>26.099999999999998</v>
      </c>
      <c r="Z280" s="36">
        <f>IFERROR(IF(Y280=0,"",ROUNDUP(Y280/H280,0)*0.01898),"")</f>
        <v>5.6940000000000004E-2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21.135632183908051</v>
      </c>
      <c r="BN280" s="64">
        <f t="shared" si="40"/>
        <v>27.582000000000004</v>
      </c>
      <c r="BO280" s="64">
        <f t="shared" si="41"/>
        <v>3.5919540229885062E-2</v>
      </c>
      <c r="BP280" s="64">
        <f t="shared" si="42"/>
        <v>4.6875E-2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288</v>
      </c>
      <c r="Y284" s="634">
        <f t="shared" si="38"/>
        <v>288</v>
      </c>
      <c r="Z284" s="36">
        <f>IFERROR(IF(Y284=0,"",ROUNDUP(Y284/H284,0)*0.00651),"")</f>
        <v>0.78120000000000001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318.24000000000007</v>
      </c>
      <c r="BN284" s="64">
        <f t="shared" si="40"/>
        <v>318.24000000000007</v>
      </c>
      <c r="BO284" s="64">
        <f t="shared" si="41"/>
        <v>0.65934065934065944</v>
      </c>
      <c r="BP284" s="64">
        <f t="shared" si="42"/>
        <v>0.65934065934065944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80</v>
      </c>
      <c r="Y286" s="634">
        <f t="shared" si="38"/>
        <v>81.599999999999994</v>
      </c>
      <c r="Z286" s="36">
        <f>IFERROR(IF(Y286=0,"",ROUNDUP(Y286/H286,0)*0.00651),"")</f>
        <v>0.22134000000000001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88.40000000000002</v>
      </c>
      <c r="BN286" s="64">
        <f t="shared" si="40"/>
        <v>90.168000000000006</v>
      </c>
      <c r="BO286" s="64">
        <f t="shared" si="41"/>
        <v>0.18315018315018317</v>
      </c>
      <c r="BP286" s="64">
        <f t="shared" si="42"/>
        <v>0.18681318681318682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60</v>
      </c>
      <c r="Y287" s="634">
        <f t="shared" si="38"/>
        <v>60</v>
      </c>
      <c r="Z287" s="36">
        <f>IFERROR(IF(Y287=0,"",ROUNDUP(Y287/H287,0)*0.00651),"")</f>
        <v>0.16275000000000001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66.300000000000011</v>
      </c>
      <c r="BN287" s="64">
        <f t="shared" si="40"/>
        <v>66.300000000000011</v>
      </c>
      <c r="BO287" s="64">
        <f t="shared" si="41"/>
        <v>0.13736263736263737</v>
      </c>
      <c r="BP287" s="64">
        <f t="shared" si="42"/>
        <v>0.13736263736263737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40</v>
      </c>
      <c r="Y288" s="634">
        <f t="shared" si="38"/>
        <v>40.799999999999997</v>
      </c>
      <c r="Z288" s="36">
        <f>IFERROR(IF(Y288=0,"",ROUNDUP(Y288/H288,0)*0.00651),"")</f>
        <v>0.11067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44.3</v>
      </c>
      <c r="BN288" s="64">
        <f t="shared" si="40"/>
        <v>45.185999999999993</v>
      </c>
      <c r="BO288" s="64">
        <f t="shared" si="41"/>
        <v>9.1575091575091583E-2</v>
      </c>
      <c r="BP288" s="64">
        <f t="shared" si="42"/>
        <v>9.3406593406593408E-2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65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4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5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221.99020859940401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225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1.8263800000000001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5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688</v>
      </c>
      <c r="Y291" s="635">
        <f>IFERROR(SUM(Y278:Y289),"0")</f>
        <v>707.1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4</v>
      </c>
      <c r="Y293" s="634">
        <f>IFERROR(IF(X293="",0,CEILING((X293/$H293),1)*$H293),"")</f>
        <v>4.8</v>
      </c>
      <c r="Z293" s="36">
        <f>IFERROR(IF(Y293=0,"",ROUNDUP(Y293/H293,0)*0.00651),"")</f>
        <v>1.302E-2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4.4200000000000008</v>
      </c>
      <c r="BN293" s="64">
        <f>IFERROR(Y293*I293/H293,"0")</f>
        <v>5.3040000000000003</v>
      </c>
      <c r="BO293" s="64">
        <f>IFERROR(1/J293*(X293/H293),"0")</f>
        <v>9.1575091575091579E-3</v>
      </c>
      <c r="BP293" s="64">
        <f>IFERROR(1/J293*(Y293/H293),"0")</f>
        <v>1.098901098901099E-2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4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5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1.6666666666666667</v>
      </c>
      <c r="Y295" s="635">
        <f>IFERROR(Y293/H293,"0")+IFERROR(Y294/H294,"0")</f>
        <v>2</v>
      </c>
      <c r="Z295" s="635">
        <f>IFERROR(IF(Z293="",0,Z293),"0")+IFERROR(IF(Z294="",0,Z294),"0")</f>
        <v>1.302E-2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5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4</v>
      </c>
      <c r="Y296" s="635">
        <f>IFERROR(SUM(Y293:Y294),"0")</f>
        <v>4.8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4</v>
      </c>
      <c r="Y305" s="634">
        <f t="shared" si="43"/>
        <v>4</v>
      </c>
      <c r="Z305" s="36">
        <f>IFERROR(IF(Y305=0,"",ROUNDUP(Y305/H305,0)*0.00902),"")</f>
        <v>9.0200000000000002E-3</v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4.1900000000000004</v>
      </c>
      <c r="BN305" s="64">
        <f t="shared" si="45"/>
        <v>4.1900000000000004</v>
      </c>
      <c r="BO305" s="64">
        <f t="shared" si="46"/>
        <v>7.575757575757576E-3</v>
      </c>
      <c r="BP305" s="64">
        <f t="shared" si="47"/>
        <v>7.575757575757576E-3</v>
      </c>
    </row>
    <row r="306" spans="1:68" x14ac:dyDescent="0.2">
      <c r="A306" s="664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5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1</v>
      </c>
      <c r="Y306" s="635">
        <f>IFERROR(Y299/H299,"0")+IFERROR(Y300/H300,"0")+IFERROR(Y301/H301,"0")+IFERROR(Y302/H302,"0")+IFERROR(Y303/H303,"0")+IFERROR(Y304/H304,"0")+IFERROR(Y305/H305,"0")</f>
        <v>1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9.0200000000000002E-3</v>
      </c>
      <c r="AA306" s="636"/>
      <c r="AB306" s="636"/>
      <c r="AC306" s="636"/>
    </row>
    <row r="307" spans="1:68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5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4</v>
      </c>
      <c r="Y307" s="635">
        <f>IFERROR(SUM(Y299:Y305),"0")</f>
        <v>4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4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5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5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9</v>
      </c>
      <c r="Y313" s="634">
        <f>IFERROR(IF(X313="",0,CEILING((X313/$H313),1)*$H313),"")</f>
        <v>9</v>
      </c>
      <c r="Z313" s="36">
        <f>IFERROR(IF(Y313=0,"",ROUNDUP(Y313/H313,0)*0.0059),"")</f>
        <v>2.9499999999999998E-2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9.8750000000000018</v>
      </c>
      <c r="BN313" s="64">
        <f>IFERROR(Y313*I313/H313,"0")</f>
        <v>9.8750000000000018</v>
      </c>
      <c r="BO313" s="64">
        <f>IFERROR(1/J313*(X313/H313),"0")</f>
        <v>2.3148148148148147E-2</v>
      </c>
      <c r="BP313" s="64">
        <f>IFERROR(1/J313*(Y313/H313),"0")</f>
        <v>2.3148148148148147E-2</v>
      </c>
    </row>
    <row r="314" spans="1:68" x14ac:dyDescent="0.2">
      <c r="A314" s="664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5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5</v>
      </c>
      <c r="Y314" s="635">
        <f>IFERROR(Y313/H313,"0")</f>
        <v>5</v>
      </c>
      <c r="Z314" s="635">
        <f>IFERROR(IF(Z313="",0,Z313),"0")</f>
        <v>2.9499999999999998E-2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5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9</v>
      </c>
      <c r="Y315" s="635">
        <f>IFERROR(SUM(Y313:Y313),"0")</f>
        <v>9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4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5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5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4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5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5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40</v>
      </c>
      <c r="Y335" s="634">
        <f>IFERROR(IF(X335="",0,CEILING((X335/$H335),1)*$H335),"")</f>
        <v>40.799999999999997</v>
      </c>
      <c r="Z335" s="36">
        <f>IFERROR(IF(Y335=0,"",ROUNDUP(Y335/H335,0)*0.00651),"")</f>
        <v>0.11067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43</v>
      </c>
      <c r="BN335" s="64">
        <f>IFERROR(Y335*I335/H335,"0")</f>
        <v>43.86</v>
      </c>
      <c r="BO335" s="64">
        <f>IFERROR(1/J335*(X335/H335),"0")</f>
        <v>9.1575091575091583E-2</v>
      </c>
      <c r="BP335" s="64">
        <f>IFERROR(1/J335*(Y335/H335),"0")</f>
        <v>9.3406593406593408E-2</v>
      </c>
    </row>
    <row r="336" spans="1:68" x14ac:dyDescent="0.2">
      <c r="A336" s="664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5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16.666666666666668</v>
      </c>
      <c r="Y336" s="635">
        <f>IFERROR(Y333/H333,"0")+IFERROR(Y334/H334,"0")+IFERROR(Y335/H335,"0")</f>
        <v>17</v>
      </c>
      <c r="Z336" s="635">
        <f>IFERROR(IF(Z333="",0,Z333),"0")+IFERROR(IF(Z334="",0,Z334),"0")+IFERROR(IF(Z335="",0,Z335),"0")</f>
        <v>0.11067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5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40</v>
      </c>
      <c r="Y337" s="635">
        <f>IFERROR(SUM(Y333:Y335),"0")</f>
        <v>40.799999999999997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80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9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8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4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5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5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4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5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5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98</v>
      </c>
      <c r="Y354" s="634">
        <f>IFERROR(IF(X354="",0,CEILING((X354/$H354),1)*$H354),"")</f>
        <v>101.39999999999999</v>
      </c>
      <c r="Z354" s="36">
        <f>IFERROR(IF(Y354=0,"",ROUNDUP(Y354/H354,0)*0.01898),"")</f>
        <v>0.24674000000000001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103.15128205128205</v>
      </c>
      <c r="BN354" s="64">
        <f>IFERROR(Y354*I354/H354,"0")</f>
        <v>106.73</v>
      </c>
      <c r="BO354" s="64">
        <f>IFERROR(1/J354*(X354/H354),"0")</f>
        <v>0.19631410256410256</v>
      </c>
      <c r="BP354" s="64">
        <f>IFERROR(1/J354*(Y354/H354),"0")</f>
        <v>0.203125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332</v>
      </c>
      <c r="Y355" s="634">
        <f>IFERROR(IF(X355="",0,CEILING((X355/$H355),1)*$H355),"")</f>
        <v>335.4</v>
      </c>
      <c r="Z355" s="36">
        <f>IFERROR(IF(Y355=0,"",ROUNDUP(Y355/H355,0)*0.01898),"")</f>
        <v>0.81613999999999998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349.45128205128208</v>
      </c>
      <c r="BN355" s="64">
        <f>IFERROR(Y355*I355/H355,"0")</f>
        <v>353.03000000000003</v>
      </c>
      <c r="BO355" s="64">
        <f>IFERROR(1/J355*(X355/H355),"0")</f>
        <v>0.66506410256410253</v>
      </c>
      <c r="BP355" s="64">
        <f>IFERROR(1/J355*(Y355/H355),"0")</f>
        <v>0.671875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4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5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55.128205128205124</v>
      </c>
      <c r="Y357" s="635">
        <f>IFERROR(Y354/H354,"0")+IFERROR(Y355/H355,"0")+IFERROR(Y356/H356,"0")</f>
        <v>56</v>
      </c>
      <c r="Z357" s="635">
        <f>IFERROR(IF(Z354="",0,Z354),"0")+IFERROR(IF(Z355="",0,Z355),"0")+IFERROR(IF(Z356="",0,Z356),"0")</f>
        <v>1.06288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5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430</v>
      </c>
      <c r="Y358" s="635">
        <f>IFERROR(SUM(Y354:Y356),"0")</f>
        <v>436.79999999999995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4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5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5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8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4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5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5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4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5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5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8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400</v>
      </c>
      <c r="Y387" s="634">
        <f>IFERROR(IF(X387="",0,CEILING((X387/$H387),1)*$H387),"")</f>
        <v>405.59999999999997</v>
      </c>
      <c r="Z387" s="36">
        <f>IFERROR(IF(Y387=0,"",ROUNDUP(Y387/H387,0)*0.01898),"")</f>
        <v>0.98696000000000006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425.33333333333337</v>
      </c>
      <c r="BN387" s="64">
        <f>IFERROR(Y387*I387/H387,"0")</f>
        <v>431.28799999999995</v>
      </c>
      <c r="BO387" s="64">
        <f>IFERROR(1/J387*(X387/H387),"0")</f>
        <v>0.80128205128205132</v>
      </c>
      <c r="BP387" s="64">
        <f>IFERROR(1/J387*(Y387/H387),"0")</f>
        <v>0.8125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4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5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51.282051282051285</v>
      </c>
      <c r="Y389" s="635">
        <f>IFERROR(Y386/H386,"0")+IFERROR(Y387/H387,"0")+IFERROR(Y388/H388,"0")</f>
        <v>52</v>
      </c>
      <c r="Z389" s="635">
        <f>IFERROR(IF(Z386="",0,Z386),"0")+IFERROR(IF(Z387="",0,Z387),"0")+IFERROR(IF(Z388="",0,Z388),"0")</f>
        <v>0.98696000000000006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5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400</v>
      </c>
      <c r="Y390" s="635">
        <f>IFERROR(SUM(Y386:Y388),"0")</f>
        <v>405.59999999999997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6</v>
      </c>
      <c r="Y393" s="634">
        <f>IFERROR(IF(X393="",0,CEILING((X393/$H393),1)*$H393),"")</f>
        <v>6.08</v>
      </c>
      <c r="Z393" s="36">
        <f>IFERROR(IF(Y393=0,"",ROUNDUP(Y393/H393,0)*0.00902),"")</f>
        <v>1.804E-2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6.4539473684210531</v>
      </c>
      <c r="BN393" s="64">
        <f>IFERROR(Y393*I393/H393,"0")</f>
        <v>6.5399999999999991</v>
      </c>
      <c r="BO393" s="64">
        <f>IFERROR(1/J393*(X393/H393),"0")</f>
        <v>1.4952153110047847E-2</v>
      </c>
      <c r="BP393" s="64">
        <f>IFERROR(1/J393*(Y393/H393),"0")</f>
        <v>1.5151515151515152E-2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5</v>
      </c>
      <c r="Y395" s="634">
        <f>IFERROR(IF(X395="",0,CEILING((X395/$H395),1)*$H395),"")</f>
        <v>5.0999999999999996</v>
      </c>
      <c r="Z395" s="36">
        <f>IFERROR(IF(Y395=0,"",ROUNDUP(Y395/H395,0)*0.00651),"")</f>
        <v>1.302E-2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5.6470588235294112</v>
      </c>
      <c r="BN395" s="64">
        <f>IFERROR(Y395*I395/H395,"0")</f>
        <v>5.76</v>
      </c>
      <c r="BO395" s="64">
        <f>IFERROR(1/J395*(X395/H395),"0")</f>
        <v>1.0773540185304893E-2</v>
      </c>
      <c r="BP395" s="64">
        <f>IFERROR(1/J395*(Y395/H395),"0")</f>
        <v>1.098901098901099E-2</v>
      </c>
    </row>
    <row r="396" spans="1:68" x14ac:dyDescent="0.2">
      <c r="A396" s="664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5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3.9344685242518063</v>
      </c>
      <c r="Y396" s="635">
        <f>IFERROR(Y392/H392,"0")+IFERROR(Y393/H393,"0")+IFERROR(Y394/H394,"0")+IFERROR(Y395/H395,"0")</f>
        <v>4</v>
      </c>
      <c r="Z396" s="635">
        <f>IFERROR(IF(Z392="",0,Z392),"0")+IFERROR(IF(Z393="",0,Z393),"0")+IFERROR(IF(Z394="",0,Z394),"0")+IFERROR(IF(Z395="",0,Z395),"0")</f>
        <v>3.1060000000000001E-2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5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11</v>
      </c>
      <c r="Y397" s="635">
        <f>IFERROR(SUM(Y392:Y395),"0")</f>
        <v>11.18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6</v>
      </c>
      <c r="Y399" s="634">
        <f>IFERROR(IF(X399="",0,CEILING((X399/$H399),1)*$H399),"")</f>
        <v>6</v>
      </c>
      <c r="Z399" s="36">
        <f>IFERROR(IF(Y399=0,"",ROUNDUP(Y399/H399,0)*0.00474),"")</f>
        <v>1.422E-2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6.7200000000000006</v>
      </c>
      <c r="BN399" s="64">
        <f>IFERROR(Y399*I399/H399,"0")</f>
        <v>6.7200000000000006</v>
      </c>
      <c r="BO399" s="64">
        <f>IFERROR(1/J399*(X399/H399),"0")</f>
        <v>1.2605042016806723E-2</v>
      </c>
      <c r="BP399" s="64">
        <f>IFERROR(1/J399*(Y399/H399),"0")</f>
        <v>1.2605042016806723E-2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2</v>
      </c>
      <c r="Y400" s="634">
        <f>IFERROR(IF(X400="",0,CEILING((X400/$H400),1)*$H400),"")</f>
        <v>2</v>
      </c>
      <c r="Z400" s="36">
        <f>IFERROR(IF(Y400=0,"",ROUNDUP(Y400/H400,0)*0.00474),"")</f>
        <v>4.7400000000000003E-3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2.2400000000000002</v>
      </c>
      <c r="BN400" s="64">
        <f>IFERROR(Y400*I400/H400,"0")</f>
        <v>2.2400000000000002</v>
      </c>
      <c r="BO400" s="64">
        <f>IFERROR(1/J400*(X400/H400),"0")</f>
        <v>4.2016806722689074E-3</v>
      </c>
      <c r="BP400" s="64">
        <f>IFERROR(1/J400*(Y400/H400),"0")</f>
        <v>4.2016806722689074E-3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17</v>
      </c>
      <c r="Y401" s="634">
        <f>IFERROR(IF(X401="",0,CEILING((X401/$H401),1)*$H401),"")</f>
        <v>18</v>
      </c>
      <c r="Z401" s="36">
        <f>IFERROR(IF(Y401=0,"",ROUNDUP(Y401/H401,0)*0.00474),"")</f>
        <v>4.2660000000000003E-2</v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19.040000000000003</v>
      </c>
      <c r="BN401" s="64">
        <f>IFERROR(Y401*I401/H401,"0")</f>
        <v>20.160000000000004</v>
      </c>
      <c r="BO401" s="64">
        <f>IFERROR(1/J401*(X401/H401),"0")</f>
        <v>3.5714285714285712E-2</v>
      </c>
      <c r="BP401" s="64">
        <f>IFERROR(1/J401*(Y401/H401),"0")</f>
        <v>3.7815126050420166E-2</v>
      </c>
    </row>
    <row r="402" spans="1:68" x14ac:dyDescent="0.2">
      <c r="A402" s="664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5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12.5</v>
      </c>
      <c r="Y402" s="635">
        <f>IFERROR(Y399/H399,"0")+IFERROR(Y400/H400,"0")+IFERROR(Y401/H401,"0")</f>
        <v>13</v>
      </c>
      <c r="Z402" s="635">
        <f>IFERROR(IF(Z399="",0,Z399),"0")+IFERROR(IF(Z400="",0,Z400),"0")+IFERROR(IF(Z401="",0,Z401),"0")</f>
        <v>6.1620000000000008E-2</v>
      </c>
      <c r="AA402" s="636"/>
      <c r="AB402" s="636"/>
      <c r="AC402" s="636"/>
    </row>
    <row r="403" spans="1:68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5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25</v>
      </c>
      <c r="Y403" s="635">
        <f>IFERROR(SUM(Y399:Y401),"0")</f>
        <v>26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6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12</v>
      </c>
      <c r="Y405" s="634">
        <f>IFERROR(IF(X405="",0,CEILING((X405/$H405),1)*$H405),"")</f>
        <v>12</v>
      </c>
      <c r="Z405" s="36">
        <f>IFERROR(IF(Y405=0,"",ROUNDUP(Y405/H405,0)*0.0045),"")</f>
        <v>1.7999999999999999E-2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12.88</v>
      </c>
      <c r="BN405" s="64">
        <f>IFERROR(Y405*I405/H405,"0")</f>
        <v>12.88</v>
      </c>
      <c r="BO405" s="64">
        <f>IFERROR(1/J405*(X405/H405),"0")</f>
        <v>1.7857142857142856E-2</v>
      </c>
      <c r="BP405" s="64">
        <f>IFERROR(1/J405*(Y405/H405),"0")</f>
        <v>1.7857142857142856E-2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3</v>
      </c>
      <c r="Y406" s="634">
        <f>IFERROR(IF(X406="",0,CEILING((X406/$H406),1)*$H406),"")</f>
        <v>3.9</v>
      </c>
      <c r="Z406" s="36">
        <f>IFERROR(IF(Y406=0,"",ROUNDUP(Y406/H406,0)*0.006),"")</f>
        <v>6.0000000000000001E-3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3.2076923076923078</v>
      </c>
      <c r="BN406" s="64">
        <f>IFERROR(Y406*I406/H406,"0")</f>
        <v>4.17</v>
      </c>
      <c r="BO406" s="64">
        <f>IFERROR(1/J406*(X406/H406),"0")</f>
        <v>5.341880341880342E-3</v>
      </c>
      <c r="BP406" s="64">
        <f>IFERROR(1/J406*(Y406/H406),"0")</f>
        <v>6.9444444444444441E-3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4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5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4.7692307692307692</v>
      </c>
      <c r="Y408" s="635">
        <f>IFERROR(Y405/H405,"0")+IFERROR(Y406/H406,"0")+IFERROR(Y407/H407,"0")</f>
        <v>5</v>
      </c>
      <c r="Z408" s="635">
        <f>IFERROR(IF(Z405="",0,Z405),"0")+IFERROR(IF(Z406="",0,Z406),"0")+IFERROR(IF(Z407="",0,Z407),"0")</f>
        <v>2.4E-2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5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15</v>
      </c>
      <c r="Y409" s="635">
        <f>IFERROR(SUM(Y405:Y407),"0")</f>
        <v>15.9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6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4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5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5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53</v>
      </c>
      <c r="Y419" s="634">
        <f>IFERROR(IF(X419="",0,CEILING((X419/$H419),1)*$H419),"")</f>
        <v>54.6</v>
      </c>
      <c r="Z419" s="36">
        <f>IFERROR(IF(Y419=0,"",ROUNDUP(Y419/H419,0)*0.00651),"")</f>
        <v>0.16925999999999999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59.359999999999992</v>
      </c>
      <c r="BN419" s="64">
        <f>IFERROR(Y419*I419/H419,"0")</f>
        <v>61.151999999999994</v>
      </c>
      <c r="BO419" s="64">
        <f>IFERROR(1/J419*(X419/H419),"0")</f>
        <v>0.13867085295656725</v>
      </c>
      <c r="BP419" s="64">
        <f>IFERROR(1/J419*(Y419/H419),"0")</f>
        <v>0.14285714285714288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53</v>
      </c>
      <c r="Y420" s="634">
        <f>IFERROR(IF(X420="",0,CEILING((X420/$H420),1)*$H420),"")</f>
        <v>54.6</v>
      </c>
      <c r="Z420" s="36">
        <f>IFERROR(IF(Y420=0,"",ROUNDUP(Y420/H420,0)*0.00651),"")</f>
        <v>0.16925999999999999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59.05714285714285</v>
      </c>
      <c r="BN420" s="64">
        <f>IFERROR(Y420*I420/H420,"0")</f>
        <v>60.839999999999996</v>
      </c>
      <c r="BO420" s="64">
        <f>IFERROR(1/J420*(X420/H420),"0")</f>
        <v>0.13867085295656725</v>
      </c>
      <c r="BP420" s="64">
        <f>IFERROR(1/J420*(Y420/H420),"0")</f>
        <v>0.14285714285714288</v>
      </c>
    </row>
    <row r="421" spans="1:68" x14ac:dyDescent="0.2">
      <c r="A421" s="664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5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50.476190476190474</v>
      </c>
      <c r="Y421" s="635">
        <f>IFERROR(Y418/H418,"0")+IFERROR(Y419/H419,"0")+IFERROR(Y420/H420,"0")</f>
        <v>52</v>
      </c>
      <c r="Z421" s="635">
        <f>IFERROR(IF(Z418="",0,Z418),"0")+IFERROR(IF(Z419="",0,Z419),"0")+IFERROR(IF(Z420="",0,Z420),"0")</f>
        <v>0.33851999999999999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5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106</v>
      </c>
      <c r="Y422" s="635">
        <f>IFERROR(SUM(Y418:Y420),"0")</f>
        <v>109.2</v>
      </c>
      <c r="Z422" s="37"/>
      <c r="AA422" s="636"/>
      <c r="AB422" s="636"/>
      <c r="AC422" s="636"/>
    </row>
    <row r="423" spans="1:68" ht="27.75" hidden="1" customHeight="1" x14ac:dyDescent="0.2">
      <c r="A423" s="722" t="s">
        <v>688</v>
      </c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3"/>
      <c r="P423" s="723"/>
      <c r="Q423" s="723"/>
      <c r="R423" s="723"/>
      <c r="S423" s="723"/>
      <c r="T423" s="723"/>
      <c r="U423" s="723"/>
      <c r="V423" s="723"/>
      <c r="W423" s="723"/>
      <c r="X423" s="723"/>
      <c r="Y423" s="723"/>
      <c r="Z423" s="723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6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1217</v>
      </c>
      <c r="Y427" s="634">
        <f t="shared" si="53"/>
        <v>1230</v>
      </c>
      <c r="Z427" s="36">
        <f>IFERROR(IF(Y427=0,"",ROUNDUP(Y427/H427,0)*0.02175),"")</f>
        <v>1.7834999999999999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1255.1326666666669</v>
      </c>
      <c r="BN427" s="64">
        <f t="shared" si="55"/>
        <v>1268.5400000000002</v>
      </c>
      <c r="BO427" s="64">
        <f t="shared" si="56"/>
        <v>1.6902777777777778</v>
      </c>
      <c r="BP427" s="64">
        <f t="shared" si="57"/>
        <v>1.7083333333333333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733</v>
      </c>
      <c r="Y428" s="634">
        <f t="shared" si="53"/>
        <v>735</v>
      </c>
      <c r="Z428" s="36">
        <f>IFERROR(IF(Y428=0,"",ROUNDUP(Y428/H428,0)*0.02175),"")</f>
        <v>1.06575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755.96733333333339</v>
      </c>
      <c r="BN428" s="64">
        <f t="shared" si="55"/>
        <v>758.03000000000009</v>
      </c>
      <c r="BO428" s="64">
        <f t="shared" si="56"/>
        <v>1.0180555555555555</v>
      </c>
      <c r="BP428" s="64">
        <f t="shared" si="57"/>
        <v>1.0208333333333333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959</v>
      </c>
      <c r="Y429" s="634">
        <f t="shared" si="53"/>
        <v>960</v>
      </c>
      <c r="Z429" s="36">
        <f>IFERROR(IF(Y429=0,"",ROUNDUP(Y429/H429,0)*0.02175),"")</f>
        <v>1.3919999999999999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989.0486666666668</v>
      </c>
      <c r="BN429" s="64">
        <f t="shared" si="55"/>
        <v>990.08</v>
      </c>
      <c r="BO429" s="64">
        <f t="shared" si="56"/>
        <v>1.3319444444444444</v>
      </c>
      <c r="BP429" s="64">
        <f t="shared" si="57"/>
        <v>1.3333333333333333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644</v>
      </c>
      <c r="Y430" s="634">
        <f t="shared" si="53"/>
        <v>645</v>
      </c>
      <c r="Z430" s="36">
        <f>IFERROR(IF(Y430=0,"",ROUNDUP(Y430/H430,0)*0.02175),"")</f>
        <v>0.93524999999999991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664.17866666666669</v>
      </c>
      <c r="BN430" s="64">
        <f t="shared" si="55"/>
        <v>665.20999999999992</v>
      </c>
      <c r="BO430" s="64">
        <f t="shared" si="56"/>
        <v>0.89444444444444438</v>
      </c>
      <c r="BP430" s="64">
        <f t="shared" si="57"/>
        <v>0.89583333333333326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8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4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5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236.86666666666667</v>
      </c>
      <c r="Y434" s="635">
        <f>IFERROR(Y426/H426,"0")+IFERROR(Y427/H427,"0")+IFERROR(Y428/H428,"0")+IFERROR(Y429/H429,"0")+IFERROR(Y430/H430,"0")+IFERROR(Y431/H431,"0")+IFERROR(Y432/H432,"0")+IFERROR(Y433/H433,"0")</f>
        <v>238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5.176499999999999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5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3553</v>
      </c>
      <c r="Y435" s="635">
        <f>IFERROR(SUM(Y426:Y433),"0")</f>
        <v>3570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250</v>
      </c>
      <c r="Y437" s="634">
        <f>IFERROR(IF(X437="",0,CEILING((X437/$H437),1)*$H437),"")</f>
        <v>255</v>
      </c>
      <c r="Z437" s="36">
        <f>IFERROR(IF(Y437=0,"",ROUNDUP(Y437/H437,0)*0.02175),"")</f>
        <v>0.36974999999999997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257.83333333333331</v>
      </c>
      <c r="BN437" s="64">
        <f>IFERROR(Y437*I437/H437,"0")</f>
        <v>262.99</v>
      </c>
      <c r="BO437" s="64">
        <f>IFERROR(1/J437*(X437/H437),"0")</f>
        <v>0.34722222222222221</v>
      </c>
      <c r="BP437" s="64">
        <f>IFERROR(1/J437*(Y437/H437),"0")</f>
        <v>0.35416666666666663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4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7</v>
      </c>
      <c r="Y438" s="634">
        <f>IFERROR(IF(X438="",0,CEILING((X438/$H438),1)*$H438),"")</f>
        <v>15</v>
      </c>
      <c r="Z438" s="36">
        <f>IFERROR(IF(Y438=0,"",ROUNDUP(Y438/H438,0)*0.02175),"")</f>
        <v>2.1749999999999999E-2</v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7.219333333333334</v>
      </c>
      <c r="BN438" s="64">
        <f>IFERROR(Y438*I438/H438,"0")</f>
        <v>15.47</v>
      </c>
      <c r="BO438" s="64">
        <f>IFERROR(1/J438*(X438/H438),"0")</f>
        <v>9.7222222222222224E-3</v>
      </c>
      <c r="BP438" s="64">
        <f>IFERROR(1/J438*(Y438/H438),"0")</f>
        <v>2.0833333333333332E-2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4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5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17.133333333333333</v>
      </c>
      <c r="Y440" s="635">
        <f>IFERROR(Y437/H437,"0")+IFERROR(Y438/H438,"0")+IFERROR(Y439/H439,"0")</f>
        <v>18</v>
      </c>
      <c r="Z440" s="635">
        <f>IFERROR(IF(Z437="",0,Z437),"0")+IFERROR(IF(Z438="",0,Z438),"0")+IFERROR(IF(Z439="",0,Z439),"0")</f>
        <v>0.39149999999999996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5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257</v>
      </c>
      <c r="Y441" s="635">
        <f>IFERROR(SUM(Y437:Y439),"0")</f>
        <v>270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1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4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5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5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4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5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5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7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4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5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5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4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5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5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4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480</v>
      </c>
      <c r="Y464" s="634">
        <f>IFERROR(IF(X464="",0,CEILING((X464/$H464),1)*$H464),"")</f>
        <v>486</v>
      </c>
      <c r="Z464" s="36">
        <f>IFERROR(IF(Y464=0,"",ROUNDUP(Y464/H464,0)*0.01898),"")</f>
        <v>1.0249200000000001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506.34666666666664</v>
      </c>
      <c r="BN464" s="64">
        <f>IFERROR(Y464*I464/H464,"0")</f>
        <v>512.67599999999993</v>
      </c>
      <c r="BO464" s="64">
        <f>IFERROR(1/J464*(X464/H464),"0")</f>
        <v>0.83333333333333337</v>
      </c>
      <c r="BP464" s="64">
        <f>IFERROR(1/J464*(Y464/H464),"0")</f>
        <v>0.84375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80</v>
      </c>
      <c r="Y465" s="634">
        <f>IFERROR(IF(X465="",0,CEILING((X465/$H465),1)*$H465),"")</f>
        <v>81.599999999999994</v>
      </c>
      <c r="Z465" s="36">
        <f>IFERROR(IF(Y465=0,"",ROUNDUP(Y465/H465,0)*0.00651),"")</f>
        <v>0.22134000000000001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88.800000000000011</v>
      </c>
      <c r="BN465" s="64">
        <f>IFERROR(Y465*I465/H465,"0")</f>
        <v>90.575999999999993</v>
      </c>
      <c r="BO465" s="64">
        <f>IFERROR(1/J465*(X465/H465),"0")</f>
        <v>0.18315018315018317</v>
      </c>
      <c r="BP465" s="64">
        <f>IFERROR(1/J465*(Y465/H465),"0")</f>
        <v>0.18681318681318682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6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4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5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86.666666666666671</v>
      </c>
      <c r="Y467" s="635">
        <f>IFERROR(Y464/H464,"0")+IFERROR(Y465/H465,"0")+IFERROR(Y466/H466,"0")</f>
        <v>88</v>
      </c>
      <c r="Z467" s="635">
        <f>IFERROR(IF(Z464="",0,Z464),"0")+IFERROR(IF(Z465="",0,Z465),"0")+IFERROR(IF(Z466="",0,Z466),"0")</f>
        <v>1.2462600000000001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5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560</v>
      </c>
      <c r="Y468" s="635">
        <f>IFERROR(SUM(Y464:Y466),"0")</f>
        <v>567.6</v>
      </c>
      <c r="Z468" s="37"/>
      <c r="AA468" s="636"/>
      <c r="AB468" s="636"/>
      <c r="AC468" s="636"/>
    </row>
    <row r="469" spans="1:68" ht="27.75" hidden="1" customHeight="1" x14ac:dyDescent="0.2">
      <c r="A469" s="722" t="s">
        <v>754</v>
      </c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3"/>
      <c r="P469" s="723"/>
      <c r="Q469" s="723"/>
      <c r="R469" s="723"/>
      <c r="S469" s="723"/>
      <c r="T469" s="723"/>
      <c r="U469" s="723"/>
      <c r="V469" s="723"/>
      <c r="W469" s="723"/>
      <c r="X469" s="723"/>
      <c r="Y469" s="723"/>
      <c r="Z469" s="723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4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5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5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4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5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5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4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5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5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4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5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5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22" t="s">
        <v>790</v>
      </c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3"/>
      <c r="P496" s="723"/>
      <c r="Q496" s="723"/>
      <c r="R496" s="723"/>
      <c r="S496" s="723"/>
      <c r="T496" s="723"/>
      <c r="U496" s="723"/>
      <c r="V496" s="723"/>
      <c r="W496" s="723"/>
      <c r="X496" s="723"/>
      <c r="Y496" s="723"/>
      <c r="Z496" s="723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1271</v>
      </c>
      <c r="Y502" s="634">
        <f t="shared" si="63"/>
        <v>1272.48</v>
      </c>
      <c r="Z502" s="36">
        <f t="shared" si="64"/>
        <v>2.8823600000000003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1355.2518939393938</v>
      </c>
      <c r="BN502" s="64">
        <f t="shared" si="66"/>
        <v>1356.83</v>
      </c>
      <c r="BO502" s="64">
        <f t="shared" si="67"/>
        <v>2.3146124708624711</v>
      </c>
      <c r="BP502" s="64">
        <f t="shared" si="68"/>
        <v>2.3173076923076925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3221</v>
      </c>
      <c r="Y504" s="634">
        <f t="shared" si="63"/>
        <v>3226.08</v>
      </c>
      <c r="Z504" s="36">
        <f t="shared" si="64"/>
        <v>7.3075600000000005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3434.5132575757575</v>
      </c>
      <c r="BN504" s="64">
        <f t="shared" si="66"/>
        <v>3439.93</v>
      </c>
      <c r="BO504" s="64">
        <f t="shared" si="67"/>
        <v>5.8657488344988344</v>
      </c>
      <c r="BP504" s="64">
        <f t="shared" si="68"/>
        <v>5.875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35</v>
      </c>
      <c r="Y506" s="634">
        <f t="shared" si="63"/>
        <v>38.4</v>
      </c>
      <c r="Z506" s="36">
        <f>IFERROR(IF(Y506=0,"",ROUNDUP(Y506/H506,0)*0.00902),"")</f>
        <v>7.2160000000000002E-2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50.385416666666664</v>
      </c>
      <c r="BN506" s="64">
        <f t="shared" si="66"/>
        <v>55.28</v>
      </c>
      <c r="BO506" s="64">
        <f t="shared" si="67"/>
        <v>5.5239898989898992E-2</v>
      </c>
      <c r="BP506" s="64">
        <f t="shared" si="68"/>
        <v>6.0606060606060608E-2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193</v>
      </c>
      <c r="Y507" s="634">
        <f t="shared" si="63"/>
        <v>196.79999999999998</v>
      </c>
      <c r="Z507" s="36">
        <f>IFERROR(IF(Y507=0,"",ROUNDUP(Y507/H507,0)*0.00902),"")</f>
        <v>0.36982000000000004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277.83958333333339</v>
      </c>
      <c r="BN507" s="64">
        <f t="shared" si="66"/>
        <v>283.31</v>
      </c>
      <c r="BO507" s="64">
        <f t="shared" si="67"/>
        <v>0.30460858585858591</v>
      </c>
      <c r="BP507" s="64">
        <f t="shared" si="68"/>
        <v>0.31060606060606061</v>
      </c>
    </row>
    <row r="508" spans="1:68" x14ac:dyDescent="0.2">
      <c r="A508" s="664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5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898.25757575757575</v>
      </c>
      <c r="Y508" s="635">
        <f>IFERROR(Y499/H499,"0")+IFERROR(Y500/H500,"0")+IFERROR(Y501/H501,"0")+IFERROR(Y502/H502,"0")+IFERROR(Y503/H503,"0")+IFERROR(Y504/H504,"0")+IFERROR(Y505/H505,"0")+IFERROR(Y506/H506,"0")+IFERROR(Y507/H507,"0")</f>
        <v>901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10.631900000000002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5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4720</v>
      </c>
      <c r="Y509" s="635">
        <f>IFERROR(SUM(Y499:Y507),"0")</f>
        <v>4733.7599999999993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1476</v>
      </c>
      <c r="Y511" s="634">
        <f>IFERROR(IF(X511="",0,CEILING((X511/$H511),1)*$H511),"")</f>
        <v>1478.4</v>
      </c>
      <c r="Z511" s="36">
        <f>IFERROR(IF(Y511=0,"",ROUNDUP(Y511/H511,0)*0.01196),"")</f>
        <v>3.3488000000000002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1573.8409090909088</v>
      </c>
      <c r="BN511" s="64">
        <f>IFERROR(Y511*I511/H511,"0")</f>
        <v>1576.3999999999999</v>
      </c>
      <c r="BO511" s="64">
        <f>IFERROR(1/J511*(X511/H511),"0")</f>
        <v>2.6879370629370625</v>
      </c>
      <c r="BP511" s="64">
        <f>IFERROR(1/J511*(Y511/H511),"0")</f>
        <v>2.6923076923076925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4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5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279.5454545454545</v>
      </c>
      <c r="Y514" s="635">
        <f>IFERROR(Y511/H511,"0")+IFERROR(Y512/H512,"0")+IFERROR(Y513/H513,"0")</f>
        <v>280</v>
      </c>
      <c r="Z514" s="635">
        <f>IFERROR(IF(Z511="",0,Z511),"0")+IFERROR(IF(Z512="",0,Z512),"0")+IFERROR(IF(Z513="",0,Z513),"0")</f>
        <v>3.3488000000000002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5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1476</v>
      </c>
      <c r="Y515" s="635">
        <f>IFERROR(SUM(Y511:Y513),"0")</f>
        <v>1478.4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422</v>
      </c>
      <c r="Y518" s="634">
        <f t="shared" si="69"/>
        <v>422.40000000000003</v>
      </c>
      <c r="Z518" s="36">
        <f>IFERROR(IF(Y518=0,"",ROUNDUP(Y518/H518,0)*0.01196),"")</f>
        <v>0.95679999999999998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449.97348484848487</v>
      </c>
      <c r="BN518" s="64">
        <f t="shared" si="71"/>
        <v>450.4</v>
      </c>
      <c r="BO518" s="64">
        <f t="shared" si="72"/>
        <v>0.76850233100233101</v>
      </c>
      <c r="BP518" s="64">
        <f t="shared" si="73"/>
        <v>0.76923076923076927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384</v>
      </c>
      <c r="Y519" s="634">
        <f t="shared" si="69"/>
        <v>385.44</v>
      </c>
      <c r="Z519" s="36">
        <f>IFERROR(IF(Y519=0,"",ROUNDUP(Y519/H519,0)*0.01196),"")</f>
        <v>0.87307999999999997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409.45454545454544</v>
      </c>
      <c r="BN519" s="64">
        <f t="shared" si="71"/>
        <v>410.98999999999995</v>
      </c>
      <c r="BO519" s="64">
        <f t="shared" si="72"/>
        <v>0.69930069930069927</v>
      </c>
      <c r="BP519" s="64">
        <f t="shared" si="73"/>
        <v>0.70192307692307698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4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5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152.65151515151513</v>
      </c>
      <c r="Y524" s="635">
        <f>IFERROR(Y517/H517,"0")+IFERROR(Y518/H518,"0")+IFERROR(Y519/H519,"0")+IFERROR(Y520/H520,"0")+IFERROR(Y521/H521,"0")+IFERROR(Y522/H522,"0")+IFERROR(Y523/H523,"0")</f>
        <v>153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1.82988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5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806</v>
      </c>
      <c r="Y525" s="635">
        <f>IFERROR(SUM(Y517:Y523),"0")</f>
        <v>807.84</v>
      </c>
      <c r="Z525" s="37"/>
      <c r="AA525" s="636"/>
      <c r="AB525" s="636"/>
      <c r="AC525" s="636"/>
    </row>
    <row r="526" spans="1:68" ht="27.75" hidden="1" customHeight="1" x14ac:dyDescent="0.2">
      <c r="A526" s="722" t="s">
        <v>837</v>
      </c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3"/>
      <c r="P526" s="723"/>
      <c r="Q526" s="723"/>
      <c r="R526" s="723"/>
      <c r="S526" s="723"/>
      <c r="T526" s="723"/>
      <c r="U526" s="723"/>
      <c r="V526" s="723"/>
      <c r="W526" s="723"/>
      <c r="X526" s="723"/>
      <c r="Y526" s="723"/>
      <c r="Z526" s="723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4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5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5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4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5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5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4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5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5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4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5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5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4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5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5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4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5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5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8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9"/>
      <c r="P554" s="667" t="s">
        <v>860</v>
      </c>
      <c r="Q554" s="668"/>
      <c r="R554" s="668"/>
      <c r="S554" s="668"/>
      <c r="T554" s="668"/>
      <c r="U554" s="668"/>
      <c r="V554" s="66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17590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17754.54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9"/>
      <c r="P555" s="667" t="s">
        <v>861</v>
      </c>
      <c r="Q555" s="668"/>
      <c r="R555" s="668"/>
      <c r="S555" s="668"/>
      <c r="T555" s="668"/>
      <c r="U555" s="668"/>
      <c r="V555" s="669"/>
      <c r="W555" s="37" t="s">
        <v>67</v>
      </c>
      <c r="X555" s="635">
        <f>IFERROR(SUM(BM22:BM551),"0")</f>
        <v>18704.355508596953</v>
      </c>
      <c r="Y555" s="635">
        <f>IFERROR(SUM(BN22:BN551),"0")</f>
        <v>18880.933000000001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9"/>
      <c r="P556" s="667" t="s">
        <v>862</v>
      </c>
      <c r="Q556" s="668"/>
      <c r="R556" s="668"/>
      <c r="S556" s="668"/>
      <c r="T556" s="668"/>
      <c r="U556" s="668"/>
      <c r="V556" s="669"/>
      <c r="W556" s="37" t="s">
        <v>863</v>
      </c>
      <c r="X556" s="38">
        <f>ROUNDUP(SUM(BO22:BO551),0)</f>
        <v>32</v>
      </c>
      <c r="Y556" s="38">
        <f>ROUNDUP(SUM(BP22:BP551),0)</f>
        <v>32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9"/>
      <c r="P557" s="667" t="s">
        <v>864</v>
      </c>
      <c r="Q557" s="668"/>
      <c r="R557" s="668"/>
      <c r="S557" s="668"/>
      <c r="T557" s="668"/>
      <c r="U557" s="668"/>
      <c r="V557" s="669"/>
      <c r="W557" s="37" t="s">
        <v>67</v>
      </c>
      <c r="X557" s="635">
        <f>GrossWeightTotal+PalletQtyTotal*25</f>
        <v>19504.355508596953</v>
      </c>
      <c r="Y557" s="635">
        <f>GrossWeightTotalR+PalletQtyTotalR*25</f>
        <v>19680.933000000001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9"/>
      <c r="P558" s="667" t="s">
        <v>865</v>
      </c>
      <c r="Q558" s="668"/>
      <c r="R558" s="668"/>
      <c r="S558" s="668"/>
      <c r="T558" s="668"/>
      <c r="U558" s="668"/>
      <c r="V558" s="66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3062.1848250186081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3094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9"/>
      <c r="P559" s="667" t="s">
        <v>866</v>
      </c>
      <c r="Q559" s="668"/>
      <c r="R559" s="668"/>
      <c r="S559" s="668"/>
      <c r="T559" s="668"/>
      <c r="U559" s="668"/>
      <c r="V559" s="66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37.565089999999998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4" t="s">
        <v>109</v>
      </c>
      <c r="E561" s="781"/>
      <c r="F561" s="781"/>
      <c r="G561" s="781"/>
      <c r="H561" s="781"/>
      <c r="I561" s="781"/>
      <c r="J561" s="730"/>
      <c r="K561" s="704" t="s">
        <v>342</v>
      </c>
      <c r="L561" s="781"/>
      <c r="M561" s="781"/>
      <c r="N561" s="781"/>
      <c r="O561" s="781"/>
      <c r="P561" s="781"/>
      <c r="Q561" s="781"/>
      <c r="R561" s="781"/>
      <c r="S561" s="781"/>
      <c r="T561" s="781"/>
      <c r="U561" s="781"/>
      <c r="V561" s="730"/>
      <c r="W561" s="704" t="s">
        <v>688</v>
      </c>
      <c r="X561" s="730"/>
      <c r="Y561" s="704" t="s">
        <v>754</v>
      </c>
      <c r="Z561" s="730"/>
      <c r="AA561" s="630" t="s">
        <v>790</v>
      </c>
      <c r="AB561" s="704" t="s">
        <v>837</v>
      </c>
      <c r="AC561" s="730"/>
      <c r="AF561" s="631"/>
    </row>
    <row r="562" spans="1:32" ht="14.25" customHeight="1" thickTop="1" x14ac:dyDescent="0.2">
      <c r="A562" s="719" t="s">
        <v>869</v>
      </c>
      <c r="B562" s="704" t="s">
        <v>61</v>
      </c>
      <c r="C562" s="704" t="s">
        <v>93</v>
      </c>
      <c r="D562" s="704" t="s">
        <v>110</v>
      </c>
      <c r="E562" s="704" t="s">
        <v>126</v>
      </c>
      <c r="F562" s="704" t="s">
        <v>171</v>
      </c>
      <c r="G562" s="704" t="s">
        <v>192</v>
      </c>
      <c r="H562" s="704" t="s">
        <v>232</v>
      </c>
      <c r="I562" s="704" t="s">
        <v>256</v>
      </c>
      <c r="J562" s="704" t="s">
        <v>109</v>
      </c>
      <c r="K562" s="704" t="s">
        <v>343</v>
      </c>
      <c r="L562" s="704" t="s">
        <v>364</v>
      </c>
      <c r="M562" s="704" t="s">
        <v>431</v>
      </c>
      <c r="N562" s="631"/>
      <c r="O562" s="704" t="s">
        <v>499</v>
      </c>
      <c r="P562" s="704" t="s">
        <v>532</v>
      </c>
      <c r="Q562" s="704" t="s">
        <v>548</v>
      </c>
      <c r="R562" s="704" t="s">
        <v>557</v>
      </c>
      <c r="S562" s="704" t="s">
        <v>578</v>
      </c>
      <c r="T562" s="704" t="s">
        <v>587</v>
      </c>
      <c r="U562" s="704" t="s">
        <v>668</v>
      </c>
      <c r="V562" s="704" t="s">
        <v>678</v>
      </c>
      <c r="W562" s="704" t="s">
        <v>689</v>
      </c>
      <c r="X562" s="704" t="s">
        <v>738</v>
      </c>
      <c r="Y562" s="704" t="s">
        <v>755</v>
      </c>
      <c r="Z562" s="704" t="s">
        <v>778</v>
      </c>
      <c r="AA562" s="704" t="s">
        <v>790</v>
      </c>
      <c r="AB562" s="704" t="s">
        <v>837</v>
      </c>
      <c r="AC562" s="704" t="s">
        <v>856</v>
      </c>
      <c r="AF562" s="631"/>
    </row>
    <row r="563" spans="1:32" ht="13.5" customHeight="1" thickBot="1" x14ac:dyDescent="0.25">
      <c r="A563" s="720"/>
      <c r="B563" s="705"/>
      <c r="C563" s="705"/>
      <c r="D563" s="705"/>
      <c r="E563" s="705"/>
      <c r="F563" s="705"/>
      <c r="G563" s="705"/>
      <c r="H563" s="705"/>
      <c r="I563" s="705"/>
      <c r="J563" s="705"/>
      <c r="K563" s="705"/>
      <c r="L563" s="705"/>
      <c r="M563" s="705"/>
      <c r="N563" s="631"/>
      <c r="O563" s="705"/>
      <c r="P563" s="705"/>
      <c r="Q563" s="705"/>
      <c r="R563" s="705"/>
      <c r="S563" s="705"/>
      <c r="T563" s="705"/>
      <c r="U563" s="705"/>
      <c r="V563" s="705"/>
      <c r="W563" s="705"/>
      <c r="X563" s="705"/>
      <c r="Y563" s="705"/>
      <c r="Z563" s="705"/>
      <c r="AA563" s="705"/>
      <c r="AB563" s="705"/>
      <c r="AC563" s="705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16.2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529.20000000000005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638.79999999999995</v>
      </c>
      <c r="F564" s="46">
        <f>IFERROR(Y84*1,"0")+IFERROR(Y85*1,"0")+IFERROR(Y86*1,"0")+IFERROR(Y87*1,"0")+IFERROR(Y91*1,"0")+IFERROR(Y92*1,"0")+IFERROR(Y93*1,"0")+IFERROR(Y94*1,"0")</f>
        <v>1160.2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1357.1399999999999</v>
      </c>
      <c r="H564" s="46">
        <f>IFERROR(Y129*1,"0")+IFERROR(Y130*1,"0")+IFERROR(Y131*1,"0")+IFERROR(Y135*1,"0")+IFERROR(Y136*1,"0")+IFERROR(Y137*1,"0")+IFERROR(Y138*1,"0")+IFERROR(Y142*1,"0")+IFERROR(Y143*1,"0")+IFERROR(Y144*1,"0")</f>
        <v>32.799999999999997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390.81999999999994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150.60000000000002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992.69999999999993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13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40.799999999999997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436.79999999999995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458.67999999999995</v>
      </c>
      <c r="U564" s="46">
        <f>IFERROR(Y412*1,"0")+IFERROR(Y413*1,"0")</f>
        <v>0</v>
      </c>
      <c r="V564" s="46">
        <f>IFERROR(Y418*1,"0")+IFERROR(Y419*1,"0")+IFERROR(Y420*1,"0")</f>
        <v>109.2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3840</v>
      </c>
      <c r="X564" s="46">
        <f>IFERROR(Y455*1,"0")+IFERROR(Y456*1,"0")+IFERROR(Y460*1,"0")+IFERROR(Y464*1,"0")+IFERROR(Y465*1,"0")+IFERROR(Y466*1,"0")</f>
        <v>567.6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7019.9999999999991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0,00"/>
        <filter val="1 073,00"/>
        <filter val="1 217,00"/>
        <filter val="1 271,00"/>
        <filter val="1 476,00"/>
        <filter val="1,00"/>
        <filter val="1,67"/>
        <filter val="100,00"/>
        <filter val="102,00"/>
        <filter val="105,00"/>
        <filter val="106,00"/>
        <filter val="108,00"/>
        <filter val="11,00"/>
        <filter val="12,00"/>
        <filter val="12,50"/>
        <filter val="121,00"/>
        <filter val="122,00"/>
        <filter val="13,00"/>
        <filter val="14,29"/>
        <filter val="15,00"/>
        <filter val="151,36"/>
        <filter val="152,65"/>
        <filter val="16,00"/>
        <filter val="16,67"/>
        <filter val="16,94"/>
        <filter val="161,82"/>
        <filter val="17 590,00"/>
        <filter val="17,00"/>
        <filter val="17,13"/>
        <filter val="18 704,36"/>
        <filter val="18,00"/>
        <filter val="182,00"/>
        <filter val="19 504,36"/>
        <filter val="193,00"/>
        <filter val="2,00"/>
        <filter val="20,00"/>
        <filter val="212,00"/>
        <filter val="214,00"/>
        <filter val="22,22"/>
        <filter val="22,98"/>
        <filter val="221,99"/>
        <filter val="225,56"/>
        <filter val="23,33"/>
        <filter val="236,87"/>
        <filter val="25,00"/>
        <filter val="250,00"/>
        <filter val="257,00"/>
        <filter val="27,00"/>
        <filter val="274,00"/>
        <filter val="279,55"/>
        <filter val="28,00"/>
        <filter val="288,00"/>
        <filter val="3 062,18"/>
        <filter val="3 221,00"/>
        <filter val="3 553,00"/>
        <filter val="3,00"/>
        <filter val="3,93"/>
        <filter val="305,00"/>
        <filter val="31,30"/>
        <filter val="32"/>
        <filter val="32,00"/>
        <filter val="33,33"/>
        <filter val="332,00"/>
        <filter val="34,85"/>
        <filter val="35,00"/>
        <filter val="377,00"/>
        <filter val="384,00"/>
        <filter val="39,00"/>
        <filter val="4 720,00"/>
        <filter val="4,00"/>
        <filter val="4,76"/>
        <filter val="4,77"/>
        <filter val="40,00"/>
        <filter val="400,00"/>
        <filter val="42,00"/>
        <filter val="422,00"/>
        <filter val="430,00"/>
        <filter val="44,00"/>
        <filter val="48,00"/>
        <filter val="48,89"/>
        <filter val="480,00"/>
        <filter val="49,00"/>
        <filter val="5,00"/>
        <filter val="5,36"/>
        <filter val="50,48"/>
        <filter val="51,00"/>
        <filter val="51,28"/>
        <filter val="52,00"/>
        <filter val="528,00"/>
        <filter val="53,00"/>
        <filter val="55,13"/>
        <filter val="560,00"/>
        <filter val="58,00"/>
        <filter val="6,00"/>
        <filter val="6,39"/>
        <filter val="60,00"/>
        <filter val="644,00"/>
        <filter val="66,05"/>
        <filter val="688,00"/>
        <filter val="69,00"/>
        <filter val="696,00"/>
        <filter val="7,00"/>
        <filter val="71,00"/>
        <filter val="733,00"/>
        <filter val="8,89"/>
        <filter val="80,00"/>
        <filter val="806,00"/>
        <filter val="81,00"/>
        <filter val="82,00"/>
        <filter val="83,33"/>
        <filter val="86,67"/>
        <filter val="898,26"/>
        <filter val="9,00"/>
        <filter val="90,00"/>
        <filter val="902,00"/>
        <filter val="959,00"/>
        <filter val="98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A82:Z82"/>
    <mergeCell ref="P102:T102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  <mergeCell ref="A457:O458"/>
    <mergeCell ref="P327:T327"/>
    <mergeCell ref="D273:E273"/>
    <mergeCell ref="P110:T11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2026-08-14T11:33:36Z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