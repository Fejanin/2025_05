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260DD91-3440-4DA9-A6BF-7E6C2C48382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Z512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Y442" i="2" s="1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Y403" i="2" s="1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Y250" i="2" s="1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P91" i="2" s="1"/>
  <c r="P91" i="2"/>
  <c r="X89" i="2"/>
  <c r="X88" i="2"/>
  <c r="BO87" i="2"/>
  <c r="BM87" i="2"/>
  <c r="Y87" i="2"/>
  <c r="Z87" i="2" s="1"/>
  <c r="P87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Z58" i="2" l="1"/>
  <c r="BN58" i="2"/>
  <c r="Z324" i="2"/>
  <c r="BN324" i="2"/>
  <c r="Z325" i="2"/>
  <c r="BN325" i="2"/>
  <c r="Z183" i="2"/>
  <c r="BP444" i="2"/>
  <c r="Z111" i="2"/>
  <c r="Z247" i="2"/>
  <c r="BN247" i="2"/>
  <c r="BP268" i="2"/>
  <c r="Z383" i="2"/>
  <c r="X556" i="2"/>
  <c r="BP28" i="2"/>
  <c r="Z67" i="2"/>
  <c r="BN67" i="2"/>
  <c r="Z91" i="2"/>
  <c r="BN91" i="2"/>
  <c r="Z210" i="2"/>
  <c r="BN210" i="2"/>
  <c r="BP225" i="2"/>
  <c r="Z284" i="2"/>
  <c r="BN284" i="2"/>
  <c r="Z286" i="2"/>
  <c r="BN286" i="2"/>
  <c r="Z363" i="2"/>
  <c r="Z396" i="2"/>
  <c r="Z477" i="2"/>
  <c r="Z522" i="2"/>
  <c r="Y24" i="2"/>
  <c r="Z39" i="2"/>
  <c r="BN39" i="2"/>
  <c r="BP40" i="2"/>
  <c r="Z61" i="2"/>
  <c r="Z94" i="2"/>
  <c r="BN94" i="2"/>
  <c r="Y107" i="2"/>
  <c r="Z138" i="2"/>
  <c r="Z176" i="2"/>
  <c r="Z196" i="2"/>
  <c r="Z197" i="2" s="1"/>
  <c r="Y201" i="2"/>
  <c r="Y202" i="2"/>
  <c r="Z238" i="2"/>
  <c r="Z274" i="2"/>
  <c r="BN274" i="2"/>
  <c r="BP278" i="2"/>
  <c r="Z304" i="2"/>
  <c r="Z343" i="2"/>
  <c r="BN343" i="2"/>
  <c r="Z370" i="2"/>
  <c r="BN370" i="2"/>
  <c r="Z371" i="2"/>
  <c r="BN371" i="2"/>
  <c r="Z420" i="2"/>
  <c r="BN420" i="2"/>
  <c r="Z475" i="2"/>
  <c r="Y516" i="2"/>
  <c r="Z520" i="2"/>
  <c r="Z534" i="2"/>
  <c r="Z535" i="2" s="1"/>
  <c r="Y535" i="2"/>
  <c r="Z546" i="2"/>
  <c r="BN38" i="2"/>
  <c r="BN62" i="2"/>
  <c r="BN101" i="2"/>
  <c r="X559" i="2"/>
  <c r="Z27" i="2"/>
  <c r="Z30" i="2"/>
  <c r="BN30" i="2"/>
  <c r="BN50" i="2"/>
  <c r="Z56" i="2"/>
  <c r="BP59" i="2"/>
  <c r="BN68" i="2"/>
  <c r="Z79" i="2"/>
  <c r="Y81" i="2"/>
  <c r="BN84" i="2"/>
  <c r="BP86" i="2"/>
  <c r="BP92" i="2"/>
  <c r="BP111" i="2"/>
  <c r="BN112" i="2"/>
  <c r="BP113" i="2"/>
  <c r="BN118" i="2"/>
  <c r="Z120" i="2"/>
  <c r="Z135" i="2"/>
  <c r="BP136" i="2"/>
  <c r="BN144" i="2"/>
  <c r="Z152" i="2"/>
  <c r="Z153" i="2"/>
  <c r="BP170" i="2"/>
  <c r="Y198" i="2"/>
  <c r="BN200" i="2"/>
  <c r="BN212" i="2"/>
  <c r="Z223" i="2"/>
  <c r="Z227" i="2"/>
  <c r="BN227" i="2"/>
  <c r="Z231" i="2"/>
  <c r="BN231" i="2"/>
  <c r="BN248" i="2"/>
  <c r="Z294" i="2"/>
  <c r="BN294" i="2"/>
  <c r="Z328" i="2"/>
  <c r="BN328" i="2"/>
  <c r="BP334" i="2"/>
  <c r="Y367" i="2"/>
  <c r="Z374" i="2"/>
  <c r="BN374" i="2"/>
  <c r="Z376" i="2"/>
  <c r="Y378" i="2"/>
  <c r="Z387" i="2"/>
  <c r="BN387" i="2"/>
  <c r="Y397" i="2"/>
  <c r="BP396" i="2"/>
  <c r="BN406" i="2"/>
  <c r="Y423" i="2"/>
  <c r="Z429" i="2"/>
  <c r="BN431" i="2"/>
  <c r="Z446" i="2"/>
  <c r="BN446" i="2"/>
  <c r="Z450" i="2"/>
  <c r="Y452" i="2"/>
  <c r="BN451" i="2"/>
  <c r="Y453" i="2"/>
  <c r="Y469" i="2"/>
  <c r="BN465" i="2"/>
  <c r="Y479" i="2"/>
  <c r="BP477" i="2"/>
  <c r="BN478" i="2"/>
  <c r="BN503" i="2"/>
  <c r="BP512" i="2"/>
  <c r="BP522" i="2"/>
  <c r="BP79" i="2"/>
  <c r="BP135" i="2"/>
  <c r="BP152" i="2"/>
  <c r="BN178" i="2"/>
  <c r="BN195" i="2"/>
  <c r="BN206" i="2"/>
  <c r="BP223" i="2"/>
  <c r="BN224" i="2"/>
  <c r="BN233" i="2"/>
  <c r="BN242" i="2"/>
  <c r="BN252" i="2"/>
  <c r="BN270" i="2"/>
  <c r="BN280" i="2"/>
  <c r="BN318" i="2"/>
  <c r="BN349" i="2"/>
  <c r="BP376" i="2"/>
  <c r="BN395" i="2"/>
  <c r="BN440" i="2"/>
  <c r="BN466" i="2"/>
  <c r="BN476" i="2"/>
  <c r="BN502" i="2"/>
  <c r="BN507" i="2"/>
  <c r="BN521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104" i="2"/>
  <c r="BP129" i="2"/>
  <c r="Z137" i="2"/>
  <c r="BN150" i="2"/>
  <c r="Y161" i="2"/>
  <c r="Z171" i="2"/>
  <c r="Z172" i="2" s="1"/>
  <c r="Z181" i="2"/>
  <c r="Z191" i="2"/>
  <c r="Z226" i="2"/>
  <c r="Z246" i="2"/>
  <c r="Y260" i="2"/>
  <c r="Z269" i="2"/>
  <c r="Z279" i="2"/>
  <c r="BN289" i="2"/>
  <c r="Z300" i="2"/>
  <c r="Z334" i="2"/>
  <c r="Y350" i="2"/>
  <c r="Z389" i="2"/>
  <c r="Z390" i="2" s="1"/>
  <c r="BN401" i="2"/>
  <c r="Y415" i="2"/>
  <c r="Y436" i="2"/>
  <c r="Z445" i="2"/>
  <c r="Z447" i="2" s="1"/>
  <c r="Y459" i="2"/>
  <c r="BN482" i="2"/>
  <c r="Z493" i="2"/>
  <c r="Z505" i="2"/>
  <c r="Z552" i="2"/>
  <c r="Z553" i="2" s="1"/>
  <c r="R565" i="2"/>
  <c r="BN534" i="2"/>
  <c r="BN546" i="2"/>
  <c r="S565" i="2"/>
  <c r="Z23" i="2"/>
  <c r="Z24" i="2" s="1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525" i="2" l="1"/>
  <c r="Z515" i="2"/>
  <c r="Z70" i="2"/>
  <c r="X558" i="2"/>
  <c r="Z422" i="2"/>
  <c r="Z329" i="2"/>
  <c r="Z51" i="2"/>
  <c r="Z397" i="2"/>
  <c r="Z409" i="2"/>
  <c r="Z145" i="2"/>
  <c r="Z295" i="2"/>
  <c r="Z345" i="2"/>
  <c r="Z213" i="2"/>
  <c r="Z548" i="2"/>
  <c r="Z357" i="2"/>
  <c r="Z75" i="2"/>
  <c r="Z377" i="2"/>
  <c r="Z243" i="2"/>
  <c r="Z132" i="2"/>
  <c r="Z32" i="2"/>
  <c r="Z509" i="2"/>
  <c r="Z336" i="2"/>
  <c r="Z249" i="2"/>
  <c r="Z95" i="2"/>
  <c r="Z63" i="2"/>
  <c r="Y556" i="2"/>
  <c r="Z156" i="2"/>
  <c r="Z479" i="2"/>
  <c r="Z121" i="2"/>
  <c r="Z441" i="2"/>
  <c r="Z495" i="2"/>
  <c r="Z139" i="2"/>
  <c r="Z468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<sst xmlns="http://schemas.openxmlformats.org/spreadsheetml/2006/main" count="4237" uniqueCount="896">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</sst>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895</v>
      </c>
      <c r="I5" s="649"/>
      <c r="J5" s="649"/>
      <c r="K5" s="649"/>
      <c r="L5" s="649"/>
      <c r="M5" s="649"/>
      <c r="N5" s="72"/>
      <c r="P5" s="27" t="s">
        <v>4</v>
      </c>
      <c r="Q5" s="651">
        <v>46251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877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Понедельник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0.375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30</v>
      </c>
      <c r="Y47" s="55">
        <f>IFERROR(IF(X47="",0,CEILING((X47/$H47),1)*$H47),"")</f>
        <v>32.400000000000006</v>
      </c>
      <c r="Z47" s="41">
        <f>IFERROR(IF(Y47=0,"",ROUNDUP(Y47/H47,0)*0.01898),"")</f>
        <v>5.6940000000000004E-2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31.138888888888889</v>
      </c>
      <c r="BN47" s="78">
        <f>IFERROR(Y47*I47/H47,"0")</f>
        <v>33.630000000000003</v>
      </c>
      <c r="BO47" s="78">
        <f>IFERROR(1/J47*(X47/H47),"0")</f>
        <v>4.3402777777777776E-2</v>
      </c>
      <c r="BP47" s="78">
        <f>IFERROR(1/J47*(Y47/H47),"0")</f>
        <v>4.6875000000000007E-2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2.7777777777777777</v>
      </c>
      <c r="Y51" s="43">
        <f>IFERROR(Y47/H47,"0")+IFERROR(Y48/H48,"0")+IFERROR(Y49/H49,"0")+IFERROR(Y50/H50,"0")</f>
        <v>3.0000000000000004</v>
      </c>
      <c r="Z51" s="43">
        <f>IFERROR(IF(Z47="",0,Z47),"0")+IFERROR(IF(Z48="",0,Z48),"0")+IFERROR(IF(Z49="",0,Z49),"0")+IFERROR(IF(Z50="",0,Z50),"0")</f>
        <v>5.6940000000000004E-2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30</v>
      </c>
      <c r="Y52" s="43">
        <f>IFERROR(SUM(Y47:Y50),"0")</f>
        <v>32.400000000000006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30</v>
      </c>
      <c r="Y57" s="55">
        <f t="shared" si="0"/>
        <v>32.400000000000006</v>
      </c>
      <c r="Z57" s="41">
        <f>IFERROR(IF(Y57=0,"",ROUNDUP(Y57/H57,0)*0.01898),"")</f>
        <v>5.6940000000000004E-2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31.138888888888889</v>
      </c>
      <c r="BN57" s="78">
        <f t="shared" si="2"/>
        <v>33.630000000000003</v>
      </c>
      <c r="BO57" s="78">
        <f t="shared" si="3"/>
        <v>4.3402777777777776E-2</v>
      </c>
      <c r="BP57" s="78">
        <f t="shared" si="4"/>
        <v>4.6875000000000007E-2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22.5</v>
      </c>
      <c r="Y62" s="55">
        <f t="shared" si="0"/>
        <v>22.5</v>
      </c>
      <c r="Z62" s="41">
        <f>IFERROR(IF(Y62=0,"",ROUNDUP(Y62/H62,0)*0.00902),"")</f>
        <v>4.5100000000000001E-2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23.450000000000003</v>
      </c>
      <c r="BN62" s="78">
        <f t="shared" si="2"/>
        <v>23.450000000000003</v>
      </c>
      <c r="BO62" s="78">
        <f t="shared" si="3"/>
        <v>3.787878787878788E-2</v>
      </c>
      <c r="BP62" s="78">
        <f t="shared" si="4"/>
        <v>3.787878787878788E-2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7.7777777777777777</v>
      </c>
      <c r="Y63" s="43">
        <f>IFERROR(Y55/H55,"0")+IFERROR(Y56/H56,"0")+IFERROR(Y57/H57,"0")+IFERROR(Y58/H58,"0")+IFERROR(Y59/H59,"0")+IFERROR(Y60/H60,"0")+IFERROR(Y61/H61,"0")+IFERROR(Y62/H62,"0")</f>
        <v>8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0.10204000000000001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52.5</v>
      </c>
      <c r="Y64" s="43">
        <f>IFERROR(SUM(Y55:Y62),"0")</f>
        <v>54.900000000000006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30</v>
      </c>
      <c r="Y66" s="55">
        <f>IFERROR(IF(X66="",0,CEILING((X66/$H66),1)*$H66),"")</f>
        <v>32.400000000000006</v>
      </c>
      <c r="Z66" s="41">
        <f>IFERROR(IF(Y66=0,"",ROUNDUP(Y66/H66,0)*0.01898),"")</f>
        <v>5.6940000000000004E-2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31.138888888888889</v>
      </c>
      <c r="BN66" s="78">
        <f>IFERROR(Y66*I66/H66,"0")</f>
        <v>33.630000000000003</v>
      </c>
      <c r="BO66" s="78">
        <f>IFERROR(1/J66*(X66/H66),"0")</f>
        <v>4.3402777777777776E-2</v>
      </c>
      <c r="BP66" s="78">
        <f>IFERROR(1/J66*(Y66/H66),"0")</f>
        <v>4.6875000000000007E-2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2.7777777777777777</v>
      </c>
      <c r="Y70" s="43">
        <f>IFERROR(Y66/H66,"0")+IFERROR(Y67/H67,"0")+IFERROR(Y68/H68,"0")+IFERROR(Y69/H69,"0")</f>
        <v>3.0000000000000004</v>
      </c>
      <c r="Z70" s="43">
        <f>IFERROR(IF(Z66="",0,Z66),"0")+IFERROR(IF(Z67="",0,Z67),"0")+IFERROR(IF(Z68="",0,Z68),"0")+IFERROR(IF(Z69="",0,Z69),"0")</f>
        <v>5.6940000000000004E-2</v>
      </c>
      <c r="AA70" s="67"/>
      <c r="AB70" s="67"/>
      <c r="AC70" s="67"/>
    </row>
    <row r="71" spans="1:68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30</v>
      </c>
      <c r="Y71" s="43">
        <f>IFERROR(SUM(Y66:Y69),"0")</f>
        <v>32.400000000000006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20</v>
      </c>
      <c r="Y84" s="55">
        <f>IFERROR(IF(X84="",0,CEILING((X84/$H84),1)*$H84),"")</f>
        <v>21.6</v>
      </c>
      <c r="Z84" s="41">
        <f>IFERROR(IF(Y84=0,"",ROUNDUP(Y84/H84,0)*0.01898),"")</f>
        <v>3.7960000000000001E-2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20.75925925925926</v>
      </c>
      <c r="BN84" s="78">
        <f>IFERROR(Y84*I84/H84,"0")</f>
        <v>22.42</v>
      </c>
      <c r="BO84" s="78">
        <f>IFERROR(1/J84*(X84/H84),"0")</f>
        <v>2.8935185185185182E-2</v>
      </c>
      <c r="BP84" s="78">
        <f>IFERROR(1/J84*(Y84/H84),"0")</f>
        <v>3.125E-2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18</v>
      </c>
      <c r="Y87" s="55">
        <f>IFERROR(IF(X87="",0,CEILING((X87/$H87),1)*$H87),"")</f>
        <v>18</v>
      </c>
      <c r="Z87" s="41">
        <f>IFERROR(IF(Y87=0,"",ROUNDUP(Y87/H87,0)*0.00902),"")</f>
        <v>3.6080000000000001E-2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18.760000000000002</v>
      </c>
      <c r="BN87" s="78">
        <f>IFERROR(Y87*I87/H87,"0")</f>
        <v>18.760000000000002</v>
      </c>
      <c r="BO87" s="78">
        <f>IFERROR(1/J87*(X87/H87),"0")</f>
        <v>3.0303030303030304E-2</v>
      </c>
      <c r="BP87" s="78">
        <f>IFERROR(1/J87*(Y87/H87),"0")</f>
        <v>3.0303030303030304E-2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5.8518518518518512</v>
      </c>
      <c r="Y88" s="43">
        <f>IFERROR(Y84/H84,"0")+IFERROR(Y85/H85,"0")+IFERROR(Y86/H86,"0")+IFERROR(Y87/H87,"0")</f>
        <v>6</v>
      </c>
      <c r="Z88" s="43">
        <f>IFERROR(IF(Z84="",0,Z84),"0")+IFERROR(IF(Z85="",0,Z85),"0")+IFERROR(IF(Z86="",0,Z86),"0")+IFERROR(IF(Z87="",0,Z87),"0")</f>
        <v>7.4039999999999995E-2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38</v>
      </c>
      <c r="Y89" s="43">
        <f>IFERROR(SUM(Y84:Y87),"0")</f>
        <v>39.6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18</v>
      </c>
      <c r="Y93" s="55">
        <f>IFERROR(IF(X93="",0,CEILING((X93/$H93),1)*$H93),"")</f>
        <v>18.900000000000002</v>
      </c>
      <c r="Z93" s="41">
        <f>IFERROR(IF(Y93=0,"",ROUNDUP(Y93/H93,0)*0.00651),"")</f>
        <v>4.5569999999999999E-2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19.679999999999996</v>
      </c>
      <c r="BN93" s="78">
        <f>IFERROR(Y93*I93/H93,"0")</f>
        <v>20.664000000000001</v>
      </c>
      <c r="BO93" s="78">
        <f>IFERROR(1/J93*(X93/H93),"0")</f>
        <v>3.6630036630036632E-2</v>
      </c>
      <c r="BP93" s="78">
        <f>IFERROR(1/J93*(Y93/H93),"0")</f>
        <v>3.8461538461538464E-2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6.6666666666666661</v>
      </c>
      <c r="Y95" s="43">
        <f>IFERROR(Y91/H91,"0")+IFERROR(Y92/H92,"0")+IFERROR(Y93/H93,"0")+IFERROR(Y94/H94,"0")</f>
        <v>7</v>
      </c>
      <c r="Z95" s="43">
        <f>IFERROR(IF(Z91="",0,Z91),"0")+IFERROR(IF(Z92="",0,Z92),"0")+IFERROR(IF(Z93="",0,Z93),"0")+IFERROR(IF(Z94="",0,Z94),"0")</f>
        <v>4.5569999999999999E-2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18</v>
      </c>
      <c r="Y96" s="43">
        <f>IFERROR(SUM(Y91:Y94),"0")</f>
        <v>18.900000000000002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20</v>
      </c>
      <c r="Y99" s="55">
        <f t="shared" ref="Y99:Y105" si="5">IFERROR(IF(X99="",0,CEILING((X99/$H99),1)*$H99),"")</f>
        <v>21.6</v>
      </c>
      <c r="Z99" s="41">
        <f>IFERROR(IF(Y99=0,"",ROUNDUP(Y99/H99,0)*0.01898),"")</f>
        <v>3.7960000000000001E-2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20.75925925925926</v>
      </c>
      <c r="BN99" s="78">
        <f t="shared" ref="BN99:BN105" si="7">IFERROR(Y99*I99/H99,"0")</f>
        <v>22.42</v>
      </c>
      <c r="BO99" s="78">
        <f t="shared" ref="BO99:BO105" si="8">IFERROR(1/J99*(X99/H99),"0")</f>
        <v>2.8935185185185182E-2</v>
      </c>
      <c r="BP99" s="78">
        <f t="shared" ref="BP99:BP105" si="9">IFERROR(1/J99*(Y99/H99),"0")</f>
        <v>3.125E-2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6.75</v>
      </c>
      <c r="Y104" s="55">
        <f t="shared" si="5"/>
        <v>9</v>
      </c>
      <c r="Z104" s="41">
        <f>IFERROR(IF(Y104=0,"",ROUNDUP(Y104/H104,0)*0.00902),"")</f>
        <v>1.804E-2</v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7.0350000000000001</v>
      </c>
      <c r="BN104" s="78">
        <f t="shared" si="7"/>
        <v>9.3800000000000008</v>
      </c>
      <c r="BO104" s="78">
        <f t="shared" si="8"/>
        <v>1.1363636363636364E-2</v>
      </c>
      <c r="BP104" s="78">
        <f t="shared" si="9"/>
        <v>1.5151515151515152E-2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3.3518518518518516</v>
      </c>
      <c r="Y106" s="43">
        <f>IFERROR(Y99/H99,"0")+IFERROR(Y100/H100,"0")+IFERROR(Y101/H101,"0")+IFERROR(Y102/H102,"0")+IFERROR(Y103/H103,"0")+IFERROR(Y104/H104,"0")+IFERROR(Y105/H105,"0")</f>
        <v>4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5.6000000000000001E-2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26.75</v>
      </c>
      <c r="Y107" s="43">
        <f>IFERROR(SUM(Y99:Y105),"0")</f>
        <v>30.6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30</v>
      </c>
      <c r="Y117" s="55">
        <f>IFERROR(IF(X117="",0,CEILING((X117/$H117),1)*$H117),"")</f>
        <v>32.4</v>
      </c>
      <c r="Z117" s="41">
        <f>IFERROR(IF(Y117=0,"",ROUNDUP(Y117/H117,0)*0.01898),"")</f>
        <v>7.5920000000000001E-2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31.807407407407407</v>
      </c>
      <c r="BN117" s="78">
        <f>IFERROR(Y117*I117/H117,"0")</f>
        <v>34.351999999999997</v>
      </c>
      <c r="BO117" s="78">
        <f>IFERROR(1/J117*(X117/H117),"0")</f>
        <v>5.7870370370370371E-2</v>
      </c>
      <c r="BP117" s="78">
        <f>IFERROR(1/J117*(Y117/H117),"0")</f>
        <v>6.25E-2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27</v>
      </c>
      <c r="Y119" s="55">
        <f>IFERROR(IF(X119="",0,CEILING((X119/$H119),1)*$H119),"")</f>
        <v>27</v>
      </c>
      <c r="Z119" s="41">
        <f>IFERROR(IF(Y119=0,"",ROUNDUP(Y119/H119,0)*0.00651),"")</f>
        <v>6.5100000000000005E-2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29.519999999999996</v>
      </c>
      <c r="BN119" s="78">
        <f>IFERROR(Y119*I119/H119,"0")</f>
        <v>29.519999999999996</v>
      </c>
      <c r="BO119" s="78">
        <f>IFERROR(1/J119*(X119/H119),"0")</f>
        <v>5.4945054945054951E-2</v>
      </c>
      <c r="BP119" s="78">
        <f>IFERROR(1/J119*(Y119/H119),"0")</f>
        <v>5.4945054945054951E-2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13.703703703703704</v>
      </c>
      <c r="Y121" s="43">
        <f>IFERROR(Y117/H117,"0")+IFERROR(Y118/H118,"0")+IFERROR(Y119/H119,"0")+IFERROR(Y120/H120,"0")</f>
        <v>14</v>
      </c>
      <c r="Z121" s="43">
        <f>IFERROR(IF(Z117="",0,Z117),"0")+IFERROR(IF(Z118="",0,Z118),"0")+IFERROR(IF(Z119="",0,Z119),"0")+IFERROR(IF(Z120="",0,Z120),"0")</f>
        <v>0.14102000000000001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57</v>
      </c>
      <c r="Y122" s="43">
        <f>IFERROR(SUM(Y117:Y120),"0")</f>
        <v>59.4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30</v>
      </c>
      <c r="Y268" s="55">
        <f t="shared" si="33"/>
        <v>32.400000000000006</v>
      </c>
      <c r="Z268" s="41">
        <f>IFERROR(IF(Y268=0,"",ROUNDUP(Y268/H268,0)*0.00902),"")</f>
        <v>5.4120000000000001E-2</v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31.05555555555555</v>
      </c>
      <c r="BN268" s="78">
        <f t="shared" si="35"/>
        <v>33.54</v>
      </c>
      <c r="BO268" s="78">
        <f t="shared" si="36"/>
        <v>4.208754208754209E-2</v>
      </c>
      <c r="BP268" s="78">
        <f t="shared" si="37"/>
        <v>4.5454545454545463E-2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20</v>
      </c>
      <c r="Y269" s="55">
        <f t="shared" si="33"/>
        <v>21.6</v>
      </c>
      <c r="Z269" s="41">
        <f>IFERROR(IF(Y269=0,"",ROUNDUP(Y269/H269,0)*0.00902),"")</f>
        <v>3.6080000000000001E-2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20.703703703703702</v>
      </c>
      <c r="BN269" s="78">
        <f t="shared" si="35"/>
        <v>22.36</v>
      </c>
      <c r="BO269" s="78">
        <f t="shared" si="36"/>
        <v>2.8058361391694722E-2</v>
      </c>
      <c r="BP269" s="78">
        <f t="shared" si="37"/>
        <v>3.0303030303030304E-2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40</v>
      </c>
      <c r="Y270" s="55">
        <f t="shared" si="33"/>
        <v>43.2</v>
      </c>
      <c r="Z270" s="41">
        <f>IFERROR(IF(Y270=0,"",ROUNDUP(Y270/H270,0)*0.00902),"")</f>
        <v>7.2160000000000002E-2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41.407407407407405</v>
      </c>
      <c r="BN270" s="78">
        <f t="shared" si="35"/>
        <v>44.72</v>
      </c>
      <c r="BO270" s="78">
        <f t="shared" si="36"/>
        <v>5.6116722783389444E-2</v>
      </c>
      <c r="BP270" s="78">
        <f t="shared" si="37"/>
        <v>6.0606060606060608E-2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16.666666666666664</v>
      </c>
      <c r="Y275" s="43">
        <f>IFERROR(Y267/H267,"0")+IFERROR(Y268/H268,"0")+IFERROR(Y269/H269,"0")+IFERROR(Y270/H270,"0")+IFERROR(Y271/H271,"0")+IFERROR(Y272/H272,"0")+IFERROR(Y273/H273,"0")+IFERROR(Y274/H274,"0")</f>
        <v>18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0.16236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90</v>
      </c>
      <c r="Y276" s="43">
        <f>IFERROR(SUM(Y267:Y274),"0")</f>
        <v>97.200000000000017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8</v>
      </c>
      <c r="Y281" s="55">
        <f t="shared" si="38"/>
        <v>9.6</v>
      </c>
      <c r="Z281" s="41">
        <f>IFERROR(IF(Y281=0,"",ROUNDUP(Y281/H281,0)*0.00651),"")</f>
        <v>2.6040000000000001E-2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8.9</v>
      </c>
      <c r="BN281" s="78">
        <f t="shared" si="40"/>
        <v>10.68</v>
      </c>
      <c r="BO281" s="78">
        <f t="shared" si="41"/>
        <v>1.8315018315018316E-2</v>
      </c>
      <c r="BP281" s="78">
        <f t="shared" si="42"/>
        <v>2.197802197802198E-2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16</v>
      </c>
      <c r="Y284" s="55">
        <f t="shared" si="38"/>
        <v>16.8</v>
      </c>
      <c r="Z284" s="41">
        <f>IFERROR(IF(Y284=0,"",ROUNDUP(Y284/H284,0)*0.00651),"")</f>
        <v>4.5569999999999999E-2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17.680000000000003</v>
      </c>
      <c r="BN284" s="78">
        <f t="shared" si="40"/>
        <v>18.564000000000004</v>
      </c>
      <c r="BO284" s="78">
        <f t="shared" si="41"/>
        <v>3.6630036630036632E-2</v>
      </c>
      <c r="BP284" s="78">
        <f t="shared" si="42"/>
        <v>3.8461538461538471E-2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6</v>
      </c>
      <c r="Y286" s="55">
        <f t="shared" si="38"/>
        <v>7.1999999999999993</v>
      </c>
      <c r="Z286" s="41">
        <f>IFERROR(IF(Y286=0,"",ROUNDUP(Y286/H286,0)*0.00651),"")</f>
        <v>1.9529999999999999E-2</v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6.6300000000000008</v>
      </c>
      <c r="BN286" s="78">
        <f t="shared" si="40"/>
        <v>7.9560000000000004</v>
      </c>
      <c r="BO286" s="78">
        <f t="shared" si="41"/>
        <v>1.3736263736263738E-2</v>
      </c>
      <c r="BP286" s="78">
        <f t="shared" si="42"/>
        <v>1.6483516483516484E-2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12.5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14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9.1139999999999999E-2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30</v>
      </c>
      <c r="Y291" s="43">
        <f>IFERROR(SUM(Y278:Y289),"0")</f>
        <v>33.599999999999994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16</v>
      </c>
      <c r="Y334" s="55">
        <f>IFERROR(IF(X334="",0,CEILING((X334/$H334),1)*$H334),"")</f>
        <v>16.8</v>
      </c>
      <c r="Z334" s="41">
        <f>IFERROR(IF(Y334=0,"",ROUNDUP(Y334/H334,0)*0.00651),"")</f>
        <v>4.5569999999999999E-2</v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17.680000000000003</v>
      </c>
      <c r="BN334" s="78">
        <f>IFERROR(Y334*I334/H334,"0")</f>
        <v>18.564000000000004</v>
      </c>
      <c r="BO334" s="78">
        <f>IFERROR(1/J334*(X334/H334),"0")</f>
        <v>3.6630036630036632E-2</v>
      </c>
      <c r="BP334" s="78">
        <f>IFERROR(1/J334*(Y334/H334),"0")</f>
        <v>3.8461538461538471E-2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6</v>
      </c>
      <c r="Y335" s="55">
        <f>IFERROR(IF(X335="",0,CEILING((X335/$H335),1)*$H335),"")</f>
        <v>7.1999999999999993</v>
      </c>
      <c r="Z335" s="41">
        <f>IFERROR(IF(Y335=0,"",ROUNDUP(Y335/H335,0)*0.00651),"")</f>
        <v>1.9529999999999999E-2</v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6.45</v>
      </c>
      <c r="BN335" s="78">
        <f>IFERROR(Y335*I335/H335,"0")</f>
        <v>7.7399999999999993</v>
      </c>
      <c r="BO335" s="78">
        <f>IFERROR(1/J335*(X335/H335),"0")</f>
        <v>1.3736263736263738E-2</v>
      </c>
      <c r="BP335" s="78">
        <f>IFERROR(1/J335*(Y335/H335),"0")</f>
        <v>1.6483516483516484E-2</v>
      </c>
    </row>
    <row r="336" spans="1:68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9.1666666666666679</v>
      </c>
      <c r="Y336" s="43">
        <f>IFERROR(Y333/H333,"0")+IFERROR(Y334/H334,"0")+IFERROR(Y335/H335,"0")</f>
        <v>10</v>
      </c>
      <c r="Z336" s="43">
        <f>IFERROR(IF(Z333="",0,Z333),"0")+IFERROR(IF(Z334="",0,Z334),"0")+IFERROR(IF(Z335="",0,Z335),"0")</f>
        <v>6.5099999999999991E-2</v>
      </c>
      <c r="AA336" s="67"/>
      <c r="AB336" s="67"/>
      <c r="AC336" s="67"/>
    </row>
    <row r="337" spans="1:68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22</v>
      </c>
      <c r="Y337" s="43">
        <f>IFERROR(SUM(Y333:Y335),"0")</f>
        <v>24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10.5</v>
      </c>
      <c r="Y373" s="55">
        <f t="shared" si="53"/>
        <v>10.5</v>
      </c>
      <c r="Z373" s="41">
        <f>IFERROR(IF(Y373=0,"",ROUNDUP(Y373/H373,0)*0.00502),"")</f>
        <v>2.5100000000000001E-2</v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11.149999999999999</v>
      </c>
      <c r="BN373" s="78">
        <f t="shared" si="55"/>
        <v>11.149999999999999</v>
      </c>
      <c r="BO373" s="78">
        <f t="shared" si="56"/>
        <v>2.1367521367521368E-2</v>
      </c>
      <c r="BP373" s="78">
        <f t="shared" si="57"/>
        <v>2.1367521367521368E-2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5</v>
      </c>
      <c r="Y377" s="43">
        <f>IFERROR(Y370/H370,"0")+IFERROR(Y371/H371,"0")+IFERROR(Y372/H372,"0")+IFERROR(Y373/H373,"0")+IFERROR(Y374/H374,"0")+IFERROR(Y375/H375,"0")+IFERROR(Y376/H376,"0")</f>
        <v>5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2.5100000000000001E-2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10.5</v>
      </c>
      <c r="Y378" s="43">
        <f>IFERROR(SUM(Y370:Y376),"0")</f>
        <v>10.5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30</v>
      </c>
      <c r="Y388" s="55">
        <f>IFERROR(IF(X388="",0,CEILING((X388/$H388),1)*$H388),"")</f>
        <v>31.2</v>
      </c>
      <c r="Z388" s="41">
        <f>IFERROR(IF(Y388=0,"",ROUNDUP(Y388/H388,0)*0.01898),"")</f>
        <v>7.5920000000000001E-2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31.900000000000002</v>
      </c>
      <c r="BN388" s="78">
        <f>IFERROR(Y388*I388/H388,"0")</f>
        <v>33.176000000000002</v>
      </c>
      <c r="BO388" s="78">
        <f>IFERROR(1/J388*(X388/H388),"0")</f>
        <v>6.0096153846153848E-2</v>
      </c>
      <c r="BP388" s="78">
        <f>IFERROR(1/J388*(Y388/H388),"0")</f>
        <v>6.25E-2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3.8461538461538463</v>
      </c>
      <c r="Y390" s="43">
        <f>IFERROR(Y387/H387,"0")+IFERROR(Y388/H388,"0")+IFERROR(Y389/H389,"0")</f>
        <v>4</v>
      </c>
      <c r="Z390" s="43">
        <f>IFERROR(IF(Z387="",0,Z387),"0")+IFERROR(IF(Z388="",0,Z388),"0")+IFERROR(IF(Z389="",0,Z389),"0")</f>
        <v>7.5920000000000001E-2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30</v>
      </c>
      <c r="Y391" s="43">
        <f>IFERROR(SUM(Y387:Y389),"0")</f>
        <v>31.2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28</v>
      </c>
      <c r="Y420" s="55">
        <f>IFERROR(IF(X420="",0,CEILING((X420/$H420),1)*$H420),"")</f>
        <v>29.400000000000002</v>
      </c>
      <c r="Z420" s="41">
        <f>IFERROR(IF(Y420=0,"",ROUNDUP(Y420/H420,0)*0.00651),"")</f>
        <v>9.1139999999999999E-2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31.359999999999996</v>
      </c>
      <c r="BN420" s="78">
        <f>IFERROR(Y420*I420/H420,"0")</f>
        <v>32.927999999999997</v>
      </c>
      <c r="BO420" s="78">
        <f>IFERROR(1/J420*(X420/H420),"0")</f>
        <v>7.3260073260073263E-2</v>
      </c>
      <c r="BP420" s="78">
        <f>IFERROR(1/J420*(Y420/H420),"0")</f>
        <v>7.6923076923076927E-2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24.5</v>
      </c>
      <c r="Y421" s="55">
        <f>IFERROR(IF(X421="",0,CEILING((X421/$H421),1)*$H421),"")</f>
        <v>25.200000000000003</v>
      </c>
      <c r="Z421" s="41">
        <f>IFERROR(IF(Y421=0,"",ROUNDUP(Y421/H421,0)*0.00651),"")</f>
        <v>7.8119999999999995E-2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27.299999999999997</v>
      </c>
      <c r="BN421" s="78">
        <f>IFERROR(Y421*I421/H421,"0")</f>
        <v>28.080000000000002</v>
      </c>
      <c r="BO421" s="78">
        <f>IFERROR(1/J421*(X421/H421),"0")</f>
        <v>6.4102564102564111E-2</v>
      </c>
      <c r="BP421" s="78">
        <f>IFERROR(1/J421*(Y421/H421),"0")</f>
        <v>6.5934065934065936E-2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25</v>
      </c>
      <c r="Y422" s="43">
        <f>IFERROR(Y419/H419,"0")+IFERROR(Y420/H420,"0")+IFERROR(Y421/H421,"0")</f>
        <v>26</v>
      </c>
      <c r="Z422" s="43">
        <f>IFERROR(IF(Z419="",0,Z419),"0")+IFERROR(IF(Z420="",0,Z420),"0")+IFERROR(IF(Z421="",0,Z421),"0")</f>
        <v>0.16925999999999999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52.5</v>
      </c>
      <c r="Y423" s="43">
        <f>IFERROR(SUM(Y419:Y421),"0")</f>
        <v>54.600000000000009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200</v>
      </c>
      <c r="Y428" s="55">
        <f t="shared" si="58"/>
        <v>210</v>
      </c>
      <c r="Z428" s="41">
        <f>IFERROR(IF(Y428=0,"",ROUNDUP(Y428/H428,0)*0.02175),"")</f>
        <v>0.30449999999999999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206.26666666666668</v>
      </c>
      <c r="BN428" s="78">
        <f t="shared" si="60"/>
        <v>216.58</v>
      </c>
      <c r="BO428" s="78">
        <f t="shared" si="61"/>
        <v>0.27777777777777779</v>
      </c>
      <c r="BP428" s="78">
        <f t="shared" si="62"/>
        <v>0.29166666666666663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200</v>
      </c>
      <c r="Y429" s="55">
        <f t="shared" si="58"/>
        <v>210</v>
      </c>
      <c r="Z429" s="41">
        <f>IFERROR(IF(Y429=0,"",ROUNDUP(Y429/H429,0)*0.02175),"")</f>
        <v>0.30449999999999999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206.26666666666668</v>
      </c>
      <c r="BN429" s="78">
        <f t="shared" si="60"/>
        <v>216.58</v>
      </c>
      <c r="BO429" s="78">
        <f t="shared" si="61"/>
        <v>0.27777777777777779</v>
      </c>
      <c r="BP429" s="78">
        <f t="shared" si="62"/>
        <v>0.29166666666666663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170</v>
      </c>
      <c r="Y430" s="55">
        <f t="shared" si="58"/>
        <v>180</v>
      </c>
      <c r="Z430" s="41">
        <f>IFERROR(IF(Y430=0,"",ROUNDUP(Y430/H430,0)*0.02175),"")</f>
        <v>0.26100000000000001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175.32666666666668</v>
      </c>
      <c r="BN430" s="78">
        <f t="shared" si="60"/>
        <v>185.64</v>
      </c>
      <c r="BO430" s="78">
        <f t="shared" si="61"/>
        <v>0.2361111111111111</v>
      </c>
      <c r="BP430" s="78">
        <f t="shared" si="62"/>
        <v>0.25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38</v>
      </c>
      <c r="Y435" s="43">
        <f>IFERROR(Y427/H427,"0")+IFERROR(Y428/H428,"0")+IFERROR(Y429/H429,"0")+IFERROR(Y430/H430,"0")+IFERROR(Y431/H431,"0")+IFERROR(Y432/H432,"0")+IFERROR(Y433/H433,"0")+IFERROR(Y434/H434,"0")</f>
        <v>40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0.87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570</v>
      </c>
      <c r="Y436" s="43">
        <f>IFERROR(SUM(Y427:Y434),"0")</f>
        <v>600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100</v>
      </c>
      <c r="Y438" s="55">
        <f>IFERROR(IF(X438="",0,CEILING((X438/$H438),1)*$H438),"")</f>
        <v>105</v>
      </c>
      <c r="Z438" s="41">
        <f>IFERROR(IF(Y438=0,"",ROUNDUP(Y438/H438,0)*0.02175),"")</f>
        <v>0.15225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103.13333333333334</v>
      </c>
      <c r="BN438" s="78">
        <f>IFERROR(Y438*I438/H438,"0")</f>
        <v>108.29</v>
      </c>
      <c r="BO438" s="78">
        <f>IFERROR(1/J438*(X438/H438),"0")</f>
        <v>0.1388888888888889</v>
      </c>
      <c r="BP438" s="78">
        <f>IFERROR(1/J438*(Y438/H438),"0")</f>
        <v>0.14583333333333331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6.666666666666667</v>
      </c>
      <c r="Y441" s="43">
        <f>IFERROR(Y438/H438,"0")+IFERROR(Y439/H439,"0")+IFERROR(Y440/H440,"0")</f>
        <v>7</v>
      </c>
      <c r="Z441" s="43">
        <f>IFERROR(IF(Z438="",0,Z438),"0")+IFERROR(IF(Z439="",0,Z439),"0")+IFERROR(IF(Z440="",0,Z440),"0")</f>
        <v>0.15225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100</v>
      </c>
      <c r="Y442" s="43">
        <f>IFERROR(SUM(Y438:Y440),"0")</f>
        <v>105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100</v>
      </c>
      <c r="Y445" s="55">
        <f>IFERROR(IF(X445="",0,CEILING((X445/$H445),1)*$H445),"")</f>
        <v>108</v>
      </c>
      <c r="Z445" s="41">
        <f>IFERROR(IF(Y445=0,"",ROUNDUP(Y445/H445,0)*0.01898),"")</f>
        <v>0.22776000000000002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105.48888888888888</v>
      </c>
      <c r="BN445" s="78">
        <f>IFERROR(Y445*I445/H445,"0")</f>
        <v>113.92799999999998</v>
      </c>
      <c r="BO445" s="78">
        <f>IFERROR(1/J445*(X445/H445),"0")</f>
        <v>0.1736111111111111</v>
      </c>
      <c r="BP445" s="78">
        <f>IFERROR(1/J445*(Y445/H445),"0")</f>
        <v>0.1875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11.111111111111111</v>
      </c>
      <c r="Y447" s="43">
        <f>IFERROR(Y444/H444,"0")+IFERROR(Y445/H445,"0")+IFERROR(Y446/H446,"0")</f>
        <v>12</v>
      </c>
      <c r="Z447" s="43">
        <f>IFERROR(IF(Z444="",0,Z444),"0")+IFERROR(IF(Z445="",0,Z445),"0")+IFERROR(IF(Z446="",0,Z446),"0")</f>
        <v>0.22776000000000002</v>
      </c>
      <c r="AA447" s="67"/>
      <c r="AB447" s="67"/>
      <c r="AC447" s="67"/>
    </row>
    <row r="448" spans="1:68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100</v>
      </c>
      <c r="Y448" s="43">
        <f>IFERROR(SUM(Y444:Y446),"0")</f>
        <v>108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7</v>
      </c>
      <c r="Y478" s="55">
        <f t="shared" si="63"/>
        <v>8.4</v>
      </c>
      <c r="Z478" s="41">
        <f>IFERROR(IF(Y478=0,"",ROUNDUP(Y478/H478,0)*0.00502),"")</f>
        <v>2.0080000000000001E-2</v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7.4333333333333327</v>
      </c>
      <c r="BN478" s="78">
        <f t="shared" si="65"/>
        <v>8.92</v>
      </c>
      <c r="BO478" s="78">
        <f t="shared" si="66"/>
        <v>1.4245014245014245E-2</v>
      </c>
      <c r="BP478" s="78">
        <f t="shared" si="67"/>
        <v>1.7094017094017096E-2</v>
      </c>
    </row>
    <row r="479" spans="1:68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3.333333333333333</v>
      </c>
      <c r="Y479" s="43">
        <f>IFERROR(Y473/H473,"0")+IFERROR(Y474/H474,"0")+IFERROR(Y475/H475,"0")+IFERROR(Y476/H476,"0")+IFERROR(Y477/H477,"0")+IFERROR(Y478/H478,"0")</f>
        <v>4</v>
      </c>
      <c r="Z479" s="43">
        <f>IFERROR(IF(Z473="",0,Z473),"0")+IFERROR(IF(Z474="",0,Z474),"0")+IFERROR(IF(Z475="",0,Z475),"0")+IFERROR(IF(Z476="",0,Z476),"0")+IFERROR(IF(Z477="",0,Z477),"0")+IFERROR(IF(Z478="",0,Z478),"0")</f>
        <v>2.0080000000000001E-2</v>
      </c>
      <c r="AA479" s="67"/>
      <c r="AB479" s="67"/>
      <c r="AC479" s="67"/>
    </row>
    <row r="480" spans="1:68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7</v>
      </c>
      <c r="Y480" s="43">
        <f>IFERROR(SUM(Y473:Y478),"0")</f>
        <v>8.4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10.5</v>
      </c>
      <c r="Y494" s="55">
        <f>IFERROR(IF(X494="",0,CEILING((X494/$H494),1)*$H494),"")</f>
        <v>10.5</v>
      </c>
      <c r="Z494" s="41">
        <f>IFERROR(IF(Y494=0,"",ROUNDUP(Y494/H494,0)*0.00502),"")</f>
        <v>2.5100000000000001E-2</v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11.149999999999999</v>
      </c>
      <c r="BN494" s="78">
        <f>IFERROR(Y494*I494/H494,"0")</f>
        <v>11.149999999999999</v>
      </c>
      <c r="BO494" s="78">
        <f>IFERROR(1/J494*(X494/H494),"0")</f>
        <v>2.1367521367521368E-2</v>
      </c>
      <c r="BP494" s="78">
        <f>IFERROR(1/J494*(Y494/H494),"0")</f>
        <v>2.1367521367521368E-2</v>
      </c>
    </row>
    <row r="495" spans="1:68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5</v>
      </c>
      <c r="Y495" s="43">
        <f>IFERROR(Y492/H492,"0")+IFERROR(Y493/H493,"0")+IFERROR(Y494/H494,"0")</f>
        <v>5</v>
      </c>
      <c r="Z495" s="43">
        <f>IFERROR(IF(Z492="",0,Z492),"0")+IFERROR(IF(Z493="",0,Z493),"0")+IFERROR(IF(Z494="",0,Z494),"0")</f>
        <v>2.5100000000000001E-2</v>
      </c>
      <c r="AA495" s="67"/>
      <c r="AB495" s="67"/>
      <c r="AC495" s="67"/>
    </row>
    <row r="496" spans="1:68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10.5</v>
      </c>
      <c r="Y496" s="43">
        <f>IFERROR(SUM(Y492:Y494),"0")</f>
        <v>10.5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50</v>
      </c>
      <c r="Y503" s="55">
        <f t="shared" si="68"/>
        <v>52.800000000000004</v>
      </c>
      <c r="Z503" s="41">
        <f t="shared" si="69"/>
        <v>0.1196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53.314393939393938</v>
      </c>
      <c r="BN503" s="78">
        <f t="shared" si="71"/>
        <v>56.3</v>
      </c>
      <c r="BO503" s="78">
        <f t="shared" si="72"/>
        <v>9.1054778554778545E-2</v>
      </c>
      <c r="BP503" s="78">
        <f t="shared" si="73"/>
        <v>9.6153846153846159E-2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50</v>
      </c>
      <c r="Y505" s="55">
        <f t="shared" si="68"/>
        <v>52.800000000000004</v>
      </c>
      <c r="Z505" s="41">
        <f t="shared" si="69"/>
        <v>0.1196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53.314393939393938</v>
      </c>
      <c r="BN505" s="78">
        <f t="shared" si="71"/>
        <v>56.3</v>
      </c>
      <c r="BO505" s="78">
        <f t="shared" si="72"/>
        <v>9.1054778554778545E-2</v>
      </c>
      <c r="BP505" s="78">
        <f t="shared" si="73"/>
        <v>9.6153846153846159E-2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18.939393939393938</v>
      </c>
      <c r="Y509" s="43">
        <f>IFERROR(Y500/H500,"0")+IFERROR(Y501/H501,"0")+IFERROR(Y502/H502,"0")+IFERROR(Y503/H503,"0")+IFERROR(Y504/H504,"0")+IFERROR(Y505/H505,"0")+IFERROR(Y506/H506,"0")+IFERROR(Y507/H507,"0")+IFERROR(Y508/H508,"0")</f>
        <v>20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0.2392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100</v>
      </c>
      <c r="Y510" s="43">
        <f>IFERROR(SUM(Y500:Y508),"0")</f>
        <v>105.60000000000001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40</v>
      </c>
      <c r="Y512" s="55">
        <f>IFERROR(IF(X512="",0,CEILING((X512/$H512),1)*$H512),"")</f>
        <v>42.24</v>
      </c>
      <c r="Z512" s="41">
        <f>IFERROR(IF(Y512=0,"",ROUNDUP(Y512/H512,0)*0.01196),"")</f>
        <v>9.5680000000000001E-2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42.651515151515149</v>
      </c>
      <c r="BN512" s="78">
        <f>IFERROR(Y512*I512/H512,"0")</f>
        <v>45.04</v>
      </c>
      <c r="BO512" s="78">
        <f>IFERROR(1/J512*(X512/H512),"0")</f>
        <v>7.2843822843822847E-2</v>
      </c>
      <c r="BP512" s="78">
        <f>IFERROR(1/J512*(Y512/H512),"0")</f>
        <v>7.6923076923076927E-2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7.5757575757575752</v>
      </c>
      <c r="Y515" s="43">
        <f>IFERROR(Y512/H512,"0")+IFERROR(Y513/H513,"0")+IFERROR(Y514/H514,"0")</f>
        <v>8</v>
      </c>
      <c r="Z515" s="43">
        <f>IFERROR(IF(Z512="",0,Z512),"0")+IFERROR(IF(Z513="",0,Z513),"0")+IFERROR(IF(Z514="",0,Z514),"0")</f>
        <v>9.5680000000000001E-2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40</v>
      </c>
      <c r="Y516" s="43">
        <f>IFERROR(SUM(Y512:Y514),"0")</f>
        <v>42.24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350</v>
      </c>
      <c r="Y542" s="55">
        <f>IFERROR(IF(X542="",0,CEILING((X542/$H542),1)*$H542),"")</f>
        <v>351</v>
      </c>
      <c r="Z542" s="41">
        <f>IFERROR(IF(Y542=0,"",ROUNDUP(Y542/H542,0)*0.01898),"")</f>
        <v>0.74021999999999999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369.21111111111111</v>
      </c>
      <c r="BN542" s="78">
        <f>IFERROR(Y542*I542/H542,"0")</f>
        <v>370.26599999999996</v>
      </c>
      <c r="BO542" s="78">
        <f>IFERROR(1/J542*(X542/H542),"0")</f>
        <v>0.60763888888888884</v>
      </c>
      <c r="BP542" s="78">
        <f>IFERROR(1/J542*(Y542/H542),"0")</f>
        <v>0.609375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38.888888888888886</v>
      </c>
      <c r="Y543" s="43">
        <f>IFERROR(Y542/H542,"0")</f>
        <v>39</v>
      </c>
      <c r="Z543" s="43">
        <f>IFERROR(IF(Z542="",0,Z542),"0")</f>
        <v>0.74021999999999999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350</v>
      </c>
      <c r="Y544" s="43">
        <f>IFERROR(SUM(Y542:Y542),"0")</f>
        <v>351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1764.75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1850.04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1850.9612289562292</v>
      </c>
      <c r="Y556" s="43">
        <f>IFERROR(SUM(BN22:BN552),"0")</f>
        <v>1940.308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3</v>
      </c>
      <c r="Y557" s="44">
        <f>ROUNDUP(SUM(BP22:BP552),0)</f>
        <v>4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1925.9612289562292</v>
      </c>
      <c r="Y558" s="43">
        <f>GrossWeightTotalR+PalletQtyTotalR*25</f>
        <v>2040.308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244.60204610204607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257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3.4917199999999999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32.400000000000006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87.300000000000011</v>
      </c>
      <c r="F565" s="52">
        <f>IFERROR(Y84*1,"0")+IFERROR(Y85*1,"0")+IFERROR(Y86*1,"0")+IFERROR(Y87*1,"0")+IFERROR(Y91*1,"0")+IFERROR(Y92*1,"0")+IFERROR(Y93*1,"0")+IFERROR(Y94*1,"0")</f>
        <v>58.5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90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130.80000000000001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24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41.7</v>
      </c>
      <c r="U565" s="52">
        <f>IFERROR(Y413*1,"0")+IFERROR(Y414*1,"0")</f>
        <v>0</v>
      </c>
      <c r="V565" s="52">
        <f>IFERROR(Y419*1,"0")+IFERROR(Y420*1,"0")+IFERROR(Y421*1,"0")</f>
        <v>54.600000000000009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813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8.4</v>
      </c>
      <c r="Z565" s="52">
        <f>IFERROR(Y488*1,"0")+IFERROR(Y492*1,"0")+IFERROR(Y493*1,"0")+IFERROR(Y494*1,"0")</f>
        <v>10.5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147.84</v>
      </c>
      <c r="AB565" s="52">
        <f>IFERROR(Y530*1,"0")+IFERROR(Y534*1,"0")+IFERROR(Y538*1,"0")+IFERROR(Y542*1,"0")+IFERROR(Y546*1,"0")+IFERROR(Y547*1,"0")</f>
        <v>351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64,75"/>
        <filter val="1 850,96"/>
        <filter val="1 925,96"/>
        <filter val="10,50"/>
        <filter val="100,00"/>
        <filter val="11,11"/>
        <filter val="12,50"/>
        <filter val="13,70"/>
        <filter val="16,00"/>
        <filter val="16,67"/>
        <filter val="170,00"/>
        <filter val="18,00"/>
        <filter val="18,94"/>
        <filter val="2,78"/>
        <filter val="20,00"/>
        <filter val="200,00"/>
        <filter val="22,00"/>
        <filter val="22,50"/>
        <filter val="24,50"/>
        <filter val="244,60"/>
        <filter val="25,00"/>
        <filter val="26,75"/>
        <filter val="27,00"/>
        <filter val="28,00"/>
        <filter val="3"/>
        <filter val="3,33"/>
        <filter val="3,35"/>
        <filter val="3,85"/>
        <filter val="30,00"/>
        <filter val="350,00"/>
        <filter val="38,00"/>
        <filter val="38,89"/>
        <filter val="40,00"/>
        <filter val="5,00"/>
        <filter val="5,85"/>
        <filter val="50,00"/>
        <filter val="52,50"/>
        <filter val="57,00"/>
        <filter val="570,00"/>
        <filter val="6,00"/>
        <filter val="6,67"/>
        <filter val="6,75"/>
        <filter val="7,00"/>
        <filter val="7,58"/>
        <filter val="7,78"/>
        <filter val="8,00"/>
        <filter val="9,17"/>
        <filter val="90,0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2026-08-14T11:16:13Z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