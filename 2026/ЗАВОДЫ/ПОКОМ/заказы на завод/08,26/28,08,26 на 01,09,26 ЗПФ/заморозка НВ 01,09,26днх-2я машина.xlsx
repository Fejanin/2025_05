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A6E5FB-7321-4C20-B4CE-B886255AA6D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M276" i="1"/>
  <c r="Z276" i="1"/>
  <c r="Y276" i="1"/>
  <c r="BN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Y268" i="1"/>
  <c r="Y279" i="1" s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BN263" i="1" s="1"/>
  <c r="P263" i="1"/>
  <c r="BO262" i="1"/>
  <c r="BM262" i="1"/>
  <c r="Z262" i="1"/>
  <c r="Y262" i="1"/>
  <c r="P262" i="1"/>
  <c r="Y260" i="1"/>
  <c r="X260" i="1"/>
  <c r="X259" i="1"/>
  <c r="BO258" i="1"/>
  <c r="BM258" i="1"/>
  <c r="Z258" i="1"/>
  <c r="Z259" i="1" s="1"/>
  <c r="Y258" i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BN253" i="1" s="1"/>
  <c r="P253" i="1"/>
  <c r="X249" i="1"/>
  <c r="Y248" i="1"/>
  <c r="X248" i="1"/>
  <c r="BO247" i="1"/>
  <c r="BM247" i="1"/>
  <c r="Z247" i="1"/>
  <c r="Z248" i="1" s="1"/>
  <c r="Y247" i="1"/>
  <c r="Y249" i="1" s="1"/>
  <c r="P247" i="1"/>
  <c r="X245" i="1"/>
  <c r="X244" i="1"/>
  <c r="BO243" i="1"/>
  <c r="BM243" i="1"/>
  <c r="Z243" i="1"/>
  <c r="Z244" i="1" s="1"/>
  <c r="Y243" i="1"/>
  <c r="Y245" i="1" s="1"/>
  <c r="P243" i="1"/>
  <c r="X239" i="1"/>
  <c r="Y238" i="1"/>
  <c r="X238" i="1"/>
  <c r="BO237" i="1"/>
  <c r="BN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8" i="1"/>
  <c r="Y217" i="1"/>
  <c r="X217" i="1"/>
  <c r="BO216" i="1"/>
  <c r="BN216" i="1"/>
  <c r="BM216" i="1"/>
  <c r="Z216" i="1"/>
  <c r="Z217" i="1" s="1"/>
  <c r="Y216" i="1"/>
  <c r="Y218" i="1" s="1"/>
  <c r="P216" i="1"/>
  <c r="X213" i="1"/>
  <c r="X212" i="1"/>
  <c r="BO211" i="1"/>
  <c r="BN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O204" i="1"/>
  <c r="BM204" i="1"/>
  <c r="Z204" i="1"/>
  <c r="Y204" i="1"/>
  <c r="BN204" i="1" s="1"/>
  <c r="P204" i="1"/>
  <c r="BO203" i="1"/>
  <c r="BM203" i="1"/>
  <c r="Z203" i="1"/>
  <c r="Y203" i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Y195" i="1" s="1"/>
  <c r="P191" i="1"/>
  <c r="BP190" i="1"/>
  <c r="BO190" i="1"/>
  <c r="BM190" i="1"/>
  <c r="Z190" i="1"/>
  <c r="Z194" i="1" s="1"/>
  <c r="Y190" i="1"/>
  <c r="BN190" i="1" s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BN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Y159" i="1" s="1"/>
  <c r="P157" i="1"/>
  <c r="BO156" i="1"/>
  <c r="BM156" i="1"/>
  <c r="Z156" i="1"/>
  <c r="Y156" i="1"/>
  <c r="BN156" i="1" s="1"/>
  <c r="P156" i="1"/>
  <c r="X153" i="1"/>
  <c r="X152" i="1"/>
  <c r="BO151" i="1"/>
  <c r="BN151" i="1"/>
  <c r="BM151" i="1"/>
  <c r="Z151" i="1"/>
  <c r="Y151" i="1"/>
  <c r="BP151" i="1" s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N144" i="1"/>
  <c r="BM144" i="1"/>
  <c r="Z144" i="1"/>
  <c r="Y144" i="1"/>
  <c r="BP144" i="1" s="1"/>
  <c r="P144" i="1"/>
  <c r="X141" i="1"/>
  <c r="X140" i="1"/>
  <c r="BO139" i="1"/>
  <c r="BN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N137" i="1"/>
  <c r="BM137" i="1"/>
  <c r="Z137" i="1"/>
  <c r="Y137" i="1"/>
  <c r="P137" i="1"/>
  <c r="X135" i="1"/>
  <c r="X134" i="1"/>
  <c r="BO133" i="1"/>
  <c r="BM133" i="1"/>
  <c r="Z133" i="1"/>
  <c r="Y133" i="1"/>
  <c r="BN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N131" i="1" s="1"/>
  <c r="P131" i="1"/>
  <c r="BO130" i="1"/>
  <c r="BM130" i="1"/>
  <c r="Z130" i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N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N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N110" i="1"/>
  <c r="BM110" i="1"/>
  <c r="Z110" i="1"/>
  <c r="Y110" i="1"/>
  <c r="P110" i="1"/>
  <c r="X107" i="1"/>
  <c r="X106" i="1"/>
  <c r="BO105" i="1"/>
  <c r="BM105" i="1"/>
  <c r="Z105" i="1"/>
  <c r="Y105" i="1"/>
  <c r="BN105" i="1" s="1"/>
  <c r="P105" i="1"/>
  <c r="BO104" i="1"/>
  <c r="BM104" i="1"/>
  <c r="Z104" i="1"/>
  <c r="Z106" i="1" s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BN94" i="1" s="1"/>
  <c r="P94" i="1"/>
  <c r="X91" i="1"/>
  <c r="X90" i="1"/>
  <c r="BO89" i="1"/>
  <c r="BM89" i="1"/>
  <c r="Z89" i="1"/>
  <c r="Y89" i="1"/>
  <c r="BN89" i="1" s="1"/>
  <c r="P89" i="1"/>
  <c r="BO88" i="1"/>
  <c r="BM88" i="1"/>
  <c r="Z88" i="1"/>
  <c r="Z90" i="1" s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N77" i="1"/>
  <c r="BM77" i="1"/>
  <c r="Z77" i="1"/>
  <c r="Y77" i="1"/>
  <c r="P77" i="1"/>
  <c r="X74" i="1"/>
  <c r="X73" i="1"/>
  <c r="BO72" i="1"/>
  <c r="BM72" i="1"/>
  <c r="Z72" i="1"/>
  <c r="Y72" i="1"/>
  <c r="BN72" i="1" s="1"/>
  <c r="P72" i="1"/>
  <c r="BO71" i="1"/>
  <c r="BM71" i="1"/>
  <c r="Z71" i="1"/>
  <c r="Y71" i="1"/>
  <c r="BP71" i="1" s="1"/>
  <c r="P71" i="1"/>
  <c r="BO70" i="1"/>
  <c r="BM70" i="1"/>
  <c r="Z70" i="1"/>
  <c r="Y70" i="1"/>
  <c r="Y74" i="1" s="1"/>
  <c r="P70" i="1"/>
  <c r="X68" i="1"/>
  <c r="X67" i="1"/>
  <c r="BO66" i="1"/>
  <c r="BM66" i="1"/>
  <c r="Z66" i="1"/>
  <c r="Y66" i="1"/>
  <c r="BP66" i="1" s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N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N48" i="1"/>
  <c r="BM48" i="1"/>
  <c r="Z48" i="1"/>
  <c r="Y48" i="1"/>
  <c r="BP48" i="1" s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J9" i="1"/>
  <c r="A9" i="1"/>
  <c r="A10" i="1" s="1"/>
  <c r="D7" i="1"/>
  <c r="Q6" i="1"/>
  <c r="P2" i="1"/>
  <c r="BN112" i="1" l="1"/>
  <c r="BN270" i="1"/>
  <c r="BN66" i="1"/>
  <c r="BN98" i="1"/>
  <c r="BN184" i="1"/>
  <c r="BN274" i="1"/>
  <c r="BN192" i="1"/>
  <c r="Z206" i="1"/>
  <c r="BN247" i="1"/>
  <c r="Y30" i="1"/>
  <c r="Y57" i="1"/>
  <c r="Z134" i="1"/>
  <c r="Y185" i="1"/>
  <c r="Z278" i="1"/>
  <c r="Z180" i="1"/>
  <c r="BN272" i="1"/>
  <c r="BN96" i="1"/>
  <c r="BN227" i="1"/>
  <c r="Y68" i="1"/>
  <c r="Y228" i="1"/>
  <c r="F10" i="1"/>
  <c r="Z30" i="1"/>
  <c r="BP22" i="1"/>
  <c r="BP24" i="1"/>
  <c r="BP26" i="1"/>
  <c r="BP28" i="1"/>
  <c r="Z43" i="1"/>
  <c r="BP41" i="1"/>
  <c r="Z57" i="1"/>
  <c r="BP53" i="1"/>
  <c r="BP55" i="1"/>
  <c r="Z73" i="1"/>
  <c r="BP70" i="1"/>
  <c r="BP72" i="1"/>
  <c r="Y79" i="1"/>
  <c r="BP89" i="1"/>
  <c r="Y100" i="1"/>
  <c r="BP105" i="1"/>
  <c r="Y118" i="1"/>
  <c r="BP131" i="1"/>
  <c r="BP133" i="1"/>
  <c r="Y141" i="1"/>
  <c r="BP179" i="1"/>
  <c r="BP204" i="1"/>
  <c r="BP221" i="1"/>
  <c r="BP233" i="1"/>
  <c r="BP243" i="1"/>
  <c r="Z255" i="1"/>
  <c r="BP253" i="1"/>
  <c r="Z265" i="1"/>
  <c r="BP263" i="1"/>
  <c r="Z79" i="1"/>
  <c r="BP77" i="1"/>
  <c r="Z100" i="1"/>
  <c r="BP94" i="1"/>
  <c r="Z118" i="1"/>
  <c r="BP110" i="1"/>
  <c r="Z140" i="1"/>
  <c r="BP137" i="1"/>
  <c r="Y158" i="1"/>
  <c r="BP184" i="1"/>
  <c r="Y207" i="1"/>
  <c r="F9" i="1"/>
  <c r="BN22" i="1"/>
  <c r="X284" i="1"/>
  <c r="Z36" i="1"/>
  <c r="BN41" i="1"/>
  <c r="Z49" i="1"/>
  <c r="BN53" i="1"/>
  <c r="Z67" i="1"/>
  <c r="BN70" i="1"/>
  <c r="Y91" i="1"/>
  <c r="Y107" i="1"/>
  <c r="Y135" i="1"/>
  <c r="Z146" i="1"/>
  <c r="BP156" i="1"/>
  <c r="Y194" i="1"/>
  <c r="BP216" i="1"/>
  <c r="BN221" i="1"/>
  <c r="Y222" i="1"/>
  <c r="BP227" i="1"/>
  <c r="BN233" i="1"/>
  <c r="Y234" i="1"/>
  <c r="BP237" i="1"/>
  <c r="BN243" i="1"/>
  <c r="Y244" i="1"/>
  <c r="BP247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BN25" i="1"/>
  <c r="BN27" i="1"/>
  <c r="BN29" i="1"/>
  <c r="X280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Z285" i="1" l="1"/>
  <c r="Y282" i="1"/>
  <c r="Y281" i="1"/>
  <c r="Y283" i="1" s="1"/>
  <c r="A293" i="1" s="1"/>
  <c r="Y284" i="1"/>
  <c r="X283" i="1"/>
  <c r="Y280" i="1"/>
  <c r="C293" i="1" l="1"/>
  <c r="B293" i="1"/>
</calcChain>
</file>

<file path=xl/sharedStrings.xml><?xml version="1.0" encoding="utf-8"?>
<sst xmlns="http://schemas.openxmlformats.org/spreadsheetml/2006/main" count="1295" uniqueCount="421">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</sst>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topLeftCell="B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 t="s">
        <v>420</v>
      </c>
      <c r="I5" s="445"/>
      <c r="J5" s="445"/>
      <c r="K5" s="445"/>
      <c r="L5" s="445"/>
      <c r="M5" s="340"/>
      <c r="N5" s="61"/>
      <c r="P5" s="24" t="s">
        <v>10</v>
      </c>
      <c r="Q5" s="455">
        <v>46266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395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Вторник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3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48</v>
      </c>
      <c r="Y23" s="279">
        <f t="shared" si="0"/>
        <v>48</v>
      </c>
      <c r="Z23" s="37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12</v>
      </c>
      <c r="Y27" s="279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393.6</v>
      </c>
      <c r="Y31" s="280">
        <f>IFERROR(SUMPRODUCT(Y22:Y29*H22:H29),"0")</f>
        <v>393.6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98</v>
      </c>
      <c r="Y41" s="279">
        <f>IFERROR(IF(X41="","",X41),"")</f>
        <v>98</v>
      </c>
      <c r="Z41" s="37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168</v>
      </c>
      <c r="Y42" s="279">
        <f>IFERROR(IF(X42="","",X42),"")</f>
        <v>168</v>
      </c>
      <c r="Z42" s="37">
        <f>IFERROR(IF(X42="","",X42*0.00941),"")</f>
        <v>1.5808800000000001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322.86239999999998</v>
      </c>
      <c r="BN42" s="67">
        <f>IFERROR(Y42*I42,"0")</f>
        <v>322.86239999999998</v>
      </c>
      <c r="BO42" s="67">
        <f>IFERROR(X42/J42,"0")</f>
        <v>1.2</v>
      </c>
      <c r="BP42" s="67">
        <f>IFERROR(Y42/J42,"0")</f>
        <v>1.2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266</v>
      </c>
      <c r="Y43" s="280">
        <f>IFERROR(SUM(Y41:Y42),"0")</f>
        <v>266</v>
      </c>
      <c r="Z43" s="280">
        <f>IFERROR(IF(Z41="",0,Z41),"0")+IFERROR(IF(Z42="",0,Z42),"0")</f>
        <v>2.5030600000000001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399</v>
      </c>
      <c r="Y44" s="280">
        <f>IFERROR(SUMPRODUCT(Y41:Y42*H41:H42),"0")</f>
        <v>399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0</v>
      </c>
      <c r="Y47" s="279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24</v>
      </c>
      <c r="Y48" s="279">
        <f>IFERROR(IF(X48="","",X48),"")</f>
        <v>24</v>
      </c>
      <c r="Z48" s="37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24</v>
      </c>
      <c r="Y49" s="280">
        <f>IFERROR(SUM(Y47:Y48),"0")</f>
        <v>24</v>
      </c>
      <c r="Z49" s="280">
        <f>IFERROR(IF(Z47="",0,Z47),"0")+IFERROR(IF(Z48="",0,Z48),"0")</f>
        <v>0.372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134.39999999999998</v>
      </c>
      <c r="Y50" s="280">
        <f>IFERROR(SUMPRODUCT(Y47:Y48*H47:H48),"0")</f>
        <v>134.39999999999998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24</v>
      </c>
      <c r="Y53" s="279">
        <f>IFERROR(IF(X53="","",X53),"")</f>
        <v>24</v>
      </c>
      <c r="Z53" s="37">
        <f>IFERROR(IF(X53="","",X53*0.0155),"")</f>
        <v>0.372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175.2</v>
      </c>
      <c r="BN53" s="67">
        <f>IFERROR(Y53*I53,"0")</f>
        <v>175.2</v>
      </c>
      <c r="BO53" s="67">
        <f>IFERROR(X53/J53,"0")</f>
        <v>0.2857142857142857</v>
      </c>
      <c r="BP53" s="67">
        <f>IFERROR(Y53/J53,"0")</f>
        <v>0.2857142857142857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48</v>
      </c>
      <c r="Y55" s="279">
        <f>IFERROR(IF(X55="","",X55),"")</f>
        <v>48</v>
      </c>
      <c r="Z55" s="37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322.54079999999999</v>
      </c>
      <c r="BN55" s="67">
        <f>IFERROR(Y55*I55,"0")</f>
        <v>322.54079999999999</v>
      </c>
      <c r="BO55" s="67">
        <f>IFERROR(X55/J55,"0")</f>
        <v>0.5714285714285714</v>
      </c>
      <c r="BP55" s="67">
        <f>IFERROR(Y55/J55,"0")</f>
        <v>0.5714285714285714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475.20000000000005</v>
      </c>
      <c r="Y58" s="280">
        <f>IFERROR(SUMPRODUCT(Y53:Y56*H53:H56),"0")</f>
        <v>475.20000000000005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84</v>
      </c>
      <c r="Y78" s="279">
        <f>IFERROR(IF(X78="","",X78),"")</f>
        <v>84</v>
      </c>
      <c r="Z78" s="37">
        <f>IFERROR(IF(X78="","",X78*0.00866),"")</f>
        <v>0.72743999999999998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84</v>
      </c>
      <c r="Y79" s="280">
        <f>IFERROR(SUM(Y77:Y78),"0")</f>
        <v>84</v>
      </c>
      <c r="Z79" s="280">
        <f>IFERROR(IF(Z77="",0,Z77),"0")+IFERROR(IF(Z78="",0,Z78),"0")</f>
        <v>0.72743999999999998</v>
      </c>
      <c r="AA79" s="281"/>
      <c r="AB79" s="281"/>
      <c r="AC79" s="281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420</v>
      </c>
      <c r="Y80" s="280">
        <f>IFERROR(SUMPRODUCT(Y77:Y78*H77:H78),"0")</f>
        <v>420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182</v>
      </c>
      <c r="Y88" s="279">
        <f>IFERROR(IF(X88="","",X88),"")</f>
        <v>182</v>
      </c>
      <c r="Z88" s="37">
        <f>IFERROR(IF(X88="","",X88*0.01788),"")</f>
        <v>3.2541600000000002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783.25520000000006</v>
      </c>
      <c r="BN88" s="67">
        <f>IFERROR(Y88*I88,"0")</f>
        <v>783.25520000000006</v>
      </c>
      <c r="BO88" s="67">
        <f>IFERROR(X88/J88,"0")</f>
        <v>2.6</v>
      </c>
      <c r="BP88" s="67">
        <f>IFERROR(Y88/J88,"0")</f>
        <v>2.6</v>
      </c>
    </row>
    <row r="89" spans="1:68" ht="27" hidden="1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0</v>
      </c>
      <c r="Y89" s="279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182</v>
      </c>
      <c r="Y90" s="280">
        <f>IFERROR(SUM(Y88:Y89),"0")</f>
        <v>182</v>
      </c>
      <c r="Z90" s="280">
        <f>IFERROR(IF(Z88="",0,Z88),"0")+IFERROR(IF(Z89="",0,Z89),"0")</f>
        <v>3.2541600000000002</v>
      </c>
      <c r="AA90" s="281"/>
      <c r="AB90" s="281"/>
      <c r="AC90" s="281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655.20000000000005</v>
      </c>
      <c r="Y91" s="280">
        <f>IFERROR(SUMPRODUCT(Y88:Y89*H88:H89),"0")</f>
        <v>655.20000000000005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28</v>
      </c>
      <c r="Y94" s="279">
        <f t="shared" ref="Y94:Y99" si="6">IFERROR(IF(X94="","",X94),"")</f>
        <v>28</v>
      </c>
      <c r="Z94" s="37">
        <f t="shared" ref="Z94:Z99" si="7">IFERROR(IF(X94="","",X94*0.01788),"")</f>
        <v>0.50063999999999997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100.3408</v>
      </c>
      <c r="BN94" s="67">
        <f t="shared" ref="BN94:BN99" si="9">IFERROR(Y94*I94,"0")</f>
        <v>100.3408</v>
      </c>
      <c r="BO94" s="67">
        <f t="shared" ref="BO94:BO99" si="10">IFERROR(X94/J94,"0")</f>
        <v>0.4</v>
      </c>
      <c r="BP94" s="67">
        <f t="shared" ref="BP94:BP99" si="11">IFERROR(Y94/J94,"0")</f>
        <v>0.4</v>
      </c>
    </row>
    <row r="95" spans="1:68" ht="27" hidden="1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0</v>
      </c>
      <c r="Y95" s="279">
        <f t="shared" si="6"/>
        <v>0</v>
      </c>
      <c r="Z95" s="37">
        <f t="shared" si="7"/>
        <v>0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2">
        <v>4620207491034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56</v>
      </c>
      <c r="Y96" s="279">
        <f t="shared" si="6"/>
        <v>56</v>
      </c>
      <c r="Z96" s="37">
        <f t="shared" si="7"/>
        <v>1.0012799999999999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2">
        <v>4620207491010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28</v>
      </c>
      <c r="Y97" s="279">
        <f t="shared" si="6"/>
        <v>28</v>
      </c>
      <c r="Z97" s="37">
        <f t="shared" si="7"/>
        <v>0.50063999999999997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100.3408</v>
      </c>
      <c r="BN97" s="67">
        <f t="shared" si="9"/>
        <v>100.3408</v>
      </c>
      <c r="BO97" s="67">
        <f t="shared" si="10"/>
        <v>0.4</v>
      </c>
      <c r="BP97" s="67">
        <f t="shared" si="11"/>
        <v>0.4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2">
        <v>4607111035028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98</v>
      </c>
      <c r="Y98" s="279">
        <f t="shared" si="6"/>
        <v>98</v>
      </c>
      <c r="Z98" s="37">
        <f t="shared" si="7"/>
        <v>1.75224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435.98240000000004</v>
      </c>
      <c r="BN98" s="67">
        <f t="shared" si="9"/>
        <v>435.98240000000004</v>
      </c>
      <c r="BO98" s="67">
        <f t="shared" si="10"/>
        <v>1.4</v>
      </c>
      <c r="BP98" s="67">
        <f t="shared" si="11"/>
        <v>1.4</v>
      </c>
    </row>
    <row r="99" spans="1:68" ht="27" hidden="1" customHeight="1" x14ac:dyDescent="0.25">
      <c r="A99" s="54" t="s">
        <v>175</v>
      </c>
      <c r="B99" s="54" t="s">
        <v>176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210</v>
      </c>
      <c r="Y100" s="280">
        <f>IFERROR(SUM(Y94:Y99),"0")</f>
        <v>210</v>
      </c>
      <c r="Z100" s="280">
        <f>IFERROR(IF(Z94="",0,Z94),"0")+IFERROR(IF(Z95="",0,Z95),"0")+IFERROR(IF(Z96="",0,Z96),"0")+IFERROR(IF(Z97="",0,Z97),"0")+IFERROR(IF(Z98="",0,Z98),"0")+IFERROR(IF(Z99="",0,Z99),"0")</f>
        <v>3.7547999999999999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698.88</v>
      </c>
      <c r="Y101" s="280">
        <f>IFERROR(SUMPRODUCT(Y94:Y99*H94:H99),"0")</f>
        <v>698.88</v>
      </c>
      <c r="Z101" s="38"/>
      <c r="AA101" s="281"/>
      <c r="AB101" s="281"/>
      <c r="AC101" s="281"/>
    </row>
    <row r="102" spans="1:68" ht="16.5" hidden="1" customHeight="1" x14ac:dyDescent="0.25">
      <c r="A102" s="308" t="s">
        <v>178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2">
        <v>4607025784012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112</v>
      </c>
      <c r="Y104" s="279">
        <f>IFERROR(IF(X104="","",X104),"")</f>
        <v>112</v>
      </c>
      <c r="Z104" s="37">
        <f>IFERROR(IF(X104="","",X104*0.00936),"")</f>
        <v>1.0483199999999999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279.01440000000002</v>
      </c>
      <c r="BN104" s="67">
        <f>IFERROR(Y104*I104,"0")</f>
        <v>279.01440000000002</v>
      </c>
      <c r="BO104" s="67">
        <f>IFERROR(X104/J104,"0")</f>
        <v>0.88888888888888884</v>
      </c>
      <c r="BP104" s="67">
        <f>IFERROR(Y104/J104,"0")</f>
        <v>0.88888888888888884</v>
      </c>
    </row>
    <row r="105" spans="1:68" ht="27" hidden="1" customHeight="1" x14ac:dyDescent="0.25">
      <c r="A105" s="54" t="s">
        <v>182</v>
      </c>
      <c r="B105" s="54" t="s">
        <v>183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112</v>
      </c>
      <c r="Y106" s="280">
        <f>IFERROR(SUM(Y104:Y105),"0")</f>
        <v>112</v>
      </c>
      <c r="Z106" s="280">
        <f>IFERROR(IF(Z104="",0,Z104),"0")+IFERROR(IF(Z105="",0,Z105),"0")</f>
        <v>1.0483199999999999</v>
      </c>
      <c r="AA106" s="281"/>
      <c r="AB106" s="281"/>
      <c r="AC106" s="281"/>
    </row>
    <row r="107" spans="1:68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241.92000000000002</v>
      </c>
      <c r="Y107" s="280">
        <f>IFERROR(SUMPRODUCT(Y104:Y105*H104:H105),"0")</f>
        <v>241.92000000000002</v>
      </c>
      <c r="Z107" s="38"/>
      <c r="AA107" s="281"/>
      <c r="AB107" s="281"/>
      <c r="AC107" s="281"/>
    </row>
    <row r="108" spans="1:68" ht="16.5" hidden="1" customHeight="1" x14ac:dyDescent="0.25">
      <c r="A108" s="308" t="s">
        <v>185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24</v>
      </c>
      <c r="Y110" s="279">
        <f t="shared" ref="Y110:Y117" si="12">IFERROR(IF(X110="","",X110),"")</f>
        <v>24</v>
      </c>
      <c r="Z110" s="37">
        <f t="shared" ref="Z110:Z117" si="13">IFERROR(IF(X110="","",X110*0.0155),"")</f>
        <v>0.372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174.72</v>
      </c>
      <c r="BN110" s="67">
        <f t="shared" ref="BN110:BN117" si="15">IFERROR(Y110*I110,"0")</f>
        <v>174.72</v>
      </c>
      <c r="BO110" s="67">
        <f t="shared" ref="BO110:BO117" si="16">IFERROR(X110/J110,"0")</f>
        <v>0.2857142857142857</v>
      </c>
      <c r="BP110" s="67">
        <f t="shared" ref="BP110:BP117" si="17">IFERROR(Y110/J110,"0")</f>
        <v>0.2857142857142857</v>
      </c>
    </row>
    <row r="111" spans="1:68" ht="27" hidden="1" customHeight="1" x14ac:dyDescent="0.25">
      <c r="A111" s="54" t="s">
        <v>189</v>
      </c>
      <c r="B111" s="54" t="s">
        <v>190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192</v>
      </c>
      <c r="B112" s="54" t="s">
        <v>193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194</v>
      </c>
      <c r="B113" s="54" t="s">
        <v>195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60</v>
      </c>
      <c r="Y113" s="279">
        <f t="shared" si="12"/>
        <v>60</v>
      </c>
      <c r="Z113" s="37">
        <f t="shared" si="13"/>
        <v>0.92999999999999994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403.17599999999999</v>
      </c>
      <c r="BN113" s="67">
        <f t="shared" si="15"/>
        <v>403.17599999999999</v>
      </c>
      <c r="BO113" s="67">
        <f t="shared" si="16"/>
        <v>0.7142857142857143</v>
      </c>
      <c r="BP113" s="67">
        <f t="shared" si="17"/>
        <v>0.7142857142857143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108</v>
      </c>
      <c r="Y114" s="279">
        <f t="shared" si="12"/>
        <v>108</v>
      </c>
      <c r="Z114" s="37">
        <f t="shared" si="13"/>
        <v>1.6739999999999999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788.4</v>
      </c>
      <c r="BN114" s="67">
        <f t="shared" si="15"/>
        <v>788.4</v>
      </c>
      <c r="BO114" s="67">
        <f t="shared" si="16"/>
        <v>1.2857142857142858</v>
      </c>
      <c r="BP114" s="67">
        <f t="shared" si="17"/>
        <v>1.2857142857142858</v>
      </c>
    </row>
    <row r="115" spans="1:68" ht="27" hidden="1" customHeight="1" x14ac:dyDescent="0.25">
      <c r="A115" s="54" t="s">
        <v>198</v>
      </c>
      <c r="B115" s="54" t="s">
        <v>199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201</v>
      </c>
      <c r="B116" s="54" t="s">
        <v>202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120</v>
      </c>
      <c r="Y117" s="279">
        <f t="shared" si="12"/>
        <v>120</v>
      </c>
      <c r="Z117" s="37">
        <f t="shared" si="13"/>
        <v>1.8599999999999999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876</v>
      </c>
      <c r="BN117" s="67">
        <f t="shared" si="15"/>
        <v>876</v>
      </c>
      <c r="BO117" s="67">
        <f t="shared" si="16"/>
        <v>1.4285714285714286</v>
      </c>
      <c r="BP117" s="67">
        <f t="shared" si="17"/>
        <v>1.4285714285714286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312</v>
      </c>
      <c r="Y118" s="280">
        <f>IFERROR(SUM(Y110:Y117),"0")</f>
        <v>312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4.8360000000000003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2148</v>
      </c>
      <c r="Y119" s="280">
        <f>IFERROR(SUMPRODUCT(Y110:Y117*H110:H117),"0")</f>
        <v>2148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205</v>
      </c>
      <c r="B121" s="54" t="s">
        <v>206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208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209</v>
      </c>
      <c r="B125" s="54" t="s">
        <v>210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212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hidden="1" customHeight="1" x14ac:dyDescent="0.25">
      <c r="A130" s="54" t="s">
        <v>213</v>
      </c>
      <c r="B130" s="54" t="s">
        <v>214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182</v>
      </c>
      <c r="Y131" s="279">
        <f>IFERROR(IF(X131="","",X131),"")</f>
        <v>182</v>
      </c>
      <c r="Z131" s="37">
        <f>IFERROR(IF(X131="","",X131*0.00941),"")</f>
        <v>1.71262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327.60000000000002</v>
      </c>
      <c r="BN131" s="67">
        <f>IFERROR(Y131*I131,"0")</f>
        <v>327.60000000000002</v>
      </c>
      <c r="BO131" s="67">
        <f>IFERROR(X131/J131,"0")</f>
        <v>1.3</v>
      </c>
      <c r="BP131" s="67">
        <f>IFERROR(Y131/J131,"0")</f>
        <v>1.3</v>
      </c>
    </row>
    <row r="132" spans="1:68" ht="27" hidden="1" customHeight="1" x14ac:dyDescent="0.25">
      <c r="A132" s="54" t="s">
        <v>218</v>
      </c>
      <c r="B132" s="54" t="s">
        <v>219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322</v>
      </c>
      <c r="Y133" s="279">
        <f>IFERROR(IF(X133="","",X133),"")</f>
        <v>322</v>
      </c>
      <c r="Z133" s="37">
        <f>IFERROR(IF(X133="","",X133*0.00941),"")</f>
        <v>3.0300199999999999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579.6</v>
      </c>
      <c r="BN133" s="67">
        <f>IFERROR(Y133*I133,"0")</f>
        <v>579.6</v>
      </c>
      <c r="BO133" s="67">
        <f>IFERROR(X133/J133,"0")</f>
        <v>2.2999999999999998</v>
      </c>
      <c r="BP133" s="67">
        <f>IFERROR(Y133/J133,"0")</f>
        <v>2.2999999999999998</v>
      </c>
    </row>
    <row r="134" spans="1:68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504</v>
      </c>
      <c r="Y134" s="280">
        <f>IFERROR(SUM(Y130:Y133),"0")</f>
        <v>504</v>
      </c>
      <c r="Z134" s="280">
        <f>IFERROR(IF(Z130="",0,Z130),"0")+IFERROR(IF(Z131="",0,Z131),"0")+IFERROR(IF(Z132="",0,Z132),"0")+IFERROR(IF(Z133="",0,Z133),"0")</f>
        <v>4.7426399999999997</v>
      </c>
      <c r="AA134" s="281"/>
      <c r="AB134" s="281"/>
      <c r="AC134" s="281"/>
    </row>
    <row r="135" spans="1:68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695.52</v>
      </c>
      <c r="Y135" s="280">
        <f>IFERROR(SUMPRODUCT(Y130:Y133*H130:H133),"0")</f>
        <v>695.52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222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28</v>
      </c>
      <c r="Y137" s="279">
        <f>IFERROR(IF(X137="","",X137),"")</f>
        <v>28</v>
      </c>
      <c r="Z137" s="37">
        <f>IFERROR(IF(X137="","",X137*0.00941),"")</f>
        <v>0.26347999999999999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39.143999999999998</v>
      </c>
      <c r="BN137" s="67">
        <f>IFERROR(Y137*I137,"0")</f>
        <v>39.143999999999998</v>
      </c>
      <c r="BO137" s="67">
        <f>IFERROR(X137/J137,"0")</f>
        <v>0.2</v>
      </c>
      <c r="BP137" s="67">
        <f>IFERROR(Y137/J137,"0")</f>
        <v>0.2</v>
      </c>
    </row>
    <row r="138" spans="1:68" ht="27" customHeight="1" x14ac:dyDescent="0.25">
      <c r="A138" s="54" t="s">
        <v>226</v>
      </c>
      <c r="B138" s="54" t="s">
        <v>227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168</v>
      </c>
      <c r="Y138" s="279">
        <f>IFERROR(IF(X138="","",X138),"")</f>
        <v>168</v>
      </c>
      <c r="Z138" s="37">
        <f>IFERROR(IF(X138="","",X138*0.00941),"")</f>
        <v>1.5808800000000001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234.86399999999998</v>
      </c>
      <c r="BN138" s="67">
        <f>IFERROR(Y138*I138,"0")</f>
        <v>234.86399999999998</v>
      </c>
      <c r="BO138" s="67">
        <f>IFERROR(X138/J138,"0")</f>
        <v>1.2</v>
      </c>
      <c r="BP138" s="67">
        <f>IFERROR(Y138/J138,"0")</f>
        <v>1.2</v>
      </c>
    </row>
    <row r="139" spans="1:68" ht="27" hidden="1" customHeight="1" x14ac:dyDescent="0.25">
      <c r="A139" s="54" t="s">
        <v>228</v>
      </c>
      <c r="B139" s="54" t="s">
        <v>229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196</v>
      </c>
      <c r="Y140" s="280">
        <f>IFERROR(SUM(Y137:Y139),"0")</f>
        <v>196</v>
      </c>
      <c r="Z140" s="280">
        <f>IFERROR(IF(Z137="",0,Z137),"0")+IFERROR(IF(Z138="",0,Z138),"0")+IFERROR(IF(Z139="",0,Z139),"0")</f>
        <v>1.84436</v>
      </c>
      <c r="AA140" s="281"/>
      <c r="AB140" s="281"/>
      <c r="AC140" s="281"/>
    </row>
    <row r="141" spans="1:68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211.68</v>
      </c>
      <c r="Y141" s="280">
        <f>IFERROR(SUMPRODUCT(Y137:Y139*H137:H139),"0")</f>
        <v>211.68</v>
      </c>
      <c r="Z141" s="38"/>
      <c r="AA141" s="281"/>
      <c r="AB141" s="281"/>
      <c r="AC141" s="281"/>
    </row>
    <row r="142" spans="1:68" ht="16.5" hidden="1" customHeight="1" x14ac:dyDescent="0.25">
      <c r="A142" s="308" t="s">
        <v>230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252</v>
      </c>
      <c r="Y144" s="279">
        <f>IFERROR(IF(X144="","",X144),"")</f>
        <v>252</v>
      </c>
      <c r="Z144" s="37">
        <f>IFERROR(IF(X144="","",X144*0.01788),"")</f>
        <v>4.5057600000000004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933.30719999999997</v>
      </c>
      <c r="BN144" s="67">
        <f>IFERROR(Y144*I144,"0")</f>
        <v>933.30719999999997</v>
      </c>
      <c r="BO144" s="67">
        <f>IFERROR(X144/J144,"0")</f>
        <v>3.6</v>
      </c>
      <c r="BP144" s="67">
        <f>IFERROR(Y144/J144,"0")</f>
        <v>3.6</v>
      </c>
    </row>
    <row r="145" spans="1:68" ht="27" hidden="1" customHeight="1" x14ac:dyDescent="0.25">
      <c r="A145" s="54" t="s">
        <v>234</v>
      </c>
      <c r="B145" s="54" t="s">
        <v>235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252</v>
      </c>
      <c r="Y146" s="280">
        <f>IFERROR(SUM(Y144:Y145),"0")</f>
        <v>252</v>
      </c>
      <c r="Z146" s="280">
        <f>IFERROR(IF(Z144="",0,Z144),"0")+IFERROR(IF(Z145="",0,Z145),"0")</f>
        <v>4.5057600000000004</v>
      </c>
      <c r="AA146" s="281"/>
      <c r="AB146" s="281"/>
      <c r="AC146" s="281"/>
    </row>
    <row r="147" spans="1:68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756</v>
      </c>
      <c r="Y147" s="280">
        <f>IFERROR(SUMPRODUCT(Y144:Y145*H144:H145),"0")</f>
        <v>756</v>
      </c>
      <c r="Z147" s="38"/>
      <c r="AA147" s="281"/>
      <c r="AB147" s="281"/>
      <c r="AC147" s="281"/>
    </row>
    <row r="148" spans="1:68" ht="16.5" hidden="1" customHeight="1" x14ac:dyDescent="0.25">
      <c r="A148" s="308" t="s">
        <v>236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56</v>
      </c>
      <c r="Y150" s="279">
        <f>IFERROR(IF(X150="","",X150),"")</f>
        <v>56</v>
      </c>
      <c r="Z150" s="37">
        <f>IFERROR(IF(X150="","",X150*0.01788),"")</f>
        <v>1.0012799999999999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209.88800000000001</v>
      </c>
      <c r="BN150" s="67">
        <f>IFERROR(Y150*I150,"0")</f>
        <v>209.88800000000001</v>
      </c>
      <c r="BO150" s="67">
        <f>IFERROR(X150/J150,"0")</f>
        <v>0.8</v>
      </c>
      <c r="BP150" s="67">
        <f>IFERROR(Y150/J150,"0")</f>
        <v>0.8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84</v>
      </c>
      <c r="Y151" s="279">
        <f>IFERROR(IF(X151="","",X151),"")</f>
        <v>84</v>
      </c>
      <c r="Z151" s="37">
        <f>IFERROR(IF(X151="","",X151*0.01788),"")</f>
        <v>1.5019199999999999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311.10239999999999</v>
      </c>
      <c r="BN151" s="67">
        <f>IFERROR(Y151*I151,"0")</f>
        <v>311.10239999999999</v>
      </c>
      <c r="BO151" s="67">
        <f>IFERROR(X151/J151,"0")</f>
        <v>1.2</v>
      </c>
      <c r="BP151" s="67">
        <f>IFERROR(Y151/J151,"0")</f>
        <v>1.2</v>
      </c>
    </row>
    <row r="152" spans="1:68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140</v>
      </c>
      <c r="Y152" s="280">
        <f>IFERROR(SUM(Y150:Y151),"0")</f>
        <v>140</v>
      </c>
      <c r="Z152" s="280">
        <f>IFERROR(IF(Z150="",0,Z150),"0")+IFERROR(IF(Z151="",0,Z151),"0")</f>
        <v>2.5031999999999996</v>
      </c>
      <c r="AA152" s="281"/>
      <c r="AB152" s="281"/>
      <c r="AC152" s="281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420</v>
      </c>
      <c r="Y153" s="280">
        <f>IFERROR(SUMPRODUCT(Y150:Y151*H150:H151),"0")</f>
        <v>420</v>
      </c>
      <c r="Z153" s="38"/>
      <c r="AA153" s="281"/>
      <c r="AB153" s="281"/>
      <c r="AC153" s="281"/>
    </row>
    <row r="154" spans="1:68" ht="16.5" hidden="1" customHeight="1" x14ac:dyDescent="0.25">
      <c r="A154" s="308" t="s">
        <v>243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28</v>
      </c>
      <c r="Y156" s="279">
        <f>IFERROR(IF(X156="","",X156),"")</f>
        <v>28</v>
      </c>
      <c r="Z156" s="37">
        <f>IFERROR(IF(X156="","",X156*0.01788),"")</f>
        <v>0.50063999999999997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75.040000000000006</v>
      </c>
      <c r="BN156" s="67">
        <f>IFERROR(Y156*I156,"0")</f>
        <v>75.040000000000006</v>
      </c>
      <c r="BO156" s="67">
        <f>IFERROR(X156/J156,"0")</f>
        <v>0.4</v>
      </c>
      <c r="BP156" s="67">
        <f>IFERROR(Y156/J156,"0")</f>
        <v>0.4</v>
      </c>
    </row>
    <row r="157" spans="1:68" ht="27" hidden="1" customHeight="1" x14ac:dyDescent="0.25">
      <c r="A157" s="54" t="s">
        <v>246</v>
      </c>
      <c r="B157" s="54" t="s">
        <v>247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28</v>
      </c>
      <c r="Y158" s="280">
        <f>IFERROR(SUM(Y156:Y157),"0")</f>
        <v>28</v>
      </c>
      <c r="Z158" s="280">
        <f>IFERROR(IF(Z156="",0,Z156),"0")+IFERROR(IF(Z157="",0,Z157),"0")</f>
        <v>0.50063999999999997</v>
      </c>
      <c r="AA158" s="281"/>
      <c r="AB158" s="281"/>
      <c r="AC158" s="281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67.2</v>
      </c>
      <c r="Y159" s="280">
        <f>IFERROR(SUMPRODUCT(Y156:Y157*H156:H157),"0")</f>
        <v>67.2</v>
      </c>
      <c r="Z159" s="38"/>
      <c r="AA159" s="281"/>
      <c r="AB159" s="281"/>
      <c r="AC159" s="281"/>
    </row>
    <row r="160" spans="1:68" ht="16.5" hidden="1" customHeight="1" x14ac:dyDescent="0.25">
      <c r="A160" s="308" t="s">
        <v>248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hidden="1" customHeight="1" x14ac:dyDescent="0.25">
      <c r="A162" s="54" t="s">
        <v>249</v>
      </c>
      <c r="B162" s="54" t="s">
        <v>250</v>
      </c>
      <c r="C162" s="32">
        <v>4301135570</v>
      </c>
      <c r="D162" s="292">
        <v>4607111035806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hidden="1" customHeight="1" x14ac:dyDescent="0.25">
      <c r="A165" s="308" t="s">
        <v>252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253</v>
      </c>
      <c r="B167" s="54" t="s">
        <v>254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154</v>
      </c>
      <c r="Y172" s="279">
        <f>IFERROR(IF(X172="","",X172),"")</f>
        <v>154</v>
      </c>
      <c r="Z172" s="37">
        <f>IFERROR(IF(X172="","",X172*0.00941),"")</f>
        <v>1.4491400000000001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323.67719999999997</v>
      </c>
      <c r="BN172" s="67">
        <f>IFERROR(Y172*I172,"0")</f>
        <v>323.67719999999997</v>
      </c>
      <c r="BO172" s="67">
        <f>IFERROR(X172/J172,"0")</f>
        <v>1.1000000000000001</v>
      </c>
      <c r="BP172" s="67">
        <f>IFERROR(Y172/J172,"0")</f>
        <v>1.1000000000000001</v>
      </c>
    </row>
    <row r="173" spans="1:68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154</v>
      </c>
      <c r="Y173" s="280">
        <f>IFERROR(SUM(Y172:Y172),"0")</f>
        <v>154</v>
      </c>
      <c r="Z173" s="280">
        <f>IFERROR(IF(Z172="",0,Z172),"0")</f>
        <v>1.4491400000000001</v>
      </c>
      <c r="AA173" s="281"/>
      <c r="AB173" s="281"/>
      <c r="AC173" s="281"/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258.71999999999997</v>
      </c>
      <c r="Y174" s="280">
        <f>IFERROR(SUMPRODUCT(Y172:Y172*H172:H172),"0")</f>
        <v>258.71999999999997</v>
      </c>
      <c r="Z174" s="38"/>
      <c r="AA174" s="281"/>
      <c r="AB174" s="281"/>
      <c r="AC174" s="281"/>
    </row>
    <row r="175" spans="1:68" ht="27.75" hidden="1" customHeight="1" x14ac:dyDescent="0.2">
      <c r="A175" s="363" t="s">
        <v>259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260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261</v>
      </c>
      <c r="B178" s="54" t="s">
        <v>262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12</v>
      </c>
      <c r="Y179" s="279">
        <f>IFERROR(IF(X179="","",X179),"")</f>
        <v>12</v>
      </c>
      <c r="Z179" s="37">
        <f>IFERROR(IF(X179="","",X179*0.00866),"")</f>
        <v>0.10391999999999998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62.558399999999992</v>
      </c>
      <c r="BN179" s="67">
        <f>IFERROR(Y179*I179,"0")</f>
        <v>62.558399999999992</v>
      </c>
      <c r="BO179" s="67">
        <f>IFERROR(X179/J179,"0")</f>
        <v>8.3333333333333329E-2</v>
      </c>
      <c r="BP179" s="67">
        <f>IFERROR(Y179/J179,"0")</f>
        <v>8.3333333333333329E-2</v>
      </c>
    </row>
    <row r="180" spans="1:68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12</v>
      </c>
      <c r="Y180" s="280">
        <f>IFERROR(SUM(Y178:Y179),"0")</f>
        <v>12</v>
      </c>
      <c r="Z180" s="280">
        <f>IFERROR(IF(Z178="",0,Z178),"0")+IFERROR(IF(Z179="",0,Z179),"0")</f>
        <v>0.10391999999999998</v>
      </c>
      <c r="AA180" s="281"/>
      <c r="AB180" s="281"/>
      <c r="AC180" s="281"/>
    </row>
    <row r="181" spans="1:68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60</v>
      </c>
      <c r="Y181" s="280">
        <f>IFERROR(SUMPRODUCT(Y178:Y179*H178:H179),"0")</f>
        <v>60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267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12</v>
      </c>
      <c r="Y184" s="279">
        <f>IFERROR(IF(X184="","",X184),"")</f>
        <v>12</v>
      </c>
      <c r="Z184" s="37">
        <f>IFERROR(IF(X184="","",X184*0.0155),"")</f>
        <v>0.186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63.143999999999991</v>
      </c>
      <c r="BN184" s="67">
        <f>IFERROR(Y184*I184,"0")</f>
        <v>63.143999999999991</v>
      </c>
      <c r="BO184" s="67">
        <f>IFERROR(X184/J184,"0")</f>
        <v>0.14285714285714285</v>
      </c>
      <c r="BP184" s="67">
        <f>IFERROR(Y184/J184,"0")</f>
        <v>0.14285714285714285</v>
      </c>
    </row>
    <row r="185" spans="1:68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12</v>
      </c>
      <c r="Y185" s="280">
        <f>IFERROR(SUM(Y184:Y184),"0")</f>
        <v>12</v>
      </c>
      <c r="Z185" s="280">
        <f>IFERROR(IF(Z184="",0,Z184),"0")</f>
        <v>0.186</v>
      </c>
      <c r="AA185" s="281"/>
      <c r="AB185" s="281"/>
      <c r="AC185" s="281"/>
    </row>
    <row r="186" spans="1:68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60</v>
      </c>
      <c r="Y186" s="280">
        <f>IFERROR(SUMPRODUCT(Y184:Y184*H184:H184),"0")</f>
        <v>60</v>
      </c>
      <c r="Z186" s="38"/>
      <c r="AA186" s="281"/>
      <c r="AB186" s="281"/>
      <c r="AC186" s="281"/>
    </row>
    <row r="187" spans="1:68" ht="27.75" hidden="1" customHeight="1" x14ac:dyDescent="0.2">
      <c r="A187" s="363" t="s">
        <v>270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271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42</v>
      </c>
      <c r="Y190" s="279">
        <f>IFERROR(IF(X190="","",X190),"")</f>
        <v>42</v>
      </c>
      <c r="Z190" s="37">
        <f>IFERROR(IF(X190="","",X190*0.01788),"")</f>
        <v>0.75095999999999996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84</v>
      </c>
      <c r="Y191" s="279">
        <f>IFERROR(IF(X191="","",X191),"")</f>
        <v>84</v>
      </c>
      <c r="Z191" s="37">
        <f>IFERROR(IF(X191="","",X191*0.01788),"")</f>
        <v>1.5019199999999999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284.59199999999998</v>
      </c>
      <c r="BN191" s="67">
        <f>IFERROR(Y191*I191,"0")</f>
        <v>284.59199999999998</v>
      </c>
      <c r="BO191" s="67">
        <f>IFERROR(X191/J191,"0")</f>
        <v>1.2</v>
      </c>
      <c r="BP191" s="67">
        <f>IFERROR(Y191/J191,"0")</f>
        <v>1.2</v>
      </c>
    </row>
    <row r="192" spans="1:68" ht="27" hidden="1" customHeight="1" x14ac:dyDescent="0.25">
      <c r="A192" s="54" t="s">
        <v>278</v>
      </c>
      <c r="B192" s="54" t="s">
        <v>279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0</v>
      </c>
      <c r="Y192" s="279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281</v>
      </c>
      <c r="B193" s="54" t="s">
        <v>282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126</v>
      </c>
      <c r="Y194" s="280">
        <f>IFERROR(SUM(Y190:Y193),"0")</f>
        <v>126</v>
      </c>
      <c r="Z194" s="280">
        <f>IFERROR(IF(Z190="",0,Z190),"0")+IFERROR(IF(Z191="",0,Z191),"0")+IFERROR(IF(Z192="",0,Z192),"0")+IFERROR(IF(Z193="",0,Z193),"0")</f>
        <v>2.2528799999999998</v>
      </c>
      <c r="AA194" s="281"/>
      <c r="AB194" s="281"/>
      <c r="AC194" s="281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378</v>
      </c>
      <c r="Y195" s="280">
        <f>IFERROR(SUMPRODUCT(Y190:Y193*H190:H193),"0")</f>
        <v>378</v>
      </c>
      <c r="Z195" s="38"/>
      <c r="AA195" s="281"/>
      <c r="AB195" s="281"/>
      <c r="AC195" s="281"/>
    </row>
    <row r="196" spans="1:68" ht="27.75" hidden="1" customHeight="1" x14ac:dyDescent="0.2">
      <c r="A196" s="363" t="s">
        <v>284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285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hidden="1" customHeight="1" x14ac:dyDescent="0.25">
      <c r="A199" s="54" t="s">
        <v>286</v>
      </c>
      <c r="B199" s="54" t="s">
        <v>287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hidden="1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hidden="1" customHeight="1" x14ac:dyDescent="0.25">
      <c r="A203" s="54" t="s">
        <v>289</v>
      </c>
      <c r="B203" s="54" t="s">
        <v>290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295</v>
      </c>
      <c r="B205" s="54" t="s">
        <v>296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08" t="s">
        <v>298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299</v>
      </c>
      <c r="B210" s="54" t="s">
        <v>300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302</v>
      </c>
      <c r="B211" s="54" t="s">
        <v>303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305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60</v>
      </c>
      <c r="Y216" s="279">
        <f>IFERROR(IF(X216="","",X216),"")</f>
        <v>60</v>
      </c>
      <c r="Z216" s="37">
        <f>IFERROR(IF(X216="","",X216*0.0155),"")</f>
        <v>0.92999999999999994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313.8</v>
      </c>
      <c r="BN216" s="67">
        <f>IFERROR(Y216*I216,"0")</f>
        <v>313.8</v>
      </c>
      <c r="BO216" s="67">
        <f>IFERROR(X216/J216,"0")</f>
        <v>0.7142857142857143</v>
      </c>
      <c r="BP216" s="67">
        <f>IFERROR(Y216/J216,"0")</f>
        <v>0.7142857142857143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60</v>
      </c>
      <c r="Y217" s="280">
        <f>IFERROR(SUM(Y216:Y216),"0")</f>
        <v>60</v>
      </c>
      <c r="Z217" s="280">
        <f>IFERROR(IF(Z216="",0,Z216),"0")</f>
        <v>0.92999999999999994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300</v>
      </c>
      <c r="Y218" s="280">
        <f>IFERROR(SUMPRODUCT(Y216:Y216*H216:H216),"0")</f>
        <v>300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309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310</v>
      </c>
      <c r="B221" s="54" t="s">
        <v>311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313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314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315</v>
      </c>
      <c r="B227" s="54" t="s">
        <v>316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318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319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320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321</v>
      </c>
      <c r="B233" s="54" t="s">
        <v>322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324</v>
      </c>
      <c r="B237" s="54" t="s">
        <v>325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326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326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327</v>
      </c>
      <c r="B243" s="54" t="s">
        <v>328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330</v>
      </c>
      <c r="B247" s="54" t="s">
        <v>331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333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333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334</v>
      </c>
      <c r="B253" s="54" t="s">
        <v>335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337</v>
      </c>
      <c r="B254" s="54" t="s">
        <v>338</v>
      </c>
      <c r="C254" s="32">
        <v>4301071021</v>
      </c>
      <c r="D254" s="292">
        <v>4640242181325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96</v>
      </c>
      <c r="Y258" s="279">
        <f>IFERROR(IF(X258="","",X258),"")</f>
        <v>96</v>
      </c>
      <c r="Z258" s="37">
        <f>IFERROR(IF(X258="","",X258*0.0155),"")</f>
        <v>1.488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600.96</v>
      </c>
      <c r="BN258" s="67">
        <f>IFERROR(Y258*I258,"0")</f>
        <v>600.96</v>
      </c>
      <c r="BO258" s="67">
        <f>IFERROR(X258/J258,"0")</f>
        <v>1.1428571428571428</v>
      </c>
      <c r="BP258" s="67">
        <f>IFERROR(Y258/J258,"0")</f>
        <v>1.1428571428571428</v>
      </c>
    </row>
    <row r="259" spans="1:68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96</v>
      </c>
      <c r="Y259" s="280">
        <f>IFERROR(SUM(Y258:Y258),"0")</f>
        <v>96</v>
      </c>
      <c r="Z259" s="280">
        <f>IFERROR(IF(Z258="",0,Z258),"0")</f>
        <v>1.488</v>
      </c>
      <c r="AA259" s="281"/>
      <c r="AB259" s="281"/>
      <c r="AC259" s="281"/>
    </row>
    <row r="260" spans="1:68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576</v>
      </c>
      <c r="Y260" s="280">
        <f>IFERROR(SUMPRODUCT(Y258:Y258*H258:H258),"0")</f>
        <v>576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14</v>
      </c>
      <c r="Y262" s="279">
        <f>IFERROR(IF(X262="","",X262),"")</f>
        <v>14</v>
      </c>
      <c r="Z262" s="37">
        <f>IFERROR(IF(X262="","",X262*0.00936),"")</f>
        <v>0.13103999999999999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40.468400000000003</v>
      </c>
      <c r="BN262" s="67">
        <f>IFERROR(Y262*I262,"0")</f>
        <v>40.468400000000003</v>
      </c>
      <c r="BO262" s="67">
        <f>IFERROR(X262/J262,"0")</f>
        <v>0.1111111111111111</v>
      </c>
      <c r="BP262" s="67">
        <f>IFERROR(Y262/J262,"0")</f>
        <v>0.1111111111111111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240</v>
      </c>
      <c r="Y263" s="279">
        <f>IFERROR(IF(X263="","",X263),"")</f>
        <v>240</v>
      </c>
      <c r="Z263" s="37">
        <f>IFERROR(IF(X263="","",X263*0.0155),"")</f>
        <v>3.7199999999999998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1256.4000000000001</v>
      </c>
      <c r="BN263" s="67">
        <f>IFERROR(Y263*I263,"0")</f>
        <v>1256.4000000000001</v>
      </c>
      <c r="BO263" s="67">
        <f>IFERROR(X263/J263,"0")</f>
        <v>2.8571428571428572</v>
      </c>
      <c r="BP263" s="67">
        <f>IFERROR(Y263/J263,"0")</f>
        <v>2.8571428571428572</v>
      </c>
    </row>
    <row r="264" spans="1:68" ht="27" hidden="1" customHeight="1" x14ac:dyDescent="0.25">
      <c r="A264" s="54" t="s">
        <v>347</v>
      </c>
      <c r="B264" s="54" t="s">
        <v>348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254</v>
      </c>
      <c r="Y265" s="280">
        <f>IFERROR(SUM(Y262:Y264),"0")</f>
        <v>254</v>
      </c>
      <c r="Z265" s="280">
        <f>IFERROR(IF(Z262="",0,Z262),"0")+IFERROR(IF(Z263="",0,Z263),"0")+IFERROR(IF(Z264="",0,Z264),"0")</f>
        <v>3.8510399999999998</v>
      </c>
      <c r="AA265" s="281"/>
      <c r="AB265" s="281"/>
      <c r="AC265" s="281"/>
    </row>
    <row r="266" spans="1:68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1237.8</v>
      </c>
      <c r="Y266" s="280">
        <f>IFERROR(SUMPRODUCT(Y262:Y264*H262:H264),"0")</f>
        <v>1237.8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349</v>
      </c>
      <c r="B268" s="54" t="s">
        <v>350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354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14</v>
      </c>
      <c r="Y269" s="279">
        <f t="shared" si="18"/>
        <v>14</v>
      </c>
      <c r="Z269" s="37">
        <f>IFERROR(IF(X269="","",X269*0.00936),"")</f>
        <v>0.13103999999999999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54.488</v>
      </c>
      <c r="BN269" s="67">
        <f t="shared" si="20"/>
        <v>54.488</v>
      </c>
      <c r="BO269" s="67">
        <f t="shared" si="21"/>
        <v>0.1111111111111111</v>
      </c>
      <c r="BP269" s="67">
        <f t="shared" si="22"/>
        <v>0.1111111111111111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48</v>
      </c>
      <c r="Y270" s="279">
        <f t="shared" si="18"/>
        <v>48</v>
      </c>
      <c r="Z270" s="37">
        <f>IFERROR(IF(X270="","",X270*0.0155),"")</f>
        <v>0.74399999999999999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275.28000000000003</v>
      </c>
      <c r="BN270" s="67">
        <f t="shared" si="20"/>
        <v>275.28000000000003</v>
      </c>
      <c r="BO270" s="67">
        <f t="shared" si="21"/>
        <v>0.5714285714285714</v>
      </c>
      <c r="BP270" s="67">
        <f t="shared" si="22"/>
        <v>0.5714285714285714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168</v>
      </c>
      <c r="Y271" s="279">
        <f t="shared" si="18"/>
        <v>168</v>
      </c>
      <c r="Z271" s="37">
        <f t="shared" ref="Z271:Z276" si="23">IFERROR(IF(X271="","",X271*0.00936),"")</f>
        <v>1.5724800000000001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536.25600000000009</v>
      </c>
      <c r="BN271" s="67">
        <f t="shared" si="20"/>
        <v>536.25600000000009</v>
      </c>
      <c r="BO271" s="67">
        <f t="shared" si="21"/>
        <v>1.3333333333333333</v>
      </c>
      <c r="BP271" s="67">
        <f t="shared" si="22"/>
        <v>1.3333333333333333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70</v>
      </c>
      <c r="Y272" s="279">
        <f t="shared" si="18"/>
        <v>70</v>
      </c>
      <c r="Z272" s="37">
        <f t="shared" si="23"/>
        <v>0.6552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272.44</v>
      </c>
      <c r="BN272" s="67">
        <f t="shared" si="20"/>
        <v>272.44</v>
      </c>
      <c r="BO272" s="67">
        <f t="shared" si="21"/>
        <v>0.55555555555555558</v>
      </c>
      <c r="BP272" s="67">
        <f t="shared" si="22"/>
        <v>0.55555555555555558</v>
      </c>
    </row>
    <row r="273" spans="1:68" ht="37.5" hidden="1" customHeight="1" x14ac:dyDescent="0.25">
      <c r="A273" s="54" t="s">
        <v>363</v>
      </c>
      <c r="B273" s="54" t="s">
        <v>364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365</v>
      </c>
      <c r="B274" s="54" t="s">
        <v>366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371</v>
      </c>
      <c r="B277" s="54" t="s">
        <v>372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300</v>
      </c>
      <c r="Y278" s="280">
        <f>IFERROR(SUM(Y268:Y277),"0")</f>
        <v>300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3.1027199999999997</v>
      </c>
      <c r="AA278" s="281"/>
      <c r="AB278" s="281"/>
      <c r="AC278" s="281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1078.8</v>
      </c>
      <c r="Y279" s="280">
        <f>IFERROR(SUMPRODUCT(Y268:Y277*H268:H277),"0")</f>
        <v>1078.8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373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11665.92</v>
      </c>
      <c r="Y280" s="280">
        <f>IFERROR(Y31+Y37+Y44+Y50+Y58+Y63+Y68+Y74+Y80+Y85+Y91+Y101+Y107+Y119+Y123+Y127+Y135+Y141+Y147+Y153+Y159+Y164+Y169+Y174+Y181+Y186+Y195+Y201+Y207+Y213+Y218+Y223+Y229+Y235+Y239+Y245+Y249+Y256+Y260+Y266+Y279,"0")</f>
        <v>11665.92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374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13074.425200000001</v>
      </c>
      <c r="Y281" s="280">
        <f>IFERROR(SUM(BN22:BN277),"0")</f>
        <v>13074.425200000001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375</v>
      </c>
      <c r="Q282" s="334"/>
      <c r="R282" s="334"/>
      <c r="S282" s="334"/>
      <c r="T282" s="334"/>
      <c r="U282" s="334"/>
      <c r="V282" s="335"/>
      <c r="W282" s="38" t="s">
        <v>376</v>
      </c>
      <c r="X282" s="39">
        <f>ROUNDUP(SUM(BO22:BO277),0)</f>
        <v>37</v>
      </c>
      <c r="Y282" s="39">
        <f>ROUNDUP(SUM(BP22:BP277),0)</f>
        <v>37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377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13999.425200000001</v>
      </c>
      <c r="Y283" s="280">
        <f>GrossWeightTotalR+PalletQtyTotalR*25</f>
        <v>13999.425200000001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378</v>
      </c>
      <c r="Q284" s="334"/>
      <c r="R284" s="334"/>
      <c r="S284" s="334"/>
      <c r="T284" s="334"/>
      <c r="U284" s="334"/>
      <c r="V284" s="335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3456</v>
      </c>
      <c r="Y284" s="280">
        <f>IFERROR(Y30+Y36+Y43+Y49+Y57+Y62+Y67+Y73+Y79+Y84+Y90+Y100+Y106+Y118+Y122+Y126+Y134+Y140+Y146+Y152+Y158+Y163+Y168+Y173+Y180+Y185+Y194+Y200+Y206+Y212+Y217+Y222+Y228+Y234+Y238+Y244+Y248+Y255+Y259+Y265+Y278,"0")</f>
        <v>3456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379</v>
      </c>
      <c r="Q285" s="334"/>
      <c r="R285" s="334"/>
      <c r="S285" s="334"/>
      <c r="T285" s="334"/>
      <c r="U285" s="334"/>
      <c r="V285" s="335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46.002079999999999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259</v>
      </c>
      <c r="W287" s="283"/>
      <c r="X287" s="275" t="s">
        <v>270</v>
      </c>
      <c r="Y287" s="282" t="s">
        <v>284</v>
      </c>
      <c r="Z287" s="381"/>
      <c r="AA287" s="381"/>
      <c r="AB287" s="28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7" t="s">
        <v>382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178</v>
      </c>
      <c r="M288" s="282" t="s">
        <v>185</v>
      </c>
      <c r="N288" s="276"/>
      <c r="O288" s="282" t="s">
        <v>212</v>
      </c>
      <c r="P288" s="282" t="s">
        <v>230</v>
      </c>
      <c r="Q288" s="282" t="s">
        <v>236</v>
      </c>
      <c r="R288" s="282" t="s">
        <v>243</v>
      </c>
      <c r="S288" s="282" t="s">
        <v>248</v>
      </c>
      <c r="T288" s="282" t="s">
        <v>252</v>
      </c>
      <c r="U288" s="282" t="s">
        <v>255</v>
      </c>
      <c r="V288" s="282" t="s">
        <v>260</v>
      </c>
      <c r="W288" s="282" t="s">
        <v>267</v>
      </c>
      <c r="X288" s="282" t="s">
        <v>271</v>
      </c>
      <c r="Y288" s="282" t="s">
        <v>285</v>
      </c>
      <c r="Z288" s="282" t="s">
        <v>298</v>
      </c>
      <c r="AA288" s="282" t="s">
        <v>305</v>
      </c>
      <c r="AB288" s="282" t="s">
        <v>309</v>
      </c>
      <c r="AC288" s="282" t="s">
        <v>314</v>
      </c>
      <c r="AD288" s="282" t="s">
        <v>319</v>
      </c>
      <c r="AE288" s="282" t="s">
        <v>326</v>
      </c>
      <c r="AF288" s="282" t="s">
        <v>333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393.6</v>
      </c>
      <c r="C290" s="47">
        <f>IFERROR(X34*H34,"0")+IFERROR(X35*H35,"0")</f>
        <v>0</v>
      </c>
      <c r="D290" s="47">
        <f>IFERROR(X41*H41,"0")+IFERROR(X42*H42,"0")</f>
        <v>399</v>
      </c>
      <c r="E290" s="47">
        <f>IFERROR(X47*H47,"0")+IFERROR(X48*H48,"0")</f>
        <v>134.39999999999998</v>
      </c>
      <c r="F290" s="47">
        <f>IFERROR(X53*H53,"0")+IFERROR(X54*H54,"0")+IFERROR(X55*H55,"0")+IFERROR(X56*H56,"0")</f>
        <v>475.20000000000005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420</v>
      </c>
      <c r="I290" s="47">
        <f>IFERROR(X83*H83,"0")</f>
        <v>0</v>
      </c>
      <c r="J290" s="47">
        <f>IFERROR(X88*H88,"0")+IFERROR(X89*H89,"0")</f>
        <v>655.20000000000005</v>
      </c>
      <c r="K290" s="47">
        <f>IFERROR(X94*H94,"0")+IFERROR(X95*H95,"0")+IFERROR(X96*H96,"0")+IFERROR(X97*H97,"0")+IFERROR(X98*H98,"0")+IFERROR(X99*H99,"0")</f>
        <v>698.88</v>
      </c>
      <c r="L290" s="47">
        <f>IFERROR(X104*H104,"0")+IFERROR(X105*H105,"0")</f>
        <v>241.92000000000002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2148</v>
      </c>
      <c r="N290" s="276"/>
      <c r="O290" s="47">
        <f>IFERROR(X130*H130,"0")+IFERROR(X131*H131,"0")+IFERROR(X132*H132,"0")+IFERROR(X133*H133,"0")+IFERROR(X137*H137,"0")+IFERROR(X138*H138,"0")+IFERROR(X139*H139,"0")</f>
        <v>907.2</v>
      </c>
      <c r="P290" s="47">
        <f>IFERROR(X144*H144,"0")+IFERROR(X145*H145,"0")</f>
        <v>756</v>
      </c>
      <c r="Q290" s="47">
        <f>IFERROR(X150*H150,"0")+IFERROR(X151*H151,"0")</f>
        <v>420</v>
      </c>
      <c r="R290" s="47">
        <f>IFERROR(X156*H156,"0")+IFERROR(X157*H157,"0")</f>
        <v>67.2</v>
      </c>
      <c r="S290" s="47">
        <f>IFERROR(X162*H162,"0")</f>
        <v>0</v>
      </c>
      <c r="T290" s="47">
        <f>IFERROR(X167*H167,"0")</f>
        <v>0</v>
      </c>
      <c r="U290" s="47">
        <f>IFERROR(X172*H172,"0")</f>
        <v>258.71999999999997</v>
      </c>
      <c r="V290" s="47">
        <f>IFERROR(X178*H178,"0")+IFERROR(X179*H179,"0")</f>
        <v>60</v>
      </c>
      <c r="W290" s="47">
        <f>IFERROR(X184*H184,"0")</f>
        <v>60</v>
      </c>
      <c r="X290" s="47">
        <f>IFERROR(X190*H190,"0")+IFERROR(X191*H191,"0")+IFERROR(X192*H192,"0")+IFERROR(X193*H193,"0")</f>
        <v>378</v>
      </c>
      <c r="Y290" s="47">
        <f>IFERROR(X199*H199,"0")+IFERROR(X203*H203,"0")+IFERROR(X204*H204,"0")+IFERROR(X205*H205,"0")</f>
        <v>0</v>
      </c>
      <c r="Z290" s="47">
        <f>IFERROR(X210*H210,"0")+IFERROR(X211*H211,"0")</f>
        <v>0</v>
      </c>
      <c r="AA290" s="47">
        <f>IFERROR(X216*H216,"0")</f>
        <v>300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2892.6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3991.2</v>
      </c>
      <c r="B293" s="60">
        <f>SUMPRODUCT(--(BB:BB="ПГП"),--(W:W="кор"),H:H,Y:Y)+SUMPRODUCT(--(BB:BB="ПГП"),--(W:W="кг"),Y:Y)</f>
        <v>7674.7200000000012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8,80"/>
        <filter val="1 237,80"/>
        <filter val="108,00"/>
        <filter val="11 665,92"/>
        <filter val="112,00"/>
        <filter val="12,00"/>
        <filter val="120,00"/>
        <filter val="126,00"/>
        <filter val="13 074,43"/>
        <filter val="13 999,43"/>
        <filter val="134,40"/>
        <filter val="14,00"/>
        <filter val="140,00"/>
        <filter val="154,00"/>
        <filter val="168,00"/>
        <filter val="182,00"/>
        <filter val="196,00"/>
        <filter val="2 148,00"/>
        <filter val="210,00"/>
        <filter val="211,68"/>
        <filter val="24,00"/>
        <filter val="240,00"/>
        <filter val="241,92"/>
        <filter val="252,00"/>
        <filter val="254,00"/>
        <filter val="258,72"/>
        <filter val="266,00"/>
        <filter val="28,00"/>
        <filter val="3 456,00"/>
        <filter val="300,00"/>
        <filter val="312,00"/>
        <filter val="322,00"/>
        <filter val="37"/>
        <filter val="378,00"/>
        <filter val="393,60"/>
        <filter val="399,00"/>
        <filter val="42,00"/>
        <filter val="420,00"/>
        <filter val="475,20"/>
        <filter val="48,00"/>
        <filter val="504,00"/>
        <filter val="56,00"/>
        <filter val="576,00"/>
        <filter val="60,00"/>
        <filter val="655,20"/>
        <filter val="67,20"/>
        <filter val="695,52"/>
        <filter val="698,88"/>
        <filter val="70,00"/>
        <filter val="72,00"/>
        <filter val="756,00"/>
        <filter val="84,00"/>
        <filter val="96,00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2026-08-28T15:33:22Z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