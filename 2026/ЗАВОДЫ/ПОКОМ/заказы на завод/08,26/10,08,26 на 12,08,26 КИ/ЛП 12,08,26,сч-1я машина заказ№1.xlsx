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612DDDD-F26D-48B8-9720-1BBD2BEC942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121" i="2" l="1"/>
  <c r="Z159" i="2"/>
  <c r="Z160" i="2" s="1"/>
  <c r="Y160" i="2"/>
  <c r="Z374" i="2"/>
  <c r="BP120" i="2"/>
  <c r="Z293" i="2"/>
  <c r="BN293" i="2"/>
  <c r="Z428" i="2"/>
  <c r="BP66" i="2"/>
  <c r="Z230" i="2"/>
  <c r="BN230" i="2"/>
  <c r="Z356" i="2"/>
  <c r="BP395" i="2"/>
  <c r="BP100" i="2"/>
  <c r="Z124" i="2"/>
  <c r="Z125" i="2" s="1"/>
  <c r="Z149" i="2"/>
  <c r="BP222" i="2"/>
  <c r="Z318" i="2"/>
  <c r="Z363" i="2"/>
  <c r="BN363" i="2"/>
  <c r="Z383" i="2"/>
  <c r="BN383" i="2"/>
  <c r="Y397" i="2"/>
  <c r="Z407" i="2"/>
  <c r="Z431" i="2"/>
  <c r="Z466" i="2"/>
  <c r="BN48" i="2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23" i="2"/>
  <c r="BN59" i="2"/>
  <c r="BN41" i="2"/>
  <c r="BN74" i="2"/>
  <c r="BN93" i="2"/>
  <c r="BN113" i="2"/>
  <c r="Z118" i="2"/>
  <c r="BN118" i="2"/>
  <c r="Y122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548" i="2"/>
  <c r="Z24" i="2"/>
  <c r="Z95" i="2"/>
  <c r="Z409" i="2"/>
  <c r="Z259" i="2"/>
  <c r="Z484" i="2"/>
  <c r="Z468" i="2"/>
  <c r="Z320" i="2"/>
  <c r="Z435" i="2"/>
  <c r="Z422" i="2"/>
  <c r="Z357" i="2"/>
  <c r="Z441" i="2"/>
  <c r="Z114" i="2"/>
  <c r="Z377" i="2"/>
  <c r="Z329" i="2"/>
  <c r="Z132" i="2"/>
  <c r="X558" i="2"/>
  <c r="Z415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<sst xmlns="http://schemas.openxmlformats.org/spreadsheetml/2006/main" count="4245" uniqueCount="901">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</sst>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46246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Среда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60</v>
      </c>
      <c r="Y57" s="55">
        <f t="shared" si="0"/>
        <v>64.800000000000011</v>
      </c>
      <c r="Z57" s="41">
        <f>IFERROR(IF(Y57=0,"",ROUNDUP(Y57/H57,0)*0.01898),"")</f>
        <v>0.11388000000000001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62.277777777777779</v>
      </c>
      <c r="BN57" s="78">
        <f t="shared" si="2"/>
        <v>67.260000000000005</v>
      </c>
      <c r="BO57" s="78">
        <f t="shared" si="3"/>
        <v>8.6805555555555552E-2</v>
      </c>
      <c r="BP57" s="78">
        <f t="shared" si="4"/>
        <v>9.3750000000000014E-2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54</v>
      </c>
      <c r="Y62" s="55">
        <f t="shared" si="0"/>
        <v>54</v>
      </c>
      <c r="Z62" s="41">
        <f>IFERROR(IF(Y62=0,"",ROUNDUP(Y62/H62,0)*0.00902),"")</f>
        <v>0.10824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56.28</v>
      </c>
      <c r="BN62" s="78">
        <f t="shared" si="2"/>
        <v>56.28</v>
      </c>
      <c r="BO62" s="78">
        <f t="shared" si="3"/>
        <v>9.0909090909090912E-2</v>
      </c>
      <c r="BP62" s="78">
        <f t="shared" si="4"/>
        <v>9.0909090909090912E-2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17.555555555555557</v>
      </c>
      <c r="Y63" s="43">
        <f>IFERROR(Y55/H55,"0")+IFERROR(Y56/H56,"0")+IFERROR(Y57/H57,"0")+IFERROR(Y58/H58,"0")+IFERROR(Y59/H59,"0")+IFERROR(Y60/H60,"0")+IFERROR(Y61/H61,"0")+IFERROR(Y62/H62,"0")</f>
        <v>18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0.22212000000000001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114</v>
      </c>
      <c r="Y64" s="43">
        <f>IFERROR(SUM(Y55:Y62),"0")</f>
        <v>118.80000000000001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9</v>
      </c>
      <c r="Y69" s="55">
        <f>IFERROR(IF(X69="",0,CEILING((X69/$H69),1)*$H69),"")</f>
        <v>10.8</v>
      </c>
      <c r="Z69" s="41">
        <f>IFERROR(IF(Y69=0,"",ROUNDUP(Y69/H69,0)*0.00651),"")</f>
        <v>2.6040000000000001E-2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9.5999999999999979</v>
      </c>
      <c r="BN69" s="78">
        <f>IFERROR(Y69*I69/H69,"0")</f>
        <v>11.52</v>
      </c>
      <c r="BO69" s="78">
        <f>IFERROR(1/J69*(X69/H69),"0")</f>
        <v>1.8315018315018316E-2</v>
      </c>
      <c r="BP69" s="78">
        <f>IFERROR(1/J69*(Y69/H69),"0")</f>
        <v>2.197802197802198E-2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3.333333333333333</v>
      </c>
      <c r="Y70" s="43">
        <f>IFERROR(Y66/H66,"0")+IFERROR(Y67/H67,"0")+IFERROR(Y68/H68,"0")+IFERROR(Y69/H69,"0")</f>
        <v>4</v>
      </c>
      <c r="Z70" s="43">
        <f>IFERROR(IF(Z66="",0,Z66),"0")+IFERROR(IF(Z67="",0,Z67),"0")+IFERROR(IF(Z68="",0,Z68),"0")+IFERROR(IF(Z69="",0,Z69),"0")</f>
        <v>2.6040000000000001E-2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9</v>
      </c>
      <c r="Y71" s="43">
        <f>IFERROR(SUM(Y66:Y69),"0")</f>
        <v>10.8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30</v>
      </c>
      <c r="Y84" s="55">
        <f>IFERROR(IF(X84="",0,CEILING((X84/$H84),1)*$H84),"")</f>
        <v>32.400000000000006</v>
      </c>
      <c r="Z84" s="41">
        <f>IFERROR(IF(Y84=0,"",ROUNDUP(Y84/H84,0)*0.01898),"")</f>
        <v>5.6940000000000004E-2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31.138888888888889</v>
      </c>
      <c r="BN84" s="78">
        <f>IFERROR(Y84*I84/H84,"0")</f>
        <v>33.630000000000003</v>
      </c>
      <c r="BO84" s="78">
        <f>IFERROR(1/J84*(X84/H84),"0")</f>
        <v>4.3402777777777776E-2</v>
      </c>
      <c r="BP84" s="78">
        <f>IFERROR(1/J84*(Y84/H84),"0")</f>
        <v>4.6875000000000007E-2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4.5</v>
      </c>
      <c r="Y87" s="55">
        <f>IFERROR(IF(X87="",0,CEILING((X87/$H87),1)*$H87),"")</f>
        <v>4.5</v>
      </c>
      <c r="Z87" s="41">
        <f>IFERROR(IF(Y87=0,"",ROUNDUP(Y87/H87,0)*0.00902),"")</f>
        <v>9.0200000000000002E-3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4.6900000000000004</v>
      </c>
      <c r="BN87" s="78">
        <f>IFERROR(Y87*I87/H87,"0")</f>
        <v>4.6900000000000004</v>
      </c>
      <c r="BO87" s="78">
        <f>IFERROR(1/J87*(X87/H87),"0")</f>
        <v>7.575757575757576E-3</v>
      </c>
      <c r="BP87" s="78">
        <f>IFERROR(1/J87*(Y87/H87),"0")</f>
        <v>7.575757575757576E-3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3.7777777777777777</v>
      </c>
      <c r="Y88" s="43">
        <f>IFERROR(Y84/H84,"0")+IFERROR(Y85/H85,"0")+IFERROR(Y86/H86,"0")+IFERROR(Y87/H87,"0")</f>
        <v>4</v>
      </c>
      <c r="Z88" s="43">
        <f>IFERROR(IF(Z84="",0,Z84),"0")+IFERROR(IF(Z85="",0,Z85),"0")+IFERROR(IF(Z86="",0,Z86),"0")+IFERROR(IF(Z87="",0,Z87),"0")</f>
        <v>6.5960000000000005E-2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34.5</v>
      </c>
      <c r="Y89" s="43">
        <f>IFERROR(SUM(Y84:Y87),"0")</f>
        <v>36.900000000000006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30</v>
      </c>
      <c r="Y91" s="55">
        <f>IFERROR(IF(X91="",0,CEILING((X91/$H91),1)*$H91),"")</f>
        <v>32.4</v>
      </c>
      <c r="Z91" s="41">
        <f>IFERROR(IF(Y91=0,"",ROUNDUP(Y91/H91,0)*0.01898),"")</f>
        <v>7.5920000000000001E-2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31.829629629629629</v>
      </c>
      <c r="BN91" s="78">
        <f>IFERROR(Y91*I91/H91,"0")</f>
        <v>34.375999999999998</v>
      </c>
      <c r="BO91" s="78">
        <f>IFERROR(1/J91*(X91/H91),"0")</f>
        <v>5.7870370370370371E-2</v>
      </c>
      <c r="BP91" s="78">
        <f>IFERROR(1/J91*(Y91/H91),"0")</f>
        <v>6.25E-2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8.1</v>
      </c>
      <c r="Y93" s="55">
        <f>IFERROR(IF(X93="",0,CEILING((X93/$H93),1)*$H93),"")</f>
        <v>8.1000000000000014</v>
      </c>
      <c r="Z93" s="41">
        <f>IFERROR(IF(Y93=0,"",ROUNDUP(Y93/H93,0)*0.00651),"")</f>
        <v>1.9529999999999999E-2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8.8559999999999981</v>
      </c>
      <c r="BN93" s="78">
        <f>IFERROR(Y93*I93/H93,"0")</f>
        <v>8.8560000000000016</v>
      </c>
      <c r="BO93" s="78">
        <f>IFERROR(1/J93*(X93/H93),"0")</f>
        <v>1.6483516483516484E-2</v>
      </c>
      <c r="BP93" s="78">
        <f>IFERROR(1/J93*(Y93/H93),"0")</f>
        <v>1.6483516483516487E-2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6.7037037037037033</v>
      </c>
      <c r="Y95" s="43">
        <f>IFERROR(Y91/H91,"0")+IFERROR(Y92/H92,"0")+IFERROR(Y93/H93,"0")+IFERROR(Y94/H94,"0")</f>
        <v>7</v>
      </c>
      <c r="Z95" s="43">
        <f>IFERROR(IF(Z91="",0,Z91),"0")+IFERROR(IF(Z92="",0,Z92),"0")+IFERROR(IF(Z93="",0,Z93),"0")+IFERROR(IF(Z94="",0,Z94),"0")</f>
        <v>9.5450000000000007E-2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38.1</v>
      </c>
      <c r="Y96" s="43">
        <f>IFERROR(SUM(Y91:Y94),"0")</f>
        <v>40.5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10</v>
      </c>
      <c r="Y99" s="55">
        <f t="shared" ref="Y99:Y105" si="5">IFERROR(IF(X99="",0,CEILING((X99/$H99),1)*$H99),"")</f>
        <v>10.8</v>
      </c>
      <c r="Z99" s="41">
        <f>IFERROR(IF(Y99=0,"",ROUNDUP(Y99/H99,0)*0.01898),"")</f>
        <v>1.898E-2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10.37962962962963</v>
      </c>
      <c r="BN99" s="78">
        <f t="shared" ref="BN99:BN105" si="7">IFERROR(Y99*I99/H99,"0")</f>
        <v>11.21</v>
      </c>
      <c r="BO99" s="78">
        <f t="shared" ref="BO99:BO105" si="8">IFERROR(1/J99*(X99/H99),"0")</f>
        <v>1.4467592592592591E-2</v>
      </c>
      <c r="BP99" s="78">
        <f t="shared" ref="BP99:BP105" si="9">IFERROR(1/J99*(Y99/H99),"0")</f>
        <v>1.5625E-2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3.75</v>
      </c>
      <c r="Y103" s="55">
        <f t="shared" si="5"/>
        <v>3.75</v>
      </c>
      <c r="Z103" s="41">
        <f>IFERROR(IF(Y103=0,"",ROUNDUP(Y103/H103,0)*0.00902),"")</f>
        <v>9.0200000000000002E-3</v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3.94</v>
      </c>
      <c r="BN103" s="78">
        <f t="shared" si="7"/>
        <v>3.94</v>
      </c>
      <c r="BO103" s="78">
        <f t="shared" si="8"/>
        <v>7.575757575757576E-3</v>
      </c>
      <c r="BP103" s="78">
        <f t="shared" si="9"/>
        <v>7.575757575757576E-3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1.9259259259259258</v>
      </c>
      <c r="Y106" s="43">
        <f>IFERROR(Y99/H99,"0")+IFERROR(Y100/H100,"0")+IFERROR(Y101/H101,"0")+IFERROR(Y102/H102,"0")+IFERROR(Y103/H103,"0")+IFERROR(Y104/H104,"0")+IFERROR(Y105/H105,"0")</f>
        <v>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2.8000000000000001E-2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13.75</v>
      </c>
      <c r="Y107" s="43">
        <f>IFERROR(SUM(Y99:Y105),"0")</f>
        <v>14.55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30</v>
      </c>
      <c r="Y117" s="55">
        <f>IFERROR(IF(X117="",0,CEILING((X117/$H117),1)*$H117),"")</f>
        <v>32.4</v>
      </c>
      <c r="Z117" s="41">
        <f>IFERROR(IF(Y117=0,"",ROUNDUP(Y117/H117,0)*0.01898),"")</f>
        <v>7.5920000000000001E-2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31.807407407407407</v>
      </c>
      <c r="BN117" s="78">
        <f>IFERROR(Y117*I117/H117,"0")</f>
        <v>34.351999999999997</v>
      </c>
      <c r="BO117" s="78">
        <f>IFERROR(1/J117*(X117/H117),"0")</f>
        <v>5.7870370370370371E-2</v>
      </c>
      <c r="BP117" s="78">
        <f>IFERROR(1/J117*(Y117/H117),"0")</f>
        <v>6.25E-2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8.1</v>
      </c>
      <c r="Y119" s="55">
        <f>IFERROR(IF(X119="",0,CEILING((X119/$H119),1)*$H119),"")</f>
        <v>8.1000000000000014</v>
      </c>
      <c r="Z119" s="41">
        <f>IFERROR(IF(Y119=0,"",ROUNDUP(Y119/H119,0)*0.00651),"")</f>
        <v>1.9529999999999999E-2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8.8559999999999981</v>
      </c>
      <c r="BN119" s="78">
        <f>IFERROR(Y119*I119/H119,"0")</f>
        <v>8.8560000000000016</v>
      </c>
      <c r="BO119" s="78">
        <f>IFERROR(1/J119*(X119/H119),"0")</f>
        <v>1.6483516483516484E-2</v>
      </c>
      <c r="BP119" s="78">
        <f>IFERROR(1/J119*(Y119/H119),"0")</f>
        <v>1.6483516483516487E-2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6.7037037037037033</v>
      </c>
      <c r="Y121" s="43">
        <f>IFERROR(Y117/H117,"0")+IFERROR(Y118/H118,"0")+IFERROR(Y119/H119,"0")+IFERROR(Y120/H120,"0")</f>
        <v>7</v>
      </c>
      <c r="Z121" s="43">
        <f>IFERROR(IF(Z117="",0,Z117),"0")+IFERROR(IF(Z118="",0,Z118),"0")+IFERROR(IF(Z119="",0,Z119),"0")+IFERROR(IF(Z120="",0,Z120),"0")</f>
        <v>9.5450000000000007E-2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38.1</v>
      </c>
      <c r="Y122" s="43">
        <f>IFERROR(SUM(Y117:Y120),"0")</f>
        <v>40.5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7.2</v>
      </c>
      <c r="Y130" s="55">
        <f>IFERROR(IF(X130="",0,CEILING((X130/$H130),1)*$H130),"")</f>
        <v>9.6000000000000014</v>
      </c>
      <c r="Z130" s="41">
        <f>IFERROR(IF(Y130=0,"",ROUNDUP(Y130/H130,0)*0.00651),"")</f>
        <v>1.9529999999999999E-2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7.6049999999999995</v>
      </c>
      <c r="BN130" s="78">
        <f>IFERROR(Y130*I130/H130,"0")</f>
        <v>10.139999999999999</v>
      </c>
      <c r="BO130" s="78">
        <f>IFERROR(1/J130*(X130/H130),"0")</f>
        <v>1.2362637362637364E-2</v>
      </c>
      <c r="BP130" s="78">
        <f>IFERROR(1/J130*(Y130/H130),"0")</f>
        <v>1.6483516483516487E-2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2.25</v>
      </c>
      <c r="Y132" s="43">
        <f>IFERROR(Y129/H129,"0")+IFERROR(Y130/H130,"0")+IFERROR(Y131/H131,"0")</f>
        <v>3.0000000000000004</v>
      </c>
      <c r="Z132" s="43">
        <f>IFERROR(IF(Z129="",0,Z129),"0")+IFERROR(IF(Z130="",0,Z130),"0")+IFERROR(IF(Z131="",0,Z131),"0")</f>
        <v>1.9529999999999999E-2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7.2</v>
      </c>
      <c r="Y133" s="43">
        <f>IFERROR(SUM(Y129:Y131),"0")</f>
        <v>9.6000000000000014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7.2</v>
      </c>
      <c r="Y281" s="55">
        <f t="shared" si="38"/>
        <v>7.1999999999999993</v>
      </c>
      <c r="Z281" s="41">
        <f>IFERROR(IF(Y281=0,"",ROUNDUP(Y281/H281,0)*0.00651),"")</f>
        <v>1.9529999999999999E-2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8.01</v>
      </c>
      <c r="BN281" s="78">
        <f t="shared" si="40"/>
        <v>8.009999999999998</v>
      </c>
      <c r="BO281" s="78">
        <f t="shared" si="41"/>
        <v>1.6483516483516484E-2</v>
      </c>
      <c r="BP281" s="78">
        <f t="shared" si="42"/>
        <v>1.6483516483516484E-2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3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1.9529999999999999E-2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7.2</v>
      </c>
      <c r="Y291" s="43">
        <f>IFERROR(SUM(Y278:Y289),"0")</f>
        <v>7.1999999999999993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10</v>
      </c>
      <c r="Y324" s="55">
        <f>IFERROR(IF(X324="",0,CEILING((X324/$H324),1)*$H324),"")</f>
        <v>10.8</v>
      </c>
      <c r="Z324" s="41">
        <f>IFERROR(IF(Y324=0,"",ROUNDUP(Y324/H324,0)*0.01898),"")</f>
        <v>1.898E-2</v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10.37962962962963</v>
      </c>
      <c r="BN324" s="78">
        <f>IFERROR(Y324*I324/H324,"0")</f>
        <v>11.21</v>
      </c>
      <c r="BO324" s="78">
        <f>IFERROR(1/J324*(X324/H324),"0")</f>
        <v>1.4467592592592591E-2</v>
      </c>
      <c r="BP324" s="78">
        <f>IFERROR(1/J324*(Y324/H324),"0")</f>
        <v>1.5625E-2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43.2</v>
      </c>
      <c r="Z326" s="41">
        <f>IFERROR(IF(Y326=0,"",ROUNDUP(Y326/H326,0)*0.01898),"")</f>
        <v>7.5920000000000001E-2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41.518518518518519</v>
      </c>
      <c r="BN326" s="78">
        <f>IFERROR(Y326*I326/H326,"0")</f>
        <v>44.84</v>
      </c>
      <c r="BO326" s="78">
        <f>IFERROR(1/J326*(X326/H326),"0")</f>
        <v>5.7870370370370364E-2</v>
      </c>
      <c r="BP326" s="78">
        <f>IFERROR(1/J326*(Y326/H326),"0")</f>
        <v>6.25E-2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4</v>
      </c>
      <c r="Y327" s="55">
        <f>IFERROR(IF(X327="",0,CEILING((X327/$H327),1)*$H327),"")</f>
        <v>4</v>
      </c>
      <c r="Z327" s="41">
        <f>IFERROR(IF(Y327=0,"",ROUNDUP(Y327/H327,0)*0.00902),"")</f>
        <v>9.0200000000000002E-3</v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4.1900000000000004</v>
      </c>
      <c r="BN327" s="78">
        <f>IFERROR(Y327*I327/H327,"0")</f>
        <v>4.1900000000000004</v>
      </c>
      <c r="BO327" s="78">
        <f>IFERROR(1/J327*(X327/H327),"0")</f>
        <v>7.575757575757576E-3</v>
      </c>
      <c r="BP327" s="78">
        <f>IFERROR(1/J327*(Y327/H327),"0")</f>
        <v>7.575757575757576E-3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4</v>
      </c>
      <c r="Y328" s="55">
        <f>IFERROR(IF(X328="",0,CEILING((X328/$H328),1)*$H328),"")</f>
        <v>4</v>
      </c>
      <c r="Z328" s="41">
        <f>IFERROR(IF(Y328=0,"",ROUNDUP(Y328/H328,0)*0.00902),"")</f>
        <v>9.0200000000000002E-3</v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4.1900000000000004</v>
      </c>
      <c r="BN328" s="78">
        <f>IFERROR(Y328*I328/H328,"0")</f>
        <v>4.1900000000000004</v>
      </c>
      <c r="BO328" s="78">
        <f>IFERROR(1/J328*(X328/H328),"0")</f>
        <v>7.575757575757576E-3</v>
      </c>
      <c r="BP328" s="78">
        <f>IFERROR(1/J328*(Y328/H328),"0")</f>
        <v>7.575757575757576E-3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6.6296296296296289</v>
      </c>
      <c r="Y329" s="43">
        <f>IFERROR(Y324/H324,"0")+IFERROR(Y325/H325,"0")+IFERROR(Y326/H326,"0")+IFERROR(Y327/H327,"0")+IFERROR(Y328/H328,"0")</f>
        <v>7</v>
      </c>
      <c r="Z329" s="43">
        <f>IFERROR(IF(Z324="",0,Z324),"0")+IFERROR(IF(Z325="",0,Z325),"0")+IFERROR(IF(Z326="",0,Z326),"0")+IFERROR(IF(Z327="",0,Z327),"0")+IFERROR(IF(Z328="",0,Z328),"0")</f>
        <v>0.11294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58</v>
      </c>
      <c r="Y330" s="43">
        <f>IFERROR(SUM(Y324:Y328),"0")</f>
        <v>62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10</v>
      </c>
      <c r="Y363" s="55">
        <f t="shared" si="48"/>
        <v>10.8</v>
      </c>
      <c r="Z363" s="41">
        <f>IFERROR(IF(Y363=0,"",ROUNDUP(Y363/H363,0)*0.01898),"")</f>
        <v>1.898E-2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10.37962962962963</v>
      </c>
      <c r="BN363" s="78">
        <f t="shared" si="50"/>
        <v>11.21</v>
      </c>
      <c r="BO363" s="78">
        <f t="shared" si="51"/>
        <v>1.4467592592592591E-2</v>
      </c>
      <c r="BP363" s="78">
        <f t="shared" si="52"/>
        <v>1.5625E-2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80</v>
      </c>
      <c r="Y364" s="55">
        <f t="shared" si="48"/>
        <v>86.4</v>
      </c>
      <c r="Z364" s="41">
        <f>IFERROR(IF(Y364=0,"",ROUNDUP(Y364/H364,0)*0.01898),"")</f>
        <v>0.15184</v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83.037037037037038</v>
      </c>
      <c r="BN364" s="78">
        <f t="shared" si="50"/>
        <v>89.68</v>
      </c>
      <c r="BO364" s="78">
        <f t="shared" si="51"/>
        <v>0.11574074074074073</v>
      </c>
      <c r="BP364" s="78">
        <f t="shared" si="52"/>
        <v>0.125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40</v>
      </c>
      <c r="Y365" s="55">
        <f t="shared" si="48"/>
        <v>40</v>
      </c>
      <c r="Z365" s="41">
        <f>IFERROR(IF(Y365=0,"",ROUNDUP(Y365/H365,0)*0.00902),"")</f>
        <v>9.0200000000000002E-2</v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41.900000000000006</v>
      </c>
      <c r="BN365" s="78">
        <f t="shared" si="50"/>
        <v>41.900000000000006</v>
      </c>
      <c r="BO365" s="78">
        <f t="shared" si="51"/>
        <v>7.575757575757576E-2</v>
      </c>
      <c r="BP365" s="78">
        <f t="shared" si="52"/>
        <v>7.575757575757576E-2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4</v>
      </c>
      <c r="Y366" s="55">
        <f t="shared" si="48"/>
        <v>4</v>
      </c>
      <c r="Z366" s="41">
        <f>IFERROR(IF(Y366=0,"",ROUNDUP(Y366/H366,0)*0.00902),"")</f>
        <v>9.0200000000000002E-3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4.1900000000000004</v>
      </c>
      <c r="BN366" s="78">
        <f t="shared" si="50"/>
        <v>4.1900000000000004</v>
      </c>
      <c r="BO366" s="78">
        <f t="shared" si="51"/>
        <v>7.575757575757576E-3</v>
      </c>
      <c r="BP366" s="78">
        <f t="shared" si="52"/>
        <v>7.575757575757576E-3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19.333333333333332</v>
      </c>
      <c r="Y367" s="43">
        <f>IFERROR(Y361/H361,"0")+IFERROR(Y362/H362,"0")+IFERROR(Y363/H363,"0")+IFERROR(Y364/H364,"0")+IFERROR(Y365/H365,"0")+IFERROR(Y366/H366,"0")</f>
        <v>20</v>
      </c>
      <c r="Z367" s="43">
        <f>IFERROR(IF(Z361="",0,Z361),"0")+IFERROR(IF(Z362="",0,Z362),"0")+IFERROR(IF(Z363="",0,Z363),"0")+IFERROR(IF(Z364="",0,Z364),"0")+IFERROR(IF(Z365="",0,Z365),"0")+IFERROR(IF(Z366="",0,Z366),"0")</f>
        <v>0.27004000000000006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134</v>
      </c>
      <c r="Y368" s="43">
        <f>IFERROR(SUM(Y361:Y366),"0")</f>
        <v>141.19999999999999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35</v>
      </c>
      <c r="Y370" s="55">
        <f t="shared" ref="Y370:Y376" si="53">IFERROR(IF(X370="",0,CEILING((X370/$H370),1)*$H370),"")</f>
        <v>37.800000000000004</v>
      </c>
      <c r="Z370" s="41">
        <f>IFERROR(IF(Y370=0,"",ROUNDUP(Y370/H370,0)*0.00902),"")</f>
        <v>8.1180000000000002E-2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37.083333333333329</v>
      </c>
      <c r="BN370" s="78">
        <f t="shared" ref="BN370:BN376" si="55">IFERROR(Y370*I370/H370,"0")</f>
        <v>40.050000000000004</v>
      </c>
      <c r="BO370" s="78">
        <f t="shared" ref="BO370:BO376" si="56">IFERROR(1/J370*(X370/H370),"0")</f>
        <v>6.3131313131313122E-2</v>
      </c>
      <c r="BP370" s="78">
        <f t="shared" ref="BP370:BP376" si="57">IFERROR(1/J370*(Y370/H370),"0")</f>
        <v>6.8181818181818177E-2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40</v>
      </c>
      <c r="Y371" s="55">
        <f t="shared" si="53"/>
        <v>42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42.38095238095238</v>
      </c>
      <c r="BN371" s="78">
        <f t="shared" si="55"/>
        <v>44.5</v>
      </c>
      <c r="BO371" s="78">
        <f t="shared" si="56"/>
        <v>7.2150072150072145E-2</v>
      </c>
      <c r="BP371" s="78">
        <f t="shared" si="57"/>
        <v>7.575757575757576E-2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10.5</v>
      </c>
      <c r="Y373" s="55">
        <f t="shared" si="53"/>
        <v>10.5</v>
      </c>
      <c r="Z373" s="41">
        <f>IFERROR(IF(Y373=0,"",ROUNDUP(Y373/H373,0)*0.00502),"")</f>
        <v>2.5100000000000001E-2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11.149999999999999</v>
      </c>
      <c r="BN373" s="78">
        <f t="shared" si="55"/>
        <v>11.149999999999999</v>
      </c>
      <c r="BO373" s="78">
        <f t="shared" si="56"/>
        <v>2.1367521367521368E-2</v>
      </c>
      <c r="BP373" s="78">
        <f t="shared" si="57"/>
        <v>2.1367521367521368E-2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22.857142857142854</v>
      </c>
      <c r="Y377" s="43">
        <f>IFERROR(Y370/H370,"0")+IFERROR(Y371/H371,"0")+IFERROR(Y372/H372,"0")+IFERROR(Y373/H373,"0")+IFERROR(Y374/H374,"0")+IFERROR(Y375/H375,"0")+IFERROR(Y376/H376,"0")</f>
        <v>24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0.19648000000000002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85.5</v>
      </c>
      <c r="Y378" s="43">
        <f>IFERROR(SUM(Y370:Y376),"0")</f>
        <v>90.300000000000011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800</v>
      </c>
      <c r="Y380" s="55">
        <f>IFERROR(IF(X380="",0,CEILING((X380/$H380),1)*$H380),"")</f>
        <v>803.4</v>
      </c>
      <c r="Z380" s="41">
        <f>IFERROR(IF(Y380=0,"",ROUNDUP(Y380/H380,0)*0.01898),"")</f>
        <v>1.9549400000000001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850.0512820512821</v>
      </c>
      <c r="BN380" s="78">
        <f>IFERROR(Y380*I380/H380,"0")</f>
        <v>853.66399999999999</v>
      </c>
      <c r="BO380" s="78">
        <f>IFERROR(1/J380*(X380/H380),"0")</f>
        <v>1.6025641025641026</v>
      </c>
      <c r="BP380" s="78">
        <f>IFERROR(1/J380*(Y380/H380),"0")</f>
        <v>1.609375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21</v>
      </c>
      <c r="Y383" s="55">
        <f>IFERROR(IF(X383="",0,CEILING((X383/$H383),1)*$H383),"")</f>
        <v>21</v>
      </c>
      <c r="Z383" s="41">
        <f>IFERROR(IF(Y383=0,"",ROUNDUP(Y383/H383,0)*0.00651),"")</f>
        <v>4.5569999999999999E-2</v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22.721999999999998</v>
      </c>
      <c r="BN383" s="78">
        <f>IFERROR(Y383*I383/H383,"0")</f>
        <v>22.721999999999998</v>
      </c>
      <c r="BO383" s="78">
        <f>IFERROR(1/J383*(X383/H383),"0")</f>
        <v>3.8461538461538464E-2</v>
      </c>
      <c r="BP383" s="78">
        <f>IFERROR(1/J383*(Y383/H383),"0")</f>
        <v>3.8461538461538464E-2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109.56410256410257</v>
      </c>
      <c r="Y384" s="43">
        <f>IFERROR(Y380/H380,"0")+IFERROR(Y381/H381,"0")+IFERROR(Y382/H382,"0")+IFERROR(Y383/H383,"0")</f>
        <v>110</v>
      </c>
      <c r="Z384" s="43">
        <f>IFERROR(IF(Z380="",0,Z380),"0")+IFERROR(IF(Z381="",0,Z381),"0")+IFERROR(IF(Z382="",0,Z382),"0")+IFERROR(IF(Z383="",0,Z383),"0")</f>
        <v>2.0005100000000002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821</v>
      </c>
      <c r="Y385" s="43">
        <f>IFERROR(SUM(Y380:Y383),"0")</f>
        <v>824.4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130</v>
      </c>
      <c r="Y388" s="55">
        <f>IFERROR(IF(X388="",0,CEILING((X388/$H388),1)*$H388),"")</f>
        <v>132.6</v>
      </c>
      <c r="Z388" s="41">
        <f>IFERROR(IF(Y388=0,"",ROUNDUP(Y388/H388,0)*0.01898),"")</f>
        <v>0.32266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138.23333333333335</v>
      </c>
      <c r="BN388" s="78">
        <f>IFERROR(Y388*I388/H388,"0")</f>
        <v>140.99799999999999</v>
      </c>
      <c r="BO388" s="78">
        <f>IFERROR(1/J388*(X388/H388),"0")</f>
        <v>0.26041666666666669</v>
      </c>
      <c r="BP388" s="78">
        <f>IFERROR(1/J388*(Y388/H388),"0")</f>
        <v>0.265625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90</v>
      </c>
      <c r="Y389" s="55">
        <f>IFERROR(IF(X389="",0,CEILING((X389/$H389),1)*$H389),"")</f>
        <v>92.4</v>
      </c>
      <c r="Z389" s="41">
        <f>IFERROR(IF(Y389=0,"",ROUNDUP(Y389/H389,0)*0.01898),"")</f>
        <v>0.20877999999999999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95.292857142857144</v>
      </c>
      <c r="BN389" s="78">
        <f>IFERROR(Y389*I389/H389,"0")</f>
        <v>97.834000000000003</v>
      </c>
      <c r="BO389" s="78">
        <f>IFERROR(1/J389*(X389/H389),"0")</f>
        <v>0.16741071428571427</v>
      </c>
      <c r="BP389" s="78">
        <f>IFERROR(1/J389*(Y389/H389),"0")</f>
        <v>0.171875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27.38095238095238</v>
      </c>
      <c r="Y390" s="43">
        <f>IFERROR(Y387/H387,"0")+IFERROR(Y388/H388,"0")+IFERROR(Y389/H389,"0")</f>
        <v>28</v>
      </c>
      <c r="Z390" s="43">
        <f>IFERROR(IF(Z387="",0,Z387),"0")+IFERROR(IF(Z388="",0,Z388),"0")+IFERROR(IF(Z389="",0,Z389),"0")</f>
        <v>0.53144000000000002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220</v>
      </c>
      <c r="Y391" s="43">
        <f>IFERROR(SUM(Y387:Y389),"0")</f>
        <v>225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5.0999999999999996</v>
      </c>
      <c r="Y396" s="55">
        <f>IFERROR(IF(X396="",0,CEILING((X396/$H396),1)*$H396),"")</f>
        <v>5.0999999999999996</v>
      </c>
      <c r="Z396" s="41">
        <f>IFERROR(IF(Y396=0,"",ROUNDUP(Y396/H396,0)*0.00651),"")</f>
        <v>1.302E-2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5.76</v>
      </c>
      <c r="BN396" s="78">
        <f>IFERROR(Y396*I396/H396,"0")</f>
        <v>5.76</v>
      </c>
      <c r="BO396" s="78">
        <f>IFERROR(1/J396*(X396/H396),"0")</f>
        <v>1.098901098901099E-2</v>
      </c>
      <c r="BP396" s="78">
        <f>IFERROR(1/J396*(Y396/H396),"0")</f>
        <v>1.098901098901099E-2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2</v>
      </c>
      <c r="Y397" s="43">
        <f>IFERROR(Y393/H393,"0")+IFERROR(Y394/H394,"0")+IFERROR(Y395/H395,"0")+IFERROR(Y396/H396,"0")</f>
        <v>2</v>
      </c>
      <c r="Z397" s="43">
        <f>IFERROR(IF(Z393="",0,Z393),"0")+IFERROR(IF(Z394="",0,Z394),"0")+IFERROR(IF(Z395="",0,Z395),"0")+IFERROR(IF(Z396="",0,Z396),"0")</f>
        <v>1.302E-2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5.0999999999999996</v>
      </c>
      <c r="Y398" s="43">
        <f>IFERROR(SUM(Y393:Y396),"0")</f>
        <v>5.0999999999999996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10</v>
      </c>
      <c r="Y419" s="55">
        <f>IFERROR(IF(X419="",0,CEILING((X419/$H419),1)*$H419),"")</f>
        <v>16.2</v>
      </c>
      <c r="Z419" s="41">
        <f>IFERROR(IF(Y419=0,"",ROUNDUP(Y419/H419,0)*0.01898),"")</f>
        <v>3.7960000000000001E-2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10.609876543209877</v>
      </c>
      <c r="BN419" s="78">
        <f>IFERROR(Y419*I419/H419,"0")</f>
        <v>17.187999999999999</v>
      </c>
      <c r="BO419" s="78">
        <f>IFERROR(1/J419*(X419/H419),"0")</f>
        <v>1.9290123456790126E-2</v>
      </c>
      <c r="BP419" s="78">
        <f>IFERROR(1/J419*(Y419/H419),"0")</f>
        <v>3.125E-2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31.5</v>
      </c>
      <c r="Y420" s="55">
        <f>IFERROR(IF(X420="",0,CEILING((X420/$H420),1)*$H420),"")</f>
        <v>31.5</v>
      </c>
      <c r="Z420" s="41">
        <f>IFERROR(IF(Y420=0,"",ROUNDUP(Y420/H420,0)*0.00651),"")</f>
        <v>9.7650000000000001E-2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35.279999999999994</v>
      </c>
      <c r="BN420" s="78">
        <f>IFERROR(Y420*I420/H420,"0")</f>
        <v>35.279999999999994</v>
      </c>
      <c r="BO420" s="78">
        <f>IFERROR(1/J420*(X420/H420),"0")</f>
        <v>8.241758241758243E-2</v>
      </c>
      <c r="BP420" s="78">
        <f>IFERROR(1/J420*(Y420/H420),"0")</f>
        <v>8.241758241758243E-2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31.5</v>
      </c>
      <c r="Y421" s="55">
        <f>IFERROR(IF(X421="",0,CEILING((X421/$H421),1)*$H421),"")</f>
        <v>31.5</v>
      </c>
      <c r="Z421" s="41">
        <f>IFERROR(IF(Y421=0,"",ROUNDUP(Y421/H421,0)*0.00651),"")</f>
        <v>9.7650000000000001E-2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35.099999999999994</v>
      </c>
      <c r="BN421" s="78">
        <f>IFERROR(Y421*I421/H421,"0")</f>
        <v>35.099999999999994</v>
      </c>
      <c r="BO421" s="78">
        <f>IFERROR(1/J421*(X421/H421),"0")</f>
        <v>8.241758241758243E-2</v>
      </c>
      <c r="BP421" s="78">
        <f>IFERROR(1/J421*(Y421/H421),"0")</f>
        <v>8.241758241758243E-2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31.23456790123457</v>
      </c>
      <c r="Y422" s="43">
        <f>IFERROR(Y419/H419,"0")+IFERROR(Y420/H420,"0")+IFERROR(Y421/H421,"0")</f>
        <v>32</v>
      </c>
      <c r="Z422" s="43">
        <f>IFERROR(IF(Z419="",0,Z419),"0")+IFERROR(IF(Z420="",0,Z420),"0")+IFERROR(IF(Z421="",0,Z421),"0")</f>
        <v>0.23326000000000002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73</v>
      </c>
      <c r="Y423" s="43">
        <f>IFERROR(SUM(Y419:Y421),"0")</f>
        <v>79.2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180</v>
      </c>
      <c r="Y428" s="55">
        <f t="shared" si="58"/>
        <v>180</v>
      </c>
      <c r="Z428" s="41">
        <f>IFERROR(IF(Y428=0,"",ROUNDUP(Y428/H428,0)*0.02175),"")</f>
        <v>0.26100000000000001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185.64</v>
      </c>
      <c r="BN428" s="78">
        <f t="shared" si="60"/>
        <v>185.64</v>
      </c>
      <c r="BO428" s="78">
        <f t="shared" si="61"/>
        <v>0.25</v>
      </c>
      <c r="BP428" s="78">
        <f t="shared" si="62"/>
        <v>0.25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270</v>
      </c>
      <c r="Y431" s="55">
        <f t="shared" si="58"/>
        <v>270</v>
      </c>
      <c r="Z431" s="41">
        <f>IFERROR(IF(Y431=0,"",ROUNDUP(Y431/H431,0)*0.02175),"")</f>
        <v>0.39149999999999996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278.46000000000004</v>
      </c>
      <c r="BN431" s="78">
        <f t="shared" si="60"/>
        <v>278.46000000000004</v>
      </c>
      <c r="BO431" s="78">
        <f t="shared" si="61"/>
        <v>0.375</v>
      </c>
      <c r="BP431" s="78">
        <f t="shared" si="62"/>
        <v>0.375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40</v>
      </c>
      <c r="Y435" s="43">
        <f>IFERROR(Y427/H427,"0")+IFERROR(Y428/H428,"0")+IFERROR(Y429/H429,"0")+IFERROR(Y430/H430,"0")+IFERROR(Y431/H431,"0")+IFERROR(Y432/H432,"0")+IFERROR(Y433/H433,"0")+IFERROR(Y434/H434,"0")</f>
        <v>40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0.86999999999999988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600</v>
      </c>
      <c r="Y436" s="43">
        <f>IFERROR(SUM(Y427:Y434),"0")</f>
        <v>600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2.1</v>
      </c>
      <c r="Y477" s="55">
        <f t="shared" si="63"/>
        <v>2.1</v>
      </c>
      <c r="Z477" s="41">
        <f>IFERROR(IF(Y477=0,"",ROUNDUP(Y477/H477,0)*0.00502),"")</f>
        <v>5.0200000000000002E-3</v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2.23</v>
      </c>
      <c r="BN477" s="78">
        <f t="shared" si="65"/>
        <v>2.23</v>
      </c>
      <c r="BO477" s="78">
        <f t="shared" si="66"/>
        <v>4.2735042735042739E-3</v>
      </c>
      <c r="BP477" s="78">
        <f t="shared" si="67"/>
        <v>4.2735042735042739E-3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1</v>
      </c>
      <c r="Y479" s="43">
        <f>IFERROR(Y473/H473,"0")+IFERROR(Y474/H474,"0")+IFERROR(Y475/H475,"0")+IFERROR(Y476/H476,"0")+IFERROR(Y477/H477,"0")+IFERROR(Y478/H478,"0")</f>
        <v>1</v>
      </c>
      <c r="Z479" s="43">
        <f>IFERROR(IF(Z473="",0,Z473),"0")+IFERROR(IF(Z474="",0,Z474),"0")+IFERROR(IF(Z475="",0,Z475),"0")+IFERROR(IF(Z476="",0,Z476),"0")+IFERROR(IF(Z477="",0,Z477),"0")+IFERROR(IF(Z478="",0,Z478),"0")</f>
        <v>5.0200000000000002E-3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2.1</v>
      </c>
      <c r="Y480" s="43">
        <f>IFERROR(SUM(Y473:Y478),"0")</f>
        <v>2.1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2.1</v>
      </c>
      <c r="Y494" s="55">
        <f>IFERROR(IF(X494="",0,CEILING((X494/$H494),1)*$H494),"")</f>
        <v>2.1</v>
      </c>
      <c r="Z494" s="41">
        <f>IFERROR(IF(Y494=0,"",ROUNDUP(Y494/H494,0)*0.00502),"")</f>
        <v>5.0200000000000002E-3</v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2.23</v>
      </c>
      <c r="BN494" s="78">
        <f>IFERROR(Y494*I494/H494,"0")</f>
        <v>2.23</v>
      </c>
      <c r="BO494" s="78">
        <f>IFERROR(1/J494*(X494/H494),"0")</f>
        <v>4.2735042735042739E-3</v>
      </c>
      <c r="BP494" s="78">
        <f>IFERROR(1/J494*(Y494/H494),"0")</f>
        <v>4.2735042735042739E-3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1</v>
      </c>
      <c r="Y495" s="43">
        <f>IFERROR(Y492/H492,"0")+IFERROR(Y493/H493,"0")+IFERROR(Y494/H494,"0")</f>
        <v>1</v>
      </c>
      <c r="Z495" s="43">
        <f>IFERROR(IF(Z492="",0,Z492),"0")+IFERROR(IF(Z493="",0,Z493),"0")+IFERROR(IF(Z494="",0,Z494),"0")</f>
        <v>5.0200000000000002E-3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2.1</v>
      </c>
      <c r="Y496" s="43">
        <f>IFERROR(SUM(Y492:Y494),"0")</f>
        <v>2.1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30</v>
      </c>
      <c r="Y500" s="55">
        <f t="shared" ref="Y500:Y508" si="68">IFERROR(IF(X500="",0,CEILING((X500/$H500),1)*$H500),"")</f>
        <v>31.68</v>
      </c>
      <c r="Z500" s="41">
        <f t="shared" ref="Z500:Z505" si="69">IFERROR(IF(Y500=0,"",ROUNDUP(Y500/H500,0)*0.01196),"")</f>
        <v>7.1760000000000004E-2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31.988636363636363</v>
      </c>
      <c r="BN500" s="78">
        <f t="shared" ref="BN500:BN508" si="71">IFERROR(Y500*I500/H500,"0")</f>
        <v>33.779999999999994</v>
      </c>
      <c r="BO500" s="78">
        <f t="shared" ref="BO500:BO508" si="72">IFERROR(1/J500*(X500/H500),"0")</f>
        <v>5.4632867132867136E-2</v>
      </c>
      <c r="BP500" s="78">
        <f t="shared" ref="BP500:BP508" si="73">IFERROR(1/J500*(Y500/H500),"0")</f>
        <v>5.7692307692307696E-2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10</v>
      </c>
      <c r="Y503" s="55">
        <f t="shared" si="68"/>
        <v>10.56</v>
      </c>
      <c r="Z503" s="41">
        <f t="shared" si="69"/>
        <v>2.392E-2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10.662878787878787</v>
      </c>
      <c r="BN503" s="78">
        <f t="shared" si="71"/>
        <v>11.26</v>
      </c>
      <c r="BO503" s="78">
        <f t="shared" si="72"/>
        <v>1.8210955710955712E-2</v>
      </c>
      <c r="BP503" s="78">
        <f t="shared" si="73"/>
        <v>1.9230769230769232E-2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5</v>
      </c>
      <c r="Y505" s="55">
        <f t="shared" si="68"/>
        <v>5.28</v>
      </c>
      <c r="Z505" s="41">
        <f t="shared" si="69"/>
        <v>1.196E-2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5.3314393939393936</v>
      </c>
      <c r="BN505" s="78">
        <f t="shared" si="71"/>
        <v>5.63</v>
      </c>
      <c r="BO505" s="78">
        <f t="shared" si="72"/>
        <v>9.1054778554778559E-3</v>
      </c>
      <c r="BP505" s="78">
        <f t="shared" si="73"/>
        <v>9.6153846153846159E-3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8.5227272727272716</v>
      </c>
      <c r="Y509" s="43">
        <f>IFERROR(Y500/H500,"0")+IFERROR(Y501/H501,"0")+IFERROR(Y502/H502,"0")+IFERROR(Y503/H503,"0")+IFERROR(Y504/H504,"0")+IFERROR(Y505/H505,"0")+IFERROR(Y506/H506,"0")+IFERROR(Y507/H507,"0")+IFERROR(Y508/H508,"0")</f>
        <v>9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0.10764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45</v>
      </c>
      <c r="Y510" s="43">
        <f>IFERROR(SUM(Y500:Y508),"0")</f>
        <v>47.52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40</v>
      </c>
      <c r="Y512" s="55">
        <f>IFERROR(IF(X512="",0,CEILING((X512/$H512),1)*$H512),"")</f>
        <v>42.24</v>
      </c>
      <c r="Z512" s="41">
        <f>IFERROR(IF(Y512=0,"",ROUNDUP(Y512/H512,0)*0.01196),"")</f>
        <v>9.5680000000000001E-2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42.651515151515149</v>
      </c>
      <c r="BN512" s="78">
        <f>IFERROR(Y512*I512/H512,"0")</f>
        <v>45.04</v>
      </c>
      <c r="BO512" s="78">
        <f>IFERROR(1/J512*(X512/H512),"0")</f>
        <v>7.2843822843822847E-2</v>
      </c>
      <c r="BP512" s="78">
        <f>IFERROR(1/J512*(Y512/H512),"0")</f>
        <v>7.6923076923076927E-2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7.5757575757575752</v>
      </c>
      <c r="Y515" s="43">
        <f>IFERROR(Y512/H512,"0")+IFERROR(Y513/H513,"0")+IFERROR(Y514/H514,"0")</f>
        <v>8</v>
      </c>
      <c r="Z515" s="43">
        <f>IFERROR(IF(Z512="",0,Z512),"0")+IFERROR(IF(Z513="",0,Z513),"0")+IFERROR(IF(Z514="",0,Z514),"0")</f>
        <v>9.5680000000000001E-2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40</v>
      </c>
      <c r="Y516" s="43">
        <f>IFERROR(SUM(Y512:Y514),"0")</f>
        <v>42.24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5</v>
      </c>
      <c r="Y519" s="55">
        <f t="shared" si="74"/>
        <v>5.28</v>
      </c>
      <c r="Z519" s="41">
        <f>IFERROR(IF(Y519=0,"",ROUNDUP(Y519/H519,0)*0.01196),"")</f>
        <v>1.196E-2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5.3314393939393936</v>
      </c>
      <c r="BN519" s="78">
        <f t="shared" si="76"/>
        <v>5.63</v>
      </c>
      <c r="BO519" s="78">
        <f t="shared" si="77"/>
        <v>9.1054778554778559E-3</v>
      </c>
      <c r="BP519" s="78">
        <f t="shared" si="78"/>
        <v>9.6153846153846159E-3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30</v>
      </c>
      <c r="Y520" s="55">
        <f t="shared" si="74"/>
        <v>31.68</v>
      </c>
      <c r="Z520" s="41">
        <f>IFERROR(IF(Y520=0,"",ROUNDUP(Y520/H520,0)*0.01196),"")</f>
        <v>7.1760000000000004E-2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31.988636363636363</v>
      </c>
      <c r="BN520" s="78">
        <f t="shared" si="76"/>
        <v>33.779999999999994</v>
      </c>
      <c r="BO520" s="78">
        <f t="shared" si="77"/>
        <v>5.4632867132867136E-2</v>
      </c>
      <c r="BP520" s="78">
        <f t="shared" si="78"/>
        <v>5.7692307692307696E-2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6.6287878787878789</v>
      </c>
      <c r="Y525" s="43">
        <f>IFERROR(Y518/H518,"0")+IFERROR(Y519/H519,"0")+IFERROR(Y520/H520,"0")+IFERROR(Y521/H521,"0")+IFERROR(Y522/H522,"0")+IFERROR(Y523/H523,"0")+IFERROR(Y524/H524,"0")</f>
        <v>7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8.3720000000000003E-2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35</v>
      </c>
      <c r="Y526" s="43">
        <f>IFERROR(SUM(Y518:Y524),"0")</f>
        <v>36.96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10</v>
      </c>
      <c r="Y530" s="55">
        <f>IFERROR(IF(X530="",0,CEILING((X530/$H530),1)*$H530),"")</f>
        <v>12</v>
      </c>
      <c r="Z530" s="41">
        <f>IFERROR(IF(Y530=0,"",ROUNDUP(Y530/H530,0)*0.01898),"")</f>
        <v>1.898E-2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10.341666666666667</v>
      </c>
      <c r="BN530" s="78">
        <f>IFERROR(Y530*I530/H530,"0")</f>
        <v>12.410000000000002</v>
      </c>
      <c r="BO530" s="78">
        <f>IFERROR(1/J530*(X530/H530),"0")</f>
        <v>1.3020833333333334E-2</v>
      </c>
      <c r="BP530" s="78">
        <f>IFERROR(1/J530*(Y530/H530),"0")</f>
        <v>1.5625E-2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0.83333333333333337</v>
      </c>
      <c r="Y531" s="43">
        <f>IFERROR(Y530/H530,"0")</f>
        <v>1</v>
      </c>
      <c r="Z531" s="43">
        <f>IFERROR(IF(Z530="",0,Z530),"0")</f>
        <v>1.898E-2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10</v>
      </c>
      <c r="Y532" s="43">
        <f>IFERROR(SUM(Y530:Y530),"0")</f>
        <v>12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260</v>
      </c>
      <c r="Y534" s="55">
        <f>IFERROR(IF(X534="",0,CEILING((X534/$H534),1)*$H534),"")</f>
        <v>264</v>
      </c>
      <c r="Z534" s="41">
        <f>IFERROR(IF(Y534=0,"",ROUNDUP(Y534/H534,0)*0.01898),"")</f>
        <v>0.41755999999999999</v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268.88333333333333</v>
      </c>
      <c r="BN534" s="78">
        <f>IFERROR(Y534*I534/H534,"0")</f>
        <v>273.02000000000004</v>
      </c>
      <c r="BO534" s="78">
        <f>IFERROR(1/J534*(X534/H534),"0")</f>
        <v>0.33854166666666669</v>
      </c>
      <c r="BP534" s="78">
        <f>IFERROR(1/J534*(Y534/H534),"0")</f>
        <v>0.34375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21.666666666666668</v>
      </c>
      <c r="Y535" s="43">
        <f>IFERROR(Y534/H534,"0")</f>
        <v>22</v>
      </c>
      <c r="Z535" s="43">
        <f>IFERROR(IF(Z534="",0,Z534),"0")</f>
        <v>0.41755999999999999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260</v>
      </c>
      <c r="Y536" s="43">
        <f>IFERROR(SUM(Y534:Y534),"0")</f>
        <v>264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8</v>
      </c>
      <c r="Y538" s="55">
        <f>IFERROR(IF(X538="",0,CEILING((X538/$H538),1)*$H538),"")</f>
        <v>8.4</v>
      </c>
      <c r="Z538" s="41">
        <f>IFERROR(IF(Y538=0,"",ROUNDUP(Y538/H538,0)*0.00902),"")</f>
        <v>1.804E-2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8.4761904761904763</v>
      </c>
      <c r="BN538" s="78">
        <f>IFERROR(Y538*I538/H538,"0")</f>
        <v>8.9</v>
      </c>
      <c r="BO538" s="78">
        <f>IFERROR(1/J538*(X538/H538),"0")</f>
        <v>1.443001443001443E-2</v>
      </c>
      <c r="BP538" s="78">
        <f>IFERROR(1/J538*(Y538/H538),"0")</f>
        <v>1.5151515151515152E-2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1.9047619047619047</v>
      </c>
      <c r="Y539" s="43">
        <f>IFERROR(Y538/H538,"0")</f>
        <v>2</v>
      </c>
      <c r="Z539" s="43">
        <f>IFERROR(IF(Z538="",0,Z538),"0")</f>
        <v>1.804E-2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8</v>
      </c>
      <c r="Y540" s="43">
        <f>IFERROR(SUM(Y538:Y538),"0")</f>
        <v>8.4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2660.6499999999996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2721.37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2797.6345188638525</v>
      </c>
      <c r="Y556" s="43">
        <f>IFERROR(SUM(BN22:BN552),"0")</f>
        <v>2861.4860000000003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2922.6345188638525</v>
      </c>
      <c r="Y558" s="43">
        <f>GrossWeightTotalR+PalletQtyTotalR*25</f>
        <v>2986.4860000000003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353.38176329842997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362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5.5514299999999999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129.60000000000002</v>
      </c>
      <c r="F565" s="52">
        <f>IFERROR(Y84*1,"0")+IFERROR(Y85*1,"0")+IFERROR(Y86*1,"0")+IFERROR(Y87*1,"0")+IFERROR(Y91*1,"0")+IFERROR(Y92*1,"0")+IFERROR(Y93*1,"0")+IFERROR(Y94*1,"0")</f>
        <v>77.400000000000006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55.050000000000004</v>
      </c>
      <c r="H565" s="52">
        <f>IFERROR(Y129*1,"0")+IFERROR(Y130*1,"0")+IFERROR(Y131*1,"0")+IFERROR(Y135*1,"0")+IFERROR(Y136*1,"0")+IFERROR(Y137*1,"0")+IFERROR(Y138*1,"0")+IFERROR(Y142*1,"0")+IFERROR(Y143*1,"0")+IFERROR(Y144*1,"0")</f>
        <v>9.6000000000000014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7.1999999999999993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62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1286</v>
      </c>
      <c r="U565" s="52">
        <f>IFERROR(Y413*1,"0")+IFERROR(Y414*1,"0")</f>
        <v>0</v>
      </c>
      <c r="V565" s="52">
        <f>IFERROR(Y419*1,"0")+IFERROR(Y420*1,"0")+IFERROR(Y421*1,"0")</f>
        <v>79.2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600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2.1</v>
      </c>
      <c r="Z565" s="52">
        <f>IFERROR(Y488*1,"0")+IFERROR(Y492*1,"0")+IFERROR(Y493*1,"0")+IFERROR(Y494*1,"0")</f>
        <v>2.1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126.72</v>
      </c>
      <c r="AB565" s="52">
        <f>IFERROR(Y530*1,"0")+IFERROR(Y534*1,"0")+IFERROR(Y538*1,"0")+IFERROR(Y542*1,"0")+IFERROR(Y546*1,"0")+IFERROR(Y547*1,"0")</f>
        <v>284.39999999999998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,90"/>
        <filter val="1,93"/>
        <filter val="10,00"/>
        <filter val="10,50"/>
        <filter val="109,56"/>
        <filter val="114,00"/>
        <filter val="13,75"/>
        <filter val="130,00"/>
        <filter val="134,00"/>
        <filter val="150,00"/>
        <filter val="17,56"/>
        <filter val="180,00"/>
        <filter val="19,33"/>
        <filter val="2 660,65"/>
        <filter val="2 797,63"/>
        <filter val="2 922,63"/>
        <filter val="2,00"/>
        <filter val="2,10"/>
        <filter val="2,25"/>
        <filter val="21,00"/>
        <filter val="21,67"/>
        <filter val="22,86"/>
        <filter val="220,00"/>
        <filter val="260,00"/>
        <filter val="27,38"/>
        <filter val="270,00"/>
        <filter val="3,00"/>
        <filter val="3,33"/>
        <filter val="3,75"/>
        <filter val="3,78"/>
        <filter val="30,00"/>
        <filter val="31,23"/>
        <filter val="31,50"/>
        <filter val="34,50"/>
        <filter val="35,00"/>
        <filter val="353,38"/>
        <filter val="38,10"/>
        <filter val="4,00"/>
        <filter val="4,50"/>
        <filter val="40,00"/>
        <filter val="45,00"/>
        <filter val="5"/>
        <filter val="5,00"/>
        <filter val="5,10"/>
        <filter val="54,00"/>
        <filter val="58,00"/>
        <filter val="6,63"/>
        <filter val="6,70"/>
        <filter val="60,00"/>
        <filter val="600,00"/>
        <filter val="7,20"/>
        <filter val="7,58"/>
        <filter val="73,00"/>
        <filter val="8,00"/>
        <filter val="8,10"/>
        <filter val="8,52"/>
        <filter val="80,00"/>
        <filter val="800,00"/>
        <filter val="821,00"/>
        <filter val="85,50"/>
        <filter val="9,00"/>
        <filter val="9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