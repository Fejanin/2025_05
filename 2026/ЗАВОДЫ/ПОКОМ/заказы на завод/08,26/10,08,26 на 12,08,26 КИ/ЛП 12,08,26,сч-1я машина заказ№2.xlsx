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BCD7A3A-72C2-4F5E-96AF-B51042768CB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121" i="2" l="1"/>
  <c r="Y368" i="2"/>
  <c r="Z183" i="2"/>
  <c r="BP66" i="2"/>
  <c r="Z372" i="2"/>
  <c r="Z439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441" i="2"/>
  <c r="Z409" i="2"/>
  <c r="Z447" i="2"/>
  <c r="Z548" i="2"/>
  <c r="Z24" i="2"/>
  <c r="Z95" i="2"/>
  <c r="Z435" i="2"/>
  <c r="Z415" i="2"/>
  <c r="Z295" i="2"/>
  <c r="X558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<sst xmlns="http://schemas.openxmlformats.org/spreadsheetml/2006/main" count="4245" uniqueCount="901">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</sst>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46246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Среда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16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16.760000000000002</v>
      </c>
      <c r="BN49" s="78">
        <f>IFERROR(Y49*I49/H49,"0")</f>
        <v>16.760000000000002</v>
      </c>
      <c r="BO49" s="78">
        <f>IFERROR(1/J49*(X49/H49),"0")</f>
        <v>3.0303030303030304E-2</v>
      </c>
      <c r="BP49" s="78">
        <f>IFERROR(1/J49*(Y49/H49),"0")</f>
        <v>3.0303030303030304E-2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11.407407407407407</v>
      </c>
      <c r="Y51" s="43">
        <f>IFERROR(Y47/H47,"0")+IFERROR(Y48/H48,"0")+IFERROR(Y49/H49,"0")+IFERROR(Y50/H50,"0")</f>
        <v>12</v>
      </c>
      <c r="Z51" s="43">
        <f>IFERROR(IF(Z47="",0,Z47),"0")+IFERROR(IF(Z48="",0,Z48),"0")+IFERROR(IF(Z49="",0,Z49),"0")+IFERROR(IF(Z50="",0,Z50),"0")</f>
        <v>0.18792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96</v>
      </c>
      <c r="Y52" s="43">
        <f>IFERROR(SUM(Y47:Y50),"0")</f>
        <v>102.4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20</v>
      </c>
      <c r="Y55" s="55">
        <f t="shared" ref="Y55:Y62" si="0">IFERROR(IF(X55="",0,CEILING((X55/$H55),1)*$H55),"")</f>
        <v>22.4</v>
      </c>
      <c r="Z55" s="41">
        <f>IFERROR(IF(Y55=0,"",ROUNDUP(Y55/H55,0)*0.01898),"")</f>
        <v>3.7960000000000001E-2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20.732142857142858</v>
      </c>
      <c r="BN55" s="78">
        <f t="shared" ref="BN55:BN62" si="2">IFERROR(Y55*I55/H55,"0")</f>
        <v>23.22</v>
      </c>
      <c r="BO55" s="78">
        <f t="shared" ref="BO55:BO62" si="3">IFERROR(1/J55*(X55/H55),"0")</f>
        <v>2.7901785714285716E-2</v>
      </c>
      <c r="BP55" s="78">
        <f t="shared" ref="BP55:BP62" si="4">IFERROR(1/J55*(Y55/H55),"0")</f>
        <v>3.125E-2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610</v>
      </c>
      <c r="Y57" s="55">
        <f t="shared" si="0"/>
        <v>615.6</v>
      </c>
      <c r="Z57" s="41">
        <f>IFERROR(IF(Y57=0,"",ROUNDUP(Y57/H57,0)*0.01898),"")</f>
        <v>1.08186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633.15740740740739</v>
      </c>
      <c r="BN57" s="78">
        <f t="shared" si="2"/>
        <v>638.97</v>
      </c>
      <c r="BO57" s="78">
        <f t="shared" si="3"/>
        <v>0.88252314814814814</v>
      </c>
      <c r="BP57" s="78">
        <f t="shared" si="4"/>
        <v>0.890625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180</v>
      </c>
      <c r="Y62" s="55">
        <f t="shared" si="0"/>
        <v>180</v>
      </c>
      <c r="Z62" s="41">
        <f>IFERROR(IF(Y62=0,"",ROUNDUP(Y62/H62,0)*0.00902),"")</f>
        <v>0.36080000000000001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187.60000000000002</v>
      </c>
      <c r="BN62" s="78">
        <f t="shared" si="2"/>
        <v>187.60000000000002</v>
      </c>
      <c r="BO62" s="78">
        <f t="shared" si="3"/>
        <v>0.30303030303030304</v>
      </c>
      <c r="BP62" s="78">
        <f t="shared" si="4"/>
        <v>0.30303030303030304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98.267195767195773</v>
      </c>
      <c r="Y63" s="43">
        <f>IFERROR(Y55/H55,"0")+IFERROR(Y56/H56,"0")+IFERROR(Y57/H57,"0")+IFERROR(Y58/H58,"0")+IFERROR(Y59/H59,"0")+IFERROR(Y60/H60,"0")+IFERROR(Y61/H61,"0")+IFERROR(Y62/H62,"0")</f>
        <v>99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1.48062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810</v>
      </c>
      <c r="Y64" s="43">
        <f>IFERROR(SUM(Y55:Y62),"0")</f>
        <v>818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250</v>
      </c>
      <c r="Y66" s="55">
        <f>IFERROR(IF(X66="",0,CEILING((X66/$H66),1)*$H66),"")</f>
        <v>259.20000000000005</v>
      </c>
      <c r="Z66" s="41">
        <f>IFERROR(IF(Y66=0,"",ROUNDUP(Y66/H66,0)*0.01898),"")</f>
        <v>0.45552000000000004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259.4907407407407</v>
      </c>
      <c r="BN66" s="78">
        <f>IFERROR(Y66*I66/H66,"0")</f>
        <v>269.04000000000002</v>
      </c>
      <c r="BO66" s="78">
        <f>IFERROR(1/J66*(X66/H66),"0")</f>
        <v>0.36168981481481477</v>
      </c>
      <c r="BP66" s="78">
        <f>IFERROR(1/J66*(Y66/H66),"0")</f>
        <v>0.37500000000000006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81</v>
      </c>
      <c r="Y69" s="55">
        <f>IFERROR(IF(X69="",0,CEILING((X69/$H69),1)*$H69),"")</f>
        <v>81</v>
      </c>
      <c r="Z69" s="41">
        <f>IFERROR(IF(Y69=0,"",ROUNDUP(Y69/H69,0)*0.00651),"")</f>
        <v>0.1953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86.399999999999991</v>
      </c>
      <c r="BN69" s="78">
        <f>IFERROR(Y69*I69/H69,"0")</f>
        <v>86.399999999999991</v>
      </c>
      <c r="BO69" s="78">
        <f>IFERROR(1/J69*(X69/H69),"0")</f>
        <v>0.16483516483516483</v>
      </c>
      <c r="BP69" s="78">
        <f>IFERROR(1/J69*(Y69/H69),"0")</f>
        <v>0.16483516483516483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53.148148148148138</v>
      </c>
      <c r="Y70" s="43">
        <f>IFERROR(Y66/H66,"0")+IFERROR(Y67/H67,"0")+IFERROR(Y68/H68,"0")+IFERROR(Y69/H69,"0")</f>
        <v>54</v>
      </c>
      <c r="Z70" s="43">
        <f>IFERROR(IF(Z66="",0,Z66),"0")+IFERROR(IF(Z67="",0,Z67),"0")+IFERROR(IF(Z68="",0,Z68),"0")+IFERROR(IF(Z69="",0,Z69),"0")</f>
        <v>0.65082000000000007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331</v>
      </c>
      <c r="Y71" s="43">
        <f>IFERROR(SUM(Y66:Y69),"0")</f>
        <v>340.20000000000005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3.6</v>
      </c>
      <c r="Y74" s="55">
        <f>IFERROR(IF(X74="",0,CEILING((X74/$H74),1)*$H74),"")</f>
        <v>3.6</v>
      </c>
      <c r="Z74" s="41">
        <f>IFERROR(IF(Y74=0,"",ROUNDUP(Y74/H74,0)*0.00651),"")</f>
        <v>1.302E-2</v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3.96</v>
      </c>
      <c r="BN74" s="78">
        <f>IFERROR(Y74*I74/H74,"0")</f>
        <v>3.96</v>
      </c>
      <c r="BO74" s="78">
        <f>IFERROR(1/J74*(X74/H74),"0")</f>
        <v>1.098901098901099E-2</v>
      </c>
      <c r="BP74" s="78">
        <f>IFERROR(1/J74*(Y74/H74),"0")</f>
        <v>1.098901098901099E-2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2</v>
      </c>
      <c r="Y75" s="43">
        <f>IFERROR(Y73/H73,"0")+IFERROR(Y74/H74,"0")</f>
        <v>2</v>
      </c>
      <c r="Z75" s="43">
        <f>IFERROR(IF(Z73="",0,Z73),"0")+IFERROR(IF(Z74="",0,Z74),"0")</f>
        <v>1.302E-2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3.6</v>
      </c>
      <c r="Y76" s="43">
        <f>IFERROR(SUM(Y73:Y74),"0")</f>
        <v>3.6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30</v>
      </c>
      <c r="Y84" s="55">
        <f>IFERROR(IF(X84="",0,CEILING((X84/$H84),1)*$H84),"")</f>
        <v>32.400000000000006</v>
      </c>
      <c r="Z84" s="41">
        <f>IFERROR(IF(Y84=0,"",ROUNDUP(Y84/H84,0)*0.01898),"")</f>
        <v>5.6940000000000004E-2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31.138888888888889</v>
      </c>
      <c r="BN84" s="78">
        <f>IFERROR(Y84*I84/H84,"0")</f>
        <v>33.630000000000003</v>
      </c>
      <c r="BO84" s="78">
        <f>IFERROR(1/J84*(X84/H84),"0")</f>
        <v>4.3402777777777776E-2</v>
      </c>
      <c r="BP84" s="78">
        <f>IFERROR(1/J84*(Y84/H84),"0")</f>
        <v>4.6875000000000007E-2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72</v>
      </c>
      <c r="Y87" s="55">
        <f>IFERROR(IF(X87="",0,CEILING((X87/$H87),1)*$H87),"")</f>
        <v>72</v>
      </c>
      <c r="Z87" s="41">
        <f>IFERROR(IF(Y87=0,"",ROUNDUP(Y87/H87,0)*0.00902),"")</f>
        <v>0.14432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75.040000000000006</v>
      </c>
      <c r="BN87" s="78">
        <f>IFERROR(Y87*I87/H87,"0")</f>
        <v>75.040000000000006</v>
      </c>
      <c r="BO87" s="78">
        <f>IFERROR(1/J87*(X87/H87),"0")</f>
        <v>0.12121212121212122</v>
      </c>
      <c r="BP87" s="78">
        <f>IFERROR(1/J87*(Y87/H87),"0")</f>
        <v>0.12121212121212122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18.777777777777779</v>
      </c>
      <c r="Y88" s="43">
        <f>IFERROR(Y84/H84,"0")+IFERROR(Y85/H85,"0")+IFERROR(Y86/H86,"0")+IFERROR(Y87/H87,"0")</f>
        <v>19</v>
      </c>
      <c r="Z88" s="43">
        <f>IFERROR(IF(Z84="",0,Z84),"0")+IFERROR(IF(Z85="",0,Z85),"0")+IFERROR(IF(Z86="",0,Z86),"0")+IFERROR(IF(Z87="",0,Z87),"0")</f>
        <v>0.20125999999999999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102</v>
      </c>
      <c r="Y89" s="43">
        <f>IFERROR(SUM(Y84:Y87),"0")</f>
        <v>104.4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90</v>
      </c>
      <c r="Y91" s="55">
        <f>IFERROR(IF(X91="",0,CEILING((X91/$H91),1)*$H91),"")</f>
        <v>97.199999999999989</v>
      </c>
      <c r="Z91" s="41">
        <f>IFERROR(IF(Y91=0,"",ROUNDUP(Y91/H91,0)*0.01898),"")</f>
        <v>0.22776000000000002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95.48888888888888</v>
      </c>
      <c r="BN91" s="78">
        <f>IFERROR(Y91*I91/H91,"0")</f>
        <v>103.12799999999999</v>
      </c>
      <c r="BO91" s="78">
        <f>IFERROR(1/J91*(X91/H91),"0")</f>
        <v>0.1736111111111111</v>
      </c>
      <c r="BP91" s="78">
        <f>IFERROR(1/J91*(Y91/H91),"0")</f>
        <v>0.1875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13.5</v>
      </c>
      <c r="Y93" s="55">
        <f>IFERROR(IF(X93="",0,CEILING((X93/$H93),1)*$H93),"")</f>
        <v>13.5</v>
      </c>
      <c r="Z93" s="41">
        <f>IFERROR(IF(Y93=0,"",ROUNDUP(Y93/H93,0)*0.00651),"")</f>
        <v>3.2550000000000003E-2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14.759999999999998</v>
      </c>
      <c r="BN93" s="78">
        <f>IFERROR(Y93*I93/H93,"0")</f>
        <v>14.759999999999998</v>
      </c>
      <c r="BO93" s="78">
        <f>IFERROR(1/J93*(X93/H93),"0")</f>
        <v>2.7472527472527476E-2</v>
      </c>
      <c r="BP93" s="78">
        <f>IFERROR(1/J93*(Y93/H93),"0")</f>
        <v>2.7472527472527476E-2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16.111111111111111</v>
      </c>
      <c r="Y95" s="43">
        <f>IFERROR(Y91/H91,"0")+IFERROR(Y92/H92,"0")+IFERROR(Y93/H93,"0")+IFERROR(Y94/H94,"0")</f>
        <v>17</v>
      </c>
      <c r="Z95" s="43">
        <f>IFERROR(IF(Z91="",0,Z91),"0")+IFERROR(IF(Z92="",0,Z92),"0")+IFERROR(IF(Z93="",0,Z93),"0")+IFERROR(IF(Z94="",0,Z94),"0")</f>
        <v>0.26031000000000004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103.5</v>
      </c>
      <c r="Y96" s="43">
        <f>IFERROR(SUM(Y91:Y94),"0")</f>
        <v>110.69999999999999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15</v>
      </c>
      <c r="Y103" s="55">
        <f t="shared" si="5"/>
        <v>15</v>
      </c>
      <c r="Z103" s="41">
        <f>IFERROR(IF(Y103=0,"",ROUNDUP(Y103/H103,0)*0.00902),"")</f>
        <v>3.6080000000000001E-2</v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15.76</v>
      </c>
      <c r="BN103" s="78">
        <f t="shared" si="7"/>
        <v>15.76</v>
      </c>
      <c r="BO103" s="78">
        <f t="shared" si="8"/>
        <v>3.0303030303030304E-2</v>
      </c>
      <c r="BP103" s="78">
        <f t="shared" si="9"/>
        <v>3.0303030303030304E-2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4</v>
      </c>
      <c r="Y106" s="43">
        <f>IFERROR(Y99/H99,"0")+IFERROR(Y100/H100,"0")+IFERROR(Y101/H101,"0")+IFERROR(Y102/H102,"0")+IFERROR(Y103/H103,"0")+IFERROR(Y104/H104,"0")+IFERROR(Y105/H105,"0")</f>
        <v>4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3.6080000000000001E-2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15</v>
      </c>
      <c r="Y107" s="43">
        <f>IFERROR(SUM(Y99:Y105),"0")</f>
        <v>15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80</v>
      </c>
      <c r="Y117" s="55">
        <f>IFERROR(IF(X117="",0,CEILING((X117/$H117),1)*$H117),"")</f>
        <v>81</v>
      </c>
      <c r="Z117" s="41">
        <f>IFERROR(IF(Y117=0,"",ROUNDUP(Y117/H117,0)*0.01898),"")</f>
        <v>0.1898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84.819753086419752</v>
      </c>
      <c r="BN117" s="78">
        <f>IFERROR(Y117*I117/H117,"0")</f>
        <v>85.88</v>
      </c>
      <c r="BO117" s="78">
        <f>IFERROR(1/J117*(X117/H117),"0")</f>
        <v>0.15432098765432101</v>
      </c>
      <c r="BP117" s="78">
        <f>IFERROR(1/J117*(Y117/H117),"0")</f>
        <v>0.15625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22.5</v>
      </c>
      <c r="Y119" s="55">
        <f>IFERROR(IF(X119="",0,CEILING((X119/$H119),1)*$H119),"")</f>
        <v>24.3</v>
      </c>
      <c r="Z119" s="41">
        <f>IFERROR(IF(Y119=0,"",ROUNDUP(Y119/H119,0)*0.00651),"")</f>
        <v>5.8590000000000003E-2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24.599999999999998</v>
      </c>
      <c r="BN119" s="78">
        <f>IFERROR(Y119*I119/H119,"0")</f>
        <v>26.567999999999998</v>
      </c>
      <c r="BO119" s="78">
        <f>IFERROR(1/J119*(X119/H119),"0")</f>
        <v>4.5787545787545784E-2</v>
      </c>
      <c r="BP119" s="78">
        <f>IFERROR(1/J119*(Y119/H119),"0")</f>
        <v>4.9450549450549455E-2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18.209876543209877</v>
      </c>
      <c r="Y121" s="43">
        <f>IFERROR(Y117/H117,"0")+IFERROR(Y118/H118,"0")+IFERROR(Y119/H119,"0")+IFERROR(Y120/H120,"0")</f>
        <v>19</v>
      </c>
      <c r="Z121" s="43">
        <f>IFERROR(IF(Z117="",0,Z117),"0")+IFERROR(IF(Z118="",0,Z118),"0")+IFERROR(IF(Z119="",0,Z119),"0")+IFERROR(IF(Z120="",0,Z120),"0")</f>
        <v>0.24839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102.5</v>
      </c>
      <c r="Y122" s="43">
        <f>IFERROR(SUM(Y117:Y120),"0")</f>
        <v>105.3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16</v>
      </c>
      <c r="Y130" s="55">
        <f>IFERROR(IF(X130="",0,CEILING((X130/$H130),1)*$H130),"")</f>
        <v>16</v>
      </c>
      <c r="Z130" s="41">
        <f>IFERROR(IF(Y130=0,"",ROUNDUP(Y130/H130,0)*0.00651),"")</f>
        <v>3.2550000000000003E-2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16.899999999999999</v>
      </c>
      <c r="BN130" s="78">
        <f>IFERROR(Y130*I130/H130,"0")</f>
        <v>16.899999999999999</v>
      </c>
      <c r="BO130" s="78">
        <f>IFERROR(1/J130*(X130/H130),"0")</f>
        <v>2.7472527472527476E-2</v>
      </c>
      <c r="BP130" s="78">
        <f>IFERROR(1/J130*(Y130/H130),"0")</f>
        <v>2.7472527472527476E-2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5</v>
      </c>
      <c r="Y132" s="43">
        <f>IFERROR(Y129/H129,"0")+IFERROR(Y130/H130,"0")+IFERROR(Y131/H131,"0")</f>
        <v>5</v>
      </c>
      <c r="Z132" s="43">
        <f>IFERROR(IF(Z129="",0,Z129),"0")+IFERROR(IF(Z130="",0,Z130),"0")+IFERROR(IF(Z131="",0,Z131),"0")</f>
        <v>3.2550000000000003E-2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16</v>
      </c>
      <c r="Y133" s="43">
        <f>IFERROR(SUM(Y129:Y131),"0")</f>
        <v>16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14</v>
      </c>
      <c r="Y136" s="55">
        <f>IFERROR(IF(X136="",0,CEILING((X136/$H136),1)*$H136),"")</f>
        <v>14</v>
      </c>
      <c r="Z136" s="41">
        <f>IFERROR(IF(Y136=0,"",ROUNDUP(Y136/H136,0)*0.00651),"")</f>
        <v>3.2550000000000003E-2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15.34</v>
      </c>
      <c r="BN136" s="78">
        <f>IFERROR(Y136*I136/H136,"0")</f>
        <v>15.34</v>
      </c>
      <c r="BO136" s="78">
        <f>IFERROR(1/J136*(X136/H136),"0")</f>
        <v>2.7472527472527476E-2</v>
      </c>
      <c r="BP136" s="78">
        <f>IFERROR(1/J136*(Y136/H136),"0")</f>
        <v>2.7472527472527476E-2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5</v>
      </c>
      <c r="Y139" s="43">
        <f>IFERROR(Y135/H135,"0")+IFERROR(Y136/H136,"0")+IFERROR(Y137/H137,"0")+IFERROR(Y138/H138,"0")</f>
        <v>5</v>
      </c>
      <c r="Z139" s="43">
        <f>IFERROR(IF(Z135="",0,Z135),"0")+IFERROR(IF(Z136="",0,Z136),"0")+IFERROR(IF(Z137="",0,Z137),"0")+IFERROR(IF(Z138="",0,Z138),"0")</f>
        <v>3.2550000000000003E-2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14</v>
      </c>
      <c r="Y140" s="43">
        <f>IFERROR(SUM(Y135:Y138),"0")</f>
        <v>14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45</v>
      </c>
      <c r="Y175" s="55">
        <f t="shared" ref="Y175:Y185" si="16">IFERROR(IF(X175="",0,CEILING((X175/$H175),1)*$H175),"")</f>
        <v>45.5</v>
      </c>
      <c r="Z175" s="41">
        <f>IFERROR(IF(Y175=0,"",ROUNDUP(Y175/H175,0)*0.00902),"")</f>
        <v>0.11726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47.442857142857143</v>
      </c>
      <c r="BN175" s="78">
        <f t="shared" ref="BN175:BN185" si="18">IFERROR(Y175*I175/H175,"0")</f>
        <v>47.970000000000006</v>
      </c>
      <c r="BO175" s="78">
        <f t="shared" ref="BO175:BO185" si="19">IFERROR(1/J175*(X175/H175),"0")</f>
        <v>9.7402597402597407E-2</v>
      </c>
      <c r="BP175" s="78">
        <f t="shared" ref="BP175:BP185" si="20">IFERROR(1/J175*(Y175/H175),"0")</f>
        <v>9.8484848484848481E-2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28</v>
      </c>
      <c r="Y176" s="55">
        <f t="shared" si="16"/>
        <v>28</v>
      </c>
      <c r="Z176" s="41">
        <f>IFERROR(IF(Y176=0,"",ROUNDUP(Y176/H176,0)*0.00902),"")</f>
        <v>7.2160000000000002E-2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30.12</v>
      </c>
      <c r="BN176" s="78">
        <f t="shared" si="18"/>
        <v>30.12</v>
      </c>
      <c r="BO176" s="78">
        <f t="shared" si="19"/>
        <v>6.0606060606060608E-2</v>
      </c>
      <c r="BP176" s="78">
        <f t="shared" si="20"/>
        <v>6.0606060606060608E-2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20.857142857142858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21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0.18942000000000001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73</v>
      </c>
      <c r="Y187" s="43">
        <f>IFERROR(SUM(Y175:Y185),"0")</f>
        <v>73.5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15</v>
      </c>
      <c r="Y221" s="55">
        <f t="shared" ref="Y221:Y234" si="27">IFERROR(IF(X221="",0,CEILING((X221/$H221),1)*$H221),"")</f>
        <v>16.8</v>
      </c>
      <c r="Z221" s="41">
        <f>IFERROR(IF(Y221=0,"",ROUNDUP(Y221/H221,0)*0.00902),"")</f>
        <v>3.6080000000000001E-2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15.892857142857142</v>
      </c>
      <c r="BN221" s="78">
        <f t="shared" ref="BN221:BN234" si="29">IFERROR(Y221*I221/H221,"0")</f>
        <v>17.8</v>
      </c>
      <c r="BO221" s="78">
        <f t="shared" ref="BO221:BO234" si="30">IFERROR(1/J221*(X221/H221),"0")</f>
        <v>2.7056277056277056E-2</v>
      </c>
      <c r="BP221" s="78">
        <f t="shared" ref="BP221:BP234" si="31">IFERROR(1/J221*(Y221/H221),"0")</f>
        <v>3.0303030303030304E-2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2.4</v>
      </c>
      <c r="Y224" s="55">
        <f t="shared" si="27"/>
        <v>2.4000000000000004</v>
      </c>
      <c r="Z224" s="41">
        <f>IFERROR(IF(Y224=0,"",ROUNDUP(Y224/H224,0)*0.00556),"")</f>
        <v>1.668E-2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2.79</v>
      </c>
      <c r="BN224" s="78">
        <f t="shared" si="29"/>
        <v>2.7900000000000005</v>
      </c>
      <c r="BO224" s="78">
        <f t="shared" si="30"/>
        <v>1.1904761904761902E-2</v>
      </c>
      <c r="BP224" s="78">
        <f t="shared" si="31"/>
        <v>1.1904761904761906E-2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7</v>
      </c>
      <c r="Y225" s="55">
        <f t="shared" si="27"/>
        <v>8.4</v>
      </c>
      <c r="Z225" s="41">
        <f t="shared" ref="Z225:Z230" si="32">IFERROR(IF(Y225=0,"",ROUNDUP(Y225/H225,0)*0.00502),"")</f>
        <v>2.0080000000000001E-2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7.4333333333333327</v>
      </c>
      <c r="BN225" s="78">
        <f t="shared" si="29"/>
        <v>8.92</v>
      </c>
      <c r="BO225" s="78">
        <f t="shared" si="30"/>
        <v>1.4245014245014245E-2</v>
      </c>
      <c r="BP225" s="78">
        <f t="shared" si="31"/>
        <v>1.7094017094017096E-2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2.4</v>
      </c>
      <c r="Y231" s="55">
        <f t="shared" si="27"/>
        <v>2.4000000000000004</v>
      </c>
      <c r="Z231" s="41">
        <f>IFERROR(IF(Y231=0,"",ROUNDUP(Y231/H231,0)*0.00417),"")</f>
        <v>1.251E-2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3.03</v>
      </c>
      <c r="BN231" s="78">
        <f t="shared" si="29"/>
        <v>3.0300000000000002</v>
      </c>
      <c r="BO231" s="78">
        <f t="shared" si="30"/>
        <v>8.9285714285714263E-3</v>
      </c>
      <c r="BP231" s="78">
        <f t="shared" si="31"/>
        <v>8.9285714285714298E-3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12.904761904761905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8.5350000000000009E-2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26.799999999999997</v>
      </c>
      <c r="Y236" s="43">
        <f>IFERROR(SUM(Y221:Y234),"0")</f>
        <v>30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52</v>
      </c>
      <c r="Y267" s="55">
        <f t="shared" ref="Y267:Y274" si="33">IFERROR(IF(X267="",0,CEILING((X267/$H267),1)*$H267),"")</f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53.829629629629629</v>
      </c>
      <c r="BN267" s="78">
        <f t="shared" ref="BN267:BN274" si="35">IFERROR(Y267*I267/H267,"0")</f>
        <v>55.9</v>
      </c>
      <c r="BO267" s="78">
        <f t="shared" ref="BO267:BO274" si="36">IFERROR(1/J267*(X267/H267),"0")</f>
        <v>7.2951739618406286E-2</v>
      </c>
      <c r="BP267" s="78">
        <f t="shared" ref="BP267:BP274" si="37">IFERROR(1/J267*(Y267/H267),"0")</f>
        <v>7.575757575757576E-2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40</v>
      </c>
      <c r="Y268" s="55">
        <f t="shared" si="33"/>
        <v>43.2</v>
      </c>
      <c r="Z268" s="41">
        <f>IFERROR(IF(Y268=0,"",ROUNDUP(Y268/H268,0)*0.00902),"")</f>
        <v>7.2160000000000002E-2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41.407407407407405</v>
      </c>
      <c r="BN268" s="78">
        <f t="shared" si="35"/>
        <v>44.72</v>
      </c>
      <c r="BO268" s="78">
        <f t="shared" si="36"/>
        <v>5.6116722783389444E-2</v>
      </c>
      <c r="BP268" s="78">
        <f t="shared" si="37"/>
        <v>6.0606060606060608E-2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24.444444444444443</v>
      </c>
      <c r="Y275" s="43">
        <f>IFERROR(Y267/H267,"0")+IFERROR(Y268/H268,"0")+IFERROR(Y269/H269,"0")+IFERROR(Y270/H270,"0")+IFERROR(Y271/H271,"0")+IFERROR(Y272/H272,"0")+IFERROR(Y273/H273,"0")+IFERROR(Y274/H274,"0")</f>
        <v>26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0.23452000000000001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132</v>
      </c>
      <c r="Y276" s="43">
        <f>IFERROR(SUM(Y267:Y274),"0")</f>
        <v>140.4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16</v>
      </c>
      <c r="Y281" s="55">
        <f t="shared" si="38"/>
        <v>16.8</v>
      </c>
      <c r="Z281" s="41">
        <f>IFERROR(IF(Y281=0,"",ROUNDUP(Y281/H281,0)*0.00651),"")</f>
        <v>4.5569999999999999E-2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17.8</v>
      </c>
      <c r="BN281" s="78">
        <f t="shared" si="40"/>
        <v>18.690000000000001</v>
      </c>
      <c r="BO281" s="78">
        <f t="shared" si="41"/>
        <v>3.6630036630036632E-2</v>
      </c>
      <c r="BP281" s="78">
        <f t="shared" si="42"/>
        <v>3.8461538461538471E-2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20</v>
      </c>
      <c r="Y284" s="55">
        <f t="shared" si="38"/>
        <v>21.599999999999998</v>
      </c>
      <c r="Z284" s="41">
        <f>IFERROR(IF(Y284=0,"",ROUNDUP(Y284/H284,0)*0.00651),"")</f>
        <v>5.8590000000000003E-2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22.100000000000005</v>
      </c>
      <c r="BN284" s="78">
        <f t="shared" si="40"/>
        <v>23.868000000000002</v>
      </c>
      <c r="BO284" s="78">
        <f t="shared" si="41"/>
        <v>4.5787545787545791E-2</v>
      </c>
      <c r="BP284" s="78">
        <f t="shared" si="42"/>
        <v>4.9450549450549455E-2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16</v>
      </c>
      <c r="Y286" s="55">
        <f t="shared" si="38"/>
        <v>16.8</v>
      </c>
      <c r="Z286" s="41">
        <f>IFERROR(IF(Y286=0,"",ROUNDUP(Y286/H286,0)*0.00651),"")</f>
        <v>4.5569999999999999E-2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17.680000000000003</v>
      </c>
      <c r="BN286" s="78">
        <f t="shared" si="40"/>
        <v>18.564000000000004</v>
      </c>
      <c r="BO286" s="78">
        <f t="shared" si="41"/>
        <v>3.6630036630036632E-2</v>
      </c>
      <c r="BP286" s="78">
        <f t="shared" si="42"/>
        <v>3.8461538461538471E-2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20</v>
      </c>
      <c r="Y288" s="55">
        <f t="shared" si="38"/>
        <v>21.599999999999998</v>
      </c>
      <c r="Z288" s="41">
        <f>IFERROR(IF(Y288=0,"",ROUNDUP(Y288/H288,0)*0.00651),"")</f>
        <v>5.8590000000000003E-2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22.15</v>
      </c>
      <c r="BN288" s="78">
        <f t="shared" si="40"/>
        <v>23.921999999999997</v>
      </c>
      <c r="BO288" s="78">
        <f t="shared" si="41"/>
        <v>4.5787545787545791E-2</v>
      </c>
      <c r="BP288" s="78">
        <f t="shared" si="42"/>
        <v>4.9450549450549455E-2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30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32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0.20832000000000001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72</v>
      </c>
      <c r="Y291" s="43">
        <f>IFERROR(SUM(Y278:Y289),"0")</f>
        <v>76.8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120</v>
      </c>
      <c r="Y326" s="55">
        <f>IFERROR(IF(X326="",0,CEILING((X326/$H326),1)*$H326),"")</f>
        <v>129.60000000000002</v>
      </c>
      <c r="Z326" s="41">
        <f>IFERROR(IF(Y326=0,"",ROUNDUP(Y326/H326,0)*0.01898),"")</f>
        <v>0.22776000000000002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124.55555555555556</v>
      </c>
      <c r="BN326" s="78">
        <f>IFERROR(Y326*I326/H326,"0")</f>
        <v>134.52000000000001</v>
      </c>
      <c r="BO326" s="78">
        <f>IFERROR(1/J326*(X326/H326),"0")</f>
        <v>0.1736111111111111</v>
      </c>
      <c r="BP326" s="78">
        <f>IFERROR(1/J326*(Y326/H326),"0")</f>
        <v>0.18750000000000003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8</v>
      </c>
      <c r="Y328" s="55">
        <f>IFERROR(IF(X328="",0,CEILING((X328/$H328),1)*$H328),"")</f>
        <v>8</v>
      </c>
      <c r="Z328" s="41">
        <f>IFERROR(IF(Y328=0,"",ROUNDUP(Y328/H328,0)*0.00902),"")</f>
        <v>1.804E-2</v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8.3800000000000008</v>
      </c>
      <c r="BN328" s="78">
        <f>IFERROR(Y328*I328/H328,"0")</f>
        <v>8.3800000000000008</v>
      </c>
      <c r="BO328" s="78">
        <f>IFERROR(1/J328*(X328/H328),"0")</f>
        <v>1.5151515151515152E-2</v>
      </c>
      <c r="BP328" s="78">
        <f>IFERROR(1/J328*(Y328/H328),"0")</f>
        <v>1.5151515151515152E-2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17.74074074074074</v>
      </c>
      <c r="Y329" s="43">
        <f>IFERROR(Y324/H324,"0")+IFERROR(Y325/H325,"0")+IFERROR(Y326/H326,"0")+IFERROR(Y327/H327,"0")+IFERROR(Y328/H328,"0")</f>
        <v>19</v>
      </c>
      <c r="Z329" s="43">
        <f>IFERROR(IF(Z324="",0,Z324),"0")+IFERROR(IF(Z325="",0,Z325),"0")+IFERROR(IF(Z326="",0,Z326),"0")+IFERROR(IF(Z327="",0,Z327),"0")+IFERROR(IF(Z328="",0,Z328),"0")</f>
        <v>0.3407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178</v>
      </c>
      <c r="Y330" s="43">
        <f>IFERROR(SUM(Y324:Y328),"0")</f>
        <v>191.60000000000002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15</v>
      </c>
      <c r="Y333" s="55">
        <f>IFERROR(IF(X333="",0,CEILING((X333/$H333),1)*$H333),"")</f>
        <v>16.2</v>
      </c>
      <c r="Z333" s="41">
        <f>IFERROR(IF(Y333=0,"",ROUNDUP(Y333/H333,0)*0.00651),"")</f>
        <v>5.8590000000000003E-2</v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16.5</v>
      </c>
      <c r="BN333" s="78">
        <f>IFERROR(Y333*I333/H333,"0")</f>
        <v>17.82</v>
      </c>
      <c r="BO333" s="78">
        <f>IFERROR(1/J333*(X333/H333),"0")</f>
        <v>4.5787545787545791E-2</v>
      </c>
      <c r="BP333" s="78">
        <f>IFERROR(1/J333*(Y333/H333),"0")</f>
        <v>4.9450549450549455E-2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8.3333333333333339</v>
      </c>
      <c r="Y336" s="43">
        <f>IFERROR(Y333/H333,"0")+IFERROR(Y334/H334,"0")+IFERROR(Y335/H335,"0")</f>
        <v>9</v>
      </c>
      <c r="Z336" s="43">
        <f>IFERROR(IF(Z333="",0,Z333),"0")+IFERROR(IF(Z334="",0,Z334),"0")+IFERROR(IF(Z335="",0,Z335),"0")</f>
        <v>5.8590000000000003E-2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15</v>
      </c>
      <c r="Y337" s="43">
        <f>IFERROR(SUM(Y333:Y335),"0")</f>
        <v>16.2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170</v>
      </c>
      <c r="Y362" s="55">
        <f t="shared" si="48"/>
        <v>172.8</v>
      </c>
      <c r="Z362" s="41">
        <f>IFERROR(IF(Y362=0,"",ROUNDUP(Y362/H362,0)*0.01898),"")</f>
        <v>0.30368000000000001</v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176.4537037037037</v>
      </c>
      <c r="BN362" s="78">
        <f t="shared" si="50"/>
        <v>179.36</v>
      </c>
      <c r="BO362" s="78">
        <f t="shared" si="51"/>
        <v>0.24594907407407407</v>
      </c>
      <c r="BP362" s="78">
        <f t="shared" si="52"/>
        <v>0.25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140</v>
      </c>
      <c r="Y363" s="55">
        <f t="shared" si="48"/>
        <v>140.4</v>
      </c>
      <c r="Z363" s="41">
        <f>IFERROR(IF(Y363=0,"",ROUNDUP(Y363/H363,0)*0.01898),"")</f>
        <v>0.24674000000000001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145.31481481481481</v>
      </c>
      <c r="BN363" s="78">
        <f t="shared" si="50"/>
        <v>145.73000000000002</v>
      </c>
      <c r="BO363" s="78">
        <f t="shared" si="51"/>
        <v>0.20254629629629628</v>
      </c>
      <c r="BP363" s="78">
        <f t="shared" si="52"/>
        <v>0.203125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990</v>
      </c>
      <c r="Y364" s="55">
        <f t="shared" si="48"/>
        <v>993.6</v>
      </c>
      <c r="Z364" s="41">
        <f>IFERROR(IF(Y364=0,"",ROUNDUP(Y364/H364,0)*0.01898),"")</f>
        <v>1.7461599999999999</v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1027.5833333333335</v>
      </c>
      <c r="BN364" s="78">
        <f t="shared" si="50"/>
        <v>1031.32</v>
      </c>
      <c r="BO364" s="78">
        <f t="shared" si="51"/>
        <v>1.4322916666666665</v>
      </c>
      <c r="BP364" s="78">
        <f t="shared" si="52"/>
        <v>1.4375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28</v>
      </c>
      <c r="Y365" s="55">
        <f t="shared" si="48"/>
        <v>28</v>
      </c>
      <c r="Z365" s="41">
        <f>IFERROR(IF(Y365=0,"",ROUNDUP(Y365/H365,0)*0.00902),"")</f>
        <v>6.3140000000000002E-2</v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29.330000000000002</v>
      </c>
      <c r="BN365" s="78">
        <f t="shared" si="50"/>
        <v>29.330000000000002</v>
      </c>
      <c r="BO365" s="78">
        <f t="shared" si="51"/>
        <v>5.3030303030303032E-2</v>
      </c>
      <c r="BP365" s="78">
        <f t="shared" si="52"/>
        <v>5.3030303030303032E-2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56</v>
      </c>
      <c r="Y366" s="55">
        <f t="shared" si="48"/>
        <v>56</v>
      </c>
      <c r="Z366" s="41">
        <f>IFERROR(IF(Y366=0,"",ROUNDUP(Y366/H366,0)*0.00902),"")</f>
        <v>0.12628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58.660000000000004</v>
      </c>
      <c r="BN366" s="78">
        <f t="shared" si="50"/>
        <v>58.660000000000004</v>
      </c>
      <c r="BO366" s="78">
        <f t="shared" si="51"/>
        <v>0.10606060606060606</v>
      </c>
      <c r="BP366" s="78">
        <f t="shared" si="52"/>
        <v>0.10606060606060606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141.37037037037035</v>
      </c>
      <c r="Y367" s="43">
        <f>IFERROR(Y361/H361,"0")+IFERROR(Y362/H362,"0")+IFERROR(Y363/H363,"0")+IFERROR(Y364/H364,"0")+IFERROR(Y365/H365,"0")+IFERROR(Y366/H366,"0")</f>
        <v>142</v>
      </c>
      <c r="Z367" s="43">
        <f>IFERROR(IF(Z361="",0,Z361),"0")+IFERROR(IF(Z362="",0,Z362),"0")+IFERROR(IF(Z363="",0,Z363),"0")+IFERROR(IF(Z364="",0,Z364),"0")+IFERROR(IF(Z365="",0,Z365),"0")+IFERROR(IF(Z366="",0,Z366),"0")</f>
        <v>2.4860000000000002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1384</v>
      </c>
      <c r="Y368" s="43">
        <f>IFERROR(SUM(Y361:Y366),"0")</f>
        <v>1390.8000000000002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70</v>
      </c>
      <c r="Y370" s="55">
        <f t="shared" ref="Y370:Y376" si="53">IFERROR(IF(X370="",0,CEILING((X370/$H370),1)*$H370),"")</f>
        <v>71.400000000000006</v>
      </c>
      <c r="Z370" s="41">
        <f>IFERROR(IF(Y370=0,"",ROUNDUP(Y370/H370,0)*0.00902),"")</f>
        <v>0.15334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74.166666666666657</v>
      </c>
      <c r="BN370" s="78">
        <f t="shared" ref="BN370:BN376" si="55">IFERROR(Y370*I370/H370,"0")</f>
        <v>75.650000000000006</v>
      </c>
      <c r="BO370" s="78">
        <f t="shared" ref="BO370:BO376" si="56">IFERROR(1/J370*(X370/H370),"0")</f>
        <v>0.12626262626262624</v>
      </c>
      <c r="BP370" s="78">
        <f t="shared" ref="BP370:BP376" si="57">IFERROR(1/J370*(Y370/H370),"0")</f>
        <v>0.12878787878787878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280</v>
      </c>
      <c r="Y371" s="55">
        <f t="shared" si="53"/>
        <v>281.40000000000003</v>
      </c>
      <c r="Z371" s="41">
        <f>IFERROR(IF(Y371=0,"",ROUNDUP(Y371/H371,0)*0.00902),"")</f>
        <v>0.60433999999999999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296.66666666666663</v>
      </c>
      <c r="BN371" s="78">
        <f t="shared" si="55"/>
        <v>298.15000000000003</v>
      </c>
      <c r="BO371" s="78">
        <f t="shared" si="56"/>
        <v>0.50505050505050497</v>
      </c>
      <c r="BP371" s="78">
        <f t="shared" si="57"/>
        <v>0.50757575757575757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47.6</v>
      </c>
      <c r="Y373" s="55">
        <f t="shared" si="53"/>
        <v>48.300000000000004</v>
      </c>
      <c r="Z373" s="41">
        <f>IFERROR(IF(Y373=0,"",ROUNDUP(Y373/H373,0)*0.00502),"")</f>
        <v>0.11546000000000001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50.54666666666666</v>
      </c>
      <c r="BN373" s="78">
        <f t="shared" si="55"/>
        <v>51.29</v>
      </c>
      <c r="BO373" s="78">
        <f t="shared" si="56"/>
        <v>9.6866096866096887E-2</v>
      </c>
      <c r="BP373" s="78">
        <f t="shared" si="57"/>
        <v>9.8290598290598302E-2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7</v>
      </c>
      <c r="Y374" s="55">
        <f t="shared" si="53"/>
        <v>8.4</v>
      </c>
      <c r="Z374" s="41">
        <f>IFERROR(IF(Y374=0,"",ROUNDUP(Y374/H374,0)*0.00502),"")</f>
        <v>2.0080000000000001E-2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7.3333333333333339</v>
      </c>
      <c r="BN374" s="78">
        <f t="shared" si="55"/>
        <v>8.8000000000000007</v>
      </c>
      <c r="BO374" s="78">
        <f t="shared" si="56"/>
        <v>1.4245014245014245E-2</v>
      </c>
      <c r="BP374" s="78">
        <f t="shared" si="57"/>
        <v>1.7094017094017096E-2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109.33333333333331</v>
      </c>
      <c r="Y377" s="43">
        <f>IFERROR(Y370/H370,"0")+IFERROR(Y371/H371,"0")+IFERROR(Y372/H372,"0")+IFERROR(Y373/H373,"0")+IFERROR(Y374/H374,"0")+IFERROR(Y375/H375,"0")+IFERROR(Y376/H376,"0")</f>
        <v>111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0.89322000000000001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404.6</v>
      </c>
      <c r="Y378" s="43">
        <f>IFERROR(SUM(Y370:Y376),"0")</f>
        <v>409.50000000000006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6420</v>
      </c>
      <c r="Y380" s="55">
        <f>IFERROR(IF(X380="",0,CEILING((X380/$H380),1)*$H380),"")</f>
        <v>6427.2</v>
      </c>
      <c r="Z380" s="41">
        <f>IFERROR(IF(Y380=0,"",ROUNDUP(Y380/H380,0)*0.01898),"")</f>
        <v>15.639520000000001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6821.6615384615388</v>
      </c>
      <c r="BN380" s="78">
        <f>IFERROR(Y380*I380/H380,"0")</f>
        <v>6829.3119999999999</v>
      </c>
      <c r="BO380" s="78">
        <f>IFERROR(1/J380*(X380/H380),"0")</f>
        <v>12.860576923076923</v>
      </c>
      <c r="BP380" s="78">
        <f>IFERROR(1/J380*(Y380/H380),"0")</f>
        <v>12.875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823.07692307692309</v>
      </c>
      <c r="Y384" s="43">
        <f>IFERROR(Y380/H380,"0")+IFERROR(Y381/H381,"0")+IFERROR(Y382/H382,"0")+IFERROR(Y383/H383,"0")</f>
        <v>824</v>
      </c>
      <c r="Z384" s="43">
        <f>IFERROR(IF(Z380="",0,Z380),"0")+IFERROR(IF(Z381="",0,Z381),"0")+IFERROR(IF(Z382="",0,Z382),"0")+IFERROR(IF(Z383="",0,Z383),"0")</f>
        <v>15.639520000000001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6420</v>
      </c>
      <c r="Y385" s="43">
        <f>IFERROR(SUM(Y380:Y383),"0")</f>
        <v>6427.2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273</v>
      </c>
      <c r="Y388" s="55">
        <f>IFERROR(IF(X388="",0,CEILING((X388/$H388),1)*$H388),"")</f>
        <v>273</v>
      </c>
      <c r="Z388" s="41">
        <f>IFERROR(IF(Y388=0,"",ROUNDUP(Y388/H388,0)*0.01898),"")</f>
        <v>0.6643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290.29000000000002</v>
      </c>
      <c r="BN388" s="78">
        <f>IFERROR(Y388*I388/H388,"0")</f>
        <v>290.29000000000002</v>
      </c>
      <c r="BO388" s="78">
        <f>IFERROR(1/J388*(X388/H388),"0")</f>
        <v>0.546875</v>
      </c>
      <c r="BP388" s="78">
        <f>IFERROR(1/J388*(Y388/H388),"0")</f>
        <v>0.546875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98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103.76333333333332</v>
      </c>
      <c r="BN389" s="78">
        <f>IFERROR(Y389*I389/H389,"0")</f>
        <v>106.72800000000001</v>
      </c>
      <c r="BO389" s="78">
        <f>IFERROR(1/J389*(X389/H389),"0")</f>
        <v>0.18229166666666666</v>
      </c>
      <c r="BP389" s="78">
        <f>IFERROR(1/J389*(Y389/H389),"0")</f>
        <v>0.1875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46.666666666666664</v>
      </c>
      <c r="Y390" s="43">
        <f>IFERROR(Y387/H387,"0")+IFERROR(Y388/H388,"0")+IFERROR(Y389/H389,"0")</f>
        <v>47</v>
      </c>
      <c r="Z390" s="43">
        <f>IFERROR(IF(Z387="",0,Z387),"0")+IFERROR(IF(Z388="",0,Z388),"0")+IFERROR(IF(Z389="",0,Z389),"0")</f>
        <v>0.89206000000000008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371</v>
      </c>
      <c r="Y391" s="43">
        <f>IFERROR(SUM(Y387:Y389),"0")</f>
        <v>373.8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2.5499999999999998</v>
      </c>
      <c r="Y396" s="55">
        <f>IFERROR(IF(X396="",0,CEILING((X396/$H396),1)*$H396),"")</f>
        <v>2.5499999999999998</v>
      </c>
      <c r="Z396" s="41">
        <f>IFERROR(IF(Y396=0,"",ROUNDUP(Y396/H396,0)*0.00651),"")</f>
        <v>6.5100000000000002E-3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2.88</v>
      </c>
      <c r="BN396" s="78">
        <f>IFERROR(Y396*I396/H396,"0")</f>
        <v>2.88</v>
      </c>
      <c r="BO396" s="78">
        <f>IFERROR(1/J396*(X396/H396),"0")</f>
        <v>5.4945054945054949E-3</v>
      </c>
      <c r="BP396" s="78">
        <f>IFERROR(1/J396*(Y396/H396),"0")</f>
        <v>5.4945054945054949E-3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1</v>
      </c>
      <c r="Y397" s="43">
        <f>IFERROR(Y393/H393,"0")+IFERROR(Y394/H394,"0")+IFERROR(Y395/H395,"0")+IFERROR(Y396/H396,"0")</f>
        <v>1</v>
      </c>
      <c r="Z397" s="43">
        <f>IFERROR(IF(Z393="",0,Z393),"0")+IFERROR(IF(Z394="",0,Z394),"0")+IFERROR(IF(Z395="",0,Z395),"0")+IFERROR(IF(Z396="",0,Z396),"0")</f>
        <v>6.5100000000000002E-3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2.5499999999999998</v>
      </c>
      <c r="Y398" s="43">
        <f>IFERROR(SUM(Y393:Y396),"0")</f>
        <v>2.5499999999999998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50</v>
      </c>
      <c r="Y419" s="55">
        <f>IFERROR(IF(X419="",0,CEILING((X419/$H419),1)*$H419),"")</f>
        <v>56.699999999999996</v>
      </c>
      <c r="Z419" s="41">
        <f>IFERROR(IF(Y419=0,"",ROUNDUP(Y419/H419,0)*0.01898),"")</f>
        <v>0.13286000000000001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53.049382716049386</v>
      </c>
      <c r="BN419" s="78">
        <f>IFERROR(Y419*I419/H419,"0")</f>
        <v>60.157999999999994</v>
      </c>
      <c r="BO419" s="78">
        <f>IFERROR(1/J419*(X419/H419),"0")</f>
        <v>9.6450617283950615E-2</v>
      </c>
      <c r="BP419" s="78">
        <f>IFERROR(1/J419*(Y419/H419),"0")</f>
        <v>0.109375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53.2</v>
      </c>
      <c r="Y420" s="55">
        <f>IFERROR(IF(X420="",0,CEILING((X420/$H420),1)*$H420),"")</f>
        <v>54.6</v>
      </c>
      <c r="Z420" s="41">
        <f>IFERROR(IF(Y420=0,"",ROUNDUP(Y420/H420,0)*0.00651),"")</f>
        <v>0.16925999999999999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59.583999999999996</v>
      </c>
      <c r="BN420" s="78">
        <f>IFERROR(Y420*I420/H420,"0")</f>
        <v>61.151999999999994</v>
      </c>
      <c r="BO420" s="78">
        <f>IFERROR(1/J420*(X420/H420),"0")</f>
        <v>0.1391941391941392</v>
      </c>
      <c r="BP420" s="78">
        <f>IFERROR(1/J420*(Y420/H420),"0")</f>
        <v>0.14285714285714288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42</v>
      </c>
      <c r="Y421" s="55">
        <f>IFERROR(IF(X421="",0,CEILING((X421/$H421),1)*$H421),"")</f>
        <v>42</v>
      </c>
      <c r="Z421" s="41">
        <f>IFERROR(IF(Y421=0,"",ROUNDUP(Y421/H421,0)*0.00651),"")</f>
        <v>0.13020000000000001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46.8</v>
      </c>
      <c r="BN421" s="78">
        <f>IFERROR(Y421*I421/H421,"0")</f>
        <v>46.8</v>
      </c>
      <c r="BO421" s="78">
        <f>IFERROR(1/J421*(X421/H421),"0")</f>
        <v>0.1098901098901099</v>
      </c>
      <c r="BP421" s="78">
        <f>IFERROR(1/J421*(Y421/H421),"0")</f>
        <v>0.1098901098901099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51.506172839506171</v>
      </c>
      <c r="Y422" s="43">
        <f>IFERROR(Y419/H419,"0")+IFERROR(Y420/H420,"0")+IFERROR(Y421/H421,"0")</f>
        <v>53</v>
      </c>
      <c r="Z422" s="43">
        <f>IFERROR(IF(Z419="",0,Z419),"0")+IFERROR(IF(Z420="",0,Z420),"0")+IFERROR(IF(Z421="",0,Z421),"0")</f>
        <v>0.43232000000000004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145.19999999999999</v>
      </c>
      <c r="Y423" s="43">
        <f>IFERROR(SUM(Y419:Y421),"0")</f>
        <v>153.30000000000001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60</v>
      </c>
      <c r="Y428" s="55">
        <f t="shared" si="58"/>
        <v>60</v>
      </c>
      <c r="Z428" s="41">
        <f>IFERROR(IF(Y428=0,"",ROUNDUP(Y428/H428,0)*0.02175),"")</f>
        <v>8.6999999999999994E-2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61.88</v>
      </c>
      <c r="BN428" s="78">
        <f t="shared" si="60"/>
        <v>61.88</v>
      </c>
      <c r="BO428" s="78">
        <f t="shared" si="61"/>
        <v>8.3333333333333329E-2</v>
      </c>
      <c r="BP428" s="78">
        <f t="shared" si="62"/>
        <v>8.3333333333333329E-2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420</v>
      </c>
      <c r="Y431" s="55">
        <f t="shared" si="58"/>
        <v>420</v>
      </c>
      <c r="Z431" s="41">
        <f>IFERROR(IF(Y431=0,"",ROUNDUP(Y431/H431,0)*0.02175),"")</f>
        <v>0.60899999999999999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433.16</v>
      </c>
      <c r="BN431" s="78">
        <f t="shared" si="60"/>
        <v>433.16</v>
      </c>
      <c r="BO431" s="78">
        <f t="shared" si="61"/>
        <v>0.58333333333333326</v>
      </c>
      <c r="BP431" s="78">
        <f t="shared" si="62"/>
        <v>0.58333333333333326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42</v>
      </c>
      <c r="Y435" s="43">
        <f>IFERROR(Y427/H427,"0")+IFERROR(Y428/H428,"0")+IFERROR(Y429/H429,"0")+IFERROR(Y430/H430,"0")+IFERROR(Y431/H431,"0")+IFERROR(Y432/H432,"0")+IFERROR(Y433/H433,"0")+IFERROR(Y434/H434,"0")</f>
        <v>42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0.91349999999999998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630</v>
      </c>
      <c r="Y436" s="43">
        <f>IFERROR(SUM(Y427:Y434),"0")</f>
        <v>630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990</v>
      </c>
      <c r="Y438" s="55">
        <f>IFERROR(IF(X438="",0,CEILING((X438/$H438),1)*$H438),"")</f>
        <v>990</v>
      </c>
      <c r="Z438" s="41">
        <f>IFERROR(IF(Y438=0,"",ROUNDUP(Y438/H438,0)*0.02175),"")</f>
        <v>1.4355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1021.0200000000001</v>
      </c>
      <c r="BN438" s="78">
        <f>IFERROR(Y438*I438/H438,"0")</f>
        <v>1021.0200000000001</v>
      </c>
      <c r="BO438" s="78">
        <f>IFERROR(1/J438*(X438/H438),"0")</f>
        <v>1.375</v>
      </c>
      <c r="BP438" s="78">
        <f>IFERROR(1/J438*(Y438/H438),"0")</f>
        <v>1.375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66</v>
      </c>
      <c r="Y441" s="43">
        <f>IFERROR(Y438/H438,"0")+IFERROR(Y439/H439,"0")+IFERROR(Y440/H440,"0")</f>
        <v>66</v>
      </c>
      <c r="Z441" s="43">
        <f>IFERROR(IF(Z438="",0,Z438),"0")+IFERROR(IF(Z439="",0,Z439),"0")+IFERROR(IF(Z440="",0,Z440),"0")</f>
        <v>1.4355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990</v>
      </c>
      <c r="Y442" s="43">
        <f>IFERROR(SUM(Y438:Y440),"0")</f>
        <v>990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7</v>
      </c>
      <c r="Y478" s="55">
        <f t="shared" si="63"/>
        <v>8.4</v>
      </c>
      <c r="Z478" s="41">
        <f>IFERROR(IF(Y478=0,"",ROUNDUP(Y478/H478,0)*0.00502),"")</f>
        <v>2.0080000000000001E-2</v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7.4333333333333327</v>
      </c>
      <c r="BN478" s="78">
        <f t="shared" si="65"/>
        <v>8.92</v>
      </c>
      <c r="BO478" s="78">
        <f t="shared" si="66"/>
        <v>1.4245014245014245E-2</v>
      </c>
      <c r="BP478" s="78">
        <f t="shared" si="67"/>
        <v>1.7094017094017096E-2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3.333333333333333</v>
      </c>
      <c r="Y479" s="43">
        <f>IFERROR(Y473/H473,"0")+IFERROR(Y474/H474,"0")+IFERROR(Y475/H475,"0")+IFERROR(Y476/H476,"0")+IFERROR(Y477/H477,"0")+IFERROR(Y478/H478,"0")</f>
        <v>4</v>
      </c>
      <c r="Z479" s="43">
        <f>IFERROR(IF(Z473="",0,Z473),"0")+IFERROR(IF(Z474="",0,Z474),"0")+IFERROR(IF(Z475="",0,Z475),"0")+IFERROR(IF(Z476="",0,Z476),"0")+IFERROR(IF(Z477="",0,Z477),"0")+IFERROR(IF(Z478="",0,Z478),"0")</f>
        <v>2.0080000000000001E-2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7</v>
      </c>
      <c r="Y480" s="43">
        <f>IFERROR(SUM(Y473:Y478),"0")</f>
        <v>8.4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65</v>
      </c>
      <c r="Y500" s="55">
        <f t="shared" ref="Y500:Y508" si="68">IFERROR(IF(X500="",0,CEILING((X500/$H500),1)*$H500),"")</f>
        <v>68.64</v>
      </c>
      <c r="Z500" s="41">
        <f t="shared" ref="Z500:Z505" si="69">IFERROR(IF(Y500=0,"",ROUNDUP(Y500/H500,0)*0.01196),"")</f>
        <v>0.15548000000000001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69.30871212121211</v>
      </c>
      <c r="BN500" s="78">
        <f t="shared" ref="BN500:BN508" si="71">IFERROR(Y500*I500/H500,"0")</f>
        <v>73.19</v>
      </c>
      <c r="BO500" s="78">
        <f t="shared" ref="BO500:BO508" si="72">IFERROR(1/J500*(X500/H500),"0")</f>
        <v>0.11837121212121213</v>
      </c>
      <c r="BP500" s="78">
        <f t="shared" ref="BP500:BP508" si="73">IFERROR(1/J500*(Y500/H500),"0")</f>
        <v>0.125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20</v>
      </c>
      <c r="Y502" s="55">
        <f t="shared" si="68"/>
        <v>21.12</v>
      </c>
      <c r="Z502" s="41">
        <f t="shared" si="69"/>
        <v>4.7840000000000001E-2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21.325757575757574</v>
      </c>
      <c r="BN502" s="78">
        <f t="shared" si="71"/>
        <v>22.52</v>
      </c>
      <c r="BO502" s="78">
        <f t="shared" si="72"/>
        <v>3.6421911421911424E-2</v>
      </c>
      <c r="BP502" s="78">
        <f t="shared" si="73"/>
        <v>3.8461538461538464E-2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16.098484848484848</v>
      </c>
      <c r="Y509" s="43">
        <f>IFERROR(Y500/H500,"0")+IFERROR(Y501/H501,"0")+IFERROR(Y502/H502,"0")+IFERROR(Y503/H503,"0")+IFERROR(Y504/H504,"0")+IFERROR(Y505/H505,"0")+IFERROR(Y506/H506,"0")+IFERROR(Y507/H507,"0")+IFERROR(Y508/H508,"0")</f>
        <v>17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0.20332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85</v>
      </c>
      <c r="Y510" s="43">
        <f>IFERROR(SUM(Y500:Y508),"0")</f>
        <v>89.76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230</v>
      </c>
      <c r="Y512" s="55">
        <f>IFERROR(IF(X512="",0,CEILING((X512/$H512),1)*$H512),"")</f>
        <v>232.32000000000002</v>
      </c>
      <c r="Z512" s="41">
        <f>IFERROR(IF(Y512=0,"",ROUNDUP(Y512/H512,0)*0.01196),"")</f>
        <v>0.52624000000000004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245.2462121212121</v>
      </c>
      <c r="BN512" s="78">
        <f>IFERROR(Y512*I512/H512,"0")</f>
        <v>247.72</v>
      </c>
      <c r="BO512" s="78">
        <f>IFERROR(1/J512*(X512/H512),"0")</f>
        <v>0.41885198135198132</v>
      </c>
      <c r="BP512" s="78">
        <f>IFERROR(1/J512*(Y512/H512),"0")</f>
        <v>0.42307692307692313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43.560606060606055</v>
      </c>
      <c r="Y515" s="43">
        <f>IFERROR(Y512/H512,"0")+IFERROR(Y513/H513,"0")+IFERROR(Y514/H514,"0")</f>
        <v>44</v>
      </c>
      <c r="Z515" s="43">
        <f>IFERROR(IF(Z512="",0,Z512),"0")+IFERROR(IF(Z513="",0,Z513),"0")+IFERROR(IF(Z514="",0,Z514),"0")</f>
        <v>0.52624000000000004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230</v>
      </c>
      <c r="Y516" s="43">
        <f>IFERROR(SUM(Y512:Y514),"0")</f>
        <v>232.32000000000002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10</v>
      </c>
      <c r="Y520" s="55">
        <f t="shared" si="74"/>
        <v>10.56</v>
      </c>
      <c r="Z520" s="41">
        <f>IFERROR(IF(Y520=0,"",ROUNDUP(Y520/H520,0)*0.01196),"")</f>
        <v>2.392E-2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10.662878787878787</v>
      </c>
      <c r="BN520" s="78">
        <f t="shared" si="76"/>
        <v>11.26</v>
      </c>
      <c r="BO520" s="78">
        <f t="shared" si="77"/>
        <v>1.8210955710955712E-2</v>
      </c>
      <c r="BP520" s="78">
        <f t="shared" si="78"/>
        <v>1.9230769230769232E-2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1.8939393939393938</v>
      </c>
      <c r="Y525" s="43">
        <f>IFERROR(Y518/H518,"0")+IFERROR(Y519/H519,"0")+IFERROR(Y520/H520,"0")+IFERROR(Y521/H521,"0")+IFERROR(Y522/H522,"0")+IFERROR(Y523/H523,"0")+IFERROR(Y524/H524,"0")</f>
        <v>2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2.392E-2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10</v>
      </c>
      <c r="Y526" s="43">
        <f>IFERROR(SUM(Y518:Y524),"0")</f>
        <v>10.56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30</v>
      </c>
      <c r="Y530" s="55">
        <f>IFERROR(IF(X530="",0,CEILING((X530/$H530),1)*$H530),"")</f>
        <v>36</v>
      </c>
      <c r="Z530" s="41">
        <f>IFERROR(IF(Y530=0,"",ROUNDUP(Y530/H530,0)*0.01898),"")</f>
        <v>5.6940000000000004E-2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31.025000000000002</v>
      </c>
      <c r="BN530" s="78">
        <f>IFERROR(Y530*I530/H530,"0")</f>
        <v>37.229999999999997</v>
      </c>
      <c r="BO530" s="78">
        <f>IFERROR(1/J530*(X530/H530),"0")</f>
        <v>3.90625E-2</v>
      </c>
      <c r="BP530" s="78">
        <f>IFERROR(1/J530*(Y530/H530),"0")</f>
        <v>4.6875E-2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2.5</v>
      </c>
      <c r="Y531" s="43">
        <f>IFERROR(Y530/H530,"0")</f>
        <v>3</v>
      </c>
      <c r="Z531" s="43">
        <f>IFERROR(IF(Z530="",0,Z530),"0")</f>
        <v>5.6940000000000004E-2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30</v>
      </c>
      <c r="Y532" s="43">
        <f>IFERROR(SUM(Y530:Y530),"0")</f>
        <v>36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120</v>
      </c>
      <c r="Y538" s="55">
        <f>IFERROR(IF(X538="",0,CEILING((X538/$H538),1)*$H538),"")</f>
        <v>121.80000000000001</v>
      </c>
      <c r="Z538" s="41">
        <f>IFERROR(IF(Y538=0,"",ROUNDUP(Y538/H538,0)*0.00902),"")</f>
        <v>0.26158000000000003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127.14285714285714</v>
      </c>
      <c r="BN538" s="78">
        <f>IFERROR(Y538*I538/H538,"0")</f>
        <v>129.05000000000001</v>
      </c>
      <c r="BO538" s="78">
        <f>IFERROR(1/J538*(X538/H538),"0")</f>
        <v>0.21645021645021645</v>
      </c>
      <c r="BP538" s="78">
        <f>IFERROR(1/J538*(Y538/H538),"0")</f>
        <v>0.2196969696969697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28.571428571428569</v>
      </c>
      <c r="Y539" s="43">
        <f>IFERROR(Y538/H538,"0")</f>
        <v>29</v>
      </c>
      <c r="Z539" s="43">
        <f>IFERROR(IF(Z538="",0,Z538),"0")</f>
        <v>0.26158000000000003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120</v>
      </c>
      <c r="Y540" s="43">
        <f>IFERROR(SUM(Y538:Y538),"0")</f>
        <v>121.80000000000001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100</v>
      </c>
      <c r="Y542" s="55">
        <f>IFERROR(IF(X542="",0,CEILING((X542/$H542),1)*$H542),"")</f>
        <v>108</v>
      </c>
      <c r="Z542" s="41">
        <f>IFERROR(IF(Y542=0,"",ROUNDUP(Y542/H542,0)*0.01898),"")</f>
        <v>0.22776000000000002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105.48888888888888</v>
      </c>
      <c r="BN542" s="78">
        <f>IFERROR(Y542*I542/H542,"0")</f>
        <v>113.92799999999998</v>
      </c>
      <c r="BO542" s="78">
        <f>IFERROR(1/J542*(X542/H542),"0")</f>
        <v>0.1736111111111111</v>
      </c>
      <c r="BP542" s="78">
        <f>IFERROR(1/J542*(Y542/H542),"0")</f>
        <v>0.1875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11.111111111111111</v>
      </c>
      <c r="Y543" s="43">
        <f>IFERROR(Y542/H542,"0")</f>
        <v>12</v>
      </c>
      <c r="Z543" s="43">
        <f>IFERROR(IF(Z542="",0,Z542),"0")</f>
        <v>0.22776000000000002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100</v>
      </c>
      <c r="Y544" s="43">
        <f>IFERROR(SUM(Y542:Y542),"0")</f>
        <v>108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13019.75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13142.089999999997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13721.879134340965</v>
      </c>
      <c r="Y556" s="43">
        <f>IFERROR(SUM(BN22:BN552),"0")</f>
        <v>13850.607999999998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24</v>
      </c>
      <c r="Y557" s="44">
        <f>ROUNDUP(SUM(BP22:BP552),0)</f>
        <v>24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14321.879134340965</v>
      </c>
      <c r="Y558" s="43">
        <f>GrossWeightTotalR+PalletQtyTotalR*25</f>
        <v>14450.607999999998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1734.2243096409763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1754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28.278890000000004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102.4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1161.8</v>
      </c>
      <c r="F565" s="52">
        <f>IFERROR(Y84*1,"0")+IFERROR(Y85*1,"0")+IFERROR(Y86*1,"0")+IFERROR(Y87*1,"0")+IFERROR(Y91*1,"0")+IFERROR(Y92*1,"0")+IFERROR(Y93*1,"0")+IFERROR(Y94*1,"0")</f>
        <v>215.1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120.3</v>
      </c>
      <c r="H565" s="52">
        <f>IFERROR(Y129*1,"0")+IFERROR(Y130*1,"0")+IFERROR(Y131*1,"0")+IFERROR(Y135*1,"0")+IFERROR(Y136*1,"0")+IFERROR(Y137*1,"0")+IFERROR(Y138*1,"0")+IFERROR(Y142*1,"0")+IFERROR(Y143*1,"0")+IFERROR(Y144*1,"0")</f>
        <v>30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73.5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217.20000000000002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191.60000000000002</v>
      </c>
      <c r="Q565" s="52">
        <f>IFERROR(Y333*1,"0")+IFERROR(Y334*1,"0")+IFERROR(Y335*1,"0")</f>
        <v>16.2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8603.8499999999985</v>
      </c>
      <c r="U565" s="52">
        <f>IFERROR(Y413*1,"0")+IFERROR(Y414*1,"0")</f>
        <v>0</v>
      </c>
      <c r="V565" s="52">
        <f>IFERROR(Y419*1,"0")+IFERROR(Y420*1,"0")+IFERROR(Y421*1,"0")</f>
        <v>153.30000000000001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1620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8.4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332.64000000000004</v>
      </c>
      <c r="AB565" s="52">
        <f>IFERROR(Y530*1,"0")+IFERROR(Y534*1,"0")+IFERROR(Y538*1,"0")+IFERROR(Y542*1,"0")+IFERROR(Y546*1,"0")+IFERROR(Y547*1,"0")</f>
        <v>265.8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4,00"/>
        <filter val="1 734,22"/>
        <filter val="1,00"/>
        <filter val="1,89"/>
        <filter val="10,00"/>
        <filter val="100,00"/>
        <filter val="102,00"/>
        <filter val="102,50"/>
        <filter val="103,50"/>
        <filter val="109,33"/>
        <filter val="11,11"/>
        <filter val="11,41"/>
        <filter val="12,90"/>
        <filter val="120,00"/>
        <filter val="13 019,75"/>
        <filter val="13 721,88"/>
        <filter val="13,50"/>
        <filter val="132,00"/>
        <filter val="14 321,88"/>
        <filter val="14,00"/>
        <filter val="140,00"/>
        <filter val="141,37"/>
        <filter val="145,20"/>
        <filter val="15,00"/>
        <filter val="150,00"/>
        <filter val="16,00"/>
        <filter val="16,10"/>
        <filter val="16,11"/>
        <filter val="17,74"/>
        <filter val="170,00"/>
        <filter val="178,00"/>
        <filter val="18,21"/>
        <filter val="18,78"/>
        <filter val="180,00"/>
        <filter val="2,00"/>
        <filter val="2,40"/>
        <filter val="2,50"/>
        <filter val="2,55"/>
        <filter val="20,00"/>
        <filter val="20,86"/>
        <filter val="22,50"/>
        <filter val="230,00"/>
        <filter val="24"/>
        <filter val="24,44"/>
        <filter val="250,00"/>
        <filter val="26,80"/>
        <filter val="273,00"/>
        <filter val="28,00"/>
        <filter val="28,57"/>
        <filter val="280,00"/>
        <filter val="3,33"/>
        <filter val="3,60"/>
        <filter val="30,00"/>
        <filter val="331,00"/>
        <filter val="371,00"/>
        <filter val="4,00"/>
        <filter val="40,00"/>
        <filter val="404,60"/>
        <filter val="42,00"/>
        <filter val="420,00"/>
        <filter val="43,56"/>
        <filter val="45,00"/>
        <filter val="46,67"/>
        <filter val="47,60"/>
        <filter val="5,00"/>
        <filter val="50,00"/>
        <filter val="51,51"/>
        <filter val="52,00"/>
        <filter val="53,15"/>
        <filter val="53,20"/>
        <filter val="56,00"/>
        <filter val="6 420,00"/>
        <filter val="60,00"/>
        <filter val="610,00"/>
        <filter val="630,00"/>
        <filter val="65,00"/>
        <filter val="66,00"/>
        <filter val="7,00"/>
        <filter val="70,00"/>
        <filter val="72,00"/>
        <filter val="73,00"/>
        <filter val="8,00"/>
        <filter val="8,33"/>
        <filter val="80,00"/>
        <filter val="81,00"/>
        <filter val="810,00"/>
        <filter val="823,08"/>
        <filter val="85,00"/>
        <filter val="90,00"/>
        <filter val="96,00"/>
        <filter val="98,00"/>
        <filter val="98,27"/>
        <filter val="99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