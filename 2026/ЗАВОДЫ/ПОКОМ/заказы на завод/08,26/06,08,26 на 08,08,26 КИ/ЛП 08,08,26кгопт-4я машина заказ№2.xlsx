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0AE9356-1DA6-49D3-81F4-79CDCA14E4F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91" i="2" l="1"/>
  <c r="Z232" i="2"/>
  <c r="Z427" i="2"/>
  <c r="Z141" i="2"/>
  <c r="Z191" i="2"/>
  <c r="Z272" i="2"/>
  <c r="Z330" i="2"/>
  <c r="Z469" i="2"/>
  <c r="Z62" i="2"/>
  <c r="Z116" i="2"/>
  <c r="Z149" i="2"/>
  <c r="Z184" i="2"/>
  <c r="Z282" i="2"/>
  <c r="Z319" i="2"/>
  <c r="Z344" i="2"/>
  <c r="BN344" i="2"/>
  <c r="Z377" i="2"/>
  <c r="Z416" i="2"/>
  <c r="Z434" i="2"/>
  <c r="BP484" i="2"/>
  <c r="Y163" i="2"/>
  <c r="Y203" i="2"/>
  <c r="Y204" i="2"/>
  <c r="X555" i="2"/>
  <c r="Z28" i="2"/>
  <c r="Z88" i="2"/>
  <c r="BN88" i="2"/>
  <c r="Y93" i="2"/>
  <c r="Z98" i="2"/>
  <c r="Z139" i="2"/>
  <c r="Z142" i="2"/>
  <c r="BN142" i="2"/>
  <c r="Z161" i="2"/>
  <c r="Z162" i="2" s="1"/>
  <c r="Z187" i="2"/>
  <c r="Z230" i="2"/>
  <c r="BN230" i="2"/>
  <c r="Z242" i="2"/>
  <c r="Z265" i="2"/>
  <c r="Z266" i="2" s="1"/>
  <c r="Z275" i="2"/>
  <c r="Z306" i="2"/>
  <c r="Z329" i="2"/>
  <c r="Z337" i="2"/>
  <c r="Z372" i="2"/>
  <c r="BP391" i="2"/>
  <c r="Z409" i="2"/>
  <c r="Z425" i="2"/>
  <c r="Z457" i="2"/>
  <c r="Z458" i="2" s="1"/>
  <c r="Z478" i="2"/>
  <c r="BN478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480" i="2" l="1"/>
  <c r="Z338" i="2"/>
  <c r="Z251" i="2"/>
  <c r="Z297" i="2"/>
  <c r="Z386" i="2"/>
  <c r="Z347" i="2"/>
  <c r="Z143" i="2"/>
  <c r="Z55" i="2"/>
  <c r="Z418" i="2"/>
  <c r="Z322" i="2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<sst xmlns="http://schemas.openxmlformats.org/spreadsheetml/2006/main" count="4202" uniqueCount="896">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</sst>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46242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Суббота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80</v>
      </c>
      <c r="Y51" s="55">
        <f>IFERROR(IF(X51="",0,CEILING((X51/$H51),1)*$H51),"")</f>
        <v>86.4</v>
      </c>
      <c r="Z51" s="41">
        <f>IFERROR(IF(Y51=0,"",ROUNDUP(Y51/H51,0)*0.01898),"")</f>
        <v>0.15184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83.037037037037038</v>
      </c>
      <c r="BN51" s="78">
        <f>IFERROR(Y51*I51/H51,"0")</f>
        <v>89.68</v>
      </c>
      <c r="BO51" s="78">
        <f>IFERROR(1/J51*(X51/H51),"0")</f>
        <v>0.11574074074074073</v>
      </c>
      <c r="BP51" s="78">
        <f>IFERROR(1/J51*(Y51/H51),"0")</f>
        <v>0.125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12</v>
      </c>
      <c r="Y53" s="55">
        <f>IFERROR(IF(X53="",0,CEILING((X53/$H53),1)*$H53),"")</f>
        <v>12</v>
      </c>
      <c r="Z53" s="41">
        <f>IFERROR(IF(Y53=0,"",ROUNDUP(Y53/H53,0)*0.00902),"")</f>
        <v>2.7060000000000001E-2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12.57</v>
      </c>
      <c r="BN53" s="78">
        <f>IFERROR(Y53*I53/H53,"0")</f>
        <v>12.57</v>
      </c>
      <c r="BO53" s="78">
        <f>IFERROR(1/J53*(X53/H53),"0")</f>
        <v>2.2727272727272728E-2</v>
      </c>
      <c r="BP53" s="78">
        <f>IFERROR(1/J53*(Y53/H53),"0")</f>
        <v>2.2727272727272728E-2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10.407407407407407</v>
      </c>
      <c r="Y55" s="43">
        <f>IFERROR(Y51/H51,"0")+IFERROR(Y52/H52,"0")+IFERROR(Y53/H53,"0")+IFERROR(Y54/H54,"0")</f>
        <v>11</v>
      </c>
      <c r="Z55" s="43">
        <f>IFERROR(IF(Z51="",0,Z51),"0")+IFERROR(IF(Z52="",0,Z52),"0")+IFERROR(IF(Z53="",0,Z53),"0")+IFERROR(IF(Z54="",0,Z54),"0")</f>
        <v>0.1789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92</v>
      </c>
      <c r="Y56" s="43">
        <f>IFERROR(SUM(Y51:Y54),"0")</f>
        <v>98.4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9</v>
      </c>
      <c r="Y66" s="55">
        <f t="shared" si="0"/>
        <v>9</v>
      </c>
      <c r="Z66" s="41">
        <f>IFERROR(IF(Y66=0,"",ROUNDUP(Y66/H66,0)*0.00902),"")</f>
        <v>1.804E-2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9.3800000000000008</v>
      </c>
      <c r="BN66" s="78">
        <f t="shared" si="2"/>
        <v>9.3800000000000008</v>
      </c>
      <c r="BO66" s="78">
        <f t="shared" si="3"/>
        <v>1.5151515151515152E-2</v>
      </c>
      <c r="BP66" s="78">
        <f t="shared" si="4"/>
        <v>1.5151515151515152E-2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6.6296296296296298</v>
      </c>
      <c r="Y67" s="43">
        <f>IFERROR(Y59/H59,"0")+IFERROR(Y60/H60,"0")+IFERROR(Y61/H61,"0")+IFERROR(Y62/H62,"0")+IFERROR(Y63/H63,"0")+IFERROR(Y64/H64,"0")+IFERROR(Y65/H65,"0")+IFERROR(Y66/H66,"0")</f>
        <v>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0.11294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59</v>
      </c>
      <c r="Y68" s="43">
        <f>IFERROR(SUM(Y59:Y66),"0")</f>
        <v>63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350</v>
      </c>
      <c r="Y70" s="55">
        <f>IFERROR(IF(X70="",0,CEILING((X70/$H70),1)*$H70),"")</f>
        <v>356.40000000000003</v>
      </c>
      <c r="Z70" s="41">
        <f>IFERROR(IF(Y70=0,"",ROUNDUP(Y70/H70,0)*0.01898),"")</f>
        <v>0.62634000000000001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363.28703703703707</v>
      </c>
      <c r="BN70" s="78">
        <f>IFERROR(Y70*I70/H70,"0")</f>
        <v>369.93</v>
      </c>
      <c r="BO70" s="78">
        <f>IFERROR(1/J70*(X70/H70),"0")</f>
        <v>0.5063657407407407</v>
      </c>
      <c r="BP70" s="78">
        <f>IFERROR(1/J70*(Y70/H70),"0")</f>
        <v>0.515625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32.407407407407405</v>
      </c>
      <c r="Y74" s="43">
        <f>IFERROR(Y70/H70,"0")+IFERROR(Y71/H71,"0")+IFERROR(Y72/H72,"0")+IFERROR(Y73/H73,"0")</f>
        <v>33</v>
      </c>
      <c r="Z74" s="43">
        <f>IFERROR(IF(Z70="",0,Z70),"0")+IFERROR(IF(Z71="",0,Z71),"0")+IFERROR(IF(Z72="",0,Z72),"0")+IFERROR(IF(Z73="",0,Z73),"0")</f>
        <v>0.62634000000000001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350</v>
      </c>
      <c r="Y75" s="43">
        <f>IFERROR(SUM(Y70:Y73),"0")</f>
        <v>356.40000000000003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3.96</v>
      </c>
      <c r="Y98" s="55">
        <f>IFERROR(IF(X98="",0,CEILING((X98/$H98),1)*$H98),"")</f>
        <v>3.96</v>
      </c>
      <c r="Z98" s="41">
        <f>IFERROR(IF(Y98=0,"",ROUNDUP(Y98/H98,0)*0.00651),"")</f>
        <v>1.302E-2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4.476</v>
      </c>
      <c r="BN98" s="78">
        <f>IFERROR(Y98*I98/H98,"0")</f>
        <v>4.476</v>
      </c>
      <c r="BO98" s="78">
        <f>IFERROR(1/J98*(X98/H98),"0")</f>
        <v>1.098901098901099E-2</v>
      </c>
      <c r="BP98" s="78">
        <f>IFERROR(1/J98*(Y98/H98),"0")</f>
        <v>1.098901098901099E-2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2</v>
      </c>
      <c r="Y99" s="43">
        <f>IFERROR(Y95/H95,"0")+IFERROR(Y96/H96,"0")+IFERROR(Y97/H97,"0")+IFERROR(Y98/H98,"0")</f>
        <v>2</v>
      </c>
      <c r="Z99" s="43">
        <f>IFERROR(IF(Z95="",0,Z95),"0")+IFERROR(IF(Z96="",0,Z96),"0")+IFERROR(IF(Z97="",0,Z97),"0")+IFERROR(IF(Z98="",0,Z98),"0")</f>
        <v>1.302E-2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3.96</v>
      </c>
      <c r="Y100" s="43">
        <f>IFERROR(SUM(Y95:Y98),"0")</f>
        <v>3.96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50</v>
      </c>
      <c r="Y120" s="55">
        <f>IFERROR(IF(X120="",0,CEILING((X120/$H120),1)*$H120),"")</f>
        <v>56.699999999999996</v>
      </c>
      <c r="Z120" s="41">
        <f>IFERROR(IF(Y120=0,"",ROUNDUP(Y120/H120,0)*0.01898),"")</f>
        <v>0.13286000000000001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53.012345679012348</v>
      </c>
      <c r="BN120" s="78">
        <f>IFERROR(Y120*I120/H120,"0")</f>
        <v>60.115999999999993</v>
      </c>
      <c r="BO120" s="78">
        <f>IFERROR(1/J120*(X120/H120),"0")</f>
        <v>9.6450617283950615E-2</v>
      </c>
      <c r="BP120" s="78">
        <f>IFERROR(1/J120*(Y120/H120),"0")</f>
        <v>0.109375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6.1728395061728394</v>
      </c>
      <c r="Y124" s="43">
        <f>IFERROR(Y120/H120,"0")+IFERROR(Y121/H121,"0")+IFERROR(Y122/H122,"0")+IFERROR(Y123/H123,"0")</f>
        <v>7</v>
      </c>
      <c r="Z124" s="43">
        <f>IFERROR(IF(Z120="",0,Z120),"0")+IFERROR(IF(Z121="",0,Z121),"0")+IFERROR(IF(Z122="",0,Z122),"0")+IFERROR(IF(Z123="",0,Z123),"0")</f>
        <v>0.13286000000000001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50</v>
      </c>
      <c r="Y125" s="43">
        <f>IFERROR(SUM(Y120:Y123),"0")</f>
        <v>56.699999999999996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8</v>
      </c>
      <c r="Y168" s="55">
        <f>IFERROR(IF(X168="",0,CEILING((X168/$H168),1)*$H168),"")</f>
        <v>8</v>
      </c>
      <c r="Z168" s="41">
        <f>IFERROR(IF(Y168=0,"",ROUNDUP(Y168/H168,0)*0.00902),"")</f>
        <v>1.804E-2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8.3800000000000008</v>
      </c>
      <c r="BN168" s="78">
        <f>IFERROR(Y168*I168/H168,"0")</f>
        <v>8.3800000000000008</v>
      </c>
      <c r="BO168" s="78">
        <f>IFERROR(1/J168*(X168/H168),"0")</f>
        <v>1.5151515151515152E-2</v>
      </c>
      <c r="BP168" s="78">
        <f>IFERROR(1/J168*(Y168/H168),"0")</f>
        <v>1.5151515151515152E-2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2</v>
      </c>
      <c r="Y169" s="43">
        <f>IFERROR(Y166/H166,"0")+IFERROR(Y167/H167,"0")+IFERROR(Y168/H168,"0")</f>
        <v>2</v>
      </c>
      <c r="Z169" s="43">
        <f>IFERROR(IF(Z166="",0,Z166),"0")+IFERROR(IF(Z167="",0,Z167),"0")+IFERROR(IF(Z168="",0,Z168),"0")</f>
        <v>1.804E-2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8</v>
      </c>
      <c r="Y170" s="43">
        <f>IFERROR(SUM(Y166:Y168),"0")</f>
        <v>8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100</v>
      </c>
      <c r="Y225" s="55">
        <f t="shared" si="21"/>
        <v>100.80000000000001</v>
      </c>
      <c r="Z225" s="41">
        <f>IFERROR(IF(Y225=0,"",ROUNDUP(Y225/H225,0)*0.00902),"")</f>
        <v>0.21648000000000001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104.5238095238095</v>
      </c>
      <c r="BN225" s="78">
        <f t="shared" si="23"/>
        <v>105.36</v>
      </c>
      <c r="BO225" s="78">
        <f t="shared" si="24"/>
        <v>0.18037518037518038</v>
      </c>
      <c r="BP225" s="78">
        <f t="shared" si="25"/>
        <v>0.18181818181818182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23.80952380952381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24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0.21648000000000001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100</v>
      </c>
      <c r="Y238" s="43">
        <f>IFERROR(SUM(Y223:Y236),"0")</f>
        <v>100.80000000000001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70</v>
      </c>
      <c r="Y271" s="55">
        <f t="shared" si="27"/>
        <v>70.2</v>
      </c>
      <c r="Z271" s="41">
        <f>IFERROR(IF(Y271=0,"",ROUNDUP(Y271/H271,0)*0.00902),"")</f>
        <v>0.11726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72.462962962962962</v>
      </c>
      <c r="BN271" s="78">
        <f t="shared" si="29"/>
        <v>72.67</v>
      </c>
      <c r="BO271" s="78">
        <f t="shared" si="30"/>
        <v>9.8204264870931535E-2</v>
      </c>
      <c r="BP271" s="78">
        <f t="shared" si="31"/>
        <v>9.8484848484848481E-2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12.962962962962962</v>
      </c>
      <c r="Y277" s="43">
        <f>IFERROR(Y269/H269,"0")+IFERROR(Y270/H270,"0")+IFERROR(Y271/H271,"0")+IFERROR(Y272/H272,"0")+IFERROR(Y273/H273,"0")+IFERROR(Y274/H274,"0")+IFERROR(Y275/H275,"0")+IFERROR(Y276/H276,"0")</f>
        <v>13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0.11726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70</v>
      </c>
      <c r="Y278" s="43">
        <f>IFERROR(SUM(Y269:Y276),"0")</f>
        <v>70.2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4.8</v>
      </c>
      <c r="Y283" s="55">
        <f t="shared" si="32"/>
        <v>4.8</v>
      </c>
      <c r="Z283" s="41">
        <f>IFERROR(IF(Y283=0,"",ROUNDUP(Y283/H283,0)*0.00651),"")</f>
        <v>1.302E-2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5.34</v>
      </c>
      <c r="BN283" s="78">
        <f t="shared" si="34"/>
        <v>5.34</v>
      </c>
      <c r="BO283" s="78">
        <f t="shared" si="35"/>
        <v>1.098901098901099E-2</v>
      </c>
      <c r="BP283" s="78">
        <f t="shared" si="36"/>
        <v>1.098901098901099E-2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1.302E-2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4.8</v>
      </c>
      <c r="Y293" s="43">
        <f>IFERROR(SUM(Y280:Y291),"0")</f>
        <v>4.8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500</v>
      </c>
      <c r="Y366" s="55">
        <f t="shared" si="42"/>
        <v>507.6</v>
      </c>
      <c r="Z366" s="41">
        <f>IFERROR(IF(Y366=0,"",ROUNDUP(Y366/H366,0)*0.01898),"")</f>
        <v>0.89205999999999996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518.98148148148141</v>
      </c>
      <c r="BN366" s="78">
        <f t="shared" si="44"/>
        <v>526.87</v>
      </c>
      <c r="BO366" s="78">
        <f t="shared" si="45"/>
        <v>0.72337962962962954</v>
      </c>
      <c r="BP366" s="78">
        <f t="shared" si="46"/>
        <v>0.734375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46.296296296296291</v>
      </c>
      <c r="Y369" s="43">
        <f>IFERROR(Y363/H363,"0")+IFERROR(Y364/H364,"0")+IFERROR(Y365/H365,"0")+IFERROR(Y366/H366,"0")+IFERROR(Y367/H367,"0")+IFERROR(Y368/H368,"0")</f>
        <v>47</v>
      </c>
      <c r="Z369" s="43">
        <f>IFERROR(IF(Z363="",0,Z363),"0")+IFERROR(IF(Z364="",0,Z364),"0")+IFERROR(IF(Z365="",0,Z365),"0")+IFERROR(IF(Z366="",0,Z366),"0")+IFERROR(IF(Z367="",0,Z367),"0")+IFERROR(IF(Z368="",0,Z368),"0")</f>
        <v>0.89205999999999996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500</v>
      </c>
      <c r="Y370" s="43">
        <f>IFERROR(SUM(Y363:Y368),"0")</f>
        <v>507.6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70</v>
      </c>
      <c r="Y372" s="55">
        <f t="shared" ref="Y372:Y378" si="47">IFERROR(IF(X372="",0,CEILING((X372/$H372),1)*$H372),"")</f>
        <v>71.400000000000006</v>
      </c>
      <c r="Z372" s="41">
        <f>IFERROR(IF(Y372=0,"",ROUNDUP(Y372/H372,0)*0.00902),"")</f>
        <v>0.15334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74.166666666666657</v>
      </c>
      <c r="BN372" s="78">
        <f t="shared" ref="BN372:BN378" si="49">IFERROR(Y372*I372/H372,"0")</f>
        <v>75.650000000000006</v>
      </c>
      <c r="BO372" s="78">
        <f t="shared" ref="BO372:BO378" si="50">IFERROR(1/J372*(X372/H372),"0")</f>
        <v>0.12626262626262624</v>
      </c>
      <c r="BP372" s="78">
        <f t="shared" ref="BP372:BP378" si="51">IFERROR(1/J372*(Y372/H372),"0")</f>
        <v>0.12878787878787878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500</v>
      </c>
      <c r="Y373" s="55">
        <f t="shared" si="47"/>
        <v>504</v>
      </c>
      <c r="Z373" s="41">
        <f>IFERROR(IF(Y373=0,"",ROUNDUP(Y373/H373,0)*0.00902),"")</f>
        <v>1.0824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529.7619047619047</v>
      </c>
      <c r="BN373" s="78">
        <f t="shared" si="49"/>
        <v>534</v>
      </c>
      <c r="BO373" s="78">
        <f t="shared" si="50"/>
        <v>0.90187590187590183</v>
      </c>
      <c r="BP373" s="78">
        <f t="shared" si="51"/>
        <v>0.90909090909090917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135.71428571428569</v>
      </c>
      <c r="Y379" s="43">
        <f>IFERROR(Y372/H372,"0")+IFERROR(Y373/H373,"0")+IFERROR(Y374/H374,"0")+IFERROR(Y375/H375,"0")+IFERROR(Y376/H376,"0")+IFERROR(Y377/H377,"0")+IFERROR(Y378/H378,"0")</f>
        <v>137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1.2357400000000001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570</v>
      </c>
      <c r="Y380" s="43">
        <f>IFERROR(SUM(Y372:Y378),"0")</f>
        <v>575.4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70</v>
      </c>
      <c r="Y390" s="55">
        <f>IFERROR(IF(X390="",0,CEILING((X390/$H390),1)*$H390),"")</f>
        <v>70.2</v>
      </c>
      <c r="Z390" s="41">
        <f>IFERROR(IF(Y390=0,"",ROUNDUP(Y390/H390,0)*0.01898),"")</f>
        <v>0.17082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74.433333333333337</v>
      </c>
      <c r="BN390" s="78">
        <f>IFERROR(Y390*I390/H390,"0")</f>
        <v>74.646000000000015</v>
      </c>
      <c r="BO390" s="78">
        <f>IFERROR(1/J390*(X390/H390),"0")</f>
        <v>0.14022435897435898</v>
      </c>
      <c r="BP390" s="78">
        <f>IFERROR(1/J390*(Y390/H390),"0")</f>
        <v>0.140625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8.9743589743589745</v>
      </c>
      <c r="Y392" s="43">
        <f>IFERROR(Y389/H389,"0")+IFERROR(Y390/H390,"0")+IFERROR(Y391/H391,"0")</f>
        <v>9</v>
      </c>
      <c r="Z392" s="43">
        <f>IFERROR(IF(Z389="",0,Z389),"0")+IFERROR(IF(Z390="",0,Z390),"0")+IFERROR(IF(Z391="",0,Z391),"0")</f>
        <v>0.17082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70</v>
      </c>
      <c r="Y393" s="43">
        <f>IFERROR(SUM(Y389:Y391),"0")</f>
        <v>70.2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12.6</v>
      </c>
      <c r="Y416" s="55">
        <f>IFERROR(IF(X416="",0,CEILING((X416/$H416),1)*$H416),"")</f>
        <v>12.600000000000001</v>
      </c>
      <c r="Z416" s="41">
        <f>IFERROR(IF(Y416=0,"",ROUNDUP(Y416/H416,0)*0.00651),"")</f>
        <v>3.9059999999999997E-2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14.111999999999998</v>
      </c>
      <c r="BN416" s="78">
        <f>IFERROR(Y416*I416/H416,"0")</f>
        <v>14.112</v>
      </c>
      <c r="BO416" s="78">
        <f>IFERROR(1/J416*(X416/H416),"0")</f>
        <v>3.2967032967032968E-2</v>
      </c>
      <c r="BP416" s="78">
        <f>IFERROR(1/J416*(Y416/H416),"0")</f>
        <v>3.2967032967032968E-2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6</v>
      </c>
      <c r="Y418" s="43">
        <f>IFERROR(Y415/H415,"0")+IFERROR(Y416/H416,"0")+IFERROR(Y417/H417,"0")</f>
        <v>6</v>
      </c>
      <c r="Z418" s="43">
        <f>IFERROR(IF(Z415="",0,Z415),"0")+IFERROR(IF(Z416="",0,Z416),"0")+IFERROR(IF(Z417="",0,Z417),"0")</f>
        <v>3.9059999999999997E-2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12.6</v>
      </c>
      <c r="Y419" s="43">
        <f>IFERROR(SUM(Y415:Y417),"0")</f>
        <v>12.600000000000001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210</v>
      </c>
      <c r="Y424" s="55">
        <f t="shared" si="52"/>
        <v>210</v>
      </c>
      <c r="Z424" s="41">
        <f>IFERROR(IF(Y424=0,"",ROUNDUP(Y424/H424,0)*0.02175),"")</f>
        <v>0.30449999999999999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216.58</v>
      </c>
      <c r="BN424" s="78">
        <f t="shared" si="54"/>
        <v>216.58</v>
      </c>
      <c r="BO424" s="78">
        <f t="shared" si="55"/>
        <v>0.29166666666666663</v>
      </c>
      <c r="BP424" s="78">
        <f t="shared" si="56"/>
        <v>0.29166666666666663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150</v>
      </c>
      <c r="Y425" s="55">
        <f t="shared" si="52"/>
        <v>150</v>
      </c>
      <c r="Z425" s="41">
        <f>IFERROR(IF(Y425=0,"",ROUNDUP(Y425/H425,0)*0.02175),"")</f>
        <v>0.21749999999999997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154.69999999999999</v>
      </c>
      <c r="BN425" s="78">
        <f t="shared" si="54"/>
        <v>154.69999999999999</v>
      </c>
      <c r="BO425" s="78">
        <f t="shared" si="55"/>
        <v>0.20833333333333331</v>
      </c>
      <c r="BP425" s="78">
        <f t="shared" si="56"/>
        <v>0.20833333333333331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1200</v>
      </c>
      <c r="Y426" s="55">
        <f t="shared" si="52"/>
        <v>1200</v>
      </c>
      <c r="Z426" s="41">
        <f>IFERROR(IF(Y426=0,"",ROUNDUP(Y426/H426,0)*0.02175),"")</f>
        <v>1.7399999999999998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1237.5999999999999</v>
      </c>
      <c r="BN426" s="78">
        <f t="shared" si="54"/>
        <v>1237.5999999999999</v>
      </c>
      <c r="BO426" s="78">
        <f t="shared" si="55"/>
        <v>1.6666666666666665</v>
      </c>
      <c r="BP426" s="78">
        <f t="shared" si="56"/>
        <v>1.6666666666666665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104</v>
      </c>
      <c r="Y431" s="43">
        <f>IFERROR(Y423/H423,"0")+IFERROR(Y424/H424,"0")+IFERROR(Y425/H425,"0")+IFERROR(Y426/H426,"0")+IFERROR(Y427/H427,"0")+IFERROR(Y428/H428,"0")+IFERROR(Y429/H429,"0")+IFERROR(Y430/H430,"0")</f>
        <v>104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2.2619999999999996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1560</v>
      </c>
      <c r="Y432" s="43">
        <f>IFERROR(SUM(Y423:Y430),"0")</f>
        <v>1560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2000</v>
      </c>
      <c r="Y434" s="55">
        <f>IFERROR(IF(X434="",0,CEILING((X434/$H434),1)*$H434),"")</f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2062.6666666666665</v>
      </c>
      <c r="BN434" s="78">
        <f>IFERROR(Y434*I434/H434,"0")</f>
        <v>2072.98</v>
      </c>
      <c r="BO434" s="78">
        <f>IFERROR(1/J434*(X434/H434),"0")</f>
        <v>2.7777777777777777</v>
      </c>
      <c r="BP434" s="78">
        <f>IFERROR(1/J434*(Y434/H434),"0")</f>
        <v>2.7916666666666665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133.33333333333334</v>
      </c>
      <c r="Y437" s="43">
        <f>IFERROR(Y434/H434,"0")+IFERROR(Y435/H435,"0")+IFERROR(Y436/H436,"0")</f>
        <v>134</v>
      </c>
      <c r="Z437" s="43">
        <f>IFERROR(IF(Z434="",0,Z434),"0")+IFERROR(IF(Z435="",0,Z435),"0")+IFERROR(IF(Z436="",0,Z436),"0")</f>
        <v>2.9144999999999999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2000</v>
      </c>
      <c r="Y438" s="43">
        <f>IFERROR(SUM(Y434:Y436),"0")</f>
        <v>2010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150</v>
      </c>
      <c r="Y461" s="55">
        <f>IFERROR(IF(X461="",0,CEILING((X461/$H461),1)*$H461),"")</f>
        <v>153</v>
      </c>
      <c r="Z461" s="41">
        <f>IFERROR(IF(Y461=0,"",ROUNDUP(Y461/H461,0)*0.01898),"")</f>
        <v>0.32266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158.23333333333332</v>
      </c>
      <c r="BN461" s="78">
        <f>IFERROR(Y461*I461/H461,"0")</f>
        <v>161.398</v>
      </c>
      <c r="BO461" s="78">
        <f>IFERROR(1/J461*(X461/H461),"0")</f>
        <v>0.26041666666666669</v>
      </c>
      <c r="BP461" s="78">
        <f>IFERROR(1/J461*(Y461/H461),"0")</f>
        <v>0.265625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16.666666666666668</v>
      </c>
      <c r="Y464" s="43">
        <f>IFERROR(Y461/H461,"0")+IFERROR(Y462/H462,"0")+IFERROR(Y463/H463,"0")</f>
        <v>17</v>
      </c>
      <c r="Z464" s="43">
        <f>IFERROR(IF(Z461="",0,Z461),"0")+IFERROR(IF(Z462="",0,Z462),"0")+IFERROR(IF(Z463="",0,Z463),"0")</f>
        <v>0.32266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150</v>
      </c>
      <c r="Y465" s="43">
        <f>IFERROR(SUM(Y461:Y463),"0")</f>
        <v>153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20</v>
      </c>
      <c r="Y469" s="55">
        <f t="shared" ref="Y469:Y474" si="57">IFERROR(IF(X469="",0,CEILING((X469/$H469),1)*$H469),"")</f>
        <v>21.6</v>
      </c>
      <c r="Z469" s="41">
        <f>IFERROR(IF(Y469=0,"",ROUNDUP(Y469/H469,0)*0.00902),"")</f>
        <v>3.6080000000000001E-2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20.703703703703702</v>
      </c>
      <c r="BN469" s="78">
        <f t="shared" ref="BN469:BN474" si="59">IFERROR(Y469*I469/H469,"0")</f>
        <v>22.36</v>
      </c>
      <c r="BO469" s="78">
        <f t="shared" ref="BO469:BO474" si="60">IFERROR(1/J469*(X469/H469),"0")</f>
        <v>2.8058361391694722E-2</v>
      </c>
      <c r="BP469" s="78">
        <f t="shared" ref="BP469:BP474" si="61">IFERROR(1/J469*(Y469/H469),"0")</f>
        <v>3.0303030303030304E-2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3.7037037037037033</v>
      </c>
      <c r="Y475" s="43">
        <f>IFERROR(Y469/H469,"0")+IFERROR(Y470/H470,"0")+IFERROR(Y471/H471,"0")+IFERROR(Y472/H472,"0")+IFERROR(Y473/H473,"0")+IFERROR(Y474/H474,"0")</f>
        <v>4</v>
      </c>
      <c r="Z475" s="43">
        <f>IFERROR(IF(Z469="",0,Z469),"0")+IFERROR(IF(Z470="",0,Z470),"0")+IFERROR(IF(Z471="",0,Z471),"0")+IFERROR(IF(Z472="",0,Z472),"0")+IFERROR(IF(Z473="",0,Z473),"0")+IFERROR(IF(Z474="",0,Z474),"0")</f>
        <v>3.6080000000000001E-2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20</v>
      </c>
      <c r="Y476" s="43">
        <f>IFERROR(SUM(Y469:Y474),"0")</f>
        <v>21.6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20</v>
      </c>
      <c r="Y488" s="55">
        <f>IFERROR(IF(X488="",0,CEILING((X488/$H488),1)*$H488),"")</f>
        <v>21.6</v>
      </c>
      <c r="Z488" s="41">
        <f>IFERROR(IF(Y488=0,"",ROUNDUP(Y488/H488,0)*0.00902),"")</f>
        <v>3.6080000000000001E-2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20.703703703703702</v>
      </c>
      <c r="BN488" s="78">
        <f>IFERROR(Y488*I488/H488,"0")</f>
        <v>22.36</v>
      </c>
      <c r="BO488" s="78">
        <f>IFERROR(1/J488*(X488/H488),"0")</f>
        <v>2.8058361391694722E-2</v>
      </c>
      <c r="BP488" s="78">
        <f>IFERROR(1/J488*(Y488/H488),"0")</f>
        <v>3.0303030303030304E-2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3.7037037037037033</v>
      </c>
      <c r="Y491" s="43">
        <f>IFERROR(Y488/H488,"0")+IFERROR(Y489/H489,"0")+IFERROR(Y490/H490,"0")</f>
        <v>4</v>
      </c>
      <c r="Z491" s="43">
        <f>IFERROR(IF(Z488="",0,Z488),"0")+IFERROR(IF(Z489="",0,Z489),"0")+IFERROR(IF(Z490="",0,Z490),"0")</f>
        <v>3.6080000000000001E-2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20</v>
      </c>
      <c r="Y492" s="43">
        <f>IFERROR(SUM(Y488:Y490),"0")</f>
        <v>21.6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90</v>
      </c>
      <c r="Y499" s="55">
        <f t="shared" si="62"/>
        <v>95.04</v>
      </c>
      <c r="Z499" s="41">
        <f t="shared" si="63"/>
        <v>0.21528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95.965909090909079</v>
      </c>
      <c r="BN499" s="78">
        <f t="shared" si="65"/>
        <v>101.33999999999999</v>
      </c>
      <c r="BO499" s="78">
        <f t="shared" si="66"/>
        <v>0.16389860139860138</v>
      </c>
      <c r="BP499" s="78">
        <f t="shared" si="67"/>
        <v>0.17307692307692307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17.045454545454543</v>
      </c>
      <c r="Y505" s="43">
        <f>IFERROR(Y496/H496,"0")+IFERROR(Y497/H497,"0")+IFERROR(Y498/H498,"0")+IFERROR(Y499/H499,"0")+IFERROR(Y500/H500,"0")+IFERROR(Y501/H501,"0")+IFERROR(Y502/H502,"0")+IFERROR(Y503/H503,"0")+IFERROR(Y504/H504,"0")</f>
        <v>18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0.21528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90</v>
      </c>
      <c r="Y506" s="43">
        <f>IFERROR(SUM(Y496:Y504),"0")</f>
        <v>95.04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120</v>
      </c>
      <c r="Y508" s="55">
        <f>IFERROR(IF(X508="",0,CEILING((X508/$H508),1)*$H508),"")</f>
        <v>121.44000000000001</v>
      </c>
      <c r="Z508" s="41">
        <f>IFERROR(IF(Y508=0,"",ROUNDUP(Y508/H508,0)*0.01196),"")</f>
        <v>0.27507999999999999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127.95454545454545</v>
      </c>
      <c r="BN508" s="78">
        <f>IFERROR(Y508*I508/H508,"0")</f>
        <v>129.49</v>
      </c>
      <c r="BO508" s="78">
        <f>IFERROR(1/J508*(X508/H508),"0")</f>
        <v>0.21853146853146854</v>
      </c>
      <c r="BP508" s="78">
        <f>IFERROR(1/J508*(Y508/H508),"0")</f>
        <v>0.22115384615384617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22.727272727272727</v>
      </c>
      <c r="Y511" s="43">
        <f>IFERROR(Y508/H508,"0")+IFERROR(Y509/H509,"0")+IFERROR(Y510/H510,"0")</f>
        <v>23</v>
      </c>
      <c r="Z511" s="43">
        <f>IFERROR(IF(Z508="",0,Z508),"0")+IFERROR(IF(Z509="",0,Z509),"0")+IFERROR(IF(Z510="",0,Z510),"0")</f>
        <v>0.27507999999999999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120</v>
      </c>
      <c r="Y512" s="43">
        <f>IFERROR(SUM(Y508:Y510),"0")</f>
        <v>121.44000000000001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30</v>
      </c>
      <c r="Y514" s="55">
        <f t="shared" ref="Y514:Y520" si="68">IFERROR(IF(X514="",0,CEILING((X514/$H514),1)*$H514),"")</f>
        <v>31.68</v>
      </c>
      <c r="Z514" s="41">
        <f>IFERROR(IF(Y514=0,"",ROUNDUP(Y514/H514,0)*0.01196),"")</f>
        <v>7.1760000000000004E-2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31.988636363636363</v>
      </c>
      <c r="BN514" s="78">
        <f t="shared" ref="BN514:BN520" si="70">IFERROR(Y514*I514/H514,"0")</f>
        <v>33.779999999999994</v>
      </c>
      <c r="BO514" s="78">
        <f t="shared" ref="BO514:BO520" si="71">IFERROR(1/J514*(X514/H514),"0")</f>
        <v>5.4632867132867136E-2</v>
      </c>
      <c r="BP514" s="78">
        <f t="shared" ref="BP514:BP520" si="72">IFERROR(1/J514*(Y514/H514),"0")</f>
        <v>5.7692307692307696E-2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40</v>
      </c>
      <c r="Y515" s="55">
        <f t="shared" si="68"/>
        <v>42.24</v>
      </c>
      <c r="Z515" s="41">
        <f>IFERROR(IF(Y515=0,"",ROUNDUP(Y515/H515,0)*0.01196),"")</f>
        <v>9.5680000000000001E-2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42.651515151515149</v>
      </c>
      <c r="BN515" s="78">
        <f t="shared" si="70"/>
        <v>45.04</v>
      </c>
      <c r="BO515" s="78">
        <f t="shared" si="71"/>
        <v>7.2843822843822847E-2</v>
      </c>
      <c r="BP515" s="78">
        <f t="shared" si="72"/>
        <v>7.6923076923076927E-2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30</v>
      </c>
      <c r="Y516" s="55">
        <f t="shared" si="68"/>
        <v>31.68</v>
      </c>
      <c r="Z516" s="41">
        <f>IFERROR(IF(Y516=0,"",ROUNDUP(Y516/H516,0)*0.01196),"")</f>
        <v>7.1760000000000004E-2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31.988636363636363</v>
      </c>
      <c r="BN516" s="78">
        <f t="shared" si="70"/>
        <v>33.779999999999994</v>
      </c>
      <c r="BO516" s="78">
        <f t="shared" si="71"/>
        <v>5.4632867132867136E-2</v>
      </c>
      <c r="BP516" s="78">
        <f t="shared" si="72"/>
        <v>5.7692307692307696E-2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18.939393939393938</v>
      </c>
      <c r="Y521" s="43">
        <f>IFERROR(Y514/H514,"0")+IFERROR(Y515/H515,"0")+IFERROR(Y516/H516,"0")+IFERROR(Y517/H517,"0")+IFERROR(Y518/H518,"0")+IFERROR(Y519/H519,"0")+IFERROR(Y520/H520,"0")</f>
        <v>20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0.23920000000000002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100</v>
      </c>
      <c r="Y522" s="43">
        <f>IFERROR(SUM(Y514:Y520),"0")</f>
        <v>105.6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100</v>
      </c>
      <c r="Y526" s="55">
        <f>IFERROR(IF(X526="",0,CEILING((X526/$H526),1)*$H526),"")</f>
        <v>108</v>
      </c>
      <c r="Z526" s="41">
        <f>IFERROR(IF(Y526=0,"",ROUNDUP(Y526/H526,0)*0.01898),"")</f>
        <v>0.17082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103.41666666666667</v>
      </c>
      <c r="BN526" s="78">
        <f>IFERROR(Y526*I526/H526,"0")</f>
        <v>111.69</v>
      </c>
      <c r="BO526" s="78">
        <f>IFERROR(1/J526*(X526/H526),"0")</f>
        <v>0.13020833333333334</v>
      </c>
      <c r="BP526" s="78">
        <f>IFERROR(1/J526*(Y526/H526),"0")</f>
        <v>0.140625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8.3333333333333339</v>
      </c>
      <c r="Y527" s="43">
        <f>IFERROR(Y526/H526,"0")</f>
        <v>9</v>
      </c>
      <c r="Z527" s="43">
        <f>IFERROR(IF(Z526="",0,Z526),"0")</f>
        <v>0.17082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100</v>
      </c>
      <c r="Y528" s="43">
        <f>IFERROR(SUM(Y526:Y526),"0")</f>
        <v>108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50</v>
      </c>
      <c r="Y534" s="55">
        <f>IFERROR(IF(X534="",0,CEILING((X534/$H534),1)*$H534),"")</f>
        <v>50.400000000000006</v>
      </c>
      <c r="Z534" s="41">
        <f>IFERROR(IF(Y534=0,"",ROUNDUP(Y534/H534,0)*0.00902),"")</f>
        <v>0.10824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52.976190476190474</v>
      </c>
      <c r="BN534" s="78">
        <f>IFERROR(Y534*I534/H534,"0")</f>
        <v>53.400000000000006</v>
      </c>
      <c r="BO534" s="78">
        <f>IFERROR(1/J534*(X534/H534),"0")</f>
        <v>9.0187590187590191E-2</v>
      </c>
      <c r="BP534" s="78">
        <f>IFERROR(1/J534*(Y534/H534),"0")</f>
        <v>9.0909090909090912E-2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11.904761904761905</v>
      </c>
      <c r="Y535" s="43">
        <f>IFERROR(Y534/H534,"0")</f>
        <v>12</v>
      </c>
      <c r="Z535" s="43">
        <f>IFERROR(IF(Z534="",0,Z534),"0")</f>
        <v>0.10824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50</v>
      </c>
      <c r="Y536" s="43">
        <f>IFERROR(SUM(Y534:Y534),"0")</f>
        <v>50.400000000000006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6100.36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6174.7400000000007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6337.952233605899</v>
      </c>
      <c r="Y552" s="43">
        <f>IFERROR(SUM(BN22:BN548),"0")</f>
        <v>6415.7279999999982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10</v>
      </c>
      <c r="Y553" s="44">
        <f>ROUNDUP(SUM(BP22:BP548),0)</f>
        <v>10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6587.952233605899</v>
      </c>
      <c r="Y554" s="43">
        <f>GrossWeightTotalR+PalletQtyTotalR*25</f>
        <v>6665.7279999999982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635.7323355656689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645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10.346480000000003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98.4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419.40000000000003</v>
      </c>
      <c r="F561" s="52">
        <f>IFERROR(Y88*1,"0")+IFERROR(Y89*1,"0")+IFERROR(Y90*1,"0")+IFERROR(Y91*1,"0")+IFERROR(Y95*1,"0")+IFERROR(Y96*1,"0")+IFERROR(Y97*1,"0")+IFERROR(Y98*1,"0")</f>
        <v>3.96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56.699999999999996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100.80000000000001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75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1153.2</v>
      </c>
      <c r="U561" s="52">
        <f>IFERROR(Y415*1,"0")+IFERROR(Y416*1,"0")+IFERROR(Y417*1,"0")</f>
        <v>12.600000000000001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3570</v>
      </c>
      <c r="W561" s="52">
        <f>IFERROR(Y452*1,"0")+IFERROR(Y453*1,"0")+IFERROR(Y457*1,"0")+IFERROR(Y461*1,"0")+IFERROR(Y462*1,"0")+IFERROR(Y463*1,"0")</f>
        <v>153</v>
      </c>
      <c r="X561" s="52">
        <f>IFERROR(Y469*1,"0")+IFERROR(Y470*1,"0")+IFERROR(Y471*1,"0")+IFERROR(Y472*1,"0")+IFERROR(Y473*1,"0")+IFERROR(Y474*1,"0")+IFERROR(Y478*1,"0")+IFERROR(Y479*1,"0")</f>
        <v>21.6</v>
      </c>
      <c r="Y561" s="52">
        <f>IFERROR(Y484*1,"0")+IFERROR(Y488*1,"0")+IFERROR(Y489*1,"0")+IFERROR(Y490*1,"0")</f>
        <v>21.6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322.08000000000004</v>
      </c>
      <c r="AA561" s="52">
        <f>IFERROR(Y526*1,"0")+IFERROR(Y530*1,"0")+IFERROR(Y534*1,"0")+IFERROR(Y538*1,"0")+IFERROR(Y542*1,"0")+IFERROR(Y543*1,"0")</f>
        <v>158.4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76,76"/>
        <filter val="1 560,00"/>
        <filter val="10,41"/>
        <filter val="100,00"/>
        <filter val="104,00"/>
        <filter val="11 100,36"/>
        <filter val="11 650,77"/>
        <filter val="11,90"/>
        <filter val="12 150,77"/>
        <filter val="12,00"/>
        <filter val="12,60"/>
        <filter val="12,96"/>
        <filter val="120,00"/>
        <filter val="133,33"/>
        <filter val="135,71"/>
        <filter val="150,00"/>
        <filter val="16,67"/>
        <filter val="17,05"/>
        <filter val="18,94"/>
        <filter val="2 000,00"/>
        <filter val="2,00"/>
        <filter val="20"/>
        <filter val="20,00"/>
        <filter val="210,00"/>
        <filter val="22,73"/>
        <filter val="23,81"/>
        <filter val="3,70"/>
        <filter val="3,96"/>
        <filter val="30,00"/>
        <filter val="32,41"/>
        <filter val="350,00"/>
        <filter val="4,80"/>
        <filter val="40,00"/>
        <filter val="46,30"/>
        <filter val="5 000,00"/>
        <filter val="50,00"/>
        <filter val="500,00"/>
        <filter val="570,00"/>
        <filter val="59,00"/>
        <filter val="6,00"/>
        <filter val="6,17"/>
        <filter val="6,63"/>
        <filter val="641,03"/>
        <filter val="70,00"/>
        <filter val="8,00"/>
        <filter val="8,33"/>
        <filter val="8,97"/>
        <filter val="80,00"/>
        <filter val="9,00"/>
        <filter val="90,00"/>
        <filter val="92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