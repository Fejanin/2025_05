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4D3EC3-2263-4440-8C25-D926B9CB140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BO270" i="1"/>
  <c r="BM270" i="1"/>
  <c r="Z270" i="1"/>
  <c r="Y270" i="1"/>
  <c r="P270" i="1"/>
  <c r="BO269" i="1"/>
  <c r="BN269" i="1"/>
  <c r="BM269" i="1"/>
  <c r="Z269" i="1"/>
  <c r="Y269" i="1"/>
  <c r="BP269" i="1" s="1"/>
  <c r="P269" i="1"/>
  <c r="BO268" i="1"/>
  <c r="BM268" i="1"/>
  <c r="Z268" i="1"/>
  <c r="Y268" i="1"/>
  <c r="P268" i="1"/>
  <c r="BO267" i="1"/>
  <c r="BM267" i="1"/>
  <c r="Z267" i="1"/>
  <c r="Y267" i="1"/>
  <c r="BP267" i="1" s="1"/>
  <c r="P267" i="1"/>
  <c r="X265" i="1"/>
  <c r="X264" i="1"/>
  <c r="BO263" i="1"/>
  <c r="BM263" i="1"/>
  <c r="Z263" i="1"/>
  <c r="Y263" i="1"/>
  <c r="BN263" i="1" s="1"/>
  <c r="P263" i="1"/>
  <c r="BO262" i="1"/>
  <c r="BM262" i="1"/>
  <c r="Z262" i="1"/>
  <c r="Y262" i="1"/>
  <c r="P262" i="1"/>
  <c r="BO261" i="1"/>
  <c r="BM261" i="1"/>
  <c r="Z261" i="1"/>
  <c r="Y261" i="1"/>
  <c r="BN261" i="1" s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O253" i="1"/>
  <c r="BN253" i="1"/>
  <c r="BM253" i="1"/>
  <c r="Z253" i="1"/>
  <c r="Y253" i="1"/>
  <c r="BP253" i="1" s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Y248" i="1" s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X206" i="1"/>
  <c r="X205" i="1"/>
  <c r="BO204" i="1"/>
  <c r="BN204" i="1"/>
  <c r="BM204" i="1"/>
  <c r="Z204" i="1"/>
  <c r="Y204" i="1"/>
  <c r="BP204" i="1" s="1"/>
  <c r="P204" i="1"/>
  <c r="BO203" i="1"/>
  <c r="BM203" i="1"/>
  <c r="Z203" i="1"/>
  <c r="Y203" i="1"/>
  <c r="P203" i="1"/>
  <c r="BO202" i="1"/>
  <c r="BM202" i="1"/>
  <c r="Z202" i="1"/>
  <c r="Y202" i="1"/>
  <c r="BP202" i="1" s="1"/>
  <c r="P202" i="1"/>
  <c r="X200" i="1"/>
  <c r="X199" i="1"/>
  <c r="BO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5" i="1"/>
  <c r="X184" i="1"/>
  <c r="BO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P177" i="1"/>
  <c r="BO177" i="1"/>
  <c r="BN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Y156" i="1"/>
  <c r="BN156" i="1" s="1"/>
  <c r="P156" i="1"/>
  <c r="BO155" i="1"/>
  <c r="BM155" i="1"/>
  <c r="Z155" i="1"/>
  <c r="Y155" i="1"/>
  <c r="P155" i="1"/>
  <c r="X152" i="1"/>
  <c r="X151" i="1"/>
  <c r="BO150" i="1"/>
  <c r="BM150" i="1"/>
  <c r="Z150" i="1"/>
  <c r="Y150" i="1"/>
  <c r="Y152" i="1" s="1"/>
  <c r="P150" i="1"/>
  <c r="BP149" i="1"/>
  <c r="BO149" i="1"/>
  <c r="BN149" i="1"/>
  <c r="BM149" i="1"/>
  <c r="Z149" i="1"/>
  <c r="Z151" i="1" s="1"/>
  <c r="Y149" i="1"/>
  <c r="P149" i="1"/>
  <c r="X146" i="1"/>
  <c r="X145" i="1"/>
  <c r="BO144" i="1"/>
  <c r="BM144" i="1"/>
  <c r="Z144" i="1"/>
  <c r="Y144" i="1"/>
  <c r="BP144" i="1" s="1"/>
  <c r="P144" i="1"/>
  <c r="BO143" i="1"/>
  <c r="BM143" i="1"/>
  <c r="Z143" i="1"/>
  <c r="Y143" i="1"/>
  <c r="BN143" i="1" s="1"/>
  <c r="P143" i="1"/>
  <c r="X140" i="1"/>
  <c r="X139" i="1"/>
  <c r="BO138" i="1"/>
  <c r="BM138" i="1"/>
  <c r="Z138" i="1"/>
  <c r="Y138" i="1"/>
  <c r="BN138" i="1" s="1"/>
  <c r="P138" i="1"/>
  <c r="BO137" i="1"/>
  <c r="BM137" i="1"/>
  <c r="Z137" i="1"/>
  <c r="Y137" i="1"/>
  <c r="BP137" i="1" s="1"/>
  <c r="P137" i="1"/>
  <c r="BP136" i="1"/>
  <c r="BO136" i="1"/>
  <c r="BN136" i="1"/>
  <c r="BM136" i="1"/>
  <c r="Z136" i="1"/>
  <c r="Z139" i="1" s="1"/>
  <c r="Y136" i="1"/>
  <c r="P136" i="1"/>
  <c r="X134" i="1"/>
  <c r="X133" i="1"/>
  <c r="BO132" i="1"/>
  <c r="BN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P130" i="1" s="1"/>
  <c r="P130" i="1"/>
  <c r="BO129" i="1"/>
  <c r="BM129" i="1"/>
  <c r="Z129" i="1"/>
  <c r="Z133" i="1" s="1"/>
  <c r="Y129" i="1"/>
  <c r="P129" i="1"/>
  <c r="X126" i="1"/>
  <c r="X125" i="1"/>
  <c r="BO124" i="1"/>
  <c r="BM124" i="1"/>
  <c r="Z124" i="1"/>
  <c r="Z125" i="1" s="1"/>
  <c r="Y124" i="1"/>
  <c r="Y125" i="1" s="1"/>
  <c r="P124" i="1"/>
  <c r="X122" i="1"/>
  <c r="X121" i="1"/>
  <c r="BO120" i="1"/>
  <c r="BM120" i="1"/>
  <c r="Z120" i="1"/>
  <c r="Z121" i="1" s="1"/>
  <c r="Y120" i="1"/>
  <c r="Y121" i="1" s="1"/>
  <c r="P120" i="1"/>
  <c r="X118" i="1"/>
  <c r="X117" i="1"/>
  <c r="BO116" i="1"/>
  <c r="BM116" i="1"/>
  <c r="Z116" i="1"/>
  <c r="Y116" i="1"/>
  <c r="BP116" i="1" s="1"/>
  <c r="P116" i="1"/>
  <c r="BO115" i="1"/>
  <c r="BM115" i="1"/>
  <c r="Z115" i="1"/>
  <c r="Y115" i="1"/>
  <c r="BN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N113" i="1" s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Z117" i="1" s="1"/>
  <c r="Y111" i="1"/>
  <c r="P111" i="1"/>
  <c r="BO110" i="1"/>
  <c r="BM110" i="1"/>
  <c r="Z110" i="1"/>
  <c r="Y110" i="1"/>
  <c r="Y117" i="1" s="1"/>
  <c r="P110" i="1"/>
  <c r="X107" i="1"/>
  <c r="X106" i="1"/>
  <c r="BO105" i="1"/>
  <c r="BM105" i="1"/>
  <c r="Z105" i="1"/>
  <c r="Y105" i="1"/>
  <c r="BP105" i="1" s="1"/>
  <c r="P105" i="1"/>
  <c r="BO104" i="1"/>
  <c r="BM104" i="1"/>
  <c r="Z104" i="1"/>
  <c r="Y104" i="1"/>
  <c r="Y106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Y101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Y90" i="1" s="1"/>
  <c r="P88" i="1"/>
  <c r="X85" i="1"/>
  <c r="X84" i="1"/>
  <c r="BO83" i="1"/>
  <c r="BM83" i="1"/>
  <c r="Z83" i="1"/>
  <c r="Z84" i="1" s="1"/>
  <c r="Y83" i="1"/>
  <c r="Y85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P77" i="1"/>
  <c r="X74" i="1"/>
  <c r="X73" i="1"/>
  <c r="BO72" i="1"/>
  <c r="BM72" i="1"/>
  <c r="Z72" i="1"/>
  <c r="Y72" i="1"/>
  <c r="BP72" i="1" s="1"/>
  <c r="P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BP66" i="1" s="1"/>
  <c r="P66" i="1"/>
  <c r="BO65" i="1"/>
  <c r="BM65" i="1"/>
  <c r="Z65" i="1"/>
  <c r="Y65" i="1"/>
  <c r="BP65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BP47" i="1" s="1"/>
  <c r="P47" i="1"/>
  <c r="X44" i="1"/>
  <c r="X43" i="1"/>
  <c r="BO42" i="1"/>
  <c r="BM42" i="1"/>
  <c r="Z42" i="1"/>
  <c r="Y42" i="1"/>
  <c r="BN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BP34" i="1" s="1"/>
  <c r="P34" i="1"/>
  <c r="X31" i="1"/>
  <c r="X30" i="1"/>
  <c r="BO29" i="1"/>
  <c r="BM29" i="1"/>
  <c r="Z29" i="1"/>
  <c r="Y29" i="1"/>
  <c r="BN29" i="1" s="1"/>
  <c r="P29" i="1"/>
  <c r="BO28" i="1"/>
  <c r="BM28" i="1"/>
  <c r="Z28" i="1"/>
  <c r="Y28" i="1"/>
  <c r="BP28" i="1" s="1"/>
  <c r="P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BP115" i="1" l="1"/>
  <c r="BP198" i="1"/>
  <c r="Z30" i="1"/>
  <c r="Z36" i="1"/>
  <c r="BN34" i="1"/>
  <c r="Z43" i="1"/>
  <c r="Z49" i="1"/>
  <c r="BN47" i="1"/>
  <c r="Z57" i="1"/>
  <c r="BN61" i="1"/>
  <c r="BP61" i="1"/>
  <c r="Y62" i="1"/>
  <c r="Z67" i="1"/>
  <c r="BN65" i="1"/>
  <c r="Y80" i="1"/>
  <c r="BN78" i="1"/>
  <c r="BP113" i="1"/>
  <c r="Y134" i="1"/>
  <c r="BN130" i="1"/>
  <c r="Y140" i="1"/>
  <c r="BP138" i="1"/>
  <c r="BP156" i="1"/>
  <c r="BN166" i="1"/>
  <c r="BP166" i="1"/>
  <c r="Y167" i="1"/>
  <c r="BN202" i="1"/>
  <c r="BN267" i="1"/>
  <c r="BN271" i="1"/>
  <c r="BN275" i="1"/>
  <c r="X280" i="1"/>
  <c r="BP23" i="1"/>
  <c r="BP25" i="1"/>
  <c r="BP27" i="1"/>
  <c r="BP29" i="1"/>
  <c r="Y36" i="1"/>
  <c r="BP42" i="1"/>
  <c r="Y49" i="1"/>
  <c r="BP54" i="1"/>
  <c r="BP56" i="1"/>
  <c r="Y73" i="1"/>
  <c r="BN71" i="1"/>
  <c r="Z79" i="1"/>
  <c r="BN83" i="1"/>
  <c r="Y84" i="1"/>
  <c r="Z90" i="1"/>
  <c r="BP88" i="1"/>
  <c r="Z106" i="1"/>
  <c r="BP104" i="1"/>
  <c r="Z145" i="1"/>
  <c r="BP143" i="1"/>
  <c r="BP161" i="1"/>
  <c r="BP171" i="1"/>
  <c r="Z264" i="1"/>
  <c r="BP261" i="1"/>
  <c r="BP263" i="1"/>
  <c r="X281" i="1"/>
  <c r="Y151" i="1"/>
  <c r="BN198" i="1"/>
  <c r="Y199" i="1"/>
  <c r="Z205" i="1"/>
  <c r="Z277" i="1"/>
  <c r="Y31" i="1"/>
  <c r="X279" i="1"/>
  <c r="Y44" i="1"/>
  <c r="Y58" i="1"/>
  <c r="Y67" i="1"/>
  <c r="Z73" i="1"/>
  <c r="BP83" i="1"/>
  <c r="BN88" i="1"/>
  <c r="Z100" i="1"/>
  <c r="BN104" i="1"/>
  <c r="BN161" i="1"/>
  <c r="Y162" i="1"/>
  <c r="BN171" i="1"/>
  <c r="Y172" i="1"/>
  <c r="H9" i="1"/>
  <c r="A10" i="1"/>
  <c r="Y30" i="1"/>
  <c r="Y37" i="1"/>
  <c r="Y43" i="1"/>
  <c r="Y50" i="1"/>
  <c r="Y57" i="1"/>
  <c r="Y68" i="1"/>
  <c r="Y74" i="1"/>
  <c r="Y79" i="1"/>
  <c r="Y91" i="1"/>
  <c r="Y100" i="1"/>
  <c r="Y107" i="1"/>
  <c r="Y118" i="1"/>
  <c r="Y122" i="1"/>
  <c r="Y126" i="1"/>
  <c r="Y133" i="1"/>
  <c r="Y139" i="1"/>
  <c r="Y158" i="1"/>
  <c r="BP155" i="1"/>
  <c r="BN155" i="1"/>
  <c r="Y157" i="1"/>
  <c r="BP178" i="1"/>
  <c r="BN178" i="1"/>
  <c r="Y194" i="1"/>
  <c r="BP189" i="1"/>
  <c r="BN189" i="1"/>
  <c r="BP191" i="1"/>
  <c r="BN191" i="1"/>
  <c r="Y193" i="1"/>
  <c r="BP203" i="1"/>
  <c r="BN203" i="1"/>
  <c r="Y205" i="1"/>
  <c r="BP210" i="1"/>
  <c r="BN210" i="1"/>
  <c r="Y221" i="1"/>
  <c r="BP220" i="1"/>
  <c r="BN220" i="1"/>
  <c r="Y233" i="1"/>
  <c r="BP232" i="1"/>
  <c r="BN232" i="1"/>
  <c r="Y243" i="1"/>
  <c r="BP242" i="1"/>
  <c r="BN242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66" i="1"/>
  <c r="BN70" i="1"/>
  <c r="BP70" i="1"/>
  <c r="BN72" i="1"/>
  <c r="BN77" i="1"/>
  <c r="BP77" i="1"/>
  <c r="BN89" i="1"/>
  <c r="BN94" i="1"/>
  <c r="BP94" i="1"/>
  <c r="BN96" i="1"/>
  <c r="BN98" i="1"/>
  <c r="BN105" i="1"/>
  <c r="BN110" i="1"/>
  <c r="BP110" i="1"/>
  <c r="BN112" i="1"/>
  <c r="BN114" i="1"/>
  <c r="BN116" i="1"/>
  <c r="BN120" i="1"/>
  <c r="BP120" i="1"/>
  <c r="BN124" i="1"/>
  <c r="BP124" i="1"/>
  <c r="BN129" i="1"/>
  <c r="BP129" i="1"/>
  <c r="BN131" i="1"/>
  <c r="BN137" i="1"/>
  <c r="Y146" i="1"/>
  <c r="BN144" i="1"/>
  <c r="Y145" i="1"/>
  <c r="BP150" i="1"/>
  <c r="BN150" i="1"/>
  <c r="Z157" i="1"/>
  <c r="Y179" i="1"/>
  <c r="Y180" i="1"/>
  <c r="Y184" i="1"/>
  <c r="BP183" i="1"/>
  <c r="BN183" i="1"/>
  <c r="Z193" i="1"/>
  <c r="Y206" i="1"/>
  <c r="Y211" i="1"/>
  <c r="Y212" i="1"/>
  <c r="Y216" i="1"/>
  <c r="BP215" i="1"/>
  <c r="BN215" i="1"/>
  <c r="Y222" i="1"/>
  <c r="Y227" i="1"/>
  <c r="BP226" i="1"/>
  <c r="BN226" i="1"/>
  <c r="Y234" i="1"/>
  <c r="Y237" i="1"/>
  <c r="BP236" i="1"/>
  <c r="BN236" i="1"/>
  <c r="Y244" i="1"/>
  <c r="Y247" i="1"/>
  <c r="BP246" i="1"/>
  <c r="BN246" i="1"/>
  <c r="Z254" i="1"/>
  <c r="Y265" i="1"/>
  <c r="Y277" i="1"/>
  <c r="Y278" i="1"/>
  <c r="Z284" i="1" l="1"/>
  <c r="Y279" i="1"/>
  <c r="X282" i="1"/>
  <c r="Y280" i="1"/>
  <c r="Y281" i="1"/>
  <c r="Y283" i="1"/>
  <c r="Y282" i="1" l="1"/>
  <c r="C292" i="1" s="1"/>
  <c r="B292" i="1"/>
  <c r="A292" i="1"/>
</calcChain>
</file>

<file path=xl/sharedStrings.xml><?xml version="1.0" encoding="utf-8"?>
<sst xmlns="http://schemas.openxmlformats.org/spreadsheetml/2006/main" count="1285" uniqueCount="415">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</sst>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0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83"/>
      <c r="Q3" s="283"/>
      <c r="R3" s="283"/>
      <c r="S3" s="283"/>
      <c r="T3" s="283"/>
      <c r="U3" s="283"/>
      <c r="V3" s="283"/>
      <c r="W3" s="283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56" t="s">
        <v>8</v>
      </c>
      <c r="B5" s="312"/>
      <c r="C5" s="313"/>
      <c r="D5" s="334"/>
      <c r="E5" s="335"/>
      <c r="F5" s="449" t="s">
        <v>9</v>
      </c>
      <c r="G5" s="313"/>
      <c r="H5" s="334" t="s">
        <v>414</v>
      </c>
      <c r="I5" s="370"/>
      <c r="J5" s="370"/>
      <c r="K5" s="370"/>
      <c r="L5" s="370"/>
      <c r="M5" s="335"/>
      <c r="N5" s="61"/>
      <c r="P5" s="24" t="s">
        <v>10</v>
      </c>
      <c r="Q5" s="371">
        <v>46259</v>
      </c>
      <c r="R5" s="369"/>
      <c r="T5" s="366" t="s">
        <v>11</v>
      </c>
      <c r="U5" s="367"/>
      <c r="V5" s="368" t="s">
        <v>12</v>
      </c>
      <c r="W5" s="369"/>
      <c r="AB5" s="52"/>
      <c r="AC5" s="52"/>
      <c r="AD5" s="52"/>
      <c r="AE5" s="52"/>
    </row>
    <row r="6" spans="1:32" s="273" customFormat="1" ht="24" customHeight="1" x14ac:dyDescent="0.2">
      <c r="A6" s="356" t="s">
        <v>13</v>
      </c>
      <c r="B6" s="312"/>
      <c r="C6" s="313"/>
      <c r="D6" s="417" t="s">
        <v>389</v>
      </c>
      <c r="E6" s="418"/>
      <c r="F6" s="418"/>
      <c r="G6" s="418"/>
      <c r="H6" s="418"/>
      <c r="I6" s="418"/>
      <c r="J6" s="418"/>
      <c r="K6" s="418"/>
      <c r="L6" s="418"/>
      <c r="M6" s="369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Вторник</v>
      </c>
      <c r="R6" s="281"/>
      <c r="T6" s="383" t="s">
        <v>15</v>
      </c>
      <c r="U6" s="367"/>
      <c r="V6" s="411" t="s">
        <v>16</v>
      </c>
      <c r="W6" s="289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422" t="str">
        <f>IFERROR(VLOOKUP(DeliveryAddress,Table,3,0),1)</f>
        <v>3</v>
      </c>
      <c r="E7" s="423"/>
      <c r="F7" s="423"/>
      <c r="G7" s="423"/>
      <c r="H7" s="423"/>
      <c r="I7" s="423"/>
      <c r="J7" s="423"/>
      <c r="K7" s="423"/>
      <c r="L7" s="423"/>
      <c r="M7" s="353"/>
      <c r="N7" s="63"/>
      <c r="P7" s="24"/>
      <c r="Q7" s="43"/>
      <c r="R7" s="43"/>
      <c r="T7" s="283"/>
      <c r="U7" s="367"/>
      <c r="V7" s="412"/>
      <c r="W7" s="413"/>
      <c r="AB7" s="52"/>
      <c r="AC7" s="52"/>
      <c r="AD7" s="52"/>
      <c r="AE7" s="52"/>
    </row>
    <row r="8" spans="1:32" s="273" customFormat="1" ht="25.5" customHeight="1" x14ac:dyDescent="0.2">
      <c r="A8" s="456" t="s">
        <v>17</v>
      </c>
      <c r="B8" s="303"/>
      <c r="C8" s="304"/>
      <c r="D8" s="319"/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18</v>
      </c>
      <c r="Q8" s="352">
        <v>0.41666666666666669</v>
      </c>
      <c r="R8" s="353"/>
      <c r="T8" s="283"/>
      <c r="U8" s="367"/>
      <c r="V8" s="412"/>
      <c r="W8" s="413"/>
      <c r="AB8" s="52"/>
      <c r="AC8" s="52"/>
      <c r="AD8" s="52"/>
      <c r="AE8" s="52"/>
    </row>
    <row r="9" spans="1:32" s="273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9"/>
      <c r="E9" s="327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326" t="str">
        <f>IF(AND($A$9="Тип доверенности/получателя при получении в адресе перегруза:",$D$9="Разовая доверенность"),"Введите ФИО","")</f>
        <v/>
      </c>
      <c r="I9" s="327"/>
      <c r="J9" s="3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7"/>
      <c r="L9" s="327"/>
      <c r="M9" s="327"/>
      <c r="N9" s="274"/>
      <c r="P9" s="27" t="s">
        <v>19</v>
      </c>
      <c r="Q9" s="425"/>
      <c r="R9" s="410"/>
      <c r="T9" s="283"/>
      <c r="U9" s="367"/>
      <c r="V9" s="414"/>
      <c r="W9" s="415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9"/>
      <c r="E10" s="327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2"/>
      <c r="P10" s="27" t="s">
        <v>20</v>
      </c>
      <c r="Q10" s="385"/>
      <c r="R10" s="386"/>
      <c r="U10" s="24" t="s">
        <v>21</v>
      </c>
      <c r="V10" s="288" t="s">
        <v>22</v>
      </c>
      <c r="W10" s="289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82"/>
      <c r="R11" s="369"/>
      <c r="U11" s="24" t="s">
        <v>25</v>
      </c>
      <c r="V11" s="409" t="s">
        <v>26</v>
      </c>
      <c r="W11" s="410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64" t="s">
        <v>27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3"/>
      <c r="N12" s="65"/>
      <c r="P12" s="24" t="s">
        <v>28</v>
      </c>
      <c r="Q12" s="352"/>
      <c r="R12" s="353"/>
      <c r="S12" s="25"/>
      <c r="U12" s="24"/>
      <c r="V12" s="296"/>
      <c r="W12" s="283"/>
      <c r="AB12" s="52"/>
      <c r="AC12" s="52"/>
      <c r="AD12" s="52"/>
      <c r="AE12" s="52"/>
    </row>
    <row r="13" spans="1:32" s="273" customFormat="1" ht="23.25" customHeight="1" x14ac:dyDescent="0.2">
      <c r="A13" s="364" t="s">
        <v>29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3"/>
      <c r="N13" s="65"/>
      <c r="O13" s="27"/>
      <c r="P13" s="27" t="s">
        <v>30</v>
      </c>
      <c r="Q13" s="409"/>
      <c r="R13" s="41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64" t="s">
        <v>31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3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87" t="s">
        <v>32</v>
      </c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3"/>
      <c r="N15" s="66"/>
      <c r="P15" s="372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57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67" t="s">
        <v>49</v>
      </c>
      <c r="V17" s="313"/>
      <c r="W17" s="307" t="s">
        <v>50</v>
      </c>
      <c r="X17" s="307" t="s">
        <v>51</v>
      </c>
      <c r="Y17" s="468" t="s">
        <v>52</v>
      </c>
      <c r="Z17" s="431" t="s">
        <v>53</v>
      </c>
      <c r="AA17" s="427" t="s">
        <v>54</v>
      </c>
      <c r="AB17" s="427" t="s">
        <v>55</v>
      </c>
      <c r="AC17" s="427" t="s">
        <v>56</v>
      </c>
      <c r="AD17" s="427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9"/>
      <c r="Z18" s="432"/>
      <c r="AA18" s="428"/>
      <c r="AB18" s="428"/>
      <c r="AC18" s="428"/>
      <c r="AD18" s="446"/>
      <c r="AE18" s="447"/>
      <c r="AF18" s="448"/>
      <c r="AG18" s="69"/>
      <c r="BD18" s="68"/>
    </row>
    <row r="19" spans="1:68" ht="27.75" hidden="1" customHeight="1" x14ac:dyDescent="0.2">
      <c r="A19" s="346" t="s">
        <v>61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49"/>
      <c r="AB19" s="49"/>
      <c r="AC19" s="49"/>
    </row>
    <row r="20" spans="1:68" ht="16.5" hidden="1" customHeight="1" x14ac:dyDescent="0.25">
      <c r="A20" s="294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1"/>
      <c r="AB20" s="271"/>
      <c r="AC20" s="271"/>
    </row>
    <row r="21" spans="1:68" ht="14.25" hidden="1" customHeight="1" x14ac:dyDescent="0.25">
      <c r="A21" s="290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80">
        <v>4620207491508</v>
      </c>
      <c r="E22" s="281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2">
        <v>4301071112</v>
      </c>
      <c r="D23" s="280">
        <v>4620207491256</v>
      </c>
      <c r="E23" s="281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5"/>
      <c r="V23" s="35"/>
      <c r="W23" s="36" t="s">
        <v>68</v>
      </c>
      <c r="X23" s="276">
        <v>0</v>
      </c>
      <c r="Y23" s="277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80">
        <v>4620207491713</v>
      </c>
      <c r="E24" s="281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80">
        <v>4620207491720</v>
      </c>
      <c r="E25" s="281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38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80">
        <v>4607111035912</v>
      </c>
      <c r="E26" s="281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80">
        <v>4607111035929</v>
      </c>
      <c r="E27" s="281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5"/>
      <c r="V27" s="35"/>
      <c r="W27" s="36" t="s">
        <v>68</v>
      </c>
      <c r="X27" s="276">
        <v>12</v>
      </c>
      <c r="Y27" s="277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80">
        <v>4607111035882</v>
      </c>
      <c r="E28" s="281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80">
        <v>4607111035905</v>
      </c>
      <c r="E29" s="281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42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5"/>
      <c r="V29" s="35"/>
      <c r="W29" s="36" t="s">
        <v>68</v>
      </c>
      <c r="X29" s="276">
        <v>0</v>
      </c>
      <c r="Y29" s="277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302" t="s">
        <v>87</v>
      </c>
      <c r="Q30" s="303"/>
      <c r="R30" s="303"/>
      <c r="S30" s="303"/>
      <c r="T30" s="303"/>
      <c r="U30" s="303"/>
      <c r="V30" s="304"/>
      <c r="W30" s="38" t="s">
        <v>68</v>
      </c>
      <c r="X30" s="278">
        <f>IFERROR(SUM(X22:X29),"0")</f>
        <v>12</v>
      </c>
      <c r="Y30" s="278">
        <f>IFERROR(SUM(Y22:Y29),"0")</f>
        <v>12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9"/>
      <c r="AB30" s="279"/>
      <c r="AC30" s="279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302" t="s">
        <v>87</v>
      </c>
      <c r="Q31" s="303"/>
      <c r="R31" s="303"/>
      <c r="S31" s="303"/>
      <c r="T31" s="303"/>
      <c r="U31" s="303"/>
      <c r="V31" s="304"/>
      <c r="W31" s="38" t="s">
        <v>88</v>
      </c>
      <c r="X31" s="278">
        <f>IFERROR(SUMPRODUCT(X22:X29*H22:H29),"0")</f>
        <v>86.4</v>
      </c>
      <c r="Y31" s="278">
        <f>IFERROR(SUMPRODUCT(Y22:Y29*H22:H29),"0")</f>
        <v>86.4</v>
      </c>
      <c r="Z31" s="38"/>
      <c r="AA31" s="279"/>
      <c r="AB31" s="279"/>
      <c r="AC31" s="279"/>
    </row>
    <row r="32" spans="1:68" ht="16.5" hidden="1" customHeight="1" x14ac:dyDescent="0.25">
      <c r="A32" s="294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1"/>
      <c r="AB32" s="271"/>
      <c r="AC32" s="271"/>
    </row>
    <row r="33" spans="1:68" ht="14.25" hidden="1" customHeight="1" x14ac:dyDescent="0.25">
      <c r="A33" s="290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0"/>
      <c r="AB33" s="270"/>
      <c r="AC33" s="270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80">
        <v>4607111039019</v>
      </c>
      <c r="E34" s="281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80">
        <v>4607111038708</v>
      </c>
      <c r="E35" s="281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302" t="s">
        <v>87</v>
      </c>
      <c r="Q36" s="303"/>
      <c r="R36" s="303"/>
      <c r="S36" s="303"/>
      <c r="T36" s="303"/>
      <c r="U36" s="303"/>
      <c r="V36" s="304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302" t="s">
        <v>87</v>
      </c>
      <c r="Q37" s="303"/>
      <c r="R37" s="303"/>
      <c r="S37" s="303"/>
      <c r="T37" s="303"/>
      <c r="U37" s="303"/>
      <c r="V37" s="304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hidden="1" customHeight="1" x14ac:dyDescent="0.2">
      <c r="A38" s="346" t="s">
        <v>95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49"/>
      <c r="AB38" s="49"/>
      <c r="AC38" s="49"/>
    </row>
    <row r="39" spans="1:68" ht="16.5" hidden="1" customHeight="1" x14ac:dyDescent="0.25">
      <c r="A39" s="294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1"/>
      <c r="AB39" s="271"/>
      <c r="AC39" s="271"/>
    </row>
    <row r="40" spans="1:68" ht="14.25" hidden="1" customHeight="1" x14ac:dyDescent="0.25">
      <c r="A40" s="290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80">
        <v>4607111036537</v>
      </c>
      <c r="E41" s="281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37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5"/>
      <c r="V41" s="35"/>
      <c r="W41" s="36" t="s">
        <v>68</v>
      </c>
      <c r="X41" s="276">
        <v>112</v>
      </c>
      <c r="Y41" s="277">
        <f>IFERROR(IF(X41="","",X41),"")</f>
        <v>112</v>
      </c>
      <c r="Z41" s="37">
        <f>IFERROR(IF(X41="","",X41*0.00941),"")</f>
        <v>1.05392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215.24160000000001</v>
      </c>
      <c r="BN41" s="67">
        <f>IFERROR(Y41*I41,"0")</f>
        <v>215.24160000000001</v>
      </c>
      <c r="BO41" s="67">
        <f>IFERROR(X41/J41,"0")</f>
        <v>0.8</v>
      </c>
      <c r="BP41" s="67">
        <f>IFERROR(Y41/J41,"0")</f>
        <v>0.8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80">
        <v>4607111036605</v>
      </c>
      <c r="E42" s="281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5"/>
      <c r="V42" s="35"/>
      <c r="W42" s="36" t="s">
        <v>68</v>
      </c>
      <c r="X42" s="276">
        <v>84</v>
      </c>
      <c r="Y42" s="277">
        <f>IFERROR(IF(X42="","",X42),"")</f>
        <v>84</v>
      </c>
      <c r="Z42" s="37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302" t="s">
        <v>87</v>
      </c>
      <c r="Q43" s="303"/>
      <c r="R43" s="303"/>
      <c r="S43" s="303"/>
      <c r="T43" s="303"/>
      <c r="U43" s="303"/>
      <c r="V43" s="304"/>
      <c r="W43" s="38" t="s">
        <v>68</v>
      </c>
      <c r="X43" s="278">
        <f>IFERROR(SUM(X41:X42),"0")</f>
        <v>196</v>
      </c>
      <c r="Y43" s="278">
        <f>IFERROR(SUM(Y41:Y42),"0")</f>
        <v>196</v>
      </c>
      <c r="Z43" s="278">
        <f>IFERROR(IF(Z41="",0,Z41),"0")+IFERROR(IF(Z42="",0,Z42),"0")</f>
        <v>1.84436</v>
      </c>
      <c r="AA43" s="279"/>
      <c r="AB43" s="279"/>
      <c r="AC43" s="279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302" t="s">
        <v>87</v>
      </c>
      <c r="Q44" s="303"/>
      <c r="R44" s="303"/>
      <c r="S44" s="303"/>
      <c r="T44" s="303"/>
      <c r="U44" s="303"/>
      <c r="V44" s="304"/>
      <c r="W44" s="38" t="s">
        <v>88</v>
      </c>
      <c r="X44" s="278">
        <f>IFERROR(SUMPRODUCT(X41:X42*H41:H42),"0")</f>
        <v>294</v>
      </c>
      <c r="Y44" s="278">
        <f>IFERROR(SUMPRODUCT(Y41:Y42*H41:H42),"0")</f>
        <v>294</v>
      </c>
      <c r="Z44" s="38"/>
      <c r="AA44" s="279"/>
      <c r="AB44" s="279"/>
      <c r="AC44" s="279"/>
    </row>
    <row r="45" spans="1:68" ht="16.5" hidden="1" customHeight="1" x14ac:dyDescent="0.25">
      <c r="A45" s="294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1"/>
      <c r="AB45" s="271"/>
      <c r="AC45" s="271"/>
    </row>
    <row r="46" spans="1:68" ht="14.25" hidden="1" customHeight="1" x14ac:dyDescent="0.25">
      <c r="A46" s="290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0"/>
      <c r="AB46" s="270"/>
      <c r="AC46" s="270"/>
    </row>
    <row r="47" spans="1:68" ht="27" hidden="1" customHeight="1" x14ac:dyDescent="0.25">
      <c r="A47" s="54" t="s">
        <v>108</v>
      </c>
      <c r="B47" s="54" t="s">
        <v>109</v>
      </c>
      <c r="C47" s="32">
        <v>4301071090</v>
      </c>
      <c r="D47" s="280">
        <v>4620207490075</v>
      </c>
      <c r="E47" s="281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3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5"/>
      <c r="V47" s="35"/>
      <c r="W47" s="36" t="s">
        <v>68</v>
      </c>
      <c r="X47" s="276">
        <v>0</v>
      </c>
      <c r="Y47" s="277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80">
        <v>4620207490174</v>
      </c>
      <c r="E48" s="281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0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5"/>
      <c r="V48" s="35"/>
      <c r="W48" s="36" t="s">
        <v>68</v>
      </c>
      <c r="X48" s="276">
        <v>12</v>
      </c>
      <c r="Y48" s="277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302" t="s">
        <v>87</v>
      </c>
      <c r="Q49" s="303"/>
      <c r="R49" s="303"/>
      <c r="S49" s="303"/>
      <c r="T49" s="303"/>
      <c r="U49" s="303"/>
      <c r="V49" s="304"/>
      <c r="W49" s="38" t="s">
        <v>68</v>
      </c>
      <c r="X49" s="278">
        <f>IFERROR(SUM(X47:X48),"0")</f>
        <v>12</v>
      </c>
      <c r="Y49" s="278">
        <f>IFERROR(SUM(Y47:Y48),"0")</f>
        <v>12</v>
      </c>
      <c r="Z49" s="278">
        <f>IFERROR(IF(Z47="",0,Z47),"0")+IFERROR(IF(Z48="",0,Z48),"0")</f>
        <v>0.186</v>
      </c>
      <c r="AA49" s="279"/>
      <c r="AB49" s="279"/>
      <c r="AC49" s="279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302" t="s">
        <v>87</v>
      </c>
      <c r="Q50" s="303"/>
      <c r="R50" s="303"/>
      <c r="S50" s="303"/>
      <c r="T50" s="303"/>
      <c r="U50" s="303"/>
      <c r="V50" s="304"/>
      <c r="W50" s="38" t="s">
        <v>88</v>
      </c>
      <c r="X50" s="278">
        <f>IFERROR(SUMPRODUCT(X47:X48*H47:H48),"0")</f>
        <v>67.199999999999989</v>
      </c>
      <c r="Y50" s="278">
        <f>IFERROR(SUMPRODUCT(Y47:Y48*H47:H48),"0")</f>
        <v>67.199999999999989</v>
      </c>
      <c r="Z50" s="38"/>
      <c r="AA50" s="279"/>
      <c r="AB50" s="279"/>
      <c r="AC50" s="279"/>
    </row>
    <row r="51" spans="1:68" ht="16.5" hidden="1" customHeight="1" x14ac:dyDescent="0.25">
      <c r="A51" s="294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1"/>
      <c r="AB51" s="271"/>
      <c r="AC51" s="271"/>
    </row>
    <row r="52" spans="1:68" ht="14.25" hidden="1" customHeight="1" x14ac:dyDescent="0.25">
      <c r="A52" s="290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0"/>
      <c r="AB52" s="270"/>
      <c r="AC52" s="270"/>
    </row>
    <row r="53" spans="1:68" ht="27" hidden="1" customHeight="1" x14ac:dyDescent="0.25">
      <c r="A53" s="54" t="s">
        <v>115</v>
      </c>
      <c r="B53" s="54" t="s">
        <v>116</v>
      </c>
      <c r="C53" s="32">
        <v>4301071044</v>
      </c>
      <c r="D53" s="280">
        <v>4607111039385</v>
      </c>
      <c r="E53" s="281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5"/>
      <c r="V53" s="35"/>
      <c r="W53" s="36" t="s">
        <v>68</v>
      </c>
      <c r="X53" s="276">
        <v>0</v>
      </c>
      <c r="Y53" s="277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80">
        <v>4607111038982</v>
      </c>
      <c r="E54" s="281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5"/>
      <c r="V54" s="35"/>
      <c r="W54" s="36" t="s">
        <v>68</v>
      </c>
      <c r="X54" s="276">
        <v>0</v>
      </c>
      <c r="Y54" s="277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80">
        <v>4607111039354</v>
      </c>
      <c r="E55" s="281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5"/>
      <c r="V55" s="35"/>
      <c r="W55" s="36" t="s">
        <v>68</v>
      </c>
      <c r="X55" s="276">
        <v>24</v>
      </c>
      <c r="Y55" s="277">
        <f>IFERROR(IF(X55="","",X55),"")</f>
        <v>24</v>
      </c>
      <c r="Z55" s="37">
        <f>IFERROR(IF(X55="","",X55*0.0155),"")</f>
        <v>0.372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161.2704</v>
      </c>
      <c r="BN55" s="67">
        <f>IFERROR(Y55*I55,"0")</f>
        <v>161.2704</v>
      </c>
      <c r="BO55" s="67">
        <f>IFERROR(X55/J55,"0")</f>
        <v>0.2857142857142857</v>
      </c>
      <c r="BP55" s="67">
        <f>IFERROR(Y55/J55,"0")</f>
        <v>0.2857142857142857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80">
        <v>4607111039330</v>
      </c>
      <c r="E56" s="281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2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5"/>
      <c r="V56" s="35"/>
      <c r="W56" s="36" t="s">
        <v>68</v>
      </c>
      <c r="X56" s="276">
        <v>60</v>
      </c>
      <c r="Y56" s="277">
        <f>IFERROR(IF(X56="","",X56),"")</f>
        <v>60</v>
      </c>
      <c r="Z56" s="37">
        <f>IFERROR(IF(X56="","",X56*0.0155),"")</f>
        <v>0.92999999999999994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438</v>
      </c>
      <c r="BN56" s="67">
        <f>IFERROR(Y56*I56,"0")</f>
        <v>438</v>
      </c>
      <c r="BO56" s="67">
        <f>IFERROR(X56/J56,"0")</f>
        <v>0.7142857142857143</v>
      </c>
      <c r="BP56" s="67">
        <f>IFERROR(Y56/J56,"0")</f>
        <v>0.7142857142857143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302" t="s">
        <v>87</v>
      </c>
      <c r="Q57" s="303"/>
      <c r="R57" s="303"/>
      <c r="S57" s="303"/>
      <c r="T57" s="303"/>
      <c r="U57" s="303"/>
      <c r="V57" s="304"/>
      <c r="W57" s="38" t="s">
        <v>68</v>
      </c>
      <c r="X57" s="278">
        <f>IFERROR(SUM(X53:X56),"0")</f>
        <v>84</v>
      </c>
      <c r="Y57" s="278">
        <f>IFERROR(SUM(Y53:Y56),"0")</f>
        <v>84</v>
      </c>
      <c r="Z57" s="278">
        <f>IFERROR(IF(Z53="",0,Z53),"0")+IFERROR(IF(Z54="",0,Z54),"0")+IFERROR(IF(Z55="",0,Z55),"0")+IFERROR(IF(Z56="",0,Z56),"0")</f>
        <v>1.302</v>
      </c>
      <c r="AA57" s="279"/>
      <c r="AB57" s="279"/>
      <c r="AC57" s="279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302" t="s">
        <v>87</v>
      </c>
      <c r="Q58" s="303"/>
      <c r="R58" s="303"/>
      <c r="S58" s="303"/>
      <c r="T58" s="303"/>
      <c r="U58" s="303"/>
      <c r="V58" s="304"/>
      <c r="W58" s="38" t="s">
        <v>88</v>
      </c>
      <c r="X58" s="278">
        <f>IFERROR(SUMPRODUCT(X53:X56*H53:H56),"0")</f>
        <v>573.6</v>
      </c>
      <c r="Y58" s="278">
        <f>IFERROR(SUMPRODUCT(Y53:Y56*H53:H56),"0")</f>
        <v>573.6</v>
      </c>
      <c r="Z58" s="38"/>
      <c r="AA58" s="279"/>
      <c r="AB58" s="279"/>
      <c r="AC58" s="279"/>
    </row>
    <row r="59" spans="1:68" ht="16.5" hidden="1" customHeight="1" x14ac:dyDescent="0.25">
      <c r="A59" s="294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1"/>
      <c r="AB59" s="271"/>
      <c r="AC59" s="271"/>
    </row>
    <row r="60" spans="1:68" ht="14.25" hidden="1" customHeight="1" x14ac:dyDescent="0.25">
      <c r="A60" s="290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0"/>
      <c r="AB60" s="270"/>
      <c r="AC60" s="270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80">
        <v>4607111039712</v>
      </c>
      <c r="E61" s="281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302" t="s">
        <v>87</v>
      </c>
      <c r="Q62" s="303"/>
      <c r="R62" s="303"/>
      <c r="S62" s="303"/>
      <c r="T62" s="303"/>
      <c r="U62" s="303"/>
      <c r="V62" s="304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302" t="s">
        <v>87</v>
      </c>
      <c r="Q63" s="303"/>
      <c r="R63" s="303"/>
      <c r="S63" s="303"/>
      <c r="T63" s="303"/>
      <c r="U63" s="303"/>
      <c r="V63" s="304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hidden="1" customHeight="1" x14ac:dyDescent="0.25">
      <c r="A64" s="290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0"/>
      <c r="AB64" s="270"/>
      <c r="AC64" s="270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80">
        <v>4607111037008</v>
      </c>
      <c r="E65" s="281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6"/>
      <c r="R65" s="286"/>
      <c r="S65" s="286"/>
      <c r="T65" s="287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80">
        <v>4607111037398</v>
      </c>
      <c r="E66" s="281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5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6"/>
      <c r="R66" s="286"/>
      <c r="S66" s="286"/>
      <c r="T66" s="287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2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302" t="s">
        <v>87</v>
      </c>
      <c r="Q67" s="303"/>
      <c r="R67" s="303"/>
      <c r="S67" s="303"/>
      <c r="T67" s="303"/>
      <c r="U67" s="303"/>
      <c r="V67" s="304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4"/>
      <c r="P68" s="302" t="s">
        <v>87</v>
      </c>
      <c r="Q68" s="303"/>
      <c r="R68" s="303"/>
      <c r="S68" s="303"/>
      <c r="T68" s="303"/>
      <c r="U68" s="303"/>
      <c r="V68" s="304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hidden="1" customHeight="1" x14ac:dyDescent="0.25">
      <c r="A69" s="290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0"/>
      <c r="AB69" s="270"/>
      <c r="AC69" s="270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80">
        <v>4607111039705</v>
      </c>
      <c r="E70" s="281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6"/>
      <c r="R70" s="286"/>
      <c r="S70" s="286"/>
      <c r="T70" s="287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80">
        <v>4607111039729</v>
      </c>
      <c r="E71" s="281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6"/>
      <c r="R71" s="286"/>
      <c r="S71" s="286"/>
      <c r="T71" s="287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80">
        <v>4620207490228</v>
      </c>
      <c r="E72" s="281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6"/>
      <c r="R72" s="286"/>
      <c r="S72" s="286"/>
      <c r="T72" s="287"/>
      <c r="U72" s="35"/>
      <c r="V72" s="35"/>
      <c r="W72" s="36" t="s">
        <v>68</v>
      </c>
      <c r="X72" s="276">
        <v>0</v>
      </c>
      <c r="Y72" s="277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2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302" t="s">
        <v>87</v>
      </c>
      <c r="Q73" s="303"/>
      <c r="R73" s="303"/>
      <c r="S73" s="303"/>
      <c r="T73" s="303"/>
      <c r="U73" s="303"/>
      <c r="V73" s="304"/>
      <c r="W73" s="38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hidden="1" x14ac:dyDescent="0.2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4"/>
      <c r="P74" s="302" t="s">
        <v>87</v>
      </c>
      <c r="Q74" s="303"/>
      <c r="R74" s="303"/>
      <c r="S74" s="303"/>
      <c r="T74" s="303"/>
      <c r="U74" s="303"/>
      <c r="V74" s="304"/>
      <c r="W74" s="38" t="s">
        <v>88</v>
      </c>
      <c r="X74" s="278">
        <f>IFERROR(SUMPRODUCT(X70:X72*H70:H72),"0")</f>
        <v>0</v>
      </c>
      <c r="Y74" s="278">
        <f>IFERROR(SUMPRODUCT(Y70:Y72*H70:H72),"0")</f>
        <v>0</v>
      </c>
      <c r="Z74" s="38"/>
      <c r="AA74" s="279"/>
      <c r="AB74" s="279"/>
      <c r="AC74" s="279"/>
    </row>
    <row r="75" spans="1:68" ht="16.5" hidden="1" customHeight="1" x14ac:dyDescent="0.25">
      <c r="A75" s="294" t="s">
        <v>143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1"/>
      <c r="AB75" s="271"/>
      <c r="AC75" s="271"/>
    </row>
    <row r="76" spans="1:68" ht="14.25" hidden="1" customHeight="1" x14ac:dyDescent="0.25">
      <c r="A76" s="290" t="s">
        <v>62</v>
      </c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70"/>
      <c r="AB76" s="270"/>
      <c r="AC76" s="270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80">
        <v>4607111037411</v>
      </c>
      <c r="E77" s="281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6"/>
      <c r="R77" s="286"/>
      <c r="S77" s="286"/>
      <c r="T77" s="287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80">
        <v>4607111036728</v>
      </c>
      <c r="E78" s="281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6"/>
      <c r="R78" s="286"/>
      <c r="S78" s="286"/>
      <c r="T78" s="287"/>
      <c r="U78" s="35"/>
      <c r="V78" s="35"/>
      <c r="W78" s="36" t="s">
        <v>68</v>
      </c>
      <c r="X78" s="276">
        <v>12</v>
      </c>
      <c r="Y78" s="277">
        <f>IFERROR(IF(X78="","",X78),"")</f>
        <v>12</v>
      </c>
      <c r="Z78" s="37">
        <f>IFERROR(IF(X78="","",X78*0.00866),"")</f>
        <v>0.10391999999999998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62.558399999999992</v>
      </c>
      <c r="BN78" s="67">
        <f>IFERROR(Y78*I78,"0")</f>
        <v>62.558399999999992</v>
      </c>
      <c r="BO78" s="67">
        <f>IFERROR(X78/J78,"0")</f>
        <v>8.3333333333333329E-2</v>
      </c>
      <c r="BP78" s="67">
        <f>IFERROR(Y78/J78,"0")</f>
        <v>8.3333333333333329E-2</v>
      </c>
    </row>
    <row r="79" spans="1:68" x14ac:dyDescent="0.2">
      <c r="A79" s="282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302" t="s">
        <v>87</v>
      </c>
      <c r="Q79" s="303"/>
      <c r="R79" s="303"/>
      <c r="S79" s="303"/>
      <c r="T79" s="303"/>
      <c r="U79" s="303"/>
      <c r="V79" s="304"/>
      <c r="W79" s="38" t="s">
        <v>68</v>
      </c>
      <c r="X79" s="278">
        <f>IFERROR(SUM(X77:X78),"0")</f>
        <v>12</v>
      </c>
      <c r="Y79" s="278">
        <f>IFERROR(SUM(Y77:Y78),"0")</f>
        <v>12</v>
      </c>
      <c r="Z79" s="278">
        <f>IFERROR(IF(Z77="",0,Z77),"0")+IFERROR(IF(Z78="",0,Z78),"0")</f>
        <v>0.10391999999999998</v>
      </c>
      <c r="AA79" s="279"/>
      <c r="AB79" s="279"/>
      <c r="AC79" s="279"/>
    </row>
    <row r="80" spans="1:68" x14ac:dyDescent="0.2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4"/>
      <c r="P80" s="302" t="s">
        <v>87</v>
      </c>
      <c r="Q80" s="303"/>
      <c r="R80" s="303"/>
      <c r="S80" s="303"/>
      <c r="T80" s="303"/>
      <c r="U80" s="303"/>
      <c r="V80" s="304"/>
      <c r="W80" s="38" t="s">
        <v>88</v>
      </c>
      <c r="X80" s="278">
        <f>IFERROR(SUMPRODUCT(X77:X78*H77:H78),"0")</f>
        <v>60</v>
      </c>
      <c r="Y80" s="278">
        <f>IFERROR(SUMPRODUCT(Y77:Y78*H77:H78),"0")</f>
        <v>60</v>
      </c>
      <c r="Z80" s="38"/>
      <c r="AA80" s="279"/>
      <c r="AB80" s="279"/>
      <c r="AC80" s="279"/>
    </row>
    <row r="81" spans="1:68" ht="16.5" hidden="1" customHeight="1" x14ac:dyDescent="0.25">
      <c r="A81" s="294" t="s">
        <v>150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1"/>
      <c r="AB81" s="271"/>
      <c r="AC81" s="271"/>
    </row>
    <row r="82" spans="1:68" ht="14.25" hidden="1" customHeight="1" x14ac:dyDescent="0.25">
      <c r="A82" s="290" t="s">
        <v>135</v>
      </c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70"/>
      <c r="AB82" s="270"/>
      <c r="AC82" s="270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80">
        <v>4607111033659</v>
      </c>
      <c r="E83" s="281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5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6"/>
      <c r="R83" s="286"/>
      <c r="S83" s="286"/>
      <c r="T83" s="287"/>
      <c r="U83" s="35"/>
      <c r="V83" s="35"/>
      <c r="W83" s="36" t="s">
        <v>68</v>
      </c>
      <c r="X83" s="276">
        <v>28</v>
      </c>
      <c r="Y83" s="277">
        <f>IFERROR(IF(X83="","",X83),"")</f>
        <v>28</v>
      </c>
      <c r="Z83" s="37">
        <f>IFERROR(IF(X83="","",X83*0.01788),"")</f>
        <v>0.50063999999999997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282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302" t="s">
        <v>87</v>
      </c>
      <c r="Q84" s="303"/>
      <c r="R84" s="303"/>
      <c r="S84" s="303"/>
      <c r="T84" s="303"/>
      <c r="U84" s="303"/>
      <c r="V84" s="304"/>
      <c r="W84" s="38" t="s">
        <v>68</v>
      </c>
      <c r="X84" s="278">
        <f>IFERROR(SUM(X83:X83),"0")</f>
        <v>28</v>
      </c>
      <c r="Y84" s="278">
        <f>IFERROR(SUM(Y83:Y83),"0")</f>
        <v>28</v>
      </c>
      <c r="Z84" s="278">
        <f>IFERROR(IF(Z83="",0,Z83),"0")</f>
        <v>0.50063999999999997</v>
      </c>
      <c r="AA84" s="279"/>
      <c r="AB84" s="279"/>
      <c r="AC84" s="279"/>
    </row>
    <row r="85" spans="1:68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4"/>
      <c r="P85" s="302" t="s">
        <v>87</v>
      </c>
      <c r="Q85" s="303"/>
      <c r="R85" s="303"/>
      <c r="S85" s="303"/>
      <c r="T85" s="303"/>
      <c r="U85" s="303"/>
      <c r="V85" s="304"/>
      <c r="W85" s="38" t="s">
        <v>88</v>
      </c>
      <c r="X85" s="278">
        <f>IFERROR(SUMPRODUCT(X83:X83*H83:H83),"0")</f>
        <v>100.8</v>
      </c>
      <c r="Y85" s="278">
        <f>IFERROR(SUMPRODUCT(Y83:Y83*H83:H83),"0")</f>
        <v>100.8</v>
      </c>
      <c r="Z85" s="38"/>
      <c r="AA85" s="279"/>
      <c r="AB85" s="279"/>
      <c r="AC85" s="279"/>
    </row>
    <row r="86" spans="1:68" ht="16.5" hidden="1" customHeight="1" x14ac:dyDescent="0.25">
      <c r="A86" s="294" t="s">
        <v>154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1"/>
      <c r="AB86" s="271"/>
      <c r="AC86" s="271"/>
    </row>
    <row r="87" spans="1:68" ht="14.25" hidden="1" customHeight="1" x14ac:dyDescent="0.25">
      <c r="A87" s="290" t="s">
        <v>155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80">
        <v>4607111034120</v>
      </c>
      <c r="E88" s="281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6"/>
      <c r="R88" s="286"/>
      <c r="S88" s="286"/>
      <c r="T88" s="287"/>
      <c r="U88" s="35"/>
      <c r="V88" s="35"/>
      <c r="W88" s="36" t="s">
        <v>68</v>
      </c>
      <c r="X88" s="276">
        <v>56</v>
      </c>
      <c r="Y88" s="277">
        <f>IFERROR(IF(X88="","",X88),"")</f>
        <v>56</v>
      </c>
      <c r="Z88" s="37">
        <f>IFERROR(IF(X88="","",X88*0.01788),"")</f>
        <v>1.0012799999999999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ht="27" hidden="1" customHeight="1" x14ac:dyDescent="0.25">
      <c r="A89" s="54" t="s">
        <v>159</v>
      </c>
      <c r="B89" s="54" t="s">
        <v>160</v>
      </c>
      <c r="C89" s="32">
        <v>4301131046</v>
      </c>
      <c r="D89" s="280">
        <v>4607111034137</v>
      </c>
      <c r="E89" s="281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6"/>
      <c r="R89" s="286"/>
      <c r="S89" s="286"/>
      <c r="T89" s="287"/>
      <c r="U89" s="35"/>
      <c r="V89" s="35"/>
      <c r="W89" s="36" t="s">
        <v>68</v>
      </c>
      <c r="X89" s="276">
        <v>0</v>
      </c>
      <c r="Y89" s="277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282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302" t="s">
        <v>87</v>
      </c>
      <c r="Q90" s="303"/>
      <c r="R90" s="303"/>
      <c r="S90" s="303"/>
      <c r="T90" s="303"/>
      <c r="U90" s="303"/>
      <c r="V90" s="304"/>
      <c r="W90" s="38" t="s">
        <v>68</v>
      </c>
      <c r="X90" s="278">
        <f>IFERROR(SUM(X88:X89),"0")</f>
        <v>56</v>
      </c>
      <c r="Y90" s="278">
        <f>IFERROR(SUM(Y88:Y89),"0")</f>
        <v>56</v>
      </c>
      <c r="Z90" s="278">
        <f>IFERROR(IF(Z88="",0,Z88),"0")+IFERROR(IF(Z89="",0,Z89),"0")</f>
        <v>1.0012799999999999</v>
      </c>
      <c r="AA90" s="279"/>
      <c r="AB90" s="279"/>
      <c r="AC90" s="279"/>
    </row>
    <row r="91" spans="1:68" x14ac:dyDescent="0.2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4"/>
      <c r="P91" s="302" t="s">
        <v>87</v>
      </c>
      <c r="Q91" s="303"/>
      <c r="R91" s="303"/>
      <c r="S91" s="303"/>
      <c r="T91" s="303"/>
      <c r="U91" s="303"/>
      <c r="V91" s="304"/>
      <c r="W91" s="38" t="s">
        <v>88</v>
      </c>
      <c r="X91" s="278">
        <f>IFERROR(SUMPRODUCT(X88:X89*H88:H89),"0")</f>
        <v>201.6</v>
      </c>
      <c r="Y91" s="278">
        <f>IFERROR(SUMPRODUCT(Y88:Y89*H88:H89),"0")</f>
        <v>201.6</v>
      </c>
      <c r="Z91" s="38"/>
      <c r="AA91" s="279"/>
      <c r="AB91" s="279"/>
      <c r="AC91" s="279"/>
    </row>
    <row r="92" spans="1:68" ht="16.5" hidden="1" customHeight="1" x14ac:dyDescent="0.25">
      <c r="A92" s="294" t="s">
        <v>162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1"/>
      <c r="AB92" s="271"/>
      <c r="AC92" s="271"/>
    </row>
    <row r="93" spans="1:68" ht="14.25" hidden="1" customHeight="1" x14ac:dyDescent="0.25">
      <c r="A93" s="290" t="s">
        <v>135</v>
      </c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80">
        <v>4620207491027</v>
      </c>
      <c r="E94" s="281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1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6"/>
      <c r="R94" s="286"/>
      <c r="S94" s="286"/>
      <c r="T94" s="287"/>
      <c r="U94" s="35"/>
      <c r="V94" s="35"/>
      <c r="W94" s="36" t="s">
        <v>68</v>
      </c>
      <c r="X94" s="276">
        <v>56</v>
      </c>
      <c r="Y94" s="277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hidden="1" customHeight="1" x14ac:dyDescent="0.25">
      <c r="A95" s="54" t="s">
        <v>165</v>
      </c>
      <c r="B95" s="54" t="s">
        <v>166</v>
      </c>
      <c r="C95" s="32">
        <v>4301135793</v>
      </c>
      <c r="D95" s="280">
        <v>4620207491003</v>
      </c>
      <c r="E95" s="281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6"/>
      <c r="R95" s="286"/>
      <c r="S95" s="286"/>
      <c r="T95" s="287"/>
      <c r="U95" s="35"/>
      <c r="V95" s="35"/>
      <c r="W95" s="36" t="s">
        <v>68</v>
      </c>
      <c r="X95" s="276">
        <v>0</v>
      </c>
      <c r="Y95" s="277">
        <f t="shared" si="6"/>
        <v>0</v>
      </c>
      <c r="Z95" s="37">
        <f t="shared" si="7"/>
        <v>0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80">
        <v>4620207491034</v>
      </c>
      <c r="E96" s="281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6"/>
      <c r="R96" s="286"/>
      <c r="S96" s="286"/>
      <c r="T96" s="287"/>
      <c r="U96" s="35"/>
      <c r="V96" s="35"/>
      <c r="W96" s="36" t="s">
        <v>68</v>
      </c>
      <c r="X96" s="276">
        <v>42</v>
      </c>
      <c r="Y96" s="277">
        <f t="shared" si="6"/>
        <v>42</v>
      </c>
      <c r="Z96" s="37">
        <f t="shared" si="7"/>
        <v>0.75095999999999996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80">
        <v>4620207491010</v>
      </c>
      <c r="E97" s="281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1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6"/>
      <c r="R97" s="286"/>
      <c r="S97" s="286"/>
      <c r="T97" s="287"/>
      <c r="U97" s="35"/>
      <c r="V97" s="35"/>
      <c r="W97" s="36" t="s">
        <v>68</v>
      </c>
      <c r="X97" s="276">
        <v>14</v>
      </c>
      <c r="Y97" s="277">
        <f t="shared" si="6"/>
        <v>14</v>
      </c>
      <c r="Z97" s="37">
        <f t="shared" si="7"/>
        <v>0.25031999999999999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80">
        <v>4607111035028</v>
      </c>
      <c r="E98" s="281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6"/>
      <c r="R98" s="286"/>
      <c r="S98" s="286"/>
      <c r="T98" s="287"/>
      <c r="U98" s="35"/>
      <c r="V98" s="35"/>
      <c r="W98" s="36" t="s">
        <v>68</v>
      </c>
      <c r="X98" s="276">
        <v>42</v>
      </c>
      <c r="Y98" s="277">
        <f t="shared" si="6"/>
        <v>42</v>
      </c>
      <c r="Z98" s="37">
        <f t="shared" si="7"/>
        <v>0.75095999999999996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186.84960000000001</v>
      </c>
      <c r="BN98" s="67">
        <f t="shared" si="9"/>
        <v>186.84960000000001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80">
        <v>4607111036407</v>
      </c>
      <c r="E99" s="281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2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6"/>
      <c r="R99" s="286"/>
      <c r="S99" s="286"/>
      <c r="T99" s="287"/>
      <c r="U99" s="35"/>
      <c r="V99" s="35"/>
      <c r="W99" s="36" t="s">
        <v>68</v>
      </c>
      <c r="X99" s="276">
        <v>56</v>
      </c>
      <c r="Y99" s="277">
        <f t="shared" si="6"/>
        <v>56</v>
      </c>
      <c r="Z99" s="37">
        <f t="shared" si="7"/>
        <v>1.0012799999999999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253.63520000000003</v>
      </c>
      <c r="BN99" s="67">
        <f t="shared" si="9"/>
        <v>253.63520000000003</v>
      </c>
      <c r="BO99" s="67">
        <f t="shared" si="10"/>
        <v>0.8</v>
      </c>
      <c r="BP99" s="67">
        <f t="shared" si="11"/>
        <v>0.8</v>
      </c>
    </row>
    <row r="100" spans="1:68" x14ac:dyDescent="0.2">
      <c r="A100" s="282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302" t="s">
        <v>87</v>
      </c>
      <c r="Q100" s="303"/>
      <c r="R100" s="303"/>
      <c r="S100" s="303"/>
      <c r="T100" s="303"/>
      <c r="U100" s="303"/>
      <c r="V100" s="304"/>
      <c r="W100" s="38" t="s">
        <v>68</v>
      </c>
      <c r="X100" s="278">
        <f>IFERROR(SUM(X94:X99),"0")</f>
        <v>210</v>
      </c>
      <c r="Y100" s="278">
        <f>IFERROR(SUM(Y94:Y99),"0")</f>
        <v>210</v>
      </c>
      <c r="Z100" s="278">
        <f>IFERROR(IF(Z94="",0,Z94),"0")+IFERROR(IF(Z95="",0,Z95),"0")+IFERROR(IF(Z96="",0,Z96),"0")+IFERROR(IF(Z97="",0,Z97),"0")+IFERROR(IF(Z98="",0,Z98),"0")+IFERROR(IF(Z99="",0,Z99),"0")</f>
        <v>3.7547999999999999</v>
      </c>
      <c r="AA100" s="279"/>
      <c r="AB100" s="279"/>
      <c r="AC100" s="279"/>
    </row>
    <row r="101" spans="1:68" x14ac:dyDescent="0.2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4"/>
      <c r="P101" s="302" t="s">
        <v>87</v>
      </c>
      <c r="Q101" s="303"/>
      <c r="R101" s="303"/>
      <c r="S101" s="303"/>
      <c r="T101" s="303"/>
      <c r="U101" s="303"/>
      <c r="V101" s="304"/>
      <c r="W101" s="38" t="s">
        <v>88</v>
      </c>
      <c r="X101" s="278">
        <f>IFERROR(SUMPRODUCT(X94:X99*H94:H99),"0")</f>
        <v>719.04000000000008</v>
      </c>
      <c r="Y101" s="278">
        <f>IFERROR(SUMPRODUCT(Y94:Y99*H94:H99),"0")</f>
        <v>719.04000000000008</v>
      </c>
      <c r="Z101" s="38"/>
      <c r="AA101" s="279"/>
      <c r="AB101" s="279"/>
      <c r="AC101" s="279"/>
    </row>
    <row r="102" spans="1:68" ht="16.5" hidden="1" customHeight="1" x14ac:dyDescent="0.25">
      <c r="A102" s="294" t="s">
        <v>177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1"/>
      <c r="AB102" s="271"/>
      <c r="AC102" s="271"/>
    </row>
    <row r="103" spans="1:68" ht="14.25" hidden="1" customHeight="1" x14ac:dyDescent="0.25">
      <c r="A103" s="290" t="s">
        <v>129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70"/>
      <c r="AB103" s="270"/>
      <c r="AC103" s="270"/>
    </row>
    <row r="104" spans="1:68" ht="27" hidden="1" customHeight="1" x14ac:dyDescent="0.25">
      <c r="A104" s="54" t="s">
        <v>178</v>
      </c>
      <c r="B104" s="54" t="s">
        <v>179</v>
      </c>
      <c r="C104" s="32">
        <v>4301136070</v>
      </c>
      <c r="D104" s="280">
        <v>4607025784012</v>
      </c>
      <c r="E104" s="281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6"/>
      <c r="R104" s="286"/>
      <c r="S104" s="286"/>
      <c r="T104" s="287"/>
      <c r="U104" s="35"/>
      <c r="V104" s="35"/>
      <c r="W104" s="36" t="s">
        <v>68</v>
      </c>
      <c r="X104" s="276">
        <v>0</v>
      </c>
      <c r="Y104" s="277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181</v>
      </c>
      <c r="B105" s="54" t="s">
        <v>182</v>
      </c>
      <c r="C105" s="32">
        <v>4301136079</v>
      </c>
      <c r="D105" s="280">
        <v>4607025784319</v>
      </c>
      <c r="E105" s="281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4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6"/>
      <c r="R105" s="286"/>
      <c r="S105" s="286"/>
      <c r="T105" s="287"/>
      <c r="U105" s="35"/>
      <c r="V105" s="35"/>
      <c r="W105" s="36" t="s">
        <v>68</v>
      </c>
      <c r="X105" s="276">
        <v>14</v>
      </c>
      <c r="Y105" s="277">
        <f>IFERROR(IF(X105="","",X105),"")</f>
        <v>14</v>
      </c>
      <c r="Z105" s="37">
        <f>IFERROR(IF(X105="","",X105*0.01788),"")</f>
        <v>0.25031999999999999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59.415999999999997</v>
      </c>
      <c r="BN105" s="67">
        <f>IFERROR(Y105*I105,"0")</f>
        <v>59.415999999999997</v>
      </c>
      <c r="BO105" s="67">
        <f>IFERROR(X105/J105,"0")</f>
        <v>0.2</v>
      </c>
      <c r="BP105" s="67">
        <f>IFERROR(Y105/J105,"0")</f>
        <v>0.2</v>
      </c>
    </row>
    <row r="106" spans="1:68" x14ac:dyDescent="0.2">
      <c r="A106" s="282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302" t="s">
        <v>87</v>
      </c>
      <c r="Q106" s="303"/>
      <c r="R106" s="303"/>
      <c r="S106" s="303"/>
      <c r="T106" s="303"/>
      <c r="U106" s="303"/>
      <c r="V106" s="304"/>
      <c r="W106" s="38" t="s">
        <v>68</v>
      </c>
      <c r="X106" s="278">
        <f>IFERROR(SUM(X104:X105),"0")</f>
        <v>14</v>
      </c>
      <c r="Y106" s="278">
        <f>IFERROR(SUM(Y104:Y105),"0")</f>
        <v>14</v>
      </c>
      <c r="Z106" s="278">
        <f>IFERROR(IF(Z104="",0,Z104),"0")+IFERROR(IF(Z105="",0,Z105),"0")</f>
        <v>0.25031999999999999</v>
      </c>
      <c r="AA106" s="279"/>
      <c r="AB106" s="279"/>
      <c r="AC106" s="279"/>
    </row>
    <row r="107" spans="1:68" x14ac:dyDescent="0.2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4"/>
      <c r="P107" s="302" t="s">
        <v>87</v>
      </c>
      <c r="Q107" s="303"/>
      <c r="R107" s="303"/>
      <c r="S107" s="303"/>
      <c r="T107" s="303"/>
      <c r="U107" s="303"/>
      <c r="V107" s="304"/>
      <c r="W107" s="38" t="s">
        <v>88</v>
      </c>
      <c r="X107" s="278">
        <f>IFERROR(SUMPRODUCT(X104:X105*H104:H105),"0")</f>
        <v>50.4</v>
      </c>
      <c r="Y107" s="278">
        <f>IFERROR(SUMPRODUCT(Y104:Y105*H104:H105),"0")</f>
        <v>50.4</v>
      </c>
      <c r="Z107" s="38"/>
      <c r="AA107" s="279"/>
      <c r="AB107" s="279"/>
      <c r="AC107" s="279"/>
    </row>
    <row r="108" spans="1:68" ht="16.5" hidden="1" customHeight="1" x14ac:dyDescent="0.25">
      <c r="A108" s="294" t="s">
        <v>183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1"/>
      <c r="AB108" s="271"/>
      <c r="AC108" s="271"/>
    </row>
    <row r="109" spans="1:68" ht="14.25" hidden="1" customHeight="1" x14ac:dyDescent="0.25">
      <c r="A109" s="290" t="s">
        <v>62</v>
      </c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70"/>
      <c r="AB109" s="270"/>
      <c r="AC109" s="270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80">
        <v>4620207491157</v>
      </c>
      <c r="E110" s="281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6"/>
      <c r="R110" s="286"/>
      <c r="S110" s="286"/>
      <c r="T110" s="287"/>
      <c r="U110" s="35"/>
      <c r="V110" s="35"/>
      <c r="W110" s="36" t="s">
        <v>68</v>
      </c>
      <c r="X110" s="276">
        <v>48</v>
      </c>
      <c r="Y110" s="277">
        <f t="shared" ref="Y110:Y116" si="12">IFERROR(IF(X110="","",X110),"")</f>
        <v>48</v>
      </c>
      <c r="Z110" s="37">
        <f t="shared" ref="Z110:Z116" si="13">IFERROR(IF(X110="","",X110*0.0155),"")</f>
        <v>0.74399999999999999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349.44</v>
      </c>
      <c r="BN110" s="67">
        <f t="shared" ref="BN110:BN116" si="15">IFERROR(Y110*I110,"0")</f>
        <v>349.44</v>
      </c>
      <c r="BO110" s="67">
        <f t="shared" ref="BO110:BO116" si="16">IFERROR(X110/J110,"0")</f>
        <v>0.5714285714285714</v>
      </c>
      <c r="BP110" s="67">
        <f t="shared" ref="BP110:BP116" si="17">IFERROR(Y110/J110,"0")</f>
        <v>0.5714285714285714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80">
        <v>4620207491393</v>
      </c>
      <c r="E111" s="281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6"/>
      <c r="R111" s="286"/>
      <c r="S111" s="286"/>
      <c r="T111" s="287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4301071051</v>
      </c>
      <c r="D112" s="280">
        <v>4607111039262</v>
      </c>
      <c r="E112" s="281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6"/>
      <c r="R112" s="286"/>
      <c r="S112" s="286"/>
      <c r="T112" s="287"/>
      <c r="U112" s="35"/>
      <c r="V112" s="35"/>
      <c r="W112" s="36" t="s">
        <v>68</v>
      </c>
      <c r="X112" s="276">
        <v>0</v>
      </c>
      <c r="Y112" s="277">
        <f t="shared" si="12"/>
        <v>0</v>
      </c>
      <c r="Z112" s="37">
        <f t="shared" si="13"/>
        <v>0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2">
        <v>4301071038</v>
      </c>
      <c r="D113" s="280">
        <v>4607111039248</v>
      </c>
      <c r="E113" s="281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6"/>
      <c r="R113" s="286"/>
      <c r="S113" s="286"/>
      <c r="T113" s="287"/>
      <c r="U113" s="35"/>
      <c r="V113" s="35"/>
      <c r="W113" s="36" t="s">
        <v>68</v>
      </c>
      <c r="X113" s="276">
        <v>0</v>
      </c>
      <c r="Y113" s="277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194</v>
      </c>
      <c r="B114" s="54" t="s">
        <v>195</v>
      </c>
      <c r="C114" s="32">
        <v>4301070979</v>
      </c>
      <c r="D114" s="280">
        <v>4607111037145</v>
      </c>
      <c r="E114" s="281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37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6"/>
      <c r="R114" s="286"/>
      <c r="S114" s="286"/>
      <c r="T114" s="287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197</v>
      </c>
      <c r="B115" s="54" t="s">
        <v>198</v>
      </c>
      <c r="C115" s="32">
        <v>4301071049</v>
      </c>
      <c r="D115" s="280">
        <v>4607111039293</v>
      </c>
      <c r="E115" s="281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6"/>
      <c r="R115" s="286"/>
      <c r="S115" s="286"/>
      <c r="T115" s="287"/>
      <c r="U115" s="35"/>
      <c r="V115" s="35"/>
      <c r="W115" s="36" t="s">
        <v>68</v>
      </c>
      <c r="X115" s="276">
        <v>0</v>
      </c>
      <c r="Y115" s="277">
        <f t="shared" si="12"/>
        <v>0</v>
      </c>
      <c r="Z115" s="37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4301071039</v>
      </c>
      <c r="D116" s="280">
        <v>4607111039279</v>
      </c>
      <c r="E116" s="281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6"/>
      <c r="R116" s="286"/>
      <c r="S116" s="286"/>
      <c r="T116" s="287"/>
      <c r="U116" s="35"/>
      <c r="V116" s="35"/>
      <c r="W116" s="36" t="s">
        <v>68</v>
      </c>
      <c r="X116" s="276">
        <v>0</v>
      </c>
      <c r="Y116" s="277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282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302" t="s">
        <v>87</v>
      </c>
      <c r="Q117" s="303"/>
      <c r="R117" s="303"/>
      <c r="S117" s="303"/>
      <c r="T117" s="303"/>
      <c r="U117" s="303"/>
      <c r="V117" s="304"/>
      <c r="W117" s="38" t="s">
        <v>68</v>
      </c>
      <c r="X117" s="278">
        <f>IFERROR(SUM(X110:X116),"0")</f>
        <v>48</v>
      </c>
      <c r="Y117" s="278">
        <f>IFERROR(SUM(Y110:Y116),"0")</f>
        <v>48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0.74399999999999999</v>
      </c>
      <c r="AA117" s="279"/>
      <c r="AB117" s="279"/>
      <c r="AC117" s="279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4"/>
      <c r="P118" s="302" t="s">
        <v>87</v>
      </c>
      <c r="Q118" s="303"/>
      <c r="R118" s="303"/>
      <c r="S118" s="303"/>
      <c r="T118" s="303"/>
      <c r="U118" s="303"/>
      <c r="V118" s="304"/>
      <c r="W118" s="38" t="s">
        <v>88</v>
      </c>
      <c r="X118" s="278">
        <f>IFERROR(SUMPRODUCT(X110:X116*H110:H116),"0")</f>
        <v>336</v>
      </c>
      <c r="Y118" s="278">
        <f>IFERROR(SUMPRODUCT(Y110:Y116*H110:H116),"0")</f>
        <v>336</v>
      </c>
      <c r="Z118" s="38"/>
      <c r="AA118" s="279"/>
      <c r="AB118" s="279"/>
      <c r="AC118" s="279"/>
    </row>
    <row r="119" spans="1:68" ht="14.25" hidden="1" customHeight="1" x14ac:dyDescent="0.25">
      <c r="A119" s="290" t="s">
        <v>135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70"/>
      <c r="AB119" s="270"/>
      <c r="AC119" s="270"/>
    </row>
    <row r="120" spans="1:68" ht="27" hidden="1" customHeight="1" x14ac:dyDescent="0.25">
      <c r="A120" s="54" t="s">
        <v>201</v>
      </c>
      <c r="B120" s="54" t="s">
        <v>202</v>
      </c>
      <c r="C120" s="32">
        <v>4301135826</v>
      </c>
      <c r="D120" s="280">
        <v>4620207490983</v>
      </c>
      <c r="E120" s="281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6"/>
      <c r="R120" s="286"/>
      <c r="S120" s="286"/>
      <c r="T120" s="287"/>
      <c r="U120" s="35"/>
      <c r="V120" s="35"/>
      <c r="W120" s="36" t="s">
        <v>68</v>
      </c>
      <c r="X120" s="276">
        <v>0</v>
      </c>
      <c r="Y120" s="277">
        <f>IFERROR(IF(X120="","",X120),"")</f>
        <v>0</v>
      </c>
      <c r="Z120" s="37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282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302" t="s">
        <v>87</v>
      </c>
      <c r="Q121" s="303"/>
      <c r="R121" s="303"/>
      <c r="S121" s="303"/>
      <c r="T121" s="303"/>
      <c r="U121" s="303"/>
      <c r="V121" s="304"/>
      <c r="W121" s="38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hidden="1" x14ac:dyDescent="0.2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302" t="s">
        <v>87</v>
      </c>
      <c r="Q122" s="303"/>
      <c r="R122" s="303"/>
      <c r="S122" s="303"/>
      <c r="T122" s="303"/>
      <c r="U122" s="303"/>
      <c r="V122" s="304"/>
      <c r="W122" s="38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8"/>
      <c r="AA122" s="279"/>
      <c r="AB122" s="279"/>
      <c r="AC122" s="279"/>
    </row>
    <row r="123" spans="1:68" ht="14.25" hidden="1" customHeight="1" x14ac:dyDescent="0.25">
      <c r="A123" s="290" t="s">
        <v>204</v>
      </c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70"/>
      <c r="AB123" s="270"/>
      <c r="AC123" s="270"/>
    </row>
    <row r="124" spans="1:68" ht="27" hidden="1" customHeight="1" x14ac:dyDescent="0.25">
      <c r="A124" s="54" t="s">
        <v>205</v>
      </c>
      <c r="B124" s="54" t="s">
        <v>206</v>
      </c>
      <c r="C124" s="32">
        <v>4301071094</v>
      </c>
      <c r="D124" s="280">
        <v>4620207491140</v>
      </c>
      <c r="E124" s="281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6"/>
      <c r="R124" s="286"/>
      <c r="S124" s="286"/>
      <c r="T124" s="287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2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302" t="s">
        <v>87</v>
      </c>
      <c r="Q125" s="303"/>
      <c r="R125" s="303"/>
      <c r="S125" s="303"/>
      <c r="T125" s="303"/>
      <c r="U125" s="303"/>
      <c r="V125" s="304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hidden="1" x14ac:dyDescent="0.2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4"/>
      <c r="P126" s="302" t="s">
        <v>87</v>
      </c>
      <c r="Q126" s="303"/>
      <c r="R126" s="303"/>
      <c r="S126" s="303"/>
      <c r="T126" s="303"/>
      <c r="U126" s="303"/>
      <c r="V126" s="304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hidden="1" customHeight="1" x14ac:dyDescent="0.25">
      <c r="A127" s="294" t="s">
        <v>208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1"/>
      <c r="AB127" s="271"/>
      <c r="AC127" s="271"/>
    </row>
    <row r="128" spans="1:68" ht="14.25" hidden="1" customHeight="1" x14ac:dyDescent="0.25">
      <c r="A128" s="290" t="s">
        <v>135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0"/>
      <c r="AB128" s="270"/>
      <c r="AC128" s="270"/>
    </row>
    <row r="129" spans="1:68" ht="27" hidden="1" customHeight="1" x14ac:dyDescent="0.25">
      <c r="A129" s="54" t="s">
        <v>209</v>
      </c>
      <c r="B129" s="54" t="s">
        <v>210</v>
      </c>
      <c r="C129" s="32">
        <v>4301135848</v>
      </c>
      <c r="D129" s="280">
        <v>4620207491799</v>
      </c>
      <c r="E129" s="281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4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6"/>
      <c r="R129" s="286"/>
      <c r="S129" s="286"/>
      <c r="T129" s="287"/>
      <c r="U129" s="35"/>
      <c r="V129" s="35"/>
      <c r="W129" s="36" t="s">
        <v>68</v>
      </c>
      <c r="X129" s="276">
        <v>0</v>
      </c>
      <c r="Y129" s="277">
        <f>IFERROR(IF(X129="","",X129),"")</f>
        <v>0</v>
      </c>
      <c r="Z129" s="37">
        <f>IFERROR(IF(X129="","",X129*0.00941),"")</f>
        <v>0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customHeight="1" x14ac:dyDescent="0.25">
      <c r="A130" s="54" t="s">
        <v>212</v>
      </c>
      <c r="B130" s="54" t="s">
        <v>213</v>
      </c>
      <c r="C130" s="32">
        <v>4301135850</v>
      </c>
      <c r="D130" s="280">
        <v>4620207491492</v>
      </c>
      <c r="E130" s="281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6"/>
      <c r="R130" s="286"/>
      <c r="S130" s="286"/>
      <c r="T130" s="287"/>
      <c r="U130" s="35"/>
      <c r="V130" s="35"/>
      <c r="W130" s="36" t="s">
        <v>68</v>
      </c>
      <c r="X130" s="276">
        <v>42</v>
      </c>
      <c r="Y130" s="277">
        <f>IFERROR(IF(X130="","",X130),"")</f>
        <v>42</v>
      </c>
      <c r="Z130" s="37">
        <f>IFERROR(IF(X130="","",X130*0.00941),"")</f>
        <v>0.39522000000000002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75.600000000000009</v>
      </c>
      <c r="BN130" s="67">
        <f>IFERROR(Y130*I130,"0")</f>
        <v>75.600000000000009</v>
      </c>
      <c r="BO130" s="67">
        <f>IFERROR(X130/J130,"0")</f>
        <v>0.3</v>
      </c>
      <c r="BP130" s="67">
        <f>IFERROR(Y130/J130,"0")</f>
        <v>0.3</v>
      </c>
    </row>
    <row r="131" spans="1:68" ht="27" hidden="1" customHeight="1" x14ac:dyDescent="0.25">
      <c r="A131" s="54" t="s">
        <v>214</v>
      </c>
      <c r="B131" s="54" t="s">
        <v>215</v>
      </c>
      <c r="C131" s="32">
        <v>4301190118</v>
      </c>
      <c r="D131" s="280">
        <v>4620207491461</v>
      </c>
      <c r="E131" s="281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6"/>
      <c r="R131" s="286"/>
      <c r="S131" s="286"/>
      <c r="T131" s="287"/>
      <c r="U131" s="35"/>
      <c r="V131" s="35"/>
      <c r="W131" s="36" t="s">
        <v>68</v>
      </c>
      <c r="X131" s="276">
        <v>0</v>
      </c>
      <c r="Y131" s="277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216</v>
      </c>
      <c r="B132" s="54" t="s">
        <v>217</v>
      </c>
      <c r="C132" s="32">
        <v>4301135865</v>
      </c>
      <c r="D132" s="280">
        <v>4620207491485</v>
      </c>
      <c r="E132" s="281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6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6"/>
      <c r="R132" s="286"/>
      <c r="S132" s="286"/>
      <c r="T132" s="287"/>
      <c r="U132" s="35"/>
      <c r="V132" s="35"/>
      <c r="W132" s="36" t="s">
        <v>68</v>
      </c>
      <c r="X132" s="276">
        <v>28</v>
      </c>
      <c r="Y132" s="277">
        <f>IFERROR(IF(X132="","",X132),"")</f>
        <v>28</v>
      </c>
      <c r="Z132" s="37">
        <f>IFERROR(IF(X132="","",X132*0.00941),"")</f>
        <v>0.26347999999999999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282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4"/>
      <c r="P133" s="302" t="s">
        <v>87</v>
      </c>
      <c r="Q133" s="303"/>
      <c r="R133" s="303"/>
      <c r="S133" s="303"/>
      <c r="T133" s="303"/>
      <c r="U133" s="303"/>
      <c r="V133" s="304"/>
      <c r="W133" s="38" t="s">
        <v>68</v>
      </c>
      <c r="X133" s="278">
        <f>IFERROR(SUM(X129:X132),"0")</f>
        <v>70</v>
      </c>
      <c r="Y133" s="278">
        <f>IFERROR(SUM(Y129:Y132),"0")</f>
        <v>70</v>
      </c>
      <c r="Z133" s="278">
        <f>IFERROR(IF(Z129="",0,Z129),"0")+IFERROR(IF(Z130="",0,Z130),"0")+IFERROR(IF(Z131="",0,Z131),"0")+IFERROR(IF(Z132="",0,Z132),"0")</f>
        <v>0.65870000000000006</v>
      </c>
      <c r="AA133" s="279"/>
      <c r="AB133" s="279"/>
      <c r="AC133" s="279"/>
    </row>
    <row r="134" spans="1:68" x14ac:dyDescent="0.2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4"/>
      <c r="P134" s="302" t="s">
        <v>87</v>
      </c>
      <c r="Q134" s="303"/>
      <c r="R134" s="303"/>
      <c r="S134" s="303"/>
      <c r="T134" s="303"/>
      <c r="U134" s="303"/>
      <c r="V134" s="304"/>
      <c r="W134" s="38" t="s">
        <v>88</v>
      </c>
      <c r="X134" s="278">
        <f>IFERROR(SUMPRODUCT(X129:X132*H129:H132),"0")</f>
        <v>96.6</v>
      </c>
      <c r="Y134" s="278">
        <f>IFERROR(SUMPRODUCT(Y129:Y132*H129:H132),"0")</f>
        <v>96.6</v>
      </c>
      <c r="Z134" s="38"/>
      <c r="AA134" s="279"/>
      <c r="AB134" s="279"/>
      <c r="AC134" s="279"/>
    </row>
    <row r="135" spans="1:68" ht="14.25" hidden="1" customHeight="1" x14ac:dyDescent="0.25">
      <c r="A135" s="290" t="s">
        <v>218</v>
      </c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70"/>
      <c r="AB135" s="270"/>
      <c r="AC135" s="270"/>
    </row>
    <row r="136" spans="1:68" ht="27" customHeight="1" x14ac:dyDescent="0.25">
      <c r="A136" s="54" t="s">
        <v>219</v>
      </c>
      <c r="B136" s="54" t="s">
        <v>220</v>
      </c>
      <c r="C136" s="32">
        <v>4301190117</v>
      </c>
      <c r="D136" s="280">
        <v>4620207491386</v>
      </c>
      <c r="E136" s="281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6"/>
      <c r="R136" s="286"/>
      <c r="S136" s="286"/>
      <c r="T136" s="287"/>
      <c r="U136" s="35"/>
      <c r="V136" s="35"/>
      <c r="W136" s="36" t="s">
        <v>68</v>
      </c>
      <c r="X136" s="276">
        <v>14</v>
      </c>
      <c r="Y136" s="277">
        <f>IFERROR(IF(X136="","",X136),"")</f>
        <v>14</v>
      </c>
      <c r="Z136" s="37">
        <f>IFERROR(IF(X136="","",X136*0.00941),"")</f>
        <v>0.13174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19.571999999999999</v>
      </c>
      <c r="BN136" s="67">
        <f>IFERROR(Y136*I136,"0")</f>
        <v>19.571999999999999</v>
      </c>
      <c r="BO136" s="67">
        <f>IFERROR(X136/J136,"0")</f>
        <v>0.1</v>
      </c>
      <c r="BP136" s="67">
        <f>IFERROR(Y136/J136,"0")</f>
        <v>0.1</v>
      </c>
    </row>
    <row r="137" spans="1:68" ht="27" customHeight="1" x14ac:dyDescent="0.25">
      <c r="A137" s="54" t="s">
        <v>222</v>
      </c>
      <c r="B137" s="54" t="s">
        <v>223</v>
      </c>
      <c r="C137" s="32">
        <v>4301190115</v>
      </c>
      <c r="D137" s="280">
        <v>4620207491362</v>
      </c>
      <c r="E137" s="281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6"/>
      <c r="R137" s="286"/>
      <c r="S137" s="286"/>
      <c r="T137" s="287"/>
      <c r="U137" s="35"/>
      <c r="V137" s="35"/>
      <c r="W137" s="36" t="s">
        <v>68</v>
      </c>
      <c r="X137" s="276">
        <v>70</v>
      </c>
      <c r="Y137" s="277">
        <f>IFERROR(IF(X137="","",X137),"")</f>
        <v>70</v>
      </c>
      <c r="Z137" s="37">
        <f>IFERROR(IF(X137="","",X137*0.00941),"")</f>
        <v>0.65869999999999995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97.86</v>
      </c>
      <c r="BN137" s="67">
        <f>IFERROR(Y137*I137,"0")</f>
        <v>97.86</v>
      </c>
      <c r="BO137" s="67">
        <f>IFERROR(X137/J137,"0")</f>
        <v>0.5</v>
      </c>
      <c r="BP137" s="67">
        <f>IFERROR(Y137/J137,"0")</f>
        <v>0.5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4301190116</v>
      </c>
      <c r="D138" s="280">
        <v>4620207491379</v>
      </c>
      <c r="E138" s="281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6"/>
      <c r="R138" s="286"/>
      <c r="S138" s="286"/>
      <c r="T138" s="287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282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4"/>
      <c r="P139" s="302" t="s">
        <v>87</v>
      </c>
      <c r="Q139" s="303"/>
      <c r="R139" s="303"/>
      <c r="S139" s="303"/>
      <c r="T139" s="303"/>
      <c r="U139" s="303"/>
      <c r="V139" s="304"/>
      <c r="W139" s="38" t="s">
        <v>68</v>
      </c>
      <c r="X139" s="278">
        <f>IFERROR(SUM(X136:X138),"0")</f>
        <v>84</v>
      </c>
      <c r="Y139" s="278">
        <f>IFERROR(SUM(Y136:Y138),"0")</f>
        <v>84</v>
      </c>
      <c r="Z139" s="278">
        <f>IFERROR(IF(Z136="",0,Z136),"0")+IFERROR(IF(Z137="",0,Z137),"0")+IFERROR(IF(Z138="",0,Z138),"0")</f>
        <v>0.79043999999999992</v>
      </c>
      <c r="AA139" s="279"/>
      <c r="AB139" s="279"/>
      <c r="AC139" s="279"/>
    </row>
    <row r="140" spans="1:68" x14ac:dyDescent="0.2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4"/>
      <c r="P140" s="302" t="s">
        <v>87</v>
      </c>
      <c r="Q140" s="303"/>
      <c r="R140" s="303"/>
      <c r="S140" s="303"/>
      <c r="T140" s="303"/>
      <c r="U140" s="303"/>
      <c r="V140" s="304"/>
      <c r="W140" s="38" t="s">
        <v>88</v>
      </c>
      <c r="X140" s="278">
        <f>IFERROR(SUMPRODUCT(X136:X138*H136:H138),"0")</f>
        <v>90.720000000000013</v>
      </c>
      <c r="Y140" s="278">
        <f>IFERROR(SUMPRODUCT(Y136:Y138*H136:H138),"0")</f>
        <v>90.720000000000013</v>
      </c>
      <c r="Z140" s="38"/>
      <c r="AA140" s="279"/>
      <c r="AB140" s="279"/>
      <c r="AC140" s="279"/>
    </row>
    <row r="141" spans="1:68" ht="16.5" hidden="1" customHeight="1" x14ac:dyDescent="0.25">
      <c r="A141" s="294" t="s">
        <v>226</v>
      </c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71"/>
      <c r="AB141" s="271"/>
      <c r="AC141" s="271"/>
    </row>
    <row r="142" spans="1:68" ht="14.25" hidden="1" customHeight="1" x14ac:dyDescent="0.25">
      <c r="A142" s="290" t="s">
        <v>135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80">
        <v>4607111034014</v>
      </c>
      <c r="E143" s="281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6"/>
      <c r="R143" s="286"/>
      <c r="S143" s="286"/>
      <c r="T143" s="287"/>
      <c r="U143" s="35"/>
      <c r="V143" s="35"/>
      <c r="W143" s="36" t="s">
        <v>68</v>
      </c>
      <c r="X143" s="276">
        <v>140</v>
      </c>
      <c r="Y143" s="277">
        <f>IFERROR(IF(X143="","",X143),"")</f>
        <v>140</v>
      </c>
      <c r="Z143" s="37">
        <f>IFERROR(IF(X143="","",X143*0.01788),"")</f>
        <v>2.5032000000000001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518.50400000000002</v>
      </c>
      <c r="BN143" s="67">
        <f>IFERROR(Y143*I143,"0")</f>
        <v>518.50400000000002</v>
      </c>
      <c r="BO143" s="67">
        <f>IFERROR(X143/J143,"0")</f>
        <v>2</v>
      </c>
      <c r="BP143" s="67">
        <f>IFERROR(Y143/J143,"0")</f>
        <v>2</v>
      </c>
    </row>
    <row r="144" spans="1:68" ht="27" customHeight="1" x14ac:dyDescent="0.25">
      <c r="A144" s="54" t="s">
        <v>230</v>
      </c>
      <c r="B144" s="54" t="s">
        <v>231</v>
      </c>
      <c r="C144" s="32">
        <v>4301135532</v>
      </c>
      <c r="D144" s="280">
        <v>4607111033994</v>
      </c>
      <c r="E144" s="281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2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6"/>
      <c r="R144" s="286"/>
      <c r="S144" s="286"/>
      <c r="T144" s="287"/>
      <c r="U144" s="35"/>
      <c r="V144" s="35"/>
      <c r="W144" s="36" t="s">
        <v>68</v>
      </c>
      <c r="X144" s="276">
        <v>42</v>
      </c>
      <c r="Y144" s="277">
        <f>IFERROR(IF(X144="","",X144),"")</f>
        <v>42</v>
      </c>
      <c r="Z144" s="37">
        <f>IFERROR(IF(X144="","",X144*0.01788),"")</f>
        <v>0.75095999999999996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x14ac:dyDescent="0.2">
      <c r="A145" s="282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4"/>
      <c r="P145" s="302" t="s">
        <v>87</v>
      </c>
      <c r="Q145" s="303"/>
      <c r="R145" s="303"/>
      <c r="S145" s="303"/>
      <c r="T145" s="303"/>
      <c r="U145" s="303"/>
      <c r="V145" s="304"/>
      <c r="W145" s="38" t="s">
        <v>68</v>
      </c>
      <c r="X145" s="278">
        <f>IFERROR(SUM(X143:X144),"0")</f>
        <v>182</v>
      </c>
      <c r="Y145" s="278">
        <f>IFERROR(SUM(Y143:Y144),"0")</f>
        <v>182</v>
      </c>
      <c r="Z145" s="278">
        <f>IFERROR(IF(Z143="",0,Z143),"0")+IFERROR(IF(Z144="",0,Z144),"0")</f>
        <v>3.2541600000000002</v>
      </c>
      <c r="AA145" s="279"/>
      <c r="AB145" s="279"/>
      <c r="AC145" s="279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4"/>
      <c r="P146" s="302" t="s">
        <v>87</v>
      </c>
      <c r="Q146" s="303"/>
      <c r="R146" s="303"/>
      <c r="S146" s="303"/>
      <c r="T146" s="303"/>
      <c r="U146" s="303"/>
      <c r="V146" s="304"/>
      <c r="W146" s="38" t="s">
        <v>88</v>
      </c>
      <c r="X146" s="278">
        <f>IFERROR(SUMPRODUCT(X143:X144*H143:H144),"0")</f>
        <v>546</v>
      </c>
      <c r="Y146" s="278">
        <f>IFERROR(SUMPRODUCT(Y143:Y144*H143:H144),"0")</f>
        <v>546</v>
      </c>
      <c r="Z146" s="38"/>
      <c r="AA146" s="279"/>
      <c r="AB146" s="279"/>
      <c r="AC146" s="279"/>
    </row>
    <row r="147" spans="1:68" ht="16.5" hidden="1" customHeight="1" x14ac:dyDescent="0.25">
      <c r="A147" s="294" t="s">
        <v>232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71"/>
      <c r="AB147" s="271"/>
      <c r="AC147" s="271"/>
    </row>
    <row r="148" spans="1:68" ht="14.25" hidden="1" customHeight="1" x14ac:dyDescent="0.25">
      <c r="A148" s="290" t="s">
        <v>135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70"/>
      <c r="AB148" s="270"/>
      <c r="AC148" s="270"/>
    </row>
    <row r="149" spans="1:68" ht="27" customHeight="1" x14ac:dyDescent="0.25">
      <c r="A149" s="54" t="s">
        <v>233</v>
      </c>
      <c r="B149" s="54" t="s">
        <v>234</v>
      </c>
      <c r="C149" s="32">
        <v>4301135824</v>
      </c>
      <c r="D149" s="280">
        <v>4607111039095</v>
      </c>
      <c r="E149" s="281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6"/>
      <c r="R149" s="286"/>
      <c r="S149" s="286"/>
      <c r="T149" s="287"/>
      <c r="U149" s="35"/>
      <c r="V149" s="35"/>
      <c r="W149" s="36" t="s">
        <v>68</v>
      </c>
      <c r="X149" s="276">
        <v>28</v>
      </c>
      <c r="Y149" s="277">
        <f>IFERROR(IF(X149="","",X149),"")</f>
        <v>28</v>
      </c>
      <c r="Z149" s="37">
        <f>IFERROR(IF(X149="","",X149*0.01788),"")</f>
        <v>0.50063999999999997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104.944</v>
      </c>
      <c r="BN149" s="67">
        <f>IFERROR(Y149*I149,"0")</f>
        <v>104.944</v>
      </c>
      <c r="BO149" s="67">
        <f>IFERROR(X149/J149,"0")</f>
        <v>0.4</v>
      </c>
      <c r="BP149" s="67">
        <f>IFERROR(Y149/J149,"0")</f>
        <v>0.4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80">
        <v>4607111034199</v>
      </c>
      <c r="E150" s="281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6"/>
      <c r="R150" s="286"/>
      <c r="S150" s="286"/>
      <c r="T150" s="287"/>
      <c r="U150" s="35"/>
      <c r="V150" s="35"/>
      <c r="W150" s="36" t="s">
        <v>68</v>
      </c>
      <c r="X150" s="276">
        <v>42</v>
      </c>
      <c r="Y150" s="277">
        <f>IFERROR(IF(X150="","",X150),"")</f>
        <v>42</v>
      </c>
      <c r="Z150" s="37">
        <f>IFERROR(IF(X150="","",X150*0.01788),"")</f>
        <v>0.75095999999999996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155.55119999999999</v>
      </c>
      <c r="BN150" s="67">
        <f>IFERROR(Y150*I150,"0")</f>
        <v>155.55119999999999</v>
      </c>
      <c r="BO150" s="67">
        <f>IFERROR(X150/J150,"0")</f>
        <v>0.6</v>
      </c>
      <c r="BP150" s="67">
        <f>IFERROR(Y150/J150,"0")</f>
        <v>0.6</v>
      </c>
    </row>
    <row r="151" spans="1:68" x14ac:dyDescent="0.2">
      <c r="A151" s="282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4"/>
      <c r="P151" s="302" t="s">
        <v>87</v>
      </c>
      <c r="Q151" s="303"/>
      <c r="R151" s="303"/>
      <c r="S151" s="303"/>
      <c r="T151" s="303"/>
      <c r="U151" s="303"/>
      <c r="V151" s="304"/>
      <c r="W151" s="38" t="s">
        <v>68</v>
      </c>
      <c r="X151" s="278">
        <f>IFERROR(SUM(X149:X150),"0")</f>
        <v>70</v>
      </c>
      <c r="Y151" s="278">
        <f>IFERROR(SUM(Y149:Y150),"0")</f>
        <v>70</v>
      </c>
      <c r="Z151" s="278">
        <f>IFERROR(IF(Z149="",0,Z149),"0")+IFERROR(IF(Z150="",0,Z150),"0")</f>
        <v>1.2515999999999998</v>
      </c>
      <c r="AA151" s="279"/>
      <c r="AB151" s="279"/>
      <c r="AC151" s="279"/>
    </row>
    <row r="152" spans="1:68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4"/>
      <c r="P152" s="302" t="s">
        <v>87</v>
      </c>
      <c r="Q152" s="303"/>
      <c r="R152" s="303"/>
      <c r="S152" s="303"/>
      <c r="T152" s="303"/>
      <c r="U152" s="303"/>
      <c r="V152" s="304"/>
      <c r="W152" s="38" t="s">
        <v>88</v>
      </c>
      <c r="X152" s="278">
        <f>IFERROR(SUMPRODUCT(X149:X150*H149:H150),"0")</f>
        <v>210</v>
      </c>
      <c r="Y152" s="278">
        <f>IFERROR(SUMPRODUCT(Y149:Y150*H149:H150),"0")</f>
        <v>210</v>
      </c>
      <c r="Z152" s="38"/>
      <c r="AA152" s="279"/>
      <c r="AB152" s="279"/>
      <c r="AC152" s="279"/>
    </row>
    <row r="153" spans="1:68" ht="16.5" hidden="1" customHeight="1" x14ac:dyDescent="0.25">
      <c r="A153" s="294" t="s">
        <v>239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71"/>
      <c r="AB153" s="271"/>
      <c r="AC153" s="271"/>
    </row>
    <row r="154" spans="1:68" ht="14.25" hidden="1" customHeight="1" x14ac:dyDescent="0.25">
      <c r="A154" s="290" t="s">
        <v>135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70"/>
      <c r="AB154" s="270"/>
      <c r="AC154" s="270"/>
    </row>
    <row r="155" spans="1:68" ht="27" hidden="1" customHeight="1" x14ac:dyDescent="0.25">
      <c r="A155" s="54" t="s">
        <v>240</v>
      </c>
      <c r="B155" s="54" t="s">
        <v>241</v>
      </c>
      <c r="C155" s="32">
        <v>4301135753</v>
      </c>
      <c r="D155" s="280">
        <v>4620207490914</v>
      </c>
      <c r="E155" s="281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32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5"/>
      <c r="V155" s="35"/>
      <c r="W155" s="36" t="s">
        <v>68</v>
      </c>
      <c r="X155" s="276">
        <v>0</v>
      </c>
      <c r="Y155" s="277">
        <f>IFERROR(IF(X155="","",X155),"")</f>
        <v>0</v>
      </c>
      <c r="Z155" s="37">
        <f>IFERROR(IF(X155="","",X155*0.01788),"")</f>
        <v>0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242</v>
      </c>
      <c r="B156" s="54" t="s">
        <v>243</v>
      </c>
      <c r="C156" s="32">
        <v>4301135778</v>
      </c>
      <c r="D156" s="280">
        <v>4620207490853</v>
      </c>
      <c r="E156" s="281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6"/>
      <c r="R156" s="286"/>
      <c r="S156" s="286"/>
      <c r="T156" s="287"/>
      <c r="U156" s="35"/>
      <c r="V156" s="35"/>
      <c r="W156" s="36" t="s">
        <v>68</v>
      </c>
      <c r="X156" s="276">
        <v>126</v>
      </c>
      <c r="Y156" s="277">
        <f>IFERROR(IF(X156="","",X156),"")</f>
        <v>126</v>
      </c>
      <c r="Z156" s="37">
        <f>IFERROR(IF(X156="","",X156*0.01788),"")</f>
        <v>2.2528800000000002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337.68</v>
      </c>
      <c r="BN156" s="67">
        <f>IFERROR(Y156*I156,"0")</f>
        <v>337.68</v>
      </c>
      <c r="BO156" s="67">
        <f>IFERROR(X156/J156,"0")</f>
        <v>1.8</v>
      </c>
      <c r="BP156" s="67">
        <f>IFERROR(Y156/J156,"0")</f>
        <v>1.8</v>
      </c>
    </row>
    <row r="157" spans="1:68" x14ac:dyDescent="0.2">
      <c r="A157" s="282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4"/>
      <c r="P157" s="302" t="s">
        <v>87</v>
      </c>
      <c r="Q157" s="303"/>
      <c r="R157" s="303"/>
      <c r="S157" s="303"/>
      <c r="T157" s="303"/>
      <c r="U157" s="303"/>
      <c r="V157" s="304"/>
      <c r="W157" s="38" t="s">
        <v>68</v>
      </c>
      <c r="X157" s="278">
        <f>IFERROR(SUM(X155:X156),"0")</f>
        <v>126</v>
      </c>
      <c r="Y157" s="278">
        <f>IFERROR(SUM(Y155:Y156),"0")</f>
        <v>126</v>
      </c>
      <c r="Z157" s="278">
        <f>IFERROR(IF(Z155="",0,Z155),"0")+IFERROR(IF(Z156="",0,Z156),"0")</f>
        <v>2.2528800000000002</v>
      </c>
      <c r="AA157" s="279"/>
      <c r="AB157" s="279"/>
      <c r="AC157" s="279"/>
    </row>
    <row r="158" spans="1:68" x14ac:dyDescent="0.2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4"/>
      <c r="P158" s="302" t="s">
        <v>87</v>
      </c>
      <c r="Q158" s="303"/>
      <c r="R158" s="303"/>
      <c r="S158" s="303"/>
      <c r="T158" s="303"/>
      <c r="U158" s="303"/>
      <c r="V158" s="304"/>
      <c r="W158" s="38" t="s">
        <v>88</v>
      </c>
      <c r="X158" s="278">
        <f>IFERROR(SUMPRODUCT(X155:X156*H155:H156),"0")</f>
        <v>302.39999999999998</v>
      </c>
      <c r="Y158" s="278">
        <f>IFERROR(SUMPRODUCT(Y155:Y156*H155:H156),"0")</f>
        <v>302.39999999999998</v>
      </c>
      <c r="Z158" s="38"/>
      <c r="AA158" s="279"/>
      <c r="AB158" s="279"/>
      <c r="AC158" s="279"/>
    </row>
    <row r="159" spans="1:68" ht="16.5" hidden="1" customHeight="1" x14ac:dyDescent="0.25">
      <c r="A159" s="294" t="s">
        <v>244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71"/>
      <c r="AB159" s="271"/>
      <c r="AC159" s="271"/>
    </row>
    <row r="160" spans="1:68" ht="14.25" hidden="1" customHeight="1" x14ac:dyDescent="0.25">
      <c r="A160" s="290" t="s">
        <v>135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70"/>
      <c r="AB160" s="270"/>
      <c r="AC160" s="270"/>
    </row>
    <row r="161" spans="1:68" ht="27" hidden="1" customHeight="1" x14ac:dyDescent="0.25">
      <c r="A161" s="54" t="s">
        <v>245</v>
      </c>
      <c r="B161" s="54" t="s">
        <v>246</v>
      </c>
      <c r="C161" s="32">
        <v>4301135570</v>
      </c>
      <c r="D161" s="280">
        <v>4607111035806</v>
      </c>
      <c r="E161" s="281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4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6"/>
      <c r="R161" s="286"/>
      <c r="S161" s="286"/>
      <c r="T161" s="287"/>
      <c r="U161" s="35"/>
      <c r="V161" s="35"/>
      <c r="W161" s="36" t="s">
        <v>68</v>
      </c>
      <c r="X161" s="276">
        <v>0</v>
      </c>
      <c r="Y161" s="277">
        <f>IFERROR(IF(X161="","",X161),"")</f>
        <v>0</v>
      </c>
      <c r="Z161" s="37">
        <f>IFERROR(IF(X161="","",X161*0.01788),"")</f>
        <v>0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2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4"/>
      <c r="P162" s="302" t="s">
        <v>87</v>
      </c>
      <c r="Q162" s="303"/>
      <c r="R162" s="303"/>
      <c r="S162" s="303"/>
      <c r="T162" s="303"/>
      <c r="U162" s="303"/>
      <c r="V162" s="304"/>
      <c r="W162" s="38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4"/>
      <c r="P163" s="302" t="s">
        <v>87</v>
      </c>
      <c r="Q163" s="303"/>
      <c r="R163" s="303"/>
      <c r="S163" s="303"/>
      <c r="T163" s="303"/>
      <c r="U163" s="303"/>
      <c r="V163" s="304"/>
      <c r="W163" s="38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8"/>
      <c r="AA163" s="279"/>
      <c r="AB163" s="279"/>
      <c r="AC163" s="279"/>
    </row>
    <row r="164" spans="1:68" ht="16.5" hidden="1" customHeight="1" x14ac:dyDescent="0.25">
      <c r="A164" s="294" t="s">
        <v>248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1"/>
      <c r="AB164" s="271"/>
      <c r="AC164" s="271"/>
    </row>
    <row r="165" spans="1:68" ht="14.25" hidden="1" customHeight="1" x14ac:dyDescent="0.25">
      <c r="A165" s="290" t="s">
        <v>135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70"/>
      <c r="AB165" s="270"/>
      <c r="AC165" s="270"/>
    </row>
    <row r="166" spans="1:68" ht="16.5" hidden="1" customHeight="1" x14ac:dyDescent="0.25">
      <c r="A166" s="54" t="s">
        <v>249</v>
      </c>
      <c r="B166" s="54" t="s">
        <v>250</v>
      </c>
      <c r="C166" s="32">
        <v>4301135607</v>
      </c>
      <c r="D166" s="280">
        <v>4607111039613</v>
      </c>
      <c r="E166" s="281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2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5"/>
      <c r="V166" s="35"/>
      <c r="W166" s="36" t="s">
        <v>68</v>
      </c>
      <c r="X166" s="276">
        <v>0</v>
      </c>
      <c r="Y166" s="277">
        <f>IFERROR(IF(X166="","",X166),"")</f>
        <v>0</v>
      </c>
      <c r="Z166" s="37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82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4"/>
      <c r="P167" s="302" t="s">
        <v>87</v>
      </c>
      <c r="Q167" s="303"/>
      <c r="R167" s="303"/>
      <c r="S167" s="303"/>
      <c r="T167" s="303"/>
      <c r="U167" s="303"/>
      <c r="V167" s="304"/>
      <c r="W167" s="38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4"/>
      <c r="P168" s="302" t="s">
        <v>87</v>
      </c>
      <c r="Q168" s="303"/>
      <c r="R168" s="303"/>
      <c r="S168" s="303"/>
      <c r="T168" s="303"/>
      <c r="U168" s="303"/>
      <c r="V168" s="304"/>
      <c r="W168" s="38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8"/>
      <c r="AA168" s="279"/>
      <c r="AB168" s="279"/>
      <c r="AC168" s="279"/>
    </row>
    <row r="169" spans="1:68" ht="16.5" hidden="1" customHeight="1" x14ac:dyDescent="0.25">
      <c r="A169" s="294" t="s">
        <v>251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1"/>
      <c r="AB169" s="271"/>
      <c r="AC169" s="271"/>
    </row>
    <row r="170" spans="1:68" ht="14.25" hidden="1" customHeight="1" x14ac:dyDescent="0.25">
      <c r="A170" s="290" t="s">
        <v>135</v>
      </c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80">
        <v>4607111036568</v>
      </c>
      <c r="E171" s="281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6"/>
      <c r="R171" s="286"/>
      <c r="S171" s="286"/>
      <c r="T171" s="287"/>
      <c r="U171" s="35"/>
      <c r="V171" s="35"/>
      <c r="W171" s="36" t="s">
        <v>68</v>
      </c>
      <c r="X171" s="276">
        <v>154</v>
      </c>
      <c r="Y171" s="277">
        <f>IFERROR(IF(X171="","",X171),"")</f>
        <v>154</v>
      </c>
      <c r="Z171" s="37">
        <f>IFERROR(IF(X171="","",X171*0.00941),"")</f>
        <v>1.4491400000000001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323.67719999999997</v>
      </c>
      <c r="BN171" s="67">
        <f>IFERROR(Y171*I171,"0")</f>
        <v>323.67719999999997</v>
      </c>
      <c r="BO171" s="67">
        <f>IFERROR(X171/J171,"0")</f>
        <v>1.1000000000000001</v>
      </c>
      <c r="BP171" s="67">
        <f>IFERROR(Y171/J171,"0")</f>
        <v>1.1000000000000001</v>
      </c>
    </row>
    <row r="172" spans="1:68" x14ac:dyDescent="0.2">
      <c r="A172" s="282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4"/>
      <c r="P172" s="302" t="s">
        <v>87</v>
      </c>
      <c r="Q172" s="303"/>
      <c r="R172" s="303"/>
      <c r="S172" s="303"/>
      <c r="T172" s="303"/>
      <c r="U172" s="303"/>
      <c r="V172" s="304"/>
      <c r="W172" s="38" t="s">
        <v>68</v>
      </c>
      <c r="X172" s="278">
        <f>IFERROR(SUM(X171:X171),"0")</f>
        <v>154</v>
      </c>
      <c r="Y172" s="278">
        <f>IFERROR(SUM(Y171:Y171),"0")</f>
        <v>154</v>
      </c>
      <c r="Z172" s="278">
        <f>IFERROR(IF(Z171="",0,Z171),"0")</f>
        <v>1.4491400000000001</v>
      </c>
      <c r="AA172" s="279"/>
      <c r="AB172" s="279"/>
      <c r="AC172" s="279"/>
    </row>
    <row r="173" spans="1:68" x14ac:dyDescent="0.2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4"/>
      <c r="P173" s="302" t="s">
        <v>87</v>
      </c>
      <c r="Q173" s="303"/>
      <c r="R173" s="303"/>
      <c r="S173" s="303"/>
      <c r="T173" s="303"/>
      <c r="U173" s="303"/>
      <c r="V173" s="304"/>
      <c r="W173" s="38" t="s">
        <v>88</v>
      </c>
      <c r="X173" s="278">
        <f>IFERROR(SUMPRODUCT(X171:X171*H171:H171),"0")</f>
        <v>258.71999999999997</v>
      </c>
      <c r="Y173" s="278">
        <f>IFERROR(SUMPRODUCT(Y171:Y171*H171:H171),"0")</f>
        <v>258.71999999999997</v>
      </c>
      <c r="Z173" s="38"/>
      <c r="AA173" s="279"/>
      <c r="AB173" s="279"/>
      <c r="AC173" s="279"/>
    </row>
    <row r="174" spans="1:68" ht="27.75" hidden="1" customHeight="1" x14ac:dyDescent="0.2">
      <c r="A174" s="346" t="s">
        <v>255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49"/>
      <c r="AB174" s="49"/>
      <c r="AC174" s="49"/>
    </row>
    <row r="175" spans="1:68" ht="16.5" hidden="1" customHeight="1" x14ac:dyDescent="0.25">
      <c r="A175" s="294" t="s">
        <v>256</v>
      </c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71"/>
      <c r="AB175" s="271"/>
      <c r="AC175" s="271"/>
    </row>
    <row r="176" spans="1:68" ht="14.25" hidden="1" customHeight="1" x14ac:dyDescent="0.25">
      <c r="A176" s="290" t="s">
        <v>62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70"/>
      <c r="AB176" s="270"/>
      <c r="AC176" s="270"/>
    </row>
    <row r="177" spans="1:68" ht="16.5" hidden="1" customHeight="1" x14ac:dyDescent="0.25">
      <c r="A177" s="54" t="s">
        <v>257</v>
      </c>
      <c r="B177" s="54" t="s">
        <v>258</v>
      </c>
      <c r="C177" s="32">
        <v>4301071062</v>
      </c>
      <c r="D177" s="280">
        <v>4607111036384</v>
      </c>
      <c r="E177" s="281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80">
        <v>4607111036216</v>
      </c>
      <c r="E178" s="281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5"/>
      <c r="V178" s="35"/>
      <c r="W178" s="36" t="s">
        <v>68</v>
      </c>
      <c r="X178" s="276">
        <v>12</v>
      </c>
      <c r="Y178" s="277">
        <f>IFERROR(IF(X178="","",X178),"")</f>
        <v>12</v>
      </c>
      <c r="Z178" s="37">
        <f>IFERROR(IF(X178="","",X178*0.00866),"")</f>
        <v>0.10391999999999998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282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4"/>
      <c r="P179" s="302" t="s">
        <v>87</v>
      </c>
      <c r="Q179" s="303"/>
      <c r="R179" s="303"/>
      <c r="S179" s="303"/>
      <c r="T179" s="303"/>
      <c r="U179" s="303"/>
      <c r="V179" s="304"/>
      <c r="W179" s="38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4"/>
      <c r="P180" s="302" t="s">
        <v>87</v>
      </c>
      <c r="Q180" s="303"/>
      <c r="R180" s="303"/>
      <c r="S180" s="303"/>
      <c r="T180" s="303"/>
      <c r="U180" s="303"/>
      <c r="V180" s="304"/>
      <c r="W180" s="38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8"/>
      <c r="AA180" s="279"/>
      <c r="AB180" s="279"/>
      <c r="AC180" s="279"/>
    </row>
    <row r="181" spans="1:68" ht="16.5" hidden="1" customHeight="1" x14ac:dyDescent="0.25">
      <c r="A181" s="294" t="s">
        <v>263</v>
      </c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71"/>
      <c r="AB181" s="271"/>
      <c r="AC181" s="271"/>
    </row>
    <row r="182" spans="1:68" ht="14.25" hidden="1" customHeight="1" x14ac:dyDescent="0.25">
      <c r="A182" s="290" t="s">
        <v>62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70"/>
      <c r="AB182" s="270"/>
      <c r="AC182" s="270"/>
    </row>
    <row r="183" spans="1:68" ht="27" hidden="1" customHeight="1" x14ac:dyDescent="0.25">
      <c r="A183" s="54" t="s">
        <v>264</v>
      </c>
      <c r="B183" s="54" t="s">
        <v>265</v>
      </c>
      <c r="C183" s="32">
        <v>4301071117</v>
      </c>
      <c r="D183" s="280">
        <v>4620207491737</v>
      </c>
      <c r="E183" s="281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5"/>
      <c r="V183" s="35"/>
      <c r="W183" s="36" t="s">
        <v>68</v>
      </c>
      <c r="X183" s="276">
        <v>0</v>
      </c>
      <c r="Y183" s="277">
        <f>IFERROR(IF(X183="","",X183),"")</f>
        <v>0</v>
      </c>
      <c r="Z183" s="37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302" t="s">
        <v>87</v>
      </c>
      <c r="Q184" s="303"/>
      <c r="R184" s="303"/>
      <c r="S184" s="303"/>
      <c r="T184" s="303"/>
      <c r="U184" s="303"/>
      <c r="V184" s="304"/>
      <c r="W184" s="38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302" t="s">
        <v>87</v>
      </c>
      <c r="Q185" s="303"/>
      <c r="R185" s="303"/>
      <c r="S185" s="303"/>
      <c r="T185" s="303"/>
      <c r="U185" s="303"/>
      <c r="V185" s="304"/>
      <c r="W185" s="38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8"/>
      <c r="AA185" s="279"/>
      <c r="AB185" s="279"/>
      <c r="AC185" s="279"/>
    </row>
    <row r="186" spans="1:68" ht="27.75" hidden="1" customHeight="1" x14ac:dyDescent="0.2">
      <c r="A186" s="346" t="s">
        <v>266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49"/>
      <c r="AB186" s="49"/>
      <c r="AC186" s="49"/>
    </row>
    <row r="187" spans="1:68" ht="16.5" hidden="1" customHeight="1" x14ac:dyDescent="0.25">
      <c r="A187" s="294" t="s">
        <v>267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1"/>
      <c r="AB187" s="271"/>
      <c r="AC187" s="271"/>
    </row>
    <row r="188" spans="1:68" ht="14.25" hidden="1" customHeight="1" x14ac:dyDescent="0.25">
      <c r="A188" s="290" t="s">
        <v>97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80">
        <v>4607111035691</v>
      </c>
      <c r="E189" s="281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5"/>
      <c r="V189" s="35"/>
      <c r="W189" s="36" t="s">
        <v>68</v>
      </c>
      <c r="X189" s="276">
        <v>14</v>
      </c>
      <c r="Y189" s="277">
        <f>IFERROR(IF(X189="","",X189),"")</f>
        <v>14</v>
      </c>
      <c r="Z189" s="37">
        <f>IFERROR(IF(X189="","",X189*0.01788),"")</f>
        <v>0.25031999999999999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hidden="1" customHeight="1" x14ac:dyDescent="0.25">
      <c r="A190" s="54" t="s">
        <v>271</v>
      </c>
      <c r="B190" s="54" t="s">
        <v>272</v>
      </c>
      <c r="C190" s="32">
        <v>4301132182</v>
      </c>
      <c r="D190" s="280">
        <v>4607111035721</v>
      </c>
      <c r="E190" s="281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5"/>
      <c r="V190" s="35"/>
      <c r="W190" s="36" t="s">
        <v>68</v>
      </c>
      <c r="X190" s="276">
        <v>0</v>
      </c>
      <c r="Y190" s="277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80">
        <v>4607111038487</v>
      </c>
      <c r="E191" s="281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5"/>
      <c r="V191" s="35"/>
      <c r="W191" s="36" t="s">
        <v>68</v>
      </c>
      <c r="X191" s="276">
        <v>42</v>
      </c>
      <c r="Y191" s="277">
        <f>IFERROR(IF(X191="","",X191),"")</f>
        <v>42</v>
      </c>
      <c r="Z191" s="37">
        <f>IFERROR(IF(X191="","",X191*0.01788),"")</f>
        <v>0.75095999999999996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156.91200000000001</v>
      </c>
      <c r="BN191" s="67">
        <f>IFERROR(Y191*I191,"0")</f>
        <v>156.91200000000001</v>
      </c>
      <c r="BO191" s="67">
        <f>IFERROR(X191/J191,"0")</f>
        <v>0.6</v>
      </c>
      <c r="BP191" s="67">
        <f>IFERROR(Y191/J191,"0")</f>
        <v>0.6</v>
      </c>
    </row>
    <row r="192" spans="1:68" ht="27" hidden="1" customHeight="1" x14ac:dyDescent="0.25">
      <c r="A192" s="54" t="s">
        <v>277</v>
      </c>
      <c r="B192" s="54" t="s">
        <v>278</v>
      </c>
      <c r="C192" s="32">
        <v>4301132243</v>
      </c>
      <c r="D192" s="280">
        <v>4620207491195</v>
      </c>
      <c r="E192" s="281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2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4"/>
      <c r="P193" s="302" t="s">
        <v>87</v>
      </c>
      <c r="Q193" s="303"/>
      <c r="R193" s="303"/>
      <c r="S193" s="303"/>
      <c r="T193" s="303"/>
      <c r="U193" s="303"/>
      <c r="V193" s="304"/>
      <c r="W193" s="38" t="s">
        <v>68</v>
      </c>
      <c r="X193" s="278">
        <f>IFERROR(SUM(X189:X192),"0")</f>
        <v>56</v>
      </c>
      <c r="Y193" s="278">
        <f>IFERROR(SUM(Y189:Y192),"0")</f>
        <v>56</v>
      </c>
      <c r="Z193" s="278">
        <f>IFERROR(IF(Z189="",0,Z189),"0")+IFERROR(IF(Z190="",0,Z190),"0")+IFERROR(IF(Z191="",0,Z191),"0")+IFERROR(IF(Z192="",0,Z192),"0")</f>
        <v>1.0012799999999999</v>
      </c>
      <c r="AA193" s="279"/>
      <c r="AB193" s="279"/>
      <c r="AC193" s="279"/>
    </row>
    <row r="194" spans="1:68" x14ac:dyDescent="0.2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302" t="s">
        <v>87</v>
      </c>
      <c r="Q194" s="303"/>
      <c r="R194" s="303"/>
      <c r="S194" s="303"/>
      <c r="T194" s="303"/>
      <c r="U194" s="303"/>
      <c r="V194" s="304"/>
      <c r="W194" s="38" t="s">
        <v>88</v>
      </c>
      <c r="X194" s="278">
        <f>IFERROR(SUMPRODUCT(X189:X192*H189:H192),"0")</f>
        <v>168</v>
      </c>
      <c r="Y194" s="278">
        <f>IFERROR(SUMPRODUCT(Y189:Y192*H189:H192),"0")</f>
        <v>168</v>
      </c>
      <c r="Z194" s="38"/>
      <c r="AA194" s="279"/>
      <c r="AB194" s="279"/>
      <c r="AC194" s="279"/>
    </row>
    <row r="195" spans="1:68" ht="27.75" hidden="1" customHeight="1" x14ac:dyDescent="0.2">
      <c r="A195" s="346" t="s">
        <v>280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49"/>
      <c r="AB195" s="49"/>
      <c r="AC195" s="49"/>
    </row>
    <row r="196" spans="1:68" ht="16.5" hidden="1" customHeight="1" x14ac:dyDescent="0.25">
      <c r="A196" s="294" t="s">
        <v>281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71"/>
      <c r="AB196" s="271"/>
      <c r="AC196" s="271"/>
    </row>
    <row r="197" spans="1:68" ht="14.25" hidden="1" customHeight="1" x14ac:dyDescent="0.25">
      <c r="A197" s="290" t="s">
        <v>97</v>
      </c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70"/>
      <c r="AB197" s="270"/>
      <c r="AC197" s="270"/>
    </row>
    <row r="198" spans="1:68" ht="27" customHeight="1" x14ac:dyDescent="0.25">
      <c r="A198" s="54" t="s">
        <v>282</v>
      </c>
      <c r="B198" s="54" t="s">
        <v>283</v>
      </c>
      <c r="C198" s="32">
        <v>4301132227</v>
      </c>
      <c r="D198" s="280">
        <v>4620207491133</v>
      </c>
      <c r="E198" s="281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5"/>
      <c r="V198" s="35"/>
      <c r="W198" s="36" t="s">
        <v>68</v>
      </c>
      <c r="X198" s="276">
        <v>112</v>
      </c>
      <c r="Y198" s="277">
        <f>IFERROR(IF(X198="","",X198),"")</f>
        <v>112</v>
      </c>
      <c r="Z198" s="37">
        <f>IFERROR(IF(X198="","",X198*0.01788),"")</f>
        <v>2.0025599999999999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333.76</v>
      </c>
      <c r="BN198" s="67">
        <f>IFERROR(Y198*I198,"0")</f>
        <v>333.76</v>
      </c>
      <c r="BO198" s="67">
        <f>IFERROR(X198/J198,"0")</f>
        <v>1.6</v>
      </c>
      <c r="BP198" s="67">
        <f>IFERROR(Y198/J198,"0")</f>
        <v>1.6</v>
      </c>
    </row>
    <row r="199" spans="1:68" x14ac:dyDescent="0.2">
      <c r="A199" s="282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4"/>
      <c r="P199" s="302" t="s">
        <v>87</v>
      </c>
      <c r="Q199" s="303"/>
      <c r="R199" s="303"/>
      <c r="S199" s="303"/>
      <c r="T199" s="303"/>
      <c r="U199" s="303"/>
      <c r="V199" s="304"/>
      <c r="W199" s="38" t="s">
        <v>68</v>
      </c>
      <c r="X199" s="278">
        <f>IFERROR(SUM(X198:X198),"0")</f>
        <v>112</v>
      </c>
      <c r="Y199" s="278">
        <f>IFERROR(SUM(Y198:Y198),"0")</f>
        <v>112</v>
      </c>
      <c r="Z199" s="278">
        <f>IFERROR(IF(Z198="",0,Z198),"0")</f>
        <v>2.0025599999999999</v>
      </c>
      <c r="AA199" s="279"/>
      <c r="AB199" s="279"/>
      <c r="AC199" s="279"/>
    </row>
    <row r="200" spans="1:68" x14ac:dyDescent="0.2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4"/>
      <c r="P200" s="302" t="s">
        <v>87</v>
      </c>
      <c r="Q200" s="303"/>
      <c r="R200" s="303"/>
      <c r="S200" s="303"/>
      <c r="T200" s="303"/>
      <c r="U200" s="303"/>
      <c r="V200" s="304"/>
      <c r="W200" s="38" t="s">
        <v>88</v>
      </c>
      <c r="X200" s="278">
        <f>IFERROR(SUMPRODUCT(X198:X198*H198:H198),"0")</f>
        <v>309.12</v>
      </c>
      <c r="Y200" s="278">
        <f>IFERROR(SUMPRODUCT(Y198:Y198*H198:H198),"0")</f>
        <v>309.12</v>
      </c>
      <c r="Z200" s="38"/>
      <c r="AA200" s="279"/>
      <c r="AB200" s="279"/>
      <c r="AC200" s="279"/>
    </row>
    <row r="201" spans="1:68" ht="14.25" hidden="1" customHeight="1" x14ac:dyDescent="0.25">
      <c r="A201" s="290" t="s">
        <v>135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0"/>
      <c r="AB201" s="270"/>
      <c r="AC201" s="270"/>
    </row>
    <row r="202" spans="1:68" ht="27" customHeight="1" x14ac:dyDescent="0.25">
      <c r="A202" s="54" t="s">
        <v>285</v>
      </c>
      <c r="B202" s="54" t="s">
        <v>286</v>
      </c>
      <c r="C202" s="32">
        <v>4301135834</v>
      </c>
      <c r="D202" s="280">
        <v>4620207491188</v>
      </c>
      <c r="E202" s="281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5"/>
      <c r="V202" s="35"/>
      <c r="W202" s="36" t="s">
        <v>68</v>
      </c>
      <c r="X202" s="276">
        <v>42</v>
      </c>
      <c r="Y202" s="277">
        <f>IFERROR(IF(X202="","",X202),"")</f>
        <v>42</v>
      </c>
      <c r="Z202" s="37">
        <f>IFERROR(IF(X202="","",X202*0.01788),"")</f>
        <v>0.75095999999999996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130.35120000000001</v>
      </c>
      <c r="BN202" s="67">
        <f>IFERROR(Y202*I202,"0")</f>
        <v>130.35120000000001</v>
      </c>
      <c r="BO202" s="67">
        <f>IFERROR(X202/J202,"0")</f>
        <v>0.6</v>
      </c>
      <c r="BP202" s="67">
        <f>IFERROR(Y202/J202,"0")</f>
        <v>0.6</v>
      </c>
    </row>
    <row r="203" spans="1:68" ht="27" hidden="1" customHeight="1" x14ac:dyDescent="0.25">
      <c r="A203" s="54" t="s">
        <v>288</v>
      </c>
      <c r="B203" s="54" t="s">
        <v>289</v>
      </c>
      <c r="C203" s="32">
        <v>4301135696</v>
      </c>
      <c r="D203" s="280">
        <v>4620207490235</v>
      </c>
      <c r="E203" s="281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291</v>
      </c>
      <c r="B204" s="54" t="s">
        <v>292</v>
      </c>
      <c r="C204" s="32">
        <v>4301135697</v>
      </c>
      <c r="D204" s="280">
        <v>4620207490259</v>
      </c>
      <c r="E204" s="281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8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302" t="s">
        <v>87</v>
      </c>
      <c r="Q205" s="303"/>
      <c r="R205" s="303"/>
      <c r="S205" s="303"/>
      <c r="T205" s="303"/>
      <c r="U205" s="303"/>
      <c r="V205" s="304"/>
      <c r="W205" s="38" t="s">
        <v>68</v>
      </c>
      <c r="X205" s="278">
        <f>IFERROR(SUM(X202:X204),"0")</f>
        <v>42</v>
      </c>
      <c r="Y205" s="278">
        <f>IFERROR(SUM(Y202:Y204),"0")</f>
        <v>42</v>
      </c>
      <c r="Z205" s="278">
        <f>IFERROR(IF(Z202="",0,Z202),"0")+IFERROR(IF(Z203="",0,Z203),"0")+IFERROR(IF(Z204="",0,Z204),"0")</f>
        <v>0.75095999999999996</v>
      </c>
      <c r="AA205" s="279"/>
      <c r="AB205" s="279"/>
      <c r="AC205" s="279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302" t="s">
        <v>87</v>
      </c>
      <c r="Q206" s="303"/>
      <c r="R206" s="303"/>
      <c r="S206" s="303"/>
      <c r="T206" s="303"/>
      <c r="U206" s="303"/>
      <c r="V206" s="304"/>
      <c r="W206" s="38" t="s">
        <v>88</v>
      </c>
      <c r="X206" s="278">
        <f>IFERROR(SUMPRODUCT(X202:X204*H202:H204),"0")</f>
        <v>100.8</v>
      </c>
      <c r="Y206" s="278">
        <f>IFERROR(SUMPRODUCT(Y202:Y204*H202:H204),"0")</f>
        <v>100.8</v>
      </c>
      <c r="Z206" s="38"/>
      <c r="AA206" s="279"/>
      <c r="AB206" s="279"/>
      <c r="AC206" s="279"/>
    </row>
    <row r="207" spans="1:68" ht="16.5" hidden="1" customHeight="1" x14ac:dyDescent="0.25">
      <c r="A207" s="294" t="s">
        <v>294</v>
      </c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71"/>
      <c r="AB207" s="271"/>
      <c r="AC207" s="271"/>
    </row>
    <row r="208" spans="1:68" ht="14.25" hidden="1" customHeight="1" x14ac:dyDescent="0.25">
      <c r="A208" s="290" t="s">
        <v>135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0"/>
      <c r="AB208" s="270"/>
      <c r="AC208" s="270"/>
    </row>
    <row r="209" spans="1:68" ht="27" hidden="1" customHeight="1" x14ac:dyDescent="0.25">
      <c r="A209" s="54" t="s">
        <v>295</v>
      </c>
      <c r="B209" s="54" t="s">
        <v>296</v>
      </c>
      <c r="C209" s="32">
        <v>4301135854</v>
      </c>
      <c r="D209" s="280">
        <v>4620207491706</v>
      </c>
      <c r="E209" s="281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29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2">
        <v>4301135895</v>
      </c>
      <c r="D210" s="280">
        <v>4620207491522</v>
      </c>
      <c r="E210" s="281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302" t="s">
        <v>87</v>
      </c>
      <c r="Q211" s="303"/>
      <c r="R211" s="303"/>
      <c r="S211" s="303"/>
      <c r="T211" s="303"/>
      <c r="U211" s="303"/>
      <c r="V211" s="304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302" t="s">
        <v>87</v>
      </c>
      <c r="Q212" s="303"/>
      <c r="R212" s="303"/>
      <c r="S212" s="303"/>
      <c r="T212" s="303"/>
      <c r="U212" s="303"/>
      <c r="V212" s="304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hidden="1" customHeight="1" x14ac:dyDescent="0.25">
      <c r="A213" s="294" t="s">
        <v>301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1"/>
      <c r="AB213" s="271"/>
      <c r="AC213" s="271"/>
    </row>
    <row r="214" spans="1:68" ht="14.25" hidden="1" customHeight="1" x14ac:dyDescent="0.25">
      <c r="A214" s="290" t="s">
        <v>62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70"/>
      <c r="AB214" s="270"/>
      <c r="AC214" s="270"/>
    </row>
    <row r="215" spans="1:68" ht="27" customHeight="1" x14ac:dyDescent="0.25">
      <c r="A215" s="54" t="s">
        <v>302</v>
      </c>
      <c r="B215" s="54" t="s">
        <v>303</v>
      </c>
      <c r="C215" s="32">
        <v>4301071097</v>
      </c>
      <c r="D215" s="280">
        <v>4620207491096</v>
      </c>
      <c r="E215" s="281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5"/>
      <c r="V215" s="35"/>
      <c r="W215" s="36" t="s">
        <v>68</v>
      </c>
      <c r="X215" s="276">
        <v>72</v>
      </c>
      <c r="Y215" s="277">
        <f>IFERROR(IF(X215="","",X215),"")</f>
        <v>72</v>
      </c>
      <c r="Z215" s="37">
        <f>IFERROR(IF(X215="","",X215*0.0155),"")</f>
        <v>1.1160000000000001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376.56000000000006</v>
      </c>
      <c r="BN215" s="67">
        <f>IFERROR(Y215*I215,"0")</f>
        <v>376.56000000000006</v>
      </c>
      <c r="BO215" s="67">
        <f>IFERROR(X215/J215,"0")</f>
        <v>0.8571428571428571</v>
      </c>
      <c r="BP215" s="67">
        <f>IFERROR(Y215/J215,"0")</f>
        <v>0.8571428571428571</v>
      </c>
    </row>
    <row r="216" spans="1:68" x14ac:dyDescent="0.2">
      <c r="A216" s="282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4"/>
      <c r="P216" s="302" t="s">
        <v>87</v>
      </c>
      <c r="Q216" s="303"/>
      <c r="R216" s="303"/>
      <c r="S216" s="303"/>
      <c r="T216" s="303"/>
      <c r="U216" s="303"/>
      <c r="V216" s="304"/>
      <c r="W216" s="38" t="s">
        <v>68</v>
      </c>
      <c r="X216" s="278">
        <f>IFERROR(SUM(X215:X215),"0")</f>
        <v>72</v>
      </c>
      <c r="Y216" s="278">
        <f>IFERROR(SUM(Y215:Y215),"0")</f>
        <v>72</v>
      </c>
      <c r="Z216" s="278">
        <f>IFERROR(IF(Z215="",0,Z215),"0")</f>
        <v>1.1160000000000001</v>
      </c>
      <c r="AA216" s="279"/>
      <c r="AB216" s="279"/>
      <c r="AC216" s="279"/>
    </row>
    <row r="217" spans="1:68" x14ac:dyDescent="0.2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302" t="s">
        <v>87</v>
      </c>
      <c r="Q217" s="303"/>
      <c r="R217" s="303"/>
      <c r="S217" s="303"/>
      <c r="T217" s="303"/>
      <c r="U217" s="303"/>
      <c r="V217" s="304"/>
      <c r="W217" s="38" t="s">
        <v>88</v>
      </c>
      <c r="X217" s="278">
        <f>IFERROR(SUMPRODUCT(X215:X215*H215:H215),"0")</f>
        <v>360</v>
      </c>
      <c r="Y217" s="278">
        <f>IFERROR(SUMPRODUCT(Y215:Y215*H215:H215),"0")</f>
        <v>360</v>
      </c>
      <c r="Z217" s="38"/>
      <c r="AA217" s="279"/>
      <c r="AB217" s="279"/>
      <c r="AC217" s="279"/>
    </row>
    <row r="218" spans="1:68" ht="16.5" hidden="1" customHeight="1" x14ac:dyDescent="0.25">
      <c r="A218" s="294" t="s">
        <v>305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1"/>
      <c r="AB218" s="271"/>
      <c r="AC218" s="271"/>
    </row>
    <row r="219" spans="1:68" ht="14.25" hidden="1" customHeight="1" x14ac:dyDescent="0.25">
      <c r="A219" s="290" t="s">
        <v>135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0"/>
      <c r="AB219" s="270"/>
      <c r="AC219" s="270"/>
    </row>
    <row r="220" spans="1:68" ht="27" hidden="1" customHeight="1" x14ac:dyDescent="0.25">
      <c r="A220" s="54" t="s">
        <v>306</v>
      </c>
      <c r="B220" s="54" t="s">
        <v>307</v>
      </c>
      <c r="C220" s="32">
        <v>4301135694</v>
      </c>
      <c r="D220" s="280">
        <v>4620207490501</v>
      </c>
      <c r="E220" s="281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3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2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4"/>
      <c r="P221" s="302" t="s">
        <v>87</v>
      </c>
      <c r="Q221" s="303"/>
      <c r="R221" s="303"/>
      <c r="S221" s="303"/>
      <c r="T221" s="303"/>
      <c r="U221" s="303"/>
      <c r="V221" s="304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4"/>
      <c r="P222" s="302" t="s">
        <v>87</v>
      </c>
      <c r="Q222" s="303"/>
      <c r="R222" s="303"/>
      <c r="S222" s="303"/>
      <c r="T222" s="303"/>
      <c r="U222" s="303"/>
      <c r="V222" s="304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hidden="1" customHeight="1" x14ac:dyDescent="0.2">
      <c r="A223" s="346" t="s">
        <v>309</v>
      </c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49"/>
      <c r="AB223" s="49"/>
      <c r="AC223" s="49"/>
    </row>
    <row r="224" spans="1:68" ht="16.5" hidden="1" customHeight="1" x14ac:dyDescent="0.25">
      <c r="A224" s="294" t="s">
        <v>310</v>
      </c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71"/>
      <c r="AB224" s="271"/>
      <c r="AC224" s="271"/>
    </row>
    <row r="225" spans="1:68" ht="14.25" hidden="1" customHeight="1" x14ac:dyDescent="0.25">
      <c r="A225" s="290" t="s">
        <v>62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0"/>
      <c r="AB225" s="270"/>
      <c r="AC225" s="270"/>
    </row>
    <row r="226" spans="1:68" ht="27" hidden="1" customHeight="1" x14ac:dyDescent="0.25">
      <c r="A226" s="54" t="s">
        <v>311</v>
      </c>
      <c r="B226" s="54" t="s">
        <v>312</v>
      </c>
      <c r="C226" s="32">
        <v>4301071036</v>
      </c>
      <c r="D226" s="280">
        <v>4607111036162</v>
      </c>
      <c r="E226" s="281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2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4"/>
      <c r="P227" s="302" t="s">
        <v>87</v>
      </c>
      <c r="Q227" s="303"/>
      <c r="R227" s="303"/>
      <c r="S227" s="303"/>
      <c r="T227" s="303"/>
      <c r="U227" s="303"/>
      <c r="V227" s="304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302" t="s">
        <v>87</v>
      </c>
      <c r="Q228" s="303"/>
      <c r="R228" s="303"/>
      <c r="S228" s="303"/>
      <c r="T228" s="303"/>
      <c r="U228" s="303"/>
      <c r="V228" s="304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hidden="1" customHeight="1" x14ac:dyDescent="0.2">
      <c r="A229" s="346" t="s">
        <v>314</v>
      </c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49"/>
      <c r="AB229" s="49"/>
      <c r="AC229" s="49"/>
    </row>
    <row r="230" spans="1:68" ht="16.5" hidden="1" customHeight="1" x14ac:dyDescent="0.25">
      <c r="A230" s="294" t="s">
        <v>315</v>
      </c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71"/>
      <c r="AB230" s="271"/>
      <c r="AC230" s="271"/>
    </row>
    <row r="231" spans="1:68" ht="14.25" hidden="1" customHeight="1" x14ac:dyDescent="0.25">
      <c r="A231" s="290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0"/>
      <c r="AB231" s="270"/>
      <c r="AC231" s="270"/>
    </row>
    <row r="232" spans="1:68" ht="27" hidden="1" customHeight="1" x14ac:dyDescent="0.25">
      <c r="A232" s="54" t="s">
        <v>317</v>
      </c>
      <c r="B232" s="54" t="s">
        <v>318</v>
      </c>
      <c r="C232" s="32">
        <v>4301133004</v>
      </c>
      <c r="D232" s="280">
        <v>4607111039774</v>
      </c>
      <c r="E232" s="281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82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4"/>
      <c r="P233" s="302" t="s">
        <v>87</v>
      </c>
      <c r="Q233" s="303"/>
      <c r="R233" s="303"/>
      <c r="S233" s="303"/>
      <c r="T233" s="303"/>
      <c r="U233" s="303"/>
      <c r="V233" s="304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302" t="s">
        <v>87</v>
      </c>
      <c r="Q234" s="303"/>
      <c r="R234" s="303"/>
      <c r="S234" s="303"/>
      <c r="T234" s="303"/>
      <c r="U234" s="303"/>
      <c r="V234" s="304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hidden="1" customHeight="1" x14ac:dyDescent="0.25">
      <c r="A235" s="290" t="s">
        <v>135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0"/>
      <c r="AB235" s="270"/>
      <c r="AC235" s="270"/>
    </row>
    <row r="236" spans="1:68" ht="37.5" hidden="1" customHeight="1" x14ac:dyDescent="0.25">
      <c r="A236" s="54" t="s">
        <v>320</v>
      </c>
      <c r="B236" s="54" t="s">
        <v>321</v>
      </c>
      <c r="C236" s="32">
        <v>4301135400</v>
      </c>
      <c r="D236" s="280">
        <v>4607111039361</v>
      </c>
      <c r="E236" s="281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5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2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4"/>
      <c r="P237" s="302" t="s">
        <v>87</v>
      </c>
      <c r="Q237" s="303"/>
      <c r="R237" s="303"/>
      <c r="S237" s="303"/>
      <c r="T237" s="303"/>
      <c r="U237" s="303"/>
      <c r="V237" s="304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4"/>
      <c r="P238" s="302" t="s">
        <v>87</v>
      </c>
      <c r="Q238" s="303"/>
      <c r="R238" s="303"/>
      <c r="S238" s="303"/>
      <c r="T238" s="303"/>
      <c r="U238" s="303"/>
      <c r="V238" s="304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hidden="1" customHeight="1" x14ac:dyDescent="0.2">
      <c r="A239" s="346" t="s">
        <v>322</v>
      </c>
      <c r="B239" s="347"/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49"/>
      <c r="AB239" s="49"/>
      <c r="AC239" s="49"/>
    </row>
    <row r="240" spans="1:68" ht="16.5" hidden="1" customHeight="1" x14ac:dyDescent="0.25">
      <c r="A240" s="294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1"/>
      <c r="AB240" s="271"/>
      <c r="AC240" s="271"/>
    </row>
    <row r="241" spans="1:68" ht="14.25" hidden="1" customHeight="1" x14ac:dyDescent="0.25">
      <c r="A241" s="290" t="s">
        <v>97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0"/>
      <c r="AB241" s="270"/>
      <c r="AC241" s="270"/>
    </row>
    <row r="242" spans="1:68" ht="27" hidden="1" customHeight="1" x14ac:dyDescent="0.25">
      <c r="A242" s="54" t="s">
        <v>323</v>
      </c>
      <c r="B242" s="54" t="s">
        <v>324</v>
      </c>
      <c r="C242" s="32">
        <v>4301132228</v>
      </c>
      <c r="D242" s="280">
        <v>4640242181950</v>
      </c>
      <c r="E242" s="281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2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4"/>
      <c r="P243" s="302" t="s">
        <v>87</v>
      </c>
      <c r="Q243" s="303"/>
      <c r="R243" s="303"/>
      <c r="S243" s="303"/>
      <c r="T243" s="303"/>
      <c r="U243" s="303"/>
      <c r="V243" s="304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302" t="s">
        <v>87</v>
      </c>
      <c r="Q244" s="303"/>
      <c r="R244" s="303"/>
      <c r="S244" s="303"/>
      <c r="T244" s="303"/>
      <c r="U244" s="303"/>
      <c r="V244" s="304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hidden="1" customHeight="1" x14ac:dyDescent="0.25">
      <c r="A245" s="290" t="s">
        <v>129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0"/>
      <c r="AB245" s="270"/>
      <c r="AC245" s="270"/>
    </row>
    <row r="246" spans="1:68" ht="27" hidden="1" customHeight="1" x14ac:dyDescent="0.25">
      <c r="A246" s="54" t="s">
        <v>326</v>
      </c>
      <c r="B246" s="54" t="s">
        <v>327</v>
      </c>
      <c r="C246" s="32">
        <v>4301136098</v>
      </c>
      <c r="D246" s="280">
        <v>4640242181943</v>
      </c>
      <c r="E246" s="281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2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302" t="s">
        <v>87</v>
      </c>
      <c r="Q247" s="303"/>
      <c r="R247" s="303"/>
      <c r="S247" s="303"/>
      <c r="T247" s="303"/>
      <c r="U247" s="303"/>
      <c r="V247" s="304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4"/>
      <c r="P248" s="302" t="s">
        <v>87</v>
      </c>
      <c r="Q248" s="303"/>
      <c r="R248" s="303"/>
      <c r="S248" s="303"/>
      <c r="T248" s="303"/>
      <c r="U248" s="303"/>
      <c r="V248" s="304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hidden="1" customHeight="1" x14ac:dyDescent="0.2">
      <c r="A249" s="346" t="s">
        <v>329</v>
      </c>
      <c r="B249" s="347"/>
      <c r="C249" s="347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  <c r="AA249" s="49"/>
      <c r="AB249" s="49"/>
      <c r="AC249" s="49"/>
    </row>
    <row r="250" spans="1:68" ht="16.5" hidden="1" customHeight="1" x14ac:dyDescent="0.25">
      <c r="A250" s="294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1"/>
      <c r="AB250" s="271"/>
      <c r="AC250" s="271"/>
    </row>
    <row r="251" spans="1:68" ht="14.25" hidden="1" customHeight="1" x14ac:dyDescent="0.25">
      <c r="A251" s="290" t="s">
        <v>62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0"/>
      <c r="AB251" s="270"/>
      <c r="AC251" s="270"/>
    </row>
    <row r="252" spans="1:68" ht="27" hidden="1" customHeight="1" x14ac:dyDescent="0.25">
      <c r="A252" s="54" t="s">
        <v>330</v>
      </c>
      <c r="B252" s="54" t="s">
        <v>331</v>
      </c>
      <c r="C252" s="32">
        <v>4301071014</v>
      </c>
      <c r="D252" s="280">
        <v>4640242181264</v>
      </c>
      <c r="E252" s="281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29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333</v>
      </c>
      <c r="B253" s="54" t="s">
        <v>334</v>
      </c>
      <c r="C253" s="32">
        <v>4301071021</v>
      </c>
      <c r="D253" s="280">
        <v>4640242181325</v>
      </c>
      <c r="E253" s="281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6"/>
      <c r="R253" s="286"/>
      <c r="S253" s="286"/>
      <c r="T253" s="287"/>
      <c r="U253" s="35"/>
      <c r="V253" s="35"/>
      <c r="W253" s="36" t="s">
        <v>68</v>
      </c>
      <c r="X253" s="276">
        <v>0</v>
      </c>
      <c r="Y253" s="277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302" t="s">
        <v>87</v>
      </c>
      <c r="Q254" s="303"/>
      <c r="R254" s="303"/>
      <c r="S254" s="303"/>
      <c r="T254" s="303"/>
      <c r="U254" s="303"/>
      <c r="V254" s="304"/>
      <c r="W254" s="38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302" t="s">
        <v>87</v>
      </c>
      <c r="Q255" s="303"/>
      <c r="R255" s="303"/>
      <c r="S255" s="303"/>
      <c r="T255" s="303"/>
      <c r="U255" s="303"/>
      <c r="V255" s="304"/>
      <c r="W255" s="38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8"/>
      <c r="AA255" s="279"/>
      <c r="AB255" s="279"/>
      <c r="AC255" s="279"/>
    </row>
    <row r="256" spans="1:68" ht="14.25" hidden="1" customHeight="1" x14ac:dyDescent="0.25">
      <c r="A256" s="290" t="s">
        <v>97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0"/>
      <c r="AB256" s="270"/>
      <c r="AC256" s="270"/>
    </row>
    <row r="257" spans="1:68" ht="27" hidden="1" customHeight="1" x14ac:dyDescent="0.25">
      <c r="A257" s="54" t="s">
        <v>335</v>
      </c>
      <c r="B257" s="54" t="s">
        <v>336</v>
      </c>
      <c r="C257" s="32">
        <v>4301132080</v>
      </c>
      <c r="D257" s="280">
        <v>4640242180397</v>
      </c>
      <c r="E257" s="281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0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5"/>
      <c r="V257" s="35"/>
      <c r="W257" s="36" t="s">
        <v>68</v>
      </c>
      <c r="X257" s="276">
        <v>0</v>
      </c>
      <c r="Y257" s="277">
        <f>IFERROR(IF(X257="","",X257),"")</f>
        <v>0</v>
      </c>
      <c r="Z257" s="37">
        <f>IFERROR(IF(X257="","",X257*0.0155),"")</f>
        <v>0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2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302" t="s">
        <v>87</v>
      </c>
      <c r="Q258" s="303"/>
      <c r="R258" s="303"/>
      <c r="S258" s="303"/>
      <c r="T258" s="303"/>
      <c r="U258" s="303"/>
      <c r="V258" s="304"/>
      <c r="W258" s="38" t="s">
        <v>68</v>
      </c>
      <c r="X258" s="278">
        <f>IFERROR(SUM(X257:X257),"0")</f>
        <v>0</v>
      </c>
      <c r="Y258" s="278">
        <f>IFERROR(SUM(Y257:Y257),"0")</f>
        <v>0</v>
      </c>
      <c r="Z258" s="278">
        <f>IFERROR(IF(Z257="",0,Z257),"0")</f>
        <v>0</v>
      </c>
      <c r="AA258" s="279"/>
      <c r="AB258" s="279"/>
      <c r="AC258" s="279"/>
    </row>
    <row r="259" spans="1:68" hidden="1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4"/>
      <c r="P259" s="302" t="s">
        <v>87</v>
      </c>
      <c r="Q259" s="303"/>
      <c r="R259" s="303"/>
      <c r="S259" s="303"/>
      <c r="T259" s="303"/>
      <c r="U259" s="303"/>
      <c r="V259" s="304"/>
      <c r="W259" s="38" t="s">
        <v>88</v>
      </c>
      <c r="X259" s="278">
        <f>IFERROR(SUMPRODUCT(X257:X257*H257:H257),"0")</f>
        <v>0</v>
      </c>
      <c r="Y259" s="278">
        <f>IFERROR(SUMPRODUCT(Y257:Y257*H257:H257),"0")</f>
        <v>0</v>
      </c>
      <c r="Z259" s="38"/>
      <c r="AA259" s="279"/>
      <c r="AB259" s="279"/>
      <c r="AC259" s="279"/>
    </row>
    <row r="260" spans="1:68" ht="14.25" hidden="1" customHeight="1" x14ac:dyDescent="0.25">
      <c r="A260" s="290" t="s">
        <v>129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0"/>
      <c r="AB260" s="270"/>
      <c r="AC260" s="270"/>
    </row>
    <row r="261" spans="1:68" ht="27" hidden="1" customHeight="1" x14ac:dyDescent="0.25">
      <c r="A261" s="54" t="s">
        <v>338</v>
      </c>
      <c r="B261" s="54" t="s">
        <v>339</v>
      </c>
      <c r="C261" s="32">
        <v>4301136051</v>
      </c>
      <c r="D261" s="280">
        <v>4640242180304</v>
      </c>
      <c r="E261" s="281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80">
        <v>4640242180236</v>
      </c>
      <c r="E262" s="281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5"/>
      <c r="V262" s="35"/>
      <c r="W262" s="36" t="s">
        <v>68</v>
      </c>
      <c r="X262" s="276">
        <v>36</v>
      </c>
      <c r="Y262" s="277">
        <f>IFERROR(IF(X262="","",X262),"")</f>
        <v>36</v>
      </c>
      <c r="Z262" s="37">
        <f>IFERROR(IF(X262="","",X262*0.0155),"")</f>
        <v>0.55800000000000005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188.46</v>
      </c>
      <c r="BN262" s="67">
        <f>IFERROR(Y262*I262,"0")</f>
        <v>188.46</v>
      </c>
      <c r="BO262" s="67">
        <f>IFERROR(X262/J262,"0")</f>
        <v>0.42857142857142855</v>
      </c>
      <c r="BP262" s="67">
        <f>IFERROR(Y262/J262,"0")</f>
        <v>0.42857142857142855</v>
      </c>
    </row>
    <row r="263" spans="1:68" ht="27" hidden="1" customHeight="1" x14ac:dyDescent="0.25">
      <c r="A263" s="54" t="s">
        <v>343</v>
      </c>
      <c r="B263" s="54" t="s">
        <v>344</v>
      </c>
      <c r="C263" s="32">
        <v>4301136052</v>
      </c>
      <c r="D263" s="280">
        <v>4640242180410</v>
      </c>
      <c r="E263" s="281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6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2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4"/>
      <c r="P264" s="302" t="s">
        <v>87</v>
      </c>
      <c r="Q264" s="303"/>
      <c r="R264" s="303"/>
      <c r="S264" s="303"/>
      <c r="T264" s="303"/>
      <c r="U264" s="303"/>
      <c r="V264" s="304"/>
      <c r="W264" s="38" t="s">
        <v>68</v>
      </c>
      <c r="X264" s="278">
        <f>IFERROR(SUM(X261:X263),"0")</f>
        <v>36</v>
      </c>
      <c r="Y264" s="278">
        <f>IFERROR(SUM(Y261:Y263),"0")</f>
        <v>36</v>
      </c>
      <c r="Z264" s="278">
        <f>IFERROR(IF(Z261="",0,Z261),"0")+IFERROR(IF(Z262="",0,Z262),"0")+IFERROR(IF(Z263="",0,Z263),"0")</f>
        <v>0.55800000000000005</v>
      </c>
      <c r="AA264" s="279"/>
      <c r="AB264" s="279"/>
      <c r="AC264" s="279"/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4"/>
      <c r="P265" s="302" t="s">
        <v>87</v>
      </c>
      <c r="Q265" s="303"/>
      <c r="R265" s="303"/>
      <c r="S265" s="303"/>
      <c r="T265" s="303"/>
      <c r="U265" s="303"/>
      <c r="V265" s="304"/>
      <c r="W265" s="38" t="s">
        <v>88</v>
      </c>
      <c r="X265" s="278">
        <f>IFERROR(SUMPRODUCT(X261:X263*H261:H263),"0")</f>
        <v>180</v>
      </c>
      <c r="Y265" s="278">
        <f>IFERROR(SUMPRODUCT(Y261:Y263*H261:H263),"0")</f>
        <v>180</v>
      </c>
      <c r="Z265" s="38"/>
      <c r="AA265" s="279"/>
      <c r="AB265" s="279"/>
      <c r="AC265" s="279"/>
    </row>
    <row r="266" spans="1:68" ht="14.25" hidden="1" customHeight="1" x14ac:dyDescent="0.25">
      <c r="A266" s="290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0"/>
      <c r="AB266" s="270"/>
      <c r="AC266" s="270"/>
    </row>
    <row r="267" spans="1:68" ht="37.5" hidden="1" customHeight="1" x14ac:dyDescent="0.25">
      <c r="A267" s="54" t="s">
        <v>345</v>
      </c>
      <c r="B267" s="54" t="s">
        <v>346</v>
      </c>
      <c r="C267" s="32">
        <v>4301135504</v>
      </c>
      <c r="D267" s="280">
        <v>4640242181554</v>
      </c>
      <c r="E267" s="281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7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2">
        <v>4301135873</v>
      </c>
      <c r="D268" s="280">
        <v>4640242182087</v>
      </c>
      <c r="E268" s="281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1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6"/>
      <c r="R268" s="286"/>
      <c r="S268" s="286"/>
      <c r="T268" s="287"/>
      <c r="U268" s="35"/>
      <c r="V268" s="35"/>
      <c r="W268" s="36" t="s">
        <v>68</v>
      </c>
      <c r="X268" s="276">
        <v>12</v>
      </c>
      <c r="Y268" s="277">
        <f t="shared" si="18"/>
        <v>12</v>
      </c>
      <c r="Z268" s="37">
        <f>IFERROR(IF(X268="","",X268*0.0155),"")</f>
        <v>0.186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62.760000000000005</v>
      </c>
      <c r="BN268" s="67">
        <f t="shared" si="20"/>
        <v>62.760000000000005</v>
      </c>
      <c r="BO268" s="67">
        <f t="shared" si="21"/>
        <v>0.14285714285714285</v>
      </c>
      <c r="BP268" s="67">
        <f t="shared" si="22"/>
        <v>0.14285714285714285</v>
      </c>
    </row>
    <row r="269" spans="1:68" ht="27" customHeight="1" x14ac:dyDescent="0.25">
      <c r="A269" s="54" t="s">
        <v>351</v>
      </c>
      <c r="B269" s="54" t="s">
        <v>352</v>
      </c>
      <c r="C269" s="32">
        <v>4301135374</v>
      </c>
      <c r="D269" s="280">
        <v>4640242181424</v>
      </c>
      <c r="E269" s="281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5"/>
      <c r="V269" s="35"/>
      <c r="W269" s="36" t="s">
        <v>68</v>
      </c>
      <c r="X269" s="276">
        <v>12</v>
      </c>
      <c r="Y269" s="277">
        <f t="shared" si="18"/>
        <v>12</v>
      </c>
      <c r="Z269" s="37">
        <f>IFERROR(IF(X269="","",X269*0.0155),"")</f>
        <v>0.186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353</v>
      </c>
      <c r="B270" s="54" t="s">
        <v>354</v>
      </c>
      <c r="C270" s="32">
        <v>4301135405</v>
      </c>
      <c r="D270" s="280">
        <v>4640242181523</v>
      </c>
      <c r="E270" s="281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6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5"/>
      <c r="V270" s="35"/>
      <c r="W270" s="36" t="s">
        <v>68</v>
      </c>
      <c r="X270" s="276">
        <v>14</v>
      </c>
      <c r="Y270" s="277">
        <f t="shared" si="18"/>
        <v>14</v>
      </c>
      <c r="Z270" s="37">
        <f t="shared" ref="Z270:Z275" si="23">IFERROR(IF(X270="","",X270*0.00936),"")</f>
        <v>0.13103999999999999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customHeight="1" x14ac:dyDescent="0.25">
      <c r="A271" s="54" t="s">
        <v>355</v>
      </c>
      <c r="B271" s="54" t="s">
        <v>356</v>
      </c>
      <c r="C271" s="32">
        <v>4301135375</v>
      </c>
      <c r="D271" s="280">
        <v>4640242181486</v>
      </c>
      <c r="E271" s="281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1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5"/>
      <c r="V271" s="35"/>
      <c r="W271" s="36" t="s">
        <v>68</v>
      </c>
      <c r="X271" s="276">
        <v>14</v>
      </c>
      <c r="Y271" s="277">
        <f t="shared" si="18"/>
        <v>14</v>
      </c>
      <c r="Z271" s="37">
        <f t="shared" si="23"/>
        <v>0.13103999999999999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54.488</v>
      </c>
      <c r="BN271" s="67">
        <f t="shared" si="20"/>
        <v>54.488</v>
      </c>
      <c r="BO271" s="67">
        <f t="shared" si="21"/>
        <v>0.1111111111111111</v>
      </c>
      <c r="BP271" s="67">
        <f t="shared" si="22"/>
        <v>0.1111111111111111</v>
      </c>
    </row>
    <row r="272" spans="1:68" ht="37.5" hidden="1" customHeight="1" x14ac:dyDescent="0.25">
      <c r="A272" s="54" t="s">
        <v>357</v>
      </c>
      <c r="B272" s="54" t="s">
        <v>358</v>
      </c>
      <c r="C272" s="32">
        <v>4301135402</v>
      </c>
      <c r="D272" s="280">
        <v>4640242181493</v>
      </c>
      <c r="E272" s="281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359</v>
      </c>
      <c r="B273" s="54" t="s">
        <v>360</v>
      </c>
      <c r="C273" s="32">
        <v>4301135403</v>
      </c>
      <c r="D273" s="280">
        <v>4640242181509</v>
      </c>
      <c r="E273" s="281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361</v>
      </c>
      <c r="B274" s="54" t="s">
        <v>362</v>
      </c>
      <c r="C274" s="32">
        <v>4301135304</v>
      </c>
      <c r="D274" s="280">
        <v>4640242181240</v>
      </c>
      <c r="E274" s="281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363</v>
      </c>
      <c r="B275" s="54" t="s">
        <v>364</v>
      </c>
      <c r="C275" s="32">
        <v>4301135610</v>
      </c>
      <c r="D275" s="280">
        <v>4640242181318</v>
      </c>
      <c r="E275" s="281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365</v>
      </c>
      <c r="B276" s="54" t="s">
        <v>366</v>
      </c>
      <c r="C276" s="32">
        <v>4301135306</v>
      </c>
      <c r="D276" s="280">
        <v>4640242181387</v>
      </c>
      <c r="E276" s="281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6"/>
      <c r="R276" s="286"/>
      <c r="S276" s="286"/>
      <c r="T276" s="287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2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4"/>
      <c r="P277" s="302" t="s">
        <v>87</v>
      </c>
      <c r="Q277" s="303"/>
      <c r="R277" s="303"/>
      <c r="S277" s="303"/>
      <c r="T277" s="303"/>
      <c r="U277" s="303"/>
      <c r="V277" s="304"/>
      <c r="W277" s="38" t="s">
        <v>68</v>
      </c>
      <c r="X277" s="278">
        <f>IFERROR(SUM(X267:X276),"0")</f>
        <v>52</v>
      </c>
      <c r="Y277" s="278">
        <f>IFERROR(SUM(Y267:Y276),"0")</f>
        <v>52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0.63407999999999998</v>
      </c>
      <c r="AA277" s="279"/>
      <c r="AB277" s="279"/>
      <c r="AC277" s="279"/>
    </row>
    <row r="278" spans="1:68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4"/>
      <c r="P278" s="302" t="s">
        <v>87</v>
      </c>
      <c r="Q278" s="303"/>
      <c r="R278" s="303"/>
      <c r="S278" s="303"/>
      <c r="T278" s="303"/>
      <c r="U278" s="303"/>
      <c r="V278" s="304"/>
      <c r="W278" s="38" t="s">
        <v>88</v>
      </c>
      <c r="X278" s="278">
        <f>IFERROR(SUMPRODUCT(X267:X276*H267:H276),"0")</f>
        <v>219.8</v>
      </c>
      <c r="Y278" s="278">
        <f>IFERROR(SUMPRODUCT(Y267:Y276*H267:H276),"0")</f>
        <v>219.8</v>
      </c>
      <c r="Z278" s="38"/>
      <c r="AA278" s="279"/>
      <c r="AB278" s="279"/>
      <c r="AC278" s="279"/>
    </row>
    <row r="279" spans="1:68" ht="15" customHeight="1" x14ac:dyDescent="0.2">
      <c r="A279" s="384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7"/>
      <c r="P279" s="311" t="s">
        <v>367</v>
      </c>
      <c r="Q279" s="312"/>
      <c r="R279" s="312"/>
      <c r="S279" s="312"/>
      <c r="T279" s="312"/>
      <c r="U279" s="312"/>
      <c r="V279" s="313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5391.2</v>
      </c>
      <c r="Y279" s="278">
        <f>IFERROR(Y31+Y37+Y44+Y50+Y58+Y63+Y68+Y74+Y80+Y85+Y91+Y101+Y107+Y118+Y122+Y126+Y134+Y140+Y146+Y152+Y158+Y163+Y168+Y173+Y180+Y185+Y194+Y200+Y206+Y212+Y217+Y222+Y228+Y234+Y238+Y244+Y248+Y255+Y259+Y265+Y278,"0")</f>
        <v>5391.2</v>
      </c>
      <c r="Z279" s="38"/>
      <c r="AA279" s="279"/>
      <c r="AB279" s="279"/>
      <c r="AC279" s="279"/>
    </row>
    <row r="280" spans="1:68" x14ac:dyDescent="0.2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367"/>
      <c r="P280" s="311" t="s">
        <v>368</v>
      </c>
      <c r="Q280" s="312"/>
      <c r="R280" s="312"/>
      <c r="S280" s="312"/>
      <c r="T280" s="312"/>
      <c r="U280" s="312"/>
      <c r="V280" s="313"/>
      <c r="W280" s="38" t="s">
        <v>88</v>
      </c>
      <c r="X280" s="278">
        <f>IFERROR(SUM(BM22:BM276),"0")</f>
        <v>6176.9172000000017</v>
      </c>
      <c r="Y280" s="278">
        <f>IFERROR(SUM(BN22:BN276),"0")</f>
        <v>6176.9172000000017</v>
      </c>
      <c r="Z280" s="38"/>
      <c r="AA280" s="279"/>
      <c r="AB280" s="279"/>
      <c r="AC280" s="279"/>
    </row>
    <row r="281" spans="1:68" x14ac:dyDescent="0.2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367"/>
      <c r="P281" s="311" t="s">
        <v>369</v>
      </c>
      <c r="Q281" s="312"/>
      <c r="R281" s="312"/>
      <c r="S281" s="312"/>
      <c r="T281" s="312"/>
      <c r="U281" s="312"/>
      <c r="V281" s="313"/>
      <c r="W281" s="38" t="s">
        <v>370</v>
      </c>
      <c r="X281" s="39">
        <f>ROUNDUP(SUM(BO22:BO276),0)</f>
        <v>21</v>
      </c>
      <c r="Y281" s="39">
        <f>ROUNDUP(SUM(BP22:BP276),0)</f>
        <v>21</v>
      </c>
      <c r="Z281" s="38"/>
      <c r="AA281" s="279"/>
      <c r="AB281" s="279"/>
      <c r="AC281" s="279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367"/>
      <c r="P282" s="311" t="s">
        <v>371</v>
      </c>
      <c r="Q282" s="312"/>
      <c r="R282" s="312"/>
      <c r="S282" s="312"/>
      <c r="T282" s="312"/>
      <c r="U282" s="312"/>
      <c r="V282" s="313"/>
      <c r="W282" s="38" t="s">
        <v>88</v>
      </c>
      <c r="X282" s="278">
        <f>GrossWeightTotal+PalletQtyTotal*25</f>
        <v>6701.9172000000017</v>
      </c>
      <c r="Y282" s="278">
        <f>GrossWeightTotalR+PalletQtyTotalR*25</f>
        <v>6701.9172000000017</v>
      </c>
      <c r="Z282" s="38"/>
      <c r="AA282" s="279"/>
      <c r="AB282" s="279"/>
      <c r="AC282" s="279"/>
    </row>
    <row r="283" spans="1:68" x14ac:dyDescent="0.2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67"/>
      <c r="P283" s="311" t="s">
        <v>372</v>
      </c>
      <c r="Q283" s="312"/>
      <c r="R283" s="312"/>
      <c r="S283" s="312"/>
      <c r="T283" s="312"/>
      <c r="U283" s="312"/>
      <c r="V283" s="313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1740</v>
      </c>
      <c r="Y283" s="278">
        <f>IFERROR(Y30+Y36+Y43+Y49+Y57+Y62+Y67+Y73+Y79+Y84+Y90+Y100+Y106+Y117+Y121+Y125+Y133+Y139+Y145+Y151+Y157+Y162+Y167+Y172+Y179+Y184+Y193+Y199+Y205+Y211+Y216+Y221+Y227+Y233+Y237+Y243+Y247+Y254+Y258+Y264+Y277,"0")</f>
        <v>1740</v>
      </c>
      <c r="Z283" s="38"/>
      <c r="AA283" s="279"/>
      <c r="AB283" s="279"/>
      <c r="AC283" s="279"/>
    </row>
    <row r="284" spans="1:68" ht="14.25" hidden="1" customHeight="1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67"/>
      <c r="P284" s="311" t="s">
        <v>373</v>
      </c>
      <c r="Q284" s="312"/>
      <c r="R284" s="312"/>
      <c r="S284" s="312"/>
      <c r="T284" s="312"/>
      <c r="U284" s="312"/>
      <c r="V284" s="313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25.697039999999998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07"/>
      <c r="D286" s="297" t="s">
        <v>95</v>
      </c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7"/>
      <c r="V286" s="297" t="s">
        <v>255</v>
      </c>
      <c r="W286" s="407"/>
      <c r="X286" s="268" t="s">
        <v>266</v>
      </c>
      <c r="Y286" s="297" t="s">
        <v>280</v>
      </c>
      <c r="Z286" s="406"/>
      <c r="AA286" s="406"/>
      <c r="AB286" s="407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9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10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86.4</v>
      </c>
      <c r="C289" s="47">
        <f>IFERROR(X34*H34,"0")+IFERROR(X35*H35,"0")</f>
        <v>0</v>
      </c>
      <c r="D289" s="47">
        <f>IFERROR(X41*H41,"0")+IFERROR(X42*H42,"0")</f>
        <v>294</v>
      </c>
      <c r="E289" s="47">
        <f>IFERROR(X47*H47,"0")+IFERROR(X48*H48,"0")</f>
        <v>67.199999999999989</v>
      </c>
      <c r="F289" s="47">
        <f>IFERROR(X53*H53,"0")+IFERROR(X54*H54,"0")+IFERROR(X55*H55,"0")+IFERROR(X56*H56,"0")</f>
        <v>573.6</v>
      </c>
      <c r="G289" s="47">
        <f>IFERROR(X61*H61,"0")+IFERROR(X65*H65,"0")+IFERROR(X66*H66,"0")+IFERROR(X70*H70,"0")+IFERROR(X71*H71,"0")+IFERROR(X72*H72,"0")</f>
        <v>0</v>
      </c>
      <c r="H289" s="47">
        <f>IFERROR(X77*H77,"0")+IFERROR(X78*H78,"0")</f>
        <v>60</v>
      </c>
      <c r="I289" s="47">
        <f>IFERROR(X83*H83,"0")</f>
        <v>100.8</v>
      </c>
      <c r="J289" s="47">
        <f>IFERROR(X88*H88,"0")+IFERROR(X89*H89,"0")</f>
        <v>201.6</v>
      </c>
      <c r="K289" s="47">
        <f>IFERROR(X94*H94,"0")+IFERROR(X95*H95,"0")+IFERROR(X96*H96,"0")+IFERROR(X97*H97,"0")+IFERROR(X98*H98,"0")+IFERROR(X99*H99,"0")</f>
        <v>719.04000000000008</v>
      </c>
      <c r="L289" s="47">
        <f>IFERROR(X104*H104,"0")+IFERROR(X105*H105,"0")</f>
        <v>50.4</v>
      </c>
      <c r="M289" s="47">
        <f>IFERROR(X110*H110,"0")+IFERROR(X111*H111,"0")+IFERROR(X112*H112,"0")+IFERROR(X113*H113,"0")+IFERROR(X114*H114,"0")+IFERROR(X115*H115,"0")+IFERROR(X116*H116,"0")+IFERROR(X120*H120,"0")+IFERROR(X124*H124,"0")</f>
        <v>336</v>
      </c>
      <c r="N289" s="269"/>
      <c r="O289" s="47">
        <f>IFERROR(X129*H129,"0")+IFERROR(X130*H130,"0")+IFERROR(X131*H131,"0")+IFERROR(X132*H132,"0")+IFERROR(X136*H136,"0")+IFERROR(X137*H137,"0")+IFERROR(X138*H138,"0")</f>
        <v>187.32</v>
      </c>
      <c r="P289" s="47">
        <f>IFERROR(X143*H143,"0")+IFERROR(X144*H144,"0")</f>
        <v>546</v>
      </c>
      <c r="Q289" s="47">
        <f>IFERROR(X149*H149,"0")+IFERROR(X150*H150,"0")</f>
        <v>210</v>
      </c>
      <c r="R289" s="47">
        <f>IFERROR(X155*H155,"0")+IFERROR(X156*H156,"0")</f>
        <v>302.39999999999998</v>
      </c>
      <c r="S289" s="47">
        <f>IFERROR(X161*H161,"0")</f>
        <v>0</v>
      </c>
      <c r="T289" s="47">
        <f>IFERROR(X166*H166,"0")</f>
        <v>0</v>
      </c>
      <c r="U289" s="47">
        <f>IFERROR(X171*H171,"0")</f>
        <v>258.71999999999997</v>
      </c>
      <c r="V289" s="47">
        <f>IFERROR(X177*H177,"0")+IFERROR(X178*H178,"0")</f>
        <v>60</v>
      </c>
      <c r="W289" s="47">
        <f>IFERROR(X183*H183,"0")</f>
        <v>0</v>
      </c>
      <c r="X289" s="47">
        <f>IFERROR(X189*H189,"0")+IFERROR(X190*H190,"0")+IFERROR(X191*H191,"0")+IFERROR(X192*H192,"0")</f>
        <v>168</v>
      </c>
      <c r="Y289" s="47">
        <f>IFERROR(X198*H198,"0")+IFERROR(X202*H202,"0")+IFERROR(X203*H203,"0")+IFERROR(X204*H204,"0")</f>
        <v>409.92</v>
      </c>
      <c r="Z289" s="47">
        <f>IFERROR(X209*H209,"0")+IFERROR(X210*H210,"0")</f>
        <v>0</v>
      </c>
      <c r="AA289" s="47">
        <f>IFERROR(X215*H215,"0")</f>
        <v>360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399.8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1543.2</v>
      </c>
      <c r="B292" s="60">
        <f>SUMPRODUCT(--(BB:BB="ПГП"),--(W:W="кор"),H:H,Y:Y)+SUMPRODUCT(--(BB:BB="ПГП"),--(W:W="кг"),Y:Y)</f>
        <v>3848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40,00"/>
        <filter val="100,80"/>
        <filter val="112,00"/>
        <filter val="12,00"/>
        <filter val="126,00"/>
        <filter val="14,00"/>
        <filter val="140,00"/>
        <filter val="154,00"/>
        <filter val="168,00"/>
        <filter val="180,00"/>
        <filter val="182,00"/>
        <filter val="196,00"/>
        <filter val="201,60"/>
        <filter val="21"/>
        <filter val="210,00"/>
        <filter val="219,80"/>
        <filter val="24,00"/>
        <filter val="258,72"/>
        <filter val="28,00"/>
        <filter val="294,00"/>
        <filter val="302,40"/>
        <filter val="309,12"/>
        <filter val="336,00"/>
        <filter val="36,00"/>
        <filter val="360,00"/>
        <filter val="42,00"/>
        <filter val="48,00"/>
        <filter val="5 391,20"/>
        <filter val="50,40"/>
        <filter val="52,00"/>
        <filter val="546,00"/>
        <filter val="56,00"/>
        <filter val="573,60"/>
        <filter val="6 176,92"/>
        <filter val="6 701,92"/>
        <filter val="60,00"/>
        <filter val="67,20"/>
        <filter val="70,00"/>
        <filter val="719,04"/>
        <filter val="72,00"/>
        <filter val="84,00"/>
        <filter val="86,40"/>
        <filter val="90,72"/>
        <filter val="96,60"/>
      </filters>
    </filterColumn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75:Z75"/>
    <mergeCell ref="P258:V258"/>
    <mergeCell ref="D276:E276"/>
    <mergeCell ref="X287:X288"/>
    <mergeCell ref="Z287:Z288"/>
    <mergeCell ref="P255:V255"/>
    <mergeCell ref="P276:T276"/>
    <mergeCell ref="D257:E257"/>
    <mergeCell ref="P270:T270"/>
    <mergeCell ref="P284:V284"/>
    <mergeCell ref="P63:V63"/>
    <mergeCell ref="D215:E215"/>
    <mergeCell ref="P194:V19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D226:E226"/>
    <mergeCell ref="D270:E270"/>
    <mergeCell ref="P205:V205"/>
    <mergeCell ref="A201:Z201"/>
    <mergeCell ref="P262:T262"/>
    <mergeCell ref="P124:T124"/>
    <mergeCell ref="P163:V163"/>
    <mergeCell ref="A153:Z153"/>
    <mergeCell ref="D97:E97"/>
    <mergeCell ref="M287:M288"/>
    <mergeCell ref="A49:O50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Q6:R6"/>
    <mergeCell ref="A33:Z33"/>
    <mergeCell ref="D25:E25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A64:Z64"/>
    <mergeCell ref="A51:Z51"/>
    <mergeCell ref="D105:E105"/>
    <mergeCell ref="N17:N18"/>
    <mergeCell ref="D22:E22"/>
    <mergeCell ref="D155:E155"/>
    <mergeCell ref="A62:O63"/>
    <mergeCell ref="D149:E149"/>
    <mergeCell ref="P178:T178"/>
    <mergeCell ref="P34:T34"/>
    <mergeCell ref="P105:T105"/>
    <mergeCell ref="D150:E150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D17:AF18"/>
    <mergeCell ref="P167:V167"/>
    <mergeCell ref="AA17:AA18"/>
    <mergeCell ref="A135:Z135"/>
    <mergeCell ref="AC17:AC18"/>
    <mergeCell ref="P107:V107"/>
    <mergeCell ref="P101:V101"/>
    <mergeCell ref="D89:E89"/>
    <mergeCell ref="A224:Z224"/>
    <mergeCell ref="A207:Z207"/>
    <mergeCell ref="P190:T190"/>
    <mergeCell ref="D190:E190"/>
    <mergeCell ref="P203:T203"/>
    <mergeCell ref="A175:Z175"/>
    <mergeCell ref="P117:V117"/>
    <mergeCell ref="P145:V145"/>
    <mergeCell ref="D54:E54"/>
    <mergeCell ref="P65:T65"/>
    <mergeCell ref="P136:T136"/>
    <mergeCell ref="P70:T70"/>
    <mergeCell ref="D171:E171"/>
    <mergeCell ref="P50:V50"/>
    <mergeCell ref="D6:M6"/>
    <mergeCell ref="P57:V57"/>
    <mergeCell ref="P184:V184"/>
    <mergeCell ref="P121:V121"/>
    <mergeCell ref="A182:Z182"/>
    <mergeCell ref="A169:Z169"/>
    <mergeCell ref="P130:T130"/>
    <mergeCell ref="D136:E136"/>
    <mergeCell ref="P111:T111"/>
    <mergeCell ref="P61:T61"/>
    <mergeCell ref="A6:C6"/>
    <mergeCell ref="D113:E113"/>
    <mergeCell ref="D7:M7"/>
    <mergeCell ref="D144:E144"/>
    <mergeCell ref="A184:O185"/>
    <mergeCell ref="P29:T29"/>
    <mergeCell ref="Q9:R9"/>
    <mergeCell ref="P35:T35"/>
    <mergeCell ref="G17:G18"/>
    <mergeCell ref="A8:C8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Q11:R11"/>
    <mergeCell ref="A219:Z219"/>
    <mergeCell ref="V6:W9"/>
    <mergeCell ref="A106:O107"/>
    <mergeCell ref="A59:Z59"/>
    <mergeCell ref="P22:T22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29:E129"/>
    <mergeCell ref="P91:V91"/>
    <mergeCell ref="P236:T236"/>
    <mergeCell ref="A81:Z81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A159:Z159"/>
    <mergeCell ref="D246:E246"/>
    <mergeCell ref="D111:E111"/>
    <mergeCell ref="P212:V212"/>
    <mergeCell ref="A142:Z142"/>
    <mergeCell ref="D65:E65"/>
    <mergeCell ref="A230:Z230"/>
    <mergeCell ref="A235:Z235"/>
    <mergeCell ref="A231:Z231"/>
    <mergeCell ref="P263:T263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