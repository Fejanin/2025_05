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2E9631-BC0A-446A-8587-47D89A5C00A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N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O503" i="1"/>
  <c r="BM503" i="1"/>
  <c r="Y503" i="1"/>
  <c r="BP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BN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P487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BP478" i="1" s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Y464" i="1" s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BP446" i="1" s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P439" i="1"/>
  <c r="X437" i="1"/>
  <c r="X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O428" i="1"/>
  <c r="BM428" i="1"/>
  <c r="Z428" i="1"/>
  <c r="Y428" i="1"/>
  <c r="BN428" i="1" s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BN414" i="1" s="1"/>
  <c r="P414" i="1"/>
  <c r="X411" i="1"/>
  <c r="X410" i="1"/>
  <c r="BO409" i="1"/>
  <c r="BM409" i="1"/>
  <c r="Y409" i="1"/>
  <c r="P409" i="1"/>
  <c r="BO408" i="1"/>
  <c r="BM408" i="1"/>
  <c r="Y408" i="1"/>
  <c r="Y410" i="1" s="1"/>
  <c r="P408" i="1"/>
  <c r="BO407" i="1"/>
  <c r="BM407" i="1"/>
  <c r="Y407" i="1"/>
  <c r="BP407" i="1" s="1"/>
  <c r="P407" i="1"/>
  <c r="X405" i="1"/>
  <c r="X404" i="1"/>
  <c r="BO403" i="1"/>
  <c r="BM403" i="1"/>
  <c r="Z403" i="1"/>
  <c r="Y403" i="1"/>
  <c r="BN403" i="1" s="1"/>
  <c r="P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Z397" i="1"/>
  <c r="Y397" i="1"/>
  <c r="BN397" i="1" s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Z389" i="1"/>
  <c r="Y389" i="1"/>
  <c r="BN389" i="1" s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Z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Z336" i="1"/>
  <c r="Y336" i="1"/>
  <c r="BN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Z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Y267" i="1" s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Y252" i="1" s="1"/>
  <c r="P248" i="1"/>
  <c r="X246" i="1"/>
  <c r="X245" i="1"/>
  <c r="BO244" i="1"/>
  <c r="BM244" i="1"/>
  <c r="Y244" i="1"/>
  <c r="BP244" i="1" s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Y246" i="1" s="1"/>
  <c r="P240" i="1"/>
  <c r="X238" i="1"/>
  <c r="X237" i="1"/>
  <c r="BO236" i="1"/>
  <c r="BM236" i="1"/>
  <c r="Y236" i="1"/>
  <c r="BP236" i="1" s="1"/>
  <c r="P236" i="1"/>
  <c r="BP235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BN223" i="1" s="1"/>
  <c r="P223" i="1"/>
  <c r="X221" i="1"/>
  <c r="X220" i="1"/>
  <c r="BO219" i="1"/>
  <c r="BM219" i="1"/>
  <c r="Z219" i="1"/>
  <c r="Z220" i="1" s="1"/>
  <c r="Y219" i="1"/>
  <c r="Y220" i="1" s="1"/>
  <c r="P219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X204" i="1"/>
  <c r="X203" i="1"/>
  <c r="BO202" i="1"/>
  <c r="BM202" i="1"/>
  <c r="Z202" i="1"/>
  <c r="Z203" i="1" s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M167" i="1"/>
  <c r="Y167" i="1"/>
  <c r="P167" i="1"/>
  <c r="BO166" i="1"/>
  <c r="BM166" i="1"/>
  <c r="Y166" i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Y159" i="1" s="1"/>
  <c r="P155" i="1"/>
  <c r="BO154" i="1"/>
  <c r="BM154" i="1"/>
  <c r="Y154" i="1"/>
  <c r="BP154" i="1" s="1"/>
  <c r="P154" i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Y144" i="1" s="1"/>
  <c r="P140" i="1"/>
  <c r="BO139" i="1"/>
  <c r="BM139" i="1"/>
  <c r="Y139" i="1"/>
  <c r="BN139" i="1" s="1"/>
  <c r="P139" i="1"/>
  <c r="X137" i="1"/>
  <c r="X136" i="1"/>
  <c r="BO135" i="1"/>
  <c r="BM135" i="1"/>
  <c r="Y135" i="1"/>
  <c r="P135" i="1"/>
  <c r="BO134" i="1"/>
  <c r="BM134" i="1"/>
  <c r="Y134" i="1"/>
  <c r="P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O120" i="1"/>
  <c r="BM120" i="1"/>
  <c r="Z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Z97" i="1"/>
  <c r="Y97" i="1"/>
  <c r="BN97" i="1" s="1"/>
  <c r="P97" i="1"/>
  <c r="BO96" i="1"/>
  <c r="BM96" i="1"/>
  <c r="Y96" i="1"/>
  <c r="BP96" i="1" s="1"/>
  <c r="P96" i="1"/>
  <c r="BO95" i="1"/>
  <c r="BM95" i="1"/>
  <c r="Y95" i="1"/>
  <c r="BN95" i="1" s="1"/>
  <c r="P95" i="1"/>
  <c r="X93" i="1"/>
  <c r="X92" i="1"/>
  <c r="BO91" i="1"/>
  <c r="BM91" i="1"/>
  <c r="Y91" i="1"/>
  <c r="BN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BP82" i="1" s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N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P27" i="1"/>
  <c r="X25" i="1"/>
  <c r="X24" i="1"/>
  <c r="X554" i="1" s="1"/>
  <c r="BO23" i="1"/>
  <c r="BM23" i="1"/>
  <c r="Y23" i="1"/>
  <c r="BP23" i="1" s="1"/>
  <c r="P23" i="1"/>
  <c r="BO22" i="1"/>
  <c r="X552" i="1" s="1"/>
  <c r="BM22" i="1"/>
  <c r="Y22" i="1"/>
  <c r="B560" i="1" s="1"/>
  <c r="P22" i="1"/>
  <c r="H10" i="1"/>
  <c r="A9" i="1"/>
  <c r="A10" i="1" s="1"/>
  <c r="D7" i="1"/>
  <c r="Q6" i="1"/>
  <c r="P2" i="1"/>
  <c r="BN104" i="1" l="1"/>
  <c r="BN147" i="1"/>
  <c r="BN184" i="1"/>
  <c r="BN212" i="1"/>
  <c r="Z212" i="1"/>
  <c r="BN227" i="1"/>
  <c r="Z227" i="1"/>
  <c r="BN243" i="1"/>
  <c r="Z243" i="1"/>
  <c r="BP281" i="1"/>
  <c r="BN281" i="1"/>
  <c r="Z281" i="1"/>
  <c r="BN287" i="1"/>
  <c r="Z287" i="1"/>
  <c r="BP329" i="1"/>
  <c r="BN329" i="1"/>
  <c r="Z329" i="1"/>
  <c r="BP363" i="1"/>
  <c r="BN363" i="1"/>
  <c r="Z363" i="1"/>
  <c r="BN371" i="1"/>
  <c r="BP383" i="1"/>
  <c r="BN383" i="1"/>
  <c r="Z383" i="1"/>
  <c r="BN461" i="1"/>
  <c r="Z461" i="1"/>
  <c r="BN478" i="1"/>
  <c r="Y527" i="1"/>
  <c r="Y526" i="1"/>
  <c r="BN525" i="1"/>
  <c r="Z23" i="1"/>
  <c r="BN23" i="1"/>
  <c r="X550" i="1"/>
  <c r="Y33" i="1"/>
  <c r="Z35" i="1"/>
  <c r="Z36" i="1" s="1"/>
  <c r="BN35" i="1"/>
  <c r="BP35" i="1"/>
  <c r="Y36" i="1"/>
  <c r="Z41" i="1"/>
  <c r="BN41" i="1"/>
  <c r="Y46" i="1"/>
  <c r="Z53" i="1"/>
  <c r="BN53" i="1"/>
  <c r="E560" i="1"/>
  <c r="Z66" i="1"/>
  <c r="BN66" i="1"/>
  <c r="Y75" i="1"/>
  <c r="Z82" i="1"/>
  <c r="BN82" i="1"/>
  <c r="Y85" i="1"/>
  <c r="BP114" i="1"/>
  <c r="BP116" i="1"/>
  <c r="BN116" i="1"/>
  <c r="Z116" i="1"/>
  <c r="BN133" i="1"/>
  <c r="BN167" i="1"/>
  <c r="Z167" i="1"/>
  <c r="BP198" i="1"/>
  <c r="BN198" i="1"/>
  <c r="Z198" i="1"/>
  <c r="BP212" i="1"/>
  <c r="BP214" i="1"/>
  <c r="BN214" i="1"/>
  <c r="Z214" i="1"/>
  <c r="BP227" i="1"/>
  <c r="BP229" i="1"/>
  <c r="BN229" i="1"/>
  <c r="Z229" i="1"/>
  <c r="BN235" i="1"/>
  <c r="Z235" i="1"/>
  <c r="BP243" i="1"/>
  <c r="BN264" i="1"/>
  <c r="BP287" i="1"/>
  <c r="BP289" i="1"/>
  <c r="BN289" i="1"/>
  <c r="Z289" i="1"/>
  <c r="BP295" i="1"/>
  <c r="BN295" i="1"/>
  <c r="Z295" i="1"/>
  <c r="BN306" i="1"/>
  <c r="BN327" i="1"/>
  <c r="Z327" i="1"/>
  <c r="BN381" i="1"/>
  <c r="Z381" i="1"/>
  <c r="BN424" i="1"/>
  <c r="BN446" i="1"/>
  <c r="BP461" i="1"/>
  <c r="BN470" i="1"/>
  <c r="BN487" i="1"/>
  <c r="BP501" i="1"/>
  <c r="BN501" i="1"/>
  <c r="Z501" i="1"/>
  <c r="BP507" i="1"/>
  <c r="BN507" i="1"/>
  <c r="Z507" i="1"/>
  <c r="Y510" i="1"/>
  <c r="BN517" i="1"/>
  <c r="Y535" i="1"/>
  <c r="Y534" i="1"/>
  <c r="BN533" i="1"/>
  <c r="Y124" i="1"/>
  <c r="BP120" i="1"/>
  <c r="BN154" i="1"/>
  <c r="BP172" i="1"/>
  <c r="Y189" i="1"/>
  <c r="BP180" i="1"/>
  <c r="BN192" i="1"/>
  <c r="BP202" i="1"/>
  <c r="BN208" i="1"/>
  <c r="BP219" i="1"/>
  <c r="BN231" i="1"/>
  <c r="BN275" i="1"/>
  <c r="BN283" i="1"/>
  <c r="BN291" i="1"/>
  <c r="Y298" i="1"/>
  <c r="BP302" i="1"/>
  <c r="BP336" i="1"/>
  <c r="BP345" i="1"/>
  <c r="BN365" i="1"/>
  <c r="Y378" i="1"/>
  <c r="BP375" i="1"/>
  <c r="BP389" i="1"/>
  <c r="BP397" i="1"/>
  <c r="BP403" i="1"/>
  <c r="BN407" i="1"/>
  <c r="BP428" i="1"/>
  <c r="BN440" i="1"/>
  <c r="BN472" i="1"/>
  <c r="BN489" i="1"/>
  <c r="BN497" i="1"/>
  <c r="BN503" i="1"/>
  <c r="BN509" i="1"/>
  <c r="BN519" i="1"/>
  <c r="X551" i="1"/>
  <c r="X553" i="1" s="1"/>
  <c r="F560" i="1"/>
  <c r="BP106" i="1"/>
  <c r="BN106" i="1"/>
  <c r="Z106" i="1"/>
  <c r="BN156" i="1"/>
  <c r="BP156" i="1"/>
  <c r="Z156" i="1"/>
  <c r="BN210" i="1"/>
  <c r="BP210" i="1"/>
  <c r="Z210" i="1"/>
  <c r="BN225" i="1"/>
  <c r="BP225" i="1"/>
  <c r="Z225" i="1"/>
  <c r="BN367" i="1"/>
  <c r="BP367" i="1"/>
  <c r="Z367" i="1"/>
  <c r="BN451" i="1"/>
  <c r="BP451" i="1"/>
  <c r="Z451" i="1"/>
  <c r="BP469" i="1"/>
  <c r="BN469" i="1"/>
  <c r="Z469" i="1"/>
  <c r="Y485" i="1"/>
  <c r="Y484" i="1"/>
  <c r="BN483" i="1"/>
  <c r="BP483" i="1"/>
  <c r="Z483" i="1"/>
  <c r="Z484" i="1" s="1"/>
  <c r="BN499" i="1"/>
  <c r="BP499" i="1"/>
  <c r="Z499" i="1"/>
  <c r="Y531" i="1"/>
  <c r="Y530" i="1"/>
  <c r="BN529" i="1"/>
  <c r="BP529" i="1"/>
  <c r="Z529" i="1"/>
  <c r="Z530" i="1" s="1"/>
  <c r="Z27" i="1"/>
  <c r="BP27" i="1"/>
  <c r="BN31" i="1"/>
  <c r="Z43" i="1"/>
  <c r="BP43" i="1"/>
  <c r="Z51" i="1"/>
  <c r="BP51" i="1"/>
  <c r="Z60" i="1"/>
  <c r="BP60" i="1"/>
  <c r="BN64" i="1"/>
  <c r="BN70" i="1"/>
  <c r="BN78" i="1"/>
  <c r="Z89" i="1"/>
  <c r="BN149" i="1"/>
  <c r="BP149" i="1"/>
  <c r="Z149" i="1"/>
  <c r="BN186" i="1"/>
  <c r="BP186" i="1"/>
  <c r="Z186" i="1"/>
  <c r="BN395" i="1"/>
  <c r="BP395" i="1"/>
  <c r="Z395" i="1"/>
  <c r="Y405" i="1"/>
  <c r="BN401" i="1"/>
  <c r="Y404" i="1"/>
  <c r="BP401" i="1"/>
  <c r="Z401" i="1"/>
  <c r="BN416" i="1"/>
  <c r="BP416" i="1"/>
  <c r="Z416" i="1"/>
  <c r="BN513" i="1"/>
  <c r="BP513" i="1"/>
  <c r="Z513" i="1"/>
  <c r="BP91" i="1"/>
  <c r="Y100" i="1"/>
  <c r="BP95" i="1"/>
  <c r="Z95" i="1"/>
  <c r="BN112" i="1"/>
  <c r="BP112" i="1"/>
  <c r="Z112" i="1"/>
  <c r="BN141" i="1"/>
  <c r="BP141" i="1"/>
  <c r="Z141" i="1"/>
  <c r="BN233" i="1"/>
  <c r="BP233" i="1"/>
  <c r="Z233" i="1"/>
  <c r="BN241" i="1"/>
  <c r="BP241" i="1"/>
  <c r="Z241" i="1"/>
  <c r="BN249" i="1"/>
  <c r="BP249" i="1"/>
  <c r="Z249" i="1"/>
  <c r="BN285" i="1"/>
  <c r="BP285" i="1"/>
  <c r="Z285" i="1"/>
  <c r="BN358" i="1"/>
  <c r="BP358" i="1"/>
  <c r="Z358" i="1"/>
  <c r="BN409" i="1"/>
  <c r="BP409" i="1"/>
  <c r="Z409" i="1"/>
  <c r="Y539" i="1"/>
  <c r="Y538" i="1"/>
  <c r="BN537" i="1"/>
  <c r="BP537" i="1"/>
  <c r="Z537" i="1"/>
  <c r="Z538" i="1" s="1"/>
  <c r="BN27" i="1"/>
  <c r="Y32" i="1"/>
  <c r="Z31" i="1"/>
  <c r="Y56" i="1"/>
  <c r="Z64" i="1"/>
  <c r="Z70" i="1"/>
  <c r="BP70" i="1"/>
  <c r="Z78" i="1"/>
  <c r="Y84" i="1"/>
  <c r="BN89" i="1"/>
  <c r="Z91" i="1"/>
  <c r="BP97" i="1"/>
  <c r="BN135" i="1"/>
  <c r="BP135" i="1"/>
  <c r="Z135" i="1"/>
  <c r="BN178" i="1"/>
  <c r="BP178" i="1"/>
  <c r="Z178" i="1"/>
  <c r="BN343" i="1"/>
  <c r="BP343" i="1"/>
  <c r="Z343" i="1"/>
  <c r="BN351" i="1"/>
  <c r="BP351" i="1"/>
  <c r="Z351" i="1"/>
  <c r="BN373" i="1"/>
  <c r="BP373" i="1"/>
  <c r="Z373" i="1"/>
  <c r="BN426" i="1"/>
  <c r="BP426" i="1"/>
  <c r="Z426" i="1"/>
  <c r="BN434" i="1"/>
  <c r="BP434" i="1"/>
  <c r="Z434" i="1"/>
  <c r="G560" i="1"/>
  <c r="Y143" i="1"/>
  <c r="Y150" i="1"/>
  <c r="Y195" i="1"/>
  <c r="Y238" i="1"/>
  <c r="Y277" i="1"/>
  <c r="S560" i="1"/>
  <c r="Y418" i="1"/>
  <c r="Y431" i="1"/>
  <c r="Y443" i="1"/>
  <c r="Z104" i="1"/>
  <c r="BN120" i="1"/>
  <c r="Z133" i="1"/>
  <c r="Z139" i="1"/>
  <c r="BP139" i="1"/>
  <c r="Z147" i="1"/>
  <c r="Z154" i="1"/>
  <c r="BN172" i="1"/>
  <c r="Y175" i="1"/>
  <c r="Z184" i="1"/>
  <c r="Z192" i="1"/>
  <c r="BN202" i="1"/>
  <c r="Y203" i="1"/>
  <c r="Z208" i="1"/>
  <c r="BN219" i="1"/>
  <c r="Z223" i="1"/>
  <c r="BP223" i="1"/>
  <c r="Z231" i="1"/>
  <c r="Z264" i="1"/>
  <c r="Z275" i="1"/>
  <c r="Z283" i="1"/>
  <c r="Z291" i="1"/>
  <c r="Y297" i="1"/>
  <c r="Z306" i="1"/>
  <c r="Y322" i="1"/>
  <c r="Z356" i="1"/>
  <c r="BP356" i="1"/>
  <c r="Z365" i="1"/>
  <c r="Z371" i="1"/>
  <c r="Z407" i="1"/>
  <c r="Z414" i="1"/>
  <c r="BP414" i="1"/>
  <c r="Z424" i="1"/>
  <c r="Z440" i="1"/>
  <c r="Z472" i="1"/>
  <c r="Z489" i="1"/>
  <c r="Z560" i="1"/>
  <c r="Z497" i="1"/>
  <c r="Z519" i="1"/>
  <c r="Y543" i="1"/>
  <c r="J560" i="1"/>
  <c r="M560" i="1"/>
  <c r="O560" i="1"/>
  <c r="Y359" i="1"/>
  <c r="Y385" i="1"/>
  <c r="Y417" i="1"/>
  <c r="Z446" i="1"/>
  <c r="Z470" i="1"/>
  <c r="Z478" i="1"/>
  <c r="Z487" i="1"/>
  <c r="Z490" i="1" s="1"/>
  <c r="Z495" i="1"/>
  <c r="BP495" i="1"/>
  <c r="Z503" i="1"/>
  <c r="Y511" i="1"/>
  <c r="Z509" i="1"/>
  <c r="Z517" i="1"/>
  <c r="Z525" i="1"/>
  <c r="Z526" i="1" s="1"/>
  <c r="BP525" i="1"/>
  <c r="Z533" i="1"/>
  <c r="Z534" i="1" s="1"/>
  <c r="BP533" i="1"/>
  <c r="Z541" i="1"/>
  <c r="BP541" i="1"/>
  <c r="F9" i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0" i="1"/>
  <c r="Z42" i="1"/>
  <c r="Z46" i="1" s="1"/>
  <c r="BN42" i="1"/>
  <c r="BP42" i="1"/>
  <c r="Z44" i="1"/>
  <c r="BN44" i="1"/>
  <c r="Y47" i="1"/>
  <c r="D560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Y74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Z98" i="1"/>
  <c r="BN98" i="1"/>
  <c r="Y99" i="1"/>
  <c r="Z103" i="1"/>
  <c r="BN103" i="1"/>
  <c r="BP103" i="1"/>
  <c r="Z105" i="1"/>
  <c r="BN105" i="1"/>
  <c r="Z107" i="1"/>
  <c r="BN107" i="1"/>
  <c r="Y110" i="1"/>
  <c r="Y118" i="1"/>
  <c r="Z113" i="1"/>
  <c r="BN113" i="1"/>
  <c r="Z115" i="1"/>
  <c r="BN115" i="1"/>
  <c r="BP121" i="1"/>
  <c r="BN121" i="1"/>
  <c r="Z121" i="1"/>
  <c r="BP134" i="1"/>
  <c r="BN134" i="1"/>
  <c r="Z134" i="1"/>
  <c r="H9" i="1"/>
  <c r="Y24" i="1"/>
  <c r="Y67" i="1"/>
  <c r="Y92" i="1"/>
  <c r="Z108" i="1"/>
  <c r="BN108" i="1"/>
  <c r="Y109" i="1"/>
  <c r="Y117" i="1"/>
  <c r="BP123" i="1"/>
  <c r="BN123" i="1"/>
  <c r="Z123" i="1"/>
  <c r="Y125" i="1"/>
  <c r="Y128" i="1"/>
  <c r="BP127" i="1"/>
  <c r="BN127" i="1"/>
  <c r="Z127" i="1"/>
  <c r="Z128" i="1" s="1"/>
  <c r="Y129" i="1"/>
  <c r="H560" i="1"/>
  <c r="Y136" i="1"/>
  <c r="Y137" i="1"/>
  <c r="BP132" i="1"/>
  <c r="BN132" i="1"/>
  <c r="Z132" i="1"/>
  <c r="Z140" i="1"/>
  <c r="Z143" i="1" s="1"/>
  <c r="BN140" i="1"/>
  <c r="BP140" i="1"/>
  <c r="Z142" i="1"/>
  <c r="BN142" i="1"/>
  <c r="Z146" i="1"/>
  <c r="BN146" i="1"/>
  <c r="BP146" i="1"/>
  <c r="Z148" i="1"/>
  <c r="BN148" i="1"/>
  <c r="Y151" i="1"/>
  <c r="I560" i="1"/>
  <c r="Z155" i="1"/>
  <c r="Z158" i="1" s="1"/>
  <c r="BN155" i="1"/>
  <c r="BP155" i="1"/>
  <c r="Z157" i="1"/>
  <c r="BN157" i="1"/>
  <c r="Y158" i="1"/>
  <c r="Z161" i="1"/>
  <c r="Z162" i="1" s="1"/>
  <c r="BN161" i="1"/>
  <c r="BP161" i="1"/>
  <c r="Y162" i="1"/>
  <c r="Z166" i="1"/>
  <c r="BN166" i="1"/>
  <c r="BP166" i="1"/>
  <c r="Z168" i="1"/>
  <c r="BN168" i="1"/>
  <c r="Y169" i="1"/>
  <c r="Z173" i="1"/>
  <c r="Z174" i="1" s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BN197" i="1"/>
  <c r="BP197" i="1"/>
  <c r="Y200" i="1"/>
  <c r="K560" i="1"/>
  <c r="Z209" i="1"/>
  <c r="BN209" i="1"/>
  <c r="Z211" i="1"/>
  <c r="BN211" i="1"/>
  <c r="Z213" i="1"/>
  <c r="BN213" i="1"/>
  <c r="Y216" i="1"/>
  <c r="L560" i="1"/>
  <c r="Y221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BN240" i="1"/>
  <c r="BP240" i="1"/>
  <c r="Z242" i="1"/>
  <c r="BN242" i="1"/>
  <c r="Z244" i="1"/>
  <c r="BN244" i="1"/>
  <c r="Y245" i="1"/>
  <c r="Z248" i="1"/>
  <c r="BN248" i="1"/>
  <c r="BP248" i="1"/>
  <c r="Z250" i="1"/>
  <c r="BN250" i="1"/>
  <c r="Y251" i="1"/>
  <c r="Z254" i="1"/>
  <c r="Z255" i="1" s="1"/>
  <c r="BN254" i="1"/>
  <c r="BP254" i="1"/>
  <c r="Y255" i="1"/>
  <c r="Z259" i="1"/>
  <c r="BN259" i="1"/>
  <c r="BP259" i="1"/>
  <c r="Y262" i="1"/>
  <c r="Z265" i="1"/>
  <c r="Z266" i="1" s="1"/>
  <c r="BN265" i="1"/>
  <c r="Y266" i="1"/>
  <c r="Z269" i="1"/>
  <c r="BN269" i="1"/>
  <c r="BP269" i="1"/>
  <c r="Z271" i="1"/>
  <c r="BN271" i="1"/>
  <c r="Z273" i="1"/>
  <c r="BN273" i="1"/>
  <c r="BP274" i="1"/>
  <c r="BN274" i="1"/>
  <c r="BP276" i="1"/>
  <c r="BN276" i="1"/>
  <c r="Z276" i="1"/>
  <c r="Y278" i="1"/>
  <c r="Y292" i="1"/>
  <c r="Y293" i="1"/>
  <c r="BP280" i="1"/>
  <c r="BN280" i="1"/>
  <c r="Z280" i="1"/>
  <c r="BP284" i="1"/>
  <c r="BN284" i="1"/>
  <c r="Z284" i="1"/>
  <c r="BP288" i="1"/>
  <c r="BN288" i="1"/>
  <c r="Z288" i="1"/>
  <c r="Y170" i="1"/>
  <c r="Y215" i="1"/>
  <c r="Z260" i="1"/>
  <c r="BN260" i="1"/>
  <c r="Y261" i="1"/>
  <c r="BP264" i="1"/>
  <c r="Z270" i="1"/>
  <c r="BN270" i="1"/>
  <c r="Z272" i="1"/>
  <c r="BN272" i="1"/>
  <c r="Z274" i="1"/>
  <c r="BP282" i="1"/>
  <c r="BN282" i="1"/>
  <c r="Z282" i="1"/>
  <c r="BP286" i="1"/>
  <c r="BN286" i="1"/>
  <c r="Z286" i="1"/>
  <c r="Z290" i="1"/>
  <c r="BN290" i="1"/>
  <c r="Z296" i="1"/>
  <c r="Z297" i="1" s="1"/>
  <c r="BN296" i="1"/>
  <c r="BP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BP319" i="1"/>
  <c r="Z321" i="1"/>
  <c r="BN321" i="1"/>
  <c r="Y323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Q560" i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9" i="1"/>
  <c r="BP394" i="1"/>
  <c r="BN394" i="1"/>
  <c r="Z394" i="1"/>
  <c r="Y398" i="1"/>
  <c r="Z404" i="1"/>
  <c r="BP402" i="1"/>
  <c r="BN402" i="1"/>
  <c r="Z402" i="1"/>
  <c r="Y411" i="1"/>
  <c r="BP415" i="1"/>
  <c r="BN415" i="1"/>
  <c r="Z415" i="1"/>
  <c r="Z417" i="1" s="1"/>
  <c r="U560" i="1"/>
  <c r="BP425" i="1"/>
  <c r="BN425" i="1"/>
  <c r="Z425" i="1"/>
  <c r="BP429" i="1"/>
  <c r="BN429" i="1"/>
  <c r="Z429" i="1"/>
  <c r="Y436" i="1"/>
  <c r="BP433" i="1"/>
  <c r="BN433" i="1"/>
  <c r="Z433" i="1"/>
  <c r="BP441" i="1"/>
  <c r="BN441" i="1"/>
  <c r="Z441" i="1"/>
  <c r="Y448" i="1"/>
  <c r="BP445" i="1"/>
  <c r="BN445" i="1"/>
  <c r="Z445" i="1"/>
  <c r="Z447" i="1" s="1"/>
  <c r="W560" i="1"/>
  <c r="BP462" i="1"/>
  <c r="BN462" i="1"/>
  <c r="Z462" i="1"/>
  <c r="Y30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Y368" i="1"/>
  <c r="BP372" i="1"/>
  <c r="BN372" i="1"/>
  <c r="Z372" i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08" i="1"/>
  <c r="BN408" i="1"/>
  <c r="Z408" i="1"/>
  <c r="Z410" i="1" s="1"/>
  <c r="BP423" i="1"/>
  <c r="BN423" i="1"/>
  <c r="Z423" i="1"/>
  <c r="BP427" i="1"/>
  <c r="BN427" i="1"/>
  <c r="Z427" i="1"/>
  <c r="BP435" i="1"/>
  <c r="BN435" i="1"/>
  <c r="Z435" i="1"/>
  <c r="Y437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X560" i="1"/>
  <c r="Y474" i="1"/>
  <c r="BP471" i="1"/>
  <c r="BN471" i="1"/>
  <c r="Z471" i="1"/>
  <c r="BP488" i="1"/>
  <c r="BN488" i="1"/>
  <c r="Z488" i="1"/>
  <c r="BP498" i="1"/>
  <c r="BN498" i="1"/>
  <c r="Z498" i="1"/>
  <c r="BP502" i="1"/>
  <c r="BN502" i="1"/>
  <c r="Z502" i="1"/>
  <c r="BP514" i="1"/>
  <c r="BN514" i="1"/>
  <c r="Z514" i="1"/>
  <c r="BP518" i="1"/>
  <c r="BN518" i="1"/>
  <c r="Z518" i="1"/>
  <c r="Y560" i="1"/>
  <c r="Y360" i="1"/>
  <c r="T560" i="1"/>
  <c r="Y369" i="1"/>
  <c r="V560" i="1"/>
  <c r="Y430" i="1"/>
  <c r="Y453" i="1"/>
  <c r="Z468" i="1"/>
  <c r="BN468" i="1"/>
  <c r="BP468" i="1"/>
  <c r="BP473" i="1"/>
  <c r="BN473" i="1"/>
  <c r="Z473" i="1"/>
  <c r="Y475" i="1"/>
  <c r="Y480" i="1"/>
  <c r="BP477" i="1"/>
  <c r="BN477" i="1"/>
  <c r="Z477" i="1"/>
  <c r="Z479" i="1" s="1"/>
  <c r="Y491" i="1"/>
  <c r="Y490" i="1"/>
  <c r="BP496" i="1"/>
  <c r="BN496" i="1"/>
  <c r="Z496" i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Z520" i="1" s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504" i="1" l="1"/>
  <c r="Z463" i="1"/>
  <c r="Z430" i="1"/>
  <c r="Z378" i="1"/>
  <c r="Z368" i="1"/>
  <c r="Z199" i="1"/>
  <c r="Z117" i="1"/>
  <c r="Z92" i="1"/>
  <c r="Z74" i="1"/>
  <c r="Z188" i="1"/>
  <c r="Z136" i="1"/>
  <c r="Z55" i="1"/>
  <c r="Z474" i="1"/>
  <c r="Z237" i="1"/>
  <c r="Z194" i="1"/>
  <c r="Z150" i="1"/>
  <c r="Z124" i="1"/>
  <c r="Z99" i="1"/>
  <c r="Z67" i="1"/>
  <c r="Z215" i="1"/>
  <c r="Z347" i="1"/>
  <c r="Z436" i="1"/>
  <c r="Z385" i="1"/>
  <c r="Z338" i="1"/>
  <c r="Z331" i="1"/>
  <c r="Z322" i="1"/>
  <c r="Z308" i="1"/>
  <c r="Z292" i="1"/>
  <c r="Z261" i="1"/>
  <c r="Z251" i="1"/>
  <c r="Z245" i="1"/>
  <c r="Z169" i="1"/>
  <c r="Y554" i="1"/>
  <c r="Z109" i="1"/>
  <c r="Y552" i="1"/>
  <c r="Z398" i="1"/>
  <c r="Z277" i="1"/>
  <c r="Y550" i="1"/>
  <c r="Y551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<sst xmlns="http://schemas.openxmlformats.org/spreadsheetml/2006/main" count="2502" uniqueCount="908">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</sst>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46243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Воскресенье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0.41666666666666669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8</v>
      </c>
      <c r="Y29" s="628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14.133333333333333</v>
      </c>
      <c r="BN29" s="64">
        <f>IFERROR(Y29*I29/H29,"0")</f>
        <v>15.9</v>
      </c>
      <c r="BO29" s="64">
        <f>IFERROR(1/J29*(X29/H29),"0")</f>
        <v>2.4420024420024423E-2</v>
      </c>
      <c r="BP29" s="64">
        <f>IFERROR(1/J29*(Y29/H29),"0")</f>
        <v>2.7472527472527476E-2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14</v>
      </c>
      <c r="Y30" s="628">
        <f>IFERROR(IF(X30="",0,CEILING((X30/$H30),1)*$H30),"")</f>
        <v>14.4</v>
      </c>
      <c r="Z30" s="36">
        <f>IFERROR(IF(Y30=0,"",ROUNDUP(Y30/H30,0)*0.00651),"")</f>
        <v>5.2080000000000001E-2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24.733333333333334</v>
      </c>
      <c r="BN30" s="64">
        <f>IFERROR(Y30*I30/H30,"0")</f>
        <v>25.44</v>
      </c>
      <c r="BO30" s="64">
        <f>IFERROR(1/J30*(X30/H30),"0")</f>
        <v>4.2735042735042736E-2</v>
      </c>
      <c r="BP30" s="64">
        <f>IFERROR(1/J30*(Y30/H30),"0")</f>
        <v>4.3956043956043959E-2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12.222222222222221</v>
      </c>
      <c r="Y32" s="629">
        <f>IFERROR(Y27/H27,"0")+IFERROR(Y28/H28,"0")+IFERROR(Y29/H29,"0")+IFERROR(Y30/H30,"0")+IFERROR(Y31/H31,"0")</f>
        <v>13</v>
      </c>
      <c r="Z32" s="629">
        <f>IFERROR(IF(Z27="",0,Z27),"0")+IFERROR(IF(Z28="",0,Z28),"0")+IFERROR(IF(Z29="",0,Z29),"0")+IFERROR(IF(Z30="",0,Z30),"0")+IFERROR(IF(Z31="",0,Z31),"0")</f>
        <v>8.4630000000000011E-2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22</v>
      </c>
      <c r="Y33" s="629">
        <f>IFERROR(SUM(Y27:Y31),"0")</f>
        <v>23.4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52</v>
      </c>
      <c r="Y70" s="628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53.974074074074075</v>
      </c>
      <c r="BN70" s="64">
        <f>IFERROR(Y70*I70/H70,"0")</f>
        <v>56.05</v>
      </c>
      <c r="BO70" s="64">
        <f>IFERROR(1/J70*(X70/H70),"0")</f>
        <v>7.5231481481481483E-2</v>
      </c>
      <c r="BP70" s="64">
        <f>IFERROR(1/J70*(Y70/H70),"0")</f>
        <v>7.8125E-2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4.8148148148148149</v>
      </c>
      <c r="Y74" s="629">
        <f>IFERROR(Y70/H70,"0")+IFERROR(Y71/H71,"0")+IFERROR(Y72/H72,"0")+IFERROR(Y73/H73,"0")</f>
        <v>5</v>
      </c>
      <c r="Z74" s="629">
        <f>IFERROR(IF(Z70="",0,Z70),"0")+IFERROR(IF(Z71="",0,Z71),"0")+IFERROR(IF(Z72="",0,Z72),"0")+IFERROR(IF(Z73="",0,Z73),"0")</f>
        <v>9.4899999999999998E-2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52</v>
      </c>
      <c r="Y75" s="629">
        <f>IFERROR(SUM(Y70:Y73),"0")</f>
        <v>54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708</v>
      </c>
      <c r="Y88" s="628">
        <f>IFERROR(IF(X88="",0,CEILING((X88/$H88),1)*$H88),"")</f>
        <v>712.80000000000007</v>
      </c>
      <c r="Z88" s="36">
        <f>IFERROR(IF(Y88=0,"",ROUNDUP(Y88/H88,0)*0.01898),"")</f>
        <v>1.25268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734.87777777777774</v>
      </c>
      <c r="BN88" s="64">
        <f>IFERROR(Y88*I88/H88,"0")</f>
        <v>739.86</v>
      </c>
      <c r="BO88" s="64">
        <f>IFERROR(1/J88*(X88/H88),"0")</f>
        <v>1.0243055555555556</v>
      </c>
      <c r="BP88" s="64">
        <f>IFERROR(1/J88*(Y88/H88),"0")</f>
        <v>1.03125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51</v>
      </c>
      <c r="Y89" s="628">
        <f>IFERROR(IF(X89="",0,CEILING((X89/$H89),1)*$H89),"")</f>
        <v>51</v>
      </c>
      <c r="Z89" s="36">
        <f>IFERROR(IF(Y89=0,"",ROUNDUP(Y89/H89,0)*0.00726),"")</f>
        <v>0.21779999999999999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54</v>
      </c>
      <c r="BN89" s="64">
        <f>IFERROR(Y89*I89/H89,"0")</f>
        <v>54</v>
      </c>
      <c r="BO89" s="64">
        <f>IFERROR(1/J89*(X89/H89),"0")</f>
        <v>0.15625</v>
      </c>
      <c r="BP89" s="64">
        <f>IFERROR(1/J89*(Y89/H89),"0")</f>
        <v>0.15625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95.555555555555557</v>
      </c>
      <c r="Y92" s="629">
        <f>IFERROR(Y88/H88,"0")+IFERROR(Y89/H89,"0")+IFERROR(Y90/H90,"0")+IFERROR(Y91/H91,"0")</f>
        <v>96</v>
      </c>
      <c r="Z92" s="629">
        <f>IFERROR(IF(Z88="",0,Z88),"0")+IFERROR(IF(Z89="",0,Z89),"0")+IFERROR(IF(Z90="",0,Z90),"0")+IFERROR(IF(Z91="",0,Z91),"0")</f>
        <v>1.47048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759</v>
      </c>
      <c r="Y93" s="629">
        <f>IFERROR(SUM(Y88:Y91),"0")</f>
        <v>763.80000000000007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35</v>
      </c>
      <c r="Y104" s="628">
        <f t="shared" si="5"/>
        <v>35.200000000000003</v>
      </c>
      <c r="Z104" s="36">
        <f>IFERROR(IF(Y104=0,"",ROUNDUP(Y104/H104,0)*0.00726),"")</f>
        <v>0.23232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41.68181818181818</v>
      </c>
      <c r="BN104" s="64">
        <f t="shared" si="7"/>
        <v>41.92</v>
      </c>
      <c r="BO104" s="64">
        <f t="shared" si="8"/>
        <v>0.16571969696969696</v>
      </c>
      <c r="BP104" s="64">
        <f t="shared" si="9"/>
        <v>0.16666666666666666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31.818181818181817</v>
      </c>
      <c r="Y109" s="629">
        <f>IFERROR(Y103/H103,"0")+IFERROR(Y104/H104,"0")+IFERROR(Y105/H105,"0")+IFERROR(Y106/H106,"0")+IFERROR(Y107/H107,"0")+IFERROR(Y108/H108,"0")</f>
        <v>32</v>
      </c>
      <c r="Z109" s="629">
        <f>IFERROR(IF(Z103="",0,Z103),"0")+IFERROR(IF(Z104="",0,Z104),"0")+IFERROR(IF(Z105="",0,Z105),"0")+IFERROR(IF(Z106="",0,Z106),"0")+IFERROR(IF(Z107="",0,Z107),"0")+IFERROR(IF(Z108="",0,Z108),"0")</f>
        <v>0.23232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35</v>
      </c>
      <c r="Y110" s="629">
        <f>IFERROR(SUM(Y103:Y108),"0")</f>
        <v>35.200000000000003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1400</v>
      </c>
      <c r="Y120" s="628">
        <f>IFERROR(IF(X120="",0,CEILING((X120/$H120),1)*$H120),"")</f>
        <v>1401.3</v>
      </c>
      <c r="Z120" s="36">
        <f>IFERROR(IF(Y120=0,"",ROUNDUP(Y120/H120,0)*0.01898),"")</f>
        <v>3.2835399999999999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1484.3456790123455</v>
      </c>
      <c r="BN120" s="64">
        <f>IFERROR(Y120*I120/H120,"0")</f>
        <v>1485.7239999999999</v>
      </c>
      <c r="BO120" s="64">
        <f>IFERROR(1/J120*(X120/H120),"0")</f>
        <v>2.7006172839506175</v>
      </c>
      <c r="BP120" s="64">
        <f>IFERROR(1/J120*(Y120/H120),"0")</f>
        <v>2.703125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450</v>
      </c>
      <c r="Y122" s="628">
        <f>IFERROR(IF(X122="",0,CEILING((X122/$H122),1)*$H122),"")</f>
        <v>450.90000000000003</v>
      </c>
      <c r="Z122" s="36">
        <f>IFERROR(IF(Y122=0,"",ROUNDUP(Y122/H122,0)*0.00651),"")</f>
        <v>1.08717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492</v>
      </c>
      <c r="BN122" s="64">
        <f>IFERROR(Y122*I122/H122,"0")</f>
        <v>492.98399999999998</v>
      </c>
      <c r="BO122" s="64">
        <f>IFERROR(1/J122*(X122/H122),"0")</f>
        <v>0.91575091575091572</v>
      </c>
      <c r="BP122" s="64">
        <f>IFERROR(1/J122*(Y122/H122),"0")</f>
        <v>0.91758241758241765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339.50617283950618</v>
      </c>
      <c r="Y124" s="629">
        <f>IFERROR(Y120/H120,"0")+IFERROR(Y121/H121,"0")+IFERROR(Y122/H122,"0")+IFERROR(Y123/H123,"0")</f>
        <v>340</v>
      </c>
      <c r="Z124" s="629">
        <f>IFERROR(IF(Z120="",0,Z120),"0")+IFERROR(IF(Z121="",0,Z121),"0")+IFERROR(IF(Z122="",0,Z122),"0")+IFERROR(IF(Z123="",0,Z123),"0")</f>
        <v>4.3707099999999999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1850</v>
      </c>
      <c r="Y125" s="629">
        <f>IFERROR(SUM(Y120:Y123),"0")</f>
        <v>1852.2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68</v>
      </c>
      <c r="Y127" s="628">
        <f>IFERROR(IF(X127="",0,CEILING((X127/$H127),1)*$H127),"")</f>
        <v>69.3</v>
      </c>
      <c r="Z127" s="36">
        <f>IFERROR(IF(Y127=0,"",ROUNDUP(Y127/H127,0)*0.00651),"")</f>
        <v>0.22785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76.860606060606059</v>
      </c>
      <c r="BN127" s="64">
        <f>IFERROR(Y127*I127/H127,"0")</f>
        <v>78.33</v>
      </c>
      <c r="BO127" s="64">
        <f>IFERROR(1/J127*(X127/H127),"0")</f>
        <v>0.18870018870018873</v>
      </c>
      <c r="BP127" s="64">
        <f>IFERROR(1/J127*(Y127/H127),"0")</f>
        <v>0.19230769230769232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34.343434343434346</v>
      </c>
      <c r="Y128" s="629">
        <f>IFERROR(Y127/H127,"0")</f>
        <v>35</v>
      </c>
      <c r="Z128" s="629">
        <f>IFERROR(IF(Z127="",0,Z127),"0")</f>
        <v>0.22785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68</v>
      </c>
      <c r="Y129" s="629">
        <f>IFERROR(SUM(Y127:Y127),"0")</f>
        <v>69.3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16</v>
      </c>
      <c r="Y141" s="628">
        <f>IFERROR(IF(X141="",0,CEILING((X141/$H141),1)*$H141),"")</f>
        <v>16.799999999999997</v>
      </c>
      <c r="Z141" s="36">
        <f>IFERROR(IF(Y141=0,"",ROUNDUP(Y141/H141,0)*0.00651),"")</f>
        <v>3.9059999999999997E-2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17.531428571428574</v>
      </c>
      <c r="BN141" s="64">
        <f>IFERROR(Y141*I141/H141,"0")</f>
        <v>18.407999999999998</v>
      </c>
      <c r="BO141" s="64">
        <f>IFERROR(1/J141*(X141/H141),"0")</f>
        <v>3.1397174254317116E-2</v>
      </c>
      <c r="BP141" s="64">
        <f>IFERROR(1/J141*(Y141/H141),"0")</f>
        <v>3.2967032967032968E-2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5.7142857142857144</v>
      </c>
      <c r="Y143" s="629">
        <f>IFERROR(Y139/H139,"0")+IFERROR(Y140/H140,"0")+IFERROR(Y141/H141,"0")+IFERROR(Y142/H142,"0")</f>
        <v>5.9999999999999991</v>
      </c>
      <c r="Z143" s="629">
        <f>IFERROR(IF(Z139="",0,Z139),"0")+IFERROR(IF(Z140="",0,Z140),"0")+IFERROR(IF(Z141="",0,Z141),"0")+IFERROR(IF(Z142="",0,Z142),"0")</f>
        <v>3.9059999999999997E-2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16</v>
      </c>
      <c r="Y144" s="629">
        <f>IFERROR(SUM(Y139:Y142),"0")</f>
        <v>16.799999999999997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32</v>
      </c>
      <c r="Y181" s="628">
        <f t="shared" si="10"/>
        <v>32.4</v>
      </c>
      <c r="Z181" s="36">
        <f>IFERROR(IF(Y181=0,"",ROUNDUP(Y181/H181,0)*0.00417),"")</f>
        <v>0.15012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39.466666666666669</v>
      </c>
      <c r="BN181" s="64">
        <f t="shared" si="12"/>
        <v>39.96</v>
      </c>
      <c r="BO181" s="64">
        <f t="shared" si="13"/>
        <v>0.10582010582010581</v>
      </c>
      <c r="BP181" s="64">
        <f t="shared" si="14"/>
        <v>0.10714285714285714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21</v>
      </c>
      <c r="Y182" s="628">
        <f t="shared" si="10"/>
        <v>21.84</v>
      </c>
      <c r="Z182" s="36">
        <f>IFERROR(IF(Y182=0,"",ROUNDUP(Y182/H182,0)*0.00502),"")</f>
        <v>6.5259999999999999E-2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22.250000000000004</v>
      </c>
      <c r="BN182" s="64">
        <f t="shared" si="12"/>
        <v>23.14</v>
      </c>
      <c r="BO182" s="64">
        <f t="shared" si="13"/>
        <v>5.3418803418803423E-2</v>
      </c>
      <c r="BP182" s="64">
        <f t="shared" si="14"/>
        <v>5.5555555555555559E-2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5</v>
      </c>
      <c r="Y183" s="628">
        <f t="shared" si="10"/>
        <v>5.4</v>
      </c>
      <c r="Z183" s="36">
        <f>IFERROR(IF(Y183=0,"",ROUNDUP(Y183/H183,0)*0.00417),"")</f>
        <v>2.5020000000000001E-2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6.166666666666667</v>
      </c>
      <c r="BN183" s="64">
        <f t="shared" si="12"/>
        <v>6.66</v>
      </c>
      <c r="BO183" s="64">
        <f t="shared" si="13"/>
        <v>1.6534391534391533E-2</v>
      </c>
      <c r="BP183" s="64">
        <f t="shared" si="14"/>
        <v>1.7857142857142856E-2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27</v>
      </c>
      <c r="Y186" s="628">
        <f t="shared" si="10"/>
        <v>27</v>
      </c>
      <c r="Z186" s="36">
        <f>IFERROR(IF(Y186=0,"",ROUNDUP(Y186/H186,0)*0.00417),"")</f>
        <v>0.12509999999999999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30</v>
      </c>
      <c r="BN186" s="64">
        <f t="shared" si="12"/>
        <v>30</v>
      </c>
      <c r="BO186" s="64">
        <f t="shared" si="13"/>
        <v>8.9285714285714274E-2</v>
      </c>
      <c r="BP186" s="64">
        <f t="shared" si="14"/>
        <v>8.9285714285714274E-2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83.611111111111114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85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0.36549999999999999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85</v>
      </c>
      <c r="Y189" s="629">
        <f>IFERROR(SUM(Y177:Y187),"0")</f>
        <v>86.639999999999986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9</v>
      </c>
      <c r="Y223" s="628">
        <f t="shared" ref="Y223:Y236" si="21">IFERROR(IF(X223="",0,CEILING((X223/$H223),1)*$H223),"")</f>
        <v>12.600000000000001</v>
      </c>
      <c r="Z223" s="36">
        <f>IFERROR(IF(Y223=0,"",ROUNDUP(Y223/H223,0)*0.00902),"")</f>
        <v>2.7060000000000001E-2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9.5357142857142865</v>
      </c>
      <c r="BN223" s="64">
        <f t="shared" ref="BN223:BN236" si="23">IFERROR(Y223*I223/H223,"0")</f>
        <v>13.350000000000001</v>
      </c>
      <c r="BO223" s="64">
        <f t="shared" ref="BO223:BO236" si="24">IFERROR(1/J223*(X223/H223),"0")</f>
        <v>1.6233766233766232E-2</v>
      </c>
      <c r="BP223" s="64">
        <f t="shared" ref="BP223:BP236" si="25">IFERROR(1/J223*(Y223/H223),"0")</f>
        <v>2.2727272727272728E-2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24</v>
      </c>
      <c r="Y226" s="628">
        <f t="shared" si="21"/>
        <v>24</v>
      </c>
      <c r="Z226" s="36">
        <f>IFERROR(IF(Y226=0,"",ROUNDUP(Y226/H226,0)*0.00556),"")</f>
        <v>0.1668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27.9</v>
      </c>
      <c r="BN226" s="64">
        <f t="shared" si="23"/>
        <v>27.9</v>
      </c>
      <c r="BO226" s="64">
        <f t="shared" si="24"/>
        <v>0.11904761904761904</v>
      </c>
      <c r="BP226" s="64">
        <f t="shared" si="25"/>
        <v>0.11904761904761904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29</v>
      </c>
      <c r="Y227" s="628">
        <f t="shared" si="21"/>
        <v>29.400000000000002</v>
      </c>
      <c r="Z227" s="36">
        <f t="shared" ref="Z227:Z232" si="26">IFERROR(IF(Y227=0,"",ROUNDUP(Y227/H227,0)*0.00502),"")</f>
        <v>7.0280000000000009E-2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30.795238095238094</v>
      </c>
      <c r="BN227" s="64">
        <f t="shared" si="23"/>
        <v>31.22</v>
      </c>
      <c r="BO227" s="64">
        <f t="shared" si="24"/>
        <v>5.9015059015059018E-2</v>
      </c>
      <c r="BP227" s="64">
        <f t="shared" si="25"/>
        <v>5.9829059829059839E-2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6</v>
      </c>
      <c r="Y232" s="628">
        <f t="shared" si="21"/>
        <v>7.2</v>
      </c>
      <c r="Z232" s="36">
        <f t="shared" si="26"/>
        <v>2.0080000000000001E-2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6.4333333333333336</v>
      </c>
      <c r="BN232" s="64">
        <f t="shared" si="23"/>
        <v>7.7199999999999989</v>
      </c>
      <c r="BO232" s="64">
        <f t="shared" si="24"/>
        <v>1.4245014245014245E-2</v>
      </c>
      <c r="BP232" s="64">
        <f t="shared" si="25"/>
        <v>1.7094017094017096E-2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32</v>
      </c>
      <c r="Y233" s="628">
        <f t="shared" si="21"/>
        <v>32</v>
      </c>
      <c r="Z233" s="36">
        <f>IFERROR(IF(Y233=0,"",ROUNDUP(Y233/H233,0)*0.00417),"")</f>
        <v>0.1668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40.4</v>
      </c>
      <c r="BN233" s="64">
        <f t="shared" si="23"/>
        <v>40.4</v>
      </c>
      <c r="BO233" s="64">
        <f t="shared" si="24"/>
        <v>0.11904761904761904</v>
      </c>
      <c r="BP233" s="64">
        <f t="shared" si="25"/>
        <v>0.11904761904761904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89.285714285714292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91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0.45102000000000003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100</v>
      </c>
      <c r="Y238" s="629">
        <f>IFERROR(SUM(Y223:Y236),"0")</f>
        <v>105.2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23</v>
      </c>
      <c r="Y249" s="628">
        <f>IFERROR(IF(X249="",0,CEILING((X249/$H249),1)*$H249),"")</f>
        <v>23.94</v>
      </c>
      <c r="Z249" s="36">
        <f>IFERROR(IF(Y249=0,"",ROUNDUP(Y249/H249,0)*0.0059),"")</f>
        <v>0.11209999999999999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26.468253968253968</v>
      </c>
      <c r="BN249" s="64">
        <f>IFERROR(Y249*I249/H249,"0")</f>
        <v>27.55</v>
      </c>
      <c r="BO249" s="64">
        <f>IFERROR(1/J249*(X249/H249),"0")</f>
        <v>8.4509112286890051E-2</v>
      </c>
      <c r="BP249" s="64">
        <f>IFERROR(1/J249*(Y249/H249),"0")</f>
        <v>8.7962962962962965E-2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27</v>
      </c>
      <c r="Y250" s="628">
        <f>IFERROR(IF(X250="",0,CEILING((X250/$H250),1)*$H250),"")</f>
        <v>27.72</v>
      </c>
      <c r="Z250" s="36">
        <f>IFERROR(IF(Y250=0,"",ROUNDUP(Y250/H250,0)*0.0059),"")</f>
        <v>0.1298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31.071428571428569</v>
      </c>
      <c r="BN250" s="64">
        <f>IFERROR(Y250*I250/H250,"0")</f>
        <v>31.899999999999995</v>
      </c>
      <c r="BO250" s="64">
        <f>IFERROR(1/J250*(X250/H250),"0")</f>
        <v>9.9206349206349187E-2</v>
      </c>
      <c r="BP250" s="64">
        <f>IFERROR(1/J250*(Y250/H250),"0")</f>
        <v>0.10185185185185185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39.682539682539684</v>
      </c>
      <c r="Y251" s="629">
        <f>IFERROR(Y248/H248,"0")+IFERROR(Y249/H249,"0")+IFERROR(Y250/H250,"0")</f>
        <v>41</v>
      </c>
      <c r="Z251" s="629">
        <f>IFERROR(IF(Z248="",0,Z248),"0")+IFERROR(IF(Z249="",0,Z249),"0")+IFERROR(IF(Z250="",0,Z250),"0")</f>
        <v>0.2419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50</v>
      </c>
      <c r="Y252" s="629">
        <f>IFERROR(SUM(Y248:Y250),"0")</f>
        <v>51.66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22</v>
      </c>
      <c r="Y254" s="628">
        <f>IFERROR(IF(X254="",0,CEILING((X254/$H254),1)*$H254),"")</f>
        <v>22.68</v>
      </c>
      <c r="Z254" s="36">
        <f>IFERROR(IF(Y254=0,"",ROUNDUP(Y254/H254,0)*0.0059),"")</f>
        <v>0.1062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25.317460317460316</v>
      </c>
      <c r="BN254" s="64">
        <f>IFERROR(Y254*I254/H254,"0")</f>
        <v>26.099999999999998</v>
      </c>
      <c r="BO254" s="64">
        <f>IFERROR(1/J254*(X254/H254),"0")</f>
        <v>8.083480305702527E-2</v>
      </c>
      <c r="BP254" s="64">
        <f>IFERROR(1/J254*(Y254/H254),"0")</f>
        <v>8.3333333333333329E-2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17.460317460317459</v>
      </c>
      <c r="Y255" s="629">
        <f>IFERROR(Y254/H254,"0")</f>
        <v>18</v>
      </c>
      <c r="Z255" s="629">
        <f>IFERROR(IF(Z254="",0,Z254),"0")</f>
        <v>0.1062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22</v>
      </c>
      <c r="Y256" s="629">
        <f>IFERROR(SUM(Y254:Y254),"0")</f>
        <v>22.68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64</v>
      </c>
      <c r="Y269" s="628">
        <f t="shared" ref="Y269:Y276" si="27">IFERROR(IF(X269="",0,CEILING((X269/$H269),1)*$H269),"")</f>
        <v>64.800000000000011</v>
      </c>
      <c r="Z269" s="36">
        <f>IFERROR(IF(Y269=0,"",ROUNDUP(Y269/H269,0)*0.00902),"")</f>
        <v>0.10824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66.251851851851839</v>
      </c>
      <c r="BN269" s="64">
        <f t="shared" ref="BN269:BN276" si="29">IFERROR(Y269*I269/H269,"0")</f>
        <v>67.08</v>
      </c>
      <c r="BO269" s="64">
        <f t="shared" ref="BO269:BO276" si="30">IFERROR(1/J269*(X269/H269),"0")</f>
        <v>8.9786756453423114E-2</v>
      </c>
      <c r="BP269" s="64">
        <f t="shared" ref="BP269:BP276" si="31">IFERROR(1/J269*(Y269/H269),"0")</f>
        <v>9.0909090909090925E-2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53</v>
      </c>
      <c r="Y270" s="628">
        <f t="shared" si="27"/>
        <v>54</v>
      </c>
      <c r="Z270" s="36">
        <f>IFERROR(IF(Y270=0,"",ROUNDUP(Y270/H270,0)*0.00902),"")</f>
        <v>9.0200000000000002E-2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54.864814814814807</v>
      </c>
      <c r="BN270" s="64">
        <f t="shared" si="29"/>
        <v>55.9</v>
      </c>
      <c r="BO270" s="64">
        <f t="shared" si="30"/>
        <v>7.435465768799103E-2</v>
      </c>
      <c r="BP270" s="64">
        <f t="shared" si="31"/>
        <v>7.575757575757576E-2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393</v>
      </c>
      <c r="Y271" s="628">
        <f t="shared" si="27"/>
        <v>394.20000000000005</v>
      </c>
      <c r="Z271" s="36">
        <f>IFERROR(IF(Y271=0,"",ROUNDUP(Y271/H271,0)*0.00902),"")</f>
        <v>0.65846000000000005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406.82777777777773</v>
      </c>
      <c r="BN271" s="64">
        <f t="shared" si="29"/>
        <v>408.07</v>
      </c>
      <c r="BO271" s="64">
        <f t="shared" si="30"/>
        <v>0.55134680134680136</v>
      </c>
      <c r="BP271" s="64">
        <f t="shared" si="31"/>
        <v>0.55303030303030309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118</v>
      </c>
      <c r="Y272" s="628">
        <f t="shared" si="27"/>
        <v>118.80000000000001</v>
      </c>
      <c r="Z272" s="36">
        <f>IFERROR(IF(Y272=0,"",ROUNDUP(Y272/H272,0)*0.00902),"")</f>
        <v>0.19844000000000001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122.15185185185184</v>
      </c>
      <c r="BN272" s="64">
        <f t="shared" si="29"/>
        <v>122.98</v>
      </c>
      <c r="BO272" s="64">
        <f t="shared" si="30"/>
        <v>0.16554433221099887</v>
      </c>
      <c r="BP272" s="64">
        <f t="shared" si="31"/>
        <v>0.16666666666666669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36</v>
      </c>
      <c r="Y274" s="628">
        <f t="shared" si="27"/>
        <v>36</v>
      </c>
      <c r="Z274" s="36">
        <f>IFERROR(IF(Y274=0,"",ROUNDUP(Y274/H274,0)*0.00502),"")</f>
        <v>0.1004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37.999999999999993</v>
      </c>
      <c r="BN274" s="64">
        <f t="shared" si="29"/>
        <v>37.999999999999993</v>
      </c>
      <c r="BO274" s="64">
        <f t="shared" si="30"/>
        <v>8.5470085470085472E-2</v>
      </c>
      <c r="BP274" s="64">
        <f t="shared" si="31"/>
        <v>8.5470085470085472E-2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21</v>
      </c>
      <c r="Y276" s="628">
        <f t="shared" si="27"/>
        <v>21.6</v>
      </c>
      <c r="Z276" s="36">
        <f>IFERROR(IF(Y276=0,"",ROUNDUP(Y276/H276,0)*0.00502),"")</f>
        <v>6.0240000000000002E-2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22.166666666666664</v>
      </c>
      <c r="BN276" s="64">
        <f t="shared" si="29"/>
        <v>22.8</v>
      </c>
      <c r="BO276" s="64">
        <f t="shared" si="30"/>
        <v>4.9857549857549859E-2</v>
      </c>
      <c r="BP276" s="64">
        <f t="shared" si="31"/>
        <v>5.1282051282051287E-2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147.96296296296293</v>
      </c>
      <c r="Y277" s="629">
        <f>IFERROR(Y269/H269,"0")+IFERROR(Y270/H270,"0")+IFERROR(Y271/H271,"0")+IFERROR(Y272/H272,"0")+IFERROR(Y273/H273,"0")+IFERROR(Y274/H274,"0")+IFERROR(Y275/H275,"0")+IFERROR(Y276/H276,"0")</f>
        <v>149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1.2159800000000001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685</v>
      </c>
      <c r="Y278" s="629">
        <f>IFERROR(SUM(Y269:Y276),"0")</f>
        <v>689.4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300</v>
      </c>
      <c r="Y280" s="628">
        <f t="shared" ref="Y280:Y291" si="32">IFERROR(IF(X280="",0,CEILING((X280/$H280),1)*$H280),"")</f>
        <v>307.8</v>
      </c>
      <c r="Z280" s="36">
        <f>IFERROR(IF(Y280=0,"",ROUNDUP(Y280/H280,0)*0.01898),"")</f>
        <v>0.72123999999999999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318.2962962962963</v>
      </c>
      <c r="BN280" s="64">
        <f t="shared" ref="BN280:BN291" si="34">IFERROR(Y280*I280/H280,"0")</f>
        <v>326.572</v>
      </c>
      <c r="BO280" s="64">
        <f t="shared" ref="BO280:BO291" si="35">IFERROR(1/J280*(X280/H280),"0")</f>
        <v>0.57870370370370372</v>
      </c>
      <c r="BP280" s="64">
        <f t="shared" ref="BP280:BP291" si="36">IFERROR(1/J280*(Y280/H280),"0")</f>
        <v>0.59375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300</v>
      </c>
      <c r="Y281" s="628">
        <f t="shared" si="32"/>
        <v>307.8</v>
      </c>
      <c r="Z281" s="36">
        <f>IFERROR(IF(Y281=0,"",ROUNDUP(Y281/H281,0)*0.01898),"")</f>
        <v>0.72123999999999999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317.62962962962968</v>
      </c>
      <c r="BN281" s="64">
        <f t="shared" si="34"/>
        <v>325.88800000000003</v>
      </c>
      <c r="BO281" s="64">
        <f t="shared" si="35"/>
        <v>0.57870370370370372</v>
      </c>
      <c r="BP281" s="64">
        <f t="shared" si="36"/>
        <v>0.59375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300</v>
      </c>
      <c r="Y282" s="628">
        <f t="shared" si="32"/>
        <v>304.5</v>
      </c>
      <c r="Z282" s="36">
        <f>IFERROR(IF(Y282=0,"",ROUNDUP(Y282/H282,0)*0.01898),"")</f>
        <v>0.6643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317.03448275862075</v>
      </c>
      <c r="BN282" s="64">
        <f t="shared" si="34"/>
        <v>321.79000000000008</v>
      </c>
      <c r="BO282" s="64">
        <f t="shared" si="35"/>
        <v>0.53879310344827591</v>
      </c>
      <c r="BP282" s="64">
        <f t="shared" si="36"/>
        <v>0.546875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225</v>
      </c>
      <c r="Y283" s="628">
        <f t="shared" si="32"/>
        <v>225.6</v>
      </c>
      <c r="Z283" s="36">
        <f>IFERROR(IF(Y283=0,"",ROUNDUP(Y283/H283,0)*0.00651),"")</f>
        <v>0.61194000000000004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250.3125</v>
      </c>
      <c r="BN283" s="64">
        <f t="shared" si="34"/>
        <v>250.98</v>
      </c>
      <c r="BO283" s="64">
        <f t="shared" si="35"/>
        <v>0.51510989010989017</v>
      </c>
      <c r="BP283" s="64">
        <f t="shared" si="36"/>
        <v>0.51648351648351654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320</v>
      </c>
      <c r="Y286" s="628">
        <f t="shared" si="32"/>
        <v>321.59999999999997</v>
      </c>
      <c r="Z286" s="36">
        <f>IFERROR(IF(Y286=0,"",ROUNDUP(Y286/H286,0)*0.00651),"")</f>
        <v>0.87234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353.60000000000008</v>
      </c>
      <c r="BN286" s="64">
        <f t="shared" si="34"/>
        <v>355.36799999999999</v>
      </c>
      <c r="BO286" s="64">
        <f t="shared" si="35"/>
        <v>0.73260073260073266</v>
      </c>
      <c r="BP286" s="64">
        <f t="shared" si="36"/>
        <v>0.73626373626373631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120</v>
      </c>
      <c r="Y288" s="628">
        <f t="shared" si="32"/>
        <v>120</v>
      </c>
      <c r="Z288" s="36">
        <f>IFERROR(IF(Y288=0,"",ROUNDUP(Y288/H288,0)*0.00651),"")</f>
        <v>0.32550000000000001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132.60000000000002</v>
      </c>
      <c r="BN288" s="64">
        <f t="shared" si="34"/>
        <v>132.60000000000002</v>
      </c>
      <c r="BO288" s="64">
        <f t="shared" si="35"/>
        <v>0.27472527472527475</v>
      </c>
      <c r="BP288" s="64">
        <f t="shared" si="36"/>
        <v>0.27472527472527475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36</v>
      </c>
      <c r="Y290" s="628">
        <f t="shared" si="32"/>
        <v>36</v>
      </c>
      <c r="Z290" s="36">
        <f>IFERROR(IF(Y290=0,"",ROUNDUP(Y290/H290,0)*0.00651),"")</f>
        <v>9.7650000000000001E-2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39.870000000000005</v>
      </c>
      <c r="BN290" s="64">
        <f t="shared" si="34"/>
        <v>39.870000000000005</v>
      </c>
      <c r="BO290" s="64">
        <f t="shared" si="35"/>
        <v>8.241758241758243E-2</v>
      </c>
      <c r="BP290" s="64">
        <f t="shared" si="36"/>
        <v>8.241758241758243E-2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400.64016602809704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404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4.0142100000000003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1601</v>
      </c>
      <c r="Y293" s="629">
        <f>IFERROR(SUM(Y280:Y291),"0")</f>
        <v>1623.3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19</v>
      </c>
      <c r="Y307" s="628">
        <f t="shared" si="37"/>
        <v>20</v>
      </c>
      <c r="Z307" s="36">
        <f>IFERROR(IF(Y307=0,"",ROUNDUP(Y307/H307,0)*0.00902),"")</f>
        <v>4.5100000000000001E-2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19.902500000000003</v>
      </c>
      <c r="BN307" s="64">
        <f t="shared" si="39"/>
        <v>20.950000000000003</v>
      </c>
      <c r="BO307" s="64">
        <f t="shared" si="40"/>
        <v>3.5984848484848488E-2</v>
      </c>
      <c r="BP307" s="64">
        <f t="shared" si="41"/>
        <v>3.787878787878788E-2</v>
      </c>
    </row>
    <row r="308" spans="1:68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4.75</v>
      </c>
      <c r="Y308" s="629">
        <f>IFERROR(Y301/H301,"0")+IFERROR(Y302/H302,"0")+IFERROR(Y303/H303,"0")+IFERROR(Y304/H304,"0")+IFERROR(Y305/H305,"0")+IFERROR(Y306/H306,"0")+IFERROR(Y307/H307,"0")</f>
        <v>5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4.5100000000000001E-2</v>
      </c>
      <c r="AA308" s="630"/>
      <c r="AB308" s="630"/>
      <c r="AC308" s="630"/>
    </row>
    <row r="309" spans="1:68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19</v>
      </c>
      <c r="Y309" s="629">
        <f>IFERROR(SUM(Y301:Y307),"0")</f>
        <v>20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8</v>
      </c>
      <c r="Y336" s="628">
        <f>IFERROR(IF(X336="",0,CEILING((X336/$H336),1)*$H336),"")</f>
        <v>9.6</v>
      </c>
      <c r="Z336" s="36">
        <f>IFERROR(IF(Y336=0,"",ROUNDUP(Y336/H336,0)*0.00651),"")</f>
        <v>2.6040000000000001E-2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8.8400000000000016</v>
      </c>
      <c r="BN336" s="64">
        <f>IFERROR(Y336*I336/H336,"0")</f>
        <v>10.608000000000001</v>
      </c>
      <c r="BO336" s="64">
        <f>IFERROR(1/J336*(X336/H336),"0")</f>
        <v>1.8315018315018316E-2</v>
      </c>
      <c r="BP336" s="64">
        <f>IFERROR(1/J336*(Y336/H336),"0")</f>
        <v>2.197802197802198E-2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20</v>
      </c>
      <c r="Y337" s="628">
        <f>IFERROR(IF(X337="",0,CEILING((X337/$H337),1)*$H337),"")</f>
        <v>21.599999999999998</v>
      </c>
      <c r="Z337" s="36">
        <f>IFERROR(IF(Y337=0,"",ROUNDUP(Y337/H337,0)*0.00651),"")</f>
        <v>5.8590000000000003E-2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21.5</v>
      </c>
      <c r="BN337" s="64">
        <f>IFERROR(Y337*I337/H337,"0")</f>
        <v>23.22</v>
      </c>
      <c r="BO337" s="64">
        <f>IFERROR(1/J337*(X337/H337),"0")</f>
        <v>4.5787545787545791E-2</v>
      </c>
      <c r="BP337" s="64">
        <f>IFERROR(1/J337*(Y337/H337),"0")</f>
        <v>4.9450549450549455E-2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11.666666666666668</v>
      </c>
      <c r="Y338" s="629">
        <f>IFERROR(Y335/H335,"0")+IFERROR(Y336/H336,"0")+IFERROR(Y337/H337,"0")</f>
        <v>13</v>
      </c>
      <c r="Z338" s="629">
        <f>IFERROR(IF(Z335="",0,Z335),"0")+IFERROR(IF(Z336="",0,Z336),"0")+IFERROR(IF(Z337="",0,Z337),"0")</f>
        <v>8.4630000000000011E-2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28</v>
      </c>
      <c r="Y339" s="629">
        <f>IFERROR(SUM(Y335:Y337),"0")</f>
        <v>31.199999999999996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4</v>
      </c>
      <c r="Y364" s="628">
        <f>IFERROR(IF(X364="",0,CEILING((X364/$H364),1)*$H364),"")</f>
        <v>10.8</v>
      </c>
      <c r="Z364" s="36">
        <f>IFERROR(IF(Y364=0,"",ROUNDUP(Y364/H364,0)*0.01898),"")</f>
        <v>1.898E-2</v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4.1518518518518519</v>
      </c>
      <c r="BN364" s="64">
        <f>IFERROR(Y364*I364/H364,"0")</f>
        <v>11.21</v>
      </c>
      <c r="BO364" s="64">
        <f>IFERROR(1/J364*(X364/H364),"0")</f>
        <v>5.7870370370370367E-3</v>
      </c>
      <c r="BP364" s="64">
        <f>IFERROR(1/J364*(Y364/H364),"0")</f>
        <v>1.5625E-2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0.37037037037037035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4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14</v>
      </c>
      <c r="Y377" s="628">
        <f t="shared" si="42"/>
        <v>14.4</v>
      </c>
      <c r="Z377" s="36">
        <f>IFERROR(IF(Y377=0,"",ROUNDUP(Y377/H377,0)*0.00651),"")</f>
        <v>5.2080000000000001E-2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15.773333333333333</v>
      </c>
      <c r="BN377" s="64">
        <f t="shared" si="44"/>
        <v>16.224</v>
      </c>
      <c r="BO377" s="64">
        <f t="shared" si="45"/>
        <v>4.2735042735042736E-2</v>
      </c>
      <c r="BP377" s="64">
        <f t="shared" si="46"/>
        <v>4.3956043956043959E-2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7.7777777777777777</v>
      </c>
      <c r="Y378" s="629">
        <f>IFERROR(Y371/H371,"0")+IFERROR(Y372/H372,"0")+IFERROR(Y373/H373,"0")+IFERROR(Y374/H374,"0")+IFERROR(Y375/H375,"0")+IFERROR(Y376/H376,"0")+IFERROR(Y377/H377,"0")</f>
        <v>8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5.2080000000000001E-2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14</v>
      </c>
      <c r="Y379" s="629">
        <f>IFERROR(SUM(Y371:Y377),"0")</f>
        <v>14.4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600</v>
      </c>
      <c r="Y389" s="628">
        <f>IFERROR(IF(X389="",0,CEILING((X389/$H389),1)*$H389),"")</f>
        <v>600.6</v>
      </c>
      <c r="Z389" s="36">
        <f>IFERROR(IF(Y389=0,"",ROUNDUP(Y389/H389,0)*0.01898),"")</f>
        <v>1.46146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638.00000000000011</v>
      </c>
      <c r="BN389" s="64">
        <f>IFERROR(Y389*I389/H389,"0")</f>
        <v>638.63800000000003</v>
      </c>
      <c r="BO389" s="64">
        <f>IFERROR(1/J389*(X389/H389),"0")</f>
        <v>1.2019230769230769</v>
      </c>
      <c r="BP389" s="64">
        <f>IFERROR(1/J389*(Y389/H389),"0")</f>
        <v>1.203125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76.92307692307692</v>
      </c>
      <c r="Y391" s="629">
        <f>IFERROR(Y388/H388,"0")+IFERROR(Y389/H389,"0")+IFERROR(Y390/H390,"0")</f>
        <v>77</v>
      </c>
      <c r="Z391" s="629">
        <f>IFERROR(IF(Z388="",0,Z388),"0")+IFERROR(IF(Z389="",0,Z389),"0")+IFERROR(IF(Z390="",0,Z390),"0")</f>
        <v>1.46146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600</v>
      </c>
      <c r="Y392" s="629">
        <f>IFERROR(SUM(Y388:Y390),"0")</f>
        <v>600.6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2</v>
      </c>
      <c r="Y401" s="628">
        <f>IFERROR(IF(X401="",0,CEILING((X401/$H401),1)*$H401),"")</f>
        <v>2</v>
      </c>
      <c r="Z401" s="36">
        <f>IFERROR(IF(Y401=0,"",ROUNDUP(Y401/H401,0)*0.00474),"")</f>
        <v>4.7400000000000003E-3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2.2400000000000002</v>
      </c>
      <c r="BN401" s="64">
        <f>IFERROR(Y401*I401/H401,"0")</f>
        <v>2.2400000000000002</v>
      </c>
      <c r="BO401" s="64">
        <f>IFERROR(1/J401*(X401/H401),"0")</f>
        <v>4.2016806722689074E-3</v>
      </c>
      <c r="BP401" s="64">
        <f>IFERROR(1/J401*(Y401/H401),"0")</f>
        <v>4.2016806722689074E-3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5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5.6000000000000005</v>
      </c>
      <c r="BN402" s="64">
        <f>IFERROR(Y402*I402/H402,"0")</f>
        <v>6.7200000000000006</v>
      </c>
      <c r="BO402" s="64">
        <f>IFERROR(1/J402*(X402/H402),"0")</f>
        <v>1.0504201680672268E-2</v>
      </c>
      <c r="BP402" s="64">
        <f>IFERROR(1/J402*(Y402/H402),"0")</f>
        <v>1.2605042016806723E-2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3.5</v>
      </c>
      <c r="Y404" s="629">
        <f>IFERROR(Y401/H401,"0")+IFERROR(Y402/H402,"0")+IFERROR(Y403/H403,"0")</f>
        <v>4</v>
      </c>
      <c r="Z404" s="629">
        <f>IFERROR(IF(Z401="",0,Z401),"0")+IFERROR(IF(Z402="",0,Z402),"0")+IFERROR(IF(Z403="",0,Z403),"0")</f>
        <v>1.8960000000000001E-2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7</v>
      </c>
      <c r="Y405" s="629">
        <f>IFERROR(SUM(Y401:Y403),"0")</f>
        <v>8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14</v>
      </c>
      <c r="Y407" s="628">
        <f>IFERROR(IF(X407="",0,CEILING((X407/$H407),1)*$H407),"")</f>
        <v>15</v>
      </c>
      <c r="Z407" s="36">
        <f>IFERROR(IF(Y407=0,"",ROUNDUP(Y407/H407,0)*0.0045),"")</f>
        <v>2.2499999999999999E-2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15.026666666666669</v>
      </c>
      <c r="BN407" s="64">
        <f>IFERROR(Y407*I407/H407,"0")</f>
        <v>16.100000000000001</v>
      </c>
      <c r="BO407" s="64">
        <f>IFERROR(1/J407*(X407/H407),"0")</f>
        <v>2.0833333333333332E-2</v>
      </c>
      <c r="BP407" s="64">
        <f>IFERROR(1/J407*(Y407/H407),"0")</f>
        <v>2.2321428571428568E-2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2</v>
      </c>
      <c r="Y409" s="628">
        <f>IFERROR(IF(X409="",0,CEILING((X409/$H409),1)*$H409),"")</f>
        <v>3</v>
      </c>
      <c r="Z409" s="36">
        <f>IFERROR(IF(Y409=0,"",ROUNDUP(Y409/H409,0)*0.0045),"")</f>
        <v>4.4999999999999997E-3</v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2.1466666666666669</v>
      </c>
      <c r="BN409" s="64">
        <f>IFERROR(Y409*I409/H409,"0")</f>
        <v>3.22</v>
      </c>
      <c r="BO409" s="64">
        <f>IFERROR(1/J409*(X409/H409),"0")</f>
        <v>2.976190476190476E-3</v>
      </c>
      <c r="BP409" s="64">
        <f>IFERROR(1/J409*(Y409/H409),"0")</f>
        <v>4.464285714285714E-3</v>
      </c>
    </row>
    <row r="410" spans="1:68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5.3333333333333339</v>
      </c>
      <c r="Y410" s="629">
        <f>IFERROR(Y407/H407,"0")+IFERROR(Y408/H408,"0")+IFERROR(Y409/H409,"0")</f>
        <v>6</v>
      </c>
      <c r="Z410" s="629">
        <f>IFERROR(IF(Z407="",0,Z407),"0")+IFERROR(IF(Z408="",0,Z408),"0")+IFERROR(IF(Z409="",0,Z409),"0")</f>
        <v>2.7E-2</v>
      </c>
      <c r="AA410" s="630"/>
      <c r="AB410" s="630"/>
      <c r="AC410" s="630"/>
    </row>
    <row r="411" spans="1:68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16</v>
      </c>
      <c r="Y411" s="629">
        <f>IFERROR(SUM(Y407:Y409),"0")</f>
        <v>18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162</v>
      </c>
      <c r="Y415" s="628">
        <f>IFERROR(IF(X415="",0,CEILING((X415/$H415),1)*$H415),"")</f>
        <v>163.80000000000001</v>
      </c>
      <c r="Z415" s="36">
        <f>IFERROR(IF(Y415=0,"",ROUNDUP(Y415/H415,0)*0.00651),"")</f>
        <v>0.50778000000000001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181.44</v>
      </c>
      <c r="BN415" s="64">
        <f>IFERROR(Y415*I415/H415,"0")</f>
        <v>183.45600000000002</v>
      </c>
      <c r="BO415" s="64">
        <f>IFERROR(1/J415*(X415/H415),"0")</f>
        <v>0.42386185243328101</v>
      </c>
      <c r="BP415" s="64">
        <f>IFERROR(1/J415*(Y415/H415),"0")</f>
        <v>0.4285714285714286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77.142857142857139</v>
      </c>
      <c r="Y417" s="629">
        <f>IFERROR(Y414/H414,"0")+IFERROR(Y415/H415,"0")+IFERROR(Y416/H416,"0")</f>
        <v>78</v>
      </c>
      <c r="Z417" s="629">
        <f>IFERROR(IF(Z414="",0,Z414),"0")+IFERROR(IF(Z415="",0,Z415),"0")+IFERROR(IF(Z416="",0,Z416),"0")</f>
        <v>0.50778000000000001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162</v>
      </c>
      <c r="Y418" s="629">
        <f>IFERROR(SUM(Y414:Y416),"0")</f>
        <v>163.80000000000001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511</v>
      </c>
      <c r="Y424" s="628">
        <f t="shared" si="47"/>
        <v>525</v>
      </c>
      <c r="Z424" s="36">
        <f>IFERROR(IF(Y424=0,"",ROUNDUP(Y424/H424,0)*0.02175),"")</f>
        <v>0.76124999999999998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527.01133333333337</v>
      </c>
      <c r="BN424" s="64">
        <f t="shared" si="49"/>
        <v>541.45000000000005</v>
      </c>
      <c r="BO424" s="64">
        <f t="shared" si="50"/>
        <v>0.70972222222222225</v>
      </c>
      <c r="BP424" s="64">
        <f t="shared" si="51"/>
        <v>0.72916666666666663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34.06666666666667</v>
      </c>
      <c r="Y430" s="629">
        <f>IFERROR(Y422/H422,"0")+IFERROR(Y423/H423,"0")+IFERROR(Y424/H424,"0")+IFERROR(Y425/H425,"0")+IFERROR(Y426/H426,"0")+IFERROR(Y427/H427,"0")+IFERROR(Y428/H428,"0")+IFERROR(Y429/H429,"0")</f>
        <v>35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0.76124999999999998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511</v>
      </c>
      <c r="Y431" s="629">
        <f>IFERROR(SUM(Y422:Y429),"0")</f>
        <v>525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1376</v>
      </c>
      <c r="Y433" s="628">
        <f>IFERROR(IF(X433="",0,CEILING((X433/$H433),1)*$H433),"")</f>
        <v>1380</v>
      </c>
      <c r="Z433" s="36">
        <f>IFERROR(IF(Y433=0,"",ROUNDUP(Y433/H433,0)*0.02175),"")</f>
        <v>2.0009999999999999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1419.1146666666668</v>
      </c>
      <c r="BN433" s="64">
        <f>IFERROR(Y433*I433/H433,"0")</f>
        <v>1423.2400000000002</v>
      </c>
      <c r="BO433" s="64">
        <f>IFERROR(1/J433*(X433/H433),"0")</f>
        <v>1.911111111111111</v>
      </c>
      <c r="BP433" s="64">
        <f>IFERROR(1/J433*(Y433/H433),"0")</f>
        <v>1.9166666666666665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91.733333333333334</v>
      </c>
      <c r="Y436" s="629">
        <f>IFERROR(Y433/H433,"0")+IFERROR(Y434/H434,"0")+IFERROR(Y435/H435,"0")</f>
        <v>92</v>
      </c>
      <c r="Z436" s="629">
        <f>IFERROR(IF(Z433="",0,Z433),"0")+IFERROR(IF(Z434="",0,Z434),"0")+IFERROR(IF(Z435="",0,Z435),"0")</f>
        <v>2.0009999999999999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1376</v>
      </c>
      <c r="Y437" s="629">
        <f>IFERROR(SUM(Y433:Y435),"0")</f>
        <v>1380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800</v>
      </c>
      <c r="Y460" s="628">
        <f>IFERROR(IF(X460="",0,CEILING((X460/$H460),1)*$H460),"")</f>
        <v>801</v>
      </c>
      <c r="Z460" s="36">
        <f>IFERROR(IF(Y460=0,"",ROUNDUP(Y460/H460,0)*0.01898),"")</f>
        <v>1.6892199999999999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843.91111111111104</v>
      </c>
      <c r="BN460" s="64">
        <f>IFERROR(Y460*I460/H460,"0")</f>
        <v>844.96599999999989</v>
      </c>
      <c r="BO460" s="64">
        <f>IFERROR(1/J460*(X460/H460),"0")</f>
        <v>1.3888888888888888</v>
      </c>
      <c r="BP460" s="64">
        <f>IFERROR(1/J460*(Y460/H460),"0")</f>
        <v>1.390625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80</v>
      </c>
      <c r="Y461" s="628">
        <f>IFERROR(IF(X461="",0,CEILING((X461/$H461),1)*$H461),"")</f>
        <v>81.599999999999994</v>
      </c>
      <c r="Z461" s="36">
        <f>IFERROR(IF(Y461=0,"",ROUNDUP(Y461/H461,0)*0.00651),"")</f>
        <v>0.22134000000000001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88.800000000000011</v>
      </c>
      <c r="BN461" s="64">
        <f>IFERROR(Y461*I461/H461,"0")</f>
        <v>90.575999999999993</v>
      </c>
      <c r="BO461" s="64">
        <f>IFERROR(1/J461*(X461/H461),"0")</f>
        <v>0.18315018315018317</v>
      </c>
      <c r="BP461" s="64">
        <f>IFERROR(1/J461*(Y461/H461),"0")</f>
        <v>0.18681318681318682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122.22222222222223</v>
      </c>
      <c r="Y463" s="629">
        <f>IFERROR(Y460/H460,"0")+IFERROR(Y461/H461,"0")+IFERROR(Y462/H462,"0")</f>
        <v>123</v>
      </c>
      <c r="Z463" s="629">
        <f>IFERROR(IF(Z460="",0,Z460),"0")+IFERROR(IF(Z461="",0,Z461),"0")+IFERROR(IF(Z462="",0,Z462),"0")</f>
        <v>1.91056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880</v>
      </c>
      <c r="Y464" s="629">
        <f>IFERROR(SUM(Y460:Y462),"0")</f>
        <v>882.6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150</v>
      </c>
      <c r="Y495" s="628">
        <f t="shared" ref="Y495:Y503" si="57">IFERROR(IF(X495="",0,CEILING((X495/$H495),1)*$H495),"")</f>
        <v>153.12</v>
      </c>
      <c r="Z495" s="36">
        <f t="shared" ref="Z495:Z500" si="58">IFERROR(IF(Y495=0,"",ROUNDUP(Y495/H495,0)*0.01196),"")</f>
        <v>0.34683999999999998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159.94318181818181</v>
      </c>
      <c r="BN495" s="64">
        <f t="shared" ref="BN495:BN503" si="60">IFERROR(Y495*I495/H495,"0")</f>
        <v>163.26999999999998</v>
      </c>
      <c r="BO495" s="64">
        <f t="shared" ref="BO495:BO503" si="61">IFERROR(1/J495*(X495/H495),"0")</f>
        <v>0.27316433566433568</v>
      </c>
      <c r="BP495" s="64">
        <f t="shared" ref="BP495:BP503" si="62">IFERROR(1/J495*(Y495/H495),"0")</f>
        <v>0.27884615384615385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1413</v>
      </c>
      <c r="Y498" s="628">
        <f t="shared" si="57"/>
        <v>1415.04</v>
      </c>
      <c r="Z498" s="36">
        <f t="shared" si="58"/>
        <v>3.2052800000000001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1506.6647727272725</v>
      </c>
      <c r="BN498" s="64">
        <f t="shared" si="60"/>
        <v>1508.84</v>
      </c>
      <c r="BO498" s="64">
        <f t="shared" si="61"/>
        <v>2.5732080419580421</v>
      </c>
      <c r="BP498" s="64">
        <f t="shared" si="62"/>
        <v>2.5769230769230771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3118</v>
      </c>
      <c r="Y500" s="628">
        <f t="shared" si="57"/>
        <v>3120.48</v>
      </c>
      <c r="Z500" s="36">
        <f t="shared" si="58"/>
        <v>7.0683600000000002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3324.685606060606</v>
      </c>
      <c r="BN500" s="64">
        <f t="shared" si="60"/>
        <v>3327.33</v>
      </c>
      <c r="BO500" s="64">
        <f t="shared" si="61"/>
        <v>5.6781759906759905</v>
      </c>
      <c r="BP500" s="64">
        <f t="shared" si="62"/>
        <v>5.6826923076923084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60</v>
      </c>
      <c r="Y502" s="628">
        <f t="shared" si="57"/>
        <v>62.4</v>
      </c>
      <c r="Z502" s="36">
        <f>IFERROR(IF(Y502=0,"",ROUNDUP(Y502/H502,0)*0.00902),"")</f>
        <v>0.11726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86.375000000000014</v>
      </c>
      <c r="BN502" s="64">
        <f t="shared" si="60"/>
        <v>89.830000000000013</v>
      </c>
      <c r="BO502" s="64">
        <f t="shared" si="61"/>
        <v>9.4696969696969696E-2</v>
      </c>
      <c r="BP502" s="64">
        <f t="shared" si="62"/>
        <v>9.8484848484848481E-2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60</v>
      </c>
      <c r="Y503" s="628">
        <f t="shared" si="57"/>
        <v>62.4</v>
      </c>
      <c r="Z503" s="36">
        <f>IFERROR(IF(Y503=0,"",ROUNDUP(Y503/H503,0)*0.00902),"")</f>
        <v>0.11726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86.375000000000014</v>
      </c>
      <c r="BN503" s="64">
        <f t="shared" si="60"/>
        <v>89.830000000000013</v>
      </c>
      <c r="BO503" s="64">
        <f t="shared" si="61"/>
        <v>9.4696969696969696E-2</v>
      </c>
      <c r="BP503" s="64">
        <f t="shared" si="62"/>
        <v>9.8484848484848481E-2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911.55303030303025</v>
      </c>
      <c r="Y504" s="629">
        <f>IFERROR(Y495/H495,"0")+IFERROR(Y496/H496,"0")+IFERROR(Y497/H497,"0")+IFERROR(Y498/H498,"0")+IFERROR(Y499/H499,"0")+IFERROR(Y500/H500,"0")+IFERROR(Y501/H501,"0")+IFERROR(Y502/H502,"0")+IFERROR(Y503/H503,"0")</f>
        <v>914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10.855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4801</v>
      </c>
      <c r="Y505" s="629">
        <f>IFERROR(SUM(Y495:Y503),"0")</f>
        <v>4813.4399999999987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1317</v>
      </c>
      <c r="Y507" s="628">
        <f>IFERROR(IF(X507="",0,CEILING((X507/$H507),1)*$H507),"")</f>
        <v>1320</v>
      </c>
      <c r="Z507" s="36">
        <f>IFERROR(IF(Y507=0,"",ROUNDUP(Y507/H507,0)*0.01196),"")</f>
        <v>2.99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1404.3011363636363</v>
      </c>
      <c r="BN507" s="64">
        <f>IFERROR(Y507*I507/H507,"0")</f>
        <v>1407.4999999999998</v>
      </c>
      <c r="BO507" s="64">
        <f>IFERROR(1/J507*(X507/H507),"0")</f>
        <v>2.3983828671328671</v>
      </c>
      <c r="BP507" s="64">
        <f>IFERROR(1/J507*(Y507/H507),"0")</f>
        <v>2.4038461538461542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180</v>
      </c>
      <c r="Y509" s="628">
        <f>IFERROR(IF(X509="",0,CEILING((X509/$H509),1)*$H509),"")</f>
        <v>182.4</v>
      </c>
      <c r="Z509" s="36">
        <f>IFERROR(IF(Y509=0,"",ROUNDUP(Y509/H509,0)*0.00902),"")</f>
        <v>0.34276000000000001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259.125</v>
      </c>
      <c r="BN509" s="64">
        <f>IFERROR(Y509*I509/H509,"0")</f>
        <v>262.58000000000004</v>
      </c>
      <c r="BO509" s="64">
        <f>IFERROR(1/J509*(X509/H509),"0")</f>
        <v>0.28409090909090912</v>
      </c>
      <c r="BP509" s="64">
        <f>IFERROR(1/J509*(Y509/H509),"0")</f>
        <v>0.2878787878787879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286.93181818181813</v>
      </c>
      <c r="Y510" s="629">
        <f>IFERROR(Y507/H507,"0")+IFERROR(Y508/H508,"0")+IFERROR(Y509/H509,"0")</f>
        <v>288</v>
      </c>
      <c r="Z510" s="629">
        <f>IFERROR(IF(Z507="",0,Z507),"0")+IFERROR(IF(Z508="",0,Z508),"0")+IFERROR(IF(Z509="",0,Z509),"0")</f>
        <v>3.3327600000000004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1497</v>
      </c>
      <c r="Y511" s="629">
        <f>IFERROR(SUM(Y507:Y509),"0")</f>
        <v>1502.4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580</v>
      </c>
      <c r="Y514" s="628">
        <f t="shared" si="63"/>
        <v>580.80000000000007</v>
      </c>
      <c r="Z514" s="36">
        <f>IFERROR(IF(Y514=0,"",ROUNDUP(Y514/H514,0)*0.01196),"")</f>
        <v>1.3156000000000001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618.44696969696963</v>
      </c>
      <c r="BN514" s="64">
        <f t="shared" si="65"/>
        <v>619.30000000000007</v>
      </c>
      <c r="BO514" s="64">
        <f t="shared" si="66"/>
        <v>1.0562354312354312</v>
      </c>
      <c r="BP514" s="64">
        <f t="shared" si="67"/>
        <v>1.0576923076923079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1749</v>
      </c>
      <c r="Y515" s="628">
        <f t="shared" si="63"/>
        <v>1752.96</v>
      </c>
      <c r="Z515" s="36">
        <f>IFERROR(IF(Y515=0,"",ROUNDUP(Y515/H515,0)*0.01196),"")</f>
        <v>3.97072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1864.9374999999998</v>
      </c>
      <c r="BN515" s="64">
        <f t="shared" si="65"/>
        <v>1869.16</v>
      </c>
      <c r="BO515" s="64">
        <f t="shared" si="66"/>
        <v>3.1850961538461542</v>
      </c>
      <c r="BP515" s="64">
        <f t="shared" si="67"/>
        <v>3.1923076923076925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441.09848484848487</v>
      </c>
      <c r="Y520" s="629">
        <f>IFERROR(Y513/H513,"0")+IFERROR(Y514/H514,"0")+IFERROR(Y515/H515,"0")+IFERROR(Y516/H516,"0")+IFERROR(Y517/H517,"0")+IFERROR(Y518/H518,"0")+IFERROR(Y519/H519,"0")</f>
        <v>442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5.2863199999999999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2329</v>
      </c>
      <c r="Y521" s="629">
        <f>IFERROR(SUM(Y513:Y519),"0")</f>
        <v>2333.7600000000002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17589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17697.579999999998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18833.86098019328</v>
      </c>
      <c r="Y551" s="629">
        <f>IFERROR(SUM(BN22:BN547),"0")</f>
        <v>18952.871999999999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33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19658.86098019328</v>
      </c>
      <c r="Y553" s="629">
        <f>GrossWeightTotalR+PalletQtyTotalR*25</f>
        <v>19777.871999999999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3377.6871166083806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3401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39.277640000000005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23.4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54</v>
      </c>
      <c r="F560" s="46">
        <f>IFERROR(Y88*1,"0")+IFERROR(Y89*1,"0")+IFERROR(Y90*1,"0")+IFERROR(Y91*1,"0")+IFERROR(Y95*1,"0")+IFERROR(Y96*1,"0")+IFERROR(Y97*1,"0")+IFERROR(Y98*1,"0")</f>
        <v>763.80000000000007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1956.7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16.799999999999997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86.639999999999986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179.54000000000002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2312.6999999999998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20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31.199999999999996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651.80000000000007</v>
      </c>
      <c r="U560" s="46">
        <f>IFERROR(Y414*1,"0")+IFERROR(Y415*1,"0")+IFERROR(Y416*1,"0")</f>
        <v>163.80000000000001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1905</v>
      </c>
      <c r="W560" s="46">
        <f>IFERROR(Y451*1,"0")+IFERROR(Y452*1,"0")+IFERROR(Y456*1,"0")+IFERROR(Y460*1,"0")+IFERROR(Y461*1,"0")+IFERROR(Y462*1,"0")</f>
        <v>882.6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8649.5999999999985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317,00"/>
        <filter val="1 376,00"/>
        <filter val="1 400,00"/>
        <filter val="1 413,00"/>
        <filter val="1 497,00"/>
        <filter val="1 601,00"/>
        <filter val="1 749,00"/>
        <filter val="1 850,00"/>
        <filter val="100,00"/>
        <filter val="11,67"/>
        <filter val="118,00"/>
        <filter val="12,22"/>
        <filter val="120,00"/>
        <filter val="122,22"/>
        <filter val="14,00"/>
        <filter val="147,96"/>
        <filter val="150,00"/>
        <filter val="16,00"/>
        <filter val="162,00"/>
        <filter val="17 589,00"/>
        <filter val="17,46"/>
        <filter val="18 833,86"/>
        <filter val="180,00"/>
        <filter val="19 658,86"/>
        <filter val="19,00"/>
        <filter val="2 329,00"/>
        <filter val="2,00"/>
        <filter val="20,00"/>
        <filter val="21,00"/>
        <filter val="22,00"/>
        <filter val="225,00"/>
        <filter val="23,00"/>
        <filter val="24,00"/>
        <filter val="27,00"/>
        <filter val="28,00"/>
        <filter val="286,93"/>
        <filter val="29,00"/>
        <filter val="3 118,00"/>
        <filter val="3 377,69"/>
        <filter val="3,50"/>
        <filter val="300,00"/>
        <filter val="31,82"/>
        <filter val="32,00"/>
        <filter val="320,00"/>
        <filter val="33"/>
        <filter val="339,51"/>
        <filter val="34,07"/>
        <filter val="34,34"/>
        <filter val="35,00"/>
        <filter val="36,00"/>
        <filter val="39,68"/>
        <filter val="393,00"/>
        <filter val="4 801,00"/>
        <filter val="4,00"/>
        <filter val="4,75"/>
        <filter val="4,81"/>
        <filter val="400,64"/>
        <filter val="441,10"/>
        <filter val="450,00"/>
        <filter val="5,00"/>
        <filter val="5,33"/>
        <filter val="5,71"/>
        <filter val="50,00"/>
        <filter val="51,00"/>
        <filter val="511,00"/>
        <filter val="52,00"/>
        <filter val="53,00"/>
        <filter val="580,00"/>
        <filter val="6,00"/>
        <filter val="60,00"/>
        <filter val="600,00"/>
        <filter val="64,00"/>
        <filter val="68,00"/>
        <filter val="685,00"/>
        <filter val="7,00"/>
        <filter val="7,78"/>
        <filter val="708,00"/>
        <filter val="759,00"/>
        <filter val="76,92"/>
        <filter val="77,14"/>
        <filter val="8,00"/>
        <filter val="80,00"/>
        <filter val="800,00"/>
        <filter val="83,61"/>
        <filter val="85,00"/>
        <filter val="880,00"/>
        <filter val="89,29"/>
        <filter val="9,00"/>
        <filter val="91,73"/>
        <filter val="911,55"/>
        <filter val="95,56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