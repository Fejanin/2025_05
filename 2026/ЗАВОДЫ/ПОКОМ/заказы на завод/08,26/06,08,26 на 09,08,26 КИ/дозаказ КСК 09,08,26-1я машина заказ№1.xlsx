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873CB96-B362-4213-9EC7-ADFED28109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167" i="2" l="1"/>
  <c r="BN28" i="2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<sst xmlns="http://schemas.openxmlformats.org/spreadsheetml/2006/main" count="4194" uniqueCount="891">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</sst>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46243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Воскресенье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350</v>
      </c>
      <c r="Y424" s="55">
        <f t="shared" si="52"/>
        <v>360</v>
      </c>
      <c r="Z424" s="41">
        <f>IFERROR(IF(Y424=0,"",ROUNDUP(Y424/H424,0)*0.02175),"")</f>
        <v>0.52200000000000002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360.96666666666664</v>
      </c>
      <c r="BN424" s="78">
        <f t="shared" si="54"/>
        <v>371.28</v>
      </c>
      <c r="BO424" s="78">
        <f t="shared" si="55"/>
        <v>0.48611111111111105</v>
      </c>
      <c r="BP424" s="78">
        <f t="shared" si="56"/>
        <v>0.5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350</v>
      </c>
      <c r="Y426" s="55">
        <f t="shared" si="52"/>
        <v>360</v>
      </c>
      <c r="Z426" s="41">
        <f>IFERROR(IF(Y426=0,"",ROUNDUP(Y426/H426,0)*0.02175),"")</f>
        <v>0.52200000000000002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360.96666666666664</v>
      </c>
      <c r="BN426" s="78">
        <f t="shared" si="54"/>
        <v>371.28</v>
      </c>
      <c r="BO426" s="78">
        <f t="shared" si="55"/>
        <v>0.48611111111111105</v>
      </c>
      <c r="BP426" s="78">
        <f t="shared" si="56"/>
        <v>0.5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46.666666666666664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700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720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721.93333333333328</v>
      </c>
      <c r="Y552" s="43">
        <f>IFERROR(SUM(BN22:BN548),"0")</f>
        <v>742.56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746.93333333333328</v>
      </c>
      <c r="Y554" s="43">
        <f>GrossWeightTotalR+PalletQtyTotalR*25</f>
        <v>767.56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46.666666666666664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1.044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50,00"/>
        <filter val="46,67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