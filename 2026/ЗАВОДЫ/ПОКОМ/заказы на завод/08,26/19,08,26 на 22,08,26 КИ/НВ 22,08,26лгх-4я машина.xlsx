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BD8706-1897-4EA8-94F1-35C9FCEDB70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Y548" i="1" s="1"/>
  <c r="P545" i="1"/>
  <c r="X543" i="1"/>
  <c r="X542" i="1"/>
  <c r="BO541" i="1"/>
  <c r="BM541" i="1"/>
  <c r="Y541" i="1"/>
  <c r="Y542" i="1" s="1"/>
  <c r="P541" i="1"/>
  <c r="X539" i="1"/>
  <c r="X538" i="1"/>
  <c r="BO537" i="1"/>
  <c r="BM537" i="1"/>
  <c r="Y537" i="1"/>
  <c r="Y538" i="1" s="1"/>
  <c r="P537" i="1"/>
  <c r="X535" i="1"/>
  <c r="X534" i="1"/>
  <c r="BO533" i="1"/>
  <c r="BM533" i="1"/>
  <c r="Y533" i="1"/>
  <c r="Y534" i="1" s="1"/>
  <c r="P533" i="1"/>
  <c r="X531" i="1"/>
  <c r="X530" i="1"/>
  <c r="BO529" i="1"/>
  <c r="BM529" i="1"/>
  <c r="Y529" i="1"/>
  <c r="Y530" i="1" s="1"/>
  <c r="P529" i="1"/>
  <c r="X525" i="1"/>
  <c r="X524" i="1"/>
  <c r="BO523" i="1"/>
  <c r="BM523" i="1"/>
  <c r="Y523" i="1"/>
  <c r="BP523" i="1" s="1"/>
  <c r="P523" i="1"/>
  <c r="BO522" i="1"/>
  <c r="BM522" i="1"/>
  <c r="Y522" i="1"/>
  <c r="P522" i="1"/>
  <c r="BO521" i="1"/>
  <c r="BM521" i="1"/>
  <c r="Y521" i="1"/>
  <c r="BP521" i="1" s="1"/>
  <c r="P521" i="1"/>
  <c r="BO520" i="1"/>
  <c r="BM520" i="1"/>
  <c r="Y520" i="1"/>
  <c r="BP520" i="1" s="1"/>
  <c r="P520" i="1"/>
  <c r="BO519" i="1"/>
  <c r="BM519" i="1"/>
  <c r="Y519" i="1"/>
  <c r="BP519" i="1" s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BP513" i="1" s="1"/>
  <c r="P513" i="1"/>
  <c r="BP512" i="1"/>
  <c r="BO512" i="1"/>
  <c r="BM512" i="1"/>
  <c r="Y512" i="1"/>
  <c r="BN512" i="1" s="1"/>
  <c r="P512" i="1"/>
  <c r="BO511" i="1"/>
  <c r="BM511" i="1"/>
  <c r="Y511" i="1"/>
  <c r="P511" i="1"/>
  <c r="X509" i="1"/>
  <c r="X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BP482" i="1" s="1"/>
  <c r="P482" i="1"/>
  <c r="BO481" i="1"/>
  <c r="BM481" i="1"/>
  <c r="Z481" i="1"/>
  <c r="Y481" i="1"/>
  <c r="BP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BP476" i="1" s="1"/>
  <c r="P476" i="1"/>
  <c r="BP475" i="1"/>
  <c r="BO475" i="1"/>
  <c r="BN475" i="1"/>
  <c r="BM475" i="1"/>
  <c r="Y475" i="1"/>
  <c r="Z475" i="1" s="1"/>
  <c r="P475" i="1"/>
  <c r="BO474" i="1"/>
  <c r="BM474" i="1"/>
  <c r="Y474" i="1"/>
  <c r="BP474" i="1" s="1"/>
  <c r="P474" i="1"/>
  <c r="BO473" i="1"/>
  <c r="BM473" i="1"/>
  <c r="Y473" i="1"/>
  <c r="P473" i="1"/>
  <c r="BO472" i="1"/>
  <c r="BM472" i="1"/>
  <c r="Y472" i="1"/>
  <c r="P472" i="1"/>
  <c r="X468" i="1"/>
  <c r="X467" i="1"/>
  <c r="BO466" i="1"/>
  <c r="BM466" i="1"/>
  <c r="Y466" i="1"/>
  <c r="BP466" i="1" s="1"/>
  <c r="P466" i="1"/>
  <c r="BO465" i="1"/>
  <c r="BN465" i="1"/>
  <c r="BM465" i="1"/>
  <c r="Z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Y461" i="1" s="1"/>
  <c r="P460" i="1"/>
  <c r="X458" i="1"/>
  <c r="X457" i="1"/>
  <c r="BO456" i="1"/>
  <c r="BM456" i="1"/>
  <c r="Y456" i="1"/>
  <c r="BP456" i="1" s="1"/>
  <c r="P456" i="1"/>
  <c r="BO455" i="1"/>
  <c r="BM455" i="1"/>
  <c r="Y455" i="1"/>
  <c r="P455" i="1"/>
  <c r="X452" i="1"/>
  <c r="X451" i="1"/>
  <c r="BO450" i="1"/>
  <c r="BM450" i="1"/>
  <c r="Z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BP445" i="1" s="1"/>
  <c r="P445" i="1"/>
  <c r="BO444" i="1"/>
  <c r="BM444" i="1"/>
  <c r="Y444" i="1"/>
  <c r="BP444" i="1" s="1"/>
  <c r="P444" i="1"/>
  <c r="BO443" i="1"/>
  <c r="BM443" i="1"/>
  <c r="Y443" i="1"/>
  <c r="Y446" i="1" s="1"/>
  <c r="P443" i="1"/>
  <c r="X441" i="1"/>
  <c r="X440" i="1"/>
  <c r="BO439" i="1"/>
  <c r="BM439" i="1"/>
  <c r="Y439" i="1"/>
  <c r="BP439" i="1" s="1"/>
  <c r="P439" i="1"/>
  <c r="BO438" i="1"/>
  <c r="BN438" i="1"/>
  <c r="BM438" i="1"/>
  <c r="Z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BP431" i="1" s="1"/>
  <c r="P431" i="1"/>
  <c r="BO430" i="1"/>
  <c r="BM430" i="1"/>
  <c r="Y430" i="1"/>
  <c r="BP430" i="1" s="1"/>
  <c r="P430" i="1"/>
  <c r="BO429" i="1"/>
  <c r="BM429" i="1"/>
  <c r="Y429" i="1"/>
  <c r="BP429" i="1" s="1"/>
  <c r="P429" i="1"/>
  <c r="BO428" i="1"/>
  <c r="BM428" i="1"/>
  <c r="Y428" i="1"/>
  <c r="BP428" i="1" s="1"/>
  <c r="P428" i="1"/>
  <c r="BO427" i="1"/>
  <c r="BM427" i="1"/>
  <c r="Y427" i="1"/>
  <c r="BP427" i="1" s="1"/>
  <c r="P427" i="1"/>
  <c r="BP426" i="1"/>
  <c r="BO426" i="1"/>
  <c r="BN426" i="1"/>
  <c r="BM426" i="1"/>
  <c r="Y426" i="1"/>
  <c r="Z426" i="1" s="1"/>
  <c r="P426" i="1"/>
  <c r="X422" i="1"/>
  <c r="X421" i="1"/>
  <c r="BO420" i="1"/>
  <c r="BM420" i="1"/>
  <c r="Y420" i="1"/>
  <c r="BP420" i="1" s="1"/>
  <c r="P420" i="1"/>
  <c r="BO419" i="1"/>
  <c r="BM419" i="1"/>
  <c r="Y419" i="1"/>
  <c r="BP419" i="1" s="1"/>
  <c r="P419" i="1"/>
  <c r="BO418" i="1"/>
  <c r="BM418" i="1"/>
  <c r="Y418" i="1"/>
  <c r="BP418" i="1" s="1"/>
  <c r="P418" i="1"/>
  <c r="X415" i="1"/>
  <c r="X414" i="1"/>
  <c r="BO413" i="1"/>
  <c r="BM413" i="1"/>
  <c r="Y413" i="1"/>
  <c r="BP413" i="1" s="1"/>
  <c r="BP412" i="1"/>
  <c r="BO412" i="1"/>
  <c r="BM412" i="1"/>
  <c r="Y412" i="1"/>
  <c r="Y414" i="1" s="1"/>
  <c r="X409" i="1"/>
  <c r="X408" i="1"/>
  <c r="BO407" i="1"/>
  <c r="BM407" i="1"/>
  <c r="Y407" i="1"/>
  <c r="BP407" i="1" s="1"/>
  <c r="P407" i="1"/>
  <c r="BO406" i="1"/>
  <c r="BM406" i="1"/>
  <c r="Z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BP401" i="1" s="1"/>
  <c r="P401" i="1"/>
  <c r="BO400" i="1"/>
  <c r="BM400" i="1"/>
  <c r="Y400" i="1"/>
  <c r="BP400" i="1" s="1"/>
  <c r="P400" i="1"/>
  <c r="BO399" i="1"/>
  <c r="BM399" i="1"/>
  <c r="Y399" i="1"/>
  <c r="Y402" i="1" s="1"/>
  <c r="P399" i="1"/>
  <c r="X397" i="1"/>
  <c r="X396" i="1"/>
  <c r="BO395" i="1"/>
  <c r="BM395" i="1"/>
  <c r="Y395" i="1"/>
  <c r="BP395" i="1" s="1"/>
  <c r="P395" i="1"/>
  <c r="BO394" i="1"/>
  <c r="BN394" i="1"/>
  <c r="BM394" i="1"/>
  <c r="Z394" i="1"/>
  <c r="Y394" i="1"/>
  <c r="BP394" i="1" s="1"/>
  <c r="P394" i="1"/>
  <c r="BO393" i="1"/>
  <c r="BM393" i="1"/>
  <c r="Y393" i="1"/>
  <c r="BP393" i="1" s="1"/>
  <c r="P393" i="1"/>
  <c r="BO392" i="1"/>
  <c r="BM392" i="1"/>
  <c r="Y392" i="1"/>
  <c r="BN392" i="1" s="1"/>
  <c r="P392" i="1"/>
  <c r="X390" i="1"/>
  <c r="X389" i="1"/>
  <c r="BP388" i="1"/>
  <c r="BO388" i="1"/>
  <c r="BM388" i="1"/>
  <c r="Y388" i="1"/>
  <c r="BN388" i="1" s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O380" i="1"/>
  <c r="BM380" i="1"/>
  <c r="Y380" i="1"/>
  <c r="BP380" i="1" s="1"/>
  <c r="P380" i="1"/>
  <c r="BO379" i="1"/>
  <c r="BM379" i="1"/>
  <c r="Y379" i="1"/>
  <c r="P379" i="1"/>
  <c r="X377" i="1"/>
  <c r="X376" i="1"/>
  <c r="BO375" i="1"/>
  <c r="BM375" i="1"/>
  <c r="Y375" i="1"/>
  <c r="BP375" i="1" s="1"/>
  <c r="P375" i="1"/>
  <c r="BO374" i="1"/>
  <c r="BM374" i="1"/>
  <c r="Y374" i="1"/>
  <c r="BP374" i="1" s="1"/>
  <c r="P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BP371" i="1" s="1"/>
  <c r="P371" i="1"/>
  <c r="BP370" i="1"/>
  <c r="BO370" i="1"/>
  <c r="BM370" i="1"/>
  <c r="Z370" i="1"/>
  <c r="Y370" i="1"/>
  <c r="BN370" i="1" s="1"/>
  <c r="P370" i="1"/>
  <c r="BO369" i="1"/>
  <c r="BM369" i="1"/>
  <c r="Y369" i="1"/>
  <c r="P369" i="1"/>
  <c r="X367" i="1"/>
  <c r="X366" i="1"/>
  <c r="BO365" i="1"/>
  <c r="BM365" i="1"/>
  <c r="Y365" i="1"/>
  <c r="BP365" i="1" s="1"/>
  <c r="P365" i="1"/>
  <c r="BO364" i="1"/>
  <c r="BM364" i="1"/>
  <c r="Y364" i="1"/>
  <c r="BP364" i="1" s="1"/>
  <c r="P364" i="1"/>
  <c r="BO363" i="1"/>
  <c r="BM363" i="1"/>
  <c r="Y363" i="1"/>
  <c r="BP363" i="1" s="1"/>
  <c r="P363" i="1"/>
  <c r="BP362" i="1"/>
  <c r="BO362" i="1"/>
  <c r="BM362" i="1"/>
  <c r="Y362" i="1"/>
  <c r="BN362" i="1" s="1"/>
  <c r="P362" i="1"/>
  <c r="BO361" i="1"/>
  <c r="BM361" i="1"/>
  <c r="Y361" i="1"/>
  <c r="P361" i="1"/>
  <c r="X358" i="1"/>
  <c r="X357" i="1"/>
  <c r="BO356" i="1"/>
  <c r="BM356" i="1"/>
  <c r="Y356" i="1"/>
  <c r="BP356" i="1" s="1"/>
  <c r="P356" i="1"/>
  <c r="BO355" i="1"/>
  <c r="BM355" i="1"/>
  <c r="Y355" i="1"/>
  <c r="BP355" i="1" s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BP340" i="1" s="1"/>
  <c r="P340" i="1"/>
  <c r="X337" i="1"/>
  <c r="X336" i="1"/>
  <c r="BO335" i="1"/>
  <c r="BM335" i="1"/>
  <c r="Y335" i="1"/>
  <c r="P335" i="1"/>
  <c r="BO334" i="1"/>
  <c r="BM334" i="1"/>
  <c r="Y334" i="1"/>
  <c r="P334" i="1"/>
  <c r="BP333" i="1"/>
  <c r="BO333" i="1"/>
  <c r="BN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P326" i="1"/>
  <c r="BO326" i="1"/>
  <c r="BM326" i="1"/>
  <c r="Z326" i="1"/>
  <c r="Y326" i="1"/>
  <c r="BN326" i="1" s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Y314" i="1" s="1"/>
  <c r="P313" i="1"/>
  <c r="X311" i="1"/>
  <c r="X310" i="1"/>
  <c r="BO309" i="1"/>
  <c r="BM309" i="1"/>
  <c r="Y309" i="1"/>
  <c r="Y310" i="1" s="1"/>
  <c r="P309" i="1"/>
  <c r="X307" i="1"/>
  <c r="X306" i="1"/>
  <c r="BO305" i="1"/>
  <c r="BM305" i="1"/>
  <c r="Y305" i="1"/>
  <c r="BP305" i="1" s="1"/>
  <c r="P305" i="1"/>
  <c r="BO304" i="1"/>
  <c r="BN304" i="1"/>
  <c r="BM304" i="1"/>
  <c r="Z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M299" i="1"/>
  <c r="Y299" i="1"/>
  <c r="P299" i="1"/>
  <c r="X296" i="1"/>
  <c r="X295" i="1"/>
  <c r="BO294" i="1"/>
  <c r="BM294" i="1"/>
  <c r="Y294" i="1"/>
  <c r="BP294" i="1" s="1"/>
  <c r="P294" i="1"/>
  <c r="BO293" i="1"/>
  <c r="BM293" i="1"/>
  <c r="Y293" i="1"/>
  <c r="P293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N281" i="1"/>
  <c r="BM281" i="1"/>
  <c r="Z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Y291" i="1" s="1"/>
  <c r="P278" i="1"/>
  <c r="X276" i="1"/>
  <c r="X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BP269" i="1"/>
  <c r="BO269" i="1"/>
  <c r="BN269" i="1"/>
  <c r="BM269" i="1"/>
  <c r="Y269" i="1"/>
  <c r="Z269" i="1" s="1"/>
  <c r="P269" i="1"/>
  <c r="BO268" i="1"/>
  <c r="BM268" i="1"/>
  <c r="Y268" i="1"/>
  <c r="BP268" i="1" s="1"/>
  <c r="P268" i="1"/>
  <c r="BO267" i="1"/>
  <c r="BM267" i="1"/>
  <c r="Y267" i="1"/>
  <c r="BN267" i="1" s="1"/>
  <c r="P267" i="1"/>
  <c r="X265" i="1"/>
  <c r="X264" i="1"/>
  <c r="BO263" i="1"/>
  <c r="BM263" i="1"/>
  <c r="Y263" i="1"/>
  <c r="BP263" i="1" s="1"/>
  <c r="P263" i="1"/>
  <c r="BO262" i="1"/>
  <c r="BM262" i="1"/>
  <c r="Y262" i="1"/>
  <c r="P262" i="1"/>
  <c r="X260" i="1"/>
  <c r="X259" i="1"/>
  <c r="BO258" i="1"/>
  <c r="BM258" i="1"/>
  <c r="Y258" i="1"/>
  <c r="BP258" i="1" s="1"/>
  <c r="P258" i="1"/>
  <c r="BO257" i="1"/>
  <c r="BM257" i="1"/>
  <c r="Y257" i="1"/>
  <c r="P257" i="1"/>
  <c r="X254" i="1"/>
  <c r="X253" i="1"/>
  <c r="BO252" i="1"/>
  <c r="BM252" i="1"/>
  <c r="Y252" i="1"/>
  <c r="Y254" i="1" s="1"/>
  <c r="P252" i="1"/>
  <c r="X250" i="1"/>
  <c r="X249" i="1"/>
  <c r="BO248" i="1"/>
  <c r="BN248" i="1"/>
  <c r="BM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P232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BP212" i="1" s="1"/>
  <c r="P212" i="1"/>
  <c r="BO211" i="1"/>
  <c r="BM211" i="1"/>
  <c r="Y211" i="1"/>
  <c r="Z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Y201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BP190" i="1" s="1"/>
  <c r="P190" i="1"/>
  <c r="BO189" i="1"/>
  <c r="BM189" i="1"/>
  <c r="Y189" i="1"/>
  <c r="P189" i="1"/>
  <c r="X187" i="1"/>
  <c r="X186" i="1"/>
  <c r="BP185" i="1"/>
  <c r="BO185" i="1"/>
  <c r="BM185" i="1"/>
  <c r="Y185" i="1"/>
  <c r="BN185" i="1" s="1"/>
  <c r="P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P177" i="1"/>
  <c r="BO177" i="1"/>
  <c r="BN177" i="1"/>
  <c r="BM177" i="1"/>
  <c r="Y177" i="1"/>
  <c r="Z177" i="1" s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Z171" i="1" s="1"/>
  <c r="P171" i="1"/>
  <c r="BO170" i="1"/>
  <c r="BM170" i="1"/>
  <c r="Y170" i="1"/>
  <c r="P170" i="1"/>
  <c r="X168" i="1"/>
  <c r="X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Z154" i="1"/>
  <c r="Y154" i="1"/>
  <c r="BP154" i="1" s="1"/>
  <c r="P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Z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P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BP137" i="1" s="1"/>
  <c r="P137" i="1"/>
  <c r="BO136" i="1"/>
  <c r="BM136" i="1"/>
  <c r="Y136" i="1"/>
  <c r="P136" i="1"/>
  <c r="BO135" i="1"/>
  <c r="BM135" i="1"/>
  <c r="Y135" i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BO129" i="1"/>
  <c r="BM129" i="1"/>
  <c r="Y129" i="1"/>
  <c r="P129" i="1"/>
  <c r="X126" i="1"/>
  <c r="X125" i="1"/>
  <c r="BO124" i="1"/>
  <c r="BM124" i="1"/>
  <c r="Y124" i="1"/>
  <c r="P124" i="1"/>
  <c r="X122" i="1"/>
  <c r="X121" i="1"/>
  <c r="BO120" i="1"/>
  <c r="BM120" i="1"/>
  <c r="Y120" i="1"/>
  <c r="BP120" i="1" s="1"/>
  <c r="P120" i="1"/>
  <c r="BO119" i="1"/>
  <c r="BM119" i="1"/>
  <c r="Y119" i="1"/>
  <c r="P119" i="1"/>
  <c r="BO118" i="1"/>
  <c r="BM118" i="1"/>
  <c r="Z118" i="1"/>
  <c r="Y118" i="1"/>
  <c r="BN118" i="1" s="1"/>
  <c r="P118" i="1"/>
  <c r="BO117" i="1"/>
  <c r="BM117" i="1"/>
  <c r="Y117" i="1"/>
  <c r="P117" i="1"/>
  <c r="X115" i="1"/>
  <c r="X114" i="1"/>
  <c r="BO113" i="1"/>
  <c r="BM113" i="1"/>
  <c r="Y113" i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M110" i="1"/>
  <c r="Z110" i="1"/>
  <c r="Y110" i="1"/>
  <c r="BN110" i="1" s="1"/>
  <c r="P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M104" i="1"/>
  <c r="Z104" i="1"/>
  <c r="Y104" i="1"/>
  <c r="BN104" i="1" s="1"/>
  <c r="P104" i="1"/>
  <c r="BO103" i="1"/>
  <c r="BM103" i="1"/>
  <c r="Y103" i="1"/>
  <c r="P103" i="1"/>
  <c r="BP102" i="1"/>
  <c r="BO102" i="1"/>
  <c r="BM102" i="1"/>
  <c r="Y102" i="1"/>
  <c r="BN102" i="1" s="1"/>
  <c r="P102" i="1"/>
  <c r="BO101" i="1"/>
  <c r="BM101" i="1"/>
  <c r="Y101" i="1"/>
  <c r="P101" i="1"/>
  <c r="BO100" i="1"/>
  <c r="BM100" i="1"/>
  <c r="Y100" i="1"/>
  <c r="BN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N93" i="1" s="1"/>
  <c r="P93" i="1"/>
  <c r="BO92" i="1"/>
  <c r="BM92" i="1"/>
  <c r="Y92" i="1"/>
  <c r="P92" i="1"/>
  <c r="BO91" i="1"/>
  <c r="BM91" i="1"/>
  <c r="Y91" i="1"/>
  <c r="BN91" i="1" s="1"/>
  <c r="P91" i="1"/>
  <c r="X89" i="1"/>
  <c r="X88" i="1"/>
  <c r="BP87" i="1"/>
  <c r="BO87" i="1"/>
  <c r="BM87" i="1"/>
  <c r="Y87" i="1"/>
  <c r="BN87" i="1" s="1"/>
  <c r="P87" i="1"/>
  <c r="BO86" i="1"/>
  <c r="BM86" i="1"/>
  <c r="Y86" i="1"/>
  <c r="P86" i="1"/>
  <c r="BO85" i="1"/>
  <c r="BM85" i="1"/>
  <c r="Y85" i="1"/>
  <c r="BN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N78" i="1" s="1"/>
  <c r="P78" i="1"/>
  <c r="X76" i="1"/>
  <c r="X75" i="1"/>
  <c r="BO74" i="1"/>
  <c r="BN74" i="1"/>
  <c r="BM74" i="1"/>
  <c r="Y74" i="1"/>
  <c r="BP74" i="1" s="1"/>
  <c r="P74" i="1"/>
  <c r="BO73" i="1"/>
  <c r="BM73" i="1"/>
  <c r="Y73" i="1"/>
  <c r="Y75" i="1" s="1"/>
  <c r="P73" i="1"/>
  <c r="X71" i="1"/>
  <c r="X70" i="1"/>
  <c r="BO69" i="1"/>
  <c r="BM69" i="1"/>
  <c r="Y69" i="1"/>
  <c r="P69" i="1"/>
  <c r="BO68" i="1"/>
  <c r="BM68" i="1"/>
  <c r="Y68" i="1"/>
  <c r="BN68" i="1" s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N62" i="1" s="1"/>
  <c r="P62" i="1"/>
  <c r="BO61" i="1"/>
  <c r="BM61" i="1"/>
  <c r="Y61" i="1"/>
  <c r="P61" i="1"/>
  <c r="BP60" i="1"/>
  <c r="BO60" i="1"/>
  <c r="BM60" i="1"/>
  <c r="Y60" i="1"/>
  <c r="BN60" i="1" s="1"/>
  <c r="P60" i="1"/>
  <c r="BO59" i="1"/>
  <c r="BM59" i="1"/>
  <c r="Y59" i="1"/>
  <c r="P59" i="1"/>
  <c r="BO58" i="1"/>
  <c r="BM58" i="1"/>
  <c r="Z58" i="1"/>
  <c r="Y58" i="1"/>
  <c r="BP58" i="1" s="1"/>
  <c r="P58" i="1"/>
  <c r="BO57" i="1"/>
  <c r="BM57" i="1"/>
  <c r="Y57" i="1"/>
  <c r="P57" i="1"/>
  <c r="BP56" i="1"/>
  <c r="BO56" i="1"/>
  <c r="BM56" i="1"/>
  <c r="Z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Z47" i="1"/>
  <c r="Y47" i="1"/>
  <c r="BN47" i="1" s="1"/>
  <c r="P47" i="1"/>
  <c r="X43" i="1"/>
  <c r="X42" i="1"/>
  <c r="BO41" i="1"/>
  <c r="BM41" i="1"/>
  <c r="Y41" i="1"/>
  <c r="BP41" i="1" s="1"/>
  <c r="P41" i="1"/>
  <c r="BO40" i="1"/>
  <c r="BM40" i="1"/>
  <c r="Y40" i="1"/>
  <c r="P40" i="1"/>
  <c r="BP39" i="1"/>
  <c r="BO39" i="1"/>
  <c r="BM39" i="1"/>
  <c r="Z39" i="1"/>
  <c r="Y39" i="1"/>
  <c r="BN39" i="1" s="1"/>
  <c r="P39" i="1"/>
  <c r="BO38" i="1"/>
  <c r="BM38" i="1"/>
  <c r="Y38" i="1"/>
  <c r="P38" i="1"/>
  <c r="BO37" i="1"/>
  <c r="BM37" i="1"/>
  <c r="Y37" i="1"/>
  <c r="BN37" i="1" s="1"/>
  <c r="P37" i="1"/>
  <c r="X33" i="1"/>
  <c r="X32" i="1"/>
  <c r="BO31" i="1"/>
  <c r="BM31" i="1"/>
  <c r="Y31" i="1"/>
  <c r="BN31" i="1" s="1"/>
  <c r="P31" i="1"/>
  <c r="BO30" i="1"/>
  <c r="BM30" i="1"/>
  <c r="Y30" i="1"/>
  <c r="P30" i="1"/>
  <c r="BO29" i="1"/>
  <c r="BM29" i="1"/>
  <c r="Y29" i="1"/>
  <c r="BN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H9" i="1" s="1"/>
  <c r="D7" i="1"/>
  <c r="Q6" i="1"/>
  <c r="P2" i="1"/>
  <c r="Z27" i="1" l="1"/>
  <c r="Z207" i="1"/>
  <c r="Z342" i="1"/>
  <c r="Z413" i="1"/>
  <c r="BN171" i="1"/>
  <c r="BN211" i="1"/>
  <c r="Z248" i="1"/>
  <c r="BN520" i="1"/>
  <c r="Z520" i="1"/>
  <c r="BN27" i="1"/>
  <c r="BP31" i="1"/>
  <c r="BN207" i="1"/>
  <c r="BN342" i="1"/>
  <c r="BN413" i="1"/>
  <c r="BP171" i="1"/>
  <c r="BP211" i="1"/>
  <c r="Y564" i="1"/>
  <c r="Z78" i="1"/>
  <c r="Z93" i="1"/>
  <c r="BN154" i="1"/>
  <c r="Z242" i="1"/>
  <c r="Y384" i="1"/>
  <c r="BN406" i="1"/>
  <c r="BN450" i="1"/>
  <c r="BP118" i="1"/>
  <c r="BN150" i="1"/>
  <c r="Y265" i="1"/>
  <c r="Y390" i="1"/>
  <c r="Z564" i="1"/>
  <c r="BN242" i="1"/>
  <c r="Z273" i="1"/>
  <c r="Z430" i="1"/>
  <c r="BP78" i="1"/>
  <c r="BP93" i="1"/>
  <c r="Z87" i="1"/>
  <c r="Z102" i="1"/>
  <c r="Z232" i="1"/>
  <c r="BN273" i="1"/>
  <c r="Z362" i="1"/>
  <c r="BN430" i="1"/>
  <c r="Z31" i="1"/>
  <c r="Z224" i="1"/>
  <c r="Z263" i="1"/>
  <c r="Z285" i="1"/>
  <c r="Z418" i="1"/>
  <c r="Z500" i="1"/>
  <c r="Z120" i="1"/>
  <c r="Z137" i="1"/>
  <c r="BN224" i="1"/>
  <c r="Y250" i="1"/>
  <c r="BN263" i="1"/>
  <c r="BN285" i="1"/>
  <c r="Z300" i="1"/>
  <c r="Z374" i="1"/>
  <c r="BN418" i="1"/>
  <c r="BN500" i="1"/>
  <c r="U564" i="1"/>
  <c r="BN23" i="1"/>
  <c r="BP47" i="1"/>
  <c r="Z60" i="1"/>
  <c r="BN120" i="1"/>
  <c r="BN137" i="1"/>
  <c r="Z185" i="1"/>
  <c r="BN300" i="1"/>
  <c r="Y336" i="1"/>
  <c r="BN374" i="1"/>
  <c r="Z388" i="1"/>
  <c r="Z412" i="1"/>
  <c r="Z414" i="1" s="1"/>
  <c r="Z512" i="1"/>
  <c r="Y320" i="1"/>
  <c r="Z333" i="1"/>
  <c r="BN481" i="1"/>
  <c r="BN412" i="1"/>
  <c r="X554" i="1"/>
  <c r="Y236" i="1"/>
  <c r="Y452" i="1"/>
  <c r="Z23" i="1"/>
  <c r="Y33" i="1"/>
  <c r="Z29" i="1"/>
  <c r="BP29" i="1"/>
  <c r="Z37" i="1"/>
  <c r="BP37" i="1"/>
  <c r="BN41" i="1"/>
  <c r="BN49" i="1"/>
  <c r="BN58" i="1"/>
  <c r="Z62" i="1"/>
  <c r="BP62" i="1"/>
  <c r="Z68" i="1"/>
  <c r="BP68" i="1"/>
  <c r="Z85" i="1"/>
  <c r="BP85" i="1"/>
  <c r="Z91" i="1"/>
  <c r="BP91" i="1"/>
  <c r="Z100" i="1"/>
  <c r="BP100" i="1"/>
  <c r="BN129" i="1"/>
  <c r="BP129" i="1"/>
  <c r="Z129" i="1"/>
  <c r="Y193" i="1"/>
  <c r="BN189" i="1"/>
  <c r="BP189" i="1"/>
  <c r="Z189" i="1"/>
  <c r="BN279" i="1"/>
  <c r="BP279" i="1"/>
  <c r="Z279" i="1"/>
  <c r="BN302" i="1"/>
  <c r="BP302" i="1"/>
  <c r="Z302" i="1"/>
  <c r="BN344" i="1"/>
  <c r="BP344" i="1"/>
  <c r="Z344" i="1"/>
  <c r="BN455" i="1"/>
  <c r="BP455" i="1"/>
  <c r="Z455" i="1"/>
  <c r="X556" i="1"/>
  <c r="Z74" i="1"/>
  <c r="Y139" i="1"/>
  <c r="BN135" i="1"/>
  <c r="BP135" i="1"/>
  <c r="Z135" i="1"/>
  <c r="Y187" i="1"/>
  <c r="BN175" i="1"/>
  <c r="BP175" i="1"/>
  <c r="Z175" i="1"/>
  <c r="Y197" i="1"/>
  <c r="BN195" i="1"/>
  <c r="BP195" i="1"/>
  <c r="Z195" i="1"/>
  <c r="BN230" i="1"/>
  <c r="BP230" i="1"/>
  <c r="Z230" i="1"/>
  <c r="BN257" i="1"/>
  <c r="BP257" i="1"/>
  <c r="Z257" i="1"/>
  <c r="BN318" i="1"/>
  <c r="BP318" i="1"/>
  <c r="Z318" i="1"/>
  <c r="BN473" i="1"/>
  <c r="BP473" i="1"/>
  <c r="Z473" i="1"/>
  <c r="BN506" i="1"/>
  <c r="BP506" i="1"/>
  <c r="Z506" i="1"/>
  <c r="Z41" i="1"/>
  <c r="Z49" i="1"/>
  <c r="Y126" i="1"/>
  <c r="BP124" i="1"/>
  <c r="Z124" i="1"/>
  <c r="Z125" i="1" s="1"/>
  <c r="Y125" i="1"/>
  <c r="BN124" i="1"/>
  <c r="BN143" i="1"/>
  <c r="BP143" i="1"/>
  <c r="Z143" i="1"/>
  <c r="BN287" i="1"/>
  <c r="BP287" i="1"/>
  <c r="Z287" i="1"/>
  <c r="BN328" i="1"/>
  <c r="BP328" i="1"/>
  <c r="Z328" i="1"/>
  <c r="BN432" i="1"/>
  <c r="BP432" i="1"/>
  <c r="Z432" i="1"/>
  <c r="BN152" i="1"/>
  <c r="BP152" i="1"/>
  <c r="Z152" i="1"/>
  <c r="BN183" i="1"/>
  <c r="BP183" i="1"/>
  <c r="Z183" i="1"/>
  <c r="BN222" i="1"/>
  <c r="BP222" i="1"/>
  <c r="Z222" i="1"/>
  <c r="BN271" i="1"/>
  <c r="BP271" i="1"/>
  <c r="Z271" i="1"/>
  <c r="Y295" i="1"/>
  <c r="BN293" i="1"/>
  <c r="BP293" i="1"/>
  <c r="Z293" i="1"/>
  <c r="BN335" i="1"/>
  <c r="BP335" i="1"/>
  <c r="Z335" i="1"/>
  <c r="BN522" i="1"/>
  <c r="BP522" i="1"/>
  <c r="Z522" i="1"/>
  <c r="BN165" i="1"/>
  <c r="BN179" i="1"/>
  <c r="BN209" i="1"/>
  <c r="BN226" i="1"/>
  <c r="BN234" i="1"/>
  <c r="BN240" i="1"/>
  <c r="BN246" i="1"/>
  <c r="BN252" i="1"/>
  <c r="Y253" i="1"/>
  <c r="BN283" i="1"/>
  <c r="O564" i="1"/>
  <c r="BN340" i="1"/>
  <c r="BN355" i="1"/>
  <c r="BN364" i="1"/>
  <c r="BN372" i="1"/>
  <c r="BN380" i="1"/>
  <c r="BN386" i="1"/>
  <c r="BN400" i="1"/>
  <c r="BN420" i="1"/>
  <c r="BN428" i="1"/>
  <c r="Y440" i="1"/>
  <c r="BN444" i="1"/>
  <c r="BN477" i="1"/>
  <c r="BN492" i="1"/>
  <c r="BN502" i="1"/>
  <c r="Y514" i="1"/>
  <c r="BN518" i="1"/>
  <c r="L564" i="1"/>
  <c r="Y275" i="1"/>
  <c r="Y396" i="1"/>
  <c r="Y524" i="1"/>
  <c r="Z165" i="1"/>
  <c r="Z179" i="1"/>
  <c r="K564" i="1"/>
  <c r="Z209" i="1"/>
  <c r="Z226" i="1"/>
  <c r="Z234" i="1"/>
  <c r="Y244" i="1"/>
  <c r="Z240" i="1"/>
  <c r="Z246" i="1"/>
  <c r="BP246" i="1"/>
  <c r="Z252" i="1"/>
  <c r="Z253" i="1" s="1"/>
  <c r="BP252" i="1"/>
  <c r="Z267" i="1"/>
  <c r="BP267" i="1"/>
  <c r="Z283" i="1"/>
  <c r="Z340" i="1"/>
  <c r="Z355" i="1"/>
  <c r="T564" i="1"/>
  <c r="Z364" i="1"/>
  <c r="Y376" i="1"/>
  <c r="Z372" i="1"/>
  <c r="Z380" i="1"/>
  <c r="Z386" i="1"/>
  <c r="Z389" i="1" s="1"/>
  <c r="BP386" i="1"/>
  <c r="Z392" i="1"/>
  <c r="BP392" i="1"/>
  <c r="Z400" i="1"/>
  <c r="Y408" i="1"/>
  <c r="Z420" i="1"/>
  <c r="Z428" i="1"/>
  <c r="Z444" i="1"/>
  <c r="Y467" i="1"/>
  <c r="Z477" i="1"/>
  <c r="Y483" i="1"/>
  <c r="Z492" i="1"/>
  <c r="Z502" i="1"/>
  <c r="Z518" i="1"/>
  <c r="B564" i="1"/>
  <c r="Y25" i="1"/>
  <c r="BP22" i="1"/>
  <c r="BN22" i="1"/>
  <c r="Z22" i="1"/>
  <c r="Z24" i="1" s="1"/>
  <c r="BP30" i="1"/>
  <c r="BN30" i="1"/>
  <c r="Z30" i="1"/>
  <c r="BP40" i="1"/>
  <c r="BN40" i="1"/>
  <c r="Z40" i="1"/>
  <c r="BP50" i="1"/>
  <c r="BN50" i="1"/>
  <c r="Z50" i="1"/>
  <c r="Y52" i="1"/>
  <c r="E564" i="1"/>
  <c r="Y64" i="1"/>
  <c r="BP55" i="1"/>
  <c r="BN55" i="1"/>
  <c r="Z55" i="1"/>
  <c r="BP59" i="1"/>
  <c r="BN59" i="1"/>
  <c r="Z59" i="1"/>
  <c r="Y63" i="1"/>
  <c r="BP67" i="1"/>
  <c r="BN67" i="1"/>
  <c r="Z67" i="1"/>
  <c r="BP79" i="1"/>
  <c r="BN79" i="1"/>
  <c r="Z79" i="1"/>
  <c r="Y81" i="1"/>
  <c r="F564" i="1"/>
  <c r="Y89" i="1"/>
  <c r="BP84" i="1"/>
  <c r="BN84" i="1"/>
  <c r="Z84" i="1"/>
  <c r="Y88" i="1"/>
  <c r="BP92" i="1"/>
  <c r="BN92" i="1"/>
  <c r="Z92" i="1"/>
  <c r="BP101" i="1"/>
  <c r="BN101" i="1"/>
  <c r="Z101" i="1"/>
  <c r="BP105" i="1"/>
  <c r="BN105" i="1"/>
  <c r="Z105" i="1"/>
  <c r="Y107" i="1"/>
  <c r="Y114" i="1"/>
  <c r="BP109" i="1"/>
  <c r="BN109" i="1"/>
  <c r="Z109" i="1"/>
  <c r="BP113" i="1"/>
  <c r="BN113" i="1"/>
  <c r="Z113" i="1"/>
  <c r="Y115" i="1"/>
  <c r="Y122" i="1"/>
  <c r="BP117" i="1"/>
  <c r="BN117" i="1"/>
  <c r="Z117" i="1"/>
  <c r="Y121" i="1"/>
  <c r="BP130" i="1"/>
  <c r="BN130" i="1"/>
  <c r="Z130" i="1"/>
  <c r="BP138" i="1"/>
  <c r="BN138" i="1"/>
  <c r="Z138" i="1"/>
  <c r="Y140" i="1"/>
  <c r="Y145" i="1"/>
  <c r="BP142" i="1"/>
  <c r="BN142" i="1"/>
  <c r="Z142" i="1"/>
  <c r="BP151" i="1"/>
  <c r="BN151" i="1"/>
  <c r="Z151" i="1"/>
  <c r="BP155" i="1"/>
  <c r="BN155" i="1"/>
  <c r="Z15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F10" i="1"/>
  <c r="J9" i="1"/>
  <c r="F9" i="1"/>
  <c r="A10" i="1"/>
  <c r="X555" i="1"/>
  <c r="X557" i="1" s="1"/>
  <c r="Y24" i="1"/>
  <c r="BP28" i="1"/>
  <c r="BN28" i="1"/>
  <c r="Z28" i="1"/>
  <c r="Y32" i="1"/>
  <c r="BP38" i="1"/>
  <c r="BN38" i="1"/>
  <c r="Z38" i="1"/>
  <c r="Z42" i="1" s="1"/>
  <c r="Y42" i="1"/>
  <c r="BP48" i="1"/>
  <c r="BN48" i="1"/>
  <c r="Z48" i="1"/>
  <c r="Z51" i="1" s="1"/>
  <c r="BP57" i="1"/>
  <c r="BN57" i="1"/>
  <c r="Z57" i="1"/>
  <c r="BP61" i="1"/>
  <c r="BN61" i="1"/>
  <c r="Z61" i="1"/>
  <c r="Y70" i="1"/>
  <c r="BP69" i="1"/>
  <c r="BN69" i="1"/>
  <c r="Z69" i="1"/>
  <c r="Y71" i="1"/>
  <c r="Y76" i="1"/>
  <c r="BP73" i="1"/>
  <c r="BN73" i="1"/>
  <c r="Z73" i="1"/>
  <c r="Z75" i="1" s="1"/>
  <c r="Y80" i="1"/>
  <c r="BP86" i="1"/>
  <c r="BN86" i="1"/>
  <c r="Z86" i="1"/>
  <c r="Y95" i="1"/>
  <c r="BP94" i="1"/>
  <c r="BN94" i="1"/>
  <c r="Z94" i="1"/>
  <c r="Y96" i="1"/>
  <c r="G564" i="1"/>
  <c r="Y106" i="1"/>
  <c r="BP99" i="1"/>
  <c r="BN99" i="1"/>
  <c r="Z99" i="1"/>
  <c r="BP103" i="1"/>
  <c r="BN103" i="1"/>
  <c r="Z103" i="1"/>
  <c r="BP111" i="1"/>
  <c r="BN111" i="1"/>
  <c r="Z111" i="1"/>
  <c r="BP119" i="1"/>
  <c r="BN119" i="1"/>
  <c r="Z119" i="1"/>
  <c r="Y132" i="1"/>
  <c r="BP136" i="1"/>
  <c r="BN136" i="1"/>
  <c r="Z136" i="1"/>
  <c r="BP144" i="1"/>
  <c r="BN144" i="1"/>
  <c r="Z144" i="1"/>
  <c r="Y146" i="1"/>
  <c r="I564" i="1"/>
  <c r="Y156" i="1"/>
  <c r="BP149" i="1"/>
  <c r="BN149" i="1"/>
  <c r="Z149" i="1"/>
  <c r="BP153" i="1"/>
  <c r="BN153" i="1"/>
  <c r="Z153" i="1"/>
  <c r="BP166" i="1"/>
  <c r="BN166" i="1"/>
  <c r="Z166" i="1"/>
  <c r="Y168" i="1"/>
  <c r="Y173" i="1"/>
  <c r="BP170" i="1"/>
  <c r="BN170" i="1"/>
  <c r="Z170" i="1"/>
  <c r="Z172" i="1" s="1"/>
  <c r="Y172" i="1"/>
  <c r="Y214" i="1"/>
  <c r="Y219" i="1"/>
  <c r="Y235" i="1"/>
  <c r="Y260" i="1"/>
  <c r="Y264" i="1"/>
  <c r="Y276" i="1"/>
  <c r="Y290" i="1"/>
  <c r="Y296" i="1"/>
  <c r="Y307" i="1"/>
  <c r="Y311" i="1"/>
  <c r="Y315" i="1"/>
  <c r="Y321" i="1"/>
  <c r="P564" i="1"/>
  <c r="Y330" i="1"/>
  <c r="BP327" i="1"/>
  <c r="BN327" i="1"/>
  <c r="Z327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Y186" i="1"/>
  <c r="Y192" i="1"/>
  <c r="Y198" i="1"/>
  <c r="Y202" i="1"/>
  <c r="Y243" i="1"/>
  <c r="Y249" i="1"/>
  <c r="X558" i="1"/>
  <c r="C564" i="1"/>
  <c r="Y43" i="1"/>
  <c r="D564" i="1"/>
  <c r="Y51" i="1"/>
  <c r="H564" i="1"/>
  <c r="Y133" i="1"/>
  <c r="Z176" i="1"/>
  <c r="BN176" i="1"/>
  <c r="Z178" i="1"/>
  <c r="BN178" i="1"/>
  <c r="Z180" i="1"/>
  <c r="BN180" i="1"/>
  <c r="Z182" i="1"/>
  <c r="BN182" i="1"/>
  <c r="Z184" i="1"/>
  <c r="BN184" i="1"/>
  <c r="Z190" i="1"/>
  <c r="Z192" i="1" s="1"/>
  <c r="BN190" i="1"/>
  <c r="Z196" i="1"/>
  <c r="Z197" i="1" s="1"/>
  <c r="BN196" i="1"/>
  <c r="Z200" i="1"/>
  <c r="Z201" i="1" s="1"/>
  <c r="BN200" i="1"/>
  <c r="BP200" i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Z239" i="1"/>
  <c r="BN239" i="1"/>
  <c r="Z241" i="1"/>
  <c r="BN241" i="1"/>
  <c r="Z247" i="1"/>
  <c r="Z249" i="1" s="1"/>
  <c r="BN247" i="1"/>
  <c r="M564" i="1"/>
  <c r="Z258" i="1"/>
  <c r="Z259" i="1" s="1"/>
  <c r="BN258" i="1"/>
  <c r="Y259" i="1"/>
  <c r="Z262" i="1"/>
  <c r="Z264" i="1" s="1"/>
  <c r="BN262" i="1"/>
  <c r="BP262" i="1"/>
  <c r="Z268" i="1"/>
  <c r="BN268" i="1"/>
  <c r="Z270" i="1"/>
  <c r="BN270" i="1"/>
  <c r="Z272" i="1"/>
  <c r="BN272" i="1"/>
  <c r="Z274" i="1"/>
  <c r="BN274" i="1"/>
  <c r="Z278" i="1"/>
  <c r="BN278" i="1"/>
  <c r="BP278" i="1"/>
  <c r="Z280" i="1"/>
  <c r="BN280" i="1"/>
  <c r="Z282" i="1"/>
  <c r="BN282" i="1"/>
  <c r="Z284" i="1"/>
  <c r="BN284" i="1"/>
  <c r="Z286" i="1"/>
  <c r="BN286" i="1"/>
  <c r="Z288" i="1"/>
  <c r="BN288" i="1"/>
  <c r="Z294" i="1"/>
  <c r="BN294" i="1"/>
  <c r="Z299" i="1"/>
  <c r="BN299" i="1"/>
  <c r="BP299" i="1"/>
  <c r="Z301" i="1"/>
  <c r="BN301" i="1"/>
  <c r="Z303" i="1"/>
  <c r="BN303" i="1"/>
  <c r="Z305" i="1"/>
  <c r="BN305" i="1"/>
  <c r="Y306" i="1"/>
  <c r="Z309" i="1"/>
  <c r="Z310" i="1" s="1"/>
  <c r="BN309" i="1"/>
  <c r="BP309" i="1"/>
  <c r="Z313" i="1"/>
  <c r="Z314" i="1" s="1"/>
  <c r="BN313" i="1"/>
  <c r="BP313" i="1"/>
  <c r="Z317" i="1"/>
  <c r="BN317" i="1"/>
  <c r="BP317" i="1"/>
  <c r="Z319" i="1"/>
  <c r="BN319" i="1"/>
  <c r="Z324" i="1"/>
  <c r="BN324" i="1"/>
  <c r="BP324" i="1"/>
  <c r="BP325" i="1"/>
  <c r="BN325" i="1"/>
  <c r="Z325" i="1"/>
  <c r="Y329" i="1"/>
  <c r="BP334" i="1"/>
  <c r="BN334" i="1"/>
  <c r="Z334" i="1"/>
  <c r="Z336" i="1" s="1"/>
  <c r="BP343" i="1"/>
  <c r="BN343" i="1"/>
  <c r="Z343" i="1"/>
  <c r="Y350" i="1"/>
  <c r="Y367" i="1"/>
  <c r="Y377" i="1"/>
  <c r="Y383" i="1"/>
  <c r="Y389" i="1"/>
  <c r="Y397" i="1"/>
  <c r="Y403" i="1"/>
  <c r="Y409" i="1"/>
  <c r="Y421" i="1"/>
  <c r="Y435" i="1"/>
  <c r="Y441" i="1"/>
  <c r="Y447" i="1"/>
  <c r="Y451" i="1"/>
  <c r="Y458" i="1"/>
  <c r="Y462" i="1"/>
  <c r="Y468" i="1"/>
  <c r="Y478" i="1"/>
  <c r="Y484" i="1"/>
  <c r="Y489" i="1"/>
  <c r="Y494" i="1"/>
  <c r="BP491" i="1"/>
  <c r="BN491" i="1"/>
  <c r="Z491" i="1"/>
  <c r="BP501" i="1"/>
  <c r="BN501" i="1"/>
  <c r="Z501" i="1"/>
  <c r="BP505" i="1"/>
  <c r="BN505" i="1"/>
  <c r="Z505" i="1"/>
  <c r="Q564" i="1"/>
  <c r="Y337" i="1"/>
  <c r="R564" i="1"/>
  <c r="Y346" i="1"/>
  <c r="Z356" i="1"/>
  <c r="BN356" i="1"/>
  <c r="Z361" i="1"/>
  <c r="BN361" i="1"/>
  <c r="BP361" i="1"/>
  <c r="Z363" i="1"/>
  <c r="BN363" i="1"/>
  <c r="Z365" i="1"/>
  <c r="BN365" i="1"/>
  <c r="Y366" i="1"/>
  <c r="Z369" i="1"/>
  <c r="BN369" i="1"/>
  <c r="BP369" i="1"/>
  <c r="Z371" i="1"/>
  <c r="BN371" i="1"/>
  <c r="Z373" i="1"/>
  <c r="BN373" i="1"/>
  <c r="Z375" i="1"/>
  <c r="BN375" i="1"/>
  <c r="Z379" i="1"/>
  <c r="BN379" i="1"/>
  <c r="BP379" i="1"/>
  <c r="Z381" i="1"/>
  <c r="BN381" i="1"/>
  <c r="Z387" i="1"/>
  <c r="BN387" i="1"/>
  <c r="Z393" i="1"/>
  <c r="BN393" i="1"/>
  <c r="Z395" i="1"/>
  <c r="BN395" i="1"/>
  <c r="Z399" i="1"/>
  <c r="BN399" i="1"/>
  <c r="BP399" i="1"/>
  <c r="Z401" i="1"/>
  <c r="BN401" i="1"/>
  <c r="Z405" i="1"/>
  <c r="Z408" i="1" s="1"/>
  <c r="BN405" i="1"/>
  <c r="BP405" i="1"/>
  <c r="Z407" i="1"/>
  <c r="BN407" i="1"/>
  <c r="Y415" i="1"/>
  <c r="V564" i="1"/>
  <c r="Z419" i="1"/>
  <c r="Z421" i="1" s="1"/>
  <c r="BN419" i="1"/>
  <c r="Y422" i="1"/>
  <c r="W564" i="1"/>
  <c r="Z427" i="1"/>
  <c r="BN427" i="1"/>
  <c r="Z429" i="1"/>
  <c r="BN429" i="1"/>
  <c r="Z431" i="1"/>
  <c r="BN431" i="1"/>
  <c r="Z433" i="1"/>
  <c r="BN433" i="1"/>
  <c r="Y434" i="1"/>
  <c r="Z437" i="1"/>
  <c r="Z440" i="1" s="1"/>
  <c r="BN437" i="1"/>
  <c r="BP437" i="1"/>
  <c r="Z439" i="1"/>
  <c r="BN439" i="1"/>
  <c r="Z443" i="1"/>
  <c r="BN443" i="1"/>
  <c r="BP443" i="1"/>
  <c r="Z445" i="1"/>
  <c r="BN445" i="1"/>
  <c r="Z449" i="1"/>
  <c r="Z451" i="1" s="1"/>
  <c r="BN449" i="1"/>
  <c r="BP449" i="1"/>
  <c r="X564" i="1"/>
  <c r="Z456" i="1"/>
  <c r="Z457" i="1" s="1"/>
  <c r="BN456" i="1"/>
  <c r="Y457" i="1"/>
  <c r="Z460" i="1"/>
  <c r="Z461" i="1" s="1"/>
  <c r="BN460" i="1"/>
  <c r="BP460" i="1"/>
  <c r="Z464" i="1"/>
  <c r="Z467" i="1" s="1"/>
  <c r="BN464" i="1"/>
  <c r="BP464" i="1"/>
  <c r="Z466" i="1"/>
  <c r="BN466" i="1"/>
  <c r="Z472" i="1"/>
  <c r="BN472" i="1"/>
  <c r="BP472" i="1"/>
  <c r="Z474" i="1"/>
  <c r="BN474" i="1"/>
  <c r="Z476" i="1"/>
  <c r="BN476" i="1"/>
  <c r="Y479" i="1"/>
  <c r="Z482" i="1"/>
  <c r="Z483" i="1" s="1"/>
  <c r="BN482" i="1"/>
  <c r="Z487" i="1"/>
  <c r="Z488" i="1" s="1"/>
  <c r="BN487" i="1"/>
  <c r="BP487" i="1"/>
  <c r="Y488" i="1"/>
  <c r="BP493" i="1"/>
  <c r="BN493" i="1"/>
  <c r="Z493" i="1"/>
  <c r="Y495" i="1"/>
  <c r="AA564" i="1"/>
  <c r="Y508" i="1"/>
  <c r="BP499" i="1"/>
  <c r="BN499" i="1"/>
  <c r="Z499" i="1"/>
  <c r="Y509" i="1"/>
  <c r="BP503" i="1"/>
  <c r="BN503" i="1"/>
  <c r="Z503" i="1"/>
  <c r="Y515" i="1"/>
  <c r="Y525" i="1"/>
  <c r="Y531" i="1"/>
  <c r="Y535" i="1"/>
  <c r="Y539" i="1"/>
  <c r="Y543" i="1"/>
  <c r="Z546" i="1"/>
  <c r="BN546" i="1"/>
  <c r="Y547" i="1"/>
  <c r="Z551" i="1"/>
  <c r="Z552" i="1" s="1"/>
  <c r="BN551" i="1"/>
  <c r="BP551" i="1"/>
  <c r="Y552" i="1"/>
  <c r="AB564" i="1"/>
  <c r="Z507" i="1"/>
  <c r="BN507" i="1"/>
  <c r="Z511" i="1"/>
  <c r="Z514" i="1" s="1"/>
  <c r="BN511" i="1"/>
  <c r="BP511" i="1"/>
  <c r="Z513" i="1"/>
  <c r="BN513" i="1"/>
  <c r="Z517" i="1"/>
  <c r="BN517" i="1"/>
  <c r="BP517" i="1"/>
  <c r="Z519" i="1"/>
  <c r="BN519" i="1"/>
  <c r="Z521" i="1"/>
  <c r="BN521" i="1"/>
  <c r="Z523" i="1"/>
  <c r="BN523" i="1"/>
  <c r="Z529" i="1"/>
  <c r="Z530" i="1" s="1"/>
  <c r="BN529" i="1"/>
  <c r="BP529" i="1"/>
  <c r="Z533" i="1"/>
  <c r="Z534" i="1" s="1"/>
  <c r="BN533" i="1"/>
  <c r="BP533" i="1"/>
  <c r="Z537" i="1"/>
  <c r="Z538" i="1" s="1"/>
  <c r="BN537" i="1"/>
  <c r="BP537" i="1"/>
  <c r="Z541" i="1"/>
  <c r="Z542" i="1" s="1"/>
  <c r="BN541" i="1"/>
  <c r="BP541" i="1"/>
  <c r="Z545" i="1"/>
  <c r="Z547" i="1" s="1"/>
  <c r="BN545" i="1"/>
  <c r="BP545" i="1"/>
  <c r="Y553" i="1"/>
  <c r="Z32" i="1" l="1"/>
  <c r="Z156" i="1"/>
  <c r="Z306" i="1"/>
  <c r="Z106" i="1"/>
  <c r="Z494" i="1"/>
  <c r="Z132" i="1"/>
  <c r="Z295" i="1"/>
  <c r="Z275" i="1"/>
  <c r="Z320" i="1"/>
  <c r="Z383" i="1"/>
  <c r="Z396" i="1"/>
  <c r="Z80" i="1"/>
  <c r="Z434" i="1"/>
  <c r="Z345" i="1"/>
  <c r="Z121" i="1"/>
  <c r="Z70" i="1"/>
  <c r="Z186" i="1"/>
  <c r="Z357" i="1"/>
  <c r="Z243" i="1"/>
  <c r="Z95" i="1"/>
  <c r="Y558" i="1"/>
  <c r="Z167" i="1"/>
  <c r="Z114" i="1"/>
  <c r="Y556" i="1"/>
  <c r="Z524" i="1"/>
  <c r="Z508" i="1"/>
  <c r="Z478" i="1"/>
  <c r="Z446" i="1"/>
  <c r="Z402" i="1"/>
  <c r="Z376" i="1"/>
  <c r="Z366" i="1"/>
  <c r="Z329" i="1"/>
  <c r="Z290" i="1"/>
  <c r="Z235" i="1"/>
  <c r="Z213" i="1"/>
  <c r="Z139" i="1"/>
  <c r="Z145" i="1"/>
  <c r="Z88" i="1"/>
  <c r="Z63" i="1"/>
  <c r="Y555" i="1"/>
  <c r="Y557" i="1" s="1"/>
  <c r="Y554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<sst xmlns="http://schemas.openxmlformats.org/spreadsheetml/2006/main" count="2517" uniqueCount="913">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</sst>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46256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888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Суббота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6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0.5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5</v>
      </c>
      <c r="Y29" s="634">
        <f>IFERROR(IF(X29="",0,CEILING((X29/$H29),1)*$H29),"")</f>
        <v>5.4</v>
      </c>
      <c r="Z29" s="36">
        <f>IFERROR(IF(Y29=0,"",ROUNDUP(Y29/H29,0)*0.00651),"")</f>
        <v>1.9529999999999999E-2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8.8333333333333339</v>
      </c>
      <c r="BN29" s="64">
        <f>IFERROR(Y29*I29/H29,"0")</f>
        <v>9.5400000000000009</v>
      </c>
      <c r="BO29" s="64">
        <f>IFERROR(1/J29*(X29/H29),"0")</f>
        <v>1.5262515262515264E-2</v>
      </c>
      <c r="BP29" s="64">
        <f>IFERROR(1/J29*(Y29/H29),"0")</f>
        <v>1.6483516483516484E-2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92</v>
      </c>
      <c r="Y30" s="634">
        <f>IFERROR(IF(X30="",0,CEILING((X30/$H30),1)*$H30),"")</f>
        <v>93.600000000000009</v>
      </c>
      <c r="Z30" s="36">
        <f>IFERROR(IF(Y30=0,"",ROUNDUP(Y30/H30,0)*0.00651),"")</f>
        <v>0.33851999999999999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162.53333333333333</v>
      </c>
      <c r="BN30" s="64">
        <f>IFERROR(Y30*I30/H30,"0")</f>
        <v>165.36</v>
      </c>
      <c r="BO30" s="64">
        <f>IFERROR(1/J30*(X30/H30),"0")</f>
        <v>0.28083028083028083</v>
      </c>
      <c r="BP30" s="64">
        <f>IFERROR(1/J30*(Y30/H30),"0")</f>
        <v>0.28571428571428575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53.888888888888886</v>
      </c>
      <c r="Y32" s="635">
        <f>IFERROR(Y27/H27,"0")+IFERROR(Y28/H28,"0")+IFERROR(Y29/H29,"0")+IFERROR(Y30/H30,"0")+IFERROR(Y31/H31,"0")</f>
        <v>55</v>
      </c>
      <c r="Z32" s="635">
        <f>IFERROR(IF(Z27="",0,Z27),"0")+IFERROR(IF(Z28="",0,Z28),"0")+IFERROR(IF(Z29="",0,Z29),"0")+IFERROR(IF(Z30="",0,Z30),"0")+IFERROR(IF(Z31="",0,Z31),"0")</f>
        <v>0.35804999999999998</v>
      </c>
      <c r="AA32" s="636"/>
      <c r="AB32" s="636"/>
      <c r="AC32" s="636"/>
    </row>
    <row r="33" spans="1:68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97</v>
      </c>
      <c r="Y33" s="635">
        <f>IFERROR(SUM(Y27:Y31),"0")</f>
        <v>99.000000000000014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271</v>
      </c>
      <c r="Y47" s="634">
        <f>IFERROR(IF(X47="",0,CEILING((X47/$H47),1)*$H47),"")</f>
        <v>280.8</v>
      </c>
      <c r="Z47" s="36">
        <f>IFERROR(IF(Y47=0,"",ROUNDUP(Y47/H47,0)*0.01898),"")</f>
        <v>0.49348000000000003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281.28796296296298</v>
      </c>
      <c r="BN47" s="64">
        <f>IFERROR(Y47*I47/H47,"0")</f>
        <v>291.46000000000004</v>
      </c>
      <c r="BO47" s="64">
        <f>IFERROR(1/J47*(X47/H47),"0")</f>
        <v>0.39207175925925924</v>
      </c>
      <c r="BP47" s="64">
        <f>IFERROR(1/J47*(Y47/H47),"0")</f>
        <v>0.40625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84</v>
      </c>
      <c r="Y50" s="634">
        <f>IFERROR(IF(X50="",0,CEILING((X50/$H50),1)*$H50),"")</f>
        <v>85.100000000000009</v>
      </c>
      <c r="Z50" s="36">
        <f>IFERROR(IF(Y50=0,"",ROUNDUP(Y50/H50,0)*0.00902),"")</f>
        <v>0.20746000000000001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88.313513513513513</v>
      </c>
      <c r="BN50" s="64">
        <f>IFERROR(Y50*I50/H50,"0")</f>
        <v>89.470000000000013</v>
      </c>
      <c r="BO50" s="64">
        <f>IFERROR(1/J50*(X50/H50),"0")</f>
        <v>0.171990171990172</v>
      </c>
      <c r="BP50" s="64">
        <f>IFERROR(1/J50*(Y50/H50),"0")</f>
        <v>0.17424242424242425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47.79529529529529</v>
      </c>
      <c r="Y51" s="635">
        <f>IFERROR(Y47/H47,"0")+IFERROR(Y48/H48,"0")+IFERROR(Y49/H49,"0")+IFERROR(Y50/H50,"0")</f>
        <v>49</v>
      </c>
      <c r="Z51" s="635">
        <f>IFERROR(IF(Z47="",0,Z47),"0")+IFERROR(IF(Z48="",0,Z48),"0")+IFERROR(IF(Z49="",0,Z49),"0")+IFERROR(IF(Z50="",0,Z50),"0")</f>
        <v>0.70094000000000001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355</v>
      </c>
      <c r="Y52" s="635">
        <f>IFERROR(SUM(Y47:Y50),"0")</f>
        <v>365.90000000000003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253</v>
      </c>
      <c r="Y55" s="634">
        <f t="shared" ref="Y55:Y62" si="0">IFERROR(IF(X55="",0,CEILING((X55/$H55),1)*$H55),"")</f>
        <v>257.59999999999997</v>
      </c>
      <c r="Z55" s="36">
        <f>IFERROR(IF(Y55=0,"",ROUNDUP(Y55/H55,0)*0.01898),"")</f>
        <v>0.43653999999999998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262.26160714285714</v>
      </c>
      <c r="BN55" s="64">
        <f t="shared" ref="BN55:BN62" si="2">IFERROR(Y55*I55/H55,"0")</f>
        <v>267.02999999999997</v>
      </c>
      <c r="BO55" s="64">
        <f t="shared" ref="BO55:BO62" si="3">IFERROR(1/J55*(X55/H55),"0")</f>
        <v>0.3529575892857143</v>
      </c>
      <c r="BP55" s="64">
        <f t="shared" ref="BP55:BP62" si="4">IFERROR(1/J55*(Y55/H55),"0")</f>
        <v>0.359375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455</v>
      </c>
      <c r="Y57" s="634">
        <f t="shared" si="0"/>
        <v>464.40000000000003</v>
      </c>
      <c r="Z57" s="36">
        <f>IFERROR(IF(Y57=0,"",ROUNDUP(Y57/H57,0)*0.01898),"")</f>
        <v>0.81613999999999998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472.27314814814815</v>
      </c>
      <c r="BN57" s="64">
        <f t="shared" si="2"/>
        <v>482.03000000000003</v>
      </c>
      <c r="BO57" s="64">
        <f t="shared" si="3"/>
        <v>0.65827546296296291</v>
      </c>
      <c r="BP57" s="64">
        <f t="shared" si="4"/>
        <v>0.671875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49</v>
      </c>
      <c r="Y60" s="634">
        <f t="shared" si="0"/>
        <v>52</v>
      </c>
      <c r="Z60" s="36">
        <f>IFERROR(IF(Y60=0,"",ROUNDUP(Y60/H60,0)*0.00902),"")</f>
        <v>0.11726</v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51.327500000000008</v>
      </c>
      <c r="BN60" s="64">
        <f t="shared" si="2"/>
        <v>54.470000000000006</v>
      </c>
      <c r="BO60" s="64">
        <f t="shared" si="3"/>
        <v>9.2803030303030304E-2</v>
      </c>
      <c r="BP60" s="64">
        <f t="shared" si="4"/>
        <v>9.8484848484848481E-2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76.968915343915342</v>
      </c>
      <c r="Y63" s="635">
        <f>IFERROR(Y55/H55,"0")+IFERROR(Y56/H56,"0")+IFERROR(Y57/H57,"0")+IFERROR(Y58/H58,"0")+IFERROR(Y59/H59,"0")+IFERROR(Y60/H60,"0")+IFERROR(Y61/H61,"0")+IFERROR(Y62/H62,"0")</f>
        <v>79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1.3699399999999999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757</v>
      </c>
      <c r="Y64" s="635">
        <f>IFERROR(SUM(Y55:Y62),"0")</f>
        <v>774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409</v>
      </c>
      <c r="Y66" s="634">
        <f>IFERROR(IF(X66="",0,CEILING((X66/$H66),1)*$H66),"")</f>
        <v>410.40000000000003</v>
      </c>
      <c r="Z66" s="36">
        <f>IFERROR(IF(Y66=0,"",ROUNDUP(Y66/H66,0)*0.01898),"")</f>
        <v>0.72123999999999999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424.52685185185186</v>
      </c>
      <c r="BN66" s="64">
        <f>IFERROR(Y66*I66/H66,"0")</f>
        <v>425.98</v>
      </c>
      <c r="BO66" s="64">
        <f>IFERROR(1/J66*(X66/H66),"0")</f>
        <v>0.59172453703703698</v>
      </c>
      <c r="BP66" s="64">
        <f>IFERROR(1/J66*(Y66/H66),"0")</f>
        <v>0.59375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37.870370370370367</v>
      </c>
      <c r="Y70" s="635">
        <f>IFERROR(Y66/H66,"0")+IFERROR(Y67/H67,"0")+IFERROR(Y68/H68,"0")+IFERROR(Y69/H69,"0")</f>
        <v>38</v>
      </c>
      <c r="Z70" s="635">
        <f>IFERROR(IF(Z66="",0,Z66),"0")+IFERROR(IF(Z67="",0,Z67),"0")+IFERROR(IF(Z68="",0,Z68),"0")+IFERROR(IF(Z69="",0,Z69),"0")</f>
        <v>0.72123999999999999</v>
      </c>
      <c r="AA70" s="636"/>
      <c r="AB70" s="636"/>
      <c r="AC70" s="636"/>
    </row>
    <row r="71" spans="1:68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409</v>
      </c>
      <c r="Y71" s="635">
        <f>IFERROR(SUM(Y66:Y69),"0")</f>
        <v>410.40000000000003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356</v>
      </c>
      <c r="Y78" s="634">
        <f>IFERROR(IF(X78="",0,CEILING((X78/$H78),1)*$H78),"")</f>
        <v>358.8</v>
      </c>
      <c r="Z78" s="36">
        <f>IFERROR(IF(Y78=0,"",ROUNDUP(Y78/H78,0)*0.01898),"")</f>
        <v>0.87307999999999997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374.71282051282054</v>
      </c>
      <c r="BN78" s="64">
        <f>IFERROR(Y78*I78/H78,"0")</f>
        <v>377.66000000000008</v>
      </c>
      <c r="BO78" s="64">
        <f>IFERROR(1/J78*(X78/H78),"0")</f>
        <v>0.71314102564102566</v>
      </c>
      <c r="BP78" s="64">
        <f>IFERROR(1/J78*(Y78/H78),"0")</f>
        <v>0.71875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45.641025641025642</v>
      </c>
      <c r="Y80" s="635">
        <f>IFERROR(Y78/H78,"0")+IFERROR(Y79/H79,"0")</f>
        <v>46</v>
      </c>
      <c r="Z80" s="635">
        <f>IFERROR(IF(Z78="",0,Z78),"0")+IFERROR(IF(Z79="",0,Z79),"0")</f>
        <v>0.87307999999999997</v>
      </c>
      <c r="AA80" s="636"/>
      <c r="AB80" s="636"/>
      <c r="AC80" s="636"/>
    </row>
    <row r="81" spans="1:68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356</v>
      </c>
      <c r="Y81" s="635">
        <f>IFERROR(SUM(Y78:Y79),"0")</f>
        <v>358.8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467</v>
      </c>
      <c r="Y84" s="634">
        <f>IFERROR(IF(X84="",0,CEILING((X84/$H84),1)*$H84),"")</f>
        <v>475.20000000000005</v>
      </c>
      <c r="Z84" s="36">
        <f>IFERROR(IF(Y84=0,"",ROUNDUP(Y84/H84,0)*0.01898),"")</f>
        <v>0.83511999999999997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484.72870370370373</v>
      </c>
      <c r="BN84" s="64">
        <f>IFERROR(Y84*I84/H84,"0")</f>
        <v>493.24000000000007</v>
      </c>
      <c r="BO84" s="64">
        <f>IFERROR(1/J84*(X84/H84),"0")</f>
        <v>0.67563657407407407</v>
      </c>
      <c r="BP84" s="64">
        <f>IFERROR(1/J84*(Y84/H84),"0")</f>
        <v>0.6875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134</v>
      </c>
      <c r="Y87" s="634">
        <f>IFERROR(IF(X87="",0,CEILING((X87/$H87),1)*$H87),"")</f>
        <v>135</v>
      </c>
      <c r="Z87" s="36">
        <f>IFERROR(IF(Y87=0,"",ROUNDUP(Y87/H87,0)*0.00902),"")</f>
        <v>0.27060000000000001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139.6577777777778</v>
      </c>
      <c r="BN87" s="64">
        <f>IFERROR(Y87*I87/H87,"0")</f>
        <v>140.70000000000002</v>
      </c>
      <c r="BO87" s="64">
        <f>IFERROR(1/J87*(X87/H87),"0")</f>
        <v>0.22558922558922559</v>
      </c>
      <c r="BP87" s="64">
        <f>IFERROR(1/J87*(Y87/H87),"0")</f>
        <v>0.22727272727272729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73.018518518518519</v>
      </c>
      <c r="Y88" s="635">
        <f>IFERROR(Y84/H84,"0")+IFERROR(Y85/H85,"0")+IFERROR(Y86/H86,"0")+IFERROR(Y87/H87,"0")</f>
        <v>74</v>
      </c>
      <c r="Z88" s="635">
        <f>IFERROR(IF(Z84="",0,Z84),"0")+IFERROR(IF(Z85="",0,Z85),"0")+IFERROR(IF(Z86="",0,Z86),"0")+IFERROR(IF(Z87="",0,Z87),"0")</f>
        <v>1.10572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601</v>
      </c>
      <c r="Y89" s="635">
        <f>IFERROR(SUM(Y84:Y87),"0")</f>
        <v>610.20000000000005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355</v>
      </c>
      <c r="Y91" s="634">
        <f>IFERROR(IF(X91="",0,CEILING((X91/$H91),1)*$H91),"")</f>
        <v>356.4</v>
      </c>
      <c r="Z91" s="36">
        <f>IFERROR(IF(Y91=0,"",ROUNDUP(Y91/H91,0)*0.01898),"")</f>
        <v>0.83511999999999997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376.65061728395062</v>
      </c>
      <c r="BN91" s="64">
        <f>IFERROR(Y91*I91/H91,"0")</f>
        <v>378.13599999999997</v>
      </c>
      <c r="BO91" s="64">
        <f>IFERROR(1/J91*(X91/H91),"0")</f>
        <v>0.68479938271604945</v>
      </c>
      <c r="BP91" s="64">
        <f>IFERROR(1/J91*(Y91/H91),"0")</f>
        <v>0.6875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43.827160493827165</v>
      </c>
      <c r="Y95" s="635">
        <f>IFERROR(Y91/H91,"0")+IFERROR(Y92/H92,"0")+IFERROR(Y93/H93,"0")+IFERROR(Y94/H94,"0")</f>
        <v>44</v>
      </c>
      <c r="Z95" s="635">
        <f>IFERROR(IF(Z91="",0,Z91),"0")+IFERROR(IF(Z92="",0,Z92),"0")+IFERROR(IF(Z93="",0,Z93),"0")+IFERROR(IF(Z94="",0,Z94),"0")</f>
        <v>0.83511999999999997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355</v>
      </c>
      <c r="Y96" s="635">
        <f>IFERROR(SUM(Y91:Y94),"0")</f>
        <v>356.4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510</v>
      </c>
      <c r="Y99" s="634">
        <f t="shared" ref="Y99:Y105" si="5">IFERROR(IF(X99="",0,CEILING((X99/$H99),1)*$H99),"")</f>
        <v>518.40000000000009</v>
      </c>
      <c r="Z99" s="36">
        <f>IFERROR(IF(Y99=0,"",ROUNDUP(Y99/H99,0)*0.01898),"")</f>
        <v>0.91104000000000007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529.36111111111109</v>
      </c>
      <c r="BN99" s="64">
        <f t="shared" ref="BN99:BN105" si="7">IFERROR(Y99*I99/H99,"0")</f>
        <v>538.08000000000004</v>
      </c>
      <c r="BO99" s="64">
        <f t="shared" ref="BO99:BO105" si="8">IFERROR(1/J99*(X99/H99),"0")</f>
        <v>0.73784722222222221</v>
      </c>
      <c r="BP99" s="64">
        <f t="shared" ref="BP99:BP105" si="9">IFERROR(1/J99*(Y99/H99),"0")</f>
        <v>0.75000000000000011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106</v>
      </c>
      <c r="Y104" s="634">
        <f t="shared" si="5"/>
        <v>108</v>
      </c>
      <c r="Z104" s="36">
        <f>IFERROR(IF(Y104=0,"",ROUNDUP(Y104/H104,0)*0.00902),"")</f>
        <v>0.21648000000000001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110.47555555555556</v>
      </c>
      <c r="BN104" s="64">
        <f t="shared" si="7"/>
        <v>112.56</v>
      </c>
      <c r="BO104" s="64">
        <f t="shared" si="8"/>
        <v>0.17845117845117847</v>
      </c>
      <c r="BP104" s="64">
        <f t="shared" si="9"/>
        <v>0.18181818181818182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70.777777777777771</v>
      </c>
      <c r="Y106" s="635">
        <f>IFERROR(Y99/H99,"0")+IFERROR(Y100/H100,"0")+IFERROR(Y101/H101,"0")+IFERROR(Y102/H102,"0")+IFERROR(Y103/H103,"0")+IFERROR(Y104/H104,"0")+IFERROR(Y105/H105,"0")</f>
        <v>72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1.1275200000000001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616</v>
      </c>
      <c r="Y107" s="635">
        <f>IFERROR(SUM(Y99:Y105),"0")</f>
        <v>626.40000000000009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75</v>
      </c>
      <c r="Y109" s="634">
        <f>IFERROR(IF(X109="",0,CEILING((X109/$H109),1)*$H109),"")</f>
        <v>75.600000000000009</v>
      </c>
      <c r="Z109" s="36">
        <f>IFERROR(IF(Y109=0,"",ROUNDUP(Y109/H109,0)*0.01898),"")</f>
        <v>0.13286000000000001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77.847222222222229</v>
      </c>
      <c r="BN109" s="64">
        <f>IFERROR(Y109*I109/H109,"0")</f>
        <v>78.47</v>
      </c>
      <c r="BO109" s="64">
        <f>IFERROR(1/J109*(X109/H109),"0")</f>
        <v>0.10850694444444443</v>
      </c>
      <c r="BP109" s="64">
        <f>IFERROR(1/J109*(Y109/H109),"0")</f>
        <v>0.109375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20</v>
      </c>
      <c r="Y113" s="634">
        <f>IFERROR(IF(X113="",0,CEILING((X113/$H113),1)*$H113),"")</f>
        <v>21.599999999999998</v>
      </c>
      <c r="Z113" s="36">
        <f>IFERROR(IF(Y113=0,"",ROUNDUP(Y113/H113,0)*0.00651),"")</f>
        <v>5.8590000000000003E-2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21.5</v>
      </c>
      <c r="BN113" s="64">
        <f>IFERROR(Y113*I113/H113,"0")</f>
        <v>23.22</v>
      </c>
      <c r="BO113" s="64">
        <f>IFERROR(1/J113*(X113/H113),"0")</f>
        <v>4.5787545787545791E-2</v>
      </c>
      <c r="BP113" s="64">
        <f>IFERROR(1/J113*(Y113/H113),"0")</f>
        <v>4.9450549450549455E-2</v>
      </c>
    </row>
    <row r="114" spans="1:68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15.277777777777779</v>
      </c>
      <c r="Y114" s="635">
        <f>IFERROR(Y109/H109,"0")+IFERROR(Y110/H110,"0")+IFERROR(Y111/H111,"0")+IFERROR(Y112/H112,"0")+IFERROR(Y113/H113,"0")</f>
        <v>16</v>
      </c>
      <c r="Z114" s="635">
        <f>IFERROR(IF(Z109="",0,Z109),"0")+IFERROR(IF(Z110="",0,Z110),"0")+IFERROR(IF(Z111="",0,Z111),"0")+IFERROR(IF(Z112="",0,Z112),"0")+IFERROR(IF(Z113="",0,Z113),"0")</f>
        <v>0.19145000000000001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95</v>
      </c>
      <c r="Y115" s="635">
        <f>IFERROR(SUM(Y109:Y113),"0")</f>
        <v>97.2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386</v>
      </c>
      <c r="Y117" s="634">
        <f>IFERROR(IF(X117="",0,CEILING((X117/$H117),1)*$H117),"")</f>
        <v>388.79999999999995</v>
      </c>
      <c r="Z117" s="36">
        <f>IFERROR(IF(Y117=0,"",ROUNDUP(Y117/H117,0)*0.01898),"")</f>
        <v>0.91104000000000007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409.25530864197532</v>
      </c>
      <c r="BN117" s="64">
        <f>IFERROR(Y117*I117/H117,"0")</f>
        <v>412.22399999999993</v>
      </c>
      <c r="BO117" s="64">
        <f>IFERROR(1/J117*(X117/H117),"0")</f>
        <v>0.7445987654320988</v>
      </c>
      <c r="BP117" s="64">
        <f>IFERROR(1/J117*(Y117/H117),"0")</f>
        <v>0.75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158</v>
      </c>
      <c r="Y119" s="634">
        <f>IFERROR(IF(X119="",0,CEILING((X119/$H119),1)*$H119),"")</f>
        <v>159.30000000000001</v>
      </c>
      <c r="Z119" s="36">
        <f>IFERROR(IF(Y119=0,"",ROUNDUP(Y119/H119,0)*0.00651),"")</f>
        <v>0.38408999999999999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172.74666666666664</v>
      </c>
      <c r="BN119" s="64">
        <f>IFERROR(Y119*I119/H119,"0")</f>
        <v>174.16799999999998</v>
      </c>
      <c r="BO119" s="64">
        <f>IFERROR(1/J119*(X119/H119),"0")</f>
        <v>0.32153032153032152</v>
      </c>
      <c r="BP119" s="64">
        <f>IFERROR(1/J119*(Y119/H119),"0")</f>
        <v>0.32417582417582419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106.17283950617283</v>
      </c>
      <c r="Y121" s="635">
        <f>IFERROR(Y117/H117,"0")+IFERROR(Y118/H118,"0")+IFERROR(Y119/H119,"0")+IFERROR(Y120/H120,"0")</f>
        <v>107</v>
      </c>
      <c r="Z121" s="635">
        <f>IFERROR(IF(Z117="",0,Z117),"0")+IFERROR(IF(Z118="",0,Z118),"0")+IFERROR(IF(Z119="",0,Z119),"0")+IFERROR(IF(Z120="",0,Z120),"0")</f>
        <v>1.2951300000000001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544</v>
      </c>
      <c r="Y122" s="635">
        <f>IFERROR(SUM(Y117:Y120),"0")</f>
        <v>548.09999999999991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3</v>
      </c>
      <c r="Y124" s="634">
        <f>IFERROR(IF(X124="",0,CEILING((X124/$H124),1)*$H124),"")</f>
        <v>3.96</v>
      </c>
      <c r="Z124" s="36">
        <f>IFERROR(IF(Y124=0,"",ROUNDUP(Y124/H124,0)*0.00651),"")</f>
        <v>1.302E-2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3.3909090909090911</v>
      </c>
      <c r="BN124" s="64">
        <f>IFERROR(Y124*I124/H124,"0")</f>
        <v>4.476</v>
      </c>
      <c r="BO124" s="64">
        <f>IFERROR(1/J124*(X124/H124),"0")</f>
        <v>8.3250083250083259E-3</v>
      </c>
      <c r="BP124" s="64">
        <f>IFERROR(1/J124*(Y124/H124),"0")</f>
        <v>1.098901098901099E-2</v>
      </c>
    </row>
    <row r="125" spans="1:68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1.5151515151515151</v>
      </c>
      <c r="Y125" s="635">
        <f>IFERROR(Y124/H124,"0")</f>
        <v>2</v>
      </c>
      <c r="Z125" s="635">
        <f>IFERROR(IF(Z124="",0,Z124),"0")</f>
        <v>1.302E-2</v>
      </c>
      <c r="AA125" s="636"/>
      <c r="AB125" s="636"/>
      <c r="AC125" s="636"/>
    </row>
    <row r="126" spans="1:68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3</v>
      </c>
      <c r="Y126" s="635">
        <f>IFERROR(SUM(Y124:Y124),"0")</f>
        <v>3.96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15</v>
      </c>
      <c r="Y136" s="634">
        <f>IFERROR(IF(X136="",0,CEILING((X136/$H136),1)*$H136),"")</f>
        <v>16.799999999999997</v>
      </c>
      <c r="Z136" s="36">
        <f>IFERROR(IF(Y136=0,"",ROUNDUP(Y136/H136,0)*0.00651),"")</f>
        <v>3.9059999999999997E-2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16.435714285714287</v>
      </c>
      <c r="BN136" s="64">
        <f>IFERROR(Y136*I136/H136,"0")</f>
        <v>18.407999999999998</v>
      </c>
      <c r="BO136" s="64">
        <f>IFERROR(1/J136*(X136/H136),"0")</f>
        <v>2.9434850863422297E-2</v>
      </c>
      <c r="BP136" s="64">
        <f>IFERROR(1/J136*(Y136/H136),"0")</f>
        <v>3.2967032967032968E-2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5.3571428571428577</v>
      </c>
      <c r="Y139" s="635">
        <f>IFERROR(Y135/H135,"0")+IFERROR(Y136/H136,"0")+IFERROR(Y137/H137,"0")+IFERROR(Y138/H138,"0")</f>
        <v>5.9999999999999991</v>
      </c>
      <c r="Z139" s="635">
        <f>IFERROR(IF(Z135="",0,Z135),"0")+IFERROR(IF(Z136="",0,Z136),"0")+IFERROR(IF(Z137="",0,Z137),"0")+IFERROR(IF(Z138="",0,Z138),"0")</f>
        <v>3.9059999999999997E-2</v>
      </c>
      <c r="AA139" s="636"/>
      <c r="AB139" s="636"/>
      <c r="AC139" s="636"/>
    </row>
    <row r="140" spans="1:68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15</v>
      </c>
      <c r="Y140" s="635">
        <f>IFERROR(SUM(Y135:Y138),"0")</f>
        <v>16.799999999999997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3</v>
      </c>
      <c r="Y143" s="634">
        <f>IFERROR(IF(X143="",0,CEILING((X143/$H143),1)*$H143),"")</f>
        <v>5.28</v>
      </c>
      <c r="Z143" s="36">
        <f>IFERROR(IF(Y143=0,"",ROUNDUP(Y143/H143,0)*0.00651),"")</f>
        <v>1.302E-2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3.3045454545454547</v>
      </c>
      <c r="BN143" s="64">
        <f>IFERROR(Y143*I143/H143,"0")</f>
        <v>5.8159999999999998</v>
      </c>
      <c r="BO143" s="64">
        <f>IFERROR(1/J143*(X143/H143),"0")</f>
        <v>6.243756243756244E-3</v>
      </c>
      <c r="BP143" s="64">
        <f>IFERROR(1/J143*(Y143/H143),"0")</f>
        <v>1.098901098901099E-2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1.1363636363636362</v>
      </c>
      <c r="Y145" s="635">
        <f>IFERROR(Y142/H142,"0")+IFERROR(Y143/H143,"0")+IFERROR(Y144/H144,"0")</f>
        <v>2</v>
      </c>
      <c r="Z145" s="635">
        <f>IFERROR(IF(Z142="",0,Z142),"0")+IFERROR(IF(Z143="",0,Z143),"0")+IFERROR(IF(Z144="",0,Z144),"0")</f>
        <v>1.302E-2</v>
      </c>
      <c r="AA145" s="636"/>
      <c r="AB145" s="636"/>
      <c r="AC145" s="636"/>
    </row>
    <row r="146" spans="1:68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3</v>
      </c>
      <c r="Y146" s="635">
        <f>IFERROR(SUM(Y142:Y144),"0")</f>
        <v>5.28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100</v>
      </c>
      <c r="Y164" s="634">
        <f>IFERROR(IF(X164="",0,CEILING((X164/$H164),1)*$H164),"")</f>
        <v>102</v>
      </c>
      <c r="Z164" s="36">
        <f>IFERROR(IF(Y164=0,"",ROUNDUP(Y164/H164,0)*0.01196),"")</f>
        <v>0.20332</v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105.83333333333333</v>
      </c>
      <c r="BN164" s="64">
        <f>IFERROR(Y164*I164/H164,"0")</f>
        <v>107.94999999999999</v>
      </c>
      <c r="BO164" s="64">
        <f>IFERROR(1/J164*(X164/H164),"0")</f>
        <v>0.16025641025641027</v>
      </c>
      <c r="BP164" s="64">
        <f>IFERROR(1/J164*(Y164/H164),"0")</f>
        <v>0.16346153846153846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16.666666666666668</v>
      </c>
      <c r="Y167" s="635">
        <f>IFERROR(Y164/H164,"0")+IFERROR(Y165/H165,"0")+IFERROR(Y166/H166,"0")</f>
        <v>17</v>
      </c>
      <c r="Z167" s="635">
        <f>IFERROR(IF(Z164="",0,Z164),"0")+IFERROR(IF(Z165="",0,Z165),"0")+IFERROR(IF(Z166="",0,Z166),"0")</f>
        <v>0.20332</v>
      </c>
      <c r="AA167" s="636"/>
      <c r="AB167" s="636"/>
      <c r="AC167" s="636"/>
    </row>
    <row r="168" spans="1:68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100</v>
      </c>
      <c r="Y168" s="635">
        <f>IFERROR(SUM(Y164:Y166),"0")</f>
        <v>102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300</v>
      </c>
      <c r="Y175" s="634">
        <f t="shared" ref="Y175:Y185" si="16">IFERROR(IF(X175="",0,CEILING((X175/$H175),1)*$H175),"")</f>
        <v>301</v>
      </c>
      <c r="Z175" s="36">
        <f>IFERROR(IF(Y175=0,"",ROUNDUP(Y175/H175,0)*0.00902),"")</f>
        <v>0.77571999999999997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316.28571428571428</v>
      </c>
      <c r="BN175" s="64">
        <f t="shared" ref="BN175:BN185" si="18">IFERROR(Y175*I175/H175,"0")</f>
        <v>317.34000000000003</v>
      </c>
      <c r="BO175" s="64">
        <f t="shared" ref="BO175:BO185" si="19">IFERROR(1/J175*(X175/H175),"0")</f>
        <v>0.64935064935064934</v>
      </c>
      <c r="BP175" s="64">
        <f t="shared" ref="BP175:BP185" si="20">IFERROR(1/J175*(Y175/H175),"0")</f>
        <v>0.65151515151515149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200</v>
      </c>
      <c r="Y177" s="634">
        <f t="shared" si="16"/>
        <v>203</v>
      </c>
      <c r="Z177" s="36">
        <f>IFERROR(IF(Y177=0,"",ROUNDUP(Y177/H177,0)*0.00902),"")</f>
        <v>0.52316000000000007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210.85714285714286</v>
      </c>
      <c r="BN177" s="64">
        <f t="shared" si="18"/>
        <v>214.01999999999998</v>
      </c>
      <c r="BO177" s="64">
        <f t="shared" si="19"/>
        <v>0.43290043290043295</v>
      </c>
      <c r="BP177" s="64">
        <f t="shared" si="20"/>
        <v>0.43939393939393939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200</v>
      </c>
      <c r="Y178" s="634">
        <f t="shared" si="16"/>
        <v>203</v>
      </c>
      <c r="Z178" s="36">
        <f>IFERROR(IF(Y178=0,"",ROUNDUP(Y178/H178,0)*0.00902),"")</f>
        <v>0.52316000000000007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210.85714285714286</v>
      </c>
      <c r="BN178" s="64">
        <f t="shared" si="18"/>
        <v>214.01999999999998</v>
      </c>
      <c r="BO178" s="64">
        <f t="shared" si="19"/>
        <v>0.43290043290043295</v>
      </c>
      <c r="BP178" s="64">
        <f t="shared" si="20"/>
        <v>0.43939393939393939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2</v>
      </c>
      <c r="Y179" s="634">
        <f t="shared" si="16"/>
        <v>2.7</v>
      </c>
      <c r="Z179" s="36">
        <f>IFERROR(IF(Y179=0,"",ROUNDUP(Y179/H179,0)*0.00417),"")</f>
        <v>1.251E-2</v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2.4666666666666668</v>
      </c>
      <c r="BN179" s="64">
        <f t="shared" si="18"/>
        <v>3.33</v>
      </c>
      <c r="BO179" s="64">
        <f t="shared" si="19"/>
        <v>6.6137566137566134E-3</v>
      </c>
      <c r="BP179" s="64">
        <f t="shared" si="20"/>
        <v>8.9285714285714281E-3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109</v>
      </c>
      <c r="Y180" s="634">
        <f t="shared" si="16"/>
        <v>109.2</v>
      </c>
      <c r="Z180" s="36">
        <f>IFERROR(IF(Y180=0,"",ROUNDUP(Y180/H180,0)*0.00502),"")</f>
        <v>0.32630000000000003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115.48809523809526</v>
      </c>
      <c r="BN180" s="64">
        <f t="shared" si="18"/>
        <v>115.7</v>
      </c>
      <c r="BO180" s="64">
        <f t="shared" si="19"/>
        <v>0.2772690272690273</v>
      </c>
      <c r="BP180" s="64">
        <f t="shared" si="20"/>
        <v>0.27777777777777779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2</v>
      </c>
      <c r="Y181" s="634">
        <f t="shared" si="16"/>
        <v>2.7</v>
      </c>
      <c r="Z181" s="36">
        <f>IFERROR(IF(Y181=0,"",ROUNDUP(Y181/H181,0)*0.00417),"")</f>
        <v>1.251E-2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2.4666666666666668</v>
      </c>
      <c r="BN181" s="64">
        <f t="shared" si="18"/>
        <v>3.33</v>
      </c>
      <c r="BO181" s="64">
        <f t="shared" si="19"/>
        <v>6.6137566137566134E-3</v>
      </c>
      <c r="BP181" s="64">
        <f t="shared" si="20"/>
        <v>8.9285714285714281E-3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56</v>
      </c>
      <c r="Y185" s="634">
        <f t="shared" si="16"/>
        <v>57.12</v>
      </c>
      <c r="Z185" s="36">
        <f>IFERROR(IF(Y185=0,"",ROUNDUP(Y185/H185,0)*0.00502),"")</f>
        <v>0.17068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59.333333333333343</v>
      </c>
      <c r="BN185" s="64">
        <f t="shared" si="18"/>
        <v>60.519999999999996</v>
      </c>
      <c r="BO185" s="64">
        <f t="shared" si="19"/>
        <v>0.14245014245014248</v>
      </c>
      <c r="BP185" s="64">
        <f t="shared" si="20"/>
        <v>0.14529914529914531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302.65873015873012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307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2.3440399999999997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869</v>
      </c>
      <c r="Y187" s="635">
        <f>IFERROR(SUM(Y175:Y185),"0")</f>
        <v>878.72000000000014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30</v>
      </c>
      <c r="Y221" s="634">
        <f t="shared" ref="Y221:Y234" si="27">IFERROR(IF(X221="",0,CEILING((X221/$H221),1)*$H221),"")</f>
        <v>33.6</v>
      </c>
      <c r="Z221" s="36">
        <f>IFERROR(IF(Y221=0,"",ROUNDUP(Y221/H221,0)*0.00902),"")</f>
        <v>7.2160000000000002E-2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31.785714285714285</v>
      </c>
      <c r="BN221" s="64">
        <f t="shared" ref="BN221:BN234" si="29">IFERROR(Y221*I221/H221,"0")</f>
        <v>35.6</v>
      </c>
      <c r="BO221" s="64">
        <f t="shared" ref="BO221:BO234" si="30">IFERROR(1/J221*(X221/H221),"0")</f>
        <v>5.4112554112554112E-2</v>
      </c>
      <c r="BP221" s="64">
        <f t="shared" ref="BP221:BP234" si="31">IFERROR(1/J221*(Y221/H221),"0")</f>
        <v>6.0606060606060608E-2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52</v>
      </c>
      <c r="Y223" s="634">
        <f t="shared" si="27"/>
        <v>54.6</v>
      </c>
      <c r="Z223" s="36">
        <f>IFERROR(IF(Y223=0,"",ROUNDUP(Y223/H223,0)*0.00902),"")</f>
        <v>0.11726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54.35238095238094</v>
      </c>
      <c r="BN223" s="64">
        <f t="shared" si="29"/>
        <v>57.069999999999993</v>
      </c>
      <c r="BO223" s="64">
        <f t="shared" si="30"/>
        <v>9.3795093795093792E-2</v>
      </c>
      <c r="BP223" s="64">
        <f t="shared" si="31"/>
        <v>9.8484848484848481E-2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21</v>
      </c>
      <c r="Y224" s="634">
        <f t="shared" si="27"/>
        <v>21.6</v>
      </c>
      <c r="Z224" s="36">
        <f>IFERROR(IF(Y224=0,"",ROUNDUP(Y224/H224,0)*0.00556),"")</f>
        <v>0.15012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24.412500000000001</v>
      </c>
      <c r="BN224" s="64">
        <f t="shared" si="29"/>
        <v>25.11</v>
      </c>
      <c r="BO224" s="64">
        <f t="shared" si="30"/>
        <v>0.10416666666666666</v>
      </c>
      <c r="BP224" s="64">
        <f t="shared" si="31"/>
        <v>0.10714285714285714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35</v>
      </c>
      <c r="Y225" s="634">
        <f t="shared" si="27"/>
        <v>35.700000000000003</v>
      </c>
      <c r="Z225" s="36">
        <f t="shared" ref="Z225:Z230" si="32">IFERROR(IF(Y225=0,"",ROUNDUP(Y225/H225,0)*0.00502),"")</f>
        <v>8.5339999999999999E-2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37.166666666666664</v>
      </c>
      <c r="BN225" s="64">
        <f t="shared" si="29"/>
        <v>37.910000000000004</v>
      </c>
      <c r="BO225" s="64">
        <f t="shared" si="30"/>
        <v>7.1225071225071226E-2</v>
      </c>
      <c r="BP225" s="64">
        <f t="shared" si="31"/>
        <v>7.2649572649572655E-2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45</v>
      </c>
      <c r="Y230" s="634">
        <f t="shared" si="27"/>
        <v>45</v>
      </c>
      <c r="Z230" s="36">
        <f t="shared" si="32"/>
        <v>0.1255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48.249999999999993</v>
      </c>
      <c r="BN230" s="64">
        <f t="shared" si="29"/>
        <v>48.249999999999993</v>
      </c>
      <c r="BO230" s="64">
        <f t="shared" si="30"/>
        <v>0.10683760683760685</v>
      </c>
      <c r="BP230" s="64">
        <f t="shared" si="31"/>
        <v>0.10683760683760685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20</v>
      </c>
      <c r="Y231" s="634">
        <f t="shared" si="27"/>
        <v>20</v>
      </c>
      <c r="Z231" s="36">
        <f>IFERROR(IF(Y231=0,"",ROUNDUP(Y231/H231,0)*0.00417),"")</f>
        <v>0.10425000000000001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25.249999999999996</v>
      </c>
      <c r="BN231" s="64">
        <f t="shared" si="29"/>
        <v>25.249999999999996</v>
      </c>
      <c r="BO231" s="64">
        <f t="shared" si="30"/>
        <v>7.4404761904761904E-2</v>
      </c>
      <c r="BP231" s="64">
        <f t="shared" si="31"/>
        <v>7.4404761904761904E-2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100</v>
      </c>
      <c r="Y232" s="634">
        <f t="shared" si="27"/>
        <v>100.80000000000001</v>
      </c>
      <c r="Z232" s="36">
        <f>IFERROR(IF(Y232=0,"",ROUNDUP(Y232/H232,0)*0.00502),"")</f>
        <v>0.24096000000000001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104.76190476190477</v>
      </c>
      <c r="BN232" s="64">
        <f t="shared" si="29"/>
        <v>105.60000000000002</v>
      </c>
      <c r="BO232" s="64">
        <f t="shared" si="30"/>
        <v>0.20350020350020354</v>
      </c>
      <c r="BP232" s="64">
        <f t="shared" si="31"/>
        <v>0.20512820512820515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160.0595238095238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163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0.89559000000000011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303</v>
      </c>
      <c r="Y236" s="635">
        <f>IFERROR(SUM(Y221:Y234),"0")</f>
        <v>311.3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7</v>
      </c>
      <c r="Y248" s="634">
        <f>IFERROR(IF(X248="",0,CEILING((X248/$H248),1)*$H248),"")</f>
        <v>7.5600000000000005</v>
      </c>
      <c r="Z248" s="36">
        <f>IFERROR(IF(Y248=0,"",ROUNDUP(Y248/H248,0)*0.0059),"")</f>
        <v>3.5400000000000001E-2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8.0555555555555554</v>
      </c>
      <c r="BN248" s="64">
        <f>IFERROR(Y248*I248/H248,"0")</f>
        <v>8.6999999999999993</v>
      </c>
      <c r="BO248" s="64">
        <f>IFERROR(1/J248*(X248/H248),"0")</f>
        <v>2.5720164609053495E-2</v>
      </c>
      <c r="BP248" s="64">
        <f>IFERROR(1/J248*(Y248/H248),"0")</f>
        <v>2.7777777777777776E-2</v>
      </c>
    </row>
    <row r="249" spans="1:68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5.5555555555555554</v>
      </c>
      <c r="Y249" s="635">
        <f>IFERROR(Y246/H246,"0")+IFERROR(Y247/H247,"0")+IFERROR(Y248/H248,"0")</f>
        <v>6</v>
      </c>
      <c r="Z249" s="635">
        <f>IFERROR(IF(Z246="",0,Z246),"0")+IFERROR(IF(Z247="",0,Z247),"0")+IFERROR(IF(Z248="",0,Z248),"0")</f>
        <v>3.5400000000000001E-2</v>
      </c>
      <c r="AA249" s="636"/>
      <c r="AB249" s="636"/>
      <c r="AC249" s="636"/>
    </row>
    <row r="250" spans="1:68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7</v>
      </c>
      <c r="Y250" s="635">
        <f>IFERROR(SUM(Y246:Y248),"0")</f>
        <v>7.5600000000000005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10</v>
      </c>
      <c r="Y252" s="634">
        <f>IFERROR(IF(X252="",0,CEILING((X252/$H252),1)*$H252),"")</f>
        <v>10.08</v>
      </c>
      <c r="Z252" s="36">
        <f>IFERROR(IF(Y252=0,"",ROUNDUP(Y252/H252,0)*0.0059),"")</f>
        <v>4.7199999999999999E-2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11.507936507936508</v>
      </c>
      <c r="BN252" s="64">
        <f>IFERROR(Y252*I252/H252,"0")</f>
        <v>11.6</v>
      </c>
      <c r="BO252" s="64">
        <f>IFERROR(1/J252*(X252/H252),"0")</f>
        <v>3.6743092298647854E-2</v>
      </c>
      <c r="BP252" s="64">
        <f>IFERROR(1/J252*(Y252/H252),"0")</f>
        <v>3.7037037037037035E-2</v>
      </c>
    </row>
    <row r="253" spans="1:68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7.9365079365079367</v>
      </c>
      <c r="Y253" s="635">
        <f>IFERROR(Y252/H252,"0")</f>
        <v>8</v>
      </c>
      <c r="Z253" s="635">
        <f>IFERROR(IF(Z252="",0,Z252),"0")</f>
        <v>4.7199999999999999E-2</v>
      </c>
      <c r="AA253" s="636"/>
      <c r="AB253" s="636"/>
      <c r="AC253" s="636"/>
    </row>
    <row r="254" spans="1:68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10</v>
      </c>
      <c r="Y254" s="635">
        <f>IFERROR(SUM(Y252:Y252),"0")</f>
        <v>10.08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343</v>
      </c>
      <c r="Y267" s="634">
        <f t="shared" ref="Y267:Y274" si="33">IFERROR(IF(X267="",0,CEILING((X267/$H267),1)*$H267),"")</f>
        <v>345.6</v>
      </c>
      <c r="Z267" s="36">
        <f>IFERROR(IF(Y267=0,"",ROUNDUP(Y267/H267,0)*0.00902),"")</f>
        <v>0.57728000000000002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355.06851851851849</v>
      </c>
      <c r="BN267" s="64">
        <f t="shared" ref="BN267:BN274" si="35">IFERROR(Y267*I267/H267,"0")</f>
        <v>357.76</v>
      </c>
      <c r="BO267" s="64">
        <f t="shared" ref="BO267:BO274" si="36">IFERROR(1/J267*(X267/H267),"0")</f>
        <v>0.48120089786756448</v>
      </c>
      <c r="BP267" s="64">
        <f t="shared" ref="BP267:BP274" si="37">IFERROR(1/J267*(Y267/H267),"0")</f>
        <v>0.48484848484848486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263</v>
      </c>
      <c r="Y268" s="634">
        <f t="shared" si="33"/>
        <v>264.60000000000002</v>
      </c>
      <c r="Z268" s="36">
        <f>IFERROR(IF(Y268=0,"",ROUNDUP(Y268/H268,0)*0.00902),"")</f>
        <v>0.44198000000000004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272.25370370370371</v>
      </c>
      <c r="BN268" s="64">
        <f t="shared" si="35"/>
        <v>273.90999999999997</v>
      </c>
      <c r="BO268" s="64">
        <f t="shared" si="36"/>
        <v>0.36896745230078565</v>
      </c>
      <c r="BP268" s="64">
        <f t="shared" si="37"/>
        <v>0.37121212121212122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528</v>
      </c>
      <c r="Y269" s="634">
        <f t="shared" si="33"/>
        <v>529.20000000000005</v>
      </c>
      <c r="Z269" s="36">
        <f>IFERROR(IF(Y269=0,"",ROUNDUP(Y269/H269,0)*0.00902),"")</f>
        <v>0.88396000000000008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546.57777777777778</v>
      </c>
      <c r="BN269" s="64">
        <f t="shared" si="35"/>
        <v>547.81999999999994</v>
      </c>
      <c r="BO269" s="64">
        <f t="shared" si="36"/>
        <v>0.7407407407407407</v>
      </c>
      <c r="BP269" s="64">
        <f t="shared" si="37"/>
        <v>0.74242424242424243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259</v>
      </c>
      <c r="Y270" s="634">
        <f t="shared" si="33"/>
        <v>259.20000000000005</v>
      </c>
      <c r="Z270" s="36">
        <f>IFERROR(IF(Y270=0,"",ROUNDUP(Y270/H270,0)*0.00902),"")</f>
        <v>0.43296000000000001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268.11296296296291</v>
      </c>
      <c r="BN270" s="64">
        <f t="shared" si="35"/>
        <v>268.32</v>
      </c>
      <c r="BO270" s="64">
        <f t="shared" si="36"/>
        <v>0.36335578002244667</v>
      </c>
      <c r="BP270" s="64">
        <f t="shared" si="37"/>
        <v>0.3636363636363637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90</v>
      </c>
      <c r="Y271" s="634">
        <f t="shared" si="33"/>
        <v>90</v>
      </c>
      <c r="Z271" s="36">
        <f>IFERROR(IF(Y271=0,"",ROUNDUP(Y271/H271,0)*0.00502),"")</f>
        <v>0.251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96.499999999999986</v>
      </c>
      <c r="BN271" s="64">
        <f t="shared" si="35"/>
        <v>96.499999999999986</v>
      </c>
      <c r="BO271" s="64">
        <f t="shared" si="36"/>
        <v>0.21367521367521369</v>
      </c>
      <c r="BP271" s="64">
        <f t="shared" si="37"/>
        <v>0.21367521367521369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45</v>
      </c>
      <c r="Y272" s="634">
        <f t="shared" si="33"/>
        <v>45</v>
      </c>
      <c r="Z272" s="36">
        <f>IFERROR(IF(Y272=0,"",ROUNDUP(Y272/H272,0)*0.00502),"")</f>
        <v>0.1255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47.5</v>
      </c>
      <c r="BN272" s="64">
        <f t="shared" si="35"/>
        <v>47.5</v>
      </c>
      <c r="BO272" s="64">
        <f t="shared" si="36"/>
        <v>0.10683760683760685</v>
      </c>
      <c r="BP272" s="64">
        <f t="shared" si="37"/>
        <v>0.10683760683760685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45</v>
      </c>
      <c r="Y274" s="634">
        <f t="shared" si="33"/>
        <v>45</v>
      </c>
      <c r="Z274" s="36">
        <f>IFERROR(IF(Y274=0,"",ROUNDUP(Y274/H274,0)*0.00502),"")</f>
        <v>0.1255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47.5</v>
      </c>
      <c r="BN274" s="64">
        <f t="shared" si="35"/>
        <v>47.5</v>
      </c>
      <c r="BO274" s="64">
        <f t="shared" si="36"/>
        <v>0.10683760683760685</v>
      </c>
      <c r="BP274" s="64">
        <f t="shared" si="37"/>
        <v>0.10683760683760685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357.96296296296293</v>
      </c>
      <c r="Y275" s="635">
        <f>IFERROR(Y267/H267,"0")+IFERROR(Y268/H268,"0")+IFERROR(Y269/H269,"0")+IFERROR(Y270/H270,"0")+IFERROR(Y271/H271,"0")+IFERROR(Y272/H272,"0")+IFERROR(Y273/H273,"0")+IFERROR(Y274/H274,"0")</f>
        <v>359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2.8381800000000004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1573</v>
      </c>
      <c r="Y276" s="635">
        <f>IFERROR(SUM(Y267:Y274),"0")</f>
        <v>1578.6000000000001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422</v>
      </c>
      <c r="Y278" s="634">
        <f t="shared" ref="Y278:Y289" si="38">IFERROR(IF(X278="",0,CEILING((X278/$H278),1)*$H278),"")</f>
        <v>429.29999999999995</v>
      </c>
      <c r="Z278" s="36">
        <f>IFERROR(IF(Y278=0,"",ROUNDUP(Y278/H278,0)*0.01898),"")</f>
        <v>1.0059400000000001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447.73679012345679</v>
      </c>
      <c r="BN278" s="64">
        <f t="shared" ref="BN278:BN289" si="40">IFERROR(Y278*I278/H278,"0")</f>
        <v>455.48199999999997</v>
      </c>
      <c r="BO278" s="64">
        <f t="shared" ref="BO278:BO289" si="41">IFERROR(1/J278*(X278/H278),"0")</f>
        <v>0.81404320987654322</v>
      </c>
      <c r="BP278" s="64">
        <f t="shared" ref="BP278:BP289" si="42">IFERROR(1/J278*(Y278/H278),"0")</f>
        <v>0.828125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270</v>
      </c>
      <c r="Y279" s="634">
        <f t="shared" si="38"/>
        <v>275.39999999999998</v>
      </c>
      <c r="Z279" s="36">
        <f>IFERROR(IF(Y279=0,"",ROUNDUP(Y279/H279,0)*0.01898),"")</f>
        <v>0.64532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285.86666666666667</v>
      </c>
      <c r="BN279" s="64">
        <f t="shared" si="40"/>
        <v>291.584</v>
      </c>
      <c r="BO279" s="64">
        <f t="shared" si="41"/>
        <v>0.52083333333333337</v>
      </c>
      <c r="BP279" s="64">
        <f t="shared" si="42"/>
        <v>0.53125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224</v>
      </c>
      <c r="Y280" s="634">
        <f t="shared" si="38"/>
        <v>226.2</v>
      </c>
      <c r="Z280" s="36">
        <f>IFERROR(IF(Y280=0,"",ROUNDUP(Y280/H280,0)*0.01898),"")</f>
        <v>0.49348000000000003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236.71908045977014</v>
      </c>
      <c r="BN280" s="64">
        <f t="shared" si="40"/>
        <v>239.04400000000001</v>
      </c>
      <c r="BO280" s="64">
        <f t="shared" si="41"/>
        <v>0.40229885057471265</v>
      </c>
      <c r="BP280" s="64">
        <f t="shared" si="42"/>
        <v>0.40625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295</v>
      </c>
      <c r="Y281" s="634">
        <f t="shared" si="38"/>
        <v>295.2</v>
      </c>
      <c r="Z281" s="36">
        <f>IFERROR(IF(Y281=0,"",ROUNDUP(Y281/H281,0)*0.00651),"")</f>
        <v>0.80073000000000005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328.1875</v>
      </c>
      <c r="BN281" s="64">
        <f t="shared" si="40"/>
        <v>328.41</v>
      </c>
      <c r="BO281" s="64">
        <f t="shared" si="41"/>
        <v>0.67536630036630041</v>
      </c>
      <c r="BP281" s="64">
        <f t="shared" si="42"/>
        <v>0.67582417582417587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574</v>
      </c>
      <c r="Y284" s="634">
        <f t="shared" si="38"/>
        <v>576</v>
      </c>
      <c r="Z284" s="36">
        <f>IFERROR(IF(Y284=0,"",ROUNDUP(Y284/H284,0)*0.00651),"")</f>
        <v>1.5624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634.2700000000001</v>
      </c>
      <c r="BN284" s="64">
        <f t="shared" si="40"/>
        <v>636.48000000000013</v>
      </c>
      <c r="BO284" s="64">
        <f t="shared" si="41"/>
        <v>1.3141025641025643</v>
      </c>
      <c r="BP284" s="64">
        <f t="shared" si="42"/>
        <v>1.3186813186813189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200</v>
      </c>
      <c r="Y286" s="634">
        <f t="shared" si="38"/>
        <v>201.6</v>
      </c>
      <c r="Z286" s="36">
        <f>IFERROR(IF(Y286=0,"",ROUNDUP(Y286/H286,0)*0.00651),"")</f>
        <v>0.54683999999999999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221</v>
      </c>
      <c r="BN286" s="64">
        <f t="shared" si="40"/>
        <v>222.768</v>
      </c>
      <c r="BO286" s="64">
        <f t="shared" si="41"/>
        <v>0.45787545787545797</v>
      </c>
      <c r="BP286" s="64">
        <f t="shared" si="42"/>
        <v>0.46153846153846156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96</v>
      </c>
      <c r="Y287" s="634">
        <f t="shared" si="38"/>
        <v>96</v>
      </c>
      <c r="Z287" s="36">
        <f>IFERROR(IF(Y287=0,"",ROUNDUP(Y287/H287,0)*0.00651),"")</f>
        <v>0.26040000000000002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106.08000000000001</v>
      </c>
      <c r="BN287" s="64">
        <f t="shared" si="40"/>
        <v>106.08000000000001</v>
      </c>
      <c r="BO287" s="64">
        <f t="shared" si="41"/>
        <v>0.2197802197802198</v>
      </c>
      <c r="BP287" s="64">
        <f t="shared" si="42"/>
        <v>0.2197802197802198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148</v>
      </c>
      <c r="Y288" s="634">
        <f t="shared" si="38"/>
        <v>148.79999999999998</v>
      </c>
      <c r="Z288" s="36">
        <f>IFERROR(IF(Y288=0,"",ROUNDUP(Y288/H288,0)*0.00651),"")</f>
        <v>0.40362000000000003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163.91000000000003</v>
      </c>
      <c r="BN288" s="64">
        <f t="shared" si="40"/>
        <v>164.79599999999999</v>
      </c>
      <c r="BO288" s="64">
        <f t="shared" si="41"/>
        <v>0.3388278388278389</v>
      </c>
      <c r="BP288" s="64">
        <f t="shared" si="42"/>
        <v>0.34065934065934067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658.2625585355471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662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5.7187299999999999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2229</v>
      </c>
      <c r="Y291" s="635">
        <f>IFERROR(SUM(Y278:Y289),"0")</f>
        <v>2248.5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8</v>
      </c>
      <c r="Y293" s="634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60</v>
      </c>
      <c r="Y294" s="634">
        <f>IFERROR(IF(X294="",0,CEILING((X294/$H294),1)*$H294),"")</f>
        <v>60</v>
      </c>
      <c r="Z294" s="36">
        <f>IFERROR(IF(Y294=0,"",ROUNDUP(Y294/H294,0)*0.00651),"")</f>
        <v>0.16275000000000001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66.300000000000011</v>
      </c>
      <c r="BN294" s="64">
        <f>IFERROR(Y294*I294/H294,"0")</f>
        <v>66.300000000000011</v>
      </c>
      <c r="BO294" s="64">
        <f>IFERROR(1/J294*(X294/H294),"0")</f>
        <v>0.13736263736263737</v>
      </c>
      <c r="BP294" s="64">
        <f>IFERROR(1/J294*(Y294/H294),"0")</f>
        <v>0.13736263736263737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28.333333333333332</v>
      </c>
      <c r="Y295" s="635">
        <f>IFERROR(Y293/H293,"0")+IFERROR(Y294/H294,"0")</f>
        <v>29</v>
      </c>
      <c r="Z295" s="635">
        <f>IFERROR(IF(Z293="",0,Z293),"0")+IFERROR(IF(Z294="",0,Z294),"0")</f>
        <v>0.18879000000000001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68</v>
      </c>
      <c r="Y296" s="635">
        <f>IFERROR(SUM(Y293:Y294),"0")</f>
        <v>69.599999999999994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187</v>
      </c>
      <c r="Y299" s="634">
        <f t="shared" ref="Y299:Y305" si="43">IFERROR(IF(X299="",0,CEILING((X299/$H299),1)*$H299),"")</f>
        <v>197.2</v>
      </c>
      <c r="Z299" s="36">
        <f>IFERROR(IF(Y299=0,"",ROUNDUP(Y299/H299,0)*0.01898),"")</f>
        <v>0.32266</v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193.60948275862069</v>
      </c>
      <c r="BN299" s="64">
        <f t="shared" ref="BN299:BN305" si="45">IFERROR(Y299*I299/H299,"0")</f>
        <v>204.17</v>
      </c>
      <c r="BO299" s="64">
        <f t="shared" ref="BO299:BO305" si="46">IFERROR(1/J299*(X299/H299),"0")</f>
        <v>0.25188577586206895</v>
      </c>
      <c r="BP299" s="64">
        <f t="shared" ref="BP299:BP305" si="47">IFERROR(1/J299*(Y299/H299),"0")</f>
        <v>0.265625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34</v>
      </c>
      <c r="Y305" s="634">
        <f t="shared" si="43"/>
        <v>36</v>
      </c>
      <c r="Z305" s="36">
        <f>IFERROR(IF(Y305=0,"",ROUNDUP(Y305/H305,0)*0.00902),"")</f>
        <v>8.1180000000000002E-2</v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35.615000000000002</v>
      </c>
      <c r="BN305" s="64">
        <f t="shared" si="45"/>
        <v>37.71</v>
      </c>
      <c r="BO305" s="64">
        <f t="shared" si="46"/>
        <v>6.4393939393939392E-2</v>
      </c>
      <c r="BP305" s="64">
        <f t="shared" si="47"/>
        <v>6.8181818181818177E-2</v>
      </c>
    </row>
    <row r="306" spans="1:68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24.620689655172413</v>
      </c>
      <c r="Y306" s="635">
        <f>IFERROR(Y299/H299,"0")+IFERROR(Y300/H300,"0")+IFERROR(Y301/H301,"0")+IFERROR(Y302/H302,"0")+IFERROR(Y303/H303,"0")+IFERROR(Y304/H304,"0")+IFERROR(Y305/H305,"0")</f>
        <v>26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0.40383999999999998</v>
      </c>
      <c r="AA306" s="636"/>
      <c r="AB306" s="636"/>
      <c r="AC306" s="636"/>
    </row>
    <row r="307" spans="1:68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221</v>
      </c>
      <c r="Y307" s="635">
        <f>IFERROR(SUM(Y299:Y305),"0")</f>
        <v>233.2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4</v>
      </c>
      <c r="Y313" s="634">
        <f>IFERROR(IF(X313="",0,CEILING((X313/$H313),1)*$H313),"")</f>
        <v>5.4</v>
      </c>
      <c r="Z313" s="36">
        <f>IFERROR(IF(Y313=0,"",ROUNDUP(Y313/H313,0)*0.0059),"")</f>
        <v>1.77E-2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4.3888888888888893</v>
      </c>
      <c r="BN313" s="64">
        <f>IFERROR(Y313*I313/H313,"0")</f>
        <v>5.9250000000000007</v>
      </c>
      <c r="BO313" s="64">
        <f>IFERROR(1/J313*(X313/H313),"0")</f>
        <v>1.0288065843621399E-2</v>
      </c>
      <c r="BP313" s="64">
        <f>IFERROR(1/J313*(Y313/H313),"0")</f>
        <v>1.3888888888888888E-2</v>
      </c>
    </row>
    <row r="314" spans="1:68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2.2222222222222223</v>
      </c>
      <c r="Y314" s="635">
        <f>IFERROR(Y313/H313,"0")</f>
        <v>3</v>
      </c>
      <c r="Z314" s="635">
        <f>IFERROR(IF(Z313="",0,Z313),"0")</f>
        <v>1.77E-2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4</v>
      </c>
      <c r="Y315" s="635">
        <f>IFERROR(SUM(Y313:Y313),"0")</f>
        <v>5.4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48</v>
      </c>
      <c r="Y334" s="634">
        <f>IFERROR(IF(X334="",0,CEILING((X334/$H334),1)*$H334),"")</f>
        <v>48</v>
      </c>
      <c r="Z334" s="36">
        <f>IFERROR(IF(Y334=0,"",ROUNDUP(Y334/H334,0)*0.00651),"")</f>
        <v>0.13020000000000001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53.040000000000006</v>
      </c>
      <c r="BN334" s="64">
        <f>IFERROR(Y334*I334/H334,"0")</f>
        <v>53.040000000000006</v>
      </c>
      <c r="BO334" s="64">
        <f>IFERROR(1/J334*(X334/H334),"0")</f>
        <v>0.1098901098901099</v>
      </c>
      <c r="BP334" s="64">
        <f>IFERROR(1/J334*(Y334/H334),"0")</f>
        <v>0.1098901098901099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80</v>
      </c>
      <c r="Y335" s="634">
        <f>IFERROR(IF(X335="",0,CEILING((X335/$H335),1)*$H335),"")</f>
        <v>81.599999999999994</v>
      </c>
      <c r="Z335" s="36">
        <f>IFERROR(IF(Y335=0,"",ROUNDUP(Y335/H335,0)*0.00651),"")</f>
        <v>0.22134000000000001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86</v>
      </c>
      <c r="BN335" s="64">
        <f>IFERROR(Y335*I335/H335,"0")</f>
        <v>87.72</v>
      </c>
      <c r="BO335" s="64">
        <f>IFERROR(1/J335*(X335/H335),"0")</f>
        <v>0.18315018315018317</v>
      </c>
      <c r="BP335" s="64">
        <f>IFERROR(1/J335*(Y335/H335),"0")</f>
        <v>0.18681318681318682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53.333333333333336</v>
      </c>
      <c r="Y336" s="635">
        <f>IFERROR(Y333/H333,"0")+IFERROR(Y334/H334,"0")+IFERROR(Y335/H335,"0")</f>
        <v>54</v>
      </c>
      <c r="Z336" s="635">
        <f>IFERROR(IF(Z333="",0,Z333),"0")+IFERROR(IF(Z334="",0,Z334),"0")+IFERROR(IF(Z335="",0,Z335),"0")</f>
        <v>0.35154000000000002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128</v>
      </c>
      <c r="Y337" s="635">
        <f>IFERROR(SUM(Y333:Y335),"0")</f>
        <v>129.6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408</v>
      </c>
      <c r="Y354" s="634">
        <f>IFERROR(IF(X354="",0,CEILING((X354/$H354),1)*$H354),"")</f>
        <v>413.4</v>
      </c>
      <c r="Z354" s="36">
        <f>IFERROR(IF(Y354=0,"",ROUNDUP(Y354/H354,0)*0.01898),"")</f>
        <v>1.0059400000000001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429.44615384615389</v>
      </c>
      <c r="BN354" s="64">
        <f>IFERROR(Y354*I354/H354,"0")</f>
        <v>435.13000000000005</v>
      </c>
      <c r="BO354" s="64">
        <f>IFERROR(1/J354*(X354/H354),"0")</f>
        <v>0.81730769230769229</v>
      </c>
      <c r="BP354" s="64">
        <f>IFERROR(1/J354*(Y354/H354),"0")</f>
        <v>0.828125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208</v>
      </c>
      <c r="Y355" s="634">
        <f>IFERROR(IF(X355="",0,CEILING((X355/$H355),1)*$H355),"")</f>
        <v>210.6</v>
      </c>
      <c r="Z355" s="36">
        <f>IFERROR(IF(Y355=0,"",ROUNDUP(Y355/H355,0)*0.01898),"")</f>
        <v>0.51246000000000003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218.93333333333337</v>
      </c>
      <c r="BN355" s="64">
        <f>IFERROR(Y355*I355/H355,"0")</f>
        <v>221.67000000000002</v>
      </c>
      <c r="BO355" s="64">
        <f>IFERROR(1/J355*(X355/H355),"0")</f>
        <v>0.41666666666666669</v>
      </c>
      <c r="BP355" s="64">
        <f>IFERROR(1/J355*(Y355/H355),"0")</f>
        <v>0.421875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278</v>
      </c>
      <c r="Y356" s="634">
        <f>IFERROR(IF(X356="",0,CEILING((X356/$H356),1)*$H356),"")</f>
        <v>280.8</v>
      </c>
      <c r="Z356" s="36">
        <f>IFERROR(IF(Y356=0,"",ROUNDUP(Y356/H356,0)*0.01898),"")</f>
        <v>0.68328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292.61282051282052</v>
      </c>
      <c r="BN356" s="64">
        <f>IFERROR(Y356*I356/H356,"0")</f>
        <v>295.56000000000006</v>
      </c>
      <c r="BO356" s="64">
        <f>IFERROR(1/J356*(X356/H356),"0")</f>
        <v>0.55689102564102566</v>
      </c>
      <c r="BP356" s="64">
        <f>IFERROR(1/J356*(Y356/H356),"0")</f>
        <v>0.5625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114.61538461538461</v>
      </c>
      <c r="Y357" s="635">
        <f>IFERROR(Y354/H354,"0")+IFERROR(Y355/H355,"0")+IFERROR(Y356/H356,"0")</f>
        <v>116</v>
      </c>
      <c r="Z357" s="635">
        <f>IFERROR(IF(Z354="",0,Z354),"0")+IFERROR(IF(Z355="",0,Z355),"0")+IFERROR(IF(Z356="",0,Z356),"0")</f>
        <v>2.2016800000000001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894</v>
      </c>
      <c r="Y358" s="635">
        <f>IFERROR(SUM(Y354:Y356),"0")</f>
        <v>904.8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50</v>
      </c>
      <c r="Y370" s="634">
        <f t="shared" si="48"/>
        <v>50.400000000000006</v>
      </c>
      <c r="Z370" s="36">
        <f>IFERROR(IF(Y370=0,"",ROUNDUP(Y370/H370,0)*0.00902),"")</f>
        <v>0.10824</v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52.976190476190474</v>
      </c>
      <c r="BN370" s="64">
        <f t="shared" si="50"/>
        <v>53.400000000000006</v>
      </c>
      <c r="BO370" s="64">
        <f t="shared" si="51"/>
        <v>9.0187590187590191E-2</v>
      </c>
      <c r="BP370" s="64">
        <f t="shared" si="52"/>
        <v>9.0909090909090912E-2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29</v>
      </c>
      <c r="Y375" s="634">
        <f t="shared" si="48"/>
        <v>30.6</v>
      </c>
      <c r="Z375" s="36">
        <f>IFERROR(IF(Y375=0,"",ROUNDUP(Y375/H375,0)*0.00651),"")</f>
        <v>0.11067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32.673333333333332</v>
      </c>
      <c r="BN375" s="64">
        <f t="shared" si="50"/>
        <v>34.475999999999999</v>
      </c>
      <c r="BO375" s="64">
        <f t="shared" si="51"/>
        <v>8.8522588522588527E-2</v>
      </c>
      <c r="BP375" s="64">
        <f t="shared" si="52"/>
        <v>9.3406593406593408E-2</v>
      </c>
    </row>
    <row r="376" spans="1:68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28.015873015873016</v>
      </c>
      <c r="Y376" s="635">
        <f>IFERROR(Y369/H369,"0")+IFERROR(Y370/H370,"0")+IFERROR(Y371/H371,"0")+IFERROR(Y372/H372,"0")+IFERROR(Y373/H373,"0")+IFERROR(Y374/H374,"0")+IFERROR(Y375/H375,"0")</f>
        <v>29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0.21890999999999999</v>
      </c>
      <c r="AA376" s="636"/>
      <c r="AB376" s="636"/>
      <c r="AC376" s="636"/>
    </row>
    <row r="377" spans="1:68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79</v>
      </c>
      <c r="Y377" s="635">
        <f>IFERROR(SUM(Y369:Y375),"0")</f>
        <v>81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197</v>
      </c>
      <c r="Y386" s="634">
        <f>IFERROR(IF(X386="",0,CEILING((X386/$H386),1)*$H386),"")</f>
        <v>201.60000000000002</v>
      </c>
      <c r="Z386" s="36">
        <f>IFERROR(IF(Y386=0,"",ROUNDUP(Y386/H386,0)*0.01898),"")</f>
        <v>0.45552000000000004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208.58547619047619</v>
      </c>
      <c r="BN386" s="64">
        <f>IFERROR(Y386*I386/H386,"0")</f>
        <v>213.45600000000002</v>
      </c>
      <c r="BO386" s="64">
        <f>IFERROR(1/J386*(X386/H386),"0")</f>
        <v>0.36644345238095238</v>
      </c>
      <c r="BP386" s="64">
        <f>IFERROR(1/J386*(Y386/H386),"0")</f>
        <v>0.375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717</v>
      </c>
      <c r="Y387" s="634">
        <f>IFERROR(IF(X387="",0,CEILING((X387/$H387),1)*$H387),"")</f>
        <v>717.6</v>
      </c>
      <c r="Z387" s="36">
        <f>IFERROR(IF(Y387=0,"",ROUNDUP(Y387/H387,0)*0.01898),"")</f>
        <v>1.7461599999999999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762.41000000000008</v>
      </c>
      <c r="BN387" s="64">
        <f>IFERROR(Y387*I387/H387,"0")</f>
        <v>763.048</v>
      </c>
      <c r="BO387" s="64">
        <f>IFERROR(1/J387*(X387/H387),"0")</f>
        <v>1.4362980769230769</v>
      </c>
      <c r="BP387" s="64">
        <f>IFERROR(1/J387*(Y387/H387),"0")</f>
        <v>1.4375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200</v>
      </c>
      <c r="Y388" s="634">
        <f>IFERROR(IF(X388="",0,CEILING((X388/$H388),1)*$H388),"")</f>
        <v>201.60000000000002</v>
      </c>
      <c r="Z388" s="36">
        <f>IFERROR(IF(Y388=0,"",ROUNDUP(Y388/H388,0)*0.01898),"")</f>
        <v>0.45552000000000004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211.76190476190476</v>
      </c>
      <c r="BN388" s="64">
        <f>IFERROR(Y388*I388/H388,"0")</f>
        <v>213.45600000000002</v>
      </c>
      <c r="BO388" s="64">
        <f>IFERROR(1/J388*(X388/H388),"0")</f>
        <v>0.37202380952380953</v>
      </c>
      <c r="BP388" s="64">
        <f>IFERROR(1/J388*(Y388/H388),"0")</f>
        <v>0.375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139.18498168498166</v>
      </c>
      <c r="Y389" s="635">
        <f>IFERROR(Y386/H386,"0")+IFERROR(Y387/H387,"0")+IFERROR(Y388/H388,"0")</f>
        <v>140</v>
      </c>
      <c r="Z389" s="635">
        <f>IFERROR(IF(Z386="",0,Z386),"0")+IFERROR(IF(Z387="",0,Z387),"0")+IFERROR(IF(Z388="",0,Z388),"0")</f>
        <v>2.6572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1114</v>
      </c>
      <c r="Y390" s="635">
        <f>IFERROR(SUM(Y386:Y388),"0")</f>
        <v>1120.8000000000002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13</v>
      </c>
      <c r="Y394" s="634">
        <f>IFERROR(IF(X394="",0,CEILING((X394/$H394),1)*$H394),"")</f>
        <v>15.299999999999999</v>
      </c>
      <c r="Z394" s="36">
        <f>IFERROR(IF(Y394=0,"",ROUNDUP(Y394/H394,0)*0.00651),"")</f>
        <v>3.9059999999999997E-2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15.064705882352943</v>
      </c>
      <c r="BN394" s="64">
        <f>IFERROR(Y394*I394/H394,"0")</f>
        <v>17.73</v>
      </c>
      <c r="BO394" s="64">
        <f>IFERROR(1/J394*(X394/H394),"0")</f>
        <v>2.8011204481792722E-2</v>
      </c>
      <c r="BP394" s="64">
        <f>IFERROR(1/J394*(Y394/H394),"0")</f>
        <v>3.2967032967032968E-2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44</v>
      </c>
      <c r="Y395" s="634">
        <f>IFERROR(IF(X395="",0,CEILING((X395/$H395),1)*$H395),"")</f>
        <v>45.9</v>
      </c>
      <c r="Z395" s="36">
        <f>IFERROR(IF(Y395=0,"",ROUNDUP(Y395/H395,0)*0.00651),"")</f>
        <v>0.11718000000000001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49.694117647058825</v>
      </c>
      <c r="BN395" s="64">
        <f>IFERROR(Y395*I395/H395,"0")</f>
        <v>51.839999999999996</v>
      </c>
      <c r="BO395" s="64">
        <f>IFERROR(1/J395*(X395/H395),"0")</f>
        <v>9.4807153630683066E-2</v>
      </c>
      <c r="BP395" s="64">
        <f>IFERROR(1/J395*(Y395/H395),"0")</f>
        <v>9.8901098901098911E-2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22.352941176470591</v>
      </c>
      <c r="Y396" s="635">
        <f>IFERROR(Y392/H392,"0")+IFERROR(Y393/H393,"0")+IFERROR(Y394/H394,"0")+IFERROR(Y395/H395,"0")</f>
        <v>24</v>
      </c>
      <c r="Z396" s="635">
        <f>IFERROR(IF(Z392="",0,Z392),"0")+IFERROR(IF(Z393="",0,Z393),"0")+IFERROR(IF(Z394="",0,Z394),"0")+IFERROR(IF(Z395="",0,Z395),"0")</f>
        <v>0.15623999999999999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57</v>
      </c>
      <c r="Y397" s="635">
        <f>IFERROR(SUM(Y392:Y395),"0")</f>
        <v>61.199999999999996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8</v>
      </c>
      <c r="Y401" s="634">
        <f>IFERROR(IF(X401="",0,CEILING((X401/$H401),1)*$H401),"")</f>
        <v>8</v>
      </c>
      <c r="Z401" s="36">
        <f>IFERROR(IF(Y401=0,"",ROUNDUP(Y401/H401,0)*0.00474),"")</f>
        <v>1.8960000000000001E-2</v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8.9600000000000009</v>
      </c>
      <c r="BN401" s="64">
        <f>IFERROR(Y401*I401/H401,"0")</f>
        <v>8.9600000000000009</v>
      </c>
      <c r="BO401" s="64">
        <f>IFERROR(1/J401*(X401/H401),"0")</f>
        <v>1.680672268907563E-2</v>
      </c>
      <c r="BP401" s="64">
        <f>IFERROR(1/J401*(Y401/H401),"0")</f>
        <v>1.680672268907563E-2</v>
      </c>
    </row>
    <row r="402" spans="1:68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4</v>
      </c>
      <c r="Y402" s="635">
        <f>IFERROR(Y399/H399,"0")+IFERROR(Y400/H400,"0")+IFERROR(Y401/H401,"0")</f>
        <v>4</v>
      </c>
      <c r="Z402" s="635">
        <f>IFERROR(IF(Z399="",0,Z399),"0")+IFERROR(IF(Z400="",0,Z400),"0")+IFERROR(IF(Z401="",0,Z401),"0")</f>
        <v>1.8960000000000001E-2</v>
      </c>
      <c r="AA402" s="636"/>
      <c r="AB402" s="636"/>
      <c r="AC402" s="636"/>
    </row>
    <row r="403" spans="1:68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8</v>
      </c>
      <c r="Y403" s="635">
        <f>IFERROR(SUM(Y399:Y401),"0")</f>
        <v>8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25</v>
      </c>
      <c r="Y405" s="634">
        <f>IFERROR(IF(X405="",0,CEILING((X405/$H405),1)*$H405),"")</f>
        <v>27</v>
      </c>
      <c r="Z405" s="36">
        <f>IFERROR(IF(Y405=0,"",ROUNDUP(Y405/H405,0)*0.0045),"")</f>
        <v>4.0499999999999994E-2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26.833333333333332</v>
      </c>
      <c r="BN405" s="64">
        <f>IFERROR(Y405*I405/H405,"0")</f>
        <v>28.980000000000004</v>
      </c>
      <c r="BO405" s="64">
        <f>IFERROR(1/J405*(X405/H405),"0")</f>
        <v>3.7202380952380952E-2</v>
      </c>
      <c r="BP405" s="64">
        <f>IFERROR(1/J405*(Y405/H405),"0")</f>
        <v>4.0178571428571425E-2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33</v>
      </c>
      <c r="Y406" s="634">
        <f>IFERROR(IF(X406="",0,CEILING((X406/$H406),1)*$H406),"")</f>
        <v>35.1</v>
      </c>
      <c r="Z406" s="36">
        <f>IFERROR(IF(Y406=0,"",ROUNDUP(Y406/H406,0)*0.006),"")</f>
        <v>5.3999999999999999E-2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35.284615384615378</v>
      </c>
      <c r="BN406" s="64">
        <f>IFERROR(Y406*I406/H406,"0")</f>
        <v>37.53</v>
      </c>
      <c r="BO406" s="64">
        <f>IFERROR(1/J406*(X406/H406),"0")</f>
        <v>5.876068376068376E-2</v>
      </c>
      <c r="BP406" s="64">
        <f>IFERROR(1/J406*(Y406/H406),"0")</f>
        <v>6.25E-2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16.794871794871796</v>
      </c>
      <c r="Y408" s="635">
        <f>IFERROR(Y405/H405,"0")+IFERROR(Y406/H406,"0")+IFERROR(Y407/H407,"0")</f>
        <v>18</v>
      </c>
      <c r="Z408" s="635">
        <f>IFERROR(IF(Z405="",0,Z405),"0")+IFERROR(IF(Z406="",0,Z406),"0")+IFERROR(IF(Z407="",0,Z407),"0")</f>
        <v>9.4500000000000001E-2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58</v>
      </c>
      <c r="Y409" s="635">
        <f>IFERROR(SUM(Y405:Y407),"0")</f>
        <v>62.1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18</v>
      </c>
      <c r="Y420" s="634">
        <f>IFERROR(IF(X420="",0,CEILING((X420/$H420),1)*$H420),"")</f>
        <v>18.900000000000002</v>
      </c>
      <c r="Z420" s="36">
        <f>IFERROR(IF(Y420=0,"",ROUNDUP(Y420/H420,0)*0.00651),"")</f>
        <v>5.8590000000000003E-2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20.057142857142853</v>
      </c>
      <c r="BN420" s="64">
        <f>IFERROR(Y420*I420/H420,"0")</f>
        <v>21.06</v>
      </c>
      <c r="BO420" s="64">
        <f>IFERROR(1/J420*(X420/H420),"0")</f>
        <v>4.709576138147567E-2</v>
      </c>
      <c r="BP420" s="64">
        <f>IFERROR(1/J420*(Y420/H420),"0")</f>
        <v>4.9450549450549455E-2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8.5714285714285712</v>
      </c>
      <c r="Y421" s="635">
        <f>IFERROR(Y418/H418,"0")+IFERROR(Y419/H419,"0")+IFERROR(Y420/H420,"0")</f>
        <v>9</v>
      </c>
      <c r="Z421" s="635">
        <f>IFERROR(IF(Z418="",0,Z418),"0")+IFERROR(IF(Z419="",0,Z419),"0")+IFERROR(IF(Z420="",0,Z420),"0")</f>
        <v>5.8590000000000003E-2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18</v>
      </c>
      <c r="Y422" s="635">
        <f>IFERROR(SUM(Y418:Y420),"0")</f>
        <v>18.900000000000002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413</v>
      </c>
      <c r="Y427" s="634">
        <f t="shared" si="53"/>
        <v>420</v>
      </c>
      <c r="Z427" s="36">
        <f>IFERROR(IF(Y427=0,"",ROUNDUP(Y427/H427,0)*0.02175),"")</f>
        <v>0.60899999999999999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425.94066666666669</v>
      </c>
      <c r="BN427" s="64">
        <f t="shared" si="55"/>
        <v>433.16</v>
      </c>
      <c r="BO427" s="64">
        <f t="shared" si="56"/>
        <v>0.57361111111111107</v>
      </c>
      <c r="BP427" s="64">
        <f t="shared" si="57"/>
        <v>0.58333333333333326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304</v>
      </c>
      <c r="Y428" s="634">
        <f t="shared" si="53"/>
        <v>315</v>
      </c>
      <c r="Z428" s="36">
        <f>IFERROR(IF(Y428=0,"",ROUNDUP(Y428/H428,0)*0.02175),"")</f>
        <v>0.45674999999999999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313.52533333333332</v>
      </c>
      <c r="BN428" s="64">
        <f t="shared" si="55"/>
        <v>324.87</v>
      </c>
      <c r="BO428" s="64">
        <f t="shared" si="56"/>
        <v>0.42222222222222217</v>
      </c>
      <c r="BP428" s="64">
        <f t="shared" si="57"/>
        <v>0.4375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836</v>
      </c>
      <c r="Y429" s="634">
        <f t="shared" si="53"/>
        <v>840</v>
      </c>
      <c r="Z429" s="36">
        <f>IFERROR(IF(Y429=0,"",ROUNDUP(Y429/H429,0)*0.02175),"")</f>
        <v>1.218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862.19466666666665</v>
      </c>
      <c r="BN429" s="64">
        <f t="shared" si="55"/>
        <v>866.32</v>
      </c>
      <c r="BO429" s="64">
        <f t="shared" si="56"/>
        <v>1.161111111111111</v>
      </c>
      <c r="BP429" s="64">
        <f t="shared" si="57"/>
        <v>1.1666666666666665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373</v>
      </c>
      <c r="Y430" s="634">
        <f t="shared" si="53"/>
        <v>375</v>
      </c>
      <c r="Z430" s="36">
        <f>IFERROR(IF(Y430=0,"",ROUNDUP(Y430/H430,0)*0.02175),"")</f>
        <v>0.54374999999999996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384.68733333333336</v>
      </c>
      <c r="BN430" s="64">
        <f t="shared" si="55"/>
        <v>386.75</v>
      </c>
      <c r="BO430" s="64">
        <f t="shared" si="56"/>
        <v>0.51805555555555549</v>
      </c>
      <c r="BP430" s="64">
        <f t="shared" si="57"/>
        <v>0.52083333333333326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128.4</v>
      </c>
      <c r="Y434" s="635">
        <f>IFERROR(Y426/H426,"0")+IFERROR(Y427/H427,"0")+IFERROR(Y428/H428,"0")+IFERROR(Y429/H429,"0")+IFERROR(Y430/H430,"0")+IFERROR(Y431/H431,"0")+IFERROR(Y432/H432,"0")+IFERROR(Y433/H433,"0")</f>
        <v>130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2.8274999999999997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1926</v>
      </c>
      <c r="Y435" s="635">
        <f>IFERROR(SUM(Y426:Y433),"0")</f>
        <v>1950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1090</v>
      </c>
      <c r="Y437" s="634">
        <f>IFERROR(IF(X437="",0,CEILING((X437/$H437),1)*$H437),"")</f>
        <v>1095</v>
      </c>
      <c r="Z437" s="36">
        <f>IFERROR(IF(Y437=0,"",ROUNDUP(Y437/H437,0)*0.02175),"")</f>
        <v>1.58775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1124.1533333333332</v>
      </c>
      <c r="BN437" s="64">
        <f>IFERROR(Y437*I437/H437,"0")</f>
        <v>1129.3100000000002</v>
      </c>
      <c r="BO437" s="64">
        <f>IFERROR(1/J437*(X437/H437),"0")</f>
        <v>1.5138888888888888</v>
      </c>
      <c r="BP437" s="64">
        <f>IFERROR(1/J437*(Y437/H437),"0")</f>
        <v>1.5208333333333333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72.666666666666671</v>
      </c>
      <c r="Y440" s="635">
        <f>IFERROR(Y437/H437,"0")+IFERROR(Y438/H438,"0")+IFERROR(Y439/H439,"0")</f>
        <v>73</v>
      </c>
      <c r="Z440" s="635">
        <f>IFERROR(IF(Z437="",0,Z437),"0")+IFERROR(IF(Z438="",0,Z438),"0")+IFERROR(IF(Z439="",0,Z439),"0")</f>
        <v>1.58775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1090</v>
      </c>
      <c r="Y441" s="635">
        <f>IFERROR(SUM(Y437:Y439),"0")</f>
        <v>1095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100</v>
      </c>
      <c r="Y450" s="634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105.48888888888888</v>
      </c>
      <c r="BN450" s="64">
        <f>IFERROR(Y450*I450/H450,"0")</f>
        <v>113.92799999999998</v>
      </c>
      <c r="BO450" s="64">
        <f>IFERROR(1/J450*(X450/H450),"0")</f>
        <v>0.1736111111111111</v>
      </c>
      <c r="BP450" s="64">
        <f>IFERROR(1/J450*(Y450/H450),"0")</f>
        <v>0.1875</v>
      </c>
    </row>
    <row r="451" spans="1:68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11.111111111111111</v>
      </c>
      <c r="Y451" s="635">
        <f>IFERROR(Y449/H449,"0")+IFERROR(Y450/H450,"0")</f>
        <v>12</v>
      </c>
      <c r="Z451" s="635">
        <f>IFERROR(IF(Z449="",0,Z449),"0")+IFERROR(IF(Z450="",0,Z450),"0")</f>
        <v>0.22776000000000002</v>
      </c>
      <c r="AA451" s="636"/>
      <c r="AB451" s="636"/>
      <c r="AC451" s="636"/>
    </row>
    <row r="452" spans="1:68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100</v>
      </c>
      <c r="Y452" s="635">
        <f>IFERROR(SUM(Y449:Y450),"0")</f>
        <v>108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574</v>
      </c>
      <c r="Y464" s="634">
        <f>IFERROR(IF(X464="",0,CEILING((X464/$H464),1)*$H464),"")</f>
        <v>576</v>
      </c>
      <c r="Z464" s="36">
        <f>IFERROR(IF(Y464=0,"",ROUNDUP(Y464/H464,0)*0.01898),"")</f>
        <v>1.21472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605.50622222222216</v>
      </c>
      <c r="BN464" s="64">
        <f>IFERROR(Y464*I464/H464,"0")</f>
        <v>607.61599999999999</v>
      </c>
      <c r="BO464" s="64">
        <f>IFERROR(1/J464*(X464/H464),"0")</f>
        <v>0.99652777777777779</v>
      </c>
      <c r="BP464" s="64">
        <f>IFERROR(1/J464*(Y464/H464),"0")</f>
        <v>1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12</v>
      </c>
      <c r="Y465" s="634">
        <f>IFERROR(IF(X465="",0,CEILING((X465/$H465),1)*$H465),"")</f>
        <v>12</v>
      </c>
      <c r="Z465" s="36">
        <f>IFERROR(IF(Y465=0,"",ROUNDUP(Y465/H465,0)*0.00651),"")</f>
        <v>3.2550000000000003E-2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13.320000000000002</v>
      </c>
      <c r="BN465" s="64">
        <f>IFERROR(Y465*I465/H465,"0")</f>
        <v>13.320000000000002</v>
      </c>
      <c r="BO465" s="64">
        <f>IFERROR(1/J465*(X465/H465),"0")</f>
        <v>2.7472527472527476E-2</v>
      </c>
      <c r="BP465" s="64">
        <f>IFERROR(1/J465*(Y465/H465),"0")</f>
        <v>2.7472527472527476E-2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68.777777777777771</v>
      </c>
      <c r="Y467" s="635">
        <f>IFERROR(Y464/H464,"0")+IFERROR(Y465/H465,"0")+IFERROR(Y466/H466,"0")</f>
        <v>69</v>
      </c>
      <c r="Z467" s="635">
        <f>IFERROR(IF(Z464="",0,Z464),"0")+IFERROR(IF(Z465="",0,Z465),"0")+IFERROR(IF(Z466="",0,Z466),"0")</f>
        <v>1.2472700000000001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586</v>
      </c>
      <c r="Y468" s="635">
        <f>IFERROR(SUM(Y464:Y466),"0")</f>
        <v>588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31</v>
      </c>
      <c r="Y499" s="634">
        <f t="shared" ref="Y499:Y507" si="63">IFERROR(IF(X499="",0,CEILING((X499/$H499),1)*$H499),"")</f>
        <v>31.68</v>
      </c>
      <c r="Z499" s="36">
        <f t="shared" ref="Z499:Z504" si="64">IFERROR(IF(Y499=0,"",ROUNDUP(Y499/H499,0)*0.01196),"")</f>
        <v>7.1760000000000004E-2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33.054924242424242</v>
      </c>
      <c r="BN499" s="64">
        <f t="shared" ref="BN499:BN507" si="66">IFERROR(Y499*I499/H499,"0")</f>
        <v>33.779999999999994</v>
      </c>
      <c r="BO499" s="64">
        <f t="shared" ref="BO499:BO507" si="67">IFERROR(1/J499*(X499/H499),"0")</f>
        <v>5.6453962703962704E-2</v>
      </c>
      <c r="BP499" s="64">
        <f t="shared" ref="BP499:BP507" si="68">IFERROR(1/J499*(Y499/H499),"0")</f>
        <v>5.7692307692307696E-2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63</v>
      </c>
      <c r="Y501" s="634">
        <f t="shared" si="63"/>
        <v>63.36</v>
      </c>
      <c r="Z501" s="36">
        <f t="shared" si="64"/>
        <v>0.14352000000000001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67.17613636363636</v>
      </c>
      <c r="BN501" s="64">
        <f t="shared" si="66"/>
        <v>67.559999999999988</v>
      </c>
      <c r="BO501" s="64">
        <f t="shared" si="67"/>
        <v>0.11472902097902099</v>
      </c>
      <c r="BP501" s="64">
        <f t="shared" si="68"/>
        <v>0.11538461538461539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377</v>
      </c>
      <c r="Y502" s="634">
        <f t="shared" si="63"/>
        <v>380.16</v>
      </c>
      <c r="Z502" s="36">
        <f t="shared" si="64"/>
        <v>0.86112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401.99053030303025</v>
      </c>
      <c r="BN502" s="64">
        <f t="shared" si="66"/>
        <v>405.35999999999996</v>
      </c>
      <c r="BO502" s="64">
        <f t="shared" si="67"/>
        <v>0.68655303030303028</v>
      </c>
      <c r="BP502" s="64">
        <f t="shared" si="68"/>
        <v>0.69230769230769229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303</v>
      </c>
      <c r="Y504" s="634">
        <f t="shared" si="63"/>
        <v>306.24</v>
      </c>
      <c r="Z504" s="36">
        <f t="shared" si="64"/>
        <v>0.69367999999999996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323.08522727272725</v>
      </c>
      <c r="BN504" s="64">
        <f t="shared" si="66"/>
        <v>326.53999999999996</v>
      </c>
      <c r="BO504" s="64">
        <f t="shared" si="67"/>
        <v>0.55179195804195802</v>
      </c>
      <c r="BP504" s="64">
        <f t="shared" si="68"/>
        <v>0.55769230769230771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66</v>
      </c>
      <c r="Y506" s="634">
        <f t="shared" si="63"/>
        <v>67.2</v>
      </c>
      <c r="Z506" s="36">
        <f>IFERROR(IF(Y506=0,"",ROUNDUP(Y506/H506,0)*0.00902),"")</f>
        <v>0.12628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95.012500000000003</v>
      </c>
      <c r="BN506" s="64">
        <f t="shared" si="66"/>
        <v>96.740000000000009</v>
      </c>
      <c r="BO506" s="64">
        <f t="shared" si="67"/>
        <v>0.10416666666666667</v>
      </c>
      <c r="BP506" s="64">
        <f t="shared" si="68"/>
        <v>0.10606060606060608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18</v>
      </c>
      <c r="Y507" s="634">
        <f t="shared" si="63"/>
        <v>19.2</v>
      </c>
      <c r="Z507" s="36">
        <f>IFERROR(IF(Y507=0,"",ROUNDUP(Y507/H507,0)*0.00902),"")</f>
        <v>3.6080000000000001E-2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25.912500000000001</v>
      </c>
      <c r="BN507" s="64">
        <f t="shared" si="66"/>
        <v>27.64</v>
      </c>
      <c r="BO507" s="64">
        <f t="shared" si="67"/>
        <v>2.8409090909090912E-2</v>
      </c>
      <c r="BP507" s="64">
        <f t="shared" si="68"/>
        <v>3.0303030303030304E-2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164.09090909090907</v>
      </c>
      <c r="Y508" s="635">
        <f>IFERROR(Y499/H499,"0")+IFERROR(Y500/H500,"0")+IFERROR(Y501/H501,"0")+IFERROR(Y502/H502,"0")+IFERROR(Y503/H503,"0")+IFERROR(Y504/H504,"0")+IFERROR(Y505/H505,"0")+IFERROR(Y506/H506,"0")+IFERROR(Y507/H507,"0")</f>
        <v>166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1.9324400000000002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858</v>
      </c>
      <c r="Y509" s="635">
        <f>IFERROR(SUM(Y499:Y507),"0")</f>
        <v>867.84000000000015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hidden="1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73</v>
      </c>
      <c r="Y513" s="634">
        <f>IFERROR(IF(X513="",0,CEILING((X513/$H513),1)*$H513),"")</f>
        <v>76.8</v>
      </c>
      <c r="Z513" s="36">
        <f>IFERROR(IF(Y513=0,"",ROUNDUP(Y513/H513,0)*0.00902),"")</f>
        <v>0.14432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105.08958333333334</v>
      </c>
      <c r="BN513" s="64">
        <f>IFERROR(Y513*I513/H513,"0")</f>
        <v>110.56</v>
      </c>
      <c r="BO513" s="64">
        <f>IFERROR(1/J513*(X513/H513),"0")</f>
        <v>0.11521464646464648</v>
      </c>
      <c r="BP513" s="64">
        <f>IFERROR(1/J513*(Y513/H513),"0")</f>
        <v>0.12121212121212122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15.208333333333334</v>
      </c>
      <c r="Y514" s="635">
        <f>IFERROR(Y511/H511,"0")+IFERROR(Y512/H512,"0")+IFERROR(Y513/H513,"0")</f>
        <v>16</v>
      </c>
      <c r="Z514" s="635">
        <f>IFERROR(IF(Z511="",0,Z511),"0")+IFERROR(IF(Z512="",0,Z512),"0")+IFERROR(IF(Z513="",0,Z513),"0")</f>
        <v>0.14432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73</v>
      </c>
      <c r="Y515" s="635">
        <f>IFERROR(SUM(Y511:Y513),"0")</f>
        <v>76.8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271</v>
      </c>
      <c r="Y517" s="634">
        <f t="shared" ref="Y517:Y523" si="69">IFERROR(IF(X517="",0,CEILING((X517/$H517),1)*$H517),"")</f>
        <v>274.56</v>
      </c>
      <c r="Z517" s="36">
        <f>IFERROR(IF(Y517=0,"",ROUNDUP(Y517/H517,0)*0.01196),"")</f>
        <v>0.62192000000000003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288.96401515151513</v>
      </c>
      <c r="BN517" s="64">
        <f t="shared" ref="BN517:BN523" si="71">IFERROR(Y517*I517/H517,"0")</f>
        <v>292.76</v>
      </c>
      <c r="BO517" s="64">
        <f t="shared" ref="BO517:BO523" si="72">IFERROR(1/J517*(X517/H517),"0")</f>
        <v>0.49351689976689972</v>
      </c>
      <c r="BP517" s="64">
        <f t="shared" ref="BP517:BP523" si="73">IFERROR(1/J517*(Y517/H517),"0")</f>
        <v>0.5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261</v>
      </c>
      <c r="Y518" s="634">
        <f t="shared" si="69"/>
        <v>264</v>
      </c>
      <c r="Z518" s="36">
        <f>IFERROR(IF(Y518=0,"",ROUNDUP(Y518/H518,0)*0.01196),"")</f>
        <v>0.59799999999999998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278.30113636363637</v>
      </c>
      <c r="BN518" s="64">
        <f t="shared" si="71"/>
        <v>281.5</v>
      </c>
      <c r="BO518" s="64">
        <f t="shared" si="72"/>
        <v>0.47530594405594406</v>
      </c>
      <c r="BP518" s="64">
        <f t="shared" si="73"/>
        <v>0.48076923076923078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448</v>
      </c>
      <c r="Y519" s="634">
        <f t="shared" si="69"/>
        <v>448.8</v>
      </c>
      <c r="Z519" s="36">
        <f>IFERROR(IF(Y519=0,"",ROUNDUP(Y519/H519,0)*0.01196),"")</f>
        <v>1.0165999999999999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477.69696969696963</v>
      </c>
      <c r="BN519" s="64">
        <f t="shared" si="71"/>
        <v>478.55</v>
      </c>
      <c r="BO519" s="64">
        <f t="shared" si="72"/>
        <v>0.81585081585081587</v>
      </c>
      <c r="BP519" s="64">
        <f t="shared" si="73"/>
        <v>0.8173076923076924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185.60606060606059</v>
      </c>
      <c r="Y524" s="635">
        <f>IFERROR(Y517/H517,"0")+IFERROR(Y518/H518,"0")+IFERROR(Y519/H519,"0")+IFERROR(Y520/H520,"0")+IFERROR(Y521/H521,"0")+IFERROR(Y522/H522,"0")+IFERROR(Y523/H523,"0")</f>
        <v>187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2.2365200000000001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980</v>
      </c>
      <c r="Y525" s="635">
        <f>IFERROR(SUM(Y517:Y523),"0")</f>
        <v>987.3599999999999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50</v>
      </c>
      <c r="Y541" s="634">
        <f>IFERROR(IF(X541="",0,CEILING((X541/$H541),1)*$H541),"")</f>
        <v>54</v>
      </c>
      <c r="Z541" s="36">
        <f>IFERROR(IF(Y541=0,"",ROUNDUP(Y541/H541,0)*0.01898),"")</f>
        <v>0.11388000000000001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52.74444444444444</v>
      </c>
      <c r="BN541" s="64">
        <f>IFERROR(Y541*I541/H541,"0")</f>
        <v>56.963999999999992</v>
      </c>
      <c r="BO541" s="64">
        <f>IFERROR(1/J541*(X541/H541),"0")</f>
        <v>8.6805555555555552E-2</v>
      </c>
      <c r="BP541" s="64">
        <f>IFERROR(1/J541*(Y541/H541),"0")</f>
        <v>9.375E-2</v>
      </c>
    </row>
    <row r="542" spans="1:68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5.5555555555555554</v>
      </c>
      <c r="Y542" s="635">
        <f>IFERROR(Y541/H541,"0")</f>
        <v>6</v>
      </c>
      <c r="Z542" s="635">
        <f>IFERROR(IF(Z541="",0,Z541),"0")</f>
        <v>0.11388000000000001</v>
      </c>
      <c r="AA542" s="636"/>
      <c r="AB542" s="636"/>
      <c r="AC542" s="636"/>
    </row>
    <row r="543" spans="1:68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50</v>
      </c>
      <c r="Y543" s="635">
        <f>IFERROR(SUM(Y541:Y541),"0")</f>
        <v>54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17609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17830.800000000003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18694.768867596449</v>
      </c>
      <c r="Y555" s="635">
        <f>IFERROR(SUM(BN22:BN551),"0")</f>
        <v>18932.748999999996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32</v>
      </c>
      <c r="Y556" s="38">
        <f>ROUNDUP(SUM(BP22:BP551),0)</f>
        <v>32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19494.768867596449</v>
      </c>
      <c r="Y557" s="635">
        <f>GrossWeightTotalR+PalletQtyTotalR*25</f>
        <v>19732.748999999996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3181.8112067922084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3223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37.411139999999996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99.000000000000014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365.90000000000003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1543.2</v>
      </c>
      <c r="F564" s="46">
        <f>IFERROR(Y84*1,"0")+IFERROR(Y85*1,"0")+IFERROR(Y86*1,"0")+IFERROR(Y87*1,"0")+IFERROR(Y91*1,"0")+IFERROR(Y92*1,"0")+IFERROR(Y93*1,"0")+IFERROR(Y94*1,"0")</f>
        <v>966.6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1275.6600000000001</v>
      </c>
      <c r="H564" s="46">
        <f>IFERROR(Y129*1,"0")+IFERROR(Y130*1,"0")+IFERROR(Y131*1,"0")+IFERROR(Y135*1,"0")+IFERROR(Y136*1,"0")+IFERROR(Y137*1,"0")+IFERROR(Y138*1,"0")+IFERROR(Y142*1,"0")+IFERROR(Y143*1,"0")+IFERROR(Y144*1,"0")</f>
        <v>22.08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980.72000000000014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328.94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3896.7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238.6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129.6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904.8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1333.1000000000001</v>
      </c>
      <c r="U564" s="46">
        <f>IFERROR(Y412*1,"0")+IFERROR(Y413*1,"0")</f>
        <v>0</v>
      </c>
      <c r="V564" s="46">
        <f>IFERROR(Y418*1,"0")+IFERROR(Y419*1,"0")+IFERROR(Y420*1,"0")</f>
        <v>18.900000000000002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3153</v>
      </c>
      <c r="X564" s="46">
        <f>IFERROR(Y455*1,"0")+IFERROR(Y456*1,"0")+IFERROR(Y460*1,"0")+IFERROR(Y464*1,"0")+IFERROR(Y465*1,"0")+IFERROR(Y466*1,"0")</f>
        <v>588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1932</v>
      </c>
      <c r="AB564" s="46">
        <f>IFERROR(Y529*1,"0")+IFERROR(Y533*1,"0")+IFERROR(Y537*1,"0")+IFERROR(Y541*1,"0")+IFERROR(Y545*1,"0")+IFERROR(Y546*1,"0")</f>
        <v>54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0,00"/>
        <filter val="1 114,00"/>
        <filter val="1 573,00"/>
        <filter val="1 926,00"/>
        <filter val="1,14"/>
        <filter val="1,52"/>
        <filter val="10,00"/>
        <filter val="100,00"/>
        <filter val="106,00"/>
        <filter val="106,17"/>
        <filter val="109,00"/>
        <filter val="11,11"/>
        <filter val="114,62"/>
        <filter val="12,00"/>
        <filter val="128,00"/>
        <filter val="128,40"/>
        <filter val="13,00"/>
        <filter val="134,00"/>
        <filter val="139,18"/>
        <filter val="148,00"/>
        <filter val="15,00"/>
        <filter val="15,21"/>
        <filter val="15,28"/>
        <filter val="158,00"/>
        <filter val="16,67"/>
        <filter val="16,79"/>
        <filter val="160,06"/>
        <filter val="164,09"/>
        <filter val="17 609,00"/>
        <filter val="18 694,77"/>
        <filter val="18,00"/>
        <filter val="185,61"/>
        <filter val="187,00"/>
        <filter val="19 494,77"/>
        <filter val="197,00"/>
        <filter val="2 229,00"/>
        <filter val="2,00"/>
        <filter val="2,22"/>
        <filter val="20,00"/>
        <filter val="200,00"/>
        <filter val="208,00"/>
        <filter val="21,00"/>
        <filter val="22,35"/>
        <filter val="221,00"/>
        <filter val="224,00"/>
        <filter val="24,62"/>
        <filter val="25,00"/>
        <filter val="253,00"/>
        <filter val="259,00"/>
        <filter val="261,00"/>
        <filter val="263,00"/>
        <filter val="270,00"/>
        <filter val="271,00"/>
        <filter val="278,00"/>
        <filter val="28,02"/>
        <filter val="28,33"/>
        <filter val="29,00"/>
        <filter val="295,00"/>
        <filter val="3 181,81"/>
        <filter val="3,00"/>
        <filter val="30,00"/>
        <filter val="300,00"/>
        <filter val="302,66"/>
        <filter val="303,00"/>
        <filter val="304,00"/>
        <filter val="31,00"/>
        <filter val="32"/>
        <filter val="33,00"/>
        <filter val="34,00"/>
        <filter val="343,00"/>
        <filter val="35,00"/>
        <filter val="355,00"/>
        <filter val="356,00"/>
        <filter val="357,96"/>
        <filter val="37,87"/>
        <filter val="373,00"/>
        <filter val="377,00"/>
        <filter val="386,00"/>
        <filter val="4,00"/>
        <filter val="408,00"/>
        <filter val="409,00"/>
        <filter val="413,00"/>
        <filter val="422,00"/>
        <filter val="43,83"/>
        <filter val="44,00"/>
        <filter val="448,00"/>
        <filter val="45,00"/>
        <filter val="45,64"/>
        <filter val="455,00"/>
        <filter val="467,00"/>
        <filter val="47,80"/>
        <filter val="48,00"/>
        <filter val="49,00"/>
        <filter val="5,00"/>
        <filter val="5,36"/>
        <filter val="5,56"/>
        <filter val="50,00"/>
        <filter val="510,00"/>
        <filter val="52,00"/>
        <filter val="528,00"/>
        <filter val="53,33"/>
        <filter val="53,89"/>
        <filter val="544,00"/>
        <filter val="56,00"/>
        <filter val="57,00"/>
        <filter val="574,00"/>
        <filter val="58,00"/>
        <filter val="586,00"/>
        <filter val="60,00"/>
        <filter val="601,00"/>
        <filter val="616,00"/>
        <filter val="63,00"/>
        <filter val="658,26"/>
        <filter val="66,00"/>
        <filter val="68,00"/>
        <filter val="68,78"/>
        <filter val="7,00"/>
        <filter val="7,94"/>
        <filter val="70,78"/>
        <filter val="717,00"/>
        <filter val="72,67"/>
        <filter val="73,00"/>
        <filter val="73,02"/>
        <filter val="75,00"/>
        <filter val="757,00"/>
        <filter val="76,97"/>
        <filter val="79,00"/>
        <filter val="8,00"/>
        <filter val="8,57"/>
        <filter val="80,00"/>
        <filter val="836,00"/>
        <filter val="84,00"/>
        <filter val="858,00"/>
        <filter val="869,00"/>
        <filter val="894,00"/>
        <filter val="90,00"/>
        <filter val="92,00"/>
        <filter val="95,00"/>
        <filter val="96,00"/>
        <filter val="97,00"/>
        <filter val="980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2026-08-19T15:09:53Z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