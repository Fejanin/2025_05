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322A31C-DA23-48E6-B955-8F70B544755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1" i="2" l="1"/>
  <c r="X550" i="2"/>
  <c r="BO549" i="2"/>
  <c r="BM549" i="2"/>
  <c r="Y549" i="2"/>
  <c r="AC562" i="2" s="1"/>
  <c r="P549" i="2"/>
  <c r="X546" i="2"/>
  <c r="X545" i="2"/>
  <c r="BO544" i="2"/>
  <c r="BM544" i="2"/>
  <c r="Y544" i="2"/>
  <c r="BP544" i="2" s="1"/>
  <c r="P544" i="2"/>
  <c r="BO543" i="2"/>
  <c r="BM543" i="2"/>
  <c r="Y543" i="2"/>
  <c r="Z543" i="2" s="1"/>
  <c r="P543" i="2"/>
  <c r="X541" i="2"/>
  <c r="X540" i="2"/>
  <c r="BO539" i="2"/>
  <c r="BM539" i="2"/>
  <c r="Y539" i="2"/>
  <c r="Y540" i="2" s="1"/>
  <c r="P539" i="2"/>
  <c r="X537" i="2"/>
  <c r="X536" i="2"/>
  <c r="BO535" i="2"/>
  <c r="BM535" i="2"/>
  <c r="Y535" i="2"/>
  <c r="Z535" i="2" s="1"/>
  <c r="Z536" i="2" s="1"/>
  <c r="P535" i="2"/>
  <c r="X533" i="2"/>
  <c r="X532" i="2"/>
  <c r="BO531" i="2"/>
  <c r="BM531" i="2"/>
  <c r="Y531" i="2"/>
  <c r="BP531" i="2" s="1"/>
  <c r="P531" i="2"/>
  <c r="X529" i="2"/>
  <c r="X528" i="2"/>
  <c r="BO527" i="2"/>
  <c r="BM527" i="2"/>
  <c r="Y527" i="2"/>
  <c r="Y528" i="2" s="1"/>
  <c r="P527" i="2"/>
  <c r="X523" i="2"/>
  <c r="X522" i="2"/>
  <c r="BO521" i="2"/>
  <c r="BM521" i="2"/>
  <c r="Y521" i="2"/>
  <c r="Z521" i="2" s="1"/>
  <c r="P521" i="2"/>
  <c r="BO520" i="2"/>
  <c r="BM520" i="2"/>
  <c r="Y520" i="2"/>
  <c r="P520" i="2"/>
  <c r="BO519" i="2"/>
  <c r="BM519" i="2"/>
  <c r="Y519" i="2"/>
  <c r="BN519" i="2" s="1"/>
  <c r="P519" i="2"/>
  <c r="BO518" i="2"/>
  <c r="BM518" i="2"/>
  <c r="Y518" i="2"/>
  <c r="BN518" i="2" s="1"/>
  <c r="P518" i="2"/>
  <c r="BO517" i="2"/>
  <c r="BM517" i="2"/>
  <c r="Y517" i="2"/>
  <c r="BP517" i="2" s="1"/>
  <c r="P517" i="2"/>
  <c r="BO516" i="2"/>
  <c r="BM516" i="2"/>
  <c r="Y516" i="2"/>
  <c r="BN516" i="2" s="1"/>
  <c r="P516" i="2"/>
  <c r="BO515" i="2"/>
  <c r="BM515" i="2"/>
  <c r="Y515" i="2"/>
  <c r="BP515" i="2" s="1"/>
  <c r="P515" i="2"/>
  <c r="X513" i="2"/>
  <c r="X512" i="2"/>
  <c r="BO511" i="2"/>
  <c r="BM511" i="2"/>
  <c r="Y511" i="2"/>
  <c r="Z511" i="2" s="1"/>
  <c r="P511" i="2"/>
  <c r="BO510" i="2"/>
  <c r="BM510" i="2"/>
  <c r="Y510" i="2"/>
  <c r="P510" i="2"/>
  <c r="BO509" i="2"/>
  <c r="BM509" i="2"/>
  <c r="Y509" i="2"/>
  <c r="BP509" i="2" s="1"/>
  <c r="P509" i="2"/>
  <c r="X507" i="2"/>
  <c r="X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BO499" i="2"/>
  <c r="BM499" i="2"/>
  <c r="Y499" i="2"/>
  <c r="Z499" i="2" s="1"/>
  <c r="P499" i="2"/>
  <c r="BO498" i="2"/>
  <c r="BM498" i="2"/>
  <c r="Y498" i="2"/>
  <c r="BN498" i="2" s="1"/>
  <c r="P498" i="2"/>
  <c r="BO497" i="2"/>
  <c r="BM497" i="2"/>
  <c r="Y497" i="2"/>
  <c r="BP497" i="2" s="1"/>
  <c r="P497" i="2"/>
  <c r="X493" i="2"/>
  <c r="X492" i="2"/>
  <c r="BO491" i="2"/>
  <c r="BM491" i="2"/>
  <c r="Y491" i="2"/>
  <c r="BP491" i="2" s="1"/>
  <c r="P491" i="2"/>
  <c r="BO490" i="2"/>
  <c r="BM490" i="2"/>
  <c r="Y490" i="2"/>
  <c r="Z490" i="2" s="1"/>
  <c r="P490" i="2"/>
  <c r="BP489" i="2"/>
  <c r="BO489" i="2"/>
  <c r="BN489" i="2"/>
  <c r="BM489" i="2"/>
  <c r="Y489" i="2"/>
  <c r="Z489" i="2" s="1"/>
  <c r="P489" i="2"/>
  <c r="X487" i="2"/>
  <c r="X486" i="2"/>
  <c r="BO485" i="2"/>
  <c r="BM485" i="2"/>
  <c r="Y485" i="2"/>
  <c r="P485" i="2"/>
  <c r="X482" i="2"/>
  <c r="X481" i="2"/>
  <c r="BO480" i="2"/>
  <c r="BM480" i="2"/>
  <c r="Y480" i="2"/>
  <c r="P480" i="2"/>
  <c r="BO479" i="2"/>
  <c r="BM479" i="2"/>
  <c r="Y479" i="2"/>
  <c r="Y482" i="2" s="1"/>
  <c r="P479" i="2"/>
  <c r="X477" i="2"/>
  <c r="X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BN473" i="2" s="1"/>
  <c r="P473" i="2"/>
  <c r="BO472" i="2"/>
  <c r="BM472" i="2"/>
  <c r="Y472" i="2"/>
  <c r="BP472" i="2" s="1"/>
  <c r="P472" i="2"/>
  <c r="BO471" i="2"/>
  <c r="BM471" i="2"/>
  <c r="Y471" i="2"/>
  <c r="BN471" i="2" s="1"/>
  <c r="P471" i="2"/>
  <c r="BO470" i="2"/>
  <c r="BM470" i="2"/>
  <c r="Y470" i="2"/>
  <c r="P470" i="2"/>
  <c r="X466" i="2"/>
  <c r="X465" i="2"/>
  <c r="BO464" i="2"/>
  <c r="BM464" i="2"/>
  <c r="Y464" i="2"/>
  <c r="Z464" i="2" s="1"/>
  <c r="P464" i="2"/>
  <c r="BO463" i="2"/>
  <c r="BM463" i="2"/>
  <c r="Y463" i="2"/>
  <c r="Z463" i="2" s="1"/>
  <c r="P463" i="2"/>
  <c r="BO462" i="2"/>
  <c r="BM462" i="2"/>
  <c r="Y462" i="2"/>
  <c r="P462" i="2"/>
  <c r="X460" i="2"/>
  <c r="X459" i="2"/>
  <c r="BO458" i="2"/>
  <c r="BM458" i="2"/>
  <c r="Y458" i="2"/>
  <c r="Y460" i="2" s="1"/>
  <c r="P458" i="2"/>
  <c r="X456" i="2"/>
  <c r="X455" i="2"/>
  <c r="BO454" i="2"/>
  <c r="BM454" i="2"/>
  <c r="Y454" i="2"/>
  <c r="Z454" i="2" s="1"/>
  <c r="P454" i="2"/>
  <c r="BO453" i="2"/>
  <c r="BM453" i="2"/>
  <c r="Y453" i="2"/>
  <c r="P453" i="2"/>
  <c r="X450" i="2"/>
  <c r="X449" i="2"/>
  <c r="BO448" i="2"/>
  <c r="BM448" i="2"/>
  <c r="Y448" i="2"/>
  <c r="BN448" i="2" s="1"/>
  <c r="P448" i="2"/>
  <c r="BO447" i="2"/>
  <c r="BM447" i="2"/>
  <c r="Y447" i="2"/>
  <c r="Z447" i="2" s="1"/>
  <c r="P447" i="2"/>
  <c r="X445" i="2"/>
  <c r="X444" i="2"/>
  <c r="BO443" i="2"/>
  <c r="BM443" i="2"/>
  <c r="Y443" i="2"/>
  <c r="BP443" i="2" s="1"/>
  <c r="P443" i="2"/>
  <c r="BO442" i="2"/>
  <c r="BN442" i="2"/>
  <c r="BM442" i="2"/>
  <c r="Y442" i="2"/>
  <c r="Z442" i="2" s="1"/>
  <c r="P442" i="2"/>
  <c r="BO441" i="2"/>
  <c r="BM441" i="2"/>
  <c r="Y441" i="2"/>
  <c r="Z441" i="2" s="1"/>
  <c r="P441" i="2"/>
  <c r="X439" i="2"/>
  <c r="X438" i="2"/>
  <c r="BO437" i="2"/>
  <c r="BM437" i="2"/>
  <c r="Y437" i="2"/>
  <c r="Z437" i="2" s="1"/>
  <c r="P437" i="2"/>
  <c r="BO436" i="2"/>
  <c r="BM436" i="2"/>
  <c r="Y436" i="2"/>
  <c r="Z436" i="2" s="1"/>
  <c r="P436" i="2"/>
  <c r="BO435" i="2"/>
  <c r="BM435" i="2"/>
  <c r="Y435" i="2"/>
  <c r="P435" i="2"/>
  <c r="X433" i="2"/>
  <c r="X432" i="2"/>
  <c r="BO431" i="2"/>
  <c r="BM431" i="2"/>
  <c r="Y431" i="2"/>
  <c r="BN431" i="2" s="1"/>
  <c r="P431" i="2"/>
  <c r="BO430" i="2"/>
  <c r="BN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Z427" i="2" s="1"/>
  <c r="P427" i="2"/>
  <c r="BP426" i="2"/>
  <c r="BO426" i="2"/>
  <c r="BN426" i="2"/>
  <c r="BM426" i="2"/>
  <c r="Y426" i="2"/>
  <c r="Z426" i="2" s="1"/>
  <c r="P426" i="2"/>
  <c r="BO425" i="2"/>
  <c r="BM425" i="2"/>
  <c r="Y425" i="2"/>
  <c r="Z425" i="2" s="1"/>
  <c r="P425" i="2"/>
  <c r="BO424" i="2"/>
  <c r="BM424" i="2"/>
  <c r="Y424" i="2"/>
  <c r="P424" i="2"/>
  <c r="X420" i="2"/>
  <c r="X419" i="2"/>
  <c r="BO418" i="2"/>
  <c r="BM418" i="2"/>
  <c r="Y418" i="2"/>
  <c r="BP418" i="2" s="1"/>
  <c r="P418" i="2"/>
  <c r="BO417" i="2"/>
  <c r="BM417" i="2"/>
  <c r="Y417" i="2"/>
  <c r="Z417" i="2" s="1"/>
  <c r="P417" i="2"/>
  <c r="BO416" i="2"/>
  <c r="BM416" i="2"/>
  <c r="Y416" i="2"/>
  <c r="Z416" i="2" s="1"/>
  <c r="P416" i="2"/>
  <c r="X413" i="2"/>
  <c r="X412" i="2"/>
  <c r="BO411" i="2"/>
  <c r="BM411" i="2"/>
  <c r="Y411" i="2"/>
  <c r="BP411" i="2" s="1"/>
  <c r="P411" i="2"/>
  <c r="BO410" i="2"/>
  <c r="BM410" i="2"/>
  <c r="Y410" i="2"/>
  <c r="P410" i="2"/>
  <c r="X407" i="2"/>
  <c r="X406" i="2"/>
  <c r="BP405" i="2"/>
  <c r="BO405" i="2"/>
  <c r="BM405" i="2"/>
  <c r="Y405" i="2"/>
  <c r="Z405" i="2" s="1"/>
  <c r="P405" i="2"/>
  <c r="BO404" i="2"/>
  <c r="BM404" i="2"/>
  <c r="Y404" i="2"/>
  <c r="Z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Z391" i="2" s="1"/>
  <c r="P391" i="2"/>
  <c r="BO390" i="2"/>
  <c r="BN390" i="2"/>
  <c r="BM390" i="2"/>
  <c r="Y390" i="2"/>
  <c r="Z390" i="2" s="1"/>
  <c r="P390" i="2"/>
  <c r="X388" i="2"/>
  <c r="X387" i="2"/>
  <c r="BO386" i="2"/>
  <c r="BM386" i="2"/>
  <c r="Y386" i="2"/>
  <c r="BN386" i="2" s="1"/>
  <c r="P386" i="2"/>
  <c r="BO385" i="2"/>
  <c r="BM385" i="2"/>
  <c r="Y385" i="2"/>
  <c r="BN385" i="2" s="1"/>
  <c r="P385" i="2"/>
  <c r="BO384" i="2"/>
  <c r="BM384" i="2"/>
  <c r="Y384" i="2"/>
  <c r="Z384" i="2" s="1"/>
  <c r="P384" i="2"/>
  <c r="X382" i="2"/>
  <c r="X381" i="2"/>
  <c r="BO380" i="2"/>
  <c r="BM380" i="2"/>
  <c r="Y380" i="2"/>
  <c r="BN380" i="2" s="1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Y381" i="2" s="1"/>
  <c r="P377" i="2"/>
  <c r="X375" i="2"/>
  <c r="X374" i="2"/>
  <c r="BO373" i="2"/>
  <c r="BN373" i="2"/>
  <c r="BM373" i="2"/>
  <c r="Y373" i="2"/>
  <c r="Z373" i="2" s="1"/>
  <c r="P373" i="2"/>
  <c r="BO372" i="2"/>
  <c r="BM372" i="2"/>
  <c r="Y372" i="2"/>
  <c r="Z372" i="2" s="1"/>
  <c r="P372" i="2"/>
  <c r="BO371" i="2"/>
  <c r="BM371" i="2"/>
  <c r="Y371" i="2"/>
  <c r="BN371" i="2" s="1"/>
  <c r="P371" i="2"/>
  <c r="BO370" i="2"/>
  <c r="BM370" i="2"/>
  <c r="Y370" i="2"/>
  <c r="BN370" i="2" s="1"/>
  <c r="P370" i="2"/>
  <c r="BP369" i="2"/>
  <c r="BO369" i="2"/>
  <c r="BM369" i="2"/>
  <c r="Y369" i="2"/>
  <c r="BN369" i="2" s="1"/>
  <c r="P369" i="2"/>
  <c r="BO368" i="2"/>
  <c r="BM368" i="2"/>
  <c r="Y368" i="2"/>
  <c r="BP368" i="2" s="1"/>
  <c r="P368" i="2"/>
  <c r="BO367" i="2"/>
  <c r="BM367" i="2"/>
  <c r="Y367" i="2"/>
  <c r="P367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BN360" i="2" s="1"/>
  <c r="P360" i="2"/>
  <c r="BO359" i="2"/>
  <c r="BN359" i="2"/>
  <c r="BM359" i="2"/>
  <c r="Y359" i="2"/>
  <c r="Z359" i="2" s="1"/>
  <c r="P359" i="2"/>
  <c r="X356" i="2"/>
  <c r="X355" i="2"/>
  <c r="BO354" i="2"/>
  <c r="BN354" i="2"/>
  <c r="BM354" i="2"/>
  <c r="Y354" i="2"/>
  <c r="Z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Y346" i="2"/>
  <c r="Z346" i="2" s="1"/>
  <c r="P346" i="2"/>
  <c r="X344" i="2"/>
  <c r="X343" i="2"/>
  <c r="BO342" i="2"/>
  <c r="BM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P339" i="2" s="1"/>
  <c r="P339" i="2"/>
  <c r="BO338" i="2"/>
  <c r="BM338" i="2"/>
  <c r="Y338" i="2"/>
  <c r="BP338" i="2" s="1"/>
  <c r="P338" i="2"/>
  <c r="X335" i="2"/>
  <c r="X334" i="2"/>
  <c r="BO333" i="2"/>
  <c r="BM333" i="2"/>
  <c r="Y333" i="2"/>
  <c r="Z333" i="2" s="1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Y326" i="2"/>
  <c r="Z326" i="2" s="1"/>
  <c r="P326" i="2"/>
  <c r="BO325" i="2"/>
  <c r="BM325" i="2"/>
  <c r="Y325" i="2"/>
  <c r="P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Z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Z311" i="2" s="1"/>
  <c r="Z312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Z303" i="2" s="1"/>
  <c r="P303" i="2"/>
  <c r="BO302" i="2"/>
  <c r="BM302" i="2"/>
  <c r="Y302" i="2"/>
  <c r="BN302" i="2" s="1"/>
  <c r="P302" i="2"/>
  <c r="BO301" i="2"/>
  <c r="BM301" i="2"/>
  <c r="Y301" i="2"/>
  <c r="BN301" i="2" s="1"/>
  <c r="P301" i="2"/>
  <c r="BP300" i="2"/>
  <c r="BO300" i="2"/>
  <c r="BN300" i="2"/>
  <c r="BM300" i="2"/>
  <c r="Y300" i="2"/>
  <c r="Z300" i="2" s="1"/>
  <c r="P300" i="2"/>
  <c r="BO299" i="2"/>
  <c r="BM299" i="2"/>
  <c r="Y299" i="2"/>
  <c r="BP299" i="2" s="1"/>
  <c r="P299" i="2"/>
  <c r="BO298" i="2"/>
  <c r="BM298" i="2"/>
  <c r="Y298" i="2"/>
  <c r="P298" i="2"/>
  <c r="BO297" i="2"/>
  <c r="BM297" i="2"/>
  <c r="Y297" i="2"/>
  <c r="BP297" i="2" s="1"/>
  <c r="P297" i="2"/>
  <c r="X294" i="2"/>
  <c r="X293" i="2"/>
  <c r="BO292" i="2"/>
  <c r="BM292" i="2"/>
  <c r="Y292" i="2"/>
  <c r="Z292" i="2" s="1"/>
  <c r="P292" i="2"/>
  <c r="BO291" i="2"/>
  <c r="BM291" i="2"/>
  <c r="Y291" i="2"/>
  <c r="BN291" i="2" s="1"/>
  <c r="P291" i="2"/>
  <c r="X289" i="2"/>
  <c r="X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Z284" i="2" s="1"/>
  <c r="P284" i="2"/>
  <c r="BO283" i="2"/>
  <c r="BM283" i="2"/>
  <c r="Y283" i="2"/>
  <c r="Z283" i="2" s="1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N276" i="2" s="1"/>
  <c r="P276" i="2"/>
  <c r="X274" i="2"/>
  <c r="X273" i="2"/>
  <c r="BO272" i="2"/>
  <c r="BM272" i="2"/>
  <c r="Y272" i="2"/>
  <c r="P272" i="2"/>
  <c r="BO271" i="2"/>
  <c r="BN271" i="2"/>
  <c r="BM271" i="2"/>
  <c r="Y271" i="2"/>
  <c r="Z271" i="2" s="1"/>
  <c r="P271" i="2"/>
  <c r="BO270" i="2"/>
  <c r="BM270" i="2"/>
  <c r="Y270" i="2"/>
  <c r="BN270" i="2" s="1"/>
  <c r="P270" i="2"/>
  <c r="BO269" i="2"/>
  <c r="BN269" i="2"/>
  <c r="BM269" i="2"/>
  <c r="Y269" i="2"/>
  <c r="Z269" i="2" s="1"/>
  <c r="P269" i="2"/>
  <c r="BO268" i="2"/>
  <c r="BM268" i="2"/>
  <c r="Z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Z266" i="2" s="1"/>
  <c r="P266" i="2"/>
  <c r="BO265" i="2"/>
  <c r="BM265" i="2"/>
  <c r="Y265" i="2"/>
  <c r="BP265" i="2" s="1"/>
  <c r="P265" i="2"/>
  <c r="X263" i="2"/>
  <c r="X262" i="2"/>
  <c r="BO261" i="2"/>
  <c r="BM261" i="2"/>
  <c r="Y261" i="2"/>
  <c r="P261" i="2"/>
  <c r="BO260" i="2"/>
  <c r="BM260" i="2"/>
  <c r="Y260" i="2"/>
  <c r="BN260" i="2" s="1"/>
  <c r="P260" i="2"/>
  <c r="X258" i="2"/>
  <c r="Y257" i="2"/>
  <c r="X257" i="2"/>
  <c r="BO256" i="2"/>
  <c r="BM256" i="2"/>
  <c r="Y256" i="2"/>
  <c r="P256" i="2"/>
  <c r="BO255" i="2"/>
  <c r="BM255" i="2"/>
  <c r="Y255" i="2"/>
  <c r="Z255" i="2" s="1"/>
  <c r="P255" i="2"/>
  <c r="X252" i="2"/>
  <c r="X251" i="2"/>
  <c r="BO250" i="2"/>
  <c r="BM250" i="2"/>
  <c r="Y250" i="2"/>
  <c r="Y252" i="2" s="1"/>
  <c r="P250" i="2"/>
  <c r="X248" i="2"/>
  <c r="X247" i="2"/>
  <c r="BP246" i="2"/>
  <c r="BO246" i="2"/>
  <c r="BN246" i="2"/>
  <c r="BM246" i="2"/>
  <c r="Z246" i="2"/>
  <c r="Y246" i="2"/>
  <c r="P246" i="2"/>
  <c r="BO245" i="2"/>
  <c r="BM245" i="2"/>
  <c r="Y245" i="2"/>
  <c r="Z245" i="2" s="1"/>
  <c r="P245" i="2"/>
  <c r="BO244" i="2"/>
  <c r="BM244" i="2"/>
  <c r="Y244" i="2"/>
  <c r="BP244" i="2" s="1"/>
  <c r="P244" i="2"/>
  <c r="X242" i="2"/>
  <c r="X241" i="2"/>
  <c r="BO240" i="2"/>
  <c r="BM240" i="2"/>
  <c r="Y240" i="2"/>
  <c r="Z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N237" i="2" s="1"/>
  <c r="P237" i="2"/>
  <c r="BO236" i="2"/>
  <c r="BM236" i="2"/>
  <c r="Y236" i="2"/>
  <c r="BN236" i="2" s="1"/>
  <c r="P236" i="2"/>
  <c r="X234" i="2"/>
  <c r="X233" i="2"/>
  <c r="BO232" i="2"/>
  <c r="BN232" i="2"/>
  <c r="BM232" i="2"/>
  <c r="Y232" i="2"/>
  <c r="Z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P224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X217" i="2"/>
  <c r="X216" i="2"/>
  <c r="BO215" i="2"/>
  <c r="BM215" i="2"/>
  <c r="Y215" i="2"/>
  <c r="Y217" i="2" s="1"/>
  <c r="P215" i="2"/>
  <c r="X212" i="2"/>
  <c r="X211" i="2"/>
  <c r="BO210" i="2"/>
  <c r="BM210" i="2"/>
  <c r="Y210" i="2"/>
  <c r="Z210" i="2" s="1"/>
  <c r="P210" i="2"/>
  <c r="BO209" i="2"/>
  <c r="BM209" i="2"/>
  <c r="Y209" i="2"/>
  <c r="Z209" i="2" s="1"/>
  <c r="P209" i="2"/>
  <c r="BO208" i="2"/>
  <c r="BM208" i="2"/>
  <c r="Y208" i="2"/>
  <c r="Z208" i="2" s="1"/>
  <c r="P208" i="2"/>
  <c r="BO207" i="2"/>
  <c r="BM207" i="2"/>
  <c r="Y207" i="2"/>
  <c r="BN207" i="2" s="1"/>
  <c r="P207" i="2"/>
  <c r="BO206" i="2"/>
  <c r="BM206" i="2"/>
  <c r="Y206" i="2"/>
  <c r="Z206" i="2" s="1"/>
  <c r="P206" i="2"/>
  <c r="BO205" i="2"/>
  <c r="BM205" i="2"/>
  <c r="Y205" i="2"/>
  <c r="BP205" i="2" s="1"/>
  <c r="P205" i="2"/>
  <c r="BO204" i="2"/>
  <c r="BM204" i="2"/>
  <c r="Y204" i="2"/>
  <c r="BP204" i="2" s="1"/>
  <c r="P204" i="2"/>
  <c r="X200" i="2"/>
  <c r="X199" i="2"/>
  <c r="BO198" i="2"/>
  <c r="BM198" i="2"/>
  <c r="Y198" i="2"/>
  <c r="BN198" i="2" s="1"/>
  <c r="P198" i="2"/>
  <c r="X196" i="2"/>
  <c r="X195" i="2"/>
  <c r="BO194" i="2"/>
  <c r="BM194" i="2"/>
  <c r="Y194" i="2"/>
  <c r="BP194" i="2" s="1"/>
  <c r="P194" i="2"/>
  <c r="X192" i="2"/>
  <c r="X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Z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P182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Z174" i="2"/>
  <c r="Y174" i="2"/>
  <c r="P174" i="2"/>
  <c r="X172" i="2"/>
  <c r="X171" i="2"/>
  <c r="BO170" i="2"/>
  <c r="BM170" i="2"/>
  <c r="Y170" i="2"/>
  <c r="BP170" i="2" s="1"/>
  <c r="P170" i="2"/>
  <c r="BO169" i="2"/>
  <c r="BM169" i="2"/>
  <c r="Y169" i="2"/>
  <c r="BP169" i="2" s="1"/>
  <c r="P169" i="2"/>
  <c r="X167" i="2"/>
  <c r="X166" i="2"/>
  <c r="BO165" i="2"/>
  <c r="BM165" i="2"/>
  <c r="Y165" i="2"/>
  <c r="P165" i="2"/>
  <c r="BO164" i="2"/>
  <c r="BM164" i="2"/>
  <c r="Y164" i="2"/>
  <c r="P164" i="2"/>
  <c r="BO163" i="2"/>
  <c r="BM163" i="2"/>
  <c r="Y163" i="2"/>
  <c r="Z163" i="2" s="1"/>
  <c r="P163" i="2"/>
  <c r="X160" i="2"/>
  <c r="X159" i="2"/>
  <c r="BO158" i="2"/>
  <c r="BM158" i="2"/>
  <c r="Y158" i="2"/>
  <c r="P158" i="2"/>
  <c r="X156" i="2"/>
  <c r="X155" i="2"/>
  <c r="BO154" i="2"/>
  <c r="BM154" i="2"/>
  <c r="Z154" i="2"/>
  <c r="Y154" i="2"/>
  <c r="BN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Z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Z149" i="2" s="1"/>
  <c r="P149" i="2"/>
  <c r="BO148" i="2"/>
  <c r="BM148" i="2"/>
  <c r="Y148" i="2"/>
  <c r="P148" i="2"/>
  <c r="X145" i="2"/>
  <c r="X144" i="2"/>
  <c r="BO143" i="2"/>
  <c r="BM143" i="2"/>
  <c r="Y143" i="2"/>
  <c r="BP143" i="2" s="1"/>
  <c r="P143" i="2"/>
  <c r="BO142" i="2"/>
  <c r="BM142" i="2"/>
  <c r="Y142" i="2"/>
  <c r="BP142" i="2" s="1"/>
  <c r="P142" i="2"/>
  <c r="BO141" i="2"/>
  <c r="BM141" i="2"/>
  <c r="Y141" i="2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Y129" i="2"/>
  <c r="Z129" i="2" s="1"/>
  <c r="P129" i="2"/>
  <c r="BP128" i="2"/>
  <c r="BO128" i="2"/>
  <c r="BM128" i="2"/>
  <c r="Y128" i="2"/>
  <c r="BN128" i="2" s="1"/>
  <c r="P128" i="2"/>
  <c r="X125" i="2"/>
  <c r="Y124" i="2"/>
  <c r="X124" i="2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X114" i="2"/>
  <c r="X113" i="2"/>
  <c r="BO112" i="2"/>
  <c r="BM112" i="2"/>
  <c r="Y112" i="2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N109" i="2"/>
  <c r="BM109" i="2"/>
  <c r="Z109" i="2"/>
  <c r="Y109" i="2"/>
  <c r="BP109" i="2" s="1"/>
  <c r="P109" i="2"/>
  <c r="BO108" i="2"/>
  <c r="BN108" i="2"/>
  <c r="BM108" i="2"/>
  <c r="Y108" i="2"/>
  <c r="P108" i="2"/>
  <c r="X106" i="2"/>
  <c r="X105" i="2"/>
  <c r="BO104" i="2"/>
  <c r="BM104" i="2"/>
  <c r="Y104" i="2"/>
  <c r="Z104" i="2" s="1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BN101" i="2" s="1"/>
  <c r="P101" i="2"/>
  <c r="BO100" i="2"/>
  <c r="BM100" i="2"/>
  <c r="Y100" i="2"/>
  <c r="BN100" i="2" s="1"/>
  <c r="P100" i="2"/>
  <c r="BO99" i="2"/>
  <c r="BM99" i="2"/>
  <c r="Y99" i="2"/>
  <c r="BP99" i="2" s="1"/>
  <c r="P99" i="2"/>
  <c r="BO98" i="2"/>
  <c r="BM98" i="2"/>
  <c r="Y98" i="2"/>
  <c r="BN98" i="2" s="1"/>
  <c r="P98" i="2"/>
  <c r="X95" i="2"/>
  <c r="X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BN91" i="2" s="1"/>
  <c r="P91" i="2"/>
  <c r="BO90" i="2"/>
  <c r="BM90" i="2"/>
  <c r="Y90" i="2"/>
  <c r="Z90" i="2" s="1"/>
  <c r="P90" i="2"/>
  <c r="X88" i="2"/>
  <c r="X87" i="2"/>
  <c r="BO86" i="2"/>
  <c r="BM86" i="2"/>
  <c r="Y86" i="2"/>
  <c r="BP86" i="2" s="1"/>
  <c r="P86" i="2"/>
  <c r="BP85" i="2"/>
  <c r="BO85" i="2"/>
  <c r="BM85" i="2"/>
  <c r="Z85" i="2"/>
  <c r="Y85" i="2"/>
  <c r="BN85" i="2" s="1"/>
  <c r="P85" i="2"/>
  <c r="BO84" i="2"/>
  <c r="BM84" i="2"/>
  <c r="Y84" i="2"/>
  <c r="Z84" i="2" s="1"/>
  <c r="P84" i="2"/>
  <c r="BO83" i="2"/>
  <c r="BM83" i="2"/>
  <c r="Y83" i="2"/>
  <c r="BP83" i="2" s="1"/>
  <c r="P83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X70" i="2"/>
  <c r="X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Z66" i="2" s="1"/>
  <c r="P66" i="2"/>
  <c r="BO65" i="2"/>
  <c r="BM65" i="2"/>
  <c r="Y65" i="2"/>
  <c r="P65" i="2"/>
  <c r="X63" i="2"/>
  <c r="X62" i="2"/>
  <c r="BO61" i="2"/>
  <c r="BM61" i="2"/>
  <c r="Y61" i="2"/>
  <c r="Z61" i="2" s="1"/>
  <c r="P61" i="2"/>
  <c r="BO60" i="2"/>
  <c r="BN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X53" i="2"/>
  <c r="X52" i="2"/>
  <c r="BP51" i="2"/>
  <c r="BO51" i="2"/>
  <c r="BM51" i="2"/>
  <c r="Z51" i="2"/>
  <c r="Y51" i="2"/>
  <c r="BN51" i="2" s="1"/>
  <c r="P51" i="2"/>
  <c r="BO50" i="2"/>
  <c r="BM50" i="2"/>
  <c r="Y50" i="2"/>
  <c r="Z50" i="2" s="1"/>
  <c r="P50" i="2"/>
  <c r="BP49" i="2"/>
  <c r="BO49" i="2"/>
  <c r="BN49" i="2"/>
  <c r="BM49" i="2"/>
  <c r="Y49" i="2"/>
  <c r="Z49" i="2" s="1"/>
  <c r="P49" i="2"/>
  <c r="BO48" i="2"/>
  <c r="BM48" i="2"/>
  <c r="Y48" i="2"/>
  <c r="P48" i="2"/>
  <c r="X44" i="2"/>
  <c r="X43" i="2"/>
  <c r="BO42" i="2"/>
  <c r="BM42" i="2"/>
  <c r="Y42" i="2"/>
  <c r="Z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Z38" i="2" s="1"/>
  <c r="P38" i="2"/>
  <c r="BO37" i="2"/>
  <c r="BN37" i="2"/>
  <c r="BM37" i="2"/>
  <c r="Y37" i="2"/>
  <c r="Z37" i="2" s="1"/>
  <c r="P37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Z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Z119" i="2" l="1"/>
  <c r="BN240" i="2"/>
  <c r="BN283" i="2"/>
  <c r="BN323" i="2"/>
  <c r="BP100" i="2"/>
  <c r="Y113" i="2"/>
  <c r="BP228" i="2"/>
  <c r="BP511" i="2"/>
  <c r="BP518" i="2"/>
  <c r="BP38" i="2"/>
  <c r="BP240" i="2"/>
  <c r="BN279" i="2"/>
  <c r="BP283" i="2"/>
  <c r="BP279" i="2"/>
  <c r="S562" i="2"/>
  <c r="BN316" i="2"/>
  <c r="BP359" i="2"/>
  <c r="BP30" i="2"/>
  <c r="BP385" i="2"/>
  <c r="Z100" i="2"/>
  <c r="Y80" i="2"/>
  <c r="BN210" i="2"/>
  <c r="Z379" i="2"/>
  <c r="Z194" i="2"/>
  <c r="Z195" i="2" s="1"/>
  <c r="Z226" i="2"/>
  <c r="BN285" i="2"/>
  <c r="BN353" i="2"/>
  <c r="Z368" i="2"/>
  <c r="Z142" i="2"/>
  <c r="BP154" i="2"/>
  <c r="BP353" i="2"/>
  <c r="BN368" i="2"/>
  <c r="BN142" i="2"/>
  <c r="BN549" i="2"/>
  <c r="BN311" i="2"/>
  <c r="BP502" i="2"/>
  <c r="Z517" i="2"/>
  <c r="Z369" i="2"/>
  <c r="BP50" i="2"/>
  <c r="Z83" i="2"/>
  <c r="Y263" i="2"/>
  <c r="BN378" i="2"/>
  <c r="BP473" i="2"/>
  <c r="Z116" i="2"/>
  <c r="Z238" i="2"/>
  <c r="Y312" i="2"/>
  <c r="BN153" i="2"/>
  <c r="BP177" i="2"/>
  <c r="Z392" i="2"/>
  <c r="Z458" i="2"/>
  <c r="Z459" i="2" s="1"/>
  <c r="BN238" i="2"/>
  <c r="BP116" i="2"/>
  <c r="Z291" i="2"/>
  <c r="BN418" i="2"/>
  <c r="BP474" i="2"/>
  <c r="BP90" i="2"/>
  <c r="BN38" i="2"/>
  <c r="BN59" i="2"/>
  <c r="BN99" i="2"/>
  <c r="BP227" i="2"/>
  <c r="BN245" i="2"/>
  <c r="BN255" i="2"/>
  <c r="Z299" i="2"/>
  <c r="BN379" i="2"/>
  <c r="BP431" i="2"/>
  <c r="BP427" i="2"/>
  <c r="BP501" i="2"/>
  <c r="D562" i="2"/>
  <c r="BP84" i="2"/>
  <c r="BN110" i="2"/>
  <c r="Z117" i="2"/>
  <c r="BP190" i="2"/>
  <c r="BN265" i="2"/>
  <c r="BP291" i="2"/>
  <c r="BP386" i="2"/>
  <c r="Z393" i="2"/>
  <c r="Z394" i="2" s="1"/>
  <c r="Z516" i="2"/>
  <c r="BN104" i="2"/>
  <c r="Y166" i="2"/>
  <c r="BP232" i="2"/>
  <c r="BP269" i="2"/>
  <c r="Y356" i="2"/>
  <c r="BP373" i="2"/>
  <c r="BN497" i="2"/>
  <c r="BN177" i="2"/>
  <c r="BP104" i="2"/>
  <c r="BN363" i="2"/>
  <c r="BP516" i="2"/>
  <c r="BN205" i="2"/>
  <c r="BN209" i="2"/>
  <c r="Z472" i="2"/>
  <c r="BN521" i="2"/>
  <c r="Z286" i="2"/>
  <c r="BP442" i="2"/>
  <c r="BN333" i="2"/>
  <c r="BN429" i="2"/>
  <c r="Z278" i="2"/>
  <c r="BP390" i="2"/>
  <c r="BN436" i="2"/>
  <c r="Y241" i="2"/>
  <c r="BP333" i="2"/>
  <c r="Y74" i="2"/>
  <c r="Y196" i="2"/>
  <c r="BP206" i="2"/>
  <c r="BN221" i="2"/>
  <c r="Z378" i="2"/>
  <c r="BP436" i="2"/>
  <c r="BN490" i="2"/>
  <c r="Y62" i="2"/>
  <c r="BN61" i="2"/>
  <c r="BP61" i="2"/>
  <c r="BP56" i="2"/>
  <c r="BN83" i="2"/>
  <c r="BN170" i="2"/>
  <c r="BN183" i="2"/>
  <c r="BP209" i="2"/>
  <c r="BP245" i="2"/>
  <c r="BN268" i="2"/>
  <c r="BP271" i="2"/>
  <c r="BN278" i="2"/>
  <c r="BP285" i="2"/>
  <c r="BN299" i="2"/>
  <c r="Y492" i="2"/>
  <c r="BN503" i="2"/>
  <c r="BP41" i="2"/>
  <c r="BP60" i="2"/>
  <c r="Z23" i="2"/>
  <c r="BN66" i="2"/>
  <c r="BN93" i="2"/>
  <c r="BN176" i="2"/>
  <c r="Z180" i="2"/>
  <c r="BN206" i="2"/>
  <c r="BP230" i="2"/>
  <c r="BP236" i="2"/>
  <c r="BP255" i="2"/>
  <c r="BP302" i="2"/>
  <c r="BP311" i="2"/>
  <c r="BN339" i="2"/>
  <c r="Y343" i="2"/>
  <c r="BP352" i="2"/>
  <c r="Z385" i="2"/>
  <c r="BP441" i="2"/>
  <c r="BN447" i="2"/>
  <c r="BN454" i="2"/>
  <c r="BP471" i="2"/>
  <c r="BP37" i="2"/>
  <c r="BN50" i="2"/>
  <c r="Z110" i="2"/>
  <c r="BP183" i="2"/>
  <c r="Z220" i="2"/>
  <c r="Z265" i="2"/>
  <c r="BP324" i="2"/>
  <c r="Z363" i="2"/>
  <c r="BN405" i="2"/>
  <c r="Y493" i="2"/>
  <c r="X554" i="2"/>
  <c r="BP66" i="2"/>
  <c r="BP93" i="2"/>
  <c r="BP447" i="2"/>
  <c r="BP454" i="2"/>
  <c r="Z137" i="2"/>
  <c r="Z143" i="2"/>
  <c r="Z165" i="2"/>
  <c r="Y172" i="2"/>
  <c r="BN30" i="2"/>
  <c r="Y212" i="2"/>
  <c r="Y327" i="2"/>
  <c r="Z340" i="2"/>
  <c r="Y455" i="2"/>
  <c r="Z497" i="2"/>
  <c r="BN511" i="2"/>
  <c r="BN517" i="2"/>
  <c r="BP521" i="2"/>
  <c r="Y43" i="2"/>
  <c r="Z79" i="2"/>
  <c r="BN84" i="2"/>
  <c r="BN137" i="2"/>
  <c r="BN143" i="2"/>
  <c r="BN165" i="2"/>
  <c r="Z181" i="2"/>
  <c r="Z204" i="2"/>
  <c r="BP231" i="2"/>
  <c r="BP237" i="2"/>
  <c r="Y313" i="2"/>
  <c r="Z322" i="2"/>
  <c r="BN346" i="2"/>
  <c r="BN464" i="2"/>
  <c r="BN472" i="2"/>
  <c r="BN535" i="2"/>
  <c r="Z544" i="2"/>
  <c r="Z545" i="2" s="1"/>
  <c r="Z27" i="2"/>
  <c r="BP165" i="2"/>
  <c r="BN181" i="2"/>
  <c r="BN204" i="2"/>
  <c r="Z225" i="2"/>
  <c r="BN322" i="2"/>
  <c r="BP346" i="2"/>
  <c r="BP448" i="2"/>
  <c r="BP464" i="2"/>
  <c r="BN501" i="2"/>
  <c r="Y523" i="2"/>
  <c r="BP535" i="2"/>
  <c r="Y242" i="2"/>
  <c r="Y305" i="2"/>
  <c r="Y365" i="2"/>
  <c r="BN27" i="2"/>
  <c r="Z91" i="2"/>
  <c r="Z152" i="2"/>
  <c r="Y186" i="2"/>
  <c r="BN225" i="2"/>
  <c r="BP322" i="2"/>
  <c r="Z341" i="2"/>
  <c r="BP360" i="2"/>
  <c r="Y449" i="2"/>
  <c r="Y536" i="2"/>
  <c r="Y69" i="2"/>
  <c r="BN443" i="2"/>
  <c r="Z65" i="2"/>
  <c r="Y145" i="2"/>
  <c r="Z175" i="2"/>
  <c r="Z222" i="2"/>
  <c r="BN341" i="2"/>
  <c r="BP370" i="2"/>
  <c r="BP380" i="2"/>
  <c r="Y450" i="2"/>
  <c r="Y477" i="2"/>
  <c r="Y537" i="2"/>
  <c r="Z40" i="2"/>
  <c r="Z99" i="2"/>
  <c r="BN118" i="2"/>
  <c r="Y195" i="2"/>
  <c r="Z205" i="2"/>
  <c r="BP260" i="2"/>
  <c r="BN284" i="2"/>
  <c r="Z316" i="2"/>
  <c r="Z323" i="2"/>
  <c r="BP354" i="2"/>
  <c r="Z411" i="2"/>
  <c r="BP490" i="2"/>
  <c r="BN65" i="2"/>
  <c r="BN141" i="2"/>
  <c r="BN175" i="2"/>
  <c r="BN182" i="2"/>
  <c r="BN222" i="2"/>
  <c r="BP270" i="2"/>
  <c r="BP280" i="2"/>
  <c r="BP301" i="2"/>
  <c r="Y328" i="2"/>
  <c r="Z338" i="2"/>
  <c r="BN427" i="2"/>
  <c r="Z431" i="2"/>
  <c r="Y444" i="2"/>
  <c r="BP498" i="2"/>
  <c r="BN502" i="2"/>
  <c r="Z509" i="2"/>
  <c r="E562" i="2"/>
  <c r="BP118" i="2"/>
  <c r="Z293" i="2"/>
  <c r="Y355" i="2"/>
  <c r="BN411" i="2"/>
  <c r="Y529" i="2"/>
  <c r="X553" i="2"/>
  <c r="Z56" i="2"/>
  <c r="BP65" i="2"/>
  <c r="Z72" i="2"/>
  <c r="Z103" i="2"/>
  <c r="Y445" i="2"/>
  <c r="BP549" i="2"/>
  <c r="Z32" i="2"/>
  <c r="BN22" i="2"/>
  <c r="Y114" i="2"/>
  <c r="Z219" i="2"/>
  <c r="BN226" i="2"/>
  <c r="Z230" i="2"/>
  <c r="Z236" i="2"/>
  <c r="Z302" i="2"/>
  <c r="Z352" i="2"/>
  <c r="Z355" i="2" s="1"/>
  <c r="BN397" i="2"/>
  <c r="Z471" i="2"/>
  <c r="BN491" i="2"/>
  <c r="Z136" i="2"/>
  <c r="Z176" i="2"/>
  <c r="Z339" i="2"/>
  <c r="BP342" i="2"/>
  <c r="BN352" i="2"/>
  <c r="Z428" i="2"/>
  <c r="BN441" i="2"/>
  <c r="Y541" i="2"/>
  <c r="Z120" i="2"/>
  <c r="Y233" i="2"/>
  <c r="Y406" i="2"/>
  <c r="BN403" i="2"/>
  <c r="Y407" i="2"/>
  <c r="W562" i="2"/>
  <c r="Y433" i="2"/>
  <c r="BP424" i="2"/>
  <c r="X562" i="2"/>
  <c r="BP453" i="2"/>
  <c r="Y456" i="2"/>
  <c r="AA562" i="2"/>
  <c r="BP500" i="2"/>
  <c r="BN500" i="2"/>
  <c r="Y512" i="2"/>
  <c r="BN509" i="2"/>
  <c r="Y546" i="2"/>
  <c r="Z403" i="2"/>
  <c r="Z406" i="2" s="1"/>
  <c r="Z424" i="2"/>
  <c r="Z453" i="2"/>
  <c r="Z455" i="2" s="1"/>
  <c r="BP158" i="2"/>
  <c r="BN158" i="2"/>
  <c r="BN189" i="2"/>
  <c r="Z189" i="2"/>
  <c r="Y70" i="2"/>
  <c r="Y75" i="2"/>
  <c r="BP130" i="2"/>
  <c r="BN130" i="2"/>
  <c r="Z150" i="2"/>
  <c r="Z158" i="2"/>
  <c r="Z159" i="2" s="1"/>
  <c r="BN277" i="2"/>
  <c r="Z277" i="2"/>
  <c r="BN40" i="2"/>
  <c r="Y44" i="2"/>
  <c r="Z59" i="2"/>
  <c r="F562" i="2"/>
  <c r="Z108" i="2"/>
  <c r="Y120" i="2"/>
  <c r="Z130" i="2"/>
  <c r="Z141" i="2"/>
  <c r="Z153" i="2"/>
  <c r="Z170" i="2"/>
  <c r="Z178" i="2"/>
  <c r="Z207" i="2"/>
  <c r="Z211" i="2" s="1"/>
  <c r="BN298" i="2"/>
  <c r="Z298" i="2"/>
  <c r="BP410" i="2"/>
  <c r="BN410" i="2"/>
  <c r="Z410" i="2"/>
  <c r="U562" i="2"/>
  <c r="Y412" i="2"/>
  <c r="BP475" i="2"/>
  <c r="BN475" i="2"/>
  <c r="Y144" i="2"/>
  <c r="BN150" i="2"/>
  <c r="BP184" i="2"/>
  <c r="BN184" i="2"/>
  <c r="BP189" i="2"/>
  <c r="Y234" i="2"/>
  <c r="BN317" i="2"/>
  <c r="T562" i="2"/>
  <c r="Y364" i="2"/>
  <c r="BN361" i="2"/>
  <c r="BN424" i="2"/>
  <c r="BN453" i="2"/>
  <c r="Z475" i="2"/>
  <c r="Y400" i="2"/>
  <c r="BP398" i="2"/>
  <c r="Z48" i="2"/>
  <c r="Z52" i="2" s="1"/>
  <c r="Z67" i="2"/>
  <c r="BN77" i="2"/>
  <c r="Z86" i="2"/>
  <c r="Z111" i="2"/>
  <c r="Y159" i="2"/>
  <c r="BP178" i="2"/>
  <c r="Z261" i="2"/>
  <c r="BP272" i="2"/>
  <c r="BN272" i="2"/>
  <c r="BN286" i="2"/>
  <c r="BP298" i="2"/>
  <c r="Y309" i="2"/>
  <c r="BN307" i="2"/>
  <c r="BP317" i="2"/>
  <c r="Z398" i="2"/>
  <c r="Z504" i="2"/>
  <c r="BN23" i="2"/>
  <c r="BN28" i="2"/>
  <c r="BN31" i="2"/>
  <c r="Z41" i="2"/>
  <c r="Y63" i="2"/>
  <c r="BN72" i="2"/>
  <c r="BN103" i="2"/>
  <c r="BP108" i="2"/>
  <c r="BN119" i="2"/>
  <c r="H562" i="2"/>
  <c r="BN136" i="2"/>
  <c r="BP141" i="2"/>
  <c r="Z190" i="2"/>
  <c r="BP207" i="2"/>
  <c r="BP210" i="2"/>
  <c r="Z228" i="2"/>
  <c r="BP239" i="2"/>
  <c r="BN239" i="2"/>
  <c r="Z272" i="2"/>
  <c r="BP292" i="2"/>
  <c r="BN292" i="2"/>
  <c r="Z307" i="2"/>
  <c r="Z308" i="2" s="1"/>
  <c r="BN340" i="2"/>
  <c r="BP367" i="2"/>
  <c r="BN367" i="2"/>
  <c r="Z367" i="2"/>
  <c r="Y374" i="2"/>
  <c r="BP404" i="2"/>
  <c r="BN404" i="2"/>
  <c r="BP425" i="2"/>
  <c r="BN425" i="2"/>
  <c r="Z562" i="2"/>
  <c r="Y487" i="2"/>
  <c r="Y486" i="2"/>
  <c r="Z485" i="2"/>
  <c r="Z486" i="2" s="1"/>
  <c r="BP510" i="2"/>
  <c r="BN510" i="2"/>
  <c r="Z510" i="2"/>
  <c r="Z519" i="2"/>
  <c r="BN543" i="2"/>
  <c r="Y388" i="2"/>
  <c r="BP384" i="2"/>
  <c r="Y387" i="2"/>
  <c r="V562" i="2"/>
  <c r="BP417" i="2"/>
  <c r="BN48" i="2"/>
  <c r="BP77" i="2"/>
  <c r="BN86" i="2"/>
  <c r="BP91" i="2"/>
  <c r="Y106" i="2"/>
  <c r="G562" i="2"/>
  <c r="Y105" i="2"/>
  <c r="I562" i="2"/>
  <c r="BP148" i="2"/>
  <c r="BN148" i="2"/>
  <c r="Y156" i="2"/>
  <c r="Y160" i="2"/>
  <c r="BN179" i="2"/>
  <c r="Z179" i="2"/>
  <c r="BP256" i="2"/>
  <c r="M562" i="2"/>
  <c r="BN261" i="2"/>
  <c r="BP315" i="2"/>
  <c r="Y318" i="2"/>
  <c r="BN315" i="2"/>
  <c r="Y334" i="2"/>
  <c r="BN331" i="2"/>
  <c r="Q562" i="2"/>
  <c r="Z348" i="2"/>
  <c r="BP361" i="2"/>
  <c r="BN384" i="2"/>
  <c r="BN398" i="2"/>
  <c r="BN417" i="2"/>
  <c r="Y465" i="2"/>
  <c r="BN462" i="2"/>
  <c r="Y466" i="2"/>
  <c r="BN504" i="2"/>
  <c r="Y248" i="2"/>
  <c r="Y247" i="2"/>
  <c r="BN244" i="2"/>
  <c r="Z244" i="2"/>
  <c r="Z247" i="2" s="1"/>
  <c r="Y273" i="2"/>
  <c r="BN266" i="2"/>
  <c r="X556" i="2"/>
  <c r="BP31" i="2"/>
  <c r="Z57" i="2"/>
  <c r="BP67" i="2"/>
  <c r="BP72" i="2"/>
  <c r="Z98" i="2"/>
  <c r="BP111" i="2"/>
  <c r="Y132" i="2"/>
  <c r="Z148" i="2"/>
  <c r="Y199" i="2"/>
  <c r="Z198" i="2"/>
  <c r="Z199" i="2" s="1"/>
  <c r="BP208" i="2"/>
  <c r="BN208" i="2"/>
  <c r="BN231" i="2"/>
  <c r="Z250" i="2"/>
  <c r="Z251" i="2" s="1"/>
  <c r="Z256" i="2"/>
  <c r="Z257" i="2" s="1"/>
  <c r="BP266" i="2"/>
  <c r="Z281" i="2"/>
  <c r="BP287" i="2"/>
  <c r="BN287" i="2"/>
  <c r="Z315" i="2"/>
  <c r="Z318" i="2" s="1"/>
  <c r="Y319" i="2"/>
  <c r="Z331" i="2"/>
  <c r="Y335" i="2"/>
  <c r="Z462" i="2"/>
  <c r="Z465" i="2" s="1"/>
  <c r="BN485" i="2"/>
  <c r="BP543" i="2"/>
  <c r="J562" i="2"/>
  <c r="BP261" i="2"/>
  <c r="BP307" i="2"/>
  <c r="BP362" i="2"/>
  <c r="BN362" i="2"/>
  <c r="BN393" i="2"/>
  <c r="BN437" i="2"/>
  <c r="Y476" i="2"/>
  <c r="BP470" i="2"/>
  <c r="Y562" i="2"/>
  <c r="BN470" i="2"/>
  <c r="Z470" i="2"/>
  <c r="BP519" i="2"/>
  <c r="BN250" i="2"/>
  <c r="BN256" i="2"/>
  <c r="BN267" i="2"/>
  <c r="Z267" i="2"/>
  <c r="BN281" i="2"/>
  <c r="Z362" i="2"/>
  <c r="BP399" i="2"/>
  <c r="BN399" i="2"/>
  <c r="Y432" i="2"/>
  <c r="Y481" i="2"/>
  <c r="BN479" i="2"/>
  <c r="BP485" i="2"/>
  <c r="BP505" i="2"/>
  <c r="BN505" i="2"/>
  <c r="Y216" i="2"/>
  <c r="L562" i="2"/>
  <c r="Y262" i="2"/>
  <c r="Y274" i="2"/>
  <c r="Y308" i="2"/>
  <c r="BN325" i="2"/>
  <c r="P562" i="2"/>
  <c r="BP331" i="2"/>
  <c r="Y375" i="2"/>
  <c r="Z399" i="2"/>
  <c r="Z418" i="2"/>
  <c r="Z419" i="2" s="1"/>
  <c r="Z429" i="2"/>
  <c r="BP437" i="2"/>
  <c r="BP462" i="2"/>
  <c r="Z479" i="2"/>
  <c r="Z505" i="2"/>
  <c r="BP520" i="2"/>
  <c r="BN520" i="2"/>
  <c r="Z520" i="2"/>
  <c r="BP48" i="2"/>
  <c r="F9" i="2"/>
  <c r="Y139" i="2"/>
  <c r="Y138" i="2"/>
  <c r="BN134" i="2"/>
  <c r="A10" i="2"/>
  <c r="X552" i="2"/>
  <c r="Z39" i="2"/>
  <c r="BP57" i="2"/>
  <c r="Z68" i="2"/>
  <c r="Z73" i="2"/>
  <c r="Z74" i="2" s="1"/>
  <c r="BN78" i="2"/>
  <c r="Z101" i="2"/>
  <c r="Z134" i="2"/>
  <c r="Y25" i="2"/>
  <c r="BN29" i="2"/>
  <c r="BN92" i="2"/>
  <c r="BP98" i="2"/>
  <c r="Y121" i="2"/>
  <c r="Y131" i="2"/>
  <c r="BN163" i="2"/>
  <c r="Y167" i="2"/>
  <c r="Y185" i="2"/>
  <c r="Y191" i="2"/>
  <c r="BN188" i="2"/>
  <c r="BP198" i="2"/>
  <c r="Z215" i="2"/>
  <c r="Z216" i="2" s="1"/>
  <c r="BN220" i="2"/>
  <c r="Z223" i="2"/>
  <c r="BP229" i="2"/>
  <c r="BN229" i="2"/>
  <c r="BP250" i="2"/>
  <c r="BP284" i="2"/>
  <c r="Y294" i="2"/>
  <c r="Z325" i="2"/>
  <c r="Z371" i="2"/>
  <c r="Y394" i="2"/>
  <c r="Y506" i="2"/>
  <c r="BN499" i="2"/>
  <c r="J9" i="2"/>
  <c r="H9" i="2"/>
  <c r="Z92" i="2"/>
  <c r="Z94" i="2" s="1"/>
  <c r="BN112" i="2"/>
  <c r="Z112" i="2"/>
  <c r="BN39" i="2"/>
  <c r="BP112" i="2"/>
  <c r="Y288" i="2"/>
  <c r="BP29" i="2"/>
  <c r="BN42" i="2"/>
  <c r="Z58" i="2"/>
  <c r="BP68" i="2"/>
  <c r="BP73" i="2"/>
  <c r="BP101" i="2"/>
  <c r="Y125" i="2"/>
  <c r="BP123" i="2"/>
  <c r="BP134" i="2"/>
  <c r="BN149" i="2"/>
  <c r="Y155" i="2"/>
  <c r="BP163" i="2"/>
  <c r="BN169" i="2"/>
  <c r="Z169" i="2"/>
  <c r="Z171" i="2" s="1"/>
  <c r="Y171" i="2"/>
  <c r="Y192" i="2"/>
  <c r="BN215" i="2"/>
  <c r="Y251" i="2"/>
  <c r="Z276" i="2"/>
  <c r="BP282" i="2"/>
  <c r="BN282" i="2"/>
  <c r="Y304" i="2"/>
  <c r="BN297" i="2"/>
  <c r="O562" i="2"/>
  <c r="Y439" i="2"/>
  <c r="BP435" i="2"/>
  <c r="Y438" i="2"/>
  <c r="BN435" i="2"/>
  <c r="BP479" i="2"/>
  <c r="Y533" i="2"/>
  <c r="Y532" i="2"/>
  <c r="Z531" i="2"/>
  <c r="Z532" i="2" s="1"/>
  <c r="Y87" i="2"/>
  <c r="BP332" i="2"/>
  <c r="BN332" i="2"/>
  <c r="Z332" i="2"/>
  <c r="Y79" i="2"/>
  <c r="Y95" i="2"/>
  <c r="Y94" i="2"/>
  <c r="BN90" i="2"/>
  <c r="Z123" i="2"/>
  <c r="Z124" i="2" s="1"/>
  <c r="BN129" i="2"/>
  <c r="BN152" i="2"/>
  <c r="BN180" i="2"/>
  <c r="Y200" i="2"/>
  <c r="BP223" i="2"/>
  <c r="Z282" i="2"/>
  <c r="Y289" i="2"/>
  <c r="Z297" i="2"/>
  <c r="BP303" i="2"/>
  <c r="BN303" i="2"/>
  <c r="BP325" i="2"/>
  <c r="BN347" i="2"/>
  <c r="BP371" i="2"/>
  <c r="BN391" i="2"/>
  <c r="Y395" i="2"/>
  <c r="Y413" i="2"/>
  <c r="Z435" i="2"/>
  <c r="Z438" i="2" s="1"/>
  <c r="Z474" i="2"/>
  <c r="Y545" i="2"/>
  <c r="Y24" i="2"/>
  <c r="Y32" i="2"/>
  <c r="Y33" i="2"/>
  <c r="Y52" i="2"/>
  <c r="BP78" i="2"/>
  <c r="Y88" i="2"/>
  <c r="BP377" i="2"/>
  <c r="BN377" i="2"/>
  <c r="Z377" i="2"/>
  <c r="Y382" i="2"/>
  <c r="BP463" i="2"/>
  <c r="BN463" i="2"/>
  <c r="Z22" i="2"/>
  <c r="Z24" i="2" s="1"/>
  <c r="BP42" i="2"/>
  <c r="Y53" i="2"/>
  <c r="BN102" i="2"/>
  <c r="Z102" i="2"/>
  <c r="BN135" i="2"/>
  <c r="Z135" i="2"/>
  <c r="BP149" i="2"/>
  <c r="BP164" i="2"/>
  <c r="BN164" i="2"/>
  <c r="BP188" i="2"/>
  <c r="BP215" i="2"/>
  <c r="Y401" i="2"/>
  <c r="BP480" i="2"/>
  <c r="BN480" i="2"/>
  <c r="Z480" i="2"/>
  <c r="BP499" i="2"/>
  <c r="Y507" i="2"/>
  <c r="BN531" i="2"/>
  <c r="B562" i="2"/>
  <c r="BP58" i="2"/>
  <c r="BP129" i="2"/>
  <c r="Z164" i="2"/>
  <c r="Z166" i="2" s="1"/>
  <c r="Y211" i="2"/>
  <c r="K562" i="2"/>
  <c r="Z221" i="2"/>
  <c r="BN224" i="2"/>
  <c r="Z224" i="2"/>
  <c r="BP276" i="2"/>
  <c r="Y293" i="2"/>
  <c r="BP326" i="2"/>
  <c r="BN326" i="2"/>
  <c r="Z342" i="2"/>
  <c r="BP347" i="2"/>
  <c r="BP372" i="2"/>
  <c r="BN372" i="2"/>
  <c r="Z386" i="2"/>
  <c r="Z387" i="2" s="1"/>
  <c r="BP391" i="2"/>
  <c r="Y420" i="2"/>
  <c r="Z430" i="2"/>
  <c r="Y459" i="2"/>
  <c r="BP458" i="2"/>
  <c r="BN458" i="2"/>
  <c r="Y513" i="2"/>
  <c r="Y522" i="2"/>
  <c r="Z549" i="2"/>
  <c r="Z550" i="2" s="1"/>
  <c r="R562" i="2"/>
  <c r="C562" i="2"/>
  <c r="Y258" i="2"/>
  <c r="Y348" i="2"/>
  <c r="Z515" i="2"/>
  <c r="Z527" i="2"/>
  <c r="Z528" i="2" s="1"/>
  <c r="Z539" i="2"/>
  <c r="Z540" i="2" s="1"/>
  <c r="Y550" i="2"/>
  <c r="Y344" i="2"/>
  <c r="Z397" i="2"/>
  <c r="Z443" i="2"/>
  <c r="Z444" i="2" s="1"/>
  <c r="Z491" i="2"/>
  <c r="Z492" i="2" s="1"/>
  <c r="Z503" i="2"/>
  <c r="BN515" i="2"/>
  <c r="BN527" i="2"/>
  <c r="BN539" i="2"/>
  <c r="BN117" i="2"/>
  <c r="Z128" i="2"/>
  <c r="BN151" i="2"/>
  <c r="BN174" i="2"/>
  <c r="BN194" i="2"/>
  <c r="BN219" i="2"/>
  <c r="Z227" i="2"/>
  <c r="Z237" i="2"/>
  <c r="Z241" i="2" s="1"/>
  <c r="Z260" i="2"/>
  <c r="Z262" i="2" s="1"/>
  <c r="Z270" i="2"/>
  <c r="Z280" i="2"/>
  <c r="Z301" i="2"/>
  <c r="Z324" i="2"/>
  <c r="BN338" i="2"/>
  <c r="Y349" i="2"/>
  <c r="Z360" i="2"/>
  <c r="Z370" i="2"/>
  <c r="Z380" i="2"/>
  <c r="BN392" i="2"/>
  <c r="BN416" i="2"/>
  <c r="Y419" i="2"/>
  <c r="BN428" i="2"/>
  <c r="Z448" i="2"/>
  <c r="Z449" i="2" s="1"/>
  <c r="Z473" i="2"/>
  <c r="Z498" i="2"/>
  <c r="Z518" i="2"/>
  <c r="BN544" i="2"/>
  <c r="BP527" i="2"/>
  <c r="BP539" i="2"/>
  <c r="Y551" i="2"/>
  <c r="BP174" i="2"/>
  <c r="BP416" i="2"/>
  <c r="AB562" i="2"/>
  <c r="Z512" i="2" l="1"/>
  <c r="Z87" i="2"/>
  <c r="Z400" i="2"/>
  <c r="Z412" i="2"/>
  <c r="Z343" i="2"/>
  <c r="Z191" i="2"/>
  <c r="Z155" i="2"/>
  <c r="Z364" i="2"/>
  <c r="X555" i="2"/>
  <c r="Z273" i="2"/>
  <c r="Y554" i="2"/>
  <c r="Z334" i="2"/>
  <c r="Z69" i="2"/>
  <c r="Z233" i="2"/>
  <c r="Z43" i="2"/>
  <c r="Y553" i="2"/>
  <c r="Z327" i="2"/>
  <c r="Z185" i="2"/>
  <c r="Z131" i="2"/>
  <c r="Z506" i="2"/>
  <c r="Z304" i="2"/>
  <c r="Z481" i="2"/>
  <c r="Z144" i="2"/>
  <c r="Z432" i="2"/>
  <c r="Z105" i="2"/>
  <c r="Z476" i="2"/>
  <c r="Z62" i="2"/>
  <c r="Y552" i="2"/>
  <c r="Y556" i="2"/>
  <c r="Z138" i="2"/>
  <c r="Z374" i="2"/>
  <c r="Z522" i="2"/>
  <c r="Z288" i="2"/>
  <c r="Z381" i="2"/>
  <c r="Z113" i="2"/>
  <c r="Y555" i="2" l="1"/>
  <c r="Z557" i="2"/>
</calcChain>
</file>

<file path=xl/sharedStrings.xml><?xml version="1.0" encoding="utf-8"?>
<sst xmlns="http://schemas.openxmlformats.org/spreadsheetml/2006/main" count="4236" uniqueCount="907">
  <si>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</si>
  <si>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</si>
  <si>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</si>
  <si>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</si>
  <si>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</si>
  <si>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</si>
  <si>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</si>
  <si>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</si>
  <si>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</si>
  <si>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</si>
  <si>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</si>
  <si>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</si>
  <si>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</si>
  <si>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</si>
  <si>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</si>
  <si>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</si>
  <si>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</si>
  <si>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</si>
  <si>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</si>
  <si>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</si>
  <si>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</si>
  <si>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</si>
  <si>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</si>
  <si>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</si>
  <si>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</si>
  <si>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</si>
  <si>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</si>
  <si>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</si>
  <si>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</si>
  <si>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</si>
  <si>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</si>
  <si>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</si>
  <si>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</si>
  <si>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</si>
  <si>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</si>
  <si>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</si>
  <si>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</si>
  <si>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</si>
  <si>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</si>
  <si>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</si>
  <si>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</si>
  <si>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</si>
  <si>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</si>
  <si>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</si>
  <si>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</si>
  <si>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</si>
  <si>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</si>
  <si>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</si>
  <si>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</si>
  <si>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</si>
  <si>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</si>
  <si>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</si>
  <si>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</si>
  <si>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</si>
  <si>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</si>
  <si>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</si>
  <si>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</si>
  <si>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</si>
  <si>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</si>
  <si>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</si>
  <si>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</si>
  <si>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</si>
  <si>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</si>
  <si>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</si>
  <si>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</si>
  <si>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</si>
  <si>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</si>
  <si>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</si>
  <si>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</si>
  <si>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</si>
  <si>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</si>
  <si>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</si>
  <si>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</si>
  <si>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</si>
  <si>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</si>
  <si>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</si>
  <si>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</si>
  <si>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</si>
  <si>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</si>
  <si>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</si>
  <si>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</si>
  <si>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</si>
  <si>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</si>
  <si>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</si>
  <si>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</si>
  <si>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</si>
  <si>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</si>
  <si>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</si>
  <si>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</si>
  <si>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</si>
  <si>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</si>
  <si>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</si>
  <si>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</si>
  <si>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</si>
  <si>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</si>
  <si>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</si>
  <si>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</si>
  <si>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</si>
  <si>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</si>
  <si>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</si>
  <si>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</si>
  <si>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</si>
  <si>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</si>
  <si>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</si>
  <si>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</si>
  <si>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</si>
  <si>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</si>
  <si>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</si>
  <si>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</si>
  <si>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</si>
  <si>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</si>
  <si>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</si>
  <si>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</si>
  <si>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</si>
  <si>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</si>
  <si>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</si>
  <si>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</si>
  <si>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</si>
  <si>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</si>
  <si>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</si>
  <si>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</si>
  <si>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</si>
  <si>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</si>
  <si>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</si>
  <si>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</si>
  <si>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</si>
  <si>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</si>
  <si>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</si>
  <si>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</si>
  <si>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</si>
  <si>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</si>
  <si>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</si>
  <si>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</si>
  <si>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</si>
  <si>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</si>
  <si>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</si>
  <si>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</si>
  <si>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</si>
  <si>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</si>
  <si>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</si>
  <si>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</si>
  <si>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</si>
  <si>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</si>
  <si>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</si>
  <si>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</si>
  <si>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</si>
  <si>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</si>
  <si>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</si>
  <si>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</si>
  <si>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</si>
  <si>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</si>
  <si>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</si>
  <si>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</si>
  <si>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</si>
  <si>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</si>
  <si>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</si>
  <si>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</si>
  <si>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</si>
  <si>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</si>
  <si>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</si>
  <si>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</si>
  <si>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</si>
  <si>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</si>
  <si>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</si>
  <si>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</si>
  <si>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</si>
  <si>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</si>
  <si>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</si>
  <si>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</si>
  <si>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</si>
  <si>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</si>
  <si>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</si>
  <si>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</si>
  <si>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</si>
  <si>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</si>
  <si>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</si>
  <si>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</si>
  <si>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</si>
  <si>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</si>
  <si>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</si>
  <si>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</si>
  <si>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</si>
  <si>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</si>
  <si>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</si>
  <si>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</si>
  <si>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</si>
  <si>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</si>
  <si>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</si>
  <si>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</si>
  <si>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</si>
  <si>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</si>
  <si>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</si>
  <si>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</si>
  <si>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</si>
  <si>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</si>
  <si>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</si>
  <si>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</si>
  <si>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</si>
  <si>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</si>
  <si>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</si>
  <si>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</si>
  <si>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</si>
  <si>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</si>
  <si>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</si>
  <si>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</si>
  <si>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</si>
  <si>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</si>
  <si>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</si>
  <si>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</si>
  <si>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</si>
  <si>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</si>
  <si>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</si>
  <si>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</si>
  <si>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</si>
  <si>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</si>
  <si>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</si>
  <si>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</si>
  <si>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</si>
  <si>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</si>
  <si>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</si>
  <si>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</si>
  <si>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</si>
  <si>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</si>
  <si>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</si>
  <si>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</si>
  <si>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</si>
  <si>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</si>
  <si>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</si>
  <si>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</si>
  <si>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</si>
  <si>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</si>
  <si>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</si>
  <si>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</si>
  <si>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</si>
  <si>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</si>
  <si>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</si>
  <si>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</si>
  <si>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</si>
  <si>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</si>
  <si>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</si>
  <si>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</si>
  <si>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</si>
  <si>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</si>
  <si>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</si>
  <si>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</si>
  <si>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</si>
  <si>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</si>
  <si>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</si>
  <si>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</si>
  <si>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</si>
  <si>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</si>
  <si>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</si>
  <si>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</si>
  <si>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</si>
  <si>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</si>
  <si>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</si>
  <si>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</si>
  <si>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</si>
  <si>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</si>
  <si>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</si>
  <si>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</si>
  <si>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</si>
  <si>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</si>
  <si>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</si>
  <si>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</si>
  <si>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</si>
  <si>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</si>
  <si>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</si>
  <si>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</si>
  <si>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</si>
  <si>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</si>
  <si>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</si>
  <si>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</si>
  <si>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</si>
  <si>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</si>
  <si>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</si>
  <si>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</si>
  <si>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</si>
  <si>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</si>
  <si>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</si>
  <si>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</si>
  <si>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</si>
  <si>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</si>
  <si>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</si>
  <si>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</si>
  <si>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</si>
  <si>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</si>
  <si>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</si>
  <si>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</si>
  <si>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</si>
  <si>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</si>
  <si>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</si>
  <si>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</si>
  <si>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</si>
  <si>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</si>
  <si>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</si>
  <si>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</si>
  <si>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</si>
  <si>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</si>
  <si>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</si>
  <si>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</si>
  <si>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</si>
  <si>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</si>
  <si>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</si>
  <si>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</si>
  <si>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</si>
  <si>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</si>
  <si>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</si>
  <si>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</si>
  <si>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</si>
  <si>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</si>
  <si>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</si>
  <si>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</si>
  <si>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</si>
  <si>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</si>
  <si>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</si>
  <si>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</si>
  <si>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</si>
  <si>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</si>
  <si>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</si>
  <si>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</si>
  <si>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</si>
  <si>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</si>
  <si>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</si>
  <si>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</si>
  <si>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</si>
  <si>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</si>
  <si>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</si>
  <si>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</si>
  <si>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</si>
  <si>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</si>
  <si>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</si>
  <si>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</si>
  <si>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</si>
  <si>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</si>
  <si>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</si>
  <si>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</si>
  <si>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</si>
  <si>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</si>
  <si>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</si>
  <si>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</si>
  <si>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</si>
  <si>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</si>
  <si>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</si>
  <si>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</si>
  <si>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</si>
  <si>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</si>
  <si>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</si>
  <si>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</si>
  <si>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</si>
  <si>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</si>
  <si>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</si>
  <si>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</si>
  <si>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</si>
  <si>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</si>
  <si>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</si>
  <si>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</si>
  <si>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</si>
  <si>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</si>
  <si>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</si>
  <si>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</si>
  <si>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</si>
  <si>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</si>
  <si>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</si>
  <si>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</si>
  <si>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</si>
  <si>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</si>
  <si>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</si>
  <si>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</si>
  <si>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</si>
  <si>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</si>
  <si>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</si>
  <si>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</si>
  <si>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</si>
  <si>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</si>
  <si>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</si>
  <si>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</si>
  <si>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</si>
  <si>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</si>
  <si>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</si>
  <si>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</si>
  <si>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</si>
  <si>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</si>
  <si>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</si>
  <si>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</si>
  <si>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</si>
  <si>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</si>
  <si>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</si>
  <si>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</si>
  <si>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</si>
  <si>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</si>
  <si>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</si>
  <si>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</si>
  <si>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</si>
  <si>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</si>
  <si>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</si>
  <si>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</si>
  <si>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</si>
  <si>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</si>
  <si>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</si>
  <si>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</si>
  <si>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</si>
  <si>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</si>
  <si>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</si>
  <si>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</si>
  <si>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</si>
  <si>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</si>
  <si>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</si>
  <si>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</si>
  <si>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</si>
  <si>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</si>
  <si>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</si>
  <si>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</si>
  <si>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</si>
  <si>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</si>
  <si>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</si>
  <si>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</si>
  <si>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</si>
  <si>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</si>
  <si>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</si>
  <si>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</si>
  <si>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</si>
  <si>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</si>
  <si>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</si>
  <si>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</si>
  <si>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</si>
  <si>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</si>
  <si>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</si>
  <si>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</si>
  <si>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</si>
  <si>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</si>
  <si>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</si>
  <si>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</si>
  <si>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</si>
  <si>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</si>
  <si>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</si>
  <si>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</si>
  <si>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</si>
  <si>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</si>
  <si>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</si>
  <si>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</si>
  <si>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</si>
  <si>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</si>
  <si>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</si>
  <si>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</si>
  <si>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</si>
  <si>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</si>
  <si>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</si>
  <si>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</si>
  <si>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</si>
  <si>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</si>
  <si>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</si>
  <si>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</si>
  <si>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</si>
  <si>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</si>
  <si>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</si>
  <si>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</si>
  <si>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</si>
  <si>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</si>
  <si>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</si>
  <si>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</si>
  <si>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</si>
  <si>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</si>
  <si>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</si>
  <si>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</si>
  <si>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</si>
  <si>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</si>
  <si>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</si>
  <si>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</si>
  <si>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</si>
  <si>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</si>
  <si>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</si>
  <si>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</si>
  <si>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</si>
  <si>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</si>
  <si>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</si>
  <si>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</si>
  <si>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</si>
  <si>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</si>
  <si>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</si>
  <si>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</si>
  <si>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</si>
  <si>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</si>
  <si>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</si>
  <si>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</si>
  <si>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</si>
  <si>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</si>
  <si>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</si>
  <si>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</si>
  <si>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</si>
  <si>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</si>
  <si>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</si>
  <si>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</si>
  <si>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</si>
  <si>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</si>
  <si>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</si>
  <si>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</si>
  <si>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</si>
  <si>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</si>
  <si>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</si>
  <si>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</si>
  <si>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</si>
  <si>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</si>
  <si>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</si>
  <si>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</si>
  <si>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</si>
  <si>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</si>
  <si>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</si>
  <si>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</si>
  <si>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</si>
  <si>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</si>
  <si>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</si>
  <si>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</si>
  <si>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</si>
  <si>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</si>
  <si>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</si>
  <si>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</si>
  <si>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</si>
  <si>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</si>
  <si>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</si>
  <si>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</si>
  <si>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</si>
  <si>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</si>
  <si>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</si>
  <si>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</si>
  <si>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</si>
  <si>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</si>
  <si>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</si>
  <si>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</si>
  <si>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</si>
  <si>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</si>
  <si>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</si>
  <si>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</si>
  <si>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</si>
  <si>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</si>
  <si>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</si>
  <si>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</si>
  <si>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</si>
  <si>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</si>
  <si>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</si>
  <si>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</si>
  <si>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</si>
  <si>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</si>
  <si>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</si>
  <si>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</si>
  <si>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</si>
  <si>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</si>
  <si>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</si>
  <si>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</si>
  <si>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</si>
  <si>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</si>
  <si>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</si>
  <si>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</si>
  <si>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</si>
  <si>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</si>
  <si>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</si>
  <si>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</si>
  <si>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</si>
  <si>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</si>
  <si>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</si>
  <si>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</si>
  <si>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</si>
  <si>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</si>
  <si>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</si>
  <si>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</si>
  <si>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</si>
  <si>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</si>
  <si>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</si>
  <si>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</si>
  <si>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</si>
  <si>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</si>
  <si>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</si>
  <si>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</si>
  <si>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</si>
  <si>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</si>
  <si>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</si>
  <si>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</si>
  <si>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</si>
  <si>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</si>
  <si>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</si>
  <si>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</si>
  <si>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</si>
  <si>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</si>
  <si>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</si>
  <si>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</si>
  <si>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</si>
  <si>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</si>
  <si>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</si>
  <si>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</si>
  <si>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</si>
  <si>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</si>
  <si>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</si>
  <si>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</si>
  <si>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</si>
  <si>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</si>
  <si>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</si>
  <si>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</si>
  <si>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</si>
  <si>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</si>
  <si>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</si>
  <si>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</si>
  <si>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</si>
  <si>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</si>
  <si>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</si>
  <si>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</si>
  <si>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</si>
  <si>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</si>
  <si>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</si>
  <si>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</si>
  <si>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</si>
  <si>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</si>
  <si>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</si>
  <si>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</si>
  <si>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</si>
  <si>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</si>
  <si>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</si>
  <si>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</si>
  <si>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</si>
  <si>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</si>
  <si>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</si>
  <si>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</si>
  <si>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</si>
  <si>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</si>
  <si>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</si>
  <si>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</si>
  <si>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</si>
  <si>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</si>
  <si>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</si>
  <si>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</si>
  <si>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</si>
  <si>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</si>
  <si>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</si>
  <si>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</si>
  <si>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</si>
  <si>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</si>
  <si>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</si>
  <si>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</si>
  <si>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</si>
  <si>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</si>
  <si>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</si>
  <si>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</si>
  <si>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</si>
  <si>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</si>
  <si>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</si>
  <si>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</si>
  <si>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</si>
  <si>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</si>
  <si>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</si>
  <si>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</si>
  <si>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</si>
  <si>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</si>
  <si>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</si>
  <si>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</si>
  <si>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</si>
  <si>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</si>
  <si>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</si>
  <si>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</si>
  <si>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</si>
  <si>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</si>
  <si>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</si>
  <si>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</si>
  <si>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</si>
  <si>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</si>
  <si>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</si>
  <si>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</si>
  <si>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</si>
  <si>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</si>
  <si>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</si>
  <si>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</si>
  <si>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</si>
  <si>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</si>
  <si>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</si>
  <si>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</si>
  <si>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</si>
  <si>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</si>
  <si>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</si>
  <si>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</si>
  <si>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</si>
  <si>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</si>
  <si>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</si>
  <si>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</si>
  <si>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</si>
  <si>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</si>
  <si>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</si>
  <si>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</si>
  <si>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</si>
  <si>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</si>
  <si>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</si>
  <si>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</si>
  <si>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</si>
  <si>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</si>
  <si>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</si>
  <si>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</si>
  <si>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</si>
  <si>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</si>
  <si>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</si>
  <si>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</si>
  <si>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</si>
  <si>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</si>
  <si>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</si>
  <si>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</si>
  <si>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</si>
  <si>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</si>
  <si>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</si>
  <si>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</si>
  <si>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</si>
  <si>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</si>
  <si>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</si>
  <si>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</si>
  <si>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</si>
  <si>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</si>
  <si>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</si>
  <si>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</si>
  <si>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</si>
  <si>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</si>
  <si>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</si>
  <si>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</si>
  <si>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</si>
  <si>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</si>
  <si>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</si>
  <si>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</si>
  <si>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</si>
  <si>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</si>
  <si>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</si>
  <si>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</si>
  <si>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</si>
  <si>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</si>
  <si>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</si>
  <si>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</si>
  <si>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</si>
  <si>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</si>
  <si>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</si>
  <si>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</si>
  <si>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</si>
  <si>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</si>
  <si>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</si>
  <si>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</si>
  <si>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</si>
  <si>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</si>
  <si>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</si>
  <si>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</si>
  <si>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</si>
  <si>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</si>
  <si>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</si>
  <si>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</si>
  <si>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</si>
  <si>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</si>
  <si>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</si>
  <si>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</si>
  <si>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</si>
  <si>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</si>
  <si>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</si>
  <si>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</si>
  <si>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</si>
  <si>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</si>
  <si>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</si>
  <si>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</si>
  <si>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</si>
  <si>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</si>
  <si>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</si>
  <si>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</si>
  <si>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</si>
  <si>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</si>
  <si>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</si>
  <si>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</si>
  <si>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</si>
  <si>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</si>
  <si>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</si>
  <si>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</si>
  <si>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</si>
  <si>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</si>
  <si>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</si>
  <si>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</si>
  <si>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</si>
  <si>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</si>
  <si>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</si>
  <si>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</si>
  <si>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</si>
  <si>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</si>
  <si>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</si>
  <si>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</si>
  <si>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</si>
  <si>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</si>
  <si>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</si>
  <si>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</si>
  <si>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</si>
  <si>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</si>
  <si>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</si>
  <si>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</si>
  <si>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</si>
  <si>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</si>
  <si>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</si>
  <si>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</si>
  <si>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</si>
  <si>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</si>
  <si>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</si>
  <si>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</si>
  <si>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</si>
  <si>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</si>
  <si>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</si>
  <si>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</si>
  <si>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</si>
  <si>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</si>
  <si>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</si>
  <si>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</si>
  <si>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</si>
  <si>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</si>
  <si>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</si>
  <si>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</si>
  <si>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</si>
  <si>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</si>
  <si>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</si>
  <si>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</si>
  <si>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</si>
  <si>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</si>
  <si>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</si>
  <si>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</si>
  <si>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</si>
  <si>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</si>
  <si>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</si>
  <si>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</si>
  <si>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</si>
  <si>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</si>
  <si>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</si>
  <si>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</si>
  <si>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</si>
  <si>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</si>
  <si>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</si>
  <si>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</si>
  <si>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</si>
  <si>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</si>
  <si>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</si>
  <si>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</si>
  <si>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</si>
  <si>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</si>
  <si>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</si>
  <si>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</si>
  <si>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</si>
  <si>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</si>
  <si>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</si>
  <si>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</si>
  <si>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</si>
  <si>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</si>
  <si>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</si>
  <si>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</si>
  <si>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</si>
  <si>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</si>
  <si>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</si>
  <si>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</si>
  <si>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</si>
  <si>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</si>
  <si>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</si>
  <si>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</si>
  <si>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</si>
  <si>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</si>
  <si>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</si>
  <si>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</si>
  <si>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</si>
  <si>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</si>
  <si>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</si>
  <si>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</si>
  <si>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</si>
  <si>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</si>
  <si>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</si>
  <si>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</si>
  <si>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</si>
  <si>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</si>
  <si>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</si>
  <si>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</si>
  <si>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</si>
  <si>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</si>
  <si>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</si>
  <si>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</si>
  <si>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</si>
  <si>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</si>
  <si>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</si>
  <si>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</si>
  <si>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</si>
  <si>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</si>
  <si>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</si>
  <si>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</si>
  <si>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</si>
  <si>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</si>
  <si>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</si>
  <si>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</si>
  <si>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</si>
  <si>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</si>
  <si>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</si>
  <si>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</si>
  <si>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</si>
  <si>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</si>
  <si>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</si>
  <si>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</si>
  <si>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</si>
  <si>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</si>
  <si>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</si>
  <si>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</si>
  <si>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</si>
  <si>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</si>
  <si>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</si>
  <si>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</si>
  <si>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</si>
  <si>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</si>
  <si>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</si>
  <si>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</si>
  <si>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TSO001087854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</si>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</sst>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topLeftCell="A2" zoomScaleNormal="100" zoomScaleSheetLayoutView="100" workbookViewId="0">
      <selection activeCell="AA57" sqref="AA5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66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67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67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 t="s">
        <v>905</v>
      </c>
      <c r="I5" s="638"/>
      <c r="J5" s="638"/>
      <c r="K5" s="638"/>
      <c r="L5" s="638"/>
      <c r="M5" s="638"/>
      <c r="N5" s="69"/>
      <c r="P5" s="26" t="s">
        <v>4</v>
      </c>
      <c r="Q5" s="640">
        <v>46256</v>
      </c>
      <c r="R5" s="640"/>
      <c r="T5" s="641" t="s">
        <v>3</v>
      </c>
      <c r="U5" s="642"/>
      <c r="V5" s="643" t="s">
        <v>865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 t="s">
        <v>878</v>
      </c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Суббота</v>
      </c>
      <c r="R6" s="646"/>
      <c r="T6" s="647" t="s">
        <v>5</v>
      </c>
      <c r="U6" s="648"/>
      <c r="V6" s="649" t="s">
        <v>68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 t="str">
        <f>IFERROR(VLOOKUP(DeliveryAddress,Table,3,0),1)</f>
        <v>5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57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0.45833333333333331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69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906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70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72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73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60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58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65</v>
      </c>
      <c r="L17" s="679" t="s">
        <v>63</v>
      </c>
      <c r="M17" s="679" t="s">
        <v>2</v>
      </c>
      <c r="N17" s="679" t="s">
        <v>62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55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59</v>
      </c>
      <c r="AB17" s="693" t="s">
        <v>19</v>
      </c>
      <c r="AC17" s="693" t="s">
        <v>64</v>
      </c>
      <c r="AD17" s="695" t="s">
        <v>56</v>
      </c>
      <c r="AE17" s="696"/>
      <c r="AF17" s="697"/>
      <c r="AG17" s="77"/>
      <c r="BD17" s="76" t="s">
        <v>61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hidden="1" customHeight="1" x14ac:dyDescent="0.2">
      <c r="A19" s="701" t="s">
        <v>74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hidden="1" customHeight="1" x14ac:dyDescent="0.25">
      <c r="A20" s="702" t="s">
        <v>74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hidden="1" customHeight="1" x14ac:dyDescent="0.25">
      <c r="A21" s="703" t="s">
        <v>75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hidden="1" customHeight="1" x14ac:dyDescent="0.25">
      <c r="A22" s="60" t="s">
        <v>76</v>
      </c>
      <c r="B22" s="60" t="s">
        <v>77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80</v>
      </c>
      <c r="L22" s="35" t="s">
        <v>46</v>
      </c>
      <c r="M22" s="36" t="s">
        <v>79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78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81</v>
      </c>
      <c r="B23" s="60" t="s">
        <v>82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80</v>
      </c>
      <c r="L23" s="35" t="s">
        <v>46</v>
      </c>
      <c r="M23" s="36" t="s">
        <v>79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83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3" t="s">
        <v>84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hidden="1" customHeight="1" x14ac:dyDescent="0.25">
      <c r="A27" s="60" t="s">
        <v>85</v>
      </c>
      <c r="B27" s="60" t="s">
        <v>86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89</v>
      </c>
      <c r="L27" s="35" t="s">
        <v>46</v>
      </c>
      <c r="M27" s="36" t="s">
        <v>88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87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90</v>
      </c>
      <c r="B28" s="60" t="s">
        <v>91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89</v>
      </c>
      <c r="L28" s="35" t="s">
        <v>46</v>
      </c>
      <c r="M28" s="36" t="s">
        <v>88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87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92</v>
      </c>
      <c r="B29" s="60" t="s">
        <v>93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89</v>
      </c>
      <c r="L29" s="35" t="s">
        <v>46</v>
      </c>
      <c r="M29" s="36" t="s">
        <v>95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94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96</v>
      </c>
      <c r="B30" s="60" t="s">
        <v>97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89</v>
      </c>
      <c r="L30" s="35" t="s">
        <v>46</v>
      </c>
      <c r="M30" s="36" t="s">
        <v>95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98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99</v>
      </c>
      <c r="B31" s="60" t="s">
        <v>100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89</v>
      </c>
      <c r="L31" s="35" t="s">
        <v>46</v>
      </c>
      <c r="M31" s="36" t="s">
        <v>88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101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01" t="s">
        <v>45</v>
      </c>
      <c r="B34" s="701"/>
      <c r="C34" s="701"/>
      <c r="D34" s="701"/>
      <c r="E34" s="701"/>
      <c r="F34" s="701"/>
      <c r="G34" s="701"/>
      <c r="H34" s="701"/>
      <c r="I34" s="701"/>
      <c r="J34" s="701"/>
      <c r="K34" s="701"/>
      <c r="L34" s="701"/>
      <c r="M34" s="701"/>
      <c r="N34" s="701"/>
      <c r="O34" s="701"/>
      <c r="P34" s="701"/>
      <c r="Q34" s="701"/>
      <c r="R34" s="701"/>
      <c r="S34" s="701"/>
      <c r="T34" s="701"/>
      <c r="U34" s="701"/>
      <c r="V34" s="701"/>
      <c r="W34" s="701"/>
      <c r="X34" s="701"/>
      <c r="Y34" s="701"/>
      <c r="Z34" s="701"/>
      <c r="AA34" s="52"/>
      <c r="AB34" s="52"/>
      <c r="AC34" s="52"/>
    </row>
    <row r="35" spans="1:68" ht="16.5" hidden="1" customHeight="1" x14ac:dyDescent="0.25">
      <c r="A35" s="702" t="s">
        <v>102</v>
      </c>
      <c r="B35" s="702"/>
      <c r="C35" s="702"/>
      <c r="D35" s="702"/>
      <c r="E35" s="702"/>
      <c r="F35" s="702"/>
      <c r="G35" s="702"/>
      <c r="H35" s="702"/>
      <c r="I35" s="702"/>
      <c r="J35" s="702"/>
      <c r="K35" s="702"/>
      <c r="L35" s="702"/>
      <c r="M35" s="702"/>
      <c r="N35" s="702"/>
      <c r="O35" s="702"/>
      <c r="P35" s="702"/>
      <c r="Q35" s="702"/>
      <c r="R35" s="702"/>
      <c r="S35" s="702"/>
      <c r="T35" s="702"/>
      <c r="U35" s="702"/>
      <c r="V35" s="702"/>
      <c r="W35" s="702"/>
      <c r="X35" s="702"/>
      <c r="Y35" s="702"/>
      <c r="Z35" s="702"/>
      <c r="AA35" s="62"/>
      <c r="AB35" s="62"/>
      <c r="AC35" s="62"/>
    </row>
    <row r="36" spans="1:68" ht="14.25" hidden="1" customHeight="1" x14ac:dyDescent="0.25">
      <c r="A36" s="703" t="s">
        <v>84</v>
      </c>
      <c r="B36" s="703"/>
      <c r="C36" s="703"/>
      <c r="D36" s="703"/>
      <c r="E36" s="703"/>
      <c r="F36" s="703"/>
      <c r="G36" s="703"/>
      <c r="H36" s="703"/>
      <c r="I36" s="703"/>
      <c r="J36" s="703"/>
      <c r="K36" s="703"/>
      <c r="L36" s="703"/>
      <c r="M36" s="703"/>
      <c r="N36" s="703"/>
      <c r="O36" s="703"/>
      <c r="P36" s="703"/>
      <c r="Q36" s="703"/>
      <c r="R36" s="703"/>
      <c r="S36" s="703"/>
      <c r="T36" s="703"/>
      <c r="U36" s="703"/>
      <c r="V36" s="703"/>
      <c r="W36" s="703"/>
      <c r="X36" s="703"/>
      <c r="Y36" s="703"/>
      <c r="Z36" s="703"/>
      <c r="AA36" s="63"/>
      <c r="AB36" s="63"/>
      <c r="AC36" s="63"/>
    </row>
    <row r="37" spans="1:68" ht="27" hidden="1" customHeight="1" x14ac:dyDescent="0.25">
      <c r="A37" s="60" t="s">
        <v>103</v>
      </c>
      <c r="B37" s="60" t="s">
        <v>104</v>
      </c>
      <c r="C37" s="34">
        <v>4301052187</v>
      </c>
      <c r="D37" s="704">
        <v>4680115889354</v>
      </c>
      <c r="E37" s="70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89</v>
      </c>
      <c r="L37" s="35" t="s">
        <v>46</v>
      </c>
      <c r="M37" s="36" t="s">
        <v>95</v>
      </c>
      <c r="N37" s="36"/>
      <c r="O37" s="35">
        <v>40</v>
      </c>
      <c r="P37" s="7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06"/>
      <c r="R37" s="706"/>
      <c r="S37" s="706"/>
      <c r="T37" s="707"/>
      <c r="U37" s="37" t="s">
        <v>46</v>
      </c>
      <c r="V37" s="37" t="s">
        <v>46</v>
      </c>
      <c r="W37" s="38" t="s">
        <v>0</v>
      </c>
      <c r="X37" s="56">
        <v>0</v>
      </c>
      <c r="Y37" s="53">
        <f t="shared" ref="Y37:Y42" si="0">IFERROR(IF(X37="",0,CEILING((X37/$H37),1)*$H37),"")</f>
        <v>0</v>
      </c>
      <c r="Z37" s="39" t="str">
        <f t="shared" ref="Z37:Z42" si="1">IFERROR(IF(Y37=0,"",ROUNDUP(Y37/H37,0)*0.00651),"")</f>
        <v/>
      </c>
      <c r="AA37" s="65" t="s">
        <v>46</v>
      </c>
      <c r="AB37" s="66" t="s">
        <v>46</v>
      </c>
      <c r="AC37" s="95" t="s">
        <v>105</v>
      </c>
      <c r="AG37" s="75"/>
      <c r="AJ37" s="79" t="s">
        <v>46</v>
      </c>
      <c r="AK37" s="79">
        <v>0</v>
      </c>
      <c r="BB37" s="96" t="s">
        <v>66</v>
      </c>
      <c r="BM37" s="75">
        <f t="shared" ref="BM37:BM42" si="2">IFERROR(X37*I37/H37,"0")</f>
        <v>0</v>
      </c>
      <c r="BN37" s="75">
        <f t="shared" ref="BN37:BN42" si="3">IFERROR(Y37*I37/H37,"0")</f>
        <v>0</v>
      </c>
      <c r="BO37" s="75">
        <f t="shared" ref="BO37:BO42" si="4">IFERROR(1/J37*(X37/H37),"0")</f>
        <v>0</v>
      </c>
      <c r="BP37" s="75">
        <f t="shared" ref="BP37:BP42" si="5">IFERROR(1/J37*(Y37/H37),"0")</f>
        <v>0</v>
      </c>
    </row>
    <row r="38" spans="1:68" ht="27" hidden="1" customHeight="1" x14ac:dyDescent="0.25">
      <c r="A38" s="60" t="s">
        <v>106</v>
      </c>
      <c r="B38" s="60" t="s">
        <v>107</v>
      </c>
      <c r="C38" s="34">
        <v>4301052198</v>
      </c>
      <c r="D38" s="704">
        <v>4680115888463</v>
      </c>
      <c r="E38" s="70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89</v>
      </c>
      <c r="L38" s="35" t="s">
        <v>46</v>
      </c>
      <c r="M38" s="36" t="s">
        <v>88</v>
      </c>
      <c r="N38" s="36"/>
      <c r="O38" s="35">
        <v>40</v>
      </c>
      <c r="P38" s="72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06"/>
      <c r="R38" s="706"/>
      <c r="S38" s="706"/>
      <c r="T38" s="707"/>
      <c r="U38" s="37" t="s">
        <v>46</v>
      </c>
      <c r="V38" s="37" t="s">
        <v>46</v>
      </c>
      <c r="W38" s="38" t="s">
        <v>0</v>
      </c>
      <c r="X38" s="56">
        <v>0</v>
      </c>
      <c r="Y38" s="53">
        <f t="shared" si="0"/>
        <v>0</v>
      </c>
      <c r="Z38" s="39" t="str">
        <f t="shared" si="1"/>
        <v/>
      </c>
      <c r="AA38" s="65" t="s">
        <v>46</v>
      </c>
      <c r="AB38" s="66" t="s">
        <v>46</v>
      </c>
      <c r="AC38" s="97" t="s">
        <v>108</v>
      </c>
      <c r="AG38" s="75"/>
      <c r="AJ38" s="79" t="s">
        <v>46</v>
      </c>
      <c r="AK38" s="79">
        <v>0</v>
      </c>
      <c r="BB38" s="98" t="s">
        <v>66</v>
      </c>
      <c r="BM38" s="75">
        <f t="shared" si="2"/>
        <v>0</v>
      </c>
      <c r="BN38" s="75">
        <f t="shared" si="3"/>
        <v>0</v>
      </c>
      <c r="BO38" s="75">
        <f t="shared" si="4"/>
        <v>0</v>
      </c>
      <c r="BP38" s="75">
        <f t="shared" si="5"/>
        <v>0</v>
      </c>
    </row>
    <row r="39" spans="1:68" ht="27" hidden="1" customHeight="1" x14ac:dyDescent="0.25">
      <c r="A39" s="60" t="s">
        <v>109</v>
      </c>
      <c r="B39" s="60" t="s">
        <v>110</v>
      </c>
      <c r="C39" s="34">
        <v>4301052259</v>
      </c>
      <c r="D39" s="704">
        <v>4680115889590</v>
      </c>
      <c r="E39" s="70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89</v>
      </c>
      <c r="L39" s="35" t="s">
        <v>46</v>
      </c>
      <c r="M39" s="36" t="s">
        <v>88</v>
      </c>
      <c r="N39" s="36"/>
      <c r="O39" s="35">
        <v>40</v>
      </c>
      <c r="P39" s="72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06"/>
      <c r="R39" s="706"/>
      <c r="S39" s="706"/>
      <c r="T39" s="707"/>
      <c r="U39" s="37" t="s">
        <v>46</v>
      </c>
      <c r="V39" s="37" t="s">
        <v>46</v>
      </c>
      <c r="W39" s="38" t="s">
        <v>0</v>
      </c>
      <c r="X39" s="56">
        <v>0</v>
      </c>
      <c r="Y39" s="53">
        <f t="shared" si="0"/>
        <v>0</v>
      </c>
      <c r="Z39" s="39" t="str">
        <f t="shared" si="1"/>
        <v/>
      </c>
      <c r="AA39" s="65" t="s">
        <v>46</v>
      </c>
      <c r="AB39" s="66" t="s">
        <v>46</v>
      </c>
      <c r="AC39" s="99" t="s">
        <v>111</v>
      </c>
      <c r="AG39" s="75"/>
      <c r="AJ39" s="79" t="s">
        <v>46</v>
      </c>
      <c r="AK39" s="79">
        <v>0</v>
      </c>
      <c r="BB39" s="100" t="s">
        <v>66</v>
      </c>
      <c r="BM39" s="75">
        <f t="shared" si="2"/>
        <v>0</v>
      </c>
      <c r="BN39" s="75">
        <f t="shared" si="3"/>
        <v>0</v>
      </c>
      <c r="BO39" s="75">
        <f t="shared" si="4"/>
        <v>0</v>
      </c>
      <c r="BP39" s="75">
        <f t="shared" si="5"/>
        <v>0</v>
      </c>
    </row>
    <row r="40" spans="1:68" ht="27" hidden="1" customHeight="1" x14ac:dyDescent="0.25">
      <c r="A40" s="60" t="s">
        <v>112</v>
      </c>
      <c r="B40" s="60" t="s">
        <v>113</v>
      </c>
      <c r="C40" s="34">
        <v>4301052202</v>
      </c>
      <c r="D40" s="704">
        <v>4680115888494</v>
      </c>
      <c r="E40" s="70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89</v>
      </c>
      <c r="L40" s="35" t="s">
        <v>46</v>
      </c>
      <c r="M40" s="36" t="s">
        <v>88</v>
      </c>
      <c r="N40" s="36"/>
      <c r="O40" s="35">
        <v>40</v>
      </c>
      <c r="P40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06"/>
      <c r="R40" s="706"/>
      <c r="S40" s="706"/>
      <c r="T40" s="707"/>
      <c r="U40" s="37" t="s">
        <v>46</v>
      </c>
      <c r="V40" s="37" t="s">
        <v>46</v>
      </c>
      <c r="W40" s="38" t="s">
        <v>0</v>
      </c>
      <c r="X40" s="56">
        <v>0</v>
      </c>
      <c r="Y40" s="53">
        <f t="shared" si="0"/>
        <v>0</v>
      </c>
      <c r="Z40" s="39" t="str">
        <f t="shared" si="1"/>
        <v/>
      </c>
      <c r="AA40" s="65" t="s">
        <v>46</v>
      </c>
      <c r="AB40" s="66" t="s">
        <v>46</v>
      </c>
      <c r="AC40" s="101" t="s">
        <v>111</v>
      </c>
      <c r="AG40" s="75"/>
      <c r="AJ40" s="79" t="s">
        <v>46</v>
      </c>
      <c r="AK40" s="79">
        <v>0</v>
      </c>
      <c r="BB40" s="102" t="s">
        <v>66</v>
      </c>
      <c r="BM40" s="75">
        <f t="shared" si="2"/>
        <v>0</v>
      </c>
      <c r="BN40" s="75">
        <f t="shared" si="3"/>
        <v>0</v>
      </c>
      <c r="BO40" s="75">
        <f t="shared" si="4"/>
        <v>0</v>
      </c>
      <c r="BP40" s="75">
        <f t="shared" si="5"/>
        <v>0</v>
      </c>
    </row>
    <row r="41" spans="1:68" ht="27" hidden="1" customHeight="1" x14ac:dyDescent="0.25">
      <c r="A41" s="60" t="s">
        <v>114</v>
      </c>
      <c r="B41" s="60" t="s">
        <v>115</v>
      </c>
      <c r="C41" s="34">
        <v>4301052184</v>
      </c>
      <c r="D41" s="704">
        <v>4680115888272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89</v>
      </c>
      <c r="L41" s="35" t="s">
        <v>46</v>
      </c>
      <c r="M41" s="36" t="s">
        <v>88</v>
      </c>
      <c r="N41" s="36"/>
      <c r="O41" s="35">
        <v>40</v>
      </c>
      <c r="P41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 t="shared" si="0"/>
        <v>0</v>
      </c>
      <c r="Z41" s="39" t="str">
        <f t="shared" si="1"/>
        <v/>
      </c>
      <c r="AA41" s="65" t="s">
        <v>46</v>
      </c>
      <c r="AB41" s="66" t="s">
        <v>46</v>
      </c>
      <c r="AC41" s="103" t="s">
        <v>116</v>
      </c>
      <c r="AG41" s="75"/>
      <c r="AJ41" s="79" t="s">
        <v>46</v>
      </c>
      <c r="AK41" s="79">
        <v>0</v>
      </c>
      <c r="BB41" s="104" t="s">
        <v>66</v>
      </c>
      <c r="BM41" s="75">
        <f t="shared" si="2"/>
        <v>0</v>
      </c>
      <c r="BN41" s="75">
        <f t="shared" si="3"/>
        <v>0</v>
      </c>
      <c r="BO41" s="75">
        <f t="shared" si="4"/>
        <v>0</v>
      </c>
      <c r="BP41" s="75">
        <f t="shared" si="5"/>
        <v>0</v>
      </c>
    </row>
    <row r="42" spans="1:68" ht="27" hidden="1" customHeight="1" x14ac:dyDescent="0.25">
      <c r="A42" s="60" t="s">
        <v>117</v>
      </c>
      <c r="B42" s="60" t="s">
        <v>118</v>
      </c>
      <c r="C42" s="34">
        <v>4301052188</v>
      </c>
      <c r="D42" s="704">
        <v>4680115888364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89</v>
      </c>
      <c r="L42" s="35" t="s">
        <v>46</v>
      </c>
      <c r="M42" s="36" t="s">
        <v>88</v>
      </c>
      <c r="N42" s="36"/>
      <c r="O42" s="35">
        <v>40</v>
      </c>
      <c r="P42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 t="shared" si="0"/>
        <v>0</v>
      </c>
      <c r="Z42" s="39" t="str">
        <f t="shared" si="1"/>
        <v/>
      </c>
      <c r="AA42" s="65" t="s">
        <v>46</v>
      </c>
      <c r="AB42" s="66" t="s">
        <v>46</v>
      </c>
      <c r="AC42" s="105" t="s">
        <v>119</v>
      </c>
      <c r="AG42" s="75"/>
      <c r="AJ42" s="79" t="s">
        <v>46</v>
      </c>
      <c r="AK42" s="79">
        <v>0</v>
      </c>
      <c r="BB42" s="106" t="s">
        <v>66</v>
      </c>
      <c r="BM42" s="75">
        <f t="shared" si="2"/>
        <v>0</v>
      </c>
      <c r="BN42" s="75">
        <f t="shared" si="3"/>
        <v>0</v>
      </c>
      <c r="BO42" s="75">
        <f t="shared" si="4"/>
        <v>0</v>
      </c>
      <c r="BP42" s="75">
        <f t="shared" si="5"/>
        <v>0</v>
      </c>
    </row>
    <row r="43" spans="1:68" hidden="1" x14ac:dyDescent="0.2">
      <c r="A43" s="712"/>
      <c r="B43" s="712"/>
      <c r="C43" s="712"/>
      <c r="D43" s="712"/>
      <c r="E43" s="712"/>
      <c r="F43" s="712"/>
      <c r="G43" s="712"/>
      <c r="H43" s="712"/>
      <c r="I43" s="712"/>
      <c r="J43" s="712"/>
      <c r="K43" s="712"/>
      <c r="L43" s="712"/>
      <c r="M43" s="712"/>
      <c r="N43" s="712"/>
      <c r="O43" s="713"/>
      <c r="P43" s="709" t="s">
        <v>40</v>
      </c>
      <c r="Q43" s="710"/>
      <c r="R43" s="710"/>
      <c r="S43" s="710"/>
      <c r="T43" s="710"/>
      <c r="U43" s="710"/>
      <c r="V43" s="711"/>
      <c r="W43" s="40" t="s">
        <v>39</v>
      </c>
      <c r="X43" s="41">
        <f>IFERROR(X37/H37,"0")+IFERROR(X38/H38,"0")+IFERROR(X39/H39,"0")+IFERROR(X40/H40,"0")+IFERROR(X41/H41,"0")+IFERROR(X42/H42,"0")</f>
        <v>0</v>
      </c>
      <c r="Y43" s="41">
        <f>IFERROR(Y37/H37,"0")+IFERROR(Y38/H38,"0")+IFERROR(Y39/H39,"0")+IFERROR(Y40/H40,"0")+IFERROR(Y41/H41,"0")+IFERROR(Y42/H42,"0")</f>
        <v>0</v>
      </c>
      <c r="Z43" s="41">
        <f>IFERROR(IF(Z37="",0,Z37),"0")+IFERROR(IF(Z38="",0,Z38),"0")+IFERROR(IF(Z39="",0,Z39),"0")+IFERROR(IF(Z40="",0,Z40),"0")+IFERROR(IF(Z41="",0,Z41),"0")+IFERROR(IF(Z42="",0,Z42),"0")</f>
        <v>0</v>
      </c>
      <c r="AA43" s="64"/>
      <c r="AB43" s="64"/>
      <c r="AC43" s="64"/>
    </row>
    <row r="44" spans="1:68" hidden="1" x14ac:dyDescent="0.2">
      <c r="A44" s="712"/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3"/>
      <c r="P44" s="709" t="s">
        <v>40</v>
      </c>
      <c r="Q44" s="710"/>
      <c r="R44" s="710"/>
      <c r="S44" s="710"/>
      <c r="T44" s="710"/>
      <c r="U44" s="710"/>
      <c r="V44" s="711"/>
      <c r="W44" s="40" t="s">
        <v>0</v>
      </c>
      <c r="X44" s="41">
        <f>IFERROR(SUM(X37:X42),"0")</f>
        <v>0</v>
      </c>
      <c r="Y44" s="41">
        <f>IFERROR(SUM(Y37:Y42),"0")</f>
        <v>0</v>
      </c>
      <c r="Z44" s="40"/>
      <c r="AA44" s="64"/>
      <c r="AB44" s="64"/>
      <c r="AC44" s="64"/>
    </row>
    <row r="45" spans="1:68" ht="27.75" hidden="1" customHeight="1" x14ac:dyDescent="0.2">
      <c r="A45" s="701" t="s">
        <v>120</v>
      </c>
      <c r="B45" s="701"/>
      <c r="C45" s="701"/>
      <c r="D45" s="701"/>
      <c r="E45" s="701"/>
      <c r="F45" s="701"/>
      <c r="G45" s="701"/>
      <c r="H45" s="701"/>
      <c r="I45" s="701"/>
      <c r="J45" s="701"/>
      <c r="K45" s="701"/>
      <c r="L45" s="701"/>
      <c r="M45" s="701"/>
      <c r="N45" s="701"/>
      <c r="O45" s="701"/>
      <c r="P45" s="701"/>
      <c r="Q45" s="701"/>
      <c r="R45" s="701"/>
      <c r="S45" s="701"/>
      <c r="T45" s="701"/>
      <c r="U45" s="701"/>
      <c r="V45" s="701"/>
      <c r="W45" s="701"/>
      <c r="X45" s="701"/>
      <c r="Y45" s="701"/>
      <c r="Z45" s="701"/>
      <c r="AA45" s="52"/>
      <c r="AB45" s="52"/>
      <c r="AC45" s="52"/>
    </row>
    <row r="46" spans="1:68" ht="16.5" hidden="1" customHeight="1" x14ac:dyDescent="0.25">
      <c r="A46" s="702" t="s">
        <v>121</v>
      </c>
      <c r="B46" s="702"/>
      <c r="C46" s="702"/>
      <c r="D46" s="702"/>
      <c r="E46" s="702"/>
      <c r="F46" s="702"/>
      <c r="G46" s="702"/>
      <c r="H46" s="702"/>
      <c r="I46" s="702"/>
      <c r="J46" s="702"/>
      <c r="K46" s="702"/>
      <c r="L46" s="702"/>
      <c r="M46" s="702"/>
      <c r="N46" s="702"/>
      <c r="O46" s="702"/>
      <c r="P46" s="702"/>
      <c r="Q46" s="702"/>
      <c r="R46" s="702"/>
      <c r="S46" s="702"/>
      <c r="T46" s="702"/>
      <c r="U46" s="702"/>
      <c r="V46" s="702"/>
      <c r="W46" s="702"/>
      <c r="X46" s="702"/>
      <c r="Y46" s="702"/>
      <c r="Z46" s="702"/>
      <c r="AA46" s="62"/>
      <c r="AB46" s="62"/>
      <c r="AC46" s="62"/>
    </row>
    <row r="47" spans="1:68" ht="14.25" hidden="1" customHeight="1" x14ac:dyDescent="0.25">
      <c r="A47" s="703" t="s">
        <v>122</v>
      </c>
      <c r="B47" s="703"/>
      <c r="C47" s="703"/>
      <c r="D47" s="703"/>
      <c r="E47" s="703"/>
      <c r="F47" s="703"/>
      <c r="G47" s="703"/>
      <c r="H47" s="703"/>
      <c r="I47" s="703"/>
      <c r="J47" s="703"/>
      <c r="K47" s="703"/>
      <c r="L47" s="703"/>
      <c r="M47" s="703"/>
      <c r="N47" s="703"/>
      <c r="O47" s="703"/>
      <c r="P47" s="703"/>
      <c r="Q47" s="703"/>
      <c r="R47" s="703"/>
      <c r="S47" s="703"/>
      <c r="T47" s="703"/>
      <c r="U47" s="703"/>
      <c r="V47" s="703"/>
      <c r="W47" s="703"/>
      <c r="X47" s="703"/>
      <c r="Y47" s="703"/>
      <c r="Z47" s="703"/>
      <c r="AA47" s="63"/>
      <c r="AB47" s="63"/>
      <c r="AC47" s="63"/>
    </row>
    <row r="48" spans="1:68" ht="16.5" hidden="1" customHeight="1" x14ac:dyDescent="0.25">
      <c r="A48" s="60" t="s">
        <v>123</v>
      </c>
      <c r="B48" s="60" t="s">
        <v>124</v>
      </c>
      <c r="C48" s="34">
        <v>4301011380</v>
      </c>
      <c r="D48" s="704">
        <v>4607091385670</v>
      </c>
      <c r="E48" s="704"/>
      <c r="F48" s="59">
        <v>1.35</v>
      </c>
      <c r="G48" s="35">
        <v>8</v>
      </c>
      <c r="H48" s="59">
        <v>10.8</v>
      </c>
      <c r="I48" s="59">
        <v>11.21</v>
      </c>
      <c r="J48" s="35">
        <v>64</v>
      </c>
      <c r="K48" s="35" t="s">
        <v>127</v>
      </c>
      <c r="L48" s="35" t="s">
        <v>46</v>
      </c>
      <c r="M48" s="36" t="s">
        <v>126</v>
      </c>
      <c r="N48" s="36"/>
      <c r="O48" s="35">
        <v>50</v>
      </c>
      <c r="P48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06"/>
      <c r="R48" s="706"/>
      <c r="S48" s="706"/>
      <c r="T48" s="70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IFERROR(IF(Y48=0,"",ROUNDUP(Y48/H48,0)*0.01898),"")</f>
        <v/>
      </c>
      <c r="AA48" s="65" t="s">
        <v>46</v>
      </c>
      <c r="AB48" s="66" t="s">
        <v>46</v>
      </c>
      <c r="AC48" s="107" t="s">
        <v>125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128</v>
      </c>
      <c r="B49" s="60" t="s">
        <v>129</v>
      </c>
      <c r="C49" s="34">
        <v>4301012053</v>
      </c>
      <c r="D49" s="704">
        <v>4680115887725</v>
      </c>
      <c r="E49" s="704"/>
      <c r="F49" s="59">
        <v>0.11</v>
      </c>
      <c r="G49" s="35">
        <v>10</v>
      </c>
      <c r="H49" s="59">
        <v>1.1000000000000001</v>
      </c>
      <c r="I49" s="59">
        <v>1.31</v>
      </c>
      <c r="J49" s="35">
        <v>192</v>
      </c>
      <c r="K49" s="35" t="s">
        <v>131</v>
      </c>
      <c r="L49" s="35" t="s">
        <v>46</v>
      </c>
      <c r="M49" s="36" t="s">
        <v>79</v>
      </c>
      <c r="N49" s="36"/>
      <c r="O49" s="35">
        <v>30</v>
      </c>
      <c r="P49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06"/>
      <c r="R49" s="706"/>
      <c r="S49" s="706"/>
      <c r="T49" s="70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IFERROR(IF(Y49=0,"",ROUNDUP(Y49/H49,0)*0.00726),"")</f>
        <v/>
      </c>
      <c r="AA49" s="65" t="s">
        <v>46</v>
      </c>
      <c r="AB49" s="66" t="s">
        <v>46</v>
      </c>
      <c r="AC49" s="109" t="s">
        <v>130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132</v>
      </c>
      <c r="B50" s="60" t="s">
        <v>133</v>
      </c>
      <c r="C50" s="34">
        <v>4301011382</v>
      </c>
      <c r="D50" s="704">
        <v>4607091385687</v>
      </c>
      <c r="E50" s="704"/>
      <c r="F50" s="59">
        <v>0.4</v>
      </c>
      <c r="G50" s="35">
        <v>10</v>
      </c>
      <c r="H50" s="59">
        <v>4</v>
      </c>
      <c r="I50" s="59">
        <v>4.1900000000000004</v>
      </c>
      <c r="J50" s="35">
        <v>132</v>
      </c>
      <c r="K50" s="35" t="s">
        <v>134</v>
      </c>
      <c r="L50" s="35" t="s">
        <v>46</v>
      </c>
      <c r="M50" s="36" t="s">
        <v>88</v>
      </c>
      <c r="N50" s="36"/>
      <c r="O50" s="35">
        <v>50</v>
      </c>
      <c r="P50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06"/>
      <c r="R50" s="706"/>
      <c r="S50" s="706"/>
      <c r="T50" s="70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t="27" hidden="1" customHeight="1" x14ac:dyDescent="0.25">
      <c r="A51" s="60" t="s">
        <v>135</v>
      </c>
      <c r="B51" s="60" t="s">
        <v>136</v>
      </c>
      <c r="C51" s="34">
        <v>4301011565</v>
      </c>
      <c r="D51" s="704">
        <v>4680115882539</v>
      </c>
      <c r="E51" s="704"/>
      <c r="F51" s="59">
        <v>0.37</v>
      </c>
      <c r="G51" s="35">
        <v>10</v>
      </c>
      <c r="H51" s="59">
        <v>3.7</v>
      </c>
      <c r="I51" s="59">
        <v>3.89</v>
      </c>
      <c r="J51" s="35">
        <v>132</v>
      </c>
      <c r="K51" s="35" t="s">
        <v>134</v>
      </c>
      <c r="L51" s="35" t="s">
        <v>46</v>
      </c>
      <c r="M51" s="36" t="s">
        <v>88</v>
      </c>
      <c r="N51" s="36"/>
      <c r="O51" s="35">
        <v>50</v>
      </c>
      <c r="P51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IFERROR(IF(Y51=0,"",ROUNDUP(Y51/H51,0)*0.00902),"")</f>
        <v/>
      </c>
      <c r="AA51" s="65" t="s">
        <v>46</v>
      </c>
      <c r="AB51" s="66" t="s">
        <v>46</v>
      </c>
      <c r="AC51" s="113" t="s">
        <v>125</v>
      </c>
      <c r="AG51" s="75"/>
      <c r="AJ51" s="79" t="s">
        <v>46</v>
      </c>
      <c r="AK51" s="79">
        <v>0</v>
      </c>
      <c r="BB51" s="114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idden="1" x14ac:dyDescent="0.2">
      <c r="A52" s="712"/>
      <c r="B52" s="712"/>
      <c r="C52" s="712"/>
      <c r="D52" s="712"/>
      <c r="E52" s="712"/>
      <c r="F52" s="712"/>
      <c r="G52" s="712"/>
      <c r="H52" s="712"/>
      <c r="I52" s="712"/>
      <c r="J52" s="712"/>
      <c r="K52" s="712"/>
      <c r="L52" s="712"/>
      <c r="M52" s="712"/>
      <c r="N52" s="712"/>
      <c r="O52" s="713"/>
      <c r="P52" s="709" t="s">
        <v>40</v>
      </c>
      <c r="Q52" s="710"/>
      <c r="R52" s="710"/>
      <c r="S52" s="710"/>
      <c r="T52" s="710"/>
      <c r="U52" s="710"/>
      <c r="V52" s="711"/>
      <c r="W52" s="40" t="s">
        <v>39</v>
      </c>
      <c r="X52" s="41">
        <f>IFERROR(X48/H48,"0")+IFERROR(X49/H49,"0")+IFERROR(X50/H50,"0")+IFERROR(X51/H51,"0")</f>
        <v>0</v>
      </c>
      <c r="Y52" s="41">
        <f>IFERROR(Y48/H48,"0")+IFERROR(Y49/H49,"0")+IFERROR(Y50/H50,"0")+IFERROR(Y51/H51,"0")</f>
        <v>0</v>
      </c>
      <c r="Z52" s="41">
        <f>IFERROR(IF(Z48="",0,Z48),"0")+IFERROR(IF(Z49="",0,Z49),"0")+IFERROR(IF(Z50="",0,Z50),"0")+IFERROR(IF(Z51="",0,Z51),"0")</f>
        <v>0</v>
      </c>
      <c r="AA52" s="64"/>
      <c r="AB52" s="64"/>
      <c r="AC52" s="64"/>
    </row>
    <row r="53" spans="1:68" hidden="1" x14ac:dyDescent="0.2">
      <c r="A53" s="712"/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3"/>
      <c r="P53" s="709" t="s">
        <v>40</v>
      </c>
      <c r="Q53" s="710"/>
      <c r="R53" s="710"/>
      <c r="S53" s="710"/>
      <c r="T53" s="710"/>
      <c r="U53" s="710"/>
      <c r="V53" s="711"/>
      <c r="W53" s="40" t="s">
        <v>0</v>
      </c>
      <c r="X53" s="41">
        <f>IFERROR(SUM(X48:X51),"0")</f>
        <v>0</v>
      </c>
      <c r="Y53" s="41">
        <f>IFERROR(SUM(Y48:Y51),"0")</f>
        <v>0</v>
      </c>
      <c r="Z53" s="40"/>
      <c r="AA53" s="64"/>
      <c r="AB53" s="64"/>
      <c r="AC53" s="64"/>
    </row>
    <row r="54" spans="1:68" ht="16.5" hidden="1" customHeight="1" x14ac:dyDescent="0.25">
      <c r="A54" s="702" t="s">
        <v>137</v>
      </c>
      <c r="B54" s="702"/>
      <c r="C54" s="702"/>
      <c r="D54" s="702"/>
      <c r="E54" s="702"/>
      <c r="F54" s="702"/>
      <c r="G54" s="702"/>
      <c r="H54" s="702"/>
      <c r="I54" s="702"/>
      <c r="J54" s="702"/>
      <c r="K54" s="702"/>
      <c r="L54" s="702"/>
      <c r="M54" s="702"/>
      <c r="N54" s="702"/>
      <c r="O54" s="702"/>
      <c r="P54" s="702"/>
      <c r="Q54" s="702"/>
      <c r="R54" s="702"/>
      <c r="S54" s="702"/>
      <c r="T54" s="702"/>
      <c r="U54" s="702"/>
      <c r="V54" s="702"/>
      <c r="W54" s="702"/>
      <c r="X54" s="702"/>
      <c r="Y54" s="702"/>
      <c r="Z54" s="702"/>
      <c r="AA54" s="62"/>
      <c r="AB54" s="62"/>
      <c r="AC54" s="62"/>
    </row>
    <row r="55" spans="1:68" ht="14.25" hidden="1" customHeight="1" x14ac:dyDescent="0.25">
      <c r="A55" s="703" t="s">
        <v>122</v>
      </c>
      <c r="B55" s="703"/>
      <c r="C55" s="703"/>
      <c r="D55" s="703"/>
      <c r="E55" s="703"/>
      <c r="F55" s="703"/>
      <c r="G55" s="703"/>
      <c r="H55" s="703"/>
      <c r="I55" s="703"/>
      <c r="J55" s="703"/>
      <c r="K55" s="703"/>
      <c r="L55" s="703"/>
      <c r="M55" s="703"/>
      <c r="N55" s="703"/>
      <c r="O55" s="703"/>
      <c r="P55" s="703"/>
      <c r="Q55" s="703"/>
      <c r="R55" s="703"/>
      <c r="S55" s="703"/>
      <c r="T55" s="703"/>
      <c r="U55" s="703"/>
      <c r="V55" s="703"/>
      <c r="W55" s="703"/>
      <c r="X55" s="703"/>
      <c r="Y55" s="703"/>
      <c r="Z55" s="703"/>
      <c r="AA55" s="63"/>
      <c r="AB55" s="63"/>
      <c r="AC55" s="63"/>
    </row>
    <row r="56" spans="1:68" ht="27" hidden="1" customHeight="1" x14ac:dyDescent="0.25">
      <c r="A56" s="60" t="s">
        <v>138</v>
      </c>
      <c r="B56" s="60" t="s">
        <v>139</v>
      </c>
      <c r="C56" s="34">
        <v>4301012161</v>
      </c>
      <c r="D56" s="704">
        <v>4680115885882</v>
      </c>
      <c r="E56" s="704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2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06"/>
      <c r="R56" s="706"/>
      <c r="S56" s="706"/>
      <c r="T56" s="70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ref="Y56:Y61" si="6">IFERROR(IF(X56="",0,CEILING((X56/$H56),1)*$H56),"")</f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140</v>
      </c>
      <c r="AG56" s="75"/>
      <c r="AJ56" s="79" t="s">
        <v>46</v>
      </c>
      <c r="AK56" s="79">
        <v>0</v>
      </c>
      <c r="BB56" s="116" t="s">
        <v>66</v>
      </c>
      <c r="BM56" s="75">
        <f t="shared" ref="BM56:BM61" si="7">IFERROR(X56*I56/H56,"0")</f>
        <v>0</v>
      </c>
      <c r="BN56" s="75">
        <f t="shared" ref="BN56:BN61" si="8">IFERROR(Y56*I56/H56,"0")</f>
        <v>0</v>
      </c>
      <c r="BO56" s="75">
        <f t="shared" ref="BO56:BO61" si="9">IFERROR(1/J56*(X56/H56),"0")</f>
        <v>0</v>
      </c>
      <c r="BP56" s="75">
        <f t="shared" ref="BP56:BP61" si="10">IFERROR(1/J56*(Y56/H56),"0")</f>
        <v>0</v>
      </c>
    </row>
    <row r="57" spans="1:68" ht="27" customHeight="1" x14ac:dyDescent="0.25">
      <c r="A57" s="60" t="s">
        <v>141</v>
      </c>
      <c r="B57" s="60" t="s">
        <v>142</v>
      </c>
      <c r="C57" s="34">
        <v>4301011816</v>
      </c>
      <c r="D57" s="704">
        <v>4680115881426</v>
      </c>
      <c r="E57" s="704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73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06"/>
      <c r="R57" s="706"/>
      <c r="S57" s="706"/>
      <c r="T57" s="707"/>
      <c r="U57" s="37" t="s">
        <v>46</v>
      </c>
      <c r="V57" s="37" t="s">
        <v>46</v>
      </c>
      <c r="W57" s="38" t="s">
        <v>0</v>
      </c>
      <c r="X57" s="56">
        <v>100</v>
      </c>
      <c r="Y57" s="53">
        <f t="shared" si="6"/>
        <v>108</v>
      </c>
      <c r="Z57" s="39">
        <f>IFERROR(IF(Y57=0,"",ROUNDUP(Y57/H57,0)*0.01898),"")</f>
        <v>0.1898</v>
      </c>
      <c r="AA57" s="65" t="s">
        <v>46</v>
      </c>
      <c r="AB57" s="66" t="s">
        <v>46</v>
      </c>
      <c r="AC57" s="117" t="s">
        <v>143</v>
      </c>
      <c r="AG57" s="75"/>
      <c r="AJ57" s="79" t="s">
        <v>46</v>
      </c>
      <c r="AK57" s="79">
        <v>0</v>
      </c>
      <c r="BB57" s="118" t="s">
        <v>66</v>
      </c>
      <c r="BM57" s="75">
        <f t="shared" si="7"/>
        <v>103.79629629629629</v>
      </c>
      <c r="BN57" s="75">
        <f t="shared" si="8"/>
        <v>112.1</v>
      </c>
      <c r="BO57" s="75">
        <f t="shared" si="9"/>
        <v>0.14467592592592593</v>
      </c>
      <c r="BP57" s="75">
        <f t="shared" si="10"/>
        <v>0.15625</v>
      </c>
    </row>
    <row r="58" spans="1:68" ht="27" hidden="1" customHeight="1" x14ac:dyDescent="0.25">
      <c r="A58" s="60" t="s">
        <v>144</v>
      </c>
      <c r="B58" s="60" t="s">
        <v>145</v>
      </c>
      <c r="C58" s="34">
        <v>4301012259</v>
      </c>
      <c r="D58" s="704">
        <v>4680115880283</v>
      </c>
      <c r="E58" s="704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73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06"/>
      <c r="R58" s="706"/>
      <c r="S58" s="706"/>
      <c r="T58" s="70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146</v>
      </c>
      <c r="AG58" s="75"/>
      <c r="AJ58" s="79" t="s">
        <v>46</v>
      </c>
      <c r="AK58" s="79">
        <v>0</v>
      </c>
      <c r="BB58" s="120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ht="27" hidden="1" customHeight="1" x14ac:dyDescent="0.25">
      <c r="A59" s="60" t="s">
        <v>147</v>
      </c>
      <c r="B59" s="60" t="s">
        <v>148</v>
      </c>
      <c r="C59" s="34">
        <v>4301011806</v>
      </c>
      <c r="D59" s="704">
        <v>4680115881525</v>
      </c>
      <c r="E59" s="70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7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6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149</v>
      </c>
      <c r="AG59" s="75"/>
      <c r="AJ59" s="79" t="s">
        <v>46</v>
      </c>
      <c r="AK59" s="79">
        <v>0</v>
      </c>
      <c r="BB59" s="122" t="s">
        <v>66</v>
      </c>
      <c r="BM59" s="75">
        <f t="shared" si="7"/>
        <v>0</v>
      </c>
      <c r="BN59" s="75">
        <f t="shared" si="8"/>
        <v>0</v>
      </c>
      <c r="BO59" s="75">
        <f t="shared" si="9"/>
        <v>0</v>
      </c>
      <c r="BP59" s="75">
        <f t="shared" si="10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4301012165</v>
      </c>
      <c r="D60" s="704">
        <v>4680115885899</v>
      </c>
      <c r="E60" s="70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89</v>
      </c>
      <c r="L60" s="35" t="s">
        <v>46</v>
      </c>
      <c r="M60" s="36" t="s">
        <v>126</v>
      </c>
      <c r="N60" s="36"/>
      <c r="O60" s="35">
        <v>50</v>
      </c>
      <c r="P60" s="7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66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37.5" customHeight="1" x14ac:dyDescent="0.25">
      <c r="A61" s="60" t="s">
        <v>152</v>
      </c>
      <c r="B61" s="60" t="s">
        <v>153</v>
      </c>
      <c r="C61" s="34">
        <v>4301011801</v>
      </c>
      <c r="D61" s="704">
        <v>4680115881419</v>
      </c>
      <c r="E61" s="70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73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250</v>
      </c>
      <c r="Y61" s="53">
        <f t="shared" si="6"/>
        <v>252</v>
      </c>
      <c r="Z61" s="39">
        <f>IFERROR(IF(Y61=0,"",ROUNDUP(Y61/H61,0)*0.00902),"")</f>
        <v>0.50512000000000001</v>
      </c>
      <c r="AA61" s="65" t="s">
        <v>46</v>
      </c>
      <c r="AB61" s="66" t="s">
        <v>46</v>
      </c>
      <c r="AC61" s="125" t="s">
        <v>154</v>
      </c>
      <c r="AG61" s="75"/>
      <c r="AJ61" s="79" t="s">
        <v>46</v>
      </c>
      <c r="AK61" s="79">
        <v>0</v>
      </c>
      <c r="BB61" s="126" t="s">
        <v>66</v>
      </c>
      <c r="BM61" s="75">
        <f t="shared" si="7"/>
        <v>260.55555555555554</v>
      </c>
      <c r="BN61" s="75">
        <f t="shared" si="8"/>
        <v>262.64000000000004</v>
      </c>
      <c r="BO61" s="75">
        <f t="shared" si="9"/>
        <v>0.4208754208754209</v>
      </c>
      <c r="BP61" s="75">
        <f t="shared" si="10"/>
        <v>0.42424242424242425</v>
      </c>
    </row>
    <row r="62" spans="1:68" x14ac:dyDescent="0.2">
      <c r="A62" s="712"/>
      <c r="B62" s="712"/>
      <c r="C62" s="712"/>
      <c r="D62" s="712"/>
      <c r="E62" s="712"/>
      <c r="F62" s="712"/>
      <c r="G62" s="712"/>
      <c r="H62" s="712"/>
      <c r="I62" s="712"/>
      <c r="J62" s="712"/>
      <c r="K62" s="712"/>
      <c r="L62" s="712"/>
      <c r="M62" s="712"/>
      <c r="N62" s="712"/>
      <c r="O62" s="713"/>
      <c r="P62" s="709" t="s">
        <v>40</v>
      </c>
      <c r="Q62" s="710"/>
      <c r="R62" s="710"/>
      <c r="S62" s="710"/>
      <c r="T62" s="710"/>
      <c r="U62" s="710"/>
      <c r="V62" s="711"/>
      <c r="W62" s="40" t="s">
        <v>39</v>
      </c>
      <c r="X62" s="41">
        <f>IFERROR(X56/H56,"0")+IFERROR(X57/H57,"0")+IFERROR(X58/H58,"0")+IFERROR(X59/H59,"0")+IFERROR(X60/H60,"0")+IFERROR(X61/H61,"0")</f>
        <v>64.81481481481481</v>
      </c>
      <c r="Y62" s="41">
        <f>IFERROR(Y56/H56,"0")+IFERROR(Y57/H57,"0")+IFERROR(Y58/H58,"0")+IFERROR(Y59/H59,"0")+IFERROR(Y60/H60,"0")+IFERROR(Y61/H61,"0")</f>
        <v>66</v>
      </c>
      <c r="Z62" s="41">
        <f>IFERROR(IF(Z56="",0,Z56),"0")+IFERROR(IF(Z57="",0,Z57),"0")+IFERROR(IF(Z58="",0,Z58),"0")+IFERROR(IF(Z59="",0,Z59),"0")+IFERROR(IF(Z60="",0,Z60),"0")+IFERROR(IF(Z61="",0,Z61),"0")</f>
        <v>0.69491999999999998</v>
      </c>
      <c r="AA62" s="64"/>
      <c r="AB62" s="64"/>
      <c r="AC62" s="64"/>
    </row>
    <row r="63" spans="1:68" x14ac:dyDescent="0.2">
      <c r="A63" s="712"/>
      <c r="B63" s="712"/>
      <c r="C63" s="712"/>
      <c r="D63" s="712"/>
      <c r="E63" s="712"/>
      <c r="F63" s="712"/>
      <c r="G63" s="712"/>
      <c r="H63" s="712"/>
      <c r="I63" s="712"/>
      <c r="J63" s="712"/>
      <c r="K63" s="712"/>
      <c r="L63" s="712"/>
      <c r="M63" s="712"/>
      <c r="N63" s="712"/>
      <c r="O63" s="713"/>
      <c r="P63" s="709" t="s">
        <v>40</v>
      </c>
      <c r="Q63" s="710"/>
      <c r="R63" s="710"/>
      <c r="S63" s="710"/>
      <c r="T63" s="710"/>
      <c r="U63" s="710"/>
      <c r="V63" s="711"/>
      <c r="W63" s="40" t="s">
        <v>0</v>
      </c>
      <c r="X63" s="41">
        <f>IFERROR(SUM(X56:X61),"0")</f>
        <v>350</v>
      </c>
      <c r="Y63" s="41">
        <f>IFERROR(SUM(Y56:Y61),"0")</f>
        <v>360</v>
      </c>
      <c r="Z63" s="40"/>
      <c r="AA63" s="64"/>
      <c r="AB63" s="64"/>
      <c r="AC63" s="64"/>
    </row>
    <row r="64" spans="1:68" ht="14.25" hidden="1" customHeight="1" x14ac:dyDescent="0.25">
      <c r="A64" s="703" t="s">
        <v>155</v>
      </c>
      <c r="B64" s="703"/>
      <c r="C64" s="703"/>
      <c r="D64" s="703"/>
      <c r="E64" s="703"/>
      <c r="F64" s="703"/>
      <c r="G64" s="703"/>
      <c r="H64" s="703"/>
      <c r="I64" s="703"/>
      <c r="J64" s="703"/>
      <c r="K64" s="703"/>
      <c r="L64" s="703"/>
      <c r="M64" s="703"/>
      <c r="N64" s="703"/>
      <c r="O64" s="703"/>
      <c r="P64" s="703"/>
      <c r="Q64" s="703"/>
      <c r="R64" s="703"/>
      <c r="S64" s="703"/>
      <c r="T64" s="703"/>
      <c r="U64" s="703"/>
      <c r="V64" s="703"/>
      <c r="W64" s="703"/>
      <c r="X64" s="703"/>
      <c r="Y64" s="703"/>
      <c r="Z64" s="703"/>
      <c r="AA64" s="63"/>
      <c r="AB64" s="63"/>
      <c r="AC64" s="63"/>
    </row>
    <row r="65" spans="1:68" ht="16.5" hidden="1" customHeight="1" x14ac:dyDescent="0.25">
      <c r="A65" s="60" t="s">
        <v>156</v>
      </c>
      <c r="B65" s="60" t="s">
        <v>157</v>
      </c>
      <c r="C65" s="34">
        <v>4301020298</v>
      </c>
      <c r="D65" s="704">
        <v>4680115881440</v>
      </c>
      <c r="E65" s="70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73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158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159</v>
      </c>
      <c r="B66" s="60" t="s">
        <v>160</v>
      </c>
      <c r="C66" s="34">
        <v>4301020358</v>
      </c>
      <c r="D66" s="704">
        <v>4680115885950</v>
      </c>
      <c r="E66" s="70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89</v>
      </c>
      <c r="L66" s="35" t="s">
        <v>46</v>
      </c>
      <c r="M66" s="36" t="s">
        <v>88</v>
      </c>
      <c r="N66" s="36"/>
      <c r="O66" s="35">
        <v>50</v>
      </c>
      <c r="P66" s="7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158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161</v>
      </c>
      <c r="B67" s="60" t="s">
        <v>162</v>
      </c>
      <c r="C67" s="34">
        <v>4301020371</v>
      </c>
      <c r="D67" s="704">
        <v>4680115887688</v>
      </c>
      <c r="E67" s="70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79</v>
      </c>
      <c r="N67" s="36"/>
      <c r="O67" s="35">
        <v>30</v>
      </c>
      <c r="P67" s="7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06"/>
      <c r="R67" s="706"/>
      <c r="S67" s="706"/>
      <c r="T67" s="70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163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164</v>
      </c>
      <c r="B68" s="60" t="s">
        <v>165</v>
      </c>
      <c r="C68" s="34">
        <v>4301020296</v>
      </c>
      <c r="D68" s="704">
        <v>4680115881433</v>
      </c>
      <c r="E68" s="70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89</v>
      </c>
      <c r="L68" s="35" t="s">
        <v>46</v>
      </c>
      <c r="M68" s="36" t="s">
        <v>126</v>
      </c>
      <c r="N68" s="36"/>
      <c r="O68" s="35">
        <v>50</v>
      </c>
      <c r="P68" s="7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06"/>
      <c r="R68" s="706"/>
      <c r="S68" s="706"/>
      <c r="T68" s="70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158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12"/>
      <c r="B69" s="712"/>
      <c r="C69" s="712"/>
      <c r="D69" s="712"/>
      <c r="E69" s="712"/>
      <c r="F69" s="712"/>
      <c r="G69" s="712"/>
      <c r="H69" s="712"/>
      <c r="I69" s="712"/>
      <c r="J69" s="712"/>
      <c r="K69" s="712"/>
      <c r="L69" s="712"/>
      <c r="M69" s="712"/>
      <c r="N69" s="712"/>
      <c r="O69" s="713"/>
      <c r="P69" s="709" t="s">
        <v>40</v>
      </c>
      <c r="Q69" s="710"/>
      <c r="R69" s="710"/>
      <c r="S69" s="710"/>
      <c r="T69" s="710"/>
      <c r="U69" s="710"/>
      <c r="V69" s="711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12"/>
      <c r="B70" s="712"/>
      <c r="C70" s="712"/>
      <c r="D70" s="712"/>
      <c r="E70" s="712"/>
      <c r="F70" s="712"/>
      <c r="G70" s="712"/>
      <c r="H70" s="712"/>
      <c r="I70" s="712"/>
      <c r="J70" s="712"/>
      <c r="K70" s="712"/>
      <c r="L70" s="712"/>
      <c r="M70" s="712"/>
      <c r="N70" s="712"/>
      <c r="O70" s="713"/>
      <c r="P70" s="709" t="s">
        <v>40</v>
      </c>
      <c r="Q70" s="710"/>
      <c r="R70" s="710"/>
      <c r="S70" s="710"/>
      <c r="T70" s="710"/>
      <c r="U70" s="710"/>
      <c r="V70" s="711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03" t="s">
        <v>84</v>
      </c>
      <c r="B71" s="703"/>
      <c r="C71" s="703"/>
      <c r="D71" s="703"/>
      <c r="E71" s="703"/>
      <c r="F71" s="703"/>
      <c r="G71" s="703"/>
      <c r="H71" s="703"/>
      <c r="I71" s="703"/>
      <c r="J71" s="703"/>
      <c r="K71" s="703"/>
      <c r="L71" s="703"/>
      <c r="M71" s="703"/>
      <c r="N71" s="703"/>
      <c r="O71" s="703"/>
      <c r="P71" s="703"/>
      <c r="Q71" s="703"/>
      <c r="R71" s="703"/>
      <c r="S71" s="703"/>
      <c r="T71" s="703"/>
      <c r="U71" s="703"/>
      <c r="V71" s="703"/>
      <c r="W71" s="703"/>
      <c r="X71" s="703"/>
      <c r="Y71" s="703"/>
      <c r="Z71" s="703"/>
      <c r="AA71" s="63"/>
      <c r="AB71" s="63"/>
      <c r="AC71" s="63"/>
    </row>
    <row r="72" spans="1:68" ht="16.5" hidden="1" customHeight="1" x14ac:dyDescent="0.25">
      <c r="A72" s="60" t="s">
        <v>166</v>
      </c>
      <c r="B72" s="60" t="s">
        <v>167</v>
      </c>
      <c r="C72" s="34">
        <v>4301051837</v>
      </c>
      <c r="D72" s="704">
        <v>4680115884311</v>
      </c>
      <c r="E72" s="70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89</v>
      </c>
      <c r="L72" s="35" t="s">
        <v>46</v>
      </c>
      <c r="M72" s="36" t="s">
        <v>88</v>
      </c>
      <c r="N72" s="36"/>
      <c r="O72" s="35">
        <v>40</v>
      </c>
      <c r="P72" s="73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168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170</v>
      </c>
      <c r="C73" s="34">
        <v>4301051929</v>
      </c>
      <c r="D73" s="704">
        <v>4680115884403</v>
      </c>
      <c r="E73" s="70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89</v>
      </c>
      <c r="L73" s="35" t="s">
        <v>46</v>
      </c>
      <c r="M73" s="36" t="s">
        <v>88</v>
      </c>
      <c r="N73" s="36"/>
      <c r="O73" s="35">
        <v>40</v>
      </c>
      <c r="P73" s="74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IFERROR(X72/H72,"0")+IFERROR(X73/H73,"0")</f>
        <v>0</v>
      </c>
      <c r="Y74" s="41">
        <f>IFERROR(Y72/H72,"0")+IFERROR(Y73/H73,"0")</f>
        <v>0</v>
      </c>
      <c r="Z74" s="41">
        <f>IFERROR(IF(Z72="",0,Z72),"0")+IFERROR(IF(Z73="",0,Z73),"0")</f>
        <v>0</v>
      </c>
      <c r="AA74" s="64"/>
      <c r="AB74" s="64"/>
      <c r="AC74" s="64"/>
    </row>
    <row r="75" spans="1:68" hidden="1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IFERROR(SUM(X72:X73),"0")</f>
        <v>0</v>
      </c>
      <c r="Y75" s="41">
        <f>IFERROR(SUM(Y72:Y73),"0")</f>
        <v>0</v>
      </c>
      <c r="Z75" s="40"/>
      <c r="AA75" s="64"/>
      <c r="AB75" s="64"/>
      <c r="AC75" s="64"/>
    </row>
    <row r="76" spans="1:68" ht="14.25" hidden="1" customHeight="1" x14ac:dyDescent="0.25">
      <c r="A76" s="703" t="s">
        <v>172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704">
        <v>4680115881532</v>
      </c>
      <c r="E77" s="704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127</v>
      </c>
      <c r="L77" s="35" t="s">
        <v>46</v>
      </c>
      <c r="M77" s="36" t="s">
        <v>95</v>
      </c>
      <c r="N77" s="36"/>
      <c r="O77" s="35">
        <v>30</v>
      </c>
      <c r="P77" s="7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176</v>
      </c>
      <c r="B78" s="60" t="s">
        <v>177</v>
      </c>
      <c r="C78" s="34">
        <v>4301060351</v>
      </c>
      <c r="D78" s="704">
        <v>4680115881464</v>
      </c>
      <c r="E78" s="704"/>
      <c r="F78" s="59">
        <v>0.4</v>
      </c>
      <c r="G78" s="35">
        <v>6</v>
      </c>
      <c r="H78" s="59">
        <v>2.4</v>
      </c>
      <c r="I78" s="59">
        <v>2.59</v>
      </c>
      <c r="J78" s="35">
        <v>132</v>
      </c>
      <c r="K78" s="35" t="s">
        <v>134</v>
      </c>
      <c r="L78" s="35" t="s">
        <v>46</v>
      </c>
      <c r="M78" s="36" t="s">
        <v>88</v>
      </c>
      <c r="N78" s="36"/>
      <c r="O78" s="35">
        <v>30</v>
      </c>
      <c r="P78" s="74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IFERROR(IF(Y78=0,"",ROUNDUP(Y78/H78,0)*0.00902),"")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6.5" hidden="1" customHeight="1" x14ac:dyDescent="0.25">
      <c r="A81" s="702" t="s">
        <v>179</v>
      </c>
      <c r="B81" s="702"/>
      <c r="C81" s="702"/>
      <c r="D81" s="702"/>
      <c r="E81" s="702"/>
      <c r="F81" s="702"/>
      <c r="G81" s="702"/>
      <c r="H81" s="702"/>
      <c r="I81" s="702"/>
      <c r="J81" s="702"/>
      <c r="K81" s="702"/>
      <c r="L81" s="702"/>
      <c r="M81" s="702"/>
      <c r="N81" s="702"/>
      <c r="O81" s="702"/>
      <c r="P81" s="702"/>
      <c r="Q81" s="702"/>
      <c r="R81" s="702"/>
      <c r="S81" s="702"/>
      <c r="T81" s="702"/>
      <c r="U81" s="702"/>
      <c r="V81" s="702"/>
      <c r="W81" s="702"/>
      <c r="X81" s="702"/>
      <c r="Y81" s="702"/>
      <c r="Z81" s="702"/>
      <c r="AA81" s="62"/>
      <c r="AB81" s="62"/>
      <c r="AC81" s="62"/>
    </row>
    <row r="82" spans="1:68" ht="14.25" hidden="1" customHeight="1" x14ac:dyDescent="0.25">
      <c r="A82" s="703" t="s">
        <v>122</v>
      </c>
      <c r="B82" s="703"/>
      <c r="C82" s="703"/>
      <c r="D82" s="703"/>
      <c r="E82" s="703"/>
      <c r="F82" s="703"/>
      <c r="G82" s="703"/>
      <c r="H82" s="703"/>
      <c r="I82" s="703"/>
      <c r="J82" s="703"/>
      <c r="K82" s="703"/>
      <c r="L82" s="703"/>
      <c r="M82" s="703"/>
      <c r="N82" s="703"/>
      <c r="O82" s="703"/>
      <c r="P82" s="703"/>
      <c r="Q82" s="703"/>
      <c r="R82" s="703"/>
      <c r="S82" s="703"/>
      <c r="T82" s="703"/>
      <c r="U82" s="703"/>
      <c r="V82" s="703"/>
      <c r="W82" s="703"/>
      <c r="X82" s="703"/>
      <c r="Y82" s="703"/>
      <c r="Z82" s="703"/>
      <c r="AA82" s="63"/>
      <c r="AB82" s="63"/>
      <c r="AC82" s="63"/>
    </row>
    <row r="83" spans="1:68" ht="27" hidden="1" customHeight="1" x14ac:dyDescent="0.25">
      <c r="A83" s="60" t="s">
        <v>180</v>
      </c>
      <c r="B83" s="60" t="s">
        <v>181</v>
      </c>
      <c r="C83" s="34">
        <v>4301011468</v>
      </c>
      <c r="D83" s="704">
        <v>4680115881327</v>
      </c>
      <c r="E83" s="704"/>
      <c r="F83" s="59">
        <v>1.35</v>
      </c>
      <c r="G83" s="35">
        <v>8</v>
      </c>
      <c r="H83" s="59">
        <v>10.8</v>
      </c>
      <c r="I83" s="59">
        <v>11.21</v>
      </c>
      <c r="J83" s="35">
        <v>64</v>
      </c>
      <c r="K83" s="35" t="s">
        <v>127</v>
      </c>
      <c r="L83" s="35" t="s">
        <v>46</v>
      </c>
      <c r="M83" s="36" t="s">
        <v>95</v>
      </c>
      <c r="N83" s="36"/>
      <c r="O83" s="35">
        <v>50</v>
      </c>
      <c r="P83" s="74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IFERROR(IF(Y83=0,"",ROUNDUP(Y83/H83,0)*0.01898),"")</f>
        <v/>
      </c>
      <c r="AA83" s="65" t="s">
        <v>46</v>
      </c>
      <c r="AB83" s="66" t="s">
        <v>46</v>
      </c>
      <c r="AC83" s="143" t="s">
        <v>182</v>
      </c>
      <c r="AG83" s="75"/>
      <c r="AJ83" s="79" t="s">
        <v>46</v>
      </c>
      <c r="AK83" s="79">
        <v>0</v>
      </c>
      <c r="BB83" s="144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t="27" hidden="1" customHeight="1" x14ac:dyDescent="0.25">
      <c r="A84" s="60" t="s">
        <v>183</v>
      </c>
      <c r="B84" s="60" t="s">
        <v>184</v>
      </c>
      <c r="C84" s="34">
        <v>4301011261</v>
      </c>
      <c r="D84" s="704">
        <v>4680115887732</v>
      </c>
      <c r="E84" s="704"/>
      <c r="F84" s="59">
        <v>0.17</v>
      </c>
      <c r="G84" s="35">
        <v>10</v>
      </c>
      <c r="H84" s="59">
        <v>1.7</v>
      </c>
      <c r="I84" s="59">
        <v>1.8</v>
      </c>
      <c r="J84" s="35">
        <v>192</v>
      </c>
      <c r="K84" s="35" t="s">
        <v>131</v>
      </c>
      <c r="L84" s="35" t="s">
        <v>46</v>
      </c>
      <c r="M84" s="36" t="s">
        <v>79</v>
      </c>
      <c r="N84" s="36"/>
      <c r="O84" s="35">
        <v>30</v>
      </c>
      <c r="P84" s="74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06"/>
      <c r="R84" s="706"/>
      <c r="S84" s="706"/>
      <c r="T84" s="707"/>
      <c r="U84" s="37" t="s">
        <v>46</v>
      </c>
      <c r="V84" s="37" t="s">
        <v>46</v>
      </c>
      <c r="W84" s="38" t="s">
        <v>0</v>
      </c>
      <c r="X84" s="56">
        <v>0</v>
      </c>
      <c r="Y84" s="53">
        <f>IFERROR(IF(X84="",0,CEILING((X84/$H84),1)*$H84),"")</f>
        <v>0</v>
      </c>
      <c r="Z84" s="39" t="str">
        <f>IFERROR(IF(Y84=0,"",ROUNDUP(Y84/H84,0)*0.00726),"")</f>
        <v/>
      </c>
      <c r="AA84" s="65" t="s">
        <v>46</v>
      </c>
      <c r="AB84" s="66" t="s">
        <v>46</v>
      </c>
      <c r="AC84" s="145" t="s">
        <v>185</v>
      </c>
      <c r="AG84" s="75"/>
      <c r="AJ84" s="79" t="s">
        <v>46</v>
      </c>
      <c r="AK84" s="79">
        <v>0</v>
      </c>
      <c r="BB84" s="146" t="s">
        <v>66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hidden="1" customHeight="1" x14ac:dyDescent="0.25">
      <c r="A85" s="60" t="s">
        <v>186</v>
      </c>
      <c r="B85" s="60" t="s">
        <v>187</v>
      </c>
      <c r="C85" s="34">
        <v>4301011476</v>
      </c>
      <c r="D85" s="704">
        <v>4680115881518</v>
      </c>
      <c r="E85" s="704"/>
      <c r="F85" s="59">
        <v>0.4</v>
      </c>
      <c r="G85" s="35">
        <v>10</v>
      </c>
      <c r="H85" s="59">
        <v>4</v>
      </c>
      <c r="I85" s="59">
        <v>4.1900000000000004</v>
      </c>
      <c r="J85" s="35">
        <v>132</v>
      </c>
      <c r="K85" s="35" t="s">
        <v>134</v>
      </c>
      <c r="L85" s="35" t="s">
        <v>46</v>
      </c>
      <c r="M85" s="36" t="s">
        <v>88</v>
      </c>
      <c r="N85" s="36"/>
      <c r="O85" s="35">
        <v>50</v>
      </c>
      <c r="P85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06"/>
      <c r="R85" s="706"/>
      <c r="S85" s="706"/>
      <c r="T85" s="70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IFERROR(IF(Y85=0,"",ROUNDUP(Y85/H85,0)*0.00902),"")</f>
        <v/>
      </c>
      <c r="AA85" s="65" t="s">
        <v>46</v>
      </c>
      <c r="AB85" s="66" t="s">
        <v>46</v>
      </c>
      <c r="AC85" s="147" t="s">
        <v>182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188</v>
      </c>
      <c r="B86" s="60" t="s">
        <v>189</v>
      </c>
      <c r="C86" s="34">
        <v>4301011443</v>
      </c>
      <c r="D86" s="704">
        <v>4680115881303</v>
      </c>
      <c r="E86" s="704"/>
      <c r="F86" s="59">
        <v>0.45</v>
      </c>
      <c r="G86" s="35">
        <v>10</v>
      </c>
      <c r="H86" s="59">
        <v>4.5</v>
      </c>
      <c r="I86" s="59">
        <v>4.6900000000000004</v>
      </c>
      <c r="J86" s="35">
        <v>132</v>
      </c>
      <c r="K86" s="35" t="s">
        <v>134</v>
      </c>
      <c r="L86" s="35" t="s">
        <v>46</v>
      </c>
      <c r="M86" s="36" t="s">
        <v>95</v>
      </c>
      <c r="N86" s="36"/>
      <c r="O86" s="35">
        <v>50</v>
      </c>
      <c r="P86" s="74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06"/>
      <c r="R86" s="706"/>
      <c r="S86" s="706"/>
      <c r="T86" s="70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49" t="s">
        <v>182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idden="1" x14ac:dyDescent="0.2">
      <c r="A87" s="712"/>
      <c r="B87" s="712"/>
      <c r="C87" s="712"/>
      <c r="D87" s="712"/>
      <c r="E87" s="712"/>
      <c r="F87" s="712"/>
      <c r="G87" s="712"/>
      <c r="H87" s="712"/>
      <c r="I87" s="712"/>
      <c r="J87" s="712"/>
      <c r="K87" s="712"/>
      <c r="L87" s="712"/>
      <c r="M87" s="712"/>
      <c r="N87" s="712"/>
      <c r="O87" s="713"/>
      <c r="P87" s="709" t="s">
        <v>40</v>
      </c>
      <c r="Q87" s="710"/>
      <c r="R87" s="710"/>
      <c r="S87" s="710"/>
      <c r="T87" s="710"/>
      <c r="U87" s="710"/>
      <c r="V87" s="711"/>
      <c r="W87" s="40" t="s">
        <v>39</v>
      </c>
      <c r="X87" s="41">
        <f>IFERROR(X83/H83,"0")+IFERROR(X84/H84,"0")+IFERROR(X85/H85,"0")+IFERROR(X86/H86,"0")</f>
        <v>0</v>
      </c>
      <c r="Y87" s="41">
        <f>IFERROR(Y83/H83,"0")+IFERROR(Y84/H84,"0")+IFERROR(Y85/H85,"0")+IFERROR(Y86/H86,"0")</f>
        <v>0</v>
      </c>
      <c r="Z87" s="41">
        <f>IFERROR(IF(Z83="",0,Z83),"0")+IFERROR(IF(Z84="",0,Z84),"0")+IFERROR(IF(Z85="",0,Z85),"0")+IFERROR(IF(Z86="",0,Z86),"0")</f>
        <v>0</v>
      </c>
      <c r="AA87" s="64"/>
      <c r="AB87" s="64"/>
      <c r="AC87" s="64"/>
    </row>
    <row r="88" spans="1:68" hidden="1" x14ac:dyDescent="0.2">
      <c r="A88" s="712"/>
      <c r="B88" s="712"/>
      <c r="C88" s="712"/>
      <c r="D88" s="712"/>
      <c r="E88" s="712"/>
      <c r="F88" s="712"/>
      <c r="G88" s="712"/>
      <c r="H88" s="712"/>
      <c r="I88" s="712"/>
      <c r="J88" s="712"/>
      <c r="K88" s="712"/>
      <c r="L88" s="712"/>
      <c r="M88" s="712"/>
      <c r="N88" s="712"/>
      <c r="O88" s="713"/>
      <c r="P88" s="709" t="s">
        <v>40</v>
      </c>
      <c r="Q88" s="710"/>
      <c r="R88" s="710"/>
      <c r="S88" s="710"/>
      <c r="T88" s="710"/>
      <c r="U88" s="710"/>
      <c r="V88" s="711"/>
      <c r="W88" s="40" t="s">
        <v>0</v>
      </c>
      <c r="X88" s="41">
        <f>IFERROR(SUM(X83:X86),"0")</f>
        <v>0</v>
      </c>
      <c r="Y88" s="41">
        <f>IFERROR(SUM(Y83:Y86),"0")</f>
        <v>0</v>
      </c>
      <c r="Z88" s="40"/>
      <c r="AA88" s="64"/>
      <c r="AB88" s="64"/>
      <c r="AC88" s="64"/>
    </row>
    <row r="89" spans="1:68" ht="14.25" hidden="1" customHeight="1" x14ac:dyDescent="0.25">
      <c r="A89" s="703" t="s">
        <v>84</v>
      </c>
      <c r="B89" s="703"/>
      <c r="C89" s="703"/>
      <c r="D89" s="703"/>
      <c r="E89" s="703"/>
      <c r="F89" s="703"/>
      <c r="G89" s="703"/>
      <c r="H89" s="703"/>
      <c r="I89" s="703"/>
      <c r="J89" s="703"/>
      <c r="K89" s="703"/>
      <c r="L89" s="703"/>
      <c r="M89" s="703"/>
      <c r="N89" s="703"/>
      <c r="O89" s="703"/>
      <c r="P89" s="703"/>
      <c r="Q89" s="703"/>
      <c r="R89" s="703"/>
      <c r="S89" s="703"/>
      <c r="T89" s="703"/>
      <c r="U89" s="703"/>
      <c r="V89" s="703"/>
      <c r="W89" s="703"/>
      <c r="X89" s="703"/>
      <c r="Y89" s="703"/>
      <c r="Z89" s="703"/>
      <c r="AA89" s="63"/>
      <c r="AB89" s="63"/>
      <c r="AC89" s="63"/>
    </row>
    <row r="90" spans="1:68" ht="27" hidden="1" customHeight="1" x14ac:dyDescent="0.25">
      <c r="A90" s="60" t="s">
        <v>190</v>
      </c>
      <c r="B90" s="60" t="s">
        <v>191</v>
      </c>
      <c r="C90" s="34">
        <v>4301051712</v>
      </c>
      <c r="D90" s="704">
        <v>4607091386967</v>
      </c>
      <c r="E90" s="704"/>
      <c r="F90" s="59">
        <v>1.35</v>
      </c>
      <c r="G90" s="35">
        <v>6</v>
      </c>
      <c r="H90" s="59">
        <v>8.1</v>
      </c>
      <c r="I90" s="59">
        <v>8.5939999999999994</v>
      </c>
      <c r="J90" s="35">
        <v>64</v>
      </c>
      <c r="K90" s="35" t="s">
        <v>127</v>
      </c>
      <c r="L90" s="35" t="s">
        <v>46</v>
      </c>
      <c r="M90" s="36" t="s">
        <v>95</v>
      </c>
      <c r="N90" s="36"/>
      <c r="O90" s="35">
        <v>45</v>
      </c>
      <c r="P90" s="74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IFERROR(IF(Y90=0,"",ROUNDUP(Y90/H90,0)*0.01898),"")</f>
        <v/>
      </c>
      <c r="AA90" s="65" t="s">
        <v>46</v>
      </c>
      <c r="AB90" s="66" t="s">
        <v>46</v>
      </c>
      <c r="AC90" s="151" t="s">
        <v>192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193</v>
      </c>
      <c r="B91" s="60" t="s">
        <v>194</v>
      </c>
      <c r="C91" s="34">
        <v>4301051788</v>
      </c>
      <c r="D91" s="704">
        <v>4680115884953</v>
      </c>
      <c r="E91" s="704"/>
      <c r="F91" s="59">
        <v>0.37</v>
      </c>
      <c r="G91" s="35">
        <v>6</v>
      </c>
      <c r="H91" s="59">
        <v>2.2200000000000002</v>
      </c>
      <c r="I91" s="59">
        <v>2.472</v>
      </c>
      <c r="J91" s="35">
        <v>182</v>
      </c>
      <c r="K91" s="35" t="s">
        <v>89</v>
      </c>
      <c r="L91" s="35" t="s">
        <v>46</v>
      </c>
      <c r="M91" s="36" t="s">
        <v>88</v>
      </c>
      <c r="N91" s="36"/>
      <c r="O91" s="35">
        <v>45</v>
      </c>
      <c r="P91" s="74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IFERROR(IF(Y91=0,"",ROUNDUP(Y91/H91,0)*0.00651),"")</f>
        <v/>
      </c>
      <c r="AA91" s="65" t="s">
        <v>46</v>
      </c>
      <c r="AB91" s="66" t="s">
        <v>46</v>
      </c>
      <c r="AC91" s="153" t="s">
        <v>192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t="27" customHeight="1" x14ac:dyDescent="0.25">
      <c r="A92" s="60" t="s">
        <v>195</v>
      </c>
      <c r="B92" s="60" t="s">
        <v>196</v>
      </c>
      <c r="C92" s="34">
        <v>4301051718</v>
      </c>
      <c r="D92" s="704">
        <v>4607091385731</v>
      </c>
      <c r="E92" s="704"/>
      <c r="F92" s="59">
        <v>0.45</v>
      </c>
      <c r="G92" s="35">
        <v>6</v>
      </c>
      <c r="H92" s="59">
        <v>2.7</v>
      </c>
      <c r="I92" s="59">
        <v>2.952</v>
      </c>
      <c r="J92" s="35">
        <v>182</v>
      </c>
      <c r="K92" s="35" t="s">
        <v>89</v>
      </c>
      <c r="L92" s="35" t="s">
        <v>46</v>
      </c>
      <c r="M92" s="36" t="s">
        <v>95</v>
      </c>
      <c r="N92" s="36"/>
      <c r="O92" s="35">
        <v>45</v>
      </c>
      <c r="P92" s="74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06"/>
      <c r="R92" s="706"/>
      <c r="S92" s="706"/>
      <c r="T92" s="707"/>
      <c r="U92" s="37" t="s">
        <v>46</v>
      </c>
      <c r="V92" s="37" t="s">
        <v>46</v>
      </c>
      <c r="W92" s="38" t="s">
        <v>0</v>
      </c>
      <c r="X92" s="56">
        <v>450</v>
      </c>
      <c r="Y92" s="53">
        <f>IFERROR(IF(X92="",0,CEILING((X92/$H92),1)*$H92),"")</f>
        <v>450.90000000000003</v>
      </c>
      <c r="Z92" s="39">
        <f>IFERROR(IF(Y92=0,"",ROUNDUP(Y92/H92,0)*0.00651),"")</f>
        <v>1.08717</v>
      </c>
      <c r="AA92" s="65" t="s">
        <v>46</v>
      </c>
      <c r="AB92" s="66" t="s">
        <v>46</v>
      </c>
      <c r="AC92" s="155" t="s">
        <v>192</v>
      </c>
      <c r="AG92" s="75"/>
      <c r="AJ92" s="79" t="s">
        <v>46</v>
      </c>
      <c r="AK92" s="79">
        <v>0</v>
      </c>
      <c r="BB92" s="156" t="s">
        <v>66</v>
      </c>
      <c r="BM92" s="75">
        <f>IFERROR(X92*I92/H92,"0")</f>
        <v>492</v>
      </c>
      <c r="BN92" s="75">
        <f>IFERROR(Y92*I92/H92,"0")</f>
        <v>492.98399999999998</v>
      </c>
      <c r="BO92" s="75">
        <f>IFERROR(1/J92*(X92/H92),"0")</f>
        <v>0.91575091575091572</v>
      </c>
      <c r="BP92" s="75">
        <f>IFERROR(1/J92*(Y92/H92),"0")</f>
        <v>0.91758241758241765</v>
      </c>
    </row>
    <row r="93" spans="1:68" ht="16.5" hidden="1" customHeight="1" x14ac:dyDescent="0.25">
      <c r="A93" s="60" t="s">
        <v>197</v>
      </c>
      <c r="B93" s="60" t="s">
        <v>198</v>
      </c>
      <c r="C93" s="34">
        <v>4301052092</v>
      </c>
      <c r="D93" s="704">
        <v>4680115880894</v>
      </c>
      <c r="E93" s="704"/>
      <c r="F93" s="59">
        <v>0.33</v>
      </c>
      <c r="G93" s="35">
        <v>6</v>
      </c>
      <c r="H93" s="59">
        <v>1.98</v>
      </c>
      <c r="I93" s="59">
        <v>2.238</v>
      </c>
      <c r="J93" s="35">
        <v>182</v>
      </c>
      <c r="K93" s="35" t="s">
        <v>89</v>
      </c>
      <c r="L93" s="35" t="s">
        <v>46</v>
      </c>
      <c r="M93" s="36" t="s">
        <v>88</v>
      </c>
      <c r="N93" s="36"/>
      <c r="O93" s="35">
        <v>45</v>
      </c>
      <c r="P93" s="75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06"/>
      <c r="R93" s="706"/>
      <c r="S93" s="706"/>
      <c r="T93" s="70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 t="s">
        <v>46</v>
      </c>
      <c r="AB93" s="66" t="s">
        <v>46</v>
      </c>
      <c r="AC93" s="157" t="s">
        <v>199</v>
      </c>
      <c r="AG93" s="75"/>
      <c r="AJ93" s="79" t="s">
        <v>46</v>
      </c>
      <c r="AK93" s="79">
        <v>0</v>
      </c>
      <c r="BB93" s="158" t="s">
        <v>66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x14ac:dyDescent="0.2">
      <c r="A94" s="712"/>
      <c r="B94" s="712"/>
      <c r="C94" s="712"/>
      <c r="D94" s="712"/>
      <c r="E94" s="712"/>
      <c r="F94" s="712"/>
      <c r="G94" s="712"/>
      <c r="H94" s="712"/>
      <c r="I94" s="712"/>
      <c r="J94" s="712"/>
      <c r="K94" s="712"/>
      <c r="L94" s="712"/>
      <c r="M94" s="712"/>
      <c r="N94" s="712"/>
      <c r="O94" s="713"/>
      <c r="P94" s="709" t="s">
        <v>40</v>
      </c>
      <c r="Q94" s="710"/>
      <c r="R94" s="710"/>
      <c r="S94" s="710"/>
      <c r="T94" s="710"/>
      <c r="U94" s="710"/>
      <c r="V94" s="711"/>
      <c r="W94" s="40" t="s">
        <v>39</v>
      </c>
      <c r="X94" s="41">
        <f>IFERROR(X90/H90,"0")+IFERROR(X91/H91,"0")+IFERROR(X92/H92,"0")+IFERROR(X93/H93,"0")</f>
        <v>166.66666666666666</v>
      </c>
      <c r="Y94" s="41">
        <f>IFERROR(Y90/H90,"0")+IFERROR(Y91/H91,"0")+IFERROR(Y92/H92,"0")+IFERROR(Y93/H93,"0")</f>
        <v>167</v>
      </c>
      <c r="Z94" s="41">
        <f>IFERROR(IF(Z90="",0,Z90),"0")+IFERROR(IF(Z91="",0,Z91),"0")+IFERROR(IF(Z92="",0,Z92),"0")+IFERROR(IF(Z93="",0,Z93),"0")</f>
        <v>1.08717</v>
      </c>
      <c r="AA94" s="64"/>
      <c r="AB94" s="64"/>
      <c r="AC94" s="64"/>
    </row>
    <row r="95" spans="1:68" x14ac:dyDescent="0.2">
      <c r="A95" s="712"/>
      <c r="B95" s="712"/>
      <c r="C95" s="712"/>
      <c r="D95" s="712"/>
      <c r="E95" s="712"/>
      <c r="F95" s="712"/>
      <c r="G95" s="712"/>
      <c r="H95" s="712"/>
      <c r="I95" s="712"/>
      <c r="J95" s="712"/>
      <c r="K95" s="712"/>
      <c r="L95" s="712"/>
      <c r="M95" s="712"/>
      <c r="N95" s="712"/>
      <c r="O95" s="713"/>
      <c r="P95" s="709" t="s">
        <v>40</v>
      </c>
      <c r="Q95" s="710"/>
      <c r="R95" s="710"/>
      <c r="S95" s="710"/>
      <c r="T95" s="710"/>
      <c r="U95" s="710"/>
      <c r="V95" s="711"/>
      <c r="W95" s="40" t="s">
        <v>0</v>
      </c>
      <c r="X95" s="41">
        <f>IFERROR(SUM(X90:X93),"0")</f>
        <v>450</v>
      </c>
      <c r="Y95" s="41">
        <f>IFERROR(SUM(Y90:Y93),"0")</f>
        <v>450.90000000000003</v>
      </c>
      <c r="Z95" s="40"/>
      <c r="AA95" s="64"/>
      <c r="AB95" s="64"/>
      <c r="AC95" s="64"/>
    </row>
    <row r="96" spans="1:68" ht="16.5" hidden="1" customHeight="1" x14ac:dyDescent="0.25">
      <c r="A96" s="702" t="s">
        <v>200</v>
      </c>
      <c r="B96" s="702"/>
      <c r="C96" s="702"/>
      <c r="D96" s="702"/>
      <c r="E96" s="702"/>
      <c r="F96" s="702"/>
      <c r="G96" s="702"/>
      <c r="H96" s="702"/>
      <c r="I96" s="702"/>
      <c r="J96" s="702"/>
      <c r="K96" s="702"/>
      <c r="L96" s="702"/>
      <c r="M96" s="702"/>
      <c r="N96" s="702"/>
      <c r="O96" s="702"/>
      <c r="P96" s="702"/>
      <c r="Q96" s="702"/>
      <c r="R96" s="702"/>
      <c r="S96" s="702"/>
      <c r="T96" s="702"/>
      <c r="U96" s="702"/>
      <c r="V96" s="702"/>
      <c r="W96" s="702"/>
      <c r="X96" s="702"/>
      <c r="Y96" s="702"/>
      <c r="Z96" s="702"/>
      <c r="AA96" s="62"/>
      <c r="AB96" s="62"/>
      <c r="AC96" s="62"/>
    </row>
    <row r="97" spans="1:68" ht="14.25" hidden="1" customHeight="1" x14ac:dyDescent="0.25">
      <c r="A97" s="703" t="s">
        <v>122</v>
      </c>
      <c r="B97" s="703"/>
      <c r="C97" s="703"/>
      <c r="D97" s="703"/>
      <c r="E97" s="703"/>
      <c r="F97" s="703"/>
      <c r="G97" s="703"/>
      <c r="H97" s="703"/>
      <c r="I97" s="703"/>
      <c r="J97" s="703"/>
      <c r="K97" s="703"/>
      <c r="L97" s="703"/>
      <c r="M97" s="703"/>
      <c r="N97" s="703"/>
      <c r="O97" s="703"/>
      <c r="P97" s="703"/>
      <c r="Q97" s="703"/>
      <c r="R97" s="703"/>
      <c r="S97" s="703"/>
      <c r="T97" s="703"/>
      <c r="U97" s="703"/>
      <c r="V97" s="703"/>
      <c r="W97" s="703"/>
      <c r="X97" s="703"/>
      <c r="Y97" s="703"/>
      <c r="Z97" s="703"/>
      <c r="AA97" s="63"/>
      <c r="AB97" s="63"/>
      <c r="AC97" s="63"/>
    </row>
    <row r="98" spans="1:68" ht="37.5" hidden="1" customHeight="1" x14ac:dyDescent="0.25">
      <c r="A98" s="60" t="s">
        <v>201</v>
      </c>
      <c r="B98" s="60" t="s">
        <v>202</v>
      </c>
      <c r="C98" s="34">
        <v>4301011514</v>
      </c>
      <c r="D98" s="704">
        <v>4680115882133</v>
      </c>
      <c r="E98" s="704"/>
      <c r="F98" s="59">
        <v>1.35</v>
      </c>
      <c r="G98" s="35">
        <v>8</v>
      </c>
      <c r="H98" s="59">
        <v>10.8</v>
      </c>
      <c r="I98" s="59">
        <v>11.21</v>
      </c>
      <c r="J98" s="35">
        <v>64</v>
      </c>
      <c r="K98" s="35" t="s">
        <v>127</v>
      </c>
      <c r="L98" s="35" t="s">
        <v>46</v>
      </c>
      <c r="M98" s="36" t="s">
        <v>126</v>
      </c>
      <c r="N98" s="36"/>
      <c r="O98" s="35">
        <v>50</v>
      </c>
      <c r="P98" s="7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ref="Y98:Y104" si="11">IFERROR(IF(X98="",0,CEILING((X98/$H98),1)*$H98),"")</f>
        <v>0</v>
      </c>
      <c r="Z98" s="39" t="str">
        <f>IFERROR(IF(Y98=0,"",ROUNDUP(Y98/H98,0)*0.01898),"")</f>
        <v/>
      </c>
      <c r="AA98" s="65" t="s">
        <v>46</v>
      </c>
      <c r="AB98" s="66" t="s">
        <v>46</v>
      </c>
      <c r="AC98" s="159" t="s">
        <v>203</v>
      </c>
      <c r="AG98" s="75"/>
      <c r="AJ98" s="79" t="s">
        <v>46</v>
      </c>
      <c r="AK98" s="79">
        <v>0</v>
      </c>
      <c r="BB98" s="160" t="s">
        <v>66</v>
      </c>
      <c r="BM98" s="75">
        <f t="shared" ref="BM98:BM104" si="12">IFERROR(X98*I98/H98,"0")</f>
        <v>0</v>
      </c>
      <c r="BN98" s="75">
        <f t="shared" ref="BN98:BN104" si="13">IFERROR(Y98*I98/H98,"0")</f>
        <v>0</v>
      </c>
      <c r="BO98" s="75">
        <f t="shared" ref="BO98:BO104" si="14">IFERROR(1/J98*(X98/H98),"0")</f>
        <v>0</v>
      </c>
      <c r="BP98" s="75">
        <f t="shared" ref="BP98:BP104" si="15">IFERROR(1/J98*(Y98/H98),"0")</f>
        <v>0</v>
      </c>
    </row>
    <row r="99" spans="1:68" ht="27" hidden="1" customHeight="1" x14ac:dyDescent="0.25">
      <c r="A99" s="60" t="s">
        <v>204</v>
      </c>
      <c r="B99" s="60" t="s">
        <v>205</v>
      </c>
      <c r="C99" s="34">
        <v>4301012051</v>
      </c>
      <c r="D99" s="704">
        <v>4680115887718</v>
      </c>
      <c r="E99" s="704"/>
      <c r="F99" s="59">
        <v>0.11</v>
      </c>
      <c r="G99" s="35">
        <v>10</v>
      </c>
      <c r="H99" s="59">
        <v>1.1000000000000001</v>
      </c>
      <c r="I99" s="59">
        <v>1.31</v>
      </c>
      <c r="J99" s="35">
        <v>192</v>
      </c>
      <c r="K99" s="35" t="s">
        <v>131</v>
      </c>
      <c r="L99" s="35" t="s">
        <v>46</v>
      </c>
      <c r="M99" s="36" t="s">
        <v>79</v>
      </c>
      <c r="N99" s="36"/>
      <c r="O99" s="35">
        <v>30</v>
      </c>
      <c r="P99" s="75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06"/>
      <c r="R99" s="706"/>
      <c r="S99" s="706"/>
      <c r="T99" s="707"/>
      <c r="U99" s="37" t="s">
        <v>46</v>
      </c>
      <c r="V99" s="37" t="s">
        <v>46</v>
      </c>
      <c r="W99" s="38" t="s">
        <v>0</v>
      </c>
      <c r="X99" s="56">
        <v>0</v>
      </c>
      <c r="Y99" s="53">
        <f t="shared" si="11"/>
        <v>0</v>
      </c>
      <c r="Z99" s="39" t="str">
        <f>IFERROR(IF(Y99=0,"",ROUNDUP(Y99/H99,0)*0.00726),"")</f>
        <v/>
      </c>
      <c r="AA99" s="65" t="s">
        <v>46</v>
      </c>
      <c r="AB99" s="66" t="s">
        <v>46</v>
      </c>
      <c r="AC99" s="161" t="s">
        <v>206</v>
      </c>
      <c r="AG99" s="75"/>
      <c r="AJ99" s="79" t="s">
        <v>46</v>
      </c>
      <c r="AK99" s="79">
        <v>0</v>
      </c>
      <c r="BB99" s="162" t="s">
        <v>66</v>
      </c>
      <c r="BM99" s="75">
        <f t="shared" si="12"/>
        <v>0</v>
      </c>
      <c r="BN99" s="75">
        <f t="shared" si="13"/>
        <v>0</v>
      </c>
      <c r="BO99" s="75">
        <f t="shared" si="14"/>
        <v>0</v>
      </c>
      <c r="BP99" s="75">
        <f t="shared" si="15"/>
        <v>0</v>
      </c>
    </row>
    <row r="100" spans="1:68" ht="27" hidden="1" customHeight="1" x14ac:dyDescent="0.25">
      <c r="A100" s="60" t="s">
        <v>204</v>
      </c>
      <c r="B100" s="60" t="s">
        <v>207</v>
      </c>
      <c r="C100" s="34">
        <v>4301012334</v>
      </c>
      <c r="D100" s="704">
        <v>4680115887718</v>
      </c>
      <c r="E100" s="704"/>
      <c r="F100" s="59">
        <v>0.11</v>
      </c>
      <c r="G100" s="35">
        <v>8</v>
      </c>
      <c r="H100" s="59">
        <v>0.88</v>
      </c>
      <c r="I100" s="59">
        <v>1.0680000000000001</v>
      </c>
      <c r="J100" s="35">
        <v>192</v>
      </c>
      <c r="K100" s="35" t="s">
        <v>131</v>
      </c>
      <c r="L100" s="35" t="s">
        <v>46</v>
      </c>
      <c r="M100" s="36" t="s">
        <v>79</v>
      </c>
      <c r="N100" s="36"/>
      <c r="O100" s="35">
        <v>30</v>
      </c>
      <c r="P100" s="75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06"/>
      <c r="R100" s="706"/>
      <c r="S100" s="706"/>
      <c r="T100" s="707"/>
      <c r="U100" s="37" t="s">
        <v>46</v>
      </c>
      <c r="V100" s="37" t="s">
        <v>46</v>
      </c>
      <c r="W100" s="38" t="s">
        <v>0</v>
      </c>
      <c r="X100" s="56">
        <v>0</v>
      </c>
      <c r="Y100" s="53">
        <f t="shared" si="11"/>
        <v>0</v>
      </c>
      <c r="Z100" s="39" t="str">
        <f>IFERROR(IF(Y100=0,"",ROUNDUP(Y100/H100,0)*0.00726),"")</f>
        <v/>
      </c>
      <c r="AA100" s="65" t="s">
        <v>46</v>
      </c>
      <c r="AB100" s="66" t="s">
        <v>46</v>
      </c>
      <c r="AC100" s="163" t="s">
        <v>206</v>
      </c>
      <c r="AG100" s="75"/>
      <c r="AJ100" s="79" t="s">
        <v>46</v>
      </c>
      <c r="AK100" s="79">
        <v>0</v>
      </c>
      <c r="BB100" s="164" t="s">
        <v>66</v>
      </c>
      <c r="BM100" s="75">
        <f t="shared" si="12"/>
        <v>0</v>
      </c>
      <c r="BN100" s="75">
        <f t="shared" si="13"/>
        <v>0</v>
      </c>
      <c r="BO100" s="75">
        <f t="shared" si="14"/>
        <v>0</v>
      </c>
      <c r="BP100" s="75">
        <f t="shared" si="15"/>
        <v>0</v>
      </c>
    </row>
    <row r="101" spans="1:68" ht="27" hidden="1" customHeight="1" x14ac:dyDescent="0.25">
      <c r="A101" s="60" t="s">
        <v>204</v>
      </c>
      <c r="B101" s="60" t="s">
        <v>208</v>
      </c>
      <c r="C101" s="34">
        <v>4301012379</v>
      </c>
      <c r="D101" s="704">
        <v>4680115887718</v>
      </c>
      <c r="E101" s="704"/>
      <c r="F101" s="59">
        <v>0.11</v>
      </c>
      <c r="G101" s="35">
        <v>6</v>
      </c>
      <c r="H101" s="59">
        <v>0.66</v>
      </c>
      <c r="I101" s="59">
        <v>0.82599999999999996</v>
      </c>
      <c r="J101" s="35">
        <v>192</v>
      </c>
      <c r="K101" s="35" t="s">
        <v>131</v>
      </c>
      <c r="L101" s="35" t="s">
        <v>46</v>
      </c>
      <c r="M101" s="36" t="s">
        <v>79</v>
      </c>
      <c r="N101" s="36"/>
      <c r="O101" s="35">
        <v>30</v>
      </c>
      <c r="P101" s="75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06"/>
      <c r="R101" s="706"/>
      <c r="S101" s="706"/>
      <c r="T101" s="70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si="11"/>
        <v>0</v>
      </c>
      <c r="Z101" s="39" t="str">
        <f>IFERROR(IF(Y101=0,"",ROUNDUP(Y101/H101,0)*0.00726),"")</f>
        <v/>
      </c>
      <c r="AA101" s="65" t="s">
        <v>46</v>
      </c>
      <c r="AB101" s="66" t="s">
        <v>46</v>
      </c>
      <c r="AC101" s="165" t="s">
        <v>206</v>
      </c>
      <c r="AG101" s="75"/>
      <c r="AJ101" s="79" t="s">
        <v>46</v>
      </c>
      <c r="AK101" s="79">
        <v>0</v>
      </c>
      <c r="BB101" s="166" t="s">
        <v>66</v>
      </c>
      <c r="BM101" s="75">
        <f t="shared" si="12"/>
        <v>0</v>
      </c>
      <c r="BN101" s="75">
        <f t="shared" si="13"/>
        <v>0</v>
      </c>
      <c r="BO101" s="75">
        <f t="shared" si="14"/>
        <v>0</v>
      </c>
      <c r="BP101" s="75">
        <f t="shared" si="15"/>
        <v>0</v>
      </c>
    </row>
    <row r="102" spans="1:68" ht="37.5" hidden="1" customHeight="1" x14ac:dyDescent="0.25">
      <c r="A102" s="60" t="s">
        <v>209</v>
      </c>
      <c r="B102" s="60" t="s">
        <v>210</v>
      </c>
      <c r="C102" s="34">
        <v>4301011417</v>
      </c>
      <c r="D102" s="704">
        <v>4680115880269</v>
      </c>
      <c r="E102" s="704"/>
      <c r="F102" s="59">
        <v>0.375</v>
      </c>
      <c r="G102" s="35">
        <v>10</v>
      </c>
      <c r="H102" s="59">
        <v>3.75</v>
      </c>
      <c r="I102" s="59">
        <v>3.94</v>
      </c>
      <c r="J102" s="35">
        <v>132</v>
      </c>
      <c r="K102" s="35" t="s">
        <v>134</v>
      </c>
      <c r="L102" s="35" t="s">
        <v>46</v>
      </c>
      <c r="M102" s="36" t="s">
        <v>88</v>
      </c>
      <c r="N102" s="36"/>
      <c r="O102" s="35">
        <v>50</v>
      </c>
      <c r="P102" s="75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06"/>
      <c r="R102" s="706"/>
      <c r="S102" s="706"/>
      <c r="T102" s="70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1"/>
        <v>0</v>
      </c>
      <c r="Z102" s="39" t="str">
        <f>IFERROR(IF(Y102=0,"",ROUNDUP(Y102/H102,0)*0.00902),"")</f>
        <v/>
      </c>
      <c r="AA102" s="65" t="s">
        <v>46</v>
      </c>
      <c r="AB102" s="66" t="s">
        <v>46</v>
      </c>
      <c r="AC102" s="167" t="s">
        <v>203</v>
      </c>
      <c r="AG102" s="75"/>
      <c r="AJ102" s="79" t="s">
        <v>46</v>
      </c>
      <c r="AK102" s="79">
        <v>0</v>
      </c>
      <c r="BB102" s="168" t="s">
        <v>66</v>
      </c>
      <c r="BM102" s="75">
        <f t="shared" si="12"/>
        <v>0</v>
      </c>
      <c r="BN102" s="75">
        <f t="shared" si="13"/>
        <v>0</v>
      </c>
      <c r="BO102" s="75">
        <f t="shared" si="14"/>
        <v>0</v>
      </c>
      <c r="BP102" s="75">
        <f t="shared" si="15"/>
        <v>0</v>
      </c>
    </row>
    <row r="103" spans="1:68" ht="37.5" hidden="1" customHeight="1" x14ac:dyDescent="0.25">
      <c r="A103" s="60" t="s">
        <v>211</v>
      </c>
      <c r="B103" s="60" t="s">
        <v>212</v>
      </c>
      <c r="C103" s="34">
        <v>4301011415</v>
      </c>
      <c r="D103" s="704">
        <v>4680115880429</v>
      </c>
      <c r="E103" s="704"/>
      <c r="F103" s="59">
        <v>0.45</v>
      </c>
      <c r="G103" s="35">
        <v>10</v>
      </c>
      <c r="H103" s="59">
        <v>4.5</v>
      </c>
      <c r="I103" s="59">
        <v>4.6900000000000004</v>
      </c>
      <c r="J103" s="35">
        <v>132</v>
      </c>
      <c r="K103" s="35" t="s">
        <v>134</v>
      </c>
      <c r="L103" s="35" t="s">
        <v>46</v>
      </c>
      <c r="M103" s="36" t="s">
        <v>88</v>
      </c>
      <c r="N103" s="36"/>
      <c r="O103" s="35">
        <v>50</v>
      </c>
      <c r="P103" s="75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IFERROR(IF(Y103=0,"",ROUNDUP(Y103/H103,0)*0.00902),"")</f>
        <v/>
      </c>
      <c r="AA103" s="65" t="s">
        <v>46</v>
      </c>
      <c r="AB103" s="66" t="s">
        <v>46</v>
      </c>
      <c r="AC103" s="169" t="s">
        <v>203</v>
      </c>
      <c r="AG103" s="75"/>
      <c r="AJ103" s="79" t="s">
        <v>46</v>
      </c>
      <c r="AK103" s="79">
        <v>0</v>
      </c>
      <c r="BB103" s="170" t="s">
        <v>66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37.5" hidden="1" customHeight="1" x14ac:dyDescent="0.25">
      <c r="A104" s="60" t="s">
        <v>213</v>
      </c>
      <c r="B104" s="60" t="s">
        <v>214</v>
      </c>
      <c r="C104" s="34">
        <v>4301011462</v>
      </c>
      <c r="D104" s="704">
        <v>4680115881457</v>
      </c>
      <c r="E104" s="704"/>
      <c r="F104" s="59">
        <v>0.75</v>
      </c>
      <c r="G104" s="35">
        <v>6</v>
      </c>
      <c r="H104" s="59">
        <v>4.5</v>
      </c>
      <c r="I104" s="59">
        <v>4.6900000000000004</v>
      </c>
      <c r="J104" s="35">
        <v>132</v>
      </c>
      <c r="K104" s="35" t="s">
        <v>134</v>
      </c>
      <c r="L104" s="35" t="s">
        <v>46</v>
      </c>
      <c r="M104" s="36" t="s">
        <v>88</v>
      </c>
      <c r="N104" s="36"/>
      <c r="O104" s="35">
        <v>50</v>
      </c>
      <c r="P104" s="75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203</v>
      </c>
      <c r="AG104" s="75"/>
      <c r="AJ104" s="79" t="s">
        <v>46</v>
      </c>
      <c r="AK104" s="79">
        <v>0</v>
      </c>
      <c r="BB104" s="172" t="s">
        <v>66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idden="1" x14ac:dyDescent="0.2">
      <c r="A105" s="712"/>
      <c r="B105" s="712"/>
      <c r="C105" s="712"/>
      <c r="D105" s="712"/>
      <c r="E105" s="712"/>
      <c r="F105" s="712"/>
      <c r="G105" s="712"/>
      <c r="H105" s="712"/>
      <c r="I105" s="712"/>
      <c r="J105" s="712"/>
      <c r="K105" s="712"/>
      <c r="L105" s="712"/>
      <c r="M105" s="712"/>
      <c r="N105" s="712"/>
      <c r="O105" s="713"/>
      <c r="P105" s="709" t="s">
        <v>40</v>
      </c>
      <c r="Q105" s="710"/>
      <c r="R105" s="710"/>
      <c r="S105" s="710"/>
      <c r="T105" s="710"/>
      <c r="U105" s="710"/>
      <c r="V105" s="711"/>
      <c r="W105" s="40" t="s">
        <v>39</v>
      </c>
      <c r="X105" s="41">
        <f>IFERROR(X98/H98,"0")+IFERROR(X99/H99,"0")+IFERROR(X100/H100,"0")+IFERROR(X101/H101,"0")+IFERROR(X102/H102,"0")+IFERROR(X103/H103,"0")+IFERROR(X104/H104,"0")</f>
        <v>0</v>
      </c>
      <c r="Y105" s="41">
        <f>IFERROR(Y98/H98,"0")+IFERROR(Y99/H99,"0")+IFERROR(Y100/H100,"0")+IFERROR(Y101/H101,"0")+IFERROR(Y102/H102,"0")+IFERROR(Y103/H103,"0")+IFERROR(Y104/H104,"0")</f>
        <v>0</v>
      </c>
      <c r="Z105" s="41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4"/>
      <c r="AB105" s="64"/>
      <c r="AC105" s="64"/>
    </row>
    <row r="106" spans="1:68" hidden="1" x14ac:dyDescent="0.2">
      <c r="A106" s="712"/>
      <c r="B106" s="712"/>
      <c r="C106" s="712"/>
      <c r="D106" s="712"/>
      <c r="E106" s="712"/>
      <c r="F106" s="712"/>
      <c r="G106" s="712"/>
      <c r="H106" s="712"/>
      <c r="I106" s="712"/>
      <c r="J106" s="712"/>
      <c r="K106" s="712"/>
      <c r="L106" s="712"/>
      <c r="M106" s="712"/>
      <c r="N106" s="712"/>
      <c r="O106" s="713"/>
      <c r="P106" s="709" t="s">
        <v>40</v>
      </c>
      <c r="Q106" s="710"/>
      <c r="R106" s="710"/>
      <c r="S106" s="710"/>
      <c r="T106" s="710"/>
      <c r="U106" s="710"/>
      <c r="V106" s="711"/>
      <c r="W106" s="40" t="s">
        <v>0</v>
      </c>
      <c r="X106" s="41">
        <f>IFERROR(SUM(X98:X104),"0")</f>
        <v>0</v>
      </c>
      <c r="Y106" s="41">
        <f>IFERROR(SUM(Y98:Y104),"0")</f>
        <v>0</v>
      </c>
      <c r="Z106" s="40"/>
      <c r="AA106" s="64"/>
      <c r="AB106" s="64"/>
      <c r="AC106" s="64"/>
    </row>
    <row r="107" spans="1:68" ht="14.25" hidden="1" customHeight="1" x14ac:dyDescent="0.25">
      <c r="A107" s="703" t="s">
        <v>155</v>
      </c>
      <c r="B107" s="703"/>
      <c r="C107" s="703"/>
      <c r="D107" s="703"/>
      <c r="E107" s="703"/>
      <c r="F107" s="703"/>
      <c r="G107" s="703"/>
      <c r="H107" s="703"/>
      <c r="I107" s="703"/>
      <c r="J107" s="703"/>
      <c r="K107" s="703"/>
      <c r="L107" s="703"/>
      <c r="M107" s="703"/>
      <c r="N107" s="703"/>
      <c r="O107" s="703"/>
      <c r="P107" s="703"/>
      <c r="Q107" s="703"/>
      <c r="R107" s="703"/>
      <c r="S107" s="703"/>
      <c r="T107" s="703"/>
      <c r="U107" s="703"/>
      <c r="V107" s="703"/>
      <c r="W107" s="703"/>
      <c r="X107" s="703"/>
      <c r="Y107" s="703"/>
      <c r="Z107" s="703"/>
      <c r="AA107" s="63"/>
      <c r="AB107" s="63"/>
      <c r="AC107" s="63"/>
    </row>
    <row r="108" spans="1:68" ht="27" hidden="1" customHeight="1" x14ac:dyDescent="0.25">
      <c r="A108" s="60" t="s">
        <v>215</v>
      </c>
      <c r="B108" s="60" t="s">
        <v>216</v>
      </c>
      <c r="C108" s="34">
        <v>4301020391</v>
      </c>
      <c r="D108" s="704">
        <v>4680115881488</v>
      </c>
      <c r="E108" s="704"/>
      <c r="F108" s="59">
        <v>1.35</v>
      </c>
      <c r="G108" s="35">
        <v>8</v>
      </c>
      <c r="H108" s="59">
        <v>10.8</v>
      </c>
      <c r="I108" s="59">
        <v>11.21</v>
      </c>
      <c r="J108" s="35">
        <v>64</v>
      </c>
      <c r="K108" s="35" t="s">
        <v>127</v>
      </c>
      <c r="L108" s="35" t="s">
        <v>46</v>
      </c>
      <c r="M108" s="36" t="s">
        <v>126</v>
      </c>
      <c r="N108" s="36"/>
      <c r="O108" s="35">
        <v>55</v>
      </c>
      <c r="P108" s="75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IFERROR(IF(Y108=0,"",ROUNDUP(Y108/H108,0)*0.01898),"")</f>
        <v/>
      </c>
      <c r="AA108" s="65" t="s">
        <v>46</v>
      </c>
      <c r="AB108" s="66" t="s">
        <v>46</v>
      </c>
      <c r="AC108" s="173" t="s">
        <v>217</v>
      </c>
      <c r="AG108" s="75"/>
      <c r="AJ108" s="79" t="s">
        <v>46</v>
      </c>
      <c r="AK108" s="79">
        <v>0</v>
      </c>
      <c r="BB108" s="174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27" hidden="1" customHeight="1" x14ac:dyDescent="0.25">
      <c r="A109" s="60" t="s">
        <v>218</v>
      </c>
      <c r="B109" s="60" t="s">
        <v>219</v>
      </c>
      <c r="C109" s="34">
        <v>4301020186</v>
      </c>
      <c r="D109" s="704">
        <v>4680115887664</v>
      </c>
      <c r="E109" s="704"/>
      <c r="F109" s="59">
        <v>0.1</v>
      </c>
      <c r="G109" s="35">
        <v>10</v>
      </c>
      <c r="H109" s="59">
        <v>1</v>
      </c>
      <c r="I109" s="59">
        <v>1.21</v>
      </c>
      <c r="J109" s="35">
        <v>392</v>
      </c>
      <c r="K109" s="35" t="s">
        <v>221</v>
      </c>
      <c r="L109" s="35" t="s">
        <v>46</v>
      </c>
      <c r="M109" s="36" t="s">
        <v>79</v>
      </c>
      <c r="N109" s="36"/>
      <c r="O109" s="35">
        <v>30</v>
      </c>
      <c r="P109" s="75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06"/>
      <c r="R109" s="706"/>
      <c r="S109" s="706"/>
      <c r="T109" s="707"/>
      <c r="U109" s="37" t="s">
        <v>46</v>
      </c>
      <c r="V109" s="37" t="s">
        <v>46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IFERROR(IF(Y109=0,"",ROUNDUP(Y109/H109,0)*0.00358),"")</f>
        <v/>
      </c>
      <c r="AA109" s="65" t="s">
        <v>46</v>
      </c>
      <c r="AB109" s="66" t="s">
        <v>46</v>
      </c>
      <c r="AC109" s="175" t="s">
        <v>220</v>
      </c>
      <c r="AG109" s="75"/>
      <c r="AJ109" s="79" t="s">
        <v>46</v>
      </c>
      <c r="AK109" s="79">
        <v>0</v>
      </c>
      <c r="BB109" s="176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218</v>
      </c>
      <c r="B110" s="60" t="s">
        <v>222</v>
      </c>
      <c r="C110" s="34">
        <v>4301020430</v>
      </c>
      <c r="D110" s="704">
        <v>4680115887664</v>
      </c>
      <c r="E110" s="704"/>
      <c r="F110" s="59">
        <v>0.1</v>
      </c>
      <c r="G110" s="35">
        <v>8</v>
      </c>
      <c r="H110" s="59">
        <v>0.8</v>
      </c>
      <c r="I110" s="59">
        <v>0.98799999999999999</v>
      </c>
      <c r="J110" s="35">
        <v>392</v>
      </c>
      <c r="K110" s="35" t="s">
        <v>221</v>
      </c>
      <c r="L110" s="35" t="s">
        <v>46</v>
      </c>
      <c r="M110" s="36" t="s">
        <v>79</v>
      </c>
      <c r="N110" s="36"/>
      <c r="O110" s="35">
        <v>30</v>
      </c>
      <c r="P110" s="76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06"/>
      <c r="R110" s="706"/>
      <c r="S110" s="706"/>
      <c r="T110" s="707"/>
      <c r="U110" s="37" t="s">
        <v>46</v>
      </c>
      <c r="V110" s="37" t="s">
        <v>46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46</v>
      </c>
      <c r="AB110" s="66" t="s">
        <v>46</v>
      </c>
      <c r="AC110" s="177" t="s">
        <v>220</v>
      </c>
      <c r="AG110" s="75"/>
      <c r="AJ110" s="79" t="s">
        <v>46</v>
      </c>
      <c r="AK110" s="79">
        <v>0</v>
      </c>
      <c r="BB110" s="178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27" hidden="1" customHeight="1" x14ac:dyDescent="0.25">
      <c r="A111" s="60" t="s">
        <v>223</v>
      </c>
      <c r="B111" s="60" t="s">
        <v>224</v>
      </c>
      <c r="C111" s="34">
        <v>4301020393</v>
      </c>
      <c r="D111" s="704">
        <v>4680115882775</v>
      </c>
      <c r="E111" s="704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80</v>
      </c>
      <c r="L111" s="35" t="s">
        <v>46</v>
      </c>
      <c r="M111" s="36" t="s">
        <v>126</v>
      </c>
      <c r="N111" s="36"/>
      <c r="O111" s="35">
        <v>55</v>
      </c>
      <c r="P111" s="76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06"/>
      <c r="R111" s="706"/>
      <c r="S111" s="706"/>
      <c r="T111" s="707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46</v>
      </c>
      <c r="AB111" s="66" t="s">
        <v>46</v>
      </c>
      <c r="AC111" s="179" t="s">
        <v>217</v>
      </c>
      <c r="AG111" s="75"/>
      <c r="AJ111" s="79" t="s">
        <v>46</v>
      </c>
      <c r="AK111" s="79">
        <v>0</v>
      </c>
      <c r="BB111" s="180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225</v>
      </c>
      <c r="B112" s="60" t="s">
        <v>226</v>
      </c>
      <c r="C112" s="34">
        <v>4301020392</v>
      </c>
      <c r="D112" s="704">
        <v>4680115880658</v>
      </c>
      <c r="E112" s="704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89</v>
      </c>
      <c r="L112" s="35" t="s">
        <v>46</v>
      </c>
      <c r="M112" s="36" t="s">
        <v>126</v>
      </c>
      <c r="N112" s="36"/>
      <c r="O112" s="35">
        <v>55</v>
      </c>
      <c r="P112" s="76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46</v>
      </c>
      <c r="AB112" s="66" t="s">
        <v>46</v>
      </c>
      <c r="AC112" s="181" t="s">
        <v>217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idden="1" x14ac:dyDescent="0.2">
      <c r="A113" s="712"/>
      <c r="B113" s="712"/>
      <c r="C113" s="712"/>
      <c r="D113" s="712"/>
      <c r="E113" s="712"/>
      <c r="F113" s="712"/>
      <c r="G113" s="712"/>
      <c r="H113" s="712"/>
      <c r="I113" s="712"/>
      <c r="J113" s="712"/>
      <c r="K113" s="712"/>
      <c r="L113" s="712"/>
      <c r="M113" s="712"/>
      <c r="N113" s="712"/>
      <c r="O113" s="713"/>
      <c r="P113" s="709" t="s">
        <v>40</v>
      </c>
      <c r="Q113" s="710"/>
      <c r="R113" s="710"/>
      <c r="S113" s="710"/>
      <c r="T113" s="710"/>
      <c r="U113" s="710"/>
      <c r="V113" s="711"/>
      <c r="W113" s="40" t="s">
        <v>39</v>
      </c>
      <c r="X113" s="41">
        <f>IFERROR(X108/H108,"0")+IFERROR(X109/H109,"0")+IFERROR(X110/H110,"0")+IFERROR(X111/H111,"0")+IFERROR(X112/H112,"0")</f>
        <v>0</v>
      </c>
      <c r="Y113" s="41">
        <f>IFERROR(Y108/H108,"0")+IFERROR(Y109/H109,"0")+IFERROR(Y110/H110,"0")+IFERROR(Y111/H111,"0")+IFERROR(Y112/H112,"0")</f>
        <v>0</v>
      </c>
      <c r="Z113" s="41">
        <f>IFERROR(IF(Z108="",0,Z108),"0")+IFERROR(IF(Z109="",0,Z109),"0")+IFERROR(IF(Z110="",0,Z110),"0")+IFERROR(IF(Z111="",0,Z111),"0")+IFERROR(IF(Z112="",0,Z112),"0")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hidden="1" x14ac:dyDescent="0.2">
      <c r="A114" s="712"/>
      <c r="B114" s="712"/>
      <c r="C114" s="712"/>
      <c r="D114" s="712"/>
      <c r="E114" s="712"/>
      <c r="F114" s="712"/>
      <c r="G114" s="712"/>
      <c r="H114" s="712"/>
      <c r="I114" s="712"/>
      <c r="J114" s="712"/>
      <c r="K114" s="712"/>
      <c r="L114" s="712"/>
      <c r="M114" s="712"/>
      <c r="N114" s="712"/>
      <c r="O114" s="713"/>
      <c r="P114" s="709" t="s">
        <v>40</v>
      </c>
      <c r="Q114" s="710"/>
      <c r="R114" s="710"/>
      <c r="S114" s="710"/>
      <c r="T114" s="710"/>
      <c r="U114" s="710"/>
      <c r="V114" s="711"/>
      <c r="W114" s="40" t="s">
        <v>0</v>
      </c>
      <c r="X114" s="41">
        <f>IFERROR(SUM(X108:X112),"0")</f>
        <v>0</v>
      </c>
      <c r="Y114" s="41">
        <f>IFERROR(SUM(Y108:Y112),"0")</f>
        <v>0</v>
      </c>
      <c r="Z114" s="40"/>
      <c r="AA114" s="64"/>
      <c r="AB114" s="64"/>
      <c r="AC114" s="64"/>
    </row>
    <row r="115" spans="1:68" ht="14.25" hidden="1" customHeight="1" x14ac:dyDescent="0.25">
      <c r="A115" s="703" t="s">
        <v>84</v>
      </c>
      <c r="B115" s="703"/>
      <c r="C115" s="703"/>
      <c r="D115" s="703"/>
      <c r="E115" s="703"/>
      <c r="F115" s="703"/>
      <c r="G115" s="703"/>
      <c r="H115" s="703"/>
      <c r="I115" s="703"/>
      <c r="J115" s="703"/>
      <c r="K115" s="703"/>
      <c r="L115" s="703"/>
      <c r="M115" s="703"/>
      <c r="N115" s="703"/>
      <c r="O115" s="703"/>
      <c r="P115" s="703"/>
      <c r="Q115" s="703"/>
      <c r="R115" s="703"/>
      <c r="S115" s="703"/>
      <c r="T115" s="703"/>
      <c r="U115" s="703"/>
      <c r="V115" s="703"/>
      <c r="W115" s="703"/>
      <c r="X115" s="703"/>
      <c r="Y115" s="703"/>
      <c r="Z115" s="703"/>
      <c r="AA115" s="63"/>
      <c r="AB115" s="63"/>
      <c r="AC115" s="63"/>
    </row>
    <row r="116" spans="1:68" ht="27" hidden="1" customHeight="1" x14ac:dyDescent="0.25">
      <c r="A116" s="60" t="s">
        <v>227</v>
      </c>
      <c r="B116" s="60" t="s">
        <v>228</v>
      </c>
      <c r="C116" s="34">
        <v>4301051724</v>
      </c>
      <c r="D116" s="704">
        <v>4607091385168</v>
      </c>
      <c r="E116" s="704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127</v>
      </c>
      <c r="L116" s="35" t="s">
        <v>46</v>
      </c>
      <c r="M116" s="36" t="s">
        <v>95</v>
      </c>
      <c r="N116" s="36"/>
      <c r="O116" s="35">
        <v>45</v>
      </c>
      <c r="P116" s="76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229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230</v>
      </c>
      <c r="B117" s="60" t="s">
        <v>231</v>
      </c>
      <c r="C117" s="34">
        <v>4301051730</v>
      </c>
      <c r="D117" s="704">
        <v>4607091383256</v>
      </c>
      <c r="E117" s="704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89</v>
      </c>
      <c r="L117" s="35" t="s">
        <v>46</v>
      </c>
      <c r="M117" s="36" t="s">
        <v>95</v>
      </c>
      <c r="N117" s="36"/>
      <c r="O117" s="35">
        <v>45</v>
      </c>
      <c r="P117" s="76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06"/>
      <c r="R117" s="706"/>
      <c r="S117" s="706"/>
      <c r="T117" s="707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229</v>
      </c>
      <c r="AG117" s="75"/>
      <c r="AJ117" s="79" t="s">
        <v>46</v>
      </c>
      <c r="AK117" s="79">
        <v>0</v>
      </c>
      <c r="BB117" s="186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232</v>
      </c>
      <c r="B118" s="60" t="s">
        <v>233</v>
      </c>
      <c r="C118" s="34">
        <v>4301051721</v>
      </c>
      <c r="D118" s="704">
        <v>4607091385748</v>
      </c>
      <c r="E118" s="704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89</v>
      </c>
      <c r="L118" s="35" t="s">
        <v>46</v>
      </c>
      <c r="M118" s="36" t="s">
        <v>95</v>
      </c>
      <c r="N118" s="36"/>
      <c r="O118" s="35">
        <v>45</v>
      </c>
      <c r="P118" s="7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06"/>
      <c r="R118" s="706"/>
      <c r="S118" s="706"/>
      <c r="T118" s="707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229</v>
      </c>
      <c r="AG118" s="75"/>
      <c r="AJ118" s="79" t="s">
        <v>46</v>
      </c>
      <c r="AK118" s="79">
        <v>0</v>
      </c>
      <c r="BB118" s="188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hidden="1" customHeight="1" x14ac:dyDescent="0.25">
      <c r="A119" s="60" t="s">
        <v>234</v>
      </c>
      <c r="B119" s="60" t="s">
        <v>235</v>
      </c>
      <c r="C119" s="34">
        <v>4301051740</v>
      </c>
      <c r="D119" s="704">
        <v>4680115884533</v>
      </c>
      <c r="E119" s="704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89</v>
      </c>
      <c r="L119" s="35" t="s">
        <v>46</v>
      </c>
      <c r="M119" s="36" t="s">
        <v>88</v>
      </c>
      <c r="N119" s="36"/>
      <c r="O119" s="35">
        <v>45</v>
      </c>
      <c r="P119" s="76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06"/>
      <c r="R119" s="706"/>
      <c r="S119" s="706"/>
      <c r="T119" s="707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89" t="s">
        <v>236</v>
      </c>
      <c r="AG119" s="75"/>
      <c r="AJ119" s="79" t="s">
        <v>46</v>
      </c>
      <c r="AK119" s="79">
        <v>0</v>
      </c>
      <c r="BB119" s="190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idden="1" x14ac:dyDescent="0.2">
      <c r="A120" s="712"/>
      <c r="B120" s="712"/>
      <c r="C120" s="712"/>
      <c r="D120" s="712"/>
      <c r="E120" s="712"/>
      <c r="F120" s="712"/>
      <c r="G120" s="712"/>
      <c r="H120" s="712"/>
      <c r="I120" s="712"/>
      <c r="J120" s="712"/>
      <c r="K120" s="712"/>
      <c r="L120" s="712"/>
      <c r="M120" s="712"/>
      <c r="N120" s="712"/>
      <c r="O120" s="713"/>
      <c r="P120" s="709" t="s">
        <v>40</v>
      </c>
      <c r="Q120" s="710"/>
      <c r="R120" s="710"/>
      <c r="S120" s="710"/>
      <c r="T120" s="710"/>
      <c r="U120" s="710"/>
      <c r="V120" s="711"/>
      <c r="W120" s="40" t="s">
        <v>39</v>
      </c>
      <c r="X120" s="41">
        <f>IFERROR(X116/H116,"0")+IFERROR(X117/H117,"0")+IFERROR(X118/H118,"0")+IFERROR(X119/H119,"0")</f>
        <v>0</v>
      </c>
      <c r="Y120" s="41">
        <f>IFERROR(Y116/H116,"0")+IFERROR(Y117/H117,"0")+IFERROR(Y118/H118,"0")+IFERROR(Y119/H119,"0")</f>
        <v>0</v>
      </c>
      <c r="Z120" s="41">
        <f>IFERROR(IF(Z116="",0,Z116),"0")+IFERROR(IF(Z117="",0,Z117),"0")+IFERROR(IF(Z118="",0,Z118),"0")+IFERROR(IF(Z119="",0,Z119),"0")</f>
        <v>0</v>
      </c>
      <c r="AA120" s="64"/>
      <c r="AB120" s="64"/>
      <c r="AC120" s="64"/>
    </row>
    <row r="121" spans="1:68" hidden="1" x14ac:dyDescent="0.2">
      <c r="A121" s="712"/>
      <c r="B121" s="712"/>
      <c r="C121" s="712"/>
      <c r="D121" s="712"/>
      <c r="E121" s="712"/>
      <c r="F121" s="712"/>
      <c r="G121" s="712"/>
      <c r="H121" s="712"/>
      <c r="I121" s="712"/>
      <c r="J121" s="712"/>
      <c r="K121" s="712"/>
      <c r="L121" s="712"/>
      <c r="M121" s="712"/>
      <c r="N121" s="712"/>
      <c r="O121" s="713"/>
      <c r="P121" s="709" t="s">
        <v>40</v>
      </c>
      <c r="Q121" s="710"/>
      <c r="R121" s="710"/>
      <c r="S121" s="710"/>
      <c r="T121" s="710"/>
      <c r="U121" s="710"/>
      <c r="V121" s="711"/>
      <c r="W121" s="40" t="s">
        <v>0</v>
      </c>
      <c r="X121" s="41">
        <f>IFERROR(SUM(X116:X119),"0")</f>
        <v>0</v>
      </c>
      <c r="Y121" s="41">
        <f>IFERROR(SUM(Y116:Y119),"0")</f>
        <v>0</v>
      </c>
      <c r="Z121" s="40"/>
      <c r="AA121" s="64"/>
      <c r="AB121" s="64"/>
      <c r="AC121" s="64"/>
    </row>
    <row r="122" spans="1:68" ht="14.25" hidden="1" customHeight="1" x14ac:dyDescent="0.25">
      <c r="A122" s="703" t="s">
        <v>172</v>
      </c>
      <c r="B122" s="703"/>
      <c r="C122" s="703"/>
      <c r="D122" s="703"/>
      <c r="E122" s="703"/>
      <c r="F122" s="703"/>
      <c r="G122" s="703"/>
      <c r="H122" s="703"/>
      <c r="I122" s="703"/>
      <c r="J122" s="703"/>
      <c r="K122" s="703"/>
      <c r="L122" s="703"/>
      <c r="M122" s="703"/>
      <c r="N122" s="703"/>
      <c r="O122" s="703"/>
      <c r="P122" s="703"/>
      <c r="Q122" s="703"/>
      <c r="R122" s="703"/>
      <c r="S122" s="703"/>
      <c r="T122" s="703"/>
      <c r="U122" s="703"/>
      <c r="V122" s="703"/>
      <c r="W122" s="703"/>
      <c r="X122" s="703"/>
      <c r="Y122" s="703"/>
      <c r="Z122" s="703"/>
      <c r="AA122" s="63"/>
      <c r="AB122" s="63"/>
      <c r="AC122" s="63"/>
    </row>
    <row r="123" spans="1:68" ht="16.5" hidden="1" customHeight="1" x14ac:dyDescent="0.25">
      <c r="A123" s="60" t="s">
        <v>237</v>
      </c>
      <c r="B123" s="60" t="s">
        <v>238</v>
      </c>
      <c r="C123" s="34">
        <v>4301060317</v>
      </c>
      <c r="D123" s="704">
        <v>4680115880238</v>
      </c>
      <c r="E123" s="704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89</v>
      </c>
      <c r="L123" s="35" t="s">
        <v>46</v>
      </c>
      <c r="M123" s="36" t="s">
        <v>88</v>
      </c>
      <c r="N123" s="36"/>
      <c r="O123" s="35">
        <v>40</v>
      </c>
      <c r="P123" s="76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239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hidden="1" customHeight="1" x14ac:dyDescent="0.25">
      <c r="A126" s="702" t="s">
        <v>240</v>
      </c>
      <c r="B126" s="702"/>
      <c r="C126" s="702"/>
      <c r="D126" s="702"/>
      <c r="E126" s="702"/>
      <c r="F126" s="702"/>
      <c r="G126" s="702"/>
      <c r="H126" s="702"/>
      <c r="I126" s="702"/>
      <c r="J126" s="702"/>
      <c r="K126" s="702"/>
      <c r="L126" s="702"/>
      <c r="M126" s="702"/>
      <c r="N126" s="702"/>
      <c r="O126" s="702"/>
      <c r="P126" s="702"/>
      <c r="Q126" s="702"/>
      <c r="R126" s="702"/>
      <c r="S126" s="702"/>
      <c r="T126" s="702"/>
      <c r="U126" s="702"/>
      <c r="V126" s="702"/>
      <c r="W126" s="702"/>
      <c r="X126" s="702"/>
      <c r="Y126" s="702"/>
      <c r="Z126" s="702"/>
      <c r="AA126" s="62"/>
      <c r="AB126" s="62"/>
      <c r="AC126" s="62"/>
    </row>
    <row r="127" spans="1:68" ht="14.25" hidden="1" customHeight="1" x14ac:dyDescent="0.25">
      <c r="A127" s="703" t="s">
        <v>122</v>
      </c>
      <c r="B127" s="703"/>
      <c r="C127" s="703"/>
      <c r="D127" s="703"/>
      <c r="E127" s="703"/>
      <c r="F127" s="703"/>
      <c r="G127" s="703"/>
      <c r="H127" s="703"/>
      <c r="I127" s="703"/>
      <c r="J127" s="703"/>
      <c r="K127" s="703"/>
      <c r="L127" s="703"/>
      <c r="M127" s="703"/>
      <c r="N127" s="703"/>
      <c r="O127" s="703"/>
      <c r="P127" s="703"/>
      <c r="Q127" s="703"/>
      <c r="R127" s="703"/>
      <c r="S127" s="703"/>
      <c r="T127" s="703"/>
      <c r="U127" s="703"/>
      <c r="V127" s="703"/>
      <c r="W127" s="703"/>
      <c r="X127" s="703"/>
      <c r="Y127" s="703"/>
      <c r="Z127" s="703"/>
      <c r="AA127" s="63"/>
      <c r="AB127" s="63"/>
      <c r="AC127" s="63"/>
    </row>
    <row r="128" spans="1:68" ht="27" hidden="1" customHeight="1" x14ac:dyDescent="0.25">
      <c r="A128" s="60" t="s">
        <v>241</v>
      </c>
      <c r="B128" s="60" t="s">
        <v>242</v>
      </c>
      <c r="C128" s="34">
        <v>4301012347</v>
      </c>
      <c r="D128" s="704">
        <v>4680115888784</v>
      </c>
      <c r="E128" s="704"/>
      <c r="F128" s="59">
        <v>1</v>
      </c>
      <c r="G128" s="35">
        <v>6</v>
      </c>
      <c r="H128" s="59">
        <v>6</v>
      </c>
      <c r="I128" s="59">
        <v>6.38</v>
      </c>
      <c r="J128" s="35">
        <v>104</v>
      </c>
      <c r="K128" s="35" t="s">
        <v>127</v>
      </c>
      <c r="L128" s="35" t="s">
        <v>46</v>
      </c>
      <c r="M128" s="36" t="s">
        <v>244</v>
      </c>
      <c r="N128" s="36"/>
      <c r="O128" s="35">
        <v>90</v>
      </c>
      <c r="P128" s="76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06"/>
      <c r="R128" s="706"/>
      <c r="S128" s="706"/>
      <c r="T128" s="707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IFERROR(IF(Y128=0,"",ROUNDUP(Y128/H128,0)*0.01196),"")</f>
        <v/>
      </c>
      <c r="AA128" s="65" t="s">
        <v>46</v>
      </c>
      <c r="AB128" s="66" t="s">
        <v>46</v>
      </c>
      <c r="AC128" s="193" t="s">
        <v>243</v>
      </c>
      <c r="AG128" s="75"/>
      <c r="AJ128" s="79" t="s">
        <v>46</v>
      </c>
      <c r="AK128" s="79">
        <v>0</v>
      </c>
      <c r="BB128" s="194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hidden="1" customHeight="1" x14ac:dyDescent="0.25">
      <c r="A129" s="60" t="s">
        <v>245</v>
      </c>
      <c r="B129" s="60" t="s">
        <v>246</v>
      </c>
      <c r="C129" s="34">
        <v>4301011562</v>
      </c>
      <c r="D129" s="704">
        <v>4680115882577</v>
      </c>
      <c r="E129" s="704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89</v>
      </c>
      <c r="L129" s="35" t="s">
        <v>46</v>
      </c>
      <c r="M129" s="36" t="s">
        <v>248</v>
      </c>
      <c r="N129" s="36"/>
      <c r="O129" s="35">
        <v>90</v>
      </c>
      <c r="P129" s="7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06"/>
      <c r="R129" s="706"/>
      <c r="S129" s="706"/>
      <c r="T129" s="707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195" t="s">
        <v>247</v>
      </c>
      <c r="AG129" s="75"/>
      <c r="AJ129" s="79" t="s">
        <v>46</v>
      </c>
      <c r="AK129" s="79">
        <v>0</v>
      </c>
      <c r="BB129" s="196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hidden="1" customHeight="1" x14ac:dyDescent="0.25">
      <c r="A130" s="60" t="s">
        <v>245</v>
      </c>
      <c r="B130" s="60" t="s">
        <v>249</v>
      </c>
      <c r="C130" s="34">
        <v>4301011564</v>
      </c>
      <c r="D130" s="704">
        <v>4680115882577</v>
      </c>
      <c r="E130" s="704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89</v>
      </c>
      <c r="L130" s="35" t="s">
        <v>46</v>
      </c>
      <c r="M130" s="36" t="s">
        <v>248</v>
      </c>
      <c r="N130" s="36"/>
      <c r="O130" s="35">
        <v>90</v>
      </c>
      <c r="P130" s="7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06"/>
      <c r="R130" s="706"/>
      <c r="S130" s="706"/>
      <c r="T130" s="707"/>
      <c r="U130" s="37" t="s">
        <v>46</v>
      </c>
      <c r="V130" s="37" t="s">
        <v>46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46</v>
      </c>
      <c r="AB130" s="66" t="s">
        <v>46</v>
      </c>
      <c r="AC130" s="197" t="s">
        <v>247</v>
      </c>
      <c r="AG130" s="75"/>
      <c r="AJ130" s="79" t="s">
        <v>46</v>
      </c>
      <c r="AK130" s="79">
        <v>0</v>
      </c>
      <c r="BB130" s="198" t="s">
        <v>66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idden="1" x14ac:dyDescent="0.2">
      <c r="A131" s="712"/>
      <c r="B131" s="712"/>
      <c r="C131" s="712"/>
      <c r="D131" s="712"/>
      <c r="E131" s="712"/>
      <c r="F131" s="712"/>
      <c r="G131" s="712"/>
      <c r="H131" s="712"/>
      <c r="I131" s="712"/>
      <c r="J131" s="712"/>
      <c r="K131" s="712"/>
      <c r="L131" s="712"/>
      <c r="M131" s="712"/>
      <c r="N131" s="712"/>
      <c r="O131" s="713"/>
      <c r="P131" s="709" t="s">
        <v>40</v>
      </c>
      <c r="Q131" s="710"/>
      <c r="R131" s="710"/>
      <c r="S131" s="710"/>
      <c r="T131" s="710"/>
      <c r="U131" s="710"/>
      <c r="V131" s="711"/>
      <c r="W131" s="40" t="s">
        <v>39</v>
      </c>
      <c r="X131" s="41">
        <f>IFERROR(X128/H128,"0")+IFERROR(X129/H129,"0")+IFERROR(X130/H130,"0")</f>
        <v>0</v>
      </c>
      <c r="Y131" s="41">
        <f>IFERROR(Y128/H128,"0")+IFERROR(Y129/H129,"0")+IFERROR(Y130/H130,"0")</f>
        <v>0</v>
      </c>
      <c r="Z131" s="41">
        <f>IFERROR(IF(Z128="",0,Z128),"0")+IFERROR(IF(Z129="",0,Z129),"0")+IFERROR(IF(Z130="",0,Z130),"0")</f>
        <v>0</v>
      </c>
      <c r="AA131" s="64"/>
      <c r="AB131" s="64"/>
      <c r="AC131" s="64"/>
    </row>
    <row r="132" spans="1:68" hidden="1" x14ac:dyDescent="0.2">
      <c r="A132" s="712"/>
      <c r="B132" s="712"/>
      <c r="C132" s="712"/>
      <c r="D132" s="712"/>
      <c r="E132" s="712"/>
      <c r="F132" s="712"/>
      <c r="G132" s="712"/>
      <c r="H132" s="712"/>
      <c r="I132" s="712"/>
      <c r="J132" s="712"/>
      <c r="K132" s="712"/>
      <c r="L132" s="712"/>
      <c r="M132" s="712"/>
      <c r="N132" s="712"/>
      <c r="O132" s="713"/>
      <c r="P132" s="709" t="s">
        <v>40</v>
      </c>
      <c r="Q132" s="710"/>
      <c r="R132" s="710"/>
      <c r="S132" s="710"/>
      <c r="T132" s="710"/>
      <c r="U132" s="710"/>
      <c r="V132" s="711"/>
      <c r="W132" s="40" t="s">
        <v>0</v>
      </c>
      <c r="X132" s="41">
        <f>IFERROR(SUM(X128:X130),"0")</f>
        <v>0</v>
      </c>
      <c r="Y132" s="41">
        <f>IFERROR(SUM(Y128:Y130),"0")</f>
        <v>0</v>
      </c>
      <c r="Z132" s="40"/>
      <c r="AA132" s="64"/>
      <c r="AB132" s="64"/>
      <c r="AC132" s="64"/>
    </row>
    <row r="133" spans="1:68" ht="14.25" hidden="1" customHeight="1" x14ac:dyDescent="0.25">
      <c r="A133" s="703" t="s">
        <v>75</v>
      </c>
      <c r="B133" s="703"/>
      <c r="C133" s="703"/>
      <c r="D133" s="703"/>
      <c r="E133" s="703"/>
      <c r="F133" s="703"/>
      <c r="G133" s="703"/>
      <c r="H133" s="703"/>
      <c r="I133" s="703"/>
      <c r="J133" s="703"/>
      <c r="K133" s="703"/>
      <c r="L133" s="703"/>
      <c r="M133" s="703"/>
      <c r="N133" s="703"/>
      <c r="O133" s="703"/>
      <c r="P133" s="703"/>
      <c r="Q133" s="703"/>
      <c r="R133" s="703"/>
      <c r="S133" s="703"/>
      <c r="T133" s="703"/>
      <c r="U133" s="703"/>
      <c r="V133" s="703"/>
      <c r="W133" s="703"/>
      <c r="X133" s="703"/>
      <c r="Y133" s="703"/>
      <c r="Z133" s="703"/>
      <c r="AA133" s="63"/>
      <c r="AB133" s="63"/>
      <c r="AC133" s="63"/>
    </row>
    <row r="134" spans="1:68" ht="16.5" hidden="1" customHeight="1" x14ac:dyDescent="0.25">
      <c r="A134" s="60" t="s">
        <v>250</v>
      </c>
      <c r="B134" s="60" t="s">
        <v>251</v>
      </c>
      <c r="C134" s="34">
        <v>4301031506</v>
      </c>
      <c r="D134" s="704">
        <v>4680115888913</v>
      </c>
      <c r="E134" s="704"/>
      <c r="F134" s="59">
        <v>0.7</v>
      </c>
      <c r="G134" s="35">
        <v>6</v>
      </c>
      <c r="H134" s="59">
        <v>4.2</v>
      </c>
      <c r="I134" s="59">
        <v>4.58</v>
      </c>
      <c r="J134" s="35">
        <v>104</v>
      </c>
      <c r="K134" s="35" t="s">
        <v>127</v>
      </c>
      <c r="L134" s="35" t="s">
        <v>46</v>
      </c>
      <c r="M134" s="36" t="s">
        <v>244</v>
      </c>
      <c r="N134" s="36"/>
      <c r="O134" s="35">
        <v>90</v>
      </c>
      <c r="P134" s="77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IFERROR(IF(Y134=0,"",ROUNDUP(Y134/H134,0)*0.01196),"")</f>
        <v/>
      </c>
      <c r="AA134" s="65" t="s">
        <v>46</v>
      </c>
      <c r="AB134" s="66" t="s">
        <v>46</v>
      </c>
      <c r="AC134" s="199" t="s">
        <v>252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253</v>
      </c>
      <c r="B135" s="60" t="s">
        <v>254</v>
      </c>
      <c r="C135" s="34">
        <v>4301031234</v>
      </c>
      <c r="D135" s="704">
        <v>4680115883444</v>
      </c>
      <c r="E135" s="704"/>
      <c r="F135" s="59">
        <v>0.35</v>
      </c>
      <c r="G135" s="35">
        <v>8</v>
      </c>
      <c r="H135" s="59">
        <v>2.8</v>
      </c>
      <c r="I135" s="59">
        <v>3.0680000000000001</v>
      </c>
      <c r="J135" s="35">
        <v>182</v>
      </c>
      <c r="K135" s="35" t="s">
        <v>89</v>
      </c>
      <c r="L135" s="35" t="s">
        <v>46</v>
      </c>
      <c r="M135" s="36" t="s">
        <v>248</v>
      </c>
      <c r="N135" s="36"/>
      <c r="O135" s="35">
        <v>90</v>
      </c>
      <c r="P135" s="77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255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253</v>
      </c>
      <c r="B136" s="60" t="s">
        <v>256</v>
      </c>
      <c r="C136" s="34">
        <v>4301031235</v>
      </c>
      <c r="D136" s="704">
        <v>4680115883444</v>
      </c>
      <c r="E136" s="70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89</v>
      </c>
      <c r="L136" s="35" t="s">
        <v>46</v>
      </c>
      <c r="M136" s="36" t="s">
        <v>248</v>
      </c>
      <c r="N136" s="36"/>
      <c r="O136" s="35">
        <v>90</v>
      </c>
      <c r="P136" s="77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06"/>
      <c r="R136" s="706"/>
      <c r="S136" s="706"/>
      <c r="T136" s="70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255</v>
      </c>
      <c r="AG136" s="75"/>
      <c r="AJ136" s="79" t="s">
        <v>46</v>
      </c>
      <c r="AK136" s="79">
        <v>0</v>
      </c>
      <c r="BB136" s="204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16.5" hidden="1" customHeight="1" x14ac:dyDescent="0.25">
      <c r="A137" s="60" t="s">
        <v>257</v>
      </c>
      <c r="B137" s="60" t="s">
        <v>258</v>
      </c>
      <c r="C137" s="34">
        <v>4301031504</v>
      </c>
      <c r="D137" s="704">
        <v>4680115888920</v>
      </c>
      <c r="E137" s="704"/>
      <c r="F137" s="59">
        <v>0.35</v>
      </c>
      <c r="G137" s="35">
        <v>8</v>
      </c>
      <c r="H137" s="59">
        <v>2.8</v>
      </c>
      <c r="I137" s="59">
        <v>2.94</v>
      </c>
      <c r="J137" s="35">
        <v>234</v>
      </c>
      <c r="K137" s="35" t="s">
        <v>80</v>
      </c>
      <c r="L137" s="35" t="s">
        <v>46</v>
      </c>
      <c r="M137" s="36" t="s">
        <v>244</v>
      </c>
      <c r="N137" s="36"/>
      <c r="O137" s="35">
        <v>90</v>
      </c>
      <c r="P137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06"/>
      <c r="R137" s="706"/>
      <c r="S137" s="706"/>
      <c r="T137" s="70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IFERROR(IF(Y137=0,"",ROUNDUP(Y137/H137,0)*0.00502),"")</f>
        <v/>
      </c>
      <c r="AA137" s="65" t="s">
        <v>46</v>
      </c>
      <c r="AB137" s="66" t="s">
        <v>46</v>
      </c>
      <c r="AC137" s="205" t="s">
        <v>252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712"/>
      <c r="B138" s="712"/>
      <c r="C138" s="712"/>
      <c r="D138" s="712"/>
      <c r="E138" s="712"/>
      <c r="F138" s="712"/>
      <c r="G138" s="712"/>
      <c r="H138" s="712"/>
      <c r="I138" s="712"/>
      <c r="J138" s="712"/>
      <c r="K138" s="712"/>
      <c r="L138" s="712"/>
      <c r="M138" s="712"/>
      <c r="N138" s="712"/>
      <c r="O138" s="713"/>
      <c r="P138" s="709" t="s">
        <v>40</v>
      </c>
      <c r="Q138" s="710"/>
      <c r="R138" s="710"/>
      <c r="S138" s="710"/>
      <c r="T138" s="710"/>
      <c r="U138" s="710"/>
      <c r="V138" s="711"/>
      <c r="W138" s="40" t="s">
        <v>39</v>
      </c>
      <c r="X138" s="41">
        <f>IFERROR(X134/H134,"0")+IFERROR(X135/H135,"0")+IFERROR(X136/H136,"0")+IFERROR(X137/H137,"0")</f>
        <v>0</v>
      </c>
      <c r="Y138" s="41">
        <f>IFERROR(Y134/H134,"0")+IFERROR(Y135/H135,"0")+IFERROR(Y136/H136,"0")+IFERROR(Y137/H137,"0")</f>
        <v>0</v>
      </c>
      <c r="Z138" s="41">
        <f>IFERROR(IF(Z134="",0,Z134),"0")+IFERROR(IF(Z135="",0,Z135),"0")+IFERROR(IF(Z136="",0,Z136),"0")+IFERROR(IF(Z137="",0,Z137),"0")</f>
        <v>0</v>
      </c>
      <c r="AA138" s="64"/>
      <c r="AB138" s="64"/>
      <c r="AC138" s="64"/>
    </row>
    <row r="139" spans="1:68" hidden="1" x14ac:dyDescent="0.2">
      <c r="A139" s="712"/>
      <c r="B139" s="712"/>
      <c r="C139" s="712"/>
      <c r="D139" s="712"/>
      <c r="E139" s="712"/>
      <c r="F139" s="712"/>
      <c r="G139" s="712"/>
      <c r="H139" s="712"/>
      <c r="I139" s="712"/>
      <c r="J139" s="712"/>
      <c r="K139" s="712"/>
      <c r="L139" s="712"/>
      <c r="M139" s="712"/>
      <c r="N139" s="712"/>
      <c r="O139" s="713"/>
      <c r="P139" s="709" t="s">
        <v>40</v>
      </c>
      <c r="Q139" s="710"/>
      <c r="R139" s="710"/>
      <c r="S139" s="710"/>
      <c r="T139" s="710"/>
      <c r="U139" s="710"/>
      <c r="V139" s="711"/>
      <c r="W139" s="40" t="s">
        <v>0</v>
      </c>
      <c r="X139" s="41">
        <f>IFERROR(SUM(X134:X137),"0")</f>
        <v>0</v>
      </c>
      <c r="Y139" s="41">
        <f>IFERROR(SUM(Y134:Y137),"0")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703" t="s">
        <v>84</v>
      </c>
      <c r="B140" s="703"/>
      <c r="C140" s="703"/>
      <c r="D140" s="703"/>
      <c r="E140" s="703"/>
      <c r="F140" s="703"/>
      <c r="G140" s="703"/>
      <c r="H140" s="703"/>
      <c r="I140" s="703"/>
      <c r="J140" s="703"/>
      <c r="K140" s="703"/>
      <c r="L140" s="703"/>
      <c r="M140" s="703"/>
      <c r="N140" s="703"/>
      <c r="O140" s="703"/>
      <c r="P140" s="703"/>
      <c r="Q140" s="703"/>
      <c r="R140" s="703"/>
      <c r="S140" s="703"/>
      <c r="T140" s="703"/>
      <c r="U140" s="703"/>
      <c r="V140" s="703"/>
      <c r="W140" s="703"/>
      <c r="X140" s="703"/>
      <c r="Y140" s="703"/>
      <c r="Z140" s="703"/>
      <c r="AA140" s="63"/>
      <c r="AB140" s="63"/>
      <c r="AC140" s="63"/>
    </row>
    <row r="141" spans="1:68" ht="16.5" hidden="1" customHeight="1" x14ac:dyDescent="0.25">
      <c r="A141" s="60" t="s">
        <v>259</v>
      </c>
      <c r="B141" s="60" t="s">
        <v>260</v>
      </c>
      <c r="C141" s="34">
        <v>4301052219</v>
      </c>
      <c r="D141" s="704">
        <v>4680115888944</v>
      </c>
      <c r="E141" s="704"/>
      <c r="F141" s="59">
        <v>0.33</v>
      </c>
      <c r="G141" s="35">
        <v>8</v>
      </c>
      <c r="H141" s="59">
        <v>2.64</v>
      </c>
      <c r="I141" s="59">
        <v>2.86</v>
      </c>
      <c r="J141" s="35">
        <v>182</v>
      </c>
      <c r="K141" s="35" t="s">
        <v>89</v>
      </c>
      <c r="L141" s="35" t="s">
        <v>46</v>
      </c>
      <c r="M141" s="36" t="s">
        <v>244</v>
      </c>
      <c r="N141" s="36"/>
      <c r="O141" s="35">
        <v>90</v>
      </c>
      <c r="P141" s="7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243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261</v>
      </c>
      <c r="B142" s="60" t="s">
        <v>262</v>
      </c>
      <c r="C142" s="34">
        <v>4301051476</v>
      </c>
      <c r="D142" s="704">
        <v>4680115882584</v>
      </c>
      <c r="E142" s="70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89</v>
      </c>
      <c r="L142" s="35" t="s">
        <v>46</v>
      </c>
      <c r="M142" s="36" t="s">
        <v>248</v>
      </c>
      <c r="N142" s="36"/>
      <c r="O142" s="35">
        <v>60</v>
      </c>
      <c r="P142" s="7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247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261</v>
      </c>
      <c r="B143" s="60" t="s">
        <v>263</v>
      </c>
      <c r="C143" s="34">
        <v>4301051477</v>
      </c>
      <c r="D143" s="704">
        <v>4680115882584</v>
      </c>
      <c r="E143" s="70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89</v>
      </c>
      <c r="L143" s="35" t="s">
        <v>46</v>
      </c>
      <c r="M143" s="36" t="s">
        <v>248</v>
      </c>
      <c r="N143" s="36"/>
      <c r="O143" s="35">
        <v>60</v>
      </c>
      <c r="P143" s="7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06"/>
      <c r="R143" s="706"/>
      <c r="S143" s="706"/>
      <c r="T143" s="70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247</v>
      </c>
      <c r="AG143" s="75"/>
      <c r="AJ143" s="79" t="s">
        <v>46</v>
      </c>
      <c r="AK143" s="79">
        <v>0</v>
      </c>
      <c r="BB143" s="212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39</v>
      </c>
      <c r="X144" s="41">
        <f>IFERROR(X141/H141,"0")+IFERROR(X142/H142,"0")+IFERROR(X143/H143,"0")</f>
        <v>0</v>
      </c>
      <c r="Y144" s="41">
        <f>IFERROR(Y141/H141,"0")+IFERROR(Y142/H142,"0")+IFERROR(Y143/H143,"0")</f>
        <v>0</v>
      </c>
      <c r="Z144" s="41">
        <f>IFERROR(IF(Z141="",0,Z141),"0")+IFERROR(IF(Z142="",0,Z142),"0")+IFERROR(IF(Z143="",0,Z143),"0")</f>
        <v>0</v>
      </c>
      <c r="AA144" s="64"/>
      <c r="AB144" s="64"/>
      <c r="AC144" s="64"/>
    </row>
    <row r="145" spans="1:68" hidden="1" x14ac:dyDescent="0.2">
      <c r="A145" s="712"/>
      <c r="B145" s="712"/>
      <c r="C145" s="712"/>
      <c r="D145" s="712"/>
      <c r="E145" s="712"/>
      <c r="F145" s="712"/>
      <c r="G145" s="712"/>
      <c r="H145" s="712"/>
      <c r="I145" s="712"/>
      <c r="J145" s="712"/>
      <c r="K145" s="712"/>
      <c r="L145" s="712"/>
      <c r="M145" s="712"/>
      <c r="N145" s="712"/>
      <c r="O145" s="713"/>
      <c r="P145" s="709" t="s">
        <v>40</v>
      </c>
      <c r="Q145" s="710"/>
      <c r="R145" s="710"/>
      <c r="S145" s="710"/>
      <c r="T145" s="710"/>
      <c r="U145" s="710"/>
      <c r="V145" s="711"/>
      <c r="W145" s="40" t="s">
        <v>0</v>
      </c>
      <c r="X145" s="41">
        <f>IFERROR(SUM(X141:X143),"0")</f>
        <v>0</v>
      </c>
      <c r="Y145" s="41">
        <f>IFERROR(SUM(Y141:Y143),"0")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02" t="s">
        <v>264</v>
      </c>
      <c r="B146" s="702"/>
      <c r="C146" s="702"/>
      <c r="D146" s="702"/>
      <c r="E146" s="702"/>
      <c r="F146" s="702"/>
      <c r="G146" s="702"/>
      <c r="H146" s="702"/>
      <c r="I146" s="702"/>
      <c r="J146" s="702"/>
      <c r="K146" s="702"/>
      <c r="L146" s="702"/>
      <c r="M146" s="702"/>
      <c r="N146" s="702"/>
      <c r="O146" s="702"/>
      <c r="P146" s="702"/>
      <c r="Q146" s="702"/>
      <c r="R146" s="702"/>
      <c r="S146" s="702"/>
      <c r="T146" s="702"/>
      <c r="U146" s="702"/>
      <c r="V146" s="702"/>
      <c r="W146" s="702"/>
      <c r="X146" s="702"/>
      <c r="Y146" s="702"/>
      <c r="Z146" s="702"/>
      <c r="AA146" s="62"/>
      <c r="AB146" s="62"/>
      <c r="AC146" s="62"/>
    </row>
    <row r="147" spans="1:68" ht="14.25" hidden="1" customHeight="1" x14ac:dyDescent="0.25">
      <c r="A147" s="703" t="s">
        <v>84</v>
      </c>
      <c r="B147" s="703"/>
      <c r="C147" s="703"/>
      <c r="D147" s="703"/>
      <c r="E147" s="703"/>
      <c r="F147" s="703"/>
      <c r="G147" s="703"/>
      <c r="H147" s="703"/>
      <c r="I147" s="703"/>
      <c r="J147" s="703"/>
      <c r="K147" s="703"/>
      <c r="L147" s="703"/>
      <c r="M147" s="703"/>
      <c r="N147" s="703"/>
      <c r="O147" s="703"/>
      <c r="P147" s="703"/>
      <c r="Q147" s="703"/>
      <c r="R147" s="703"/>
      <c r="S147" s="703"/>
      <c r="T147" s="703"/>
      <c r="U147" s="703"/>
      <c r="V147" s="703"/>
      <c r="W147" s="703"/>
      <c r="X147" s="703"/>
      <c r="Y147" s="703"/>
      <c r="Z147" s="703"/>
      <c r="AA147" s="63"/>
      <c r="AB147" s="63"/>
      <c r="AC147" s="63"/>
    </row>
    <row r="148" spans="1:68" ht="27" hidden="1" customHeight="1" x14ac:dyDescent="0.25">
      <c r="A148" s="60" t="s">
        <v>265</v>
      </c>
      <c r="B148" s="60" t="s">
        <v>266</v>
      </c>
      <c r="C148" s="34">
        <v>4301052254</v>
      </c>
      <c r="D148" s="704">
        <v>4680115888203</v>
      </c>
      <c r="E148" s="70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89</v>
      </c>
      <c r="L148" s="35" t="s">
        <v>46</v>
      </c>
      <c r="M148" s="36" t="s">
        <v>95</v>
      </c>
      <c r="N148" s="36"/>
      <c r="O148" s="35">
        <v>40</v>
      </c>
      <c r="P148" s="7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4" si="16">IFERROR(IF(X148="",0,CEILING((X148/$H148),1)*$H148),"")</f>
        <v>0</v>
      </c>
      <c r="Z148" s="39" t="str">
        <f t="shared" ref="Z148:Z154" si="17">IFERROR(IF(Y148=0,"",ROUNDUP(Y148/H148,0)*0.00651),"")</f>
        <v/>
      </c>
      <c r="AA148" s="65" t="s">
        <v>46</v>
      </c>
      <c r="AB148" s="66" t="s">
        <v>46</v>
      </c>
      <c r="AC148" s="213" t="s">
        <v>267</v>
      </c>
      <c r="AG148" s="75"/>
      <c r="AJ148" s="79" t="s">
        <v>46</v>
      </c>
      <c r="AK148" s="79">
        <v>0</v>
      </c>
      <c r="BB148" s="214" t="s">
        <v>66</v>
      </c>
      <c r="BM148" s="75">
        <f t="shared" ref="BM148:BM154" si="18">IFERROR(X148*I148/H148,"0")</f>
        <v>0</v>
      </c>
      <c r="BN148" s="75">
        <f t="shared" ref="BN148:BN154" si="19">IFERROR(Y148*I148/H148,"0")</f>
        <v>0</v>
      </c>
      <c r="BO148" s="75">
        <f t="shared" ref="BO148:BO154" si="20">IFERROR(1/J148*(X148/H148),"0")</f>
        <v>0</v>
      </c>
      <c r="BP148" s="75">
        <f t="shared" ref="BP148:BP154" si="21">IFERROR(1/J148*(Y148/H148),"0")</f>
        <v>0</v>
      </c>
    </row>
    <row r="149" spans="1:68" ht="27" hidden="1" customHeight="1" x14ac:dyDescent="0.25">
      <c r="A149" s="60" t="s">
        <v>268</v>
      </c>
      <c r="B149" s="60" t="s">
        <v>269</v>
      </c>
      <c r="C149" s="34">
        <v>4301052172</v>
      </c>
      <c r="D149" s="704">
        <v>4680115888180</v>
      </c>
      <c r="E149" s="70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89</v>
      </c>
      <c r="L149" s="35" t="s">
        <v>46</v>
      </c>
      <c r="M149" s="36" t="s">
        <v>95</v>
      </c>
      <c r="N149" s="36"/>
      <c r="O149" s="35">
        <v>40</v>
      </c>
      <c r="P149" s="7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6"/>
        <v>0</v>
      </c>
      <c r="Z149" s="39" t="str">
        <f t="shared" si="17"/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66</v>
      </c>
      <c r="BM149" s="75">
        <f t="shared" si="18"/>
        <v>0</v>
      </c>
      <c r="BN149" s="75">
        <f t="shared" si="19"/>
        <v>0</v>
      </c>
      <c r="BO149" s="75">
        <f t="shared" si="20"/>
        <v>0</v>
      </c>
      <c r="BP149" s="75">
        <f t="shared" si="21"/>
        <v>0</v>
      </c>
    </row>
    <row r="150" spans="1:68" ht="27" hidden="1" customHeight="1" x14ac:dyDescent="0.25">
      <c r="A150" s="60" t="s">
        <v>268</v>
      </c>
      <c r="B150" s="60" t="s">
        <v>271</v>
      </c>
      <c r="C150" s="34">
        <v>4301052252</v>
      </c>
      <c r="D150" s="704">
        <v>4680115888180</v>
      </c>
      <c r="E150" s="70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89</v>
      </c>
      <c r="L150" s="35" t="s">
        <v>46</v>
      </c>
      <c r="M150" s="36" t="s">
        <v>95</v>
      </c>
      <c r="N150" s="36"/>
      <c r="O150" s="35">
        <v>40</v>
      </c>
      <c r="P150" s="7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06"/>
      <c r="R150" s="706"/>
      <c r="S150" s="706"/>
      <c r="T150" s="70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6"/>
        <v>0</v>
      </c>
      <c r="Z150" s="39" t="str">
        <f t="shared" si="17"/>
        <v/>
      </c>
      <c r="AA150" s="65" t="s">
        <v>46</v>
      </c>
      <c r="AB150" s="66" t="s">
        <v>46</v>
      </c>
      <c r="AC150" s="217" t="s">
        <v>270</v>
      </c>
      <c r="AG150" s="75"/>
      <c r="AJ150" s="79" t="s">
        <v>46</v>
      </c>
      <c r="AK150" s="79">
        <v>0</v>
      </c>
      <c r="BB150" s="218" t="s">
        <v>66</v>
      </c>
      <c r="BM150" s="75">
        <f t="shared" si="18"/>
        <v>0</v>
      </c>
      <c r="BN150" s="75">
        <f t="shared" si="19"/>
        <v>0</v>
      </c>
      <c r="BO150" s="75">
        <f t="shared" si="20"/>
        <v>0</v>
      </c>
      <c r="BP150" s="75">
        <f t="shared" si="21"/>
        <v>0</v>
      </c>
    </row>
    <row r="151" spans="1:68" ht="27" hidden="1" customHeight="1" x14ac:dyDescent="0.25">
      <c r="A151" s="60" t="s">
        <v>272</v>
      </c>
      <c r="B151" s="60" t="s">
        <v>273</v>
      </c>
      <c r="C151" s="34">
        <v>4301052173</v>
      </c>
      <c r="D151" s="704">
        <v>4680115888197</v>
      </c>
      <c r="E151" s="704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89</v>
      </c>
      <c r="L151" s="35" t="s">
        <v>46</v>
      </c>
      <c r="M151" s="36" t="s">
        <v>95</v>
      </c>
      <c r="N151" s="36"/>
      <c r="O151" s="35">
        <v>40</v>
      </c>
      <c r="P151" s="7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06"/>
      <c r="R151" s="706"/>
      <c r="S151" s="706"/>
      <c r="T151" s="70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6"/>
        <v>0</v>
      </c>
      <c r="Z151" s="39" t="str">
        <f t="shared" si="17"/>
        <v/>
      </c>
      <c r="AA151" s="65" t="s">
        <v>46</v>
      </c>
      <c r="AB151" s="66" t="s">
        <v>46</v>
      </c>
      <c r="AC151" s="219" t="s">
        <v>274</v>
      </c>
      <c r="AG151" s="75"/>
      <c r="AJ151" s="79" t="s">
        <v>46</v>
      </c>
      <c r="AK151" s="79">
        <v>0</v>
      </c>
      <c r="BB151" s="220" t="s">
        <v>66</v>
      </c>
      <c r="BM151" s="75">
        <f t="shared" si="18"/>
        <v>0</v>
      </c>
      <c r="BN151" s="75">
        <f t="shared" si="19"/>
        <v>0</v>
      </c>
      <c r="BO151" s="75">
        <f t="shared" si="20"/>
        <v>0</v>
      </c>
      <c r="BP151" s="75">
        <f t="shared" si="21"/>
        <v>0</v>
      </c>
    </row>
    <row r="152" spans="1:68" ht="27" hidden="1" customHeight="1" x14ac:dyDescent="0.25">
      <c r="A152" s="60" t="s">
        <v>272</v>
      </c>
      <c r="B152" s="60" t="s">
        <v>275</v>
      </c>
      <c r="C152" s="34">
        <v>4301052253</v>
      </c>
      <c r="D152" s="704">
        <v>4680115888197</v>
      </c>
      <c r="E152" s="704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89</v>
      </c>
      <c r="L152" s="35" t="s">
        <v>46</v>
      </c>
      <c r="M152" s="36" t="s">
        <v>95</v>
      </c>
      <c r="N152" s="36"/>
      <c r="O152" s="35">
        <v>40</v>
      </c>
      <c r="P152" s="7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06"/>
      <c r="R152" s="706"/>
      <c r="S152" s="706"/>
      <c r="T152" s="70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6"/>
        <v>0</v>
      </c>
      <c r="Z152" s="39" t="str">
        <f t="shared" si="17"/>
        <v/>
      </c>
      <c r="AA152" s="65" t="s">
        <v>46</v>
      </c>
      <c r="AB152" s="66" t="s">
        <v>46</v>
      </c>
      <c r="AC152" s="221" t="s">
        <v>274</v>
      </c>
      <c r="AG152" s="75"/>
      <c r="AJ152" s="79" t="s">
        <v>46</v>
      </c>
      <c r="AK152" s="79">
        <v>0</v>
      </c>
      <c r="BB152" s="222" t="s">
        <v>66</v>
      </c>
      <c r="BM152" s="75">
        <f t="shared" si="18"/>
        <v>0</v>
      </c>
      <c r="BN152" s="75">
        <f t="shared" si="19"/>
        <v>0</v>
      </c>
      <c r="BO152" s="75">
        <f t="shared" si="20"/>
        <v>0</v>
      </c>
      <c r="BP152" s="75">
        <f t="shared" si="21"/>
        <v>0</v>
      </c>
    </row>
    <row r="153" spans="1:68" ht="27" hidden="1" customHeight="1" x14ac:dyDescent="0.25">
      <c r="A153" s="60" t="s">
        <v>276</v>
      </c>
      <c r="B153" s="60" t="s">
        <v>277</v>
      </c>
      <c r="C153" s="34">
        <v>4301052175</v>
      </c>
      <c r="D153" s="704">
        <v>4680115888210</v>
      </c>
      <c r="E153" s="704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89</v>
      </c>
      <c r="L153" s="35" t="s">
        <v>46</v>
      </c>
      <c r="M153" s="36" t="s">
        <v>95</v>
      </c>
      <c r="N153" s="36"/>
      <c r="O153" s="35">
        <v>40</v>
      </c>
      <c r="P153" s="7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06"/>
      <c r="R153" s="706"/>
      <c r="S153" s="706"/>
      <c r="T153" s="70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6"/>
        <v>0</v>
      </c>
      <c r="Z153" s="39" t="str">
        <f t="shared" si="17"/>
        <v/>
      </c>
      <c r="AA153" s="65" t="s">
        <v>46</v>
      </c>
      <c r="AB153" s="66" t="s">
        <v>46</v>
      </c>
      <c r="AC153" s="223" t="s">
        <v>278</v>
      </c>
      <c r="AG153" s="75"/>
      <c r="AJ153" s="79" t="s">
        <v>46</v>
      </c>
      <c r="AK153" s="79">
        <v>0</v>
      </c>
      <c r="BB153" s="224" t="s">
        <v>66</v>
      </c>
      <c r="BM153" s="75">
        <f t="shared" si="18"/>
        <v>0</v>
      </c>
      <c r="BN153" s="75">
        <f t="shared" si="19"/>
        <v>0</v>
      </c>
      <c r="BO153" s="75">
        <f t="shared" si="20"/>
        <v>0</v>
      </c>
      <c r="BP153" s="75">
        <f t="shared" si="21"/>
        <v>0</v>
      </c>
    </row>
    <row r="154" spans="1:68" ht="27" hidden="1" customHeight="1" x14ac:dyDescent="0.25">
      <c r="A154" s="60" t="s">
        <v>276</v>
      </c>
      <c r="B154" s="60" t="s">
        <v>279</v>
      </c>
      <c r="C154" s="34">
        <v>4301052255</v>
      </c>
      <c r="D154" s="704">
        <v>4680115888210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89</v>
      </c>
      <c r="L154" s="35" t="s">
        <v>46</v>
      </c>
      <c r="M154" s="36" t="s">
        <v>95</v>
      </c>
      <c r="N154" s="36"/>
      <c r="O154" s="35">
        <v>40</v>
      </c>
      <c r="P154" s="7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6"/>
        <v>0</v>
      </c>
      <c r="Z154" s="39" t="str">
        <f t="shared" si="17"/>
        <v/>
      </c>
      <c r="AA154" s="65" t="s">
        <v>46</v>
      </c>
      <c r="AB154" s="66" t="s">
        <v>46</v>
      </c>
      <c r="AC154" s="225" t="s">
        <v>278</v>
      </c>
      <c r="AG154" s="75"/>
      <c r="AJ154" s="79" t="s">
        <v>46</v>
      </c>
      <c r="AK154" s="79">
        <v>0</v>
      </c>
      <c r="BB154" s="226" t="s">
        <v>66</v>
      </c>
      <c r="BM154" s="75">
        <f t="shared" si="18"/>
        <v>0</v>
      </c>
      <c r="BN154" s="75">
        <f t="shared" si="19"/>
        <v>0</v>
      </c>
      <c r="BO154" s="75">
        <f t="shared" si="20"/>
        <v>0</v>
      </c>
      <c r="BP154" s="75">
        <f t="shared" si="21"/>
        <v>0</v>
      </c>
    </row>
    <row r="155" spans="1:68" hidden="1" x14ac:dyDescent="0.2">
      <c r="A155" s="712"/>
      <c r="B155" s="712"/>
      <c r="C155" s="712"/>
      <c r="D155" s="712"/>
      <c r="E155" s="712"/>
      <c r="F155" s="712"/>
      <c r="G155" s="712"/>
      <c r="H155" s="712"/>
      <c r="I155" s="712"/>
      <c r="J155" s="712"/>
      <c r="K155" s="712"/>
      <c r="L155" s="712"/>
      <c r="M155" s="712"/>
      <c r="N155" s="712"/>
      <c r="O155" s="713"/>
      <c r="P155" s="709" t="s">
        <v>40</v>
      </c>
      <c r="Q155" s="710"/>
      <c r="R155" s="710"/>
      <c r="S155" s="710"/>
      <c r="T155" s="710"/>
      <c r="U155" s="710"/>
      <c r="V155" s="711"/>
      <c r="W155" s="40" t="s">
        <v>39</v>
      </c>
      <c r="X155" s="41">
        <f>IFERROR(X148/H148,"0")+IFERROR(X149/H149,"0")+IFERROR(X150/H150,"0")+IFERROR(X151/H151,"0")+IFERROR(X152/H152,"0")+IFERROR(X153/H153,"0")+IFERROR(X154/H154,"0")</f>
        <v>0</v>
      </c>
      <c r="Y155" s="41">
        <f>IFERROR(Y148/H148,"0")+IFERROR(Y149/H149,"0")+IFERROR(Y150/H150,"0")+IFERROR(Y151/H151,"0")+IFERROR(Y152/H152,"0")+IFERROR(Y153/H153,"0")+IFERROR(Y154/H154,"0")</f>
        <v>0</v>
      </c>
      <c r="Z155" s="4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hidden="1" x14ac:dyDescent="0.2">
      <c r="A156" s="712"/>
      <c r="B156" s="712"/>
      <c r="C156" s="712"/>
      <c r="D156" s="712"/>
      <c r="E156" s="712"/>
      <c r="F156" s="712"/>
      <c r="G156" s="712"/>
      <c r="H156" s="712"/>
      <c r="I156" s="712"/>
      <c r="J156" s="712"/>
      <c r="K156" s="712"/>
      <c r="L156" s="712"/>
      <c r="M156" s="712"/>
      <c r="N156" s="712"/>
      <c r="O156" s="713"/>
      <c r="P156" s="709" t="s">
        <v>40</v>
      </c>
      <c r="Q156" s="710"/>
      <c r="R156" s="710"/>
      <c r="S156" s="710"/>
      <c r="T156" s="710"/>
      <c r="U156" s="710"/>
      <c r="V156" s="711"/>
      <c r="W156" s="40" t="s">
        <v>0</v>
      </c>
      <c r="X156" s="41">
        <f>IFERROR(SUM(X148:X154),"0")</f>
        <v>0</v>
      </c>
      <c r="Y156" s="41">
        <f>IFERROR(SUM(Y148:Y154),"0")</f>
        <v>0</v>
      </c>
      <c r="Z156" s="40"/>
      <c r="AA156" s="64"/>
      <c r="AB156" s="64"/>
      <c r="AC156" s="64"/>
    </row>
    <row r="157" spans="1:68" ht="14.25" hidden="1" customHeight="1" x14ac:dyDescent="0.25">
      <c r="A157" s="703" t="s">
        <v>280</v>
      </c>
      <c r="B157" s="703"/>
      <c r="C157" s="703"/>
      <c r="D157" s="703"/>
      <c r="E157" s="703"/>
      <c r="F157" s="703"/>
      <c r="G157" s="703"/>
      <c r="H157" s="703"/>
      <c r="I157" s="703"/>
      <c r="J157" s="703"/>
      <c r="K157" s="703"/>
      <c r="L157" s="703"/>
      <c r="M157" s="703"/>
      <c r="N157" s="703"/>
      <c r="O157" s="703"/>
      <c r="P157" s="703"/>
      <c r="Q157" s="703"/>
      <c r="R157" s="703"/>
      <c r="S157" s="703"/>
      <c r="T157" s="703"/>
      <c r="U157" s="703"/>
      <c r="V157" s="703"/>
      <c r="W157" s="703"/>
      <c r="X157" s="703"/>
      <c r="Y157" s="703"/>
      <c r="Z157" s="703"/>
      <c r="AA157" s="63"/>
      <c r="AB157" s="63"/>
      <c r="AC157" s="63"/>
    </row>
    <row r="158" spans="1:68" ht="27" hidden="1" customHeight="1" x14ac:dyDescent="0.25">
      <c r="A158" s="60" t="s">
        <v>281</v>
      </c>
      <c r="B158" s="60" t="s">
        <v>282</v>
      </c>
      <c r="C158" s="34">
        <v>4301032067</v>
      </c>
      <c r="D158" s="704">
        <v>4680115889132</v>
      </c>
      <c r="E158" s="704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286</v>
      </c>
      <c r="L158" s="35" t="s">
        <v>46</v>
      </c>
      <c r="M158" s="36" t="s">
        <v>285</v>
      </c>
      <c r="N158" s="36"/>
      <c r="O158" s="35">
        <v>120</v>
      </c>
      <c r="P158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06"/>
      <c r="R158" s="706"/>
      <c r="S158" s="706"/>
      <c r="T158" s="707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7" t="s">
        <v>283</v>
      </c>
      <c r="AG158" s="75"/>
      <c r="AJ158" s="79" t="s">
        <v>46</v>
      </c>
      <c r="AK158" s="79">
        <v>0</v>
      </c>
      <c r="BB158" s="228" t="s">
        <v>284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hidden="1" x14ac:dyDescent="0.2">
      <c r="A160" s="712"/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3"/>
      <c r="P160" s="709" t="s">
        <v>40</v>
      </c>
      <c r="Q160" s="710"/>
      <c r="R160" s="710"/>
      <c r="S160" s="710"/>
      <c r="T160" s="710"/>
      <c r="U160" s="710"/>
      <c r="V160" s="711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hidden="1" customHeight="1" x14ac:dyDescent="0.25">
      <c r="A161" s="702" t="s">
        <v>120</v>
      </c>
      <c r="B161" s="702"/>
      <c r="C161" s="702"/>
      <c r="D161" s="702"/>
      <c r="E161" s="702"/>
      <c r="F161" s="702"/>
      <c r="G161" s="702"/>
      <c r="H161" s="702"/>
      <c r="I161" s="702"/>
      <c r="J161" s="702"/>
      <c r="K161" s="702"/>
      <c r="L161" s="702"/>
      <c r="M161" s="702"/>
      <c r="N161" s="702"/>
      <c r="O161" s="702"/>
      <c r="P161" s="702"/>
      <c r="Q161" s="702"/>
      <c r="R161" s="702"/>
      <c r="S161" s="702"/>
      <c r="T161" s="702"/>
      <c r="U161" s="702"/>
      <c r="V161" s="702"/>
      <c r="W161" s="702"/>
      <c r="X161" s="702"/>
      <c r="Y161" s="702"/>
      <c r="Z161" s="702"/>
      <c r="AA161" s="62"/>
      <c r="AB161" s="62"/>
      <c r="AC161" s="62"/>
    </row>
    <row r="162" spans="1:68" ht="14.25" hidden="1" customHeight="1" x14ac:dyDescent="0.25">
      <c r="A162" s="703" t="s">
        <v>122</v>
      </c>
      <c r="B162" s="703"/>
      <c r="C162" s="703"/>
      <c r="D162" s="703"/>
      <c r="E162" s="703"/>
      <c r="F162" s="703"/>
      <c r="G162" s="703"/>
      <c r="H162" s="703"/>
      <c r="I162" s="703"/>
      <c r="J162" s="703"/>
      <c r="K162" s="703"/>
      <c r="L162" s="703"/>
      <c r="M162" s="703"/>
      <c r="N162" s="703"/>
      <c r="O162" s="703"/>
      <c r="P162" s="703"/>
      <c r="Q162" s="703"/>
      <c r="R162" s="703"/>
      <c r="S162" s="703"/>
      <c r="T162" s="703"/>
      <c r="U162" s="703"/>
      <c r="V162" s="703"/>
      <c r="W162" s="703"/>
      <c r="X162" s="703"/>
      <c r="Y162" s="703"/>
      <c r="Z162" s="703"/>
      <c r="AA162" s="63"/>
      <c r="AB162" s="63"/>
      <c r="AC162" s="63"/>
    </row>
    <row r="163" spans="1:68" ht="27" hidden="1" customHeight="1" x14ac:dyDescent="0.25">
      <c r="A163" s="60" t="s">
        <v>287</v>
      </c>
      <c r="B163" s="60" t="s">
        <v>288</v>
      </c>
      <c r="C163" s="34">
        <v>4301012338</v>
      </c>
      <c r="D163" s="704">
        <v>4680115887374</v>
      </c>
      <c r="E163" s="704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127</v>
      </c>
      <c r="L163" s="35" t="s">
        <v>46</v>
      </c>
      <c r="M163" s="36" t="s">
        <v>126</v>
      </c>
      <c r="N163" s="36"/>
      <c r="O163" s="35">
        <v>55</v>
      </c>
      <c r="P163" s="78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06"/>
      <c r="R163" s="706"/>
      <c r="S163" s="706"/>
      <c r="T163" s="70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hidden="1" customHeight="1" x14ac:dyDescent="0.25">
      <c r="A164" s="60" t="s">
        <v>290</v>
      </c>
      <c r="B164" s="60" t="s">
        <v>291</v>
      </c>
      <c r="C164" s="34">
        <v>4301011705</v>
      </c>
      <c r="D164" s="704">
        <v>4607091384604</v>
      </c>
      <c r="E164" s="704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134</v>
      </c>
      <c r="L164" s="35" t="s">
        <v>46</v>
      </c>
      <c r="M164" s="36" t="s">
        <v>126</v>
      </c>
      <c r="N164" s="36"/>
      <c r="O164" s="35">
        <v>50</v>
      </c>
      <c r="P164" s="7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06"/>
      <c r="R164" s="706"/>
      <c r="S164" s="706"/>
      <c r="T164" s="70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31" t="s">
        <v>292</v>
      </c>
      <c r="AG164" s="75"/>
      <c r="AJ164" s="79" t="s">
        <v>46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16.5" hidden="1" customHeight="1" x14ac:dyDescent="0.25">
      <c r="A165" s="60" t="s">
        <v>293</v>
      </c>
      <c r="B165" s="60" t="s">
        <v>294</v>
      </c>
      <c r="C165" s="34">
        <v>4301012344</v>
      </c>
      <c r="D165" s="704">
        <v>4680115888876</v>
      </c>
      <c r="E165" s="704"/>
      <c r="F165" s="59">
        <v>0.43</v>
      </c>
      <c r="G165" s="35">
        <v>6</v>
      </c>
      <c r="H165" s="59">
        <v>2.58</v>
      </c>
      <c r="I165" s="59">
        <v>2.76</v>
      </c>
      <c r="J165" s="35">
        <v>182</v>
      </c>
      <c r="K165" s="35" t="s">
        <v>89</v>
      </c>
      <c r="L165" s="35" t="s">
        <v>46</v>
      </c>
      <c r="M165" s="36" t="s">
        <v>88</v>
      </c>
      <c r="N165" s="36"/>
      <c r="O165" s="35">
        <v>55</v>
      </c>
      <c r="P165" s="78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06"/>
      <c r="R165" s="706"/>
      <c r="S165" s="706"/>
      <c r="T165" s="707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IFERROR(IF(Y165=0,"",ROUNDUP(Y165/H165,0)*0.00651),"")</f>
        <v/>
      </c>
      <c r="AA165" s="65" t="s">
        <v>46</v>
      </c>
      <c r="AB165" s="66" t="s">
        <v>46</v>
      </c>
      <c r="AC165" s="233" t="s">
        <v>295</v>
      </c>
      <c r="AG165" s="75"/>
      <c r="AJ165" s="79" t="s">
        <v>46</v>
      </c>
      <c r="AK165" s="79">
        <v>0</v>
      </c>
      <c r="BB165" s="234" t="s">
        <v>66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idden="1" x14ac:dyDescent="0.2">
      <c r="A166" s="712"/>
      <c r="B166" s="712"/>
      <c r="C166" s="712"/>
      <c r="D166" s="712"/>
      <c r="E166" s="712"/>
      <c r="F166" s="712"/>
      <c r="G166" s="712"/>
      <c r="H166" s="712"/>
      <c r="I166" s="712"/>
      <c r="J166" s="712"/>
      <c r="K166" s="712"/>
      <c r="L166" s="712"/>
      <c r="M166" s="712"/>
      <c r="N166" s="712"/>
      <c r="O166" s="713"/>
      <c r="P166" s="709" t="s">
        <v>40</v>
      </c>
      <c r="Q166" s="710"/>
      <c r="R166" s="710"/>
      <c r="S166" s="710"/>
      <c r="T166" s="710"/>
      <c r="U166" s="710"/>
      <c r="V166" s="711"/>
      <c r="W166" s="40" t="s">
        <v>39</v>
      </c>
      <c r="X166" s="41">
        <f>IFERROR(X163/H163,"0")+IFERROR(X164/H164,"0")+IFERROR(X165/H165,"0")</f>
        <v>0</v>
      </c>
      <c r="Y166" s="41">
        <f>IFERROR(Y163/H163,"0")+IFERROR(Y164/H164,"0")+IFERROR(Y165/H165,"0")</f>
        <v>0</v>
      </c>
      <c r="Z166" s="41">
        <f>IFERROR(IF(Z163="",0,Z163),"0")+IFERROR(IF(Z164="",0,Z164),"0")+IFERROR(IF(Z165="",0,Z165),"0")</f>
        <v>0</v>
      </c>
      <c r="AA166" s="64"/>
      <c r="AB166" s="64"/>
      <c r="AC166" s="64"/>
    </row>
    <row r="167" spans="1:68" hidden="1" x14ac:dyDescent="0.2">
      <c r="A167" s="712"/>
      <c r="B167" s="712"/>
      <c r="C167" s="712"/>
      <c r="D167" s="712"/>
      <c r="E167" s="712"/>
      <c r="F167" s="712"/>
      <c r="G167" s="712"/>
      <c r="H167" s="712"/>
      <c r="I167" s="712"/>
      <c r="J167" s="712"/>
      <c r="K167" s="712"/>
      <c r="L167" s="712"/>
      <c r="M167" s="712"/>
      <c r="N167" s="712"/>
      <c r="O167" s="713"/>
      <c r="P167" s="709" t="s">
        <v>40</v>
      </c>
      <c r="Q167" s="710"/>
      <c r="R167" s="710"/>
      <c r="S167" s="710"/>
      <c r="T167" s="710"/>
      <c r="U167" s="710"/>
      <c r="V167" s="711"/>
      <c r="W167" s="40" t="s">
        <v>0</v>
      </c>
      <c r="X167" s="41">
        <f>IFERROR(SUM(X163:X165),"0")</f>
        <v>0</v>
      </c>
      <c r="Y167" s="41">
        <f>IFERROR(SUM(Y163:Y165),"0")</f>
        <v>0</v>
      </c>
      <c r="Z167" s="40"/>
      <c r="AA167" s="64"/>
      <c r="AB167" s="64"/>
      <c r="AC167" s="64"/>
    </row>
    <row r="168" spans="1:68" ht="14.25" hidden="1" customHeight="1" x14ac:dyDescent="0.25">
      <c r="A168" s="703" t="s">
        <v>155</v>
      </c>
      <c r="B168" s="703"/>
      <c r="C168" s="703"/>
      <c r="D168" s="703"/>
      <c r="E168" s="703"/>
      <c r="F168" s="703"/>
      <c r="G168" s="703"/>
      <c r="H168" s="703"/>
      <c r="I168" s="703"/>
      <c r="J168" s="703"/>
      <c r="K168" s="703"/>
      <c r="L168" s="703"/>
      <c r="M168" s="703"/>
      <c r="N168" s="703"/>
      <c r="O168" s="703"/>
      <c r="P168" s="703"/>
      <c r="Q168" s="703"/>
      <c r="R168" s="703"/>
      <c r="S168" s="703"/>
      <c r="T168" s="703"/>
      <c r="U168" s="703"/>
      <c r="V168" s="703"/>
      <c r="W168" s="703"/>
      <c r="X168" s="703"/>
      <c r="Y168" s="703"/>
      <c r="Z168" s="703"/>
      <c r="AA168" s="63"/>
      <c r="AB168" s="63"/>
      <c r="AC168" s="63"/>
    </row>
    <row r="169" spans="1:68" ht="16.5" hidden="1" customHeight="1" x14ac:dyDescent="0.25">
      <c r="A169" s="60" t="s">
        <v>296</v>
      </c>
      <c r="B169" s="60" t="s">
        <v>297</v>
      </c>
      <c r="C169" s="34">
        <v>4301020410</v>
      </c>
      <c r="D169" s="704">
        <v>4680115887695</v>
      </c>
      <c r="E169" s="704"/>
      <c r="F169" s="59">
        <v>0.12</v>
      </c>
      <c r="G169" s="35">
        <v>6</v>
      </c>
      <c r="H169" s="59">
        <v>0.72</v>
      </c>
      <c r="I169" s="59">
        <v>0.85</v>
      </c>
      <c r="J169" s="35">
        <v>252</v>
      </c>
      <c r="K169" s="35" t="s">
        <v>80</v>
      </c>
      <c r="L169" s="35" t="s">
        <v>46</v>
      </c>
      <c r="M169" s="36" t="s">
        <v>79</v>
      </c>
      <c r="N169" s="36"/>
      <c r="O169" s="35">
        <v>30</v>
      </c>
      <c r="P169" s="7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06"/>
      <c r="R169" s="706"/>
      <c r="S169" s="706"/>
      <c r="T169" s="70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IFERROR(IF(Y169=0,"",ROUNDUP(Y169/H169,0)*0.00556),"")</f>
        <v/>
      </c>
      <c r="AA169" s="65" t="s">
        <v>46</v>
      </c>
      <c r="AB169" s="66" t="s">
        <v>46</v>
      </c>
      <c r="AC169" s="235" t="s">
        <v>298</v>
      </c>
      <c r="AG169" s="75"/>
      <c r="AJ169" s="79" t="s">
        <v>46</v>
      </c>
      <c r="AK169" s="79">
        <v>0</v>
      </c>
      <c r="BB169" s="236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16.5" hidden="1" customHeight="1" x14ac:dyDescent="0.25">
      <c r="A170" s="60" t="s">
        <v>299</v>
      </c>
      <c r="B170" s="60" t="s">
        <v>300</v>
      </c>
      <c r="C170" s="34">
        <v>4301020439</v>
      </c>
      <c r="D170" s="704">
        <v>4680115889491</v>
      </c>
      <c r="E170" s="704"/>
      <c r="F170" s="59">
        <v>0.3</v>
      </c>
      <c r="G170" s="35">
        <v>8</v>
      </c>
      <c r="H170" s="59">
        <v>2.4</v>
      </c>
      <c r="I170" s="59">
        <v>2.5</v>
      </c>
      <c r="J170" s="35">
        <v>234</v>
      </c>
      <c r="K170" s="35" t="s">
        <v>80</v>
      </c>
      <c r="L170" s="35" t="s">
        <v>46</v>
      </c>
      <c r="M170" s="36" t="s">
        <v>126</v>
      </c>
      <c r="N170" s="36"/>
      <c r="O170" s="35">
        <v>55</v>
      </c>
      <c r="P170" s="79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06"/>
      <c r="R170" s="706"/>
      <c r="S170" s="706"/>
      <c r="T170" s="707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46</v>
      </c>
      <c r="AB170" s="66" t="s">
        <v>46</v>
      </c>
      <c r="AC170" s="237" t="s">
        <v>301</v>
      </c>
      <c r="AG170" s="75"/>
      <c r="AJ170" s="79" t="s">
        <v>46</v>
      </c>
      <c r="AK170" s="79">
        <v>0</v>
      </c>
      <c r="BB170" s="238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idden="1" x14ac:dyDescent="0.2">
      <c r="A171" s="712"/>
      <c r="B171" s="712"/>
      <c r="C171" s="712"/>
      <c r="D171" s="712"/>
      <c r="E171" s="712"/>
      <c r="F171" s="712"/>
      <c r="G171" s="712"/>
      <c r="H171" s="712"/>
      <c r="I171" s="712"/>
      <c r="J171" s="712"/>
      <c r="K171" s="712"/>
      <c r="L171" s="712"/>
      <c r="M171" s="712"/>
      <c r="N171" s="712"/>
      <c r="O171" s="713"/>
      <c r="P171" s="709" t="s">
        <v>40</v>
      </c>
      <c r="Q171" s="710"/>
      <c r="R171" s="710"/>
      <c r="S171" s="710"/>
      <c r="T171" s="710"/>
      <c r="U171" s="710"/>
      <c r="V171" s="711"/>
      <c r="W171" s="40" t="s">
        <v>39</v>
      </c>
      <c r="X171" s="41">
        <f>IFERROR(X169/H169,"0")+IFERROR(X170/H170,"0")</f>
        <v>0</v>
      </c>
      <c r="Y171" s="41">
        <f>IFERROR(Y169/H169,"0")+IFERROR(Y170/H170,"0")</f>
        <v>0</v>
      </c>
      <c r="Z171" s="41">
        <f>IFERROR(IF(Z169="",0,Z169),"0")+IFERROR(IF(Z170="",0,Z170),"0")</f>
        <v>0</v>
      </c>
      <c r="AA171" s="64"/>
      <c r="AB171" s="64"/>
      <c r="AC171" s="64"/>
    </row>
    <row r="172" spans="1:68" hidden="1" x14ac:dyDescent="0.2">
      <c r="A172" s="712"/>
      <c r="B172" s="712"/>
      <c r="C172" s="712"/>
      <c r="D172" s="712"/>
      <c r="E172" s="712"/>
      <c r="F172" s="712"/>
      <c r="G172" s="712"/>
      <c r="H172" s="712"/>
      <c r="I172" s="712"/>
      <c r="J172" s="712"/>
      <c r="K172" s="712"/>
      <c r="L172" s="712"/>
      <c r="M172" s="712"/>
      <c r="N172" s="712"/>
      <c r="O172" s="713"/>
      <c r="P172" s="709" t="s">
        <v>40</v>
      </c>
      <c r="Q172" s="710"/>
      <c r="R172" s="710"/>
      <c r="S172" s="710"/>
      <c r="T172" s="710"/>
      <c r="U172" s="710"/>
      <c r="V172" s="711"/>
      <c r="W172" s="40" t="s">
        <v>0</v>
      </c>
      <c r="X172" s="41">
        <f>IFERROR(SUM(X169:X170),"0")</f>
        <v>0</v>
      </c>
      <c r="Y172" s="41">
        <f>IFERROR(SUM(Y169:Y170),"0")</f>
        <v>0</v>
      </c>
      <c r="Z172" s="40"/>
      <c r="AA172" s="64"/>
      <c r="AB172" s="64"/>
      <c r="AC172" s="64"/>
    </row>
    <row r="173" spans="1:68" ht="14.25" hidden="1" customHeight="1" x14ac:dyDescent="0.25">
      <c r="A173" s="703" t="s">
        <v>75</v>
      </c>
      <c r="B173" s="703"/>
      <c r="C173" s="703"/>
      <c r="D173" s="703"/>
      <c r="E173" s="703"/>
      <c r="F173" s="703"/>
      <c r="G173" s="703"/>
      <c r="H173" s="703"/>
      <c r="I173" s="703"/>
      <c r="J173" s="703"/>
      <c r="K173" s="703"/>
      <c r="L173" s="703"/>
      <c r="M173" s="703"/>
      <c r="N173" s="703"/>
      <c r="O173" s="703"/>
      <c r="P173" s="703"/>
      <c r="Q173" s="703"/>
      <c r="R173" s="703"/>
      <c r="S173" s="703"/>
      <c r="T173" s="703"/>
      <c r="U173" s="703"/>
      <c r="V173" s="703"/>
      <c r="W173" s="703"/>
      <c r="X173" s="703"/>
      <c r="Y173" s="703"/>
      <c r="Z173" s="703"/>
      <c r="AA173" s="63"/>
      <c r="AB173" s="63"/>
      <c r="AC173" s="63"/>
    </row>
    <row r="174" spans="1:68" ht="27" hidden="1" customHeight="1" x14ac:dyDescent="0.25">
      <c r="A174" s="60" t="s">
        <v>302</v>
      </c>
      <c r="B174" s="60" t="s">
        <v>303</v>
      </c>
      <c r="C174" s="34">
        <v>4301031496</v>
      </c>
      <c r="D174" s="704">
        <v>4680115887428</v>
      </c>
      <c r="E174" s="704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134</v>
      </c>
      <c r="L174" s="35" t="s">
        <v>46</v>
      </c>
      <c r="M174" s="36" t="s">
        <v>79</v>
      </c>
      <c r="N174" s="36"/>
      <c r="O174" s="35">
        <v>40</v>
      </c>
      <c r="P174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06"/>
      <c r="R174" s="706"/>
      <c r="S174" s="706"/>
      <c r="T174" s="70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ref="Y174:Y184" si="22">IFERROR(IF(X174="",0,CEILING((X174/$H174),1)*$H174),"")</f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ref="BM174:BM184" si="23">IFERROR(X174*I174/H174,"0")</f>
        <v>0</v>
      </c>
      <c r="BN174" s="75">
        <f t="shared" ref="BN174:BN184" si="24">IFERROR(Y174*I174/H174,"0")</f>
        <v>0</v>
      </c>
      <c r="BO174" s="75">
        <f t="shared" ref="BO174:BO184" si="25">IFERROR(1/J174*(X174/H174),"0")</f>
        <v>0</v>
      </c>
      <c r="BP174" s="75">
        <f t="shared" ref="BP174:BP184" si="26">IFERROR(1/J174*(Y174/H174),"0")</f>
        <v>0</v>
      </c>
    </row>
    <row r="175" spans="1:68" ht="27" hidden="1" customHeight="1" x14ac:dyDescent="0.25">
      <c r="A175" s="60" t="s">
        <v>305</v>
      </c>
      <c r="B175" s="60" t="s">
        <v>306</v>
      </c>
      <c r="C175" s="34">
        <v>4301031509</v>
      </c>
      <c r="D175" s="704">
        <v>4680115889170</v>
      </c>
      <c r="E175" s="704"/>
      <c r="F175" s="59">
        <v>0.7</v>
      </c>
      <c r="G175" s="35">
        <v>5</v>
      </c>
      <c r="H175" s="59">
        <v>3.5</v>
      </c>
      <c r="I175" s="59">
        <v>3.7650000000000001</v>
      </c>
      <c r="J175" s="35">
        <v>132</v>
      </c>
      <c r="K175" s="35" t="s">
        <v>134</v>
      </c>
      <c r="L175" s="35" t="s">
        <v>46</v>
      </c>
      <c r="M175" s="36" t="s">
        <v>79</v>
      </c>
      <c r="N175" s="36"/>
      <c r="O175" s="35">
        <v>45</v>
      </c>
      <c r="P175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06"/>
      <c r="R175" s="706"/>
      <c r="S175" s="706"/>
      <c r="T175" s="70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2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66</v>
      </c>
      <c r="BM175" s="75">
        <f t="shared" si="23"/>
        <v>0</v>
      </c>
      <c r="BN175" s="75">
        <f t="shared" si="24"/>
        <v>0</v>
      </c>
      <c r="BO175" s="75">
        <f t="shared" si="25"/>
        <v>0</v>
      </c>
      <c r="BP175" s="75">
        <f t="shared" si="26"/>
        <v>0</v>
      </c>
    </row>
    <row r="176" spans="1:68" ht="27" hidden="1" customHeight="1" x14ac:dyDescent="0.25">
      <c r="A176" s="60" t="s">
        <v>308</v>
      </c>
      <c r="B176" s="60" t="s">
        <v>309</v>
      </c>
      <c r="C176" s="34">
        <v>4301031498</v>
      </c>
      <c r="D176" s="704">
        <v>4680115887398</v>
      </c>
      <c r="E176" s="70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79</v>
      </c>
      <c r="N176" s="36"/>
      <c r="O176" s="35">
        <v>40</v>
      </c>
      <c r="P176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06"/>
      <c r="R176" s="706"/>
      <c r="S176" s="706"/>
      <c r="T176" s="70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2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66</v>
      </c>
      <c r="BM176" s="75">
        <f t="shared" si="23"/>
        <v>0</v>
      </c>
      <c r="BN176" s="75">
        <f t="shared" si="24"/>
        <v>0</v>
      </c>
      <c r="BO176" s="75">
        <f t="shared" si="25"/>
        <v>0</v>
      </c>
      <c r="BP176" s="75">
        <f t="shared" si="26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4301031497</v>
      </c>
      <c r="D177" s="704">
        <v>4680115887336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79</v>
      </c>
      <c r="N177" s="36"/>
      <c r="O177" s="35">
        <v>40</v>
      </c>
      <c r="P177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2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66</v>
      </c>
      <c r="BM177" s="75">
        <f t="shared" si="23"/>
        <v>0</v>
      </c>
      <c r="BN177" s="75">
        <f t="shared" si="24"/>
        <v>0</v>
      </c>
      <c r="BO177" s="75">
        <f t="shared" si="25"/>
        <v>0</v>
      </c>
      <c r="BP177" s="75">
        <f t="shared" si="26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704">
        <v>4680115887787</v>
      </c>
      <c r="E178" s="70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79</v>
      </c>
      <c r="N178" s="36"/>
      <c r="O178" s="35">
        <v>45</v>
      </c>
      <c r="P178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2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66</v>
      </c>
      <c r="BM178" s="75">
        <f t="shared" si="23"/>
        <v>0</v>
      </c>
      <c r="BN178" s="75">
        <f t="shared" si="24"/>
        <v>0</v>
      </c>
      <c r="BO178" s="75">
        <f t="shared" si="25"/>
        <v>0</v>
      </c>
      <c r="BP178" s="75">
        <f t="shared" si="26"/>
        <v>0</v>
      </c>
    </row>
    <row r="179" spans="1:68" ht="27" hidden="1" customHeight="1" x14ac:dyDescent="0.25">
      <c r="A179" s="60" t="s">
        <v>317</v>
      </c>
      <c r="B179" s="60" t="s">
        <v>318</v>
      </c>
      <c r="C179" s="34">
        <v>4301031448</v>
      </c>
      <c r="D179" s="704">
        <v>4680115887503</v>
      </c>
      <c r="E179" s="704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80</v>
      </c>
      <c r="L179" s="35" t="s">
        <v>46</v>
      </c>
      <c r="M179" s="36" t="s">
        <v>79</v>
      </c>
      <c r="N179" s="36"/>
      <c r="O179" s="35">
        <v>40</v>
      </c>
      <c r="P179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2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304</v>
      </c>
      <c r="AG179" s="75"/>
      <c r="AJ179" s="79" t="s">
        <v>46</v>
      </c>
      <c r="AK179" s="79">
        <v>0</v>
      </c>
      <c r="BB179" s="250" t="s">
        <v>66</v>
      </c>
      <c r="BM179" s="75">
        <f t="shared" si="23"/>
        <v>0</v>
      </c>
      <c r="BN179" s="75">
        <f t="shared" si="24"/>
        <v>0</v>
      </c>
      <c r="BO179" s="75">
        <f t="shared" si="25"/>
        <v>0</v>
      </c>
      <c r="BP179" s="75">
        <f t="shared" si="26"/>
        <v>0</v>
      </c>
    </row>
    <row r="180" spans="1:68" ht="27" hidden="1" customHeight="1" x14ac:dyDescent="0.25">
      <c r="A180" s="60" t="s">
        <v>319</v>
      </c>
      <c r="B180" s="60" t="s">
        <v>320</v>
      </c>
      <c r="C180" s="34">
        <v>4301031389</v>
      </c>
      <c r="D180" s="704">
        <v>4680115887763</v>
      </c>
      <c r="E180" s="704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131</v>
      </c>
      <c r="L180" s="35" t="s">
        <v>46</v>
      </c>
      <c r="M180" s="36" t="s">
        <v>79</v>
      </c>
      <c r="N180" s="36"/>
      <c r="O180" s="35">
        <v>45</v>
      </c>
      <c r="P180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2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321</v>
      </c>
      <c r="AG180" s="75"/>
      <c r="AJ180" s="79" t="s">
        <v>46</v>
      </c>
      <c r="AK180" s="79">
        <v>0</v>
      </c>
      <c r="BB180" s="252" t="s">
        <v>66</v>
      </c>
      <c r="BM180" s="75">
        <f t="shared" si="23"/>
        <v>0</v>
      </c>
      <c r="BN180" s="75">
        <f t="shared" si="24"/>
        <v>0</v>
      </c>
      <c r="BO180" s="75">
        <f t="shared" si="25"/>
        <v>0</v>
      </c>
      <c r="BP180" s="75">
        <f t="shared" si="26"/>
        <v>0</v>
      </c>
    </row>
    <row r="181" spans="1:68" ht="27" hidden="1" customHeight="1" x14ac:dyDescent="0.25">
      <c r="A181" s="60" t="s">
        <v>319</v>
      </c>
      <c r="B181" s="60" t="s">
        <v>322</v>
      </c>
      <c r="C181" s="34">
        <v>4301031510</v>
      </c>
      <c r="D181" s="704">
        <v>4680115887763</v>
      </c>
      <c r="E181" s="704"/>
      <c r="F181" s="59">
        <v>0.09</v>
      </c>
      <c r="G181" s="35">
        <v>8</v>
      </c>
      <c r="H181" s="59">
        <v>0.72</v>
      </c>
      <c r="I181" s="59">
        <v>0.90800000000000003</v>
      </c>
      <c r="J181" s="35">
        <v>336</v>
      </c>
      <c r="K181" s="35" t="s">
        <v>131</v>
      </c>
      <c r="L181" s="35" t="s">
        <v>46</v>
      </c>
      <c r="M181" s="36" t="s">
        <v>79</v>
      </c>
      <c r="N181" s="36"/>
      <c r="O181" s="35">
        <v>45</v>
      </c>
      <c r="P181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2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321</v>
      </c>
      <c r="AG181" s="75"/>
      <c r="AJ181" s="79" t="s">
        <v>46</v>
      </c>
      <c r="AK181" s="79">
        <v>0</v>
      </c>
      <c r="BB181" s="254" t="s">
        <v>66</v>
      </c>
      <c r="BM181" s="75">
        <f t="shared" si="23"/>
        <v>0</v>
      </c>
      <c r="BN181" s="75">
        <f t="shared" si="24"/>
        <v>0</v>
      </c>
      <c r="BO181" s="75">
        <f t="shared" si="25"/>
        <v>0</v>
      </c>
      <c r="BP181" s="75">
        <f t="shared" si="26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4301031454</v>
      </c>
      <c r="D182" s="704">
        <v>4680115887480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80</v>
      </c>
      <c r="L182" s="35" t="s">
        <v>46</v>
      </c>
      <c r="M182" s="36" t="s">
        <v>79</v>
      </c>
      <c r="N182" s="36"/>
      <c r="O182" s="35">
        <v>40</v>
      </c>
      <c r="P182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2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66</v>
      </c>
      <c r="BM182" s="75">
        <f t="shared" si="23"/>
        <v>0</v>
      </c>
      <c r="BN182" s="75">
        <f t="shared" si="24"/>
        <v>0</v>
      </c>
      <c r="BO182" s="75">
        <f t="shared" si="25"/>
        <v>0</v>
      </c>
      <c r="BP182" s="75">
        <f t="shared" si="26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704">
        <v>4680115888067</v>
      </c>
      <c r="E183" s="70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79</v>
      </c>
      <c r="N183" s="36"/>
      <c r="O183" s="35">
        <v>45</v>
      </c>
      <c r="P183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2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66</v>
      </c>
      <c r="BM183" s="75">
        <f t="shared" si="23"/>
        <v>0</v>
      </c>
      <c r="BN183" s="75">
        <f t="shared" si="24"/>
        <v>0</v>
      </c>
      <c r="BO183" s="75">
        <f t="shared" si="25"/>
        <v>0</v>
      </c>
      <c r="BP183" s="75">
        <f t="shared" si="26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704">
        <v>4680115887435</v>
      </c>
      <c r="E184" s="70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80</v>
      </c>
      <c r="L184" s="35" t="s">
        <v>46</v>
      </c>
      <c r="M184" s="36" t="s">
        <v>79</v>
      </c>
      <c r="N184" s="36"/>
      <c r="O184" s="35">
        <v>45</v>
      </c>
      <c r="P184" s="80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2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330</v>
      </c>
      <c r="AG184" s="75"/>
      <c r="AJ184" s="79" t="s">
        <v>46</v>
      </c>
      <c r="AK184" s="79">
        <v>0</v>
      </c>
      <c r="BB184" s="260" t="s">
        <v>66</v>
      </c>
      <c r="BM184" s="75">
        <f t="shared" si="23"/>
        <v>0</v>
      </c>
      <c r="BN184" s="75">
        <f t="shared" si="24"/>
        <v>0</v>
      </c>
      <c r="BO184" s="75">
        <f t="shared" si="25"/>
        <v>0</v>
      </c>
      <c r="BP184" s="75">
        <f t="shared" si="26"/>
        <v>0</v>
      </c>
    </row>
    <row r="185" spans="1:68" hidden="1" x14ac:dyDescent="0.2">
      <c r="A185" s="712"/>
      <c r="B185" s="712"/>
      <c r="C185" s="712"/>
      <c r="D185" s="712"/>
      <c r="E185" s="712"/>
      <c r="F185" s="712"/>
      <c r="G185" s="712"/>
      <c r="H185" s="712"/>
      <c r="I185" s="712"/>
      <c r="J185" s="712"/>
      <c r="K185" s="712"/>
      <c r="L185" s="712"/>
      <c r="M185" s="712"/>
      <c r="N185" s="712"/>
      <c r="O185" s="713"/>
      <c r="P185" s="709" t="s">
        <v>40</v>
      </c>
      <c r="Q185" s="710"/>
      <c r="R185" s="710"/>
      <c r="S185" s="710"/>
      <c r="T185" s="710"/>
      <c r="U185" s="710"/>
      <c r="V185" s="711"/>
      <c r="W185" s="40" t="s">
        <v>39</v>
      </c>
      <c r="X185" s="4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712"/>
      <c r="B186" s="712"/>
      <c r="C186" s="712"/>
      <c r="D186" s="712"/>
      <c r="E186" s="712"/>
      <c r="F186" s="712"/>
      <c r="G186" s="712"/>
      <c r="H186" s="712"/>
      <c r="I186" s="712"/>
      <c r="J186" s="712"/>
      <c r="K186" s="712"/>
      <c r="L186" s="712"/>
      <c r="M186" s="712"/>
      <c r="N186" s="712"/>
      <c r="O186" s="713"/>
      <c r="P186" s="709" t="s">
        <v>40</v>
      </c>
      <c r="Q186" s="710"/>
      <c r="R186" s="710"/>
      <c r="S186" s="710"/>
      <c r="T186" s="710"/>
      <c r="U186" s="710"/>
      <c r="V186" s="711"/>
      <c r="W186" s="40" t="s">
        <v>0</v>
      </c>
      <c r="X186" s="41">
        <f>IFERROR(SUM(X174:X184),"0")</f>
        <v>0</v>
      </c>
      <c r="Y186" s="41">
        <f>IFERROR(SUM(Y174:Y184),"0")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03" t="s">
        <v>84</v>
      </c>
      <c r="B187" s="703"/>
      <c r="C187" s="703"/>
      <c r="D187" s="703"/>
      <c r="E187" s="703"/>
      <c r="F187" s="703"/>
      <c r="G187" s="703"/>
      <c r="H187" s="703"/>
      <c r="I187" s="703"/>
      <c r="J187" s="703"/>
      <c r="K187" s="703"/>
      <c r="L187" s="703"/>
      <c r="M187" s="703"/>
      <c r="N187" s="703"/>
      <c r="O187" s="703"/>
      <c r="P187" s="703"/>
      <c r="Q187" s="703"/>
      <c r="R187" s="703"/>
      <c r="S187" s="703"/>
      <c r="T187" s="703"/>
      <c r="U187" s="703"/>
      <c r="V187" s="703"/>
      <c r="W187" s="703"/>
      <c r="X187" s="703"/>
      <c r="Y187" s="703"/>
      <c r="Z187" s="703"/>
      <c r="AA187" s="63"/>
      <c r="AB187" s="63"/>
      <c r="AC187" s="63"/>
    </row>
    <row r="188" spans="1:68" ht="16.5" hidden="1" customHeight="1" x14ac:dyDescent="0.25">
      <c r="A188" s="60" t="s">
        <v>331</v>
      </c>
      <c r="B188" s="60" t="s">
        <v>332</v>
      </c>
      <c r="C188" s="34">
        <v>4301052193</v>
      </c>
      <c r="D188" s="704">
        <v>4680115888395</v>
      </c>
      <c r="E188" s="70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89</v>
      </c>
      <c r="L188" s="35" t="s">
        <v>46</v>
      </c>
      <c r="M188" s="36" t="s">
        <v>95</v>
      </c>
      <c r="N188" s="36"/>
      <c r="O188" s="35">
        <v>40</v>
      </c>
      <c r="P188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06"/>
      <c r="R188" s="706"/>
      <c r="S188" s="706"/>
      <c r="T188" s="70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333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334</v>
      </c>
      <c r="B189" s="60" t="s">
        <v>335</v>
      </c>
      <c r="C189" s="34">
        <v>4301052191</v>
      </c>
      <c r="D189" s="704">
        <v>4680115888371</v>
      </c>
      <c r="E189" s="70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89</v>
      </c>
      <c r="L189" s="35" t="s">
        <v>46</v>
      </c>
      <c r="M189" s="36" t="s">
        <v>95</v>
      </c>
      <c r="N189" s="36"/>
      <c r="O189" s="35">
        <v>40</v>
      </c>
      <c r="P189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06"/>
      <c r="R189" s="706"/>
      <c r="S189" s="706"/>
      <c r="T189" s="70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336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337</v>
      </c>
      <c r="B190" s="60" t="s">
        <v>338</v>
      </c>
      <c r="C190" s="34">
        <v>4301052064</v>
      </c>
      <c r="D190" s="704">
        <v>4680115887459</v>
      </c>
      <c r="E190" s="70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89</v>
      </c>
      <c r="L190" s="35" t="s">
        <v>46</v>
      </c>
      <c r="M190" s="36" t="s">
        <v>88</v>
      </c>
      <c r="N190" s="36"/>
      <c r="O190" s="35">
        <v>45</v>
      </c>
      <c r="P190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06"/>
      <c r="R190" s="706"/>
      <c r="S190" s="706"/>
      <c r="T190" s="70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339</v>
      </c>
      <c r="AG190" s="75"/>
      <c r="AJ190" s="79" t="s">
        <v>46</v>
      </c>
      <c r="AK190" s="79">
        <v>0</v>
      </c>
      <c r="BB190" s="266" t="s">
        <v>66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712"/>
      <c r="B191" s="712"/>
      <c r="C191" s="712"/>
      <c r="D191" s="712"/>
      <c r="E191" s="712"/>
      <c r="F191" s="712"/>
      <c r="G191" s="712"/>
      <c r="H191" s="712"/>
      <c r="I191" s="712"/>
      <c r="J191" s="712"/>
      <c r="K191" s="712"/>
      <c r="L191" s="712"/>
      <c r="M191" s="712"/>
      <c r="N191" s="712"/>
      <c r="O191" s="713"/>
      <c r="P191" s="709" t="s">
        <v>40</v>
      </c>
      <c r="Q191" s="710"/>
      <c r="R191" s="710"/>
      <c r="S191" s="710"/>
      <c r="T191" s="710"/>
      <c r="U191" s="710"/>
      <c r="V191" s="71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712"/>
      <c r="B192" s="712"/>
      <c r="C192" s="712"/>
      <c r="D192" s="712"/>
      <c r="E192" s="712"/>
      <c r="F192" s="712"/>
      <c r="G192" s="712"/>
      <c r="H192" s="712"/>
      <c r="I192" s="712"/>
      <c r="J192" s="712"/>
      <c r="K192" s="712"/>
      <c r="L192" s="712"/>
      <c r="M192" s="712"/>
      <c r="N192" s="712"/>
      <c r="O192" s="713"/>
      <c r="P192" s="709" t="s">
        <v>40</v>
      </c>
      <c r="Q192" s="710"/>
      <c r="R192" s="710"/>
      <c r="S192" s="710"/>
      <c r="T192" s="710"/>
      <c r="U192" s="710"/>
      <c r="V192" s="71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03" t="s">
        <v>280</v>
      </c>
      <c r="B193" s="703"/>
      <c r="C193" s="703"/>
      <c r="D193" s="703"/>
      <c r="E193" s="703"/>
      <c r="F193" s="703"/>
      <c r="G193" s="703"/>
      <c r="H193" s="703"/>
      <c r="I193" s="703"/>
      <c r="J193" s="703"/>
      <c r="K193" s="703"/>
      <c r="L193" s="703"/>
      <c r="M193" s="703"/>
      <c r="N193" s="703"/>
      <c r="O193" s="703"/>
      <c r="P193" s="703"/>
      <c r="Q193" s="703"/>
      <c r="R193" s="703"/>
      <c r="S193" s="703"/>
      <c r="T193" s="703"/>
      <c r="U193" s="703"/>
      <c r="V193" s="703"/>
      <c r="W193" s="703"/>
      <c r="X193" s="703"/>
      <c r="Y193" s="703"/>
      <c r="Z193" s="703"/>
      <c r="AA193" s="63"/>
      <c r="AB193" s="63"/>
      <c r="AC193" s="63"/>
    </row>
    <row r="194" spans="1:68" ht="16.5" hidden="1" customHeight="1" x14ac:dyDescent="0.25">
      <c r="A194" s="60" t="s">
        <v>340</v>
      </c>
      <c r="B194" s="60" t="s">
        <v>341</v>
      </c>
      <c r="C194" s="34">
        <v>4301032058</v>
      </c>
      <c r="D194" s="704">
        <v>4680115889026</v>
      </c>
      <c r="E194" s="704"/>
      <c r="F194" s="59">
        <v>0.06</v>
      </c>
      <c r="G194" s="35">
        <v>18</v>
      </c>
      <c r="H194" s="59">
        <v>1.08</v>
      </c>
      <c r="I194" s="59">
        <v>1.36</v>
      </c>
      <c r="J194" s="35">
        <v>216</v>
      </c>
      <c r="K194" s="35" t="s">
        <v>343</v>
      </c>
      <c r="L194" s="35" t="s">
        <v>46</v>
      </c>
      <c r="M194" s="36" t="s">
        <v>285</v>
      </c>
      <c r="N194" s="36"/>
      <c r="O194" s="35">
        <v>60</v>
      </c>
      <c r="P194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06"/>
      <c r="R194" s="706"/>
      <c r="S194" s="706"/>
      <c r="T194" s="70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66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712"/>
      <c r="B196" s="712"/>
      <c r="C196" s="712"/>
      <c r="D196" s="712"/>
      <c r="E196" s="712"/>
      <c r="F196" s="712"/>
      <c r="G196" s="712"/>
      <c r="H196" s="712"/>
      <c r="I196" s="712"/>
      <c r="J196" s="712"/>
      <c r="K196" s="712"/>
      <c r="L196" s="712"/>
      <c r="M196" s="712"/>
      <c r="N196" s="712"/>
      <c r="O196" s="713"/>
      <c r="P196" s="709" t="s">
        <v>40</v>
      </c>
      <c r="Q196" s="710"/>
      <c r="R196" s="710"/>
      <c r="S196" s="710"/>
      <c r="T196" s="710"/>
      <c r="U196" s="710"/>
      <c r="V196" s="71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14.25" hidden="1" customHeight="1" x14ac:dyDescent="0.25">
      <c r="A197" s="703" t="s">
        <v>344</v>
      </c>
      <c r="B197" s="703"/>
      <c r="C197" s="703"/>
      <c r="D197" s="703"/>
      <c r="E197" s="703"/>
      <c r="F197" s="703"/>
      <c r="G197" s="703"/>
      <c r="H197" s="703"/>
      <c r="I197" s="703"/>
      <c r="J197" s="703"/>
      <c r="K197" s="703"/>
      <c r="L197" s="703"/>
      <c r="M197" s="703"/>
      <c r="N197" s="703"/>
      <c r="O197" s="703"/>
      <c r="P197" s="703"/>
      <c r="Q197" s="703"/>
      <c r="R197" s="703"/>
      <c r="S197" s="703"/>
      <c r="T197" s="703"/>
      <c r="U197" s="703"/>
      <c r="V197" s="703"/>
      <c r="W197" s="703"/>
      <c r="X197" s="703"/>
      <c r="Y197" s="703"/>
      <c r="Z197" s="703"/>
      <c r="AA197" s="63"/>
      <c r="AB197" s="63"/>
      <c r="AC197" s="63"/>
    </row>
    <row r="198" spans="1:68" ht="27" hidden="1" customHeight="1" x14ac:dyDescent="0.25">
      <c r="A198" s="60" t="s">
        <v>345</v>
      </c>
      <c r="B198" s="60" t="s">
        <v>346</v>
      </c>
      <c r="C198" s="34">
        <v>4301041009</v>
      </c>
      <c r="D198" s="704">
        <v>4680115889033</v>
      </c>
      <c r="E198" s="704"/>
      <c r="F198" s="59">
        <v>0.11</v>
      </c>
      <c r="G198" s="35">
        <v>15</v>
      </c>
      <c r="H198" s="59">
        <v>1.65</v>
      </c>
      <c r="I198" s="59">
        <v>1.9</v>
      </c>
      <c r="J198" s="35">
        <v>216</v>
      </c>
      <c r="K198" s="35" t="s">
        <v>343</v>
      </c>
      <c r="L198" s="35" t="s">
        <v>46</v>
      </c>
      <c r="M198" s="36" t="s">
        <v>285</v>
      </c>
      <c r="N198" s="36"/>
      <c r="O198" s="35">
        <v>60</v>
      </c>
      <c r="P198" s="80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347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IFERROR(X198/H198,"0")</f>
        <v>0</v>
      </c>
      <c r="Y199" s="41">
        <f>IFERROR(Y198/H198,"0")</f>
        <v>0</v>
      </c>
      <c r="Z199" s="41">
        <f>IFERROR(IF(Z198="",0,Z198),"0")</f>
        <v>0</v>
      </c>
      <c r="AA199" s="64"/>
      <c r="AB199" s="64"/>
      <c r="AC199" s="64"/>
    </row>
    <row r="200" spans="1:68" hidden="1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IFERROR(SUM(X198:X198),"0")</f>
        <v>0</v>
      </c>
      <c r="Y200" s="41">
        <f>IFERROR(SUM(Y198:Y198),"0")</f>
        <v>0</v>
      </c>
      <c r="Z200" s="40"/>
      <c r="AA200" s="64"/>
      <c r="AB200" s="64"/>
      <c r="AC200" s="64"/>
    </row>
    <row r="201" spans="1:68" ht="27.75" hidden="1" customHeight="1" x14ac:dyDescent="0.2">
      <c r="A201" s="701" t="s">
        <v>348</v>
      </c>
      <c r="B201" s="701"/>
      <c r="C201" s="701"/>
      <c r="D201" s="701"/>
      <c r="E201" s="701"/>
      <c r="F201" s="701"/>
      <c r="G201" s="701"/>
      <c r="H201" s="701"/>
      <c r="I201" s="701"/>
      <c r="J201" s="701"/>
      <c r="K201" s="701"/>
      <c r="L201" s="701"/>
      <c r="M201" s="701"/>
      <c r="N201" s="701"/>
      <c r="O201" s="701"/>
      <c r="P201" s="701"/>
      <c r="Q201" s="701"/>
      <c r="R201" s="701"/>
      <c r="S201" s="701"/>
      <c r="T201" s="701"/>
      <c r="U201" s="701"/>
      <c r="V201" s="701"/>
      <c r="W201" s="701"/>
      <c r="X201" s="701"/>
      <c r="Y201" s="701"/>
      <c r="Z201" s="701"/>
      <c r="AA201" s="52"/>
      <c r="AB201" s="52"/>
      <c r="AC201" s="52"/>
    </row>
    <row r="202" spans="1:68" ht="16.5" hidden="1" customHeight="1" x14ac:dyDescent="0.25">
      <c r="A202" s="702" t="s">
        <v>349</v>
      </c>
      <c r="B202" s="702"/>
      <c r="C202" s="702"/>
      <c r="D202" s="702"/>
      <c r="E202" s="702"/>
      <c r="F202" s="702"/>
      <c r="G202" s="702"/>
      <c r="H202" s="702"/>
      <c r="I202" s="702"/>
      <c r="J202" s="702"/>
      <c r="K202" s="702"/>
      <c r="L202" s="702"/>
      <c r="M202" s="702"/>
      <c r="N202" s="702"/>
      <c r="O202" s="702"/>
      <c r="P202" s="702"/>
      <c r="Q202" s="702"/>
      <c r="R202" s="702"/>
      <c r="S202" s="702"/>
      <c r="T202" s="702"/>
      <c r="U202" s="702"/>
      <c r="V202" s="702"/>
      <c r="W202" s="702"/>
      <c r="X202" s="702"/>
      <c r="Y202" s="702"/>
      <c r="Z202" s="702"/>
      <c r="AA202" s="62"/>
      <c r="AB202" s="62"/>
      <c r="AC202" s="62"/>
    </row>
    <row r="203" spans="1:68" ht="14.25" hidden="1" customHeight="1" x14ac:dyDescent="0.25">
      <c r="A203" s="703" t="s">
        <v>122</v>
      </c>
      <c r="B203" s="703"/>
      <c r="C203" s="703"/>
      <c r="D203" s="703"/>
      <c r="E203" s="703"/>
      <c r="F203" s="703"/>
      <c r="G203" s="703"/>
      <c r="H203" s="703"/>
      <c r="I203" s="703"/>
      <c r="J203" s="703"/>
      <c r="K203" s="703"/>
      <c r="L203" s="703"/>
      <c r="M203" s="703"/>
      <c r="N203" s="703"/>
      <c r="O203" s="703"/>
      <c r="P203" s="703"/>
      <c r="Q203" s="703"/>
      <c r="R203" s="703"/>
      <c r="S203" s="703"/>
      <c r="T203" s="703"/>
      <c r="U203" s="703"/>
      <c r="V203" s="703"/>
      <c r="W203" s="703"/>
      <c r="X203" s="703"/>
      <c r="Y203" s="703"/>
      <c r="Z203" s="703"/>
      <c r="AA203" s="63"/>
      <c r="AB203" s="63"/>
      <c r="AC203" s="63"/>
    </row>
    <row r="204" spans="1:68" ht="27" hidden="1" customHeight="1" x14ac:dyDescent="0.25">
      <c r="A204" s="60" t="s">
        <v>350</v>
      </c>
      <c r="B204" s="60" t="s">
        <v>351</v>
      </c>
      <c r="C204" s="34">
        <v>4301011223</v>
      </c>
      <c r="D204" s="704">
        <v>4607091383423</v>
      </c>
      <c r="E204" s="704"/>
      <c r="F204" s="59">
        <v>1.35</v>
      </c>
      <c r="G204" s="35">
        <v>8</v>
      </c>
      <c r="H204" s="59">
        <v>10.8</v>
      </c>
      <c r="I204" s="59">
        <v>11.305999999999999</v>
      </c>
      <c r="J204" s="35">
        <v>64</v>
      </c>
      <c r="K204" s="35" t="s">
        <v>127</v>
      </c>
      <c r="L204" s="35" t="s">
        <v>46</v>
      </c>
      <c r="M204" s="36" t="s">
        <v>88</v>
      </c>
      <c r="N204" s="36"/>
      <c r="O204" s="35">
        <v>35</v>
      </c>
      <c r="P204" s="80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06"/>
      <c r="R204" s="706"/>
      <c r="S204" s="706"/>
      <c r="T204" s="70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ref="Y204:Y210" si="27">IFERROR(IF(X204="",0,CEILING((X204/$H204),1)*$H204),"")</f>
        <v>0</v>
      </c>
      <c r="Z204" s="39" t="str">
        <f t="shared" ref="Z204:Z210" si="28">IFERROR(IF(Y204=0,"",ROUNDUP(Y204/H204,0)*0.01898),"")</f>
        <v/>
      </c>
      <c r="AA204" s="65" t="s">
        <v>46</v>
      </c>
      <c r="AB204" s="66" t="s">
        <v>46</v>
      </c>
      <c r="AC204" s="271" t="s">
        <v>125</v>
      </c>
      <c r="AG204" s="75"/>
      <c r="AJ204" s="79" t="s">
        <v>46</v>
      </c>
      <c r="AK204" s="79">
        <v>0</v>
      </c>
      <c r="BB204" s="272" t="s">
        <v>66</v>
      </c>
      <c r="BM204" s="75">
        <f t="shared" ref="BM204:BM210" si="29">IFERROR(X204*I204/H204,"0")</f>
        <v>0</v>
      </c>
      <c r="BN204" s="75">
        <f t="shared" ref="BN204:BN210" si="30">IFERROR(Y204*I204/H204,"0")</f>
        <v>0</v>
      </c>
      <c r="BO204" s="75">
        <f t="shared" ref="BO204:BO210" si="31">IFERROR(1/J204*(X204/H204),"0")</f>
        <v>0</v>
      </c>
      <c r="BP204" s="75">
        <f t="shared" ref="BP204:BP210" si="32">IFERROR(1/J204*(Y204/H204),"0")</f>
        <v>0</v>
      </c>
    </row>
    <row r="205" spans="1:68" ht="27" hidden="1" customHeight="1" x14ac:dyDescent="0.25">
      <c r="A205" s="60" t="s">
        <v>352</v>
      </c>
      <c r="B205" s="60" t="s">
        <v>353</v>
      </c>
      <c r="C205" s="34">
        <v>4301012340</v>
      </c>
      <c r="D205" s="704">
        <v>4680115888760</v>
      </c>
      <c r="E205" s="704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127</v>
      </c>
      <c r="L205" s="35" t="s">
        <v>46</v>
      </c>
      <c r="M205" s="36" t="s">
        <v>88</v>
      </c>
      <c r="N205" s="36"/>
      <c r="O205" s="35">
        <v>35</v>
      </c>
      <c r="P205" s="80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06"/>
      <c r="R205" s="706"/>
      <c r="S205" s="706"/>
      <c r="T205" s="70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7"/>
        <v>0</v>
      </c>
      <c r="Z205" s="39" t="str">
        <f t="shared" si="28"/>
        <v/>
      </c>
      <c r="AA205" s="65" t="s">
        <v>46</v>
      </c>
      <c r="AB205" s="66" t="s">
        <v>46</v>
      </c>
      <c r="AC205" s="273" t="s">
        <v>354</v>
      </c>
      <c r="AG205" s="75"/>
      <c r="AJ205" s="79" t="s">
        <v>46</v>
      </c>
      <c r="AK205" s="79">
        <v>0</v>
      </c>
      <c r="BB205" s="274" t="s">
        <v>66</v>
      </c>
      <c r="BM205" s="75">
        <f t="shared" si="29"/>
        <v>0</v>
      </c>
      <c r="BN205" s="75">
        <f t="shared" si="30"/>
        <v>0</v>
      </c>
      <c r="BO205" s="75">
        <f t="shared" si="31"/>
        <v>0</v>
      </c>
      <c r="BP205" s="75">
        <f t="shared" si="32"/>
        <v>0</v>
      </c>
    </row>
    <row r="206" spans="1:68" ht="27" hidden="1" customHeight="1" x14ac:dyDescent="0.25">
      <c r="A206" s="60" t="s">
        <v>355</v>
      </c>
      <c r="B206" s="60" t="s">
        <v>356</v>
      </c>
      <c r="C206" s="34">
        <v>4301012341</v>
      </c>
      <c r="D206" s="704">
        <v>4680115888807</v>
      </c>
      <c r="E206" s="704"/>
      <c r="F206" s="59">
        <v>1.4</v>
      </c>
      <c r="G206" s="35">
        <v>6</v>
      </c>
      <c r="H206" s="59">
        <v>8.4</v>
      </c>
      <c r="I206" s="59">
        <v>8.81</v>
      </c>
      <c r="J206" s="35">
        <v>64</v>
      </c>
      <c r="K206" s="35" t="s">
        <v>127</v>
      </c>
      <c r="L206" s="35" t="s">
        <v>46</v>
      </c>
      <c r="M206" s="36" t="s">
        <v>88</v>
      </c>
      <c r="N206" s="36"/>
      <c r="O206" s="35">
        <v>35</v>
      </c>
      <c r="P206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06"/>
      <c r="R206" s="706"/>
      <c r="S206" s="706"/>
      <c r="T206" s="70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7"/>
        <v>0</v>
      </c>
      <c r="Z206" s="39" t="str">
        <f t="shared" si="28"/>
        <v/>
      </c>
      <c r="AA206" s="65" t="s">
        <v>46</v>
      </c>
      <c r="AB206" s="66" t="s">
        <v>46</v>
      </c>
      <c r="AC206" s="275" t="s">
        <v>357</v>
      </c>
      <c r="AG206" s="75"/>
      <c r="AJ206" s="79" t="s">
        <v>46</v>
      </c>
      <c r="AK206" s="79">
        <v>0</v>
      </c>
      <c r="BB206" s="276" t="s">
        <v>66</v>
      </c>
      <c r="BM206" s="75">
        <f t="shared" si="29"/>
        <v>0</v>
      </c>
      <c r="BN206" s="75">
        <f t="shared" si="30"/>
        <v>0</v>
      </c>
      <c r="BO206" s="75">
        <f t="shared" si="31"/>
        <v>0</v>
      </c>
      <c r="BP206" s="75">
        <f t="shared" si="32"/>
        <v>0</v>
      </c>
    </row>
    <row r="207" spans="1:68" ht="27" hidden="1" customHeight="1" x14ac:dyDescent="0.25">
      <c r="A207" s="60" t="s">
        <v>358</v>
      </c>
      <c r="B207" s="60" t="s">
        <v>359</v>
      </c>
      <c r="C207" s="34">
        <v>4301012342</v>
      </c>
      <c r="D207" s="704">
        <v>4680115888852</v>
      </c>
      <c r="E207" s="704"/>
      <c r="F207" s="59">
        <v>0.9</v>
      </c>
      <c r="G207" s="35">
        <v>6</v>
      </c>
      <c r="H207" s="59">
        <v>5.4</v>
      </c>
      <c r="I207" s="59">
        <v>5.81</v>
      </c>
      <c r="J207" s="35">
        <v>64</v>
      </c>
      <c r="K207" s="35" t="s">
        <v>127</v>
      </c>
      <c r="L207" s="35" t="s">
        <v>46</v>
      </c>
      <c r="M207" s="36" t="s">
        <v>88</v>
      </c>
      <c r="N207" s="36"/>
      <c r="O207" s="35">
        <v>35</v>
      </c>
      <c r="P207" s="81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06"/>
      <c r="R207" s="706"/>
      <c r="S207" s="706"/>
      <c r="T207" s="707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7"/>
        <v>0</v>
      </c>
      <c r="Z207" s="39" t="str">
        <f t="shared" si="28"/>
        <v/>
      </c>
      <c r="AA207" s="65" t="s">
        <v>46</v>
      </c>
      <c r="AB207" s="66" t="s">
        <v>46</v>
      </c>
      <c r="AC207" s="277" t="s">
        <v>360</v>
      </c>
      <c r="AG207" s="75"/>
      <c r="AJ207" s="79" t="s">
        <v>46</v>
      </c>
      <c r="AK207" s="79">
        <v>0</v>
      </c>
      <c r="BB207" s="278" t="s">
        <v>66</v>
      </c>
      <c r="BM207" s="75">
        <f t="shared" si="29"/>
        <v>0</v>
      </c>
      <c r="BN207" s="75">
        <f t="shared" si="30"/>
        <v>0</v>
      </c>
      <c r="BO207" s="75">
        <f t="shared" si="31"/>
        <v>0</v>
      </c>
      <c r="BP207" s="75">
        <f t="shared" si="32"/>
        <v>0</v>
      </c>
    </row>
    <row r="208" spans="1:68" ht="37.5" hidden="1" customHeight="1" x14ac:dyDescent="0.25">
      <c r="A208" s="60" t="s">
        <v>361</v>
      </c>
      <c r="B208" s="60" t="s">
        <v>362</v>
      </c>
      <c r="C208" s="34">
        <v>4301012370</v>
      </c>
      <c r="D208" s="704">
        <v>4680115886957</v>
      </c>
      <c r="E208" s="704"/>
      <c r="F208" s="59">
        <v>1.35</v>
      </c>
      <c r="G208" s="35">
        <v>8</v>
      </c>
      <c r="H208" s="59">
        <v>10.8</v>
      </c>
      <c r="I208" s="59">
        <v>11.29</v>
      </c>
      <c r="J208" s="35">
        <v>64</v>
      </c>
      <c r="K208" s="35" t="s">
        <v>127</v>
      </c>
      <c r="L208" s="35" t="s">
        <v>46</v>
      </c>
      <c r="M208" s="36" t="s">
        <v>88</v>
      </c>
      <c r="N208" s="36"/>
      <c r="O208" s="35">
        <v>35</v>
      </c>
      <c r="P208" s="81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7"/>
        <v>0</v>
      </c>
      <c r="Z208" s="39" t="str">
        <f t="shared" si="28"/>
        <v/>
      </c>
      <c r="AA208" s="65" t="s">
        <v>46</v>
      </c>
      <c r="AB208" s="66" t="s">
        <v>46</v>
      </c>
      <c r="AC208" s="279" t="s">
        <v>363</v>
      </c>
      <c r="AG208" s="75"/>
      <c r="AJ208" s="79" t="s">
        <v>46</v>
      </c>
      <c r="AK208" s="79">
        <v>0</v>
      </c>
      <c r="BB208" s="280" t="s">
        <v>66</v>
      </c>
      <c r="BM208" s="75">
        <f t="shared" si="29"/>
        <v>0</v>
      </c>
      <c r="BN208" s="75">
        <f t="shared" si="30"/>
        <v>0</v>
      </c>
      <c r="BO208" s="75">
        <f t="shared" si="31"/>
        <v>0</v>
      </c>
      <c r="BP208" s="75">
        <f t="shared" si="32"/>
        <v>0</v>
      </c>
    </row>
    <row r="209" spans="1:68" ht="27" hidden="1" customHeight="1" x14ac:dyDescent="0.25">
      <c r="A209" s="60" t="s">
        <v>364</v>
      </c>
      <c r="B209" s="60" t="s">
        <v>365</v>
      </c>
      <c r="C209" s="34">
        <v>4301012098</v>
      </c>
      <c r="D209" s="704">
        <v>4680115885660</v>
      </c>
      <c r="E209" s="704"/>
      <c r="F209" s="59">
        <v>1.35</v>
      </c>
      <c r="G209" s="35">
        <v>8</v>
      </c>
      <c r="H209" s="59">
        <v>10.8</v>
      </c>
      <c r="I209" s="59">
        <v>11.21</v>
      </c>
      <c r="J209" s="35">
        <v>64</v>
      </c>
      <c r="K209" s="35" t="s">
        <v>127</v>
      </c>
      <c r="L209" s="35" t="s">
        <v>46</v>
      </c>
      <c r="M209" s="36" t="s">
        <v>88</v>
      </c>
      <c r="N209" s="36"/>
      <c r="O209" s="35">
        <v>35</v>
      </c>
      <c r="P209" s="81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7"/>
        <v>0</v>
      </c>
      <c r="Z209" s="39" t="str">
        <f t="shared" si="28"/>
        <v/>
      </c>
      <c r="AA209" s="65" t="s">
        <v>46</v>
      </c>
      <c r="AB209" s="66" t="s">
        <v>46</v>
      </c>
      <c r="AC209" s="281" t="s">
        <v>366</v>
      </c>
      <c r="AG209" s="75"/>
      <c r="AJ209" s="79" t="s">
        <v>46</v>
      </c>
      <c r="AK209" s="79">
        <v>0</v>
      </c>
      <c r="BB209" s="282" t="s">
        <v>66</v>
      </c>
      <c r="BM209" s="75">
        <f t="shared" si="29"/>
        <v>0</v>
      </c>
      <c r="BN209" s="75">
        <f t="shared" si="30"/>
        <v>0</v>
      </c>
      <c r="BO209" s="75">
        <f t="shared" si="31"/>
        <v>0</v>
      </c>
      <c r="BP209" s="75">
        <f t="shared" si="32"/>
        <v>0</v>
      </c>
    </row>
    <row r="210" spans="1:68" ht="27" hidden="1" customHeight="1" x14ac:dyDescent="0.25">
      <c r="A210" s="60" t="s">
        <v>367</v>
      </c>
      <c r="B210" s="60" t="s">
        <v>368</v>
      </c>
      <c r="C210" s="34">
        <v>4301012369</v>
      </c>
      <c r="D210" s="704">
        <v>4680115886773</v>
      </c>
      <c r="E210" s="704"/>
      <c r="F210" s="59">
        <v>0.9</v>
      </c>
      <c r="G210" s="35">
        <v>10</v>
      </c>
      <c r="H210" s="59">
        <v>9</v>
      </c>
      <c r="I210" s="59">
        <v>9.51</v>
      </c>
      <c r="J210" s="35">
        <v>64</v>
      </c>
      <c r="K210" s="35" t="s">
        <v>127</v>
      </c>
      <c r="L210" s="35" t="s">
        <v>46</v>
      </c>
      <c r="M210" s="36" t="s">
        <v>88</v>
      </c>
      <c r="N210" s="36"/>
      <c r="O210" s="35">
        <v>35</v>
      </c>
      <c r="P210" s="81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7"/>
        <v>0</v>
      </c>
      <c r="Z210" s="39" t="str">
        <f t="shared" si="28"/>
        <v/>
      </c>
      <c r="AA210" s="65" t="s">
        <v>46</v>
      </c>
      <c r="AB210" s="66" t="s">
        <v>46</v>
      </c>
      <c r="AC210" s="283" t="s">
        <v>369</v>
      </c>
      <c r="AG210" s="75"/>
      <c r="AJ210" s="79" t="s">
        <v>46</v>
      </c>
      <c r="AK210" s="79">
        <v>0</v>
      </c>
      <c r="BB210" s="284" t="s">
        <v>66</v>
      </c>
      <c r="BM210" s="75">
        <f t="shared" si="29"/>
        <v>0</v>
      </c>
      <c r="BN210" s="75">
        <f t="shared" si="30"/>
        <v>0</v>
      </c>
      <c r="BO210" s="75">
        <f t="shared" si="31"/>
        <v>0</v>
      </c>
      <c r="BP210" s="75">
        <f t="shared" si="32"/>
        <v>0</v>
      </c>
    </row>
    <row r="211" spans="1:68" hidden="1" x14ac:dyDescent="0.2">
      <c r="A211" s="712"/>
      <c r="B211" s="712"/>
      <c r="C211" s="712"/>
      <c r="D211" s="712"/>
      <c r="E211" s="712"/>
      <c r="F211" s="712"/>
      <c r="G211" s="712"/>
      <c r="H211" s="712"/>
      <c r="I211" s="712"/>
      <c r="J211" s="712"/>
      <c r="K211" s="712"/>
      <c r="L211" s="712"/>
      <c r="M211" s="712"/>
      <c r="N211" s="712"/>
      <c r="O211" s="713"/>
      <c r="P211" s="709" t="s">
        <v>40</v>
      </c>
      <c r="Q211" s="710"/>
      <c r="R211" s="710"/>
      <c r="S211" s="710"/>
      <c r="T211" s="710"/>
      <c r="U211" s="710"/>
      <c r="V211" s="711"/>
      <c r="W211" s="40" t="s">
        <v>39</v>
      </c>
      <c r="X211" s="41">
        <f>IFERROR(X204/H204,"0")+IFERROR(X205/H205,"0")+IFERROR(X206/H206,"0")+IFERROR(X207/H207,"0")+IFERROR(X208/H208,"0")+IFERROR(X209/H209,"0")+IFERROR(X210/H210,"0")</f>
        <v>0</v>
      </c>
      <c r="Y211" s="41">
        <f>IFERROR(Y204/H204,"0")+IFERROR(Y205/H205,"0")+IFERROR(Y206/H206,"0")+IFERROR(Y207/H207,"0")+IFERROR(Y208/H208,"0")+IFERROR(Y209/H209,"0")+IFERROR(Y210/H210,"0")</f>
        <v>0</v>
      </c>
      <c r="Z211" s="4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4"/>
      <c r="AB211" s="64"/>
      <c r="AC211" s="64"/>
    </row>
    <row r="212" spans="1:68" hidden="1" x14ac:dyDescent="0.2">
      <c r="A212" s="712"/>
      <c r="B212" s="712"/>
      <c r="C212" s="712"/>
      <c r="D212" s="712"/>
      <c r="E212" s="712"/>
      <c r="F212" s="712"/>
      <c r="G212" s="712"/>
      <c r="H212" s="712"/>
      <c r="I212" s="712"/>
      <c r="J212" s="712"/>
      <c r="K212" s="712"/>
      <c r="L212" s="712"/>
      <c r="M212" s="712"/>
      <c r="N212" s="712"/>
      <c r="O212" s="713"/>
      <c r="P212" s="709" t="s">
        <v>40</v>
      </c>
      <c r="Q212" s="710"/>
      <c r="R212" s="710"/>
      <c r="S212" s="710"/>
      <c r="T212" s="710"/>
      <c r="U212" s="710"/>
      <c r="V212" s="711"/>
      <c r="W212" s="40" t="s">
        <v>0</v>
      </c>
      <c r="X212" s="41">
        <f>IFERROR(SUM(X204:X210),"0")</f>
        <v>0</v>
      </c>
      <c r="Y212" s="41">
        <f>IFERROR(SUM(Y204:Y210),"0")</f>
        <v>0</v>
      </c>
      <c r="Z212" s="40"/>
      <c r="AA212" s="64"/>
      <c r="AB212" s="64"/>
      <c r="AC212" s="64"/>
    </row>
    <row r="213" spans="1:68" ht="16.5" hidden="1" customHeight="1" x14ac:dyDescent="0.25">
      <c r="A213" s="702" t="s">
        <v>370</v>
      </c>
      <c r="B213" s="702"/>
      <c r="C213" s="702"/>
      <c r="D213" s="702"/>
      <c r="E213" s="702"/>
      <c r="F213" s="702"/>
      <c r="G213" s="702"/>
      <c r="H213" s="702"/>
      <c r="I213" s="702"/>
      <c r="J213" s="702"/>
      <c r="K213" s="702"/>
      <c r="L213" s="702"/>
      <c r="M213" s="702"/>
      <c r="N213" s="702"/>
      <c r="O213" s="702"/>
      <c r="P213" s="702"/>
      <c r="Q213" s="702"/>
      <c r="R213" s="702"/>
      <c r="S213" s="702"/>
      <c r="T213" s="702"/>
      <c r="U213" s="702"/>
      <c r="V213" s="702"/>
      <c r="W213" s="702"/>
      <c r="X213" s="702"/>
      <c r="Y213" s="702"/>
      <c r="Z213" s="702"/>
      <c r="AA213" s="62"/>
      <c r="AB213" s="62"/>
      <c r="AC213" s="62"/>
    </row>
    <row r="214" spans="1:68" ht="14.25" hidden="1" customHeight="1" x14ac:dyDescent="0.25">
      <c r="A214" s="703" t="s">
        <v>155</v>
      </c>
      <c r="B214" s="703"/>
      <c r="C214" s="703"/>
      <c r="D214" s="703"/>
      <c r="E214" s="703"/>
      <c r="F214" s="703"/>
      <c r="G214" s="703"/>
      <c r="H214" s="703"/>
      <c r="I214" s="703"/>
      <c r="J214" s="703"/>
      <c r="K214" s="703"/>
      <c r="L214" s="703"/>
      <c r="M214" s="703"/>
      <c r="N214" s="703"/>
      <c r="O214" s="703"/>
      <c r="P214" s="703"/>
      <c r="Q214" s="703"/>
      <c r="R214" s="703"/>
      <c r="S214" s="703"/>
      <c r="T214" s="703"/>
      <c r="U214" s="703"/>
      <c r="V214" s="703"/>
      <c r="W214" s="703"/>
      <c r="X214" s="703"/>
      <c r="Y214" s="703"/>
      <c r="Z214" s="703"/>
      <c r="AA214" s="63"/>
      <c r="AB214" s="63"/>
      <c r="AC214" s="63"/>
    </row>
    <row r="215" spans="1:68" ht="27" hidden="1" customHeight="1" x14ac:dyDescent="0.25">
      <c r="A215" s="60" t="s">
        <v>371</v>
      </c>
      <c r="B215" s="60" t="s">
        <v>372</v>
      </c>
      <c r="C215" s="34">
        <v>4301020323</v>
      </c>
      <c r="D215" s="704">
        <v>4680115886223</v>
      </c>
      <c r="E215" s="704"/>
      <c r="F215" s="59">
        <v>0.33</v>
      </c>
      <c r="G215" s="35">
        <v>6</v>
      </c>
      <c r="H215" s="59">
        <v>1.98</v>
      </c>
      <c r="I215" s="59">
        <v>2.08</v>
      </c>
      <c r="J215" s="35">
        <v>234</v>
      </c>
      <c r="K215" s="35" t="s">
        <v>80</v>
      </c>
      <c r="L215" s="35" t="s">
        <v>46</v>
      </c>
      <c r="M215" s="36" t="s">
        <v>79</v>
      </c>
      <c r="N215" s="36"/>
      <c r="O215" s="35">
        <v>40</v>
      </c>
      <c r="P215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06"/>
      <c r="R215" s="706"/>
      <c r="S215" s="706"/>
      <c r="T215" s="707"/>
      <c r="U215" s="37" t="s">
        <v>46</v>
      </c>
      <c r="V215" s="37" t="s">
        <v>46</v>
      </c>
      <c r="W215" s="38" t="s">
        <v>0</v>
      </c>
      <c r="X215" s="56">
        <v>0</v>
      </c>
      <c r="Y215" s="53">
        <f>IFERROR(IF(X215="",0,CEILING((X215/$H215),1)*$H215),"")</f>
        <v>0</v>
      </c>
      <c r="Z215" s="39" t="str">
        <f>IFERROR(IF(Y215=0,"",ROUNDUP(Y215/H215,0)*0.00502),"")</f>
        <v/>
      </c>
      <c r="AA215" s="65" t="s">
        <v>46</v>
      </c>
      <c r="AB215" s="66" t="s">
        <v>46</v>
      </c>
      <c r="AC215" s="285" t="s">
        <v>373</v>
      </c>
      <c r="AG215" s="75"/>
      <c r="AJ215" s="79" t="s">
        <v>46</v>
      </c>
      <c r="AK215" s="79">
        <v>0</v>
      </c>
      <c r="BB215" s="286" t="s">
        <v>66</v>
      </c>
      <c r="BM215" s="75">
        <f>IFERROR(X215*I215/H215,"0")</f>
        <v>0</v>
      </c>
      <c r="BN215" s="75">
        <f>IFERROR(Y215*I215/H215,"0")</f>
        <v>0</v>
      </c>
      <c r="BO215" s="75">
        <f>IFERROR(1/J215*(X215/H215),"0")</f>
        <v>0</v>
      </c>
      <c r="BP215" s="75">
        <f>IFERROR(1/J215*(Y215/H215),"0")</f>
        <v>0</v>
      </c>
    </row>
    <row r="216" spans="1:68" hidden="1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39</v>
      </c>
      <c r="X216" s="41">
        <f>IFERROR(X215/H215,"0")</f>
        <v>0</v>
      </c>
      <c r="Y216" s="41">
        <f>IFERROR(Y215/H215,"0")</f>
        <v>0</v>
      </c>
      <c r="Z216" s="41">
        <f>IFERROR(IF(Z215="",0,Z215),"0")</f>
        <v>0</v>
      </c>
      <c r="AA216" s="64"/>
      <c r="AB216" s="64"/>
      <c r="AC216" s="64"/>
    </row>
    <row r="217" spans="1:68" hidden="1" x14ac:dyDescent="0.2">
      <c r="A217" s="712"/>
      <c r="B217" s="712"/>
      <c r="C217" s="712"/>
      <c r="D217" s="712"/>
      <c r="E217" s="712"/>
      <c r="F217" s="712"/>
      <c r="G217" s="712"/>
      <c r="H217" s="712"/>
      <c r="I217" s="712"/>
      <c r="J217" s="712"/>
      <c r="K217" s="712"/>
      <c r="L217" s="712"/>
      <c r="M217" s="712"/>
      <c r="N217" s="712"/>
      <c r="O217" s="713"/>
      <c r="P217" s="709" t="s">
        <v>40</v>
      </c>
      <c r="Q217" s="710"/>
      <c r="R217" s="710"/>
      <c r="S217" s="710"/>
      <c r="T217" s="710"/>
      <c r="U217" s="710"/>
      <c r="V217" s="711"/>
      <c r="W217" s="40" t="s">
        <v>0</v>
      </c>
      <c r="X217" s="41">
        <f>IFERROR(SUM(X215:X215),"0")</f>
        <v>0</v>
      </c>
      <c r="Y217" s="41">
        <f>IFERROR(SUM(Y215:Y215),"0")</f>
        <v>0</v>
      </c>
      <c r="Z217" s="40"/>
      <c r="AA217" s="64"/>
      <c r="AB217" s="64"/>
      <c r="AC217" s="64"/>
    </row>
    <row r="218" spans="1:68" ht="14.25" hidden="1" customHeight="1" x14ac:dyDescent="0.25">
      <c r="A218" s="703" t="s">
        <v>75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hidden="1" customHeight="1" x14ac:dyDescent="0.25">
      <c r="A219" s="60" t="s">
        <v>374</v>
      </c>
      <c r="B219" s="60" t="s">
        <v>375</v>
      </c>
      <c r="C219" s="34">
        <v>4301031191</v>
      </c>
      <c r="D219" s="704">
        <v>4680115880993</v>
      </c>
      <c r="E219" s="704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134</v>
      </c>
      <c r="L219" s="35" t="s">
        <v>46</v>
      </c>
      <c r="M219" s="36" t="s">
        <v>79</v>
      </c>
      <c r="N219" s="36"/>
      <c r="O219" s="35">
        <v>40</v>
      </c>
      <c r="P219" s="81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ref="Y219:Y232" si="33">IFERROR(IF(X219="",0,CEILING((X219/$H219),1)*$H219),"")</f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376</v>
      </c>
      <c r="AG219" s="75"/>
      <c r="AJ219" s="79" t="s">
        <v>46</v>
      </c>
      <c r="AK219" s="79">
        <v>0</v>
      </c>
      <c r="BB219" s="288" t="s">
        <v>66</v>
      </c>
      <c r="BM219" s="75">
        <f t="shared" ref="BM219:BM232" si="34">IFERROR(X219*I219/H219,"0")</f>
        <v>0</v>
      </c>
      <c r="BN219" s="75">
        <f t="shared" ref="BN219:BN232" si="35">IFERROR(Y219*I219/H219,"0")</f>
        <v>0</v>
      </c>
      <c r="BO219" s="75">
        <f t="shared" ref="BO219:BO232" si="36">IFERROR(1/J219*(X219/H219),"0")</f>
        <v>0</v>
      </c>
      <c r="BP219" s="75">
        <f t="shared" ref="BP219:BP232" si="37">IFERROR(1/J219*(Y219/H219),"0")</f>
        <v>0</v>
      </c>
    </row>
    <row r="220" spans="1:68" ht="27" hidden="1" customHeight="1" x14ac:dyDescent="0.25">
      <c r="A220" s="60" t="s">
        <v>377</v>
      </c>
      <c r="B220" s="60" t="s">
        <v>378</v>
      </c>
      <c r="C220" s="34">
        <v>4301031204</v>
      </c>
      <c r="D220" s="704">
        <v>4680115881761</v>
      </c>
      <c r="E220" s="704"/>
      <c r="F220" s="59">
        <v>0.7</v>
      </c>
      <c r="G220" s="35">
        <v>6</v>
      </c>
      <c r="H220" s="59">
        <v>4.2</v>
      </c>
      <c r="I220" s="59">
        <v>4.45</v>
      </c>
      <c r="J220" s="35">
        <v>132</v>
      </c>
      <c r="K220" s="35" t="s">
        <v>134</v>
      </c>
      <c r="L220" s="35" t="s">
        <v>46</v>
      </c>
      <c r="M220" s="36" t="s">
        <v>79</v>
      </c>
      <c r="N220" s="36"/>
      <c r="O220" s="35">
        <v>40</v>
      </c>
      <c r="P220" s="81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06"/>
      <c r="R220" s="706"/>
      <c r="S220" s="706"/>
      <c r="T220" s="70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3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379</v>
      </c>
      <c r="AG220" s="75"/>
      <c r="AJ220" s="79" t="s">
        <v>46</v>
      </c>
      <c r="AK220" s="79">
        <v>0</v>
      </c>
      <c r="BB220" s="290" t="s">
        <v>66</v>
      </c>
      <c r="BM220" s="75">
        <f t="shared" si="34"/>
        <v>0</v>
      </c>
      <c r="BN220" s="75">
        <f t="shared" si="35"/>
        <v>0</v>
      </c>
      <c r="BO220" s="75">
        <f t="shared" si="36"/>
        <v>0</v>
      </c>
      <c r="BP220" s="75">
        <f t="shared" si="37"/>
        <v>0</v>
      </c>
    </row>
    <row r="221" spans="1:68" ht="27" hidden="1" customHeight="1" x14ac:dyDescent="0.25">
      <c r="A221" s="60" t="s">
        <v>380</v>
      </c>
      <c r="B221" s="60" t="s">
        <v>381</v>
      </c>
      <c r="C221" s="34">
        <v>4301031201</v>
      </c>
      <c r="D221" s="704">
        <v>4680115881563</v>
      </c>
      <c r="E221" s="704"/>
      <c r="F221" s="59">
        <v>0.7</v>
      </c>
      <c r="G221" s="35">
        <v>6</v>
      </c>
      <c r="H221" s="59">
        <v>4.2</v>
      </c>
      <c r="I221" s="59">
        <v>4.3899999999999997</v>
      </c>
      <c r="J221" s="35">
        <v>132</v>
      </c>
      <c r="K221" s="35" t="s">
        <v>134</v>
      </c>
      <c r="L221" s="35" t="s">
        <v>46</v>
      </c>
      <c r="M221" s="36" t="s">
        <v>79</v>
      </c>
      <c r="N221" s="36"/>
      <c r="O221" s="35">
        <v>40</v>
      </c>
      <c r="P221" s="81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06"/>
      <c r="R221" s="706"/>
      <c r="S221" s="706"/>
      <c r="T221" s="70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3"/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382</v>
      </c>
      <c r="AG221" s="75"/>
      <c r="AJ221" s="79" t="s">
        <v>46</v>
      </c>
      <c r="AK221" s="79">
        <v>0</v>
      </c>
      <c r="BB221" s="292" t="s">
        <v>66</v>
      </c>
      <c r="BM221" s="75">
        <f t="shared" si="34"/>
        <v>0</v>
      </c>
      <c r="BN221" s="75">
        <f t="shared" si="35"/>
        <v>0</v>
      </c>
      <c r="BO221" s="75">
        <f t="shared" si="36"/>
        <v>0</v>
      </c>
      <c r="BP221" s="75">
        <f t="shared" si="37"/>
        <v>0</v>
      </c>
    </row>
    <row r="222" spans="1:68" ht="37.5" hidden="1" customHeight="1" x14ac:dyDescent="0.25">
      <c r="A222" s="60" t="s">
        <v>383</v>
      </c>
      <c r="B222" s="60" t="s">
        <v>384</v>
      </c>
      <c r="C222" s="34">
        <v>4301031447</v>
      </c>
      <c r="D222" s="704">
        <v>4680115887565</v>
      </c>
      <c r="E222" s="704"/>
      <c r="F222" s="59">
        <v>0.08</v>
      </c>
      <c r="G222" s="35">
        <v>10</v>
      </c>
      <c r="H222" s="59">
        <v>0.8</v>
      </c>
      <c r="I222" s="59">
        <v>0.93</v>
      </c>
      <c r="J222" s="35">
        <v>252</v>
      </c>
      <c r="K222" s="35" t="s">
        <v>80</v>
      </c>
      <c r="L222" s="35" t="s">
        <v>46</v>
      </c>
      <c r="M222" s="36" t="s">
        <v>79</v>
      </c>
      <c r="N222" s="36"/>
      <c r="O222" s="35">
        <v>45</v>
      </c>
      <c r="P222" s="81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06"/>
      <c r="R222" s="706"/>
      <c r="S222" s="706"/>
      <c r="T222" s="70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3"/>
        <v>0</v>
      </c>
      <c r="Z222" s="39" t="str">
        <f>IFERROR(IF(Y222=0,"",ROUNDUP(Y222/H222,0)*0.00556),"")</f>
        <v/>
      </c>
      <c r="AA222" s="65" t="s">
        <v>46</v>
      </c>
      <c r="AB222" s="66" t="s">
        <v>46</v>
      </c>
      <c r="AC222" s="293" t="s">
        <v>385</v>
      </c>
      <c r="AG222" s="75"/>
      <c r="AJ222" s="79" t="s">
        <v>46</v>
      </c>
      <c r="AK222" s="79">
        <v>0</v>
      </c>
      <c r="BB222" s="294" t="s">
        <v>66</v>
      </c>
      <c r="BM222" s="75">
        <f t="shared" si="34"/>
        <v>0</v>
      </c>
      <c r="BN222" s="75">
        <f t="shared" si="35"/>
        <v>0</v>
      </c>
      <c r="BO222" s="75">
        <f t="shared" si="36"/>
        <v>0</v>
      </c>
      <c r="BP222" s="75">
        <f t="shared" si="37"/>
        <v>0</v>
      </c>
    </row>
    <row r="223" spans="1:68" ht="27" hidden="1" customHeight="1" x14ac:dyDescent="0.25">
      <c r="A223" s="60" t="s">
        <v>386</v>
      </c>
      <c r="B223" s="60" t="s">
        <v>387</v>
      </c>
      <c r="C223" s="34">
        <v>4301031199</v>
      </c>
      <c r="D223" s="704">
        <v>4680115880986</v>
      </c>
      <c r="E223" s="704"/>
      <c r="F223" s="59">
        <v>0.35</v>
      </c>
      <c r="G223" s="35">
        <v>6</v>
      </c>
      <c r="H223" s="59">
        <v>2.1</v>
      </c>
      <c r="I223" s="59">
        <v>2.23</v>
      </c>
      <c r="J223" s="35">
        <v>234</v>
      </c>
      <c r="K223" s="35" t="s">
        <v>80</v>
      </c>
      <c r="L223" s="35" t="s">
        <v>46</v>
      </c>
      <c r="M223" s="36" t="s">
        <v>79</v>
      </c>
      <c r="N223" s="36"/>
      <c r="O223" s="35">
        <v>40</v>
      </c>
      <c r="P223" s="8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3"/>
        <v>0</v>
      </c>
      <c r="Z223" s="39" t="str">
        <f t="shared" ref="Z223:Z228" si="38">IFERROR(IF(Y223=0,"",ROUNDUP(Y223/H223,0)*0.00502),"")</f>
        <v/>
      </c>
      <c r="AA223" s="65" t="s">
        <v>46</v>
      </c>
      <c r="AB223" s="66" t="s">
        <v>46</v>
      </c>
      <c r="AC223" s="295" t="s">
        <v>376</v>
      </c>
      <c r="AG223" s="75"/>
      <c r="AJ223" s="79" t="s">
        <v>46</v>
      </c>
      <c r="AK223" s="79">
        <v>0</v>
      </c>
      <c r="BB223" s="296" t="s">
        <v>66</v>
      </c>
      <c r="BM223" s="75">
        <f t="shared" si="34"/>
        <v>0</v>
      </c>
      <c r="BN223" s="75">
        <f t="shared" si="35"/>
        <v>0</v>
      </c>
      <c r="BO223" s="75">
        <f t="shared" si="36"/>
        <v>0</v>
      </c>
      <c r="BP223" s="75">
        <f t="shared" si="37"/>
        <v>0</v>
      </c>
    </row>
    <row r="224" spans="1:68" ht="27" hidden="1" customHeight="1" x14ac:dyDescent="0.25">
      <c r="A224" s="60" t="s">
        <v>388</v>
      </c>
      <c r="B224" s="60" t="s">
        <v>389</v>
      </c>
      <c r="C224" s="34">
        <v>4301031443</v>
      </c>
      <c r="D224" s="704">
        <v>4680115887213</v>
      </c>
      <c r="E224" s="704"/>
      <c r="F224" s="59">
        <v>0.3</v>
      </c>
      <c r="G224" s="35">
        <v>6</v>
      </c>
      <c r="H224" s="59">
        <v>1.8</v>
      </c>
      <c r="I224" s="59">
        <v>1.9</v>
      </c>
      <c r="J224" s="35">
        <v>234</v>
      </c>
      <c r="K224" s="35" t="s">
        <v>80</v>
      </c>
      <c r="L224" s="35" t="s">
        <v>46</v>
      </c>
      <c r="M224" s="36" t="s">
        <v>79</v>
      </c>
      <c r="N224" s="36"/>
      <c r="O224" s="35">
        <v>45</v>
      </c>
      <c r="P224" s="82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3"/>
        <v>0</v>
      </c>
      <c r="Z224" s="39" t="str">
        <f t="shared" si="38"/>
        <v/>
      </c>
      <c r="AA224" s="65" t="s">
        <v>46</v>
      </c>
      <c r="AB224" s="66" t="s">
        <v>46</v>
      </c>
      <c r="AC224" s="297" t="s">
        <v>390</v>
      </c>
      <c r="AG224" s="75"/>
      <c r="AJ224" s="79" t="s">
        <v>46</v>
      </c>
      <c r="AK224" s="79">
        <v>0</v>
      </c>
      <c r="BB224" s="298" t="s">
        <v>66</v>
      </c>
      <c r="BM224" s="75">
        <f t="shared" si="34"/>
        <v>0</v>
      </c>
      <c r="BN224" s="75">
        <f t="shared" si="35"/>
        <v>0</v>
      </c>
      <c r="BO224" s="75">
        <f t="shared" si="36"/>
        <v>0</v>
      </c>
      <c r="BP224" s="75">
        <f t="shared" si="37"/>
        <v>0</v>
      </c>
    </row>
    <row r="225" spans="1:68" ht="27" hidden="1" customHeight="1" x14ac:dyDescent="0.25">
      <c r="A225" s="60" t="s">
        <v>391</v>
      </c>
      <c r="B225" s="60" t="s">
        <v>392</v>
      </c>
      <c r="C225" s="34">
        <v>4301031205</v>
      </c>
      <c r="D225" s="704">
        <v>4680115881785</v>
      </c>
      <c r="E225" s="704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80</v>
      </c>
      <c r="L225" s="35" t="s">
        <v>46</v>
      </c>
      <c r="M225" s="36" t="s">
        <v>79</v>
      </c>
      <c r="N225" s="36"/>
      <c r="O225" s="35">
        <v>40</v>
      </c>
      <c r="P225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3"/>
        <v>0</v>
      </c>
      <c r="Z225" s="39" t="str">
        <f t="shared" si="38"/>
        <v/>
      </c>
      <c r="AA225" s="65" t="s">
        <v>46</v>
      </c>
      <c r="AB225" s="66" t="s">
        <v>46</v>
      </c>
      <c r="AC225" s="299" t="s">
        <v>379</v>
      </c>
      <c r="AG225" s="75"/>
      <c r="AJ225" s="79" t="s">
        <v>46</v>
      </c>
      <c r="AK225" s="79">
        <v>0</v>
      </c>
      <c r="BB225" s="300" t="s">
        <v>66</v>
      </c>
      <c r="BM225" s="75">
        <f t="shared" si="34"/>
        <v>0</v>
      </c>
      <c r="BN225" s="75">
        <f t="shared" si="35"/>
        <v>0</v>
      </c>
      <c r="BO225" s="75">
        <f t="shared" si="36"/>
        <v>0</v>
      </c>
      <c r="BP225" s="75">
        <f t="shared" si="37"/>
        <v>0</v>
      </c>
    </row>
    <row r="226" spans="1:68" ht="27" hidden="1" customHeight="1" x14ac:dyDescent="0.25">
      <c r="A226" s="60" t="s">
        <v>393</v>
      </c>
      <c r="B226" s="60" t="s">
        <v>394</v>
      </c>
      <c r="C226" s="34">
        <v>4301031499</v>
      </c>
      <c r="D226" s="704">
        <v>4680115888432</v>
      </c>
      <c r="E226" s="704"/>
      <c r="F226" s="59">
        <v>0.3</v>
      </c>
      <c r="G226" s="35">
        <v>6</v>
      </c>
      <c r="H226" s="59">
        <v>1.8</v>
      </c>
      <c r="I226" s="59">
        <v>1.93</v>
      </c>
      <c r="J226" s="35">
        <v>234</v>
      </c>
      <c r="K226" s="35" t="s">
        <v>80</v>
      </c>
      <c r="L226" s="35" t="s">
        <v>46</v>
      </c>
      <c r="M226" s="36" t="s">
        <v>79</v>
      </c>
      <c r="N226" s="36"/>
      <c r="O226" s="35">
        <v>45</v>
      </c>
      <c r="P226" s="82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3"/>
        <v>0</v>
      </c>
      <c r="Z226" s="39" t="str">
        <f t="shared" si="38"/>
        <v/>
      </c>
      <c r="AA226" s="65" t="s">
        <v>46</v>
      </c>
      <c r="AB226" s="66" t="s">
        <v>46</v>
      </c>
      <c r="AC226" s="301" t="s">
        <v>395</v>
      </c>
      <c r="AG226" s="75"/>
      <c r="AJ226" s="79" t="s">
        <v>46</v>
      </c>
      <c r="AK226" s="79">
        <v>0</v>
      </c>
      <c r="BB226" s="302" t="s">
        <v>66</v>
      </c>
      <c r="BM226" s="75">
        <f t="shared" si="34"/>
        <v>0</v>
      </c>
      <c r="BN226" s="75">
        <f t="shared" si="35"/>
        <v>0</v>
      </c>
      <c r="BO226" s="75">
        <f t="shared" si="36"/>
        <v>0</v>
      </c>
      <c r="BP226" s="75">
        <f t="shared" si="37"/>
        <v>0</v>
      </c>
    </row>
    <row r="227" spans="1:68" ht="27" hidden="1" customHeight="1" x14ac:dyDescent="0.25">
      <c r="A227" s="60" t="s">
        <v>396</v>
      </c>
      <c r="B227" s="60" t="s">
        <v>397</v>
      </c>
      <c r="C227" s="34">
        <v>4301031427</v>
      </c>
      <c r="D227" s="704">
        <v>4680115888104</v>
      </c>
      <c r="E227" s="704"/>
      <c r="F227" s="59">
        <v>0.35</v>
      </c>
      <c r="G227" s="35">
        <v>6</v>
      </c>
      <c r="H227" s="59">
        <v>2.1</v>
      </c>
      <c r="I227" s="59">
        <v>2.2000000000000002</v>
      </c>
      <c r="J227" s="35">
        <v>234</v>
      </c>
      <c r="K227" s="35" t="s">
        <v>80</v>
      </c>
      <c r="L227" s="35" t="s">
        <v>46</v>
      </c>
      <c r="M227" s="36" t="s">
        <v>79</v>
      </c>
      <c r="N227" s="36"/>
      <c r="O227" s="35">
        <v>45</v>
      </c>
      <c r="P227" s="82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3"/>
        <v>0</v>
      </c>
      <c r="Z227" s="39" t="str">
        <f t="shared" si="38"/>
        <v/>
      </c>
      <c r="AA227" s="65" t="s">
        <v>46</v>
      </c>
      <c r="AB227" s="66" t="s">
        <v>46</v>
      </c>
      <c r="AC227" s="303" t="s">
        <v>398</v>
      </c>
      <c r="AG227" s="75"/>
      <c r="AJ227" s="79" t="s">
        <v>46</v>
      </c>
      <c r="AK227" s="79">
        <v>0</v>
      </c>
      <c r="BB227" s="304" t="s">
        <v>66</v>
      </c>
      <c r="BM227" s="75">
        <f t="shared" si="34"/>
        <v>0</v>
      </c>
      <c r="BN227" s="75">
        <f t="shared" si="35"/>
        <v>0</v>
      </c>
      <c r="BO227" s="75">
        <f t="shared" si="36"/>
        <v>0</v>
      </c>
      <c r="BP227" s="75">
        <f t="shared" si="37"/>
        <v>0</v>
      </c>
    </row>
    <row r="228" spans="1:68" ht="27" hidden="1" customHeight="1" x14ac:dyDescent="0.25">
      <c r="A228" s="60" t="s">
        <v>399</v>
      </c>
      <c r="B228" s="60" t="s">
        <v>400</v>
      </c>
      <c r="C228" s="34">
        <v>4301031399</v>
      </c>
      <c r="D228" s="704">
        <v>4680115886537</v>
      </c>
      <c r="E228" s="704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80</v>
      </c>
      <c r="L228" s="35" t="s">
        <v>46</v>
      </c>
      <c r="M228" s="36" t="s">
        <v>79</v>
      </c>
      <c r="N228" s="36"/>
      <c r="O228" s="35">
        <v>40</v>
      </c>
      <c r="P228" s="82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3"/>
        <v>0</v>
      </c>
      <c r="Z228" s="39" t="str">
        <f t="shared" si="38"/>
        <v/>
      </c>
      <c r="AA228" s="65" t="s">
        <v>46</v>
      </c>
      <c r="AB228" s="66" t="s">
        <v>46</v>
      </c>
      <c r="AC228" s="305" t="s">
        <v>401</v>
      </c>
      <c r="AG228" s="75"/>
      <c r="AJ228" s="79" t="s">
        <v>46</v>
      </c>
      <c r="AK228" s="79">
        <v>0</v>
      </c>
      <c r="BB228" s="306" t="s">
        <v>66</v>
      </c>
      <c r="BM228" s="75">
        <f t="shared" si="34"/>
        <v>0</v>
      </c>
      <c r="BN228" s="75">
        <f t="shared" si="35"/>
        <v>0</v>
      </c>
      <c r="BO228" s="75">
        <f t="shared" si="36"/>
        <v>0</v>
      </c>
      <c r="BP228" s="75">
        <f t="shared" si="37"/>
        <v>0</v>
      </c>
    </row>
    <row r="229" spans="1:68" ht="27" hidden="1" customHeight="1" x14ac:dyDescent="0.25">
      <c r="A229" s="60" t="s">
        <v>402</v>
      </c>
      <c r="B229" s="60" t="s">
        <v>403</v>
      </c>
      <c r="C229" s="34">
        <v>4301031279</v>
      </c>
      <c r="D229" s="704">
        <v>4680115887596</v>
      </c>
      <c r="E229" s="704"/>
      <c r="F229" s="59">
        <v>0.08</v>
      </c>
      <c r="G229" s="35">
        <v>10</v>
      </c>
      <c r="H229" s="59">
        <v>0.8</v>
      </c>
      <c r="I229" s="59">
        <v>1.01</v>
      </c>
      <c r="J229" s="35">
        <v>336</v>
      </c>
      <c r="K229" s="35" t="s">
        <v>131</v>
      </c>
      <c r="L229" s="35" t="s">
        <v>46</v>
      </c>
      <c r="M229" s="36" t="s">
        <v>79</v>
      </c>
      <c r="N229" s="36"/>
      <c r="O229" s="35">
        <v>45</v>
      </c>
      <c r="P229" s="8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3"/>
        <v>0</v>
      </c>
      <c r="Z229" s="39" t="str">
        <f>IFERROR(IF(Y229=0,"",ROUNDUP(Y229/H229,0)*0.00417),"")</f>
        <v/>
      </c>
      <c r="AA229" s="65" t="s">
        <v>46</v>
      </c>
      <c r="AB229" s="66" t="s">
        <v>46</v>
      </c>
      <c r="AC229" s="307" t="s">
        <v>404</v>
      </c>
      <c r="AG229" s="75"/>
      <c r="AJ229" s="79" t="s">
        <v>46</v>
      </c>
      <c r="AK229" s="79">
        <v>0</v>
      </c>
      <c r="BB229" s="308" t="s">
        <v>66</v>
      </c>
      <c r="BM229" s="75">
        <f t="shared" si="34"/>
        <v>0</v>
      </c>
      <c r="BN229" s="75">
        <f t="shared" si="35"/>
        <v>0</v>
      </c>
      <c r="BO229" s="75">
        <f t="shared" si="36"/>
        <v>0</v>
      </c>
      <c r="BP229" s="75">
        <f t="shared" si="37"/>
        <v>0</v>
      </c>
    </row>
    <row r="230" spans="1:68" ht="37.5" hidden="1" customHeight="1" x14ac:dyDescent="0.25">
      <c r="A230" s="60" t="s">
        <v>405</v>
      </c>
      <c r="B230" s="60" t="s">
        <v>406</v>
      </c>
      <c r="C230" s="34">
        <v>4301031202</v>
      </c>
      <c r="D230" s="704">
        <v>4680115881679</v>
      </c>
      <c r="E230" s="704"/>
      <c r="F230" s="59">
        <v>0.35</v>
      </c>
      <c r="G230" s="35">
        <v>6</v>
      </c>
      <c r="H230" s="59">
        <v>2.1</v>
      </c>
      <c r="I230" s="59">
        <v>2.2000000000000002</v>
      </c>
      <c r="J230" s="35">
        <v>234</v>
      </c>
      <c r="K230" s="35" t="s">
        <v>80</v>
      </c>
      <c r="L230" s="35" t="s">
        <v>46</v>
      </c>
      <c r="M230" s="36" t="s">
        <v>79</v>
      </c>
      <c r="N230" s="36"/>
      <c r="O230" s="35">
        <v>40</v>
      </c>
      <c r="P230" s="8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3"/>
        <v>0</v>
      </c>
      <c r="Z230" s="39" t="str">
        <f>IFERROR(IF(Y230=0,"",ROUNDUP(Y230/H230,0)*0.00502),"")</f>
        <v/>
      </c>
      <c r="AA230" s="65" t="s">
        <v>46</v>
      </c>
      <c r="AB230" s="66" t="s">
        <v>46</v>
      </c>
      <c r="AC230" s="309" t="s">
        <v>382</v>
      </c>
      <c r="AG230" s="75"/>
      <c r="AJ230" s="79" t="s">
        <v>46</v>
      </c>
      <c r="AK230" s="79">
        <v>0</v>
      </c>
      <c r="BB230" s="310" t="s">
        <v>66</v>
      </c>
      <c r="BM230" s="75">
        <f t="shared" si="34"/>
        <v>0</v>
      </c>
      <c r="BN230" s="75">
        <f t="shared" si="35"/>
        <v>0</v>
      </c>
      <c r="BO230" s="75">
        <f t="shared" si="36"/>
        <v>0</v>
      </c>
      <c r="BP230" s="75">
        <f t="shared" si="37"/>
        <v>0</v>
      </c>
    </row>
    <row r="231" spans="1:68" ht="27" hidden="1" customHeight="1" x14ac:dyDescent="0.25">
      <c r="A231" s="60" t="s">
        <v>407</v>
      </c>
      <c r="B231" s="60" t="s">
        <v>408</v>
      </c>
      <c r="C231" s="34">
        <v>4301031158</v>
      </c>
      <c r="D231" s="704">
        <v>4680115880191</v>
      </c>
      <c r="E231" s="704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89</v>
      </c>
      <c r="L231" s="35" t="s">
        <v>46</v>
      </c>
      <c r="M231" s="36" t="s">
        <v>79</v>
      </c>
      <c r="N231" s="36"/>
      <c r="O231" s="35">
        <v>40</v>
      </c>
      <c r="P231" s="82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3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382</v>
      </c>
      <c r="AG231" s="75"/>
      <c r="AJ231" s="79" t="s">
        <v>46</v>
      </c>
      <c r="AK231" s="79">
        <v>0</v>
      </c>
      <c r="BB231" s="312" t="s">
        <v>66</v>
      </c>
      <c r="BM231" s="75">
        <f t="shared" si="34"/>
        <v>0</v>
      </c>
      <c r="BN231" s="75">
        <f t="shared" si="35"/>
        <v>0</v>
      </c>
      <c r="BO231" s="75">
        <f t="shared" si="36"/>
        <v>0</v>
      </c>
      <c r="BP231" s="75">
        <f t="shared" si="37"/>
        <v>0</v>
      </c>
    </row>
    <row r="232" spans="1:68" ht="27" hidden="1" customHeight="1" x14ac:dyDescent="0.25">
      <c r="A232" s="60" t="s">
        <v>409</v>
      </c>
      <c r="B232" s="60" t="s">
        <v>410</v>
      </c>
      <c r="C232" s="34">
        <v>4301031245</v>
      </c>
      <c r="D232" s="704">
        <v>4680115883963</v>
      </c>
      <c r="E232" s="704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80</v>
      </c>
      <c r="L232" s="35" t="s">
        <v>46</v>
      </c>
      <c r="M232" s="36" t="s">
        <v>79</v>
      </c>
      <c r="N232" s="36"/>
      <c r="O232" s="35">
        <v>40</v>
      </c>
      <c r="P232" s="82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3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411</v>
      </c>
      <c r="AG232" s="75"/>
      <c r="AJ232" s="79" t="s">
        <v>46</v>
      </c>
      <c r="AK232" s="79">
        <v>0</v>
      </c>
      <c r="BB232" s="314" t="s">
        <v>66</v>
      </c>
      <c r="BM232" s="75">
        <f t="shared" si="34"/>
        <v>0</v>
      </c>
      <c r="BN232" s="75">
        <f t="shared" si="35"/>
        <v>0</v>
      </c>
      <c r="BO232" s="75">
        <f t="shared" si="36"/>
        <v>0</v>
      </c>
      <c r="BP232" s="75">
        <f t="shared" si="37"/>
        <v>0</v>
      </c>
    </row>
    <row r="233" spans="1:68" hidden="1" x14ac:dyDescent="0.2">
      <c r="A233" s="712"/>
      <c r="B233" s="712"/>
      <c r="C233" s="712"/>
      <c r="D233" s="712"/>
      <c r="E233" s="712"/>
      <c r="F233" s="712"/>
      <c r="G233" s="712"/>
      <c r="H233" s="712"/>
      <c r="I233" s="712"/>
      <c r="J233" s="712"/>
      <c r="K233" s="712"/>
      <c r="L233" s="712"/>
      <c r="M233" s="712"/>
      <c r="N233" s="712"/>
      <c r="O233" s="713"/>
      <c r="P233" s="709" t="s">
        <v>40</v>
      </c>
      <c r="Q233" s="710"/>
      <c r="R233" s="710"/>
      <c r="S233" s="710"/>
      <c r="T233" s="710"/>
      <c r="U233" s="710"/>
      <c r="V233" s="711"/>
      <c r="W233" s="40" t="s">
        <v>39</v>
      </c>
      <c r="X233" s="4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712"/>
      <c r="B234" s="712"/>
      <c r="C234" s="712"/>
      <c r="D234" s="712"/>
      <c r="E234" s="712"/>
      <c r="F234" s="712"/>
      <c r="G234" s="712"/>
      <c r="H234" s="712"/>
      <c r="I234" s="712"/>
      <c r="J234" s="712"/>
      <c r="K234" s="712"/>
      <c r="L234" s="712"/>
      <c r="M234" s="712"/>
      <c r="N234" s="712"/>
      <c r="O234" s="713"/>
      <c r="P234" s="709" t="s">
        <v>40</v>
      </c>
      <c r="Q234" s="710"/>
      <c r="R234" s="710"/>
      <c r="S234" s="710"/>
      <c r="T234" s="710"/>
      <c r="U234" s="710"/>
      <c r="V234" s="711"/>
      <c r="W234" s="40" t="s">
        <v>0</v>
      </c>
      <c r="X234" s="41">
        <f>IFERROR(SUM(X219:X232),"0")</f>
        <v>0</v>
      </c>
      <c r="Y234" s="41">
        <f>IFERROR(SUM(Y219:Y232),"0")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703" t="s">
        <v>84</v>
      </c>
      <c r="B235" s="703"/>
      <c r="C235" s="703"/>
      <c r="D235" s="703"/>
      <c r="E235" s="703"/>
      <c r="F235" s="703"/>
      <c r="G235" s="703"/>
      <c r="H235" s="703"/>
      <c r="I235" s="703"/>
      <c r="J235" s="703"/>
      <c r="K235" s="703"/>
      <c r="L235" s="703"/>
      <c r="M235" s="703"/>
      <c r="N235" s="703"/>
      <c r="O235" s="703"/>
      <c r="P235" s="703"/>
      <c r="Q235" s="703"/>
      <c r="R235" s="703"/>
      <c r="S235" s="703"/>
      <c r="T235" s="703"/>
      <c r="U235" s="703"/>
      <c r="V235" s="703"/>
      <c r="W235" s="703"/>
      <c r="X235" s="703"/>
      <c r="Y235" s="703"/>
      <c r="Z235" s="703"/>
      <c r="AA235" s="63"/>
      <c r="AB235" s="63"/>
      <c r="AC235" s="63"/>
    </row>
    <row r="236" spans="1:68" ht="16.5" hidden="1" customHeight="1" x14ac:dyDescent="0.25">
      <c r="A236" s="60" t="s">
        <v>412</v>
      </c>
      <c r="B236" s="60" t="s">
        <v>413</v>
      </c>
      <c r="C236" s="34">
        <v>4301052209</v>
      </c>
      <c r="D236" s="704">
        <v>4680115888692</v>
      </c>
      <c r="E236" s="70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95</v>
      </c>
      <c r="N236" s="36"/>
      <c r="O236" s="35">
        <v>35</v>
      </c>
      <c r="P236" s="82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414</v>
      </c>
      <c r="AG236" s="75"/>
      <c r="AJ236" s="79" t="s">
        <v>46</v>
      </c>
      <c r="AK236" s="79">
        <v>0</v>
      </c>
      <c r="BB236" s="316" t="s">
        <v>66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t="27" hidden="1" customHeight="1" x14ac:dyDescent="0.25">
      <c r="A237" s="60" t="s">
        <v>415</v>
      </c>
      <c r="B237" s="60" t="s">
        <v>416</v>
      </c>
      <c r="C237" s="34">
        <v>4301052213</v>
      </c>
      <c r="D237" s="704">
        <v>4680115888722</v>
      </c>
      <c r="E237" s="704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127</v>
      </c>
      <c r="L237" s="35" t="s">
        <v>46</v>
      </c>
      <c r="M237" s="36" t="s">
        <v>95</v>
      </c>
      <c r="N237" s="36"/>
      <c r="O237" s="35">
        <v>35</v>
      </c>
      <c r="P237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06"/>
      <c r="R237" s="706"/>
      <c r="S237" s="706"/>
      <c r="T237" s="707"/>
      <c r="U237" s="37" t="s">
        <v>46</v>
      </c>
      <c r="V237" s="37" t="s">
        <v>46</v>
      </c>
      <c r="W237" s="38" t="s">
        <v>0</v>
      </c>
      <c r="X237" s="56">
        <v>0</v>
      </c>
      <c r="Y237" s="53">
        <f>IFERROR(IF(X237="",0,CEILING((X237/$H237),1)*$H237),"")</f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417</v>
      </c>
      <c r="AG237" s="75"/>
      <c r="AJ237" s="79" t="s">
        <v>46</v>
      </c>
      <c r="AK237" s="79">
        <v>0</v>
      </c>
      <c r="BB237" s="318" t="s">
        <v>66</v>
      </c>
      <c r="BM237" s="75">
        <f>IFERROR(X237*I237/H237,"0")</f>
        <v>0</v>
      </c>
      <c r="BN237" s="75">
        <f>IFERROR(Y237*I237/H237,"0")</f>
        <v>0</v>
      </c>
      <c r="BO237" s="75">
        <f>IFERROR(1/J237*(X237/H237),"0")</f>
        <v>0</v>
      </c>
      <c r="BP237" s="75">
        <f>IFERROR(1/J237*(Y237/H237),"0")</f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4301052177</v>
      </c>
      <c r="D238" s="704">
        <v>4680115888951</v>
      </c>
      <c r="E238" s="70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95</v>
      </c>
      <c r="N238" s="36"/>
      <c r="O238" s="35">
        <v>35</v>
      </c>
      <c r="P238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06"/>
      <c r="R238" s="706"/>
      <c r="S238" s="706"/>
      <c r="T238" s="707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19" t="s">
        <v>420</v>
      </c>
      <c r="AG238" s="75"/>
      <c r="AJ238" s="79" t="s">
        <v>46</v>
      </c>
      <c r="AK238" s="79">
        <v>0</v>
      </c>
      <c r="BB238" s="320" t="s">
        <v>66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421</v>
      </c>
      <c r="B239" s="60" t="s">
        <v>422</v>
      </c>
      <c r="C239" s="34">
        <v>4301052178</v>
      </c>
      <c r="D239" s="704">
        <v>4680115888975</v>
      </c>
      <c r="E239" s="70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95</v>
      </c>
      <c r="N239" s="36"/>
      <c r="O239" s="35">
        <v>35</v>
      </c>
      <c r="P239" s="8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06"/>
      <c r="R239" s="706"/>
      <c r="S239" s="706"/>
      <c r="T239" s="707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1" t="s">
        <v>423</v>
      </c>
      <c r="AG239" s="75"/>
      <c r="AJ239" s="79" t="s">
        <v>46</v>
      </c>
      <c r="AK239" s="79">
        <v>0</v>
      </c>
      <c r="BB239" s="322" t="s">
        <v>66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424</v>
      </c>
      <c r="B240" s="60" t="s">
        <v>425</v>
      </c>
      <c r="C240" s="34">
        <v>4301052176</v>
      </c>
      <c r="D240" s="704">
        <v>4680115888982</v>
      </c>
      <c r="E240" s="70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95</v>
      </c>
      <c r="N240" s="36"/>
      <c r="O240" s="35">
        <v>35</v>
      </c>
      <c r="P240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417</v>
      </c>
      <c r="AG240" s="75"/>
      <c r="AJ240" s="79" t="s">
        <v>46</v>
      </c>
      <c r="AK240" s="79">
        <v>0</v>
      </c>
      <c r="BB240" s="324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712"/>
      <c r="B241" s="712"/>
      <c r="C241" s="712"/>
      <c r="D241" s="712"/>
      <c r="E241" s="712"/>
      <c r="F241" s="712"/>
      <c r="G241" s="712"/>
      <c r="H241" s="712"/>
      <c r="I241" s="712"/>
      <c r="J241" s="712"/>
      <c r="K241" s="712"/>
      <c r="L241" s="712"/>
      <c r="M241" s="712"/>
      <c r="N241" s="712"/>
      <c r="O241" s="713"/>
      <c r="P241" s="709" t="s">
        <v>40</v>
      </c>
      <c r="Q241" s="710"/>
      <c r="R241" s="710"/>
      <c r="S241" s="710"/>
      <c r="T241" s="710"/>
      <c r="U241" s="710"/>
      <c r="V241" s="711"/>
      <c r="W241" s="40" t="s">
        <v>39</v>
      </c>
      <c r="X241" s="41">
        <f>IFERROR(X236/H236,"0")+IFERROR(X237/H237,"0")+IFERROR(X238/H238,"0")+IFERROR(X239/H239,"0")+IFERROR(X240/H240,"0")</f>
        <v>0</v>
      </c>
      <c r="Y241" s="41">
        <f>IFERROR(Y236/H236,"0")+IFERROR(Y237/H237,"0")+IFERROR(Y238/H238,"0")+IFERROR(Y239/H239,"0")+IFERROR(Y240/H240,"0")</f>
        <v>0</v>
      </c>
      <c r="Z241" s="41">
        <f>IFERROR(IF(Z236="",0,Z236),"0")+IFERROR(IF(Z237="",0,Z237),"0")+IFERROR(IF(Z238="",0,Z238),"0")+IFERROR(IF(Z239="",0,Z239),"0")+IFERROR(IF(Z240="",0,Z240),"0")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712"/>
      <c r="B242" s="712"/>
      <c r="C242" s="712"/>
      <c r="D242" s="712"/>
      <c r="E242" s="712"/>
      <c r="F242" s="712"/>
      <c r="G242" s="712"/>
      <c r="H242" s="712"/>
      <c r="I242" s="712"/>
      <c r="J242" s="712"/>
      <c r="K242" s="712"/>
      <c r="L242" s="712"/>
      <c r="M242" s="712"/>
      <c r="N242" s="712"/>
      <c r="O242" s="713"/>
      <c r="P242" s="709" t="s">
        <v>40</v>
      </c>
      <c r="Q242" s="710"/>
      <c r="R242" s="710"/>
      <c r="S242" s="710"/>
      <c r="T242" s="710"/>
      <c r="U242" s="710"/>
      <c r="V242" s="711"/>
      <c r="W242" s="40" t="s">
        <v>0</v>
      </c>
      <c r="X242" s="41">
        <f>IFERROR(SUM(X236:X240),"0")</f>
        <v>0</v>
      </c>
      <c r="Y242" s="41">
        <f>IFERROR(SUM(Y236:Y240),"0")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703" t="s">
        <v>280</v>
      </c>
      <c r="B243" s="703"/>
      <c r="C243" s="703"/>
      <c r="D243" s="703"/>
      <c r="E243" s="703"/>
      <c r="F243" s="703"/>
      <c r="G243" s="703"/>
      <c r="H243" s="703"/>
      <c r="I243" s="703"/>
      <c r="J243" s="703"/>
      <c r="K243" s="703"/>
      <c r="L243" s="703"/>
      <c r="M243" s="703"/>
      <c r="N243" s="703"/>
      <c r="O243" s="703"/>
      <c r="P243" s="703"/>
      <c r="Q243" s="703"/>
      <c r="R243" s="703"/>
      <c r="S243" s="703"/>
      <c r="T243" s="703"/>
      <c r="U243" s="703"/>
      <c r="V243" s="703"/>
      <c r="W243" s="703"/>
      <c r="X243" s="703"/>
      <c r="Y243" s="703"/>
      <c r="Z243" s="703"/>
      <c r="AA243" s="63"/>
      <c r="AB243" s="63"/>
      <c r="AC243" s="63"/>
    </row>
    <row r="244" spans="1:68" ht="27" hidden="1" customHeight="1" x14ac:dyDescent="0.25">
      <c r="A244" s="60" t="s">
        <v>426</v>
      </c>
      <c r="B244" s="60" t="s">
        <v>427</v>
      </c>
      <c r="C244" s="34">
        <v>4301032053</v>
      </c>
      <c r="D244" s="704">
        <v>4680115886780</v>
      </c>
      <c r="E244" s="704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343</v>
      </c>
      <c r="L244" s="35" t="s">
        <v>46</v>
      </c>
      <c r="M244" s="36" t="s">
        <v>285</v>
      </c>
      <c r="N244" s="36"/>
      <c r="O244" s="35">
        <v>60</v>
      </c>
      <c r="P244" s="83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25" t="s">
        <v>428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429</v>
      </c>
      <c r="B245" s="60" t="s">
        <v>430</v>
      </c>
      <c r="C245" s="34">
        <v>4301032051</v>
      </c>
      <c r="D245" s="704">
        <v>4680115886742</v>
      </c>
      <c r="E245" s="70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285</v>
      </c>
      <c r="N245" s="36"/>
      <c r="O245" s="35">
        <v>90</v>
      </c>
      <c r="P245" s="83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06"/>
      <c r="R245" s="706"/>
      <c r="S245" s="706"/>
      <c r="T245" s="70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27" t="s">
        <v>431</v>
      </c>
      <c r="AG245" s="75"/>
      <c r="AJ245" s="79" t="s">
        <v>46</v>
      </c>
      <c r="AK245" s="79">
        <v>0</v>
      </c>
      <c r="BB245" s="328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4301032052</v>
      </c>
      <c r="D246" s="704">
        <v>4680115886766</v>
      </c>
      <c r="E246" s="70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285</v>
      </c>
      <c r="N246" s="36"/>
      <c r="O246" s="35">
        <v>90</v>
      </c>
      <c r="P246" s="83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06"/>
      <c r="R246" s="706"/>
      <c r="S246" s="706"/>
      <c r="T246" s="70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29" t="s">
        <v>431</v>
      </c>
      <c r="AG246" s="75"/>
      <c r="AJ246" s="79" t="s">
        <v>46</v>
      </c>
      <c r="AK246" s="79">
        <v>0</v>
      </c>
      <c r="BB246" s="330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idden="1" x14ac:dyDescent="0.2">
      <c r="A247" s="712"/>
      <c r="B247" s="712"/>
      <c r="C247" s="712"/>
      <c r="D247" s="712"/>
      <c r="E247" s="712"/>
      <c r="F247" s="712"/>
      <c r="G247" s="712"/>
      <c r="H247" s="712"/>
      <c r="I247" s="712"/>
      <c r="J247" s="712"/>
      <c r="K247" s="712"/>
      <c r="L247" s="712"/>
      <c r="M247" s="712"/>
      <c r="N247" s="712"/>
      <c r="O247" s="713"/>
      <c r="P247" s="709" t="s">
        <v>40</v>
      </c>
      <c r="Q247" s="710"/>
      <c r="R247" s="710"/>
      <c r="S247" s="710"/>
      <c r="T247" s="710"/>
      <c r="U247" s="710"/>
      <c r="V247" s="711"/>
      <c r="W247" s="40" t="s">
        <v>39</v>
      </c>
      <c r="X247" s="41">
        <f>IFERROR(X244/H244,"0")+IFERROR(X245/H245,"0")+IFERROR(X246/H246,"0")</f>
        <v>0</v>
      </c>
      <c r="Y247" s="41">
        <f>IFERROR(Y244/H244,"0")+IFERROR(Y245/H245,"0")+IFERROR(Y246/H246,"0")</f>
        <v>0</v>
      </c>
      <c r="Z247" s="41">
        <f>IFERROR(IF(Z244="",0,Z244),"0")+IFERROR(IF(Z245="",0,Z245),"0")+IFERROR(IF(Z246="",0,Z246),"0")</f>
        <v>0</v>
      </c>
      <c r="AA247" s="64"/>
      <c r="AB247" s="64"/>
      <c r="AC247" s="64"/>
    </row>
    <row r="248" spans="1:68" hidden="1" x14ac:dyDescent="0.2">
      <c r="A248" s="712"/>
      <c r="B248" s="712"/>
      <c r="C248" s="712"/>
      <c r="D248" s="712"/>
      <c r="E248" s="712"/>
      <c r="F248" s="712"/>
      <c r="G248" s="712"/>
      <c r="H248" s="712"/>
      <c r="I248" s="712"/>
      <c r="J248" s="712"/>
      <c r="K248" s="712"/>
      <c r="L248" s="712"/>
      <c r="M248" s="712"/>
      <c r="N248" s="712"/>
      <c r="O248" s="713"/>
      <c r="P248" s="709" t="s">
        <v>40</v>
      </c>
      <c r="Q248" s="710"/>
      <c r="R248" s="710"/>
      <c r="S248" s="710"/>
      <c r="T248" s="710"/>
      <c r="U248" s="710"/>
      <c r="V248" s="711"/>
      <c r="W248" s="40" t="s">
        <v>0</v>
      </c>
      <c r="X248" s="41">
        <f>IFERROR(SUM(X244:X246),"0")</f>
        <v>0</v>
      </c>
      <c r="Y248" s="41">
        <f>IFERROR(SUM(Y244:Y246),"0")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703" t="s">
        <v>434</v>
      </c>
      <c r="B249" s="703"/>
      <c r="C249" s="703"/>
      <c r="D249" s="703"/>
      <c r="E249" s="703"/>
      <c r="F249" s="703"/>
      <c r="G249" s="703"/>
      <c r="H249" s="703"/>
      <c r="I249" s="703"/>
      <c r="J249" s="703"/>
      <c r="K249" s="703"/>
      <c r="L249" s="703"/>
      <c r="M249" s="703"/>
      <c r="N249" s="703"/>
      <c r="O249" s="703"/>
      <c r="P249" s="703"/>
      <c r="Q249" s="703"/>
      <c r="R249" s="703"/>
      <c r="S249" s="703"/>
      <c r="T249" s="703"/>
      <c r="U249" s="703"/>
      <c r="V249" s="703"/>
      <c r="W249" s="703"/>
      <c r="X249" s="703"/>
      <c r="Y249" s="703"/>
      <c r="Z249" s="703"/>
      <c r="AA249" s="63"/>
      <c r="AB249" s="63"/>
      <c r="AC249" s="63"/>
    </row>
    <row r="250" spans="1:68" ht="27" hidden="1" customHeight="1" x14ac:dyDescent="0.25">
      <c r="A250" s="60" t="s">
        <v>435</v>
      </c>
      <c r="B250" s="60" t="s">
        <v>436</v>
      </c>
      <c r="C250" s="34">
        <v>4301170013</v>
      </c>
      <c r="D250" s="704">
        <v>4680115886797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343</v>
      </c>
      <c r="L250" s="35" t="s">
        <v>46</v>
      </c>
      <c r="M250" s="36" t="s">
        <v>285</v>
      </c>
      <c r="N250" s="36"/>
      <c r="O250" s="35">
        <v>90</v>
      </c>
      <c r="P250" s="83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431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hidden="1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hidden="1" customHeight="1" x14ac:dyDescent="0.25">
      <c r="A253" s="702" t="s">
        <v>437</v>
      </c>
      <c r="B253" s="702"/>
      <c r="C253" s="702"/>
      <c r="D253" s="702"/>
      <c r="E253" s="702"/>
      <c r="F253" s="702"/>
      <c r="G253" s="702"/>
      <c r="H253" s="702"/>
      <c r="I253" s="702"/>
      <c r="J253" s="702"/>
      <c r="K253" s="702"/>
      <c r="L253" s="702"/>
      <c r="M253" s="702"/>
      <c r="N253" s="702"/>
      <c r="O253" s="702"/>
      <c r="P253" s="702"/>
      <c r="Q253" s="702"/>
      <c r="R253" s="702"/>
      <c r="S253" s="702"/>
      <c r="T253" s="702"/>
      <c r="U253" s="702"/>
      <c r="V253" s="702"/>
      <c r="W253" s="702"/>
      <c r="X253" s="702"/>
      <c r="Y253" s="702"/>
      <c r="Z253" s="702"/>
      <c r="AA253" s="62"/>
      <c r="AB253" s="62"/>
      <c r="AC253" s="62"/>
    </row>
    <row r="254" spans="1:68" ht="14.25" hidden="1" customHeight="1" x14ac:dyDescent="0.25">
      <c r="A254" s="703" t="s">
        <v>122</v>
      </c>
      <c r="B254" s="703"/>
      <c r="C254" s="703"/>
      <c r="D254" s="703"/>
      <c r="E254" s="703"/>
      <c r="F254" s="703"/>
      <c r="G254" s="703"/>
      <c r="H254" s="703"/>
      <c r="I254" s="703"/>
      <c r="J254" s="703"/>
      <c r="K254" s="703"/>
      <c r="L254" s="703"/>
      <c r="M254" s="703"/>
      <c r="N254" s="703"/>
      <c r="O254" s="703"/>
      <c r="P254" s="703"/>
      <c r="Q254" s="703"/>
      <c r="R254" s="703"/>
      <c r="S254" s="703"/>
      <c r="T254" s="703"/>
      <c r="U254" s="703"/>
      <c r="V254" s="703"/>
      <c r="W254" s="703"/>
      <c r="X254" s="703"/>
      <c r="Y254" s="703"/>
      <c r="Z254" s="703"/>
      <c r="AA254" s="63"/>
      <c r="AB254" s="63"/>
      <c r="AC254" s="63"/>
    </row>
    <row r="255" spans="1:68" ht="27" hidden="1" customHeight="1" x14ac:dyDescent="0.25">
      <c r="A255" s="60" t="s">
        <v>438</v>
      </c>
      <c r="B255" s="60" t="s">
        <v>439</v>
      </c>
      <c r="C255" s="34">
        <v>4301011450</v>
      </c>
      <c r="D255" s="704">
        <v>4680115881402</v>
      </c>
      <c r="E255" s="704"/>
      <c r="F255" s="59">
        <v>1.35</v>
      </c>
      <c r="G255" s="35">
        <v>8</v>
      </c>
      <c r="H255" s="59">
        <v>10.8</v>
      </c>
      <c r="I255" s="59">
        <v>11.21</v>
      </c>
      <c r="J255" s="35">
        <v>64</v>
      </c>
      <c r="K255" s="35" t="s">
        <v>127</v>
      </c>
      <c r="L255" s="35" t="s">
        <v>46</v>
      </c>
      <c r="M255" s="36" t="s">
        <v>126</v>
      </c>
      <c r="N255" s="36"/>
      <c r="O255" s="35">
        <v>55</v>
      </c>
      <c r="P255" s="8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06"/>
      <c r="R255" s="706"/>
      <c r="S255" s="706"/>
      <c r="T255" s="707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IFERROR(IF(Y255=0,"",ROUNDUP(Y255/H255,0)*0.01898),"")</f>
        <v/>
      </c>
      <c r="AA255" s="65" t="s">
        <v>46</v>
      </c>
      <c r="AB255" s="66" t="s">
        <v>46</v>
      </c>
      <c r="AC255" s="333" t="s">
        <v>440</v>
      </c>
      <c r="AG255" s="75"/>
      <c r="AJ255" s="79" t="s">
        <v>46</v>
      </c>
      <c r="AK255" s="79">
        <v>0</v>
      </c>
      <c r="BB255" s="334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441</v>
      </c>
      <c r="B256" s="60" t="s">
        <v>442</v>
      </c>
      <c r="C256" s="34">
        <v>4301011768</v>
      </c>
      <c r="D256" s="704">
        <v>4680115881396</v>
      </c>
      <c r="E256" s="704"/>
      <c r="F256" s="59">
        <v>0.45</v>
      </c>
      <c r="G256" s="35">
        <v>6</v>
      </c>
      <c r="H256" s="59">
        <v>2.7</v>
      </c>
      <c r="I256" s="59">
        <v>2.88</v>
      </c>
      <c r="J256" s="35">
        <v>182</v>
      </c>
      <c r="K256" s="35" t="s">
        <v>89</v>
      </c>
      <c r="L256" s="35" t="s">
        <v>46</v>
      </c>
      <c r="M256" s="36" t="s">
        <v>126</v>
      </c>
      <c r="N256" s="36"/>
      <c r="O256" s="35">
        <v>55</v>
      </c>
      <c r="P256" s="83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06"/>
      <c r="R256" s="706"/>
      <c r="S256" s="706"/>
      <c r="T256" s="70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IFERROR(IF(Y256=0,"",ROUNDUP(Y256/H256,0)*0.00651),"")</f>
        <v/>
      </c>
      <c r="AA256" s="65" t="s">
        <v>46</v>
      </c>
      <c r="AB256" s="66" t="s">
        <v>46</v>
      </c>
      <c r="AC256" s="335" t="s">
        <v>440</v>
      </c>
      <c r="AG256" s="75"/>
      <c r="AJ256" s="79" t="s">
        <v>46</v>
      </c>
      <c r="AK256" s="79">
        <v>0</v>
      </c>
      <c r="BB256" s="336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idden="1" x14ac:dyDescent="0.2">
      <c r="A257" s="712"/>
      <c r="B257" s="712"/>
      <c r="C257" s="712"/>
      <c r="D257" s="712"/>
      <c r="E257" s="712"/>
      <c r="F257" s="712"/>
      <c r="G257" s="712"/>
      <c r="H257" s="712"/>
      <c r="I257" s="712"/>
      <c r="J257" s="712"/>
      <c r="K257" s="712"/>
      <c r="L257" s="712"/>
      <c r="M257" s="712"/>
      <c r="N257" s="712"/>
      <c r="O257" s="713"/>
      <c r="P257" s="709" t="s">
        <v>40</v>
      </c>
      <c r="Q257" s="710"/>
      <c r="R257" s="710"/>
      <c r="S257" s="710"/>
      <c r="T257" s="710"/>
      <c r="U257" s="710"/>
      <c r="V257" s="711"/>
      <c r="W257" s="40" t="s">
        <v>39</v>
      </c>
      <c r="X257" s="41">
        <f>IFERROR(X255/H255,"0")+IFERROR(X256/H256,"0")</f>
        <v>0</v>
      </c>
      <c r="Y257" s="41">
        <f>IFERROR(Y255/H255,"0")+IFERROR(Y256/H256,"0")</f>
        <v>0</v>
      </c>
      <c r="Z257" s="41">
        <f>IFERROR(IF(Z255="",0,Z255),"0")+IFERROR(IF(Z256="",0,Z256),"0")</f>
        <v>0</v>
      </c>
      <c r="AA257" s="64"/>
      <c r="AB257" s="64"/>
      <c r="AC257" s="64"/>
    </row>
    <row r="258" spans="1:68" hidden="1" x14ac:dyDescent="0.2">
      <c r="A258" s="712"/>
      <c r="B258" s="712"/>
      <c r="C258" s="712"/>
      <c r="D258" s="712"/>
      <c r="E258" s="712"/>
      <c r="F258" s="712"/>
      <c r="G258" s="712"/>
      <c r="H258" s="712"/>
      <c r="I258" s="712"/>
      <c r="J258" s="712"/>
      <c r="K258" s="712"/>
      <c r="L258" s="712"/>
      <c r="M258" s="712"/>
      <c r="N258" s="712"/>
      <c r="O258" s="713"/>
      <c r="P258" s="709" t="s">
        <v>40</v>
      </c>
      <c r="Q258" s="710"/>
      <c r="R258" s="710"/>
      <c r="S258" s="710"/>
      <c r="T258" s="710"/>
      <c r="U258" s="710"/>
      <c r="V258" s="711"/>
      <c r="W258" s="40" t="s">
        <v>0</v>
      </c>
      <c r="X258" s="41">
        <f>IFERROR(SUM(X255:X256),"0")</f>
        <v>0</v>
      </c>
      <c r="Y258" s="41">
        <f>IFERROR(SUM(Y255:Y256),"0")</f>
        <v>0</v>
      </c>
      <c r="Z258" s="40"/>
      <c r="AA258" s="64"/>
      <c r="AB258" s="64"/>
      <c r="AC258" s="64"/>
    </row>
    <row r="259" spans="1:68" ht="14.25" hidden="1" customHeight="1" x14ac:dyDescent="0.25">
      <c r="A259" s="703" t="s">
        <v>155</v>
      </c>
      <c r="B259" s="703"/>
      <c r="C259" s="703"/>
      <c r="D259" s="703"/>
      <c r="E259" s="703"/>
      <c r="F259" s="703"/>
      <c r="G259" s="703"/>
      <c r="H259" s="703"/>
      <c r="I259" s="703"/>
      <c r="J259" s="703"/>
      <c r="K259" s="703"/>
      <c r="L259" s="703"/>
      <c r="M259" s="703"/>
      <c r="N259" s="703"/>
      <c r="O259" s="703"/>
      <c r="P259" s="703"/>
      <c r="Q259" s="703"/>
      <c r="R259" s="703"/>
      <c r="S259" s="703"/>
      <c r="T259" s="703"/>
      <c r="U259" s="703"/>
      <c r="V259" s="703"/>
      <c r="W259" s="703"/>
      <c r="X259" s="703"/>
      <c r="Y259" s="703"/>
      <c r="Z259" s="703"/>
      <c r="AA259" s="63"/>
      <c r="AB259" s="63"/>
      <c r="AC259" s="63"/>
    </row>
    <row r="260" spans="1:68" ht="16.5" hidden="1" customHeight="1" x14ac:dyDescent="0.25">
      <c r="A260" s="60" t="s">
        <v>443</v>
      </c>
      <c r="B260" s="60" t="s">
        <v>444</v>
      </c>
      <c r="C260" s="34">
        <v>4301020261</v>
      </c>
      <c r="D260" s="704">
        <v>4680115882935</v>
      </c>
      <c r="E260" s="704"/>
      <c r="F260" s="59">
        <v>1.35</v>
      </c>
      <c r="G260" s="35">
        <v>8</v>
      </c>
      <c r="H260" s="59">
        <v>10.8</v>
      </c>
      <c r="I260" s="59">
        <v>11.21</v>
      </c>
      <c r="J260" s="35">
        <v>64</v>
      </c>
      <c r="K260" s="35" t="s">
        <v>127</v>
      </c>
      <c r="L260" s="35" t="s">
        <v>46</v>
      </c>
      <c r="M260" s="36" t="s">
        <v>126</v>
      </c>
      <c r="N260" s="36"/>
      <c r="O260" s="35">
        <v>50</v>
      </c>
      <c r="P260" s="84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IFERROR(IF(Y260=0,"",ROUNDUP(Y260/H260,0)*0.01898),"")</f>
        <v/>
      </c>
      <c r="AA260" s="65" t="s">
        <v>46</v>
      </c>
      <c r="AB260" s="66" t="s">
        <v>46</v>
      </c>
      <c r="AC260" s="337" t="s">
        <v>445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t="16.5" hidden="1" customHeight="1" x14ac:dyDescent="0.25">
      <c r="A261" s="60" t="s">
        <v>446</v>
      </c>
      <c r="B261" s="60" t="s">
        <v>447</v>
      </c>
      <c r="C261" s="34">
        <v>4301020220</v>
      </c>
      <c r="D261" s="704">
        <v>4680115880764</v>
      </c>
      <c r="E261" s="704"/>
      <c r="F261" s="59">
        <v>0.35</v>
      </c>
      <c r="G261" s="35">
        <v>6</v>
      </c>
      <c r="H261" s="59">
        <v>2.1</v>
      </c>
      <c r="I261" s="59">
        <v>2.2799999999999998</v>
      </c>
      <c r="J261" s="35">
        <v>182</v>
      </c>
      <c r="K261" s="35" t="s">
        <v>89</v>
      </c>
      <c r="L261" s="35" t="s">
        <v>46</v>
      </c>
      <c r="M261" s="36" t="s">
        <v>126</v>
      </c>
      <c r="N261" s="36"/>
      <c r="O261" s="35">
        <v>50</v>
      </c>
      <c r="P261" s="84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06"/>
      <c r="R261" s="706"/>
      <c r="S261" s="706"/>
      <c r="T261" s="70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IFERROR(IF(Y261=0,"",ROUNDUP(Y261/H261,0)*0.00651),"")</f>
        <v/>
      </c>
      <c r="AA261" s="65" t="s">
        <v>46</v>
      </c>
      <c r="AB261" s="66" t="s">
        <v>46</v>
      </c>
      <c r="AC261" s="339" t="s">
        <v>445</v>
      </c>
      <c r="AG261" s="75"/>
      <c r="AJ261" s="79" t="s">
        <v>46</v>
      </c>
      <c r="AK261" s="79">
        <v>0</v>
      </c>
      <c r="BB261" s="340" t="s">
        <v>66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idden="1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39</v>
      </c>
      <c r="X262" s="41">
        <f>IFERROR(X260/H260,"0")+IFERROR(X261/H261,"0")</f>
        <v>0</v>
      </c>
      <c r="Y262" s="41">
        <f>IFERROR(Y260/H260,"0")+IFERROR(Y261/H261,"0")</f>
        <v>0</v>
      </c>
      <c r="Z262" s="41">
        <f>IFERROR(IF(Z260="",0,Z260),"0")+IFERROR(IF(Z261="",0,Z261),"0")</f>
        <v>0</v>
      </c>
      <c r="AA262" s="64"/>
      <c r="AB262" s="64"/>
      <c r="AC262" s="64"/>
    </row>
    <row r="263" spans="1:68" hidden="1" x14ac:dyDescent="0.2">
      <c r="A263" s="712"/>
      <c r="B263" s="712"/>
      <c r="C263" s="712"/>
      <c r="D263" s="712"/>
      <c r="E263" s="712"/>
      <c r="F263" s="712"/>
      <c r="G263" s="712"/>
      <c r="H263" s="712"/>
      <c r="I263" s="712"/>
      <c r="J263" s="712"/>
      <c r="K263" s="712"/>
      <c r="L263" s="712"/>
      <c r="M263" s="712"/>
      <c r="N263" s="712"/>
      <c r="O263" s="713"/>
      <c r="P263" s="709" t="s">
        <v>40</v>
      </c>
      <c r="Q263" s="710"/>
      <c r="R263" s="710"/>
      <c r="S263" s="710"/>
      <c r="T263" s="710"/>
      <c r="U263" s="710"/>
      <c r="V263" s="711"/>
      <c r="W263" s="40" t="s">
        <v>0</v>
      </c>
      <c r="X263" s="41">
        <f>IFERROR(SUM(X260:X261),"0")</f>
        <v>0</v>
      </c>
      <c r="Y263" s="41">
        <f>IFERROR(SUM(Y260:Y261),"0")</f>
        <v>0</v>
      </c>
      <c r="Z263" s="40"/>
      <c r="AA263" s="64"/>
      <c r="AB263" s="64"/>
      <c r="AC263" s="64"/>
    </row>
    <row r="264" spans="1:68" ht="14.25" hidden="1" customHeight="1" x14ac:dyDescent="0.25">
      <c r="A264" s="703" t="s">
        <v>75</v>
      </c>
      <c r="B264" s="703"/>
      <c r="C264" s="703"/>
      <c r="D264" s="703"/>
      <c r="E264" s="703"/>
      <c r="F264" s="703"/>
      <c r="G264" s="703"/>
      <c r="H264" s="703"/>
      <c r="I264" s="703"/>
      <c r="J264" s="703"/>
      <c r="K264" s="703"/>
      <c r="L264" s="703"/>
      <c r="M264" s="703"/>
      <c r="N264" s="703"/>
      <c r="O264" s="703"/>
      <c r="P264" s="703"/>
      <c r="Q264" s="703"/>
      <c r="R264" s="703"/>
      <c r="S264" s="703"/>
      <c r="T264" s="703"/>
      <c r="U264" s="703"/>
      <c r="V264" s="703"/>
      <c r="W264" s="703"/>
      <c r="X264" s="703"/>
      <c r="Y264" s="703"/>
      <c r="Z264" s="703"/>
      <c r="AA264" s="63"/>
      <c r="AB264" s="63"/>
      <c r="AC264" s="63"/>
    </row>
    <row r="265" spans="1:68" ht="27" hidden="1" customHeight="1" x14ac:dyDescent="0.25">
      <c r="A265" s="60" t="s">
        <v>448</v>
      </c>
      <c r="B265" s="60" t="s">
        <v>449</v>
      </c>
      <c r="C265" s="34">
        <v>4301031224</v>
      </c>
      <c r="D265" s="704">
        <v>4680115882683</v>
      </c>
      <c r="E265" s="704"/>
      <c r="F265" s="59">
        <v>0.9</v>
      </c>
      <c r="G265" s="35">
        <v>6</v>
      </c>
      <c r="H265" s="59">
        <v>5.4</v>
      </c>
      <c r="I265" s="59">
        <v>5.59</v>
      </c>
      <c r="J265" s="35">
        <v>132</v>
      </c>
      <c r="K265" s="35" t="s">
        <v>134</v>
      </c>
      <c r="L265" s="35" t="s">
        <v>46</v>
      </c>
      <c r="M265" s="36" t="s">
        <v>79</v>
      </c>
      <c r="N265" s="36"/>
      <c r="O265" s="35">
        <v>40</v>
      </c>
      <c r="P265" s="84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ref="Y265:Y272" si="39">IFERROR(IF(X265="",0,CEILING((X265/$H265),1)*$H265),"")</f>
        <v>0</v>
      </c>
      <c r="Z265" s="39" t="str">
        <f>IFERROR(IF(Y265=0,"",ROUNDUP(Y265/H265,0)*0.00902),"")</f>
        <v/>
      </c>
      <c r="AA265" s="65" t="s">
        <v>46</v>
      </c>
      <c r="AB265" s="66" t="s">
        <v>46</v>
      </c>
      <c r="AC265" s="341" t="s">
        <v>450</v>
      </c>
      <c r="AG265" s="75"/>
      <c r="AJ265" s="79" t="s">
        <v>46</v>
      </c>
      <c r="AK265" s="79">
        <v>0</v>
      </c>
      <c r="BB265" s="342" t="s">
        <v>66</v>
      </c>
      <c r="BM265" s="75">
        <f t="shared" ref="BM265:BM272" si="40">IFERROR(X265*I265/H265,"0")</f>
        <v>0</v>
      </c>
      <c r="BN265" s="75">
        <f t="shared" ref="BN265:BN272" si="41">IFERROR(Y265*I265/H265,"0")</f>
        <v>0</v>
      </c>
      <c r="BO265" s="75">
        <f t="shared" ref="BO265:BO272" si="42">IFERROR(1/J265*(X265/H265),"0")</f>
        <v>0</v>
      </c>
      <c r="BP265" s="75">
        <f t="shared" ref="BP265:BP272" si="43">IFERROR(1/J265*(Y265/H265),"0")</f>
        <v>0</v>
      </c>
    </row>
    <row r="266" spans="1:68" ht="27" hidden="1" customHeight="1" x14ac:dyDescent="0.25">
      <c r="A266" s="60" t="s">
        <v>451</v>
      </c>
      <c r="B266" s="60" t="s">
        <v>452</v>
      </c>
      <c r="C266" s="34">
        <v>4301031230</v>
      </c>
      <c r="D266" s="704">
        <v>4680115882690</v>
      </c>
      <c r="E266" s="70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79</v>
      </c>
      <c r="N266" s="36"/>
      <c r="O266" s="35">
        <v>40</v>
      </c>
      <c r="P266" s="8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06"/>
      <c r="R266" s="706"/>
      <c r="S266" s="706"/>
      <c r="T266" s="70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9"/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3" t="s">
        <v>453</v>
      </c>
      <c r="AG266" s="75"/>
      <c r="AJ266" s="79" t="s">
        <v>46</v>
      </c>
      <c r="AK266" s="79">
        <v>0</v>
      </c>
      <c r="BB266" s="344" t="s">
        <v>66</v>
      </c>
      <c r="BM266" s="75">
        <f t="shared" si="40"/>
        <v>0</v>
      </c>
      <c r="BN266" s="75">
        <f t="shared" si="41"/>
        <v>0</v>
      </c>
      <c r="BO266" s="75">
        <f t="shared" si="42"/>
        <v>0</v>
      </c>
      <c r="BP266" s="75">
        <f t="shared" si="43"/>
        <v>0</v>
      </c>
    </row>
    <row r="267" spans="1:68" ht="27" hidden="1" customHeight="1" x14ac:dyDescent="0.25">
      <c r="A267" s="60" t="s">
        <v>454</v>
      </c>
      <c r="B267" s="60" t="s">
        <v>455</v>
      </c>
      <c r="C267" s="34">
        <v>4301031220</v>
      </c>
      <c r="D267" s="704">
        <v>4680115882669</v>
      </c>
      <c r="E267" s="70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79</v>
      </c>
      <c r="N267" s="36"/>
      <c r="O267" s="35">
        <v>40</v>
      </c>
      <c r="P267" s="84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06"/>
      <c r="R267" s="706"/>
      <c r="S267" s="706"/>
      <c r="T267" s="707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9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45" t="s">
        <v>456</v>
      </c>
      <c r="AG267" s="75"/>
      <c r="AJ267" s="79" t="s">
        <v>46</v>
      </c>
      <c r="AK267" s="79">
        <v>0</v>
      </c>
      <c r="BB267" s="346" t="s">
        <v>66</v>
      </c>
      <c r="BM267" s="75">
        <f t="shared" si="40"/>
        <v>0</v>
      </c>
      <c r="BN267" s="75">
        <f t="shared" si="41"/>
        <v>0</v>
      </c>
      <c r="BO267" s="75">
        <f t="shared" si="42"/>
        <v>0</v>
      </c>
      <c r="BP267" s="75">
        <f t="shared" si="43"/>
        <v>0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4301031221</v>
      </c>
      <c r="D268" s="704">
        <v>4680115882676</v>
      </c>
      <c r="E268" s="70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79</v>
      </c>
      <c r="N268" s="36"/>
      <c r="O268" s="35">
        <v>40</v>
      </c>
      <c r="P268" s="8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06"/>
      <c r="R268" s="706"/>
      <c r="S268" s="706"/>
      <c r="T268" s="707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9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47" t="s">
        <v>459</v>
      </c>
      <c r="AG268" s="75"/>
      <c r="AJ268" s="79" t="s">
        <v>46</v>
      </c>
      <c r="AK268" s="79">
        <v>0</v>
      </c>
      <c r="BB268" s="348" t="s">
        <v>66</v>
      </c>
      <c r="BM268" s="75">
        <f t="shared" si="40"/>
        <v>0</v>
      </c>
      <c r="BN268" s="75">
        <f t="shared" si="41"/>
        <v>0</v>
      </c>
      <c r="BO268" s="75">
        <f t="shared" si="42"/>
        <v>0</v>
      </c>
      <c r="BP268" s="75">
        <f t="shared" si="43"/>
        <v>0</v>
      </c>
    </row>
    <row r="269" spans="1:68" ht="27" hidden="1" customHeight="1" x14ac:dyDescent="0.25">
      <c r="A269" s="60" t="s">
        <v>460</v>
      </c>
      <c r="B269" s="60" t="s">
        <v>461</v>
      </c>
      <c r="C269" s="34">
        <v>4301031223</v>
      </c>
      <c r="D269" s="704">
        <v>4680115884014</v>
      </c>
      <c r="E269" s="704"/>
      <c r="F269" s="59">
        <v>0.3</v>
      </c>
      <c r="G269" s="35">
        <v>6</v>
      </c>
      <c r="H269" s="59">
        <v>1.8</v>
      </c>
      <c r="I269" s="59">
        <v>1.93</v>
      </c>
      <c r="J269" s="35">
        <v>234</v>
      </c>
      <c r="K269" s="35" t="s">
        <v>80</v>
      </c>
      <c r="L269" s="35" t="s">
        <v>46</v>
      </c>
      <c r="M269" s="36" t="s">
        <v>79</v>
      </c>
      <c r="N269" s="36"/>
      <c r="O269" s="35">
        <v>40</v>
      </c>
      <c r="P269" s="8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9"/>
        <v>0</v>
      </c>
      <c r="Z269" s="39" t="str">
        <f>IFERROR(IF(Y269=0,"",ROUNDUP(Y269/H269,0)*0.00502),"")</f>
        <v/>
      </c>
      <c r="AA269" s="65" t="s">
        <v>46</v>
      </c>
      <c r="AB269" s="66" t="s">
        <v>46</v>
      </c>
      <c r="AC269" s="349" t="s">
        <v>450</v>
      </c>
      <c r="AG269" s="75"/>
      <c r="AJ269" s="79" t="s">
        <v>46</v>
      </c>
      <c r="AK269" s="79">
        <v>0</v>
      </c>
      <c r="BB269" s="350" t="s">
        <v>66</v>
      </c>
      <c r="BM269" s="75">
        <f t="shared" si="40"/>
        <v>0</v>
      </c>
      <c r="BN269" s="75">
        <f t="shared" si="41"/>
        <v>0</v>
      </c>
      <c r="BO269" s="75">
        <f t="shared" si="42"/>
        <v>0</v>
      </c>
      <c r="BP269" s="75">
        <f t="shared" si="43"/>
        <v>0</v>
      </c>
    </row>
    <row r="270" spans="1:68" ht="27" hidden="1" customHeight="1" x14ac:dyDescent="0.25">
      <c r="A270" s="60" t="s">
        <v>462</v>
      </c>
      <c r="B270" s="60" t="s">
        <v>463</v>
      </c>
      <c r="C270" s="34">
        <v>4301031222</v>
      </c>
      <c r="D270" s="704">
        <v>4680115884007</v>
      </c>
      <c r="E270" s="704"/>
      <c r="F270" s="59">
        <v>0.3</v>
      </c>
      <c r="G270" s="35">
        <v>6</v>
      </c>
      <c r="H270" s="59">
        <v>1.8</v>
      </c>
      <c r="I270" s="59">
        <v>1.9</v>
      </c>
      <c r="J270" s="35">
        <v>234</v>
      </c>
      <c r="K270" s="35" t="s">
        <v>80</v>
      </c>
      <c r="L270" s="35" t="s">
        <v>46</v>
      </c>
      <c r="M270" s="36" t="s">
        <v>79</v>
      </c>
      <c r="N270" s="36"/>
      <c r="O270" s="35">
        <v>40</v>
      </c>
      <c r="P27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9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1" t="s">
        <v>453</v>
      </c>
      <c r="AG270" s="75"/>
      <c r="AJ270" s="79" t="s">
        <v>46</v>
      </c>
      <c r="AK270" s="79">
        <v>0</v>
      </c>
      <c r="BB270" s="352" t="s">
        <v>66</v>
      </c>
      <c r="BM270" s="75">
        <f t="shared" si="40"/>
        <v>0</v>
      </c>
      <c r="BN270" s="75">
        <f t="shared" si="41"/>
        <v>0</v>
      </c>
      <c r="BO270" s="75">
        <f t="shared" si="42"/>
        <v>0</v>
      </c>
      <c r="BP270" s="75">
        <f t="shared" si="43"/>
        <v>0</v>
      </c>
    </row>
    <row r="271" spans="1:68" ht="27" hidden="1" customHeight="1" x14ac:dyDescent="0.25">
      <c r="A271" s="60" t="s">
        <v>464</v>
      </c>
      <c r="B271" s="60" t="s">
        <v>465</v>
      </c>
      <c r="C271" s="34">
        <v>4301031229</v>
      </c>
      <c r="D271" s="704">
        <v>4680115884038</v>
      </c>
      <c r="E271" s="70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80</v>
      </c>
      <c r="L271" s="35" t="s">
        <v>46</v>
      </c>
      <c r="M271" s="36" t="s">
        <v>79</v>
      </c>
      <c r="N271" s="36"/>
      <c r="O271" s="35">
        <v>40</v>
      </c>
      <c r="P271" s="84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9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3" t="s">
        <v>456</v>
      </c>
      <c r="AG271" s="75"/>
      <c r="AJ271" s="79" t="s">
        <v>46</v>
      </c>
      <c r="AK271" s="79">
        <v>0</v>
      </c>
      <c r="BB271" s="354" t="s">
        <v>66</v>
      </c>
      <c r="BM271" s="75">
        <f t="shared" si="40"/>
        <v>0</v>
      </c>
      <c r="BN271" s="75">
        <f t="shared" si="41"/>
        <v>0</v>
      </c>
      <c r="BO271" s="75">
        <f t="shared" si="42"/>
        <v>0</v>
      </c>
      <c r="BP271" s="75">
        <f t="shared" si="43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4301031225</v>
      </c>
      <c r="D272" s="704">
        <v>4680115884021</v>
      </c>
      <c r="E272" s="70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80</v>
      </c>
      <c r="L272" s="35" t="s">
        <v>46</v>
      </c>
      <c r="M272" s="36" t="s">
        <v>79</v>
      </c>
      <c r="N272" s="36"/>
      <c r="O272" s="35">
        <v>40</v>
      </c>
      <c r="P272" s="84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9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55" t="s">
        <v>459</v>
      </c>
      <c r="AG272" s="75"/>
      <c r="AJ272" s="79" t="s">
        <v>46</v>
      </c>
      <c r="AK272" s="79">
        <v>0</v>
      </c>
      <c r="BB272" s="356" t="s">
        <v>66</v>
      </c>
      <c r="BM272" s="75">
        <f t="shared" si="40"/>
        <v>0</v>
      </c>
      <c r="BN272" s="75">
        <f t="shared" si="41"/>
        <v>0</v>
      </c>
      <c r="BO272" s="75">
        <f t="shared" si="42"/>
        <v>0</v>
      </c>
      <c r="BP272" s="75">
        <f t="shared" si="43"/>
        <v>0</v>
      </c>
    </row>
    <row r="273" spans="1:68" hidden="1" x14ac:dyDescent="0.2">
      <c r="A273" s="712"/>
      <c r="B273" s="712"/>
      <c r="C273" s="712"/>
      <c r="D273" s="712"/>
      <c r="E273" s="712"/>
      <c r="F273" s="712"/>
      <c r="G273" s="712"/>
      <c r="H273" s="712"/>
      <c r="I273" s="712"/>
      <c r="J273" s="712"/>
      <c r="K273" s="712"/>
      <c r="L273" s="712"/>
      <c r="M273" s="712"/>
      <c r="N273" s="712"/>
      <c r="O273" s="713"/>
      <c r="P273" s="709" t="s">
        <v>40</v>
      </c>
      <c r="Q273" s="710"/>
      <c r="R273" s="710"/>
      <c r="S273" s="710"/>
      <c r="T273" s="710"/>
      <c r="U273" s="710"/>
      <c r="V273" s="711"/>
      <c r="W273" s="40" t="s">
        <v>39</v>
      </c>
      <c r="X273" s="41">
        <f>IFERROR(X265/H265,"0")+IFERROR(X266/H266,"0")+IFERROR(X267/H267,"0")+IFERROR(X268/H268,"0")+IFERROR(X269/H269,"0")+IFERROR(X270/H270,"0")+IFERROR(X271/H271,"0")+IFERROR(X272/H272,"0")</f>
        <v>0</v>
      </c>
      <c r="Y273" s="41">
        <f>IFERROR(Y265/H265,"0")+IFERROR(Y266/H266,"0")+IFERROR(Y267/H267,"0")+IFERROR(Y268/H268,"0")+IFERROR(Y269/H269,"0")+IFERROR(Y270/H270,"0")+IFERROR(Y271/H271,"0")+IFERROR(Y272/H272,"0")</f>
        <v>0</v>
      </c>
      <c r="Z273" s="4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4"/>
      <c r="AB273" s="64"/>
      <c r="AC273" s="64"/>
    </row>
    <row r="274" spans="1:68" hidden="1" x14ac:dyDescent="0.2">
      <c r="A274" s="712"/>
      <c r="B274" s="712"/>
      <c r="C274" s="712"/>
      <c r="D274" s="712"/>
      <c r="E274" s="712"/>
      <c r="F274" s="712"/>
      <c r="G274" s="712"/>
      <c r="H274" s="712"/>
      <c r="I274" s="712"/>
      <c r="J274" s="712"/>
      <c r="K274" s="712"/>
      <c r="L274" s="712"/>
      <c r="M274" s="712"/>
      <c r="N274" s="712"/>
      <c r="O274" s="713"/>
      <c r="P274" s="709" t="s">
        <v>40</v>
      </c>
      <c r="Q274" s="710"/>
      <c r="R274" s="710"/>
      <c r="S274" s="710"/>
      <c r="T274" s="710"/>
      <c r="U274" s="710"/>
      <c r="V274" s="711"/>
      <c r="W274" s="40" t="s">
        <v>0</v>
      </c>
      <c r="X274" s="41">
        <f>IFERROR(SUM(X265:X272),"0")</f>
        <v>0</v>
      </c>
      <c r="Y274" s="41">
        <f>IFERROR(SUM(Y265:Y272),"0")</f>
        <v>0</v>
      </c>
      <c r="Z274" s="40"/>
      <c r="AA274" s="64"/>
      <c r="AB274" s="64"/>
      <c r="AC274" s="64"/>
    </row>
    <row r="275" spans="1:68" ht="14.25" hidden="1" customHeight="1" x14ac:dyDescent="0.25">
      <c r="A275" s="703" t="s">
        <v>84</v>
      </c>
      <c r="B275" s="703"/>
      <c r="C275" s="703"/>
      <c r="D275" s="703"/>
      <c r="E275" s="703"/>
      <c r="F275" s="703"/>
      <c r="G275" s="703"/>
      <c r="H275" s="703"/>
      <c r="I275" s="703"/>
      <c r="J275" s="703"/>
      <c r="K275" s="703"/>
      <c r="L275" s="703"/>
      <c r="M275" s="703"/>
      <c r="N275" s="703"/>
      <c r="O275" s="703"/>
      <c r="P275" s="703"/>
      <c r="Q275" s="703"/>
      <c r="R275" s="703"/>
      <c r="S275" s="703"/>
      <c r="T275" s="703"/>
      <c r="U275" s="703"/>
      <c r="V275" s="703"/>
      <c r="W275" s="703"/>
      <c r="X275" s="703"/>
      <c r="Y275" s="703"/>
      <c r="Z275" s="703"/>
      <c r="AA275" s="63"/>
      <c r="AB275" s="63"/>
      <c r="AC275" s="63"/>
    </row>
    <row r="276" spans="1:68" ht="27" hidden="1" customHeight="1" x14ac:dyDescent="0.25">
      <c r="A276" s="60" t="s">
        <v>468</v>
      </c>
      <c r="B276" s="60" t="s">
        <v>469</v>
      </c>
      <c r="C276" s="34">
        <v>4301051408</v>
      </c>
      <c r="D276" s="704">
        <v>4680115881594</v>
      </c>
      <c r="E276" s="704"/>
      <c r="F276" s="59">
        <v>1.35</v>
      </c>
      <c r="G276" s="35">
        <v>6</v>
      </c>
      <c r="H276" s="59">
        <v>8.1</v>
      </c>
      <c r="I276" s="59">
        <v>8.5939999999999994</v>
      </c>
      <c r="J276" s="35">
        <v>64</v>
      </c>
      <c r="K276" s="35" t="s">
        <v>127</v>
      </c>
      <c r="L276" s="35" t="s">
        <v>46</v>
      </c>
      <c r="M276" s="36" t="s">
        <v>88</v>
      </c>
      <c r="N276" s="36"/>
      <c r="O276" s="35">
        <v>40</v>
      </c>
      <c r="P276" s="85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ref="Y276:Y287" si="44">IFERROR(IF(X276="",0,CEILING((X276/$H276),1)*$H276),"")</f>
        <v>0</v>
      </c>
      <c r="Z276" s="39" t="str">
        <f>IFERROR(IF(Y276=0,"",ROUNDUP(Y276/H276,0)*0.01898),"")</f>
        <v/>
      </c>
      <c r="AA276" s="65" t="s">
        <v>46</v>
      </c>
      <c r="AB276" s="66" t="s">
        <v>46</v>
      </c>
      <c r="AC276" s="357" t="s">
        <v>470</v>
      </c>
      <c r="AG276" s="75"/>
      <c r="AJ276" s="79" t="s">
        <v>46</v>
      </c>
      <c r="AK276" s="79">
        <v>0</v>
      </c>
      <c r="BB276" s="358" t="s">
        <v>66</v>
      </c>
      <c r="BM276" s="75">
        <f t="shared" ref="BM276:BM287" si="45">IFERROR(X276*I276/H276,"0")</f>
        <v>0</v>
      </c>
      <c r="BN276" s="75">
        <f t="shared" ref="BN276:BN287" si="46">IFERROR(Y276*I276/H276,"0")</f>
        <v>0</v>
      </c>
      <c r="BO276" s="75">
        <f t="shared" ref="BO276:BO287" si="47">IFERROR(1/J276*(X276/H276),"0")</f>
        <v>0</v>
      </c>
      <c r="BP276" s="75">
        <f t="shared" ref="BP276:BP287" si="48">IFERROR(1/J276*(Y276/H276),"0")</f>
        <v>0</v>
      </c>
    </row>
    <row r="277" spans="1:68" ht="27" hidden="1" customHeight="1" x14ac:dyDescent="0.25">
      <c r="A277" s="60" t="s">
        <v>471</v>
      </c>
      <c r="B277" s="60" t="s">
        <v>472</v>
      </c>
      <c r="C277" s="34">
        <v>4301051411</v>
      </c>
      <c r="D277" s="704">
        <v>4680115881617</v>
      </c>
      <c r="E277" s="704"/>
      <c r="F277" s="59">
        <v>1.35</v>
      </c>
      <c r="G277" s="35">
        <v>6</v>
      </c>
      <c r="H277" s="59">
        <v>8.1</v>
      </c>
      <c r="I277" s="59">
        <v>8.5760000000000005</v>
      </c>
      <c r="J277" s="35">
        <v>64</v>
      </c>
      <c r="K277" s="35" t="s">
        <v>127</v>
      </c>
      <c r="L277" s="35" t="s">
        <v>46</v>
      </c>
      <c r="M277" s="36" t="s">
        <v>88</v>
      </c>
      <c r="N277" s="36"/>
      <c r="O277" s="35">
        <v>40</v>
      </c>
      <c r="P277" s="85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06"/>
      <c r="R277" s="706"/>
      <c r="S277" s="706"/>
      <c r="T277" s="70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4"/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59" t="s">
        <v>473</v>
      </c>
      <c r="AG277" s="75"/>
      <c r="AJ277" s="79" t="s">
        <v>46</v>
      </c>
      <c r="AK277" s="79">
        <v>0</v>
      </c>
      <c r="BB277" s="360" t="s">
        <v>66</v>
      </c>
      <c r="BM277" s="75">
        <f t="shared" si="45"/>
        <v>0</v>
      </c>
      <c r="BN277" s="75">
        <f t="shared" si="46"/>
        <v>0</v>
      </c>
      <c r="BO277" s="75">
        <f t="shared" si="47"/>
        <v>0</v>
      </c>
      <c r="BP277" s="75">
        <f t="shared" si="48"/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4301051656</v>
      </c>
      <c r="D278" s="704">
        <v>4680115880573</v>
      </c>
      <c r="E278" s="704"/>
      <c r="F278" s="59">
        <v>1.45</v>
      </c>
      <c r="G278" s="35">
        <v>6</v>
      </c>
      <c r="H278" s="59">
        <v>8.6999999999999993</v>
      </c>
      <c r="I278" s="59">
        <v>9.1940000000000008</v>
      </c>
      <c r="J278" s="35">
        <v>64</v>
      </c>
      <c r="K278" s="35" t="s">
        <v>127</v>
      </c>
      <c r="L278" s="35" t="s">
        <v>46</v>
      </c>
      <c r="M278" s="36" t="s">
        <v>88</v>
      </c>
      <c r="N278" s="36"/>
      <c r="O278" s="35">
        <v>45</v>
      </c>
      <c r="P278" s="85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06"/>
      <c r="R278" s="706"/>
      <c r="S278" s="706"/>
      <c r="T278" s="70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4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1" t="s">
        <v>476</v>
      </c>
      <c r="AG278" s="75"/>
      <c r="AJ278" s="79" t="s">
        <v>46</v>
      </c>
      <c r="AK278" s="79">
        <v>0</v>
      </c>
      <c r="BB278" s="362" t="s">
        <v>66</v>
      </c>
      <c r="BM278" s="75">
        <f t="shared" si="45"/>
        <v>0</v>
      </c>
      <c r="BN278" s="75">
        <f t="shared" si="46"/>
        <v>0</v>
      </c>
      <c r="BO278" s="75">
        <f t="shared" si="47"/>
        <v>0</v>
      </c>
      <c r="BP278" s="75">
        <f t="shared" si="48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4301051407</v>
      </c>
      <c r="D279" s="704">
        <v>4680115882195</v>
      </c>
      <c r="E279" s="704"/>
      <c r="F279" s="59">
        <v>0.4</v>
      </c>
      <c r="G279" s="35">
        <v>6</v>
      </c>
      <c r="H279" s="59">
        <v>2.4</v>
      </c>
      <c r="I279" s="59">
        <v>2.67</v>
      </c>
      <c r="J279" s="35">
        <v>182</v>
      </c>
      <c r="K279" s="35" t="s">
        <v>89</v>
      </c>
      <c r="L279" s="35" t="s">
        <v>46</v>
      </c>
      <c r="M279" s="36" t="s">
        <v>88</v>
      </c>
      <c r="N279" s="36"/>
      <c r="O279" s="35">
        <v>40</v>
      </c>
      <c r="P279" s="85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06"/>
      <c r="R279" s="706"/>
      <c r="S279" s="706"/>
      <c r="T279" s="70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4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470</v>
      </c>
      <c r="AG279" s="75"/>
      <c r="AJ279" s="79" t="s">
        <v>46</v>
      </c>
      <c r="AK279" s="79">
        <v>0</v>
      </c>
      <c r="BB279" s="364" t="s">
        <v>66</v>
      </c>
      <c r="BM279" s="75">
        <f t="shared" si="45"/>
        <v>0</v>
      </c>
      <c r="BN279" s="75">
        <f t="shared" si="46"/>
        <v>0</v>
      </c>
      <c r="BO279" s="75">
        <f t="shared" si="47"/>
        <v>0</v>
      </c>
      <c r="BP279" s="75">
        <f t="shared" si="48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4301051752</v>
      </c>
      <c r="D280" s="704">
        <v>4680115882607</v>
      </c>
      <c r="E280" s="704"/>
      <c r="F280" s="59">
        <v>0.3</v>
      </c>
      <c r="G280" s="35">
        <v>6</v>
      </c>
      <c r="H280" s="59">
        <v>1.8</v>
      </c>
      <c r="I280" s="59">
        <v>2.052</v>
      </c>
      <c r="J280" s="35">
        <v>182</v>
      </c>
      <c r="K280" s="35" t="s">
        <v>89</v>
      </c>
      <c r="L280" s="35" t="s">
        <v>46</v>
      </c>
      <c r="M280" s="36" t="s">
        <v>95</v>
      </c>
      <c r="N280" s="36"/>
      <c r="O280" s="35">
        <v>45</v>
      </c>
      <c r="P280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4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476</v>
      </c>
      <c r="AG280" s="75"/>
      <c r="AJ280" s="79" t="s">
        <v>46</v>
      </c>
      <c r="AK280" s="79">
        <v>0</v>
      </c>
      <c r="BB280" s="366" t="s">
        <v>66</v>
      </c>
      <c r="BM280" s="75">
        <f t="shared" si="45"/>
        <v>0</v>
      </c>
      <c r="BN280" s="75">
        <f t="shared" si="46"/>
        <v>0</v>
      </c>
      <c r="BO280" s="75">
        <f t="shared" si="47"/>
        <v>0</v>
      </c>
      <c r="BP280" s="75">
        <f t="shared" si="48"/>
        <v>0</v>
      </c>
    </row>
    <row r="281" spans="1:68" ht="27" hidden="1" customHeight="1" x14ac:dyDescent="0.25">
      <c r="A281" s="60" t="s">
        <v>481</v>
      </c>
      <c r="B281" s="60" t="s">
        <v>482</v>
      </c>
      <c r="C281" s="34">
        <v>4301052143</v>
      </c>
      <c r="D281" s="704">
        <v>4680115882607</v>
      </c>
      <c r="E281" s="704"/>
      <c r="F281" s="59">
        <v>0.3</v>
      </c>
      <c r="G281" s="35">
        <v>6</v>
      </c>
      <c r="H281" s="59">
        <v>1.8</v>
      </c>
      <c r="I281" s="59">
        <v>2.0619999999999998</v>
      </c>
      <c r="J281" s="35">
        <v>132</v>
      </c>
      <c r="K281" s="35" t="s">
        <v>134</v>
      </c>
      <c r="L281" s="35" t="s">
        <v>46</v>
      </c>
      <c r="M281" s="36" t="s">
        <v>88</v>
      </c>
      <c r="N281" s="36"/>
      <c r="O281" s="35">
        <v>45</v>
      </c>
      <c r="P281" s="85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4"/>
        <v>0</v>
      </c>
      <c r="Z281" s="39" t="str">
        <f>IFERROR(IF(Y281=0,"",ROUNDUP(Y281/H281,0)*0.00902),"")</f>
        <v/>
      </c>
      <c r="AA281" s="65" t="s">
        <v>46</v>
      </c>
      <c r="AB281" s="66" t="s">
        <v>46</v>
      </c>
      <c r="AC281" s="367" t="s">
        <v>483</v>
      </c>
      <c r="AG281" s="75"/>
      <c r="AJ281" s="79" t="s">
        <v>46</v>
      </c>
      <c r="AK281" s="79">
        <v>0</v>
      </c>
      <c r="BB281" s="368" t="s">
        <v>66</v>
      </c>
      <c r="BM281" s="75">
        <f t="shared" si="45"/>
        <v>0</v>
      </c>
      <c r="BN281" s="75">
        <f t="shared" si="46"/>
        <v>0</v>
      </c>
      <c r="BO281" s="75">
        <f t="shared" si="47"/>
        <v>0</v>
      </c>
      <c r="BP281" s="75">
        <f t="shared" si="48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4301051666</v>
      </c>
      <c r="D282" s="704">
        <v>4680115880092</v>
      </c>
      <c r="E282" s="704"/>
      <c r="F282" s="59">
        <v>0.4</v>
      </c>
      <c r="G282" s="35">
        <v>6</v>
      </c>
      <c r="H282" s="59">
        <v>2.4</v>
      </c>
      <c r="I282" s="59">
        <v>2.6520000000000001</v>
      </c>
      <c r="J282" s="35">
        <v>182</v>
      </c>
      <c r="K282" s="35" t="s">
        <v>89</v>
      </c>
      <c r="L282" s="35" t="s">
        <v>46</v>
      </c>
      <c r="M282" s="36" t="s">
        <v>88</v>
      </c>
      <c r="N282" s="36"/>
      <c r="O282" s="35">
        <v>45</v>
      </c>
      <c r="P282" s="8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4"/>
        <v>0</v>
      </c>
      <c r="Z282" s="39" t="str">
        <f>IFERROR(IF(Y282=0,"",ROUNDUP(Y282/H282,0)*0.00651),"")</f>
        <v/>
      </c>
      <c r="AA282" s="65" t="s">
        <v>46</v>
      </c>
      <c r="AB282" s="66" t="s">
        <v>46</v>
      </c>
      <c r="AC282" s="369" t="s">
        <v>476</v>
      </c>
      <c r="AG282" s="75"/>
      <c r="AJ282" s="79" t="s">
        <v>46</v>
      </c>
      <c r="AK282" s="79">
        <v>0</v>
      </c>
      <c r="BB282" s="370" t="s">
        <v>66</v>
      </c>
      <c r="BM282" s="75">
        <f t="shared" si="45"/>
        <v>0</v>
      </c>
      <c r="BN282" s="75">
        <f t="shared" si="46"/>
        <v>0</v>
      </c>
      <c r="BO282" s="75">
        <f t="shared" si="47"/>
        <v>0</v>
      </c>
      <c r="BP282" s="75">
        <f t="shared" si="48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4301052214</v>
      </c>
      <c r="D283" s="704">
        <v>4680115889064</v>
      </c>
      <c r="E283" s="704"/>
      <c r="F283" s="59">
        <v>0.7</v>
      </c>
      <c r="G283" s="35">
        <v>6</v>
      </c>
      <c r="H283" s="59">
        <v>4.2</v>
      </c>
      <c r="I283" s="59">
        <v>4.6159999999999997</v>
      </c>
      <c r="J283" s="35">
        <v>104</v>
      </c>
      <c r="K283" s="35" t="s">
        <v>127</v>
      </c>
      <c r="L283" s="35" t="s">
        <v>46</v>
      </c>
      <c r="M283" s="36" t="s">
        <v>88</v>
      </c>
      <c r="N283" s="36"/>
      <c r="O283" s="35">
        <v>45</v>
      </c>
      <c r="P283" s="85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4"/>
        <v>0</v>
      </c>
      <c r="Z283" s="39" t="str">
        <f>IFERROR(IF(Y283=0,"",ROUNDUP(Y283/H283,0)*0.01196),"")</f>
        <v/>
      </c>
      <c r="AA283" s="65" t="s">
        <v>46</v>
      </c>
      <c r="AB283" s="66" t="s">
        <v>46</v>
      </c>
      <c r="AC283" s="371" t="s">
        <v>483</v>
      </c>
      <c r="AG283" s="75"/>
      <c r="AJ283" s="79" t="s">
        <v>46</v>
      </c>
      <c r="AK283" s="79">
        <v>0</v>
      </c>
      <c r="BB283" s="372" t="s">
        <v>66</v>
      </c>
      <c r="BM283" s="75">
        <f t="shared" si="45"/>
        <v>0</v>
      </c>
      <c r="BN283" s="75">
        <f t="shared" si="46"/>
        <v>0</v>
      </c>
      <c r="BO283" s="75">
        <f t="shared" si="47"/>
        <v>0</v>
      </c>
      <c r="BP283" s="75">
        <f t="shared" si="48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4301051668</v>
      </c>
      <c r="D284" s="704">
        <v>4680115880221</v>
      </c>
      <c r="E284" s="704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89</v>
      </c>
      <c r="L284" s="35" t="s">
        <v>46</v>
      </c>
      <c r="M284" s="36" t="s">
        <v>88</v>
      </c>
      <c r="N284" s="36"/>
      <c r="O284" s="35">
        <v>45</v>
      </c>
      <c r="P284" s="85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4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476</v>
      </c>
      <c r="AG284" s="75"/>
      <c r="AJ284" s="79" t="s">
        <v>46</v>
      </c>
      <c r="AK284" s="79">
        <v>0</v>
      </c>
      <c r="BB284" s="374" t="s">
        <v>66</v>
      </c>
      <c r="BM284" s="75">
        <f t="shared" si="45"/>
        <v>0</v>
      </c>
      <c r="BN284" s="75">
        <f t="shared" si="46"/>
        <v>0</v>
      </c>
      <c r="BO284" s="75">
        <f t="shared" si="47"/>
        <v>0</v>
      </c>
      <c r="BP284" s="75">
        <f t="shared" si="48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4301051945</v>
      </c>
      <c r="D285" s="704">
        <v>4680115880504</v>
      </c>
      <c r="E285" s="70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89</v>
      </c>
      <c r="L285" s="35" t="s">
        <v>46</v>
      </c>
      <c r="M285" s="36" t="s">
        <v>95</v>
      </c>
      <c r="N285" s="36"/>
      <c r="O285" s="35">
        <v>40</v>
      </c>
      <c r="P285" s="85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4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75" t="s">
        <v>492</v>
      </c>
      <c r="AG285" s="75"/>
      <c r="AJ285" s="79" t="s">
        <v>46</v>
      </c>
      <c r="AK285" s="79">
        <v>0</v>
      </c>
      <c r="BB285" s="376" t="s">
        <v>66</v>
      </c>
      <c r="BM285" s="75">
        <f t="shared" si="45"/>
        <v>0</v>
      </c>
      <c r="BN285" s="75">
        <f t="shared" si="46"/>
        <v>0</v>
      </c>
      <c r="BO285" s="75">
        <f t="shared" si="47"/>
        <v>0</v>
      </c>
      <c r="BP285" s="75">
        <f t="shared" si="48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4301051410</v>
      </c>
      <c r="D286" s="704">
        <v>4680115882164</v>
      </c>
      <c r="E286" s="704"/>
      <c r="F286" s="59">
        <v>0.4</v>
      </c>
      <c r="G286" s="35">
        <v>6</v>
      </c>
      <c r="H286" s="59">
        <v>2.4</v>
      </c>
      <c r="I286" s="59">
        <v>2.6579999999999999</v>
      </c>
      <c r="J286" s="35">
        <v>182</v>
      </c>
      <c r="K286" s="35" t="s">
        <v>89</v>
      </c>
      <c r="L286" s="35" t="s">
        <v>46</v>
      </c>
      <c r="M286" s="36" t="s">
        <v>88</v>
      </c>
      <c r="N286" s="36"/>
      <c r="O286" s="35">
        <v>40</v>
      </c>
      <c r="P286" s="86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4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495</v>
      </c>
      <c r="AG286" s="75"/>
      <c r="AJ286" s="79" t="s">
        <v>46</v>
      </c>
      <c r="AK286" s="79">
        <v>0</v>
      </c>
      <c r="BB286" s="378" t="s">
        <v>66</v>
      </c>
      <c r="BM286" s="75">
        <f t="shared" si="45"/>
        <v>0</v>
      </c>
      <c r="BN286" s="75">
        <f t="shared" si="46"/>
        <v>0</v>
      </c>
      <c r="BO286" s="75">
        <f t="shared" si="47"/>
        <v>0</v>
      </c>
      <c r="BP286" s="75">
        <f t="shared" si="48"/>
        <v>0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4301052180</v>
      </c>
      <c r="D287" s="704">
        <v>4680115888340</v>
      </c>
      <c r="E287" s="704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89</v>
      </c>
      <c r="L287" s="35" t="s">
        <v>46</v>
      </c>
      <c r="M287" s="36" t="s">
        <v>88</v>
      </c>
      <c r="N287" s="36"/>
      <c r="O287" s="35">
        <v>45</v>
      </c>
      <c r="P287" s="86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4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498</v>
      </c>
      <c r="AG287" s="75"/>
      <c r="AJ287" s="79" t="s">
        <v>46</v>
      </c>
      <c r="AK287" s="79">
        <v>0</v>
      </c>
      <c r="BB287" s="380" t="s">
        <v>66</v>
      </c>
      <c r="BM287" s="75">
        <f t="shared" si="45"/>
        <v>0</v>
      </c>
      <c r="BN287" s="75">
        <f t="shared" si="46"/>
        <v>0</v>
      </c>
      <c r="BO287" s="75">
        <f t="shared" si="47"/>
        <v>0</v>
      </c>
      <c r="BP287" s="75">
        <f t="shared" si="48"/>
        <v>0</v>
      </c>
    </row>
    <row r="288" spans="1:68" hidden="1" x14ac:dyDescent="0.2">
      <c r="A288" s="712"/>
      <c r="B288" s="712"/>
      <c r="C288" s="712"/>
      <c r="D288" s="712"/>
      <c r="E288" s="712"/>
      <c r="F288" s="712"/>
      <c r="G288" s="712"/>
      <c r="H288" s="712"/>
      <c r="I288" s="712"/>
      <c r="J288" s="712"/>
      <c r="K288" s="712"/>
      <c r="L288" s="712"/>
      <c r="M288" s="712"/>
      <c r="N288" s="712"/>
      <c r="O288" s="713"/>
      <c r="P288" s="709" t="s">
        <v>40</v>
      </c>
      <c r="Q288" s="710"/>
      <c r="R288" s="710"/>
      <c r="S288" s="710"/>
      <c r="T288" s="710"/>
      <c r="U288" s="710"/>
      <c r="V288" s="711"/>
      <c r="W288" s="40" t="s">
        <v>39</v>
      </c>
      <c r="X288" s="4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hidden="1" x14ac:dyDescent="0.2">
      <c r="A289" s="712"/>
      <c r="B289" s="712"/>
      <c r="C289" s="712"/>
      <c r="D289" s="712"/>
      <c r="E289" s="712"/>
      <c r="F289" s="712"/>
      <c r="G289" s="712"/>
      <c r="H289" s="712"/>
      <c r="I289" s="712"/>
      <c r="J289" s="712"/>
      <c r="K289" s="712"/>
      <c r="L289" s="712"/>
      <c r="M289" s="712"/>
      <c r="N289" s="712"/>
      <c r="O289" s="713"/>
      <c r="P289" s="709" t="s">
        <v>40</v>
      </c>
      <c r="Q289" s="710"/>
      <c r="R289" s="710"/>
      <c r="S289" s="710"/>
      <c r="T289" s="710"/>
      <c r="U289" s="710"/>
      <c r="V289" s="711"/>
      <c r="W289" s="40" t="s">
        <v>0</v>
      </c>
      <c r="X289" s="41">
        <f>IFERROR(SUM(X276:X287),"0")</f>
        <v>0</v>
      </c>
      <c r="Y289" s="41">
        <f>IFERROR(SUM(Y276:Y287),"0")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703" t="s">
        <v>172</v>
      </c>
      <c r="B290" s="703"/>
      <c r="C290" s="703"/>
      <c r="D290" s="703"/>
      <c r="E290" s="703"/>
      <c r="F290" s="703"/>
      <c r="G290" s="703"/>
      <c r="H290" s="703"/>
      <c r="I290" s="703"/>
      <c r="J290" s="703"/>
      <c r="K290" s="703"/>
      <c r="L290" s="703"/>
      <c r="M290" s="703"/>
      <c r="N290" s="703"/>
      <c r="O290" s="703"/>
      <c r="P290" s="703"/>
      <c r="Q290" s="703"/>
      <c r="R290" s="703"/>
      <c r="S290" s="703"/>
      <c r="T290" s="703"/>
      <c r="U290" s="703"/>
      <c r="V290" s="703"/>
      <c r="W290" s="703"/>
      <c r="X290" s="703"/>
      <c r="Y290" s="703"/>
      <c r="Z290" s="703"/>
      <c r="AA290" s="63"/>
      <c r="AB290" s="63"/>
      <c r="AC290" s="63"/>
    </row>
    <row r="291" spans="1:68" ht="27" hidden="1" customHeight="1" x14ac:dyDescent="0.25">
      <c r="A291" s="60" t="s">
        <v>499</v>
      </c>
      <c r="B291" s="60" t="s">
        <v>500</v>
      </c>
      <c r="C291" s="34">
        <v>4301060463</v>
      </c>
      <c r="D291" s="704">
        <v>4680115880818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89</v>
      </c>
      <c r="L291" s="35" t="s">
        <v>46</v>
      </c>
      <c r="M291" s="36" t="s">
        <v>95</v>
      </c>
      <c r="N291" s="36"/>
      <c r="O291" s="35">
        <v>40</v>
      </c>
      <c r="P291" s="86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501</v>
      </c>
      <c r="AG291" s="75"/>
      <c r="AJ291" s="79" t="s">
        <v>46</v>
      </c>
      <c r="AK291" s="79">
        <v>0</v>
      </c>
      <c r="BB291" s="382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502</v>
      </c>
      <c r="B292" s="60" t="s">
        <v>503</v>
      </c>
      <c r="C292" s="34">
        <v>4301060389</v>
      </c>
      <c r="D292" s="704">
        <v>4680115880801</v>
      </c>
      <c r="E292" s="70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89</v>
      </c>
      <c r="L292" s="35" t="s">
        <v>46</v>
      </c>
      <c r="M292" s="36" t="s">
        <v>88</v>
      </c>
      <c r="N292" s="36"/>
      <c r="O292" s="35">
        <v>40</v>
      </c>
      <c r="P292" s="86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06"/>
      <c r="R292" s="706"/>
      <c r="S292" s="706"/>
      <c r="T292" s="70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3" t="s">
        <v>504</v>
      </c>
      <c r="AG292" s="75"/>
      <c r="AJ292" s="79" t="s">
        <v>46</v>
      </c>
      <c r="AK292" s="79">
        <v>0</v>
      </c>
      <c r="BB292" s="384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idden="1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hidden="1" x14ac:dyDescent="0.2">
      <c r="A294" s="712"/>
      <c r="B294" s="712"/>
      <c r="C294" s="712"/>
      <c r="D294" s="712"/>
      <c r="E294" s="712"/>
      <c r="F294" s="712"/>
      <c r="G294" s="712"/>
      <c r="H294" s="712"/>
      <c r="I294" s="712"/>
      <c r="J294" s="712"/>
      <c r="K294" s="712"/>
      <c r="L294" s="712"/>
      <c r="M294" s="712"/>
      <c r="N294" s="712"/>
      <c r="O294" s="713"/>
      <c r="P294" s="709" t="s">
        <v>40</v>
      </c>
      <c r="Q294" s="710"/>
      <c r="R294" s="710"/>
      <c r="S294" s="710"/>
      <c r="T294" s="710"/>
      <c r="U294" s="710"/>
      <c r="V294" s="71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hidden="1" customHeight="1" x14ac:dyDescent="0.25">
      <c r="A295" s="702" t="s">
        <v>505</v>
      </c>
      <c r="B295" s="702"/>
      <c r="C295" s="702"/>
      <c r="D295" s="702"/>
      <c r="E295" s="702"/>
      <c r="F295" s="702"/>
      <c r="G295" s="702"/>
      <c r="H295" s="702"/>
      <c r="I295" s="702"/>
      <c r="J295" s="702"/>
      <c r="K295" s="702"/>
      <c r="L295" s="702"/>
      <c r="M295" s="702"/>
      <c r="N295" s="702"/>
      <c r="O295" s="702"/>
      <c r="P295" s="702"/>
      <c r="Q295" s="702"/>
      <c r="R295" s="702"/>
      <c r="S295" s="702"/>
      <c r="T295" s="702"/>
      <c r="U295" s="702"/>
      <c r="V295" s="702"/>
      <c r="W295" s="702"/>
      <c r="X295" s="702"/>
      <c r="Y295" s="702"/>
      <c r="Z295" s="702"/>
      <c r="AA295" s="62"/>
      <c r="AB295" s="62"/>
      <c r="AC295" s="62"/>
    </row>
    <row r="296" spans="1:68" ht="14.25" hidden="1" customHeight="1" x14ac:dyDescent="0.25">
      <c r="A296" s="703" t="s">
        <v>122</v>
      </c>
      <c r="B296" s="703"/>
      <c r="C296" s="703"/>
      <c r="D296" s="703"/>
      <c r="E296" s="703"/>
      <c r="F296" s="703"/>
      <c r="G296" s="703"/>
      <c r="H296" s="703"/>
      <c r="I296" s="703"/>
      <c r="J296" s="703"/>
      <c r="K296" s="703"/>
      <c r="L296" s="703"/>
      <c r="M296" s="703"/>
      <c r="N296" s="703"/>
      <c r="O296" s="703"/>
      <c r="P296" s="703"/>
      <c r="Q296" s="703"/>
      <c r="R296" s="703"/>
      <c r="S296" s="703"/>
      <c r="T296" s="703"/>
      <c r="U296" s="703"/>
      <c r="V296" s="703"/>
      <c r="W296" s="703"/>
      <c r="X296" s="703"/>
      <c r="Y296" s="703"/>
      <c r="Z296" s="703"/>
      <c r="AA296" s="63"/>
      <c r="AB296" s="63"/>
      <c r="AC296" s="63"/>
    </row>
    <row r="297" spans="1:68" ht="27" hidden="1" customHeight="1" x14ac:dyDescent="0.25">
      <c r="A297" s="60" t="s">
        <v>506</v>
      </c>
      <c r="B297" s="60" t="s">
        <v>507</v>
      </c>
      <c r="C297" s="34">
        <v>4301011826</v>
      </c>
      <c r="D297" s="704">
        <v>4680115884137</v>
      </c>
      <c r="E297" s="704"/>
      <c r="F297" s="59">
        <v>1.45</v>
      </c>
      <c r="G297" s="35">
        <v>8</v>
      </c>
      <c r="H297" s="59">
        <v>11.6</v>
      </c>
      <c r="I297" s="59">
        <v>12.01</v>
      </c>
      <c r="J297" s="35">
        <v>64</v>
      </c>
      <c r="K297" s="35" t="s">
        <v>127</v>
      </c>
      <c r="L297" s="35" t="s">
        <v>46</v>
      </c>
      <c r="M297" s="36" t="s">
        <v>126</v>
      </c>
      <c r="N297" s="36"/>
      <c r="O297" s="35">
        <v>55</v>
      </c>
      <c r="P297" s="8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06"/>
      <c r="R297" s="706"/>
      <c r="S297" s="706"/>
      <c r="T297" s="707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ref="Y297:Y303" si="49">IFERROR(IF(X297="",0,CEILING((X297/$H297),1)*$H297),"")</f>
        <v>0</v>
      </c>
      <c r="Z297" s="39" t="str">
        <f>IFERROR(IF(Y297=0,"",ROUNDUP(Y297/H297,0)*0.01898),"")</f>
        <v/>
      </c>
      <c r="AA297" s="65" t="s">
        <v>46</v>
      </c>
      <c r="AB297" s="66" t="s">
        <v>46</v>
      </c>
      <c r="AC297" s="385" t="s">
        <v>508</v>
      </c>
      <c r="AG297" s="75"/>
      <c r="AJ297" s="79" t="s">
        <v>46</v>
      </c>
      <c r="AK297" s="79">
        <v>0</v>
      </c>
      <c r="BB297" s="386" t="s">
        <v>66</v>
      </c>
      <c r="BM297" s="75">
        <f t="shared" ref="BM297:BM303" si="50">IFERROR(X297*I297/H297,"0")</f>
        <v>0</v>
      </c>
      <c r="BN297" s="75">
        <f t="shared" ref="BN297:BN303" si="51">IFERROR(Y297*I297/H297,"0")</f>
        <v>0</v>
      </c>
      <c r="BO297" s="75">
        <f t="shared" ref="BO297:BO303" si="52">IFERROR(1/J297*(X297/H297),"0")</f>
        <v>0</v>
      </c>
      <c r="BP297" s="75">
        <f t="shared" ref="BP297:BP303" si="53">IFERROR(1/J297*(Y297/H297),"0")</f>
        <v>0</v>
      </c>
    </row>
    <row r="298" spans="1:68" ht="27" hidden="1" customHeight="1" x14ac:dyDescent="0.25">
      <c r="A298" s="60" t="s">
        <v>509</v>
      </c>
      <c r="B298" s="60" t="s">
        <v>510</v>
      </c>
      <c r="C298" s="34">
        <v>4301011724</v>
      </c>
      <c r="D298" s="704">
        <v>4680115884236</v>
      </c>
      <c r="E298" s="70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8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06"/>
      <c r="R298" s="706"/>
      <c r="S298" s="706"/>
      <c r="T298" s="70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si="49"/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87" t="s">
        <v>511</v>
      </c>
      <c r="AG298" s="75"/>
      <c r="AJ298" s="79" t="s">
        <v>46</v>
      </c>
      <c r="AK298" s="79">
        <v>0</v>
      </c>
      <c r="BB298" s="388" t="s">
        <v>66</v>
      </c>
      <c r="BM298" s="75">
        <f t="shared" si="50"/>
        <v>0</v>
      </c>
      <c r="BN298" s="75">
        <f t="shared" si="51"/>
        <v>0</v>
      </c>
      <c r="BO298" s="75">
        <f t="shared" si="52"/>
        <v>0</v>
      </c>
      <c r="BP298" s="75">
        <f t="shared" si="53"/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4301011721</v>
      </c>
      <c r="D299" s="704">
        <v>4680115884175</v>
      </c>
      <c r="E299" s="70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86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06"/>
      <c r="R299" s="706"/>
      <c r="S299" s="706"/>
      <c r="T299" s="70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9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89" t="s">
        <v>366</v>
      </c>
      <c r="AG299" s="75"/>
      <c r="AJ299" s="79" t="s">
        <v>46</v>
      </c>
      <c r="AK299" s="79">
        <v>0</v>
      </c>
      <c r="BB299" s="390" t="s">
        <v>66</v>
      </c>
      <c r="BM299" s="75">
        <f t="shared" si="50"/>
        <v>0</v>
      </c>
      <c r="BN299" s="75">
        <f t="shared" si="51"/>
        <v>0</v>
      </c>
      <c r="BO299" s="75">
        <f t="shared" si="52"/>
        <v>0</v>
      </c>
      <c r="BP299" s="75">
        <f t="shared" si="53"/>
        <v>0</v>
      </c>
    </row>
    <row r="300" spans="1:68" ht="27" hidden="1" customHeight="1" x14ac:dyDescent="0.25">
      <c r="A300" s="60" t="s">
        <v>514</v>
      </c>
      <c r="B300" s="60" t="s">
        <v>515</v>
      </c>
      <c r="C300" s="34">
        <v>4301011824</v>
      </c>
      <c r="D300" s="704">
        <v>4680115884144</v>
      </c>
      <c r="E300" s="704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134</v>
      </c>
      <c r="L300" s="35" t="s">
        <v>46</v>
      </c>
      <c r="M300" s="36" t="s">
        <v>126</v>
      </c>
      <c r="N300" s="36"/>
      <c r="O300" s="35">
        <v>55</v>
      </c>
      <c r="P300" s="86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06"/>
      <c r="R300" s="706"/>
      <c r="S300" s="706"/>
      <c r="T300" s="70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9"/>
        <v>0</v>
      </c>
      <c r="Z300" s="39" t="str">
        <f>IFERROR(IF(Y300=0,"",ROUNDUP(Y300/H300,0)*0.00902),"")</f>
        <v/>
      </c>
      <c r="AA300" s="65" t="s">
        <v>46</v>
      </c>
      <c r="AB300" s="66" t="s">
        <v>46</v>
      </c>
      <c r="AC300" s="391" t="s">
        <v>508</v>
      </c>
      <c r="AG300" s="75"/>
      <c r="AJ300" s="79" t="s">
        <v>46</v>
      </c>
      <c r="AK300" s="79">
        <v>0</v>
      </c>
      <c r="BB300" s="392" t="s">
        <v>66</v>
      </c>
      <c r="BM300" s="75">
        <f t="shared" si="50"/>
        <v>0</v>
      </c>
      <c r="BN300" s="75">
        <f t="shared" si="51"/>
        <v>0</v>
      </c>
      <c r="BO300" s="75">
        <f t="shared" si="52"/>
        <v>0</v>
      </c>
      <c r="BP300" s="75">
        <f t="shared" si="53"/>
        <v>0</v>
      </c>
    </row>
    <row r="301" spans="1:68" ht="27" hidden="1" customHeight="1" x14ac:dyDescent="0.25">
      <c r="A301" s="60" t="s">
        <v>516</v>
      </c>
      <c r="B301" s="60" t="s">
        <v>517</v>
      </c>
      <c r="C301" s="34">
        <v>4301012149</v>
      </c>
      <c r="D301" s="704">
        <v>4680115886551</v>
      </c>
      <c r="E301" s="70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8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9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3" t="s">
        <v>518</v>
      </c>
      <c r="AG301" s="75"/>
      <c r="AJ301" s="79" t="s">
        <v>46</v>
      </c>
      <c r="AK301" s="79">
        <v>0</v>
      </c>
      <c r="BB301" s="394" t="s">
        <v>66</v>
      </c>
      <c r="BM301" s="75">
        <f t="shared" si="50"/>
        <v>0</v>
      </c>
      <c r="BN301" s="75">
        <f t="shared" si="51"/>
        <v>0</v>
      </c>
      <c r="BO301" s="75">
        <f t="shared" si="52"/>
        <v>0</v>
      </c>
      <c r="BP301" s="75">
        <f t="shared" si="53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4301012228</v>
      </c>
      <c r="D302" s="704">
        <v>4680115887282</v>
      </c>
      <c r="E302" s="704"/>
      <c r="F302" s="59">
        <v>0.4</v>
      </c>
      <c r="G302" s="35">
        <v>6</v>
      </c>
      <c r="H302" s="59">
        <v>2.4</v>
      </c>
      <c r="I302" s="59">
        <v>2.58</v>
      </c>
      <c r="J302" s="35">
        <v>182</v>
      </c>
      <c r="K302" s="35" t="s">
        <v>89</v>
      </c>
      <c r="L302" s="35" t="s">
        <v>46</v>
      </c>
      <c r="M302" s="36" t="s">
        <v>126</v>
      </c>
      <c r="N302" s="36"/>
      <c r="O302" s="35">
        <v>55</v>
      </c>
      <c r="P302" s="8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9"/>
        <v>0</v>
      </c>
      <c r="Z302" s="39" t="str">
        <f>IFERROR(IF(Y302=0,"",ROUNDUP(Y302/H302,0)*0.00651),"")</f>
        <v/>
      </c>
      <c r="AA302" s="65" t="s">
        <v>46</v>
      </c>
      <c r="AB302" s="66" t="s">
        <v>46</v>
      </c>
      <c r="AC302" s="395" t="s">
        <v>521</v>
      </c>
      <c r="AG302" s="75"/>
      <c r="AJ302" s="79" t="s">
        <v>46</v>
      </c>
      <c r="AK302" s="79">
        <v>0</v>
      </c>
      <c r="BB302" s="396" t="s">
        <v>66</v>
      </c>
      <c r="BM302" s="75">
        <f t="shared" si="50"/>
        <v>0</v>
      </c>
      <c r="BN302" s="75">
        <f t="shared" si="51"/>
        <v>0</v>
      </c>
      <c r="BO302" s="75">
        <f t="shared" si="52"/>
        <v>0</v>
      </c>
      <c r="BP302" s="75">
        <f t="shared" si="53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4301011722</v>
      </c>
      <c r="D303" s="704">
        <v>4680115884205</v>
      </c>
      <c r="E303" s="704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134</v>
      </c>
      <c r="L303" s="35" t="s">
        <v>46</v>
      </c>
      <c r="M303" s="36" t="s">
        <v>126</v>
      </c>
      <c r="N303" s="36"/>
      <c r="O303" s="35">
        <v>55</v>
      </c>
      <c r="P303" s="8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9"/>
        <v>0</v>
      </c>
      <c r="Z303" s="39" t="str">
        <f>IFERROR(IF(Y303=0,"",ROUNDUP(Y303/H303,0)*0.00902),"")</f>
        <v/>
      </c>
      <c r="AA303" s="65" t="s">
        <v>46</v>
      </c>
      <c r="AB303" s="66" t="s">
        <v>46</v>
      </c>
      <c r="AC303" s="397" t="s">
        <v>366</v>
      </c>
      <c r="AG303" s="75"/>
      <c r="AJ303" s="79" t="s">
        <v>46</v>
      </c>
      <c r="AK303" s="79">
        <v>0</v>
      </c>
      <c r="BB303" s="398" t="s">
        <v>66</v>
      </c>
      <c r="BM303" s="75">
        <f t="shared" si="50"/>
        <v>0</v>
      </c>
      <c r="BN303" s="75">
        <f t="shared" si="51"/>
        <v>0</v>
      </c>
      <c r="BO303" s="75">
        <f t="shared" si="52"/>
        <v>0</v>
      </c>
      <c r="BP303" s="75">
        <f t="shared" si="53"/>
        <v>0</v>
      </c>
    </row>
    <row r="304" spans="1:68" hidden="1" x14ac:dyDescent="0.2">
      <c r="A304" s="712"/>
      <c r="B304" s="712"/>
      <c r="C304" s="712"/>
      <c r="D304" s="712"/>
      <c r="E304" s="712"/>
      <c r="F304" s="712"/>
      <c r="G304" s="712"/>
      <c r="H304" s="712"/>
      <c r="I304" s="712"/>
      <c r="J304" s="712"/>
      <c r="K304" s="712"/>
      <c r="L304" s="712"/>
      <c r="M304" s="712"/>
      <c r="N304" s="712"/>
      <c r="O304" s="713"/>
      <c r="P304" s="709" t="s">
        <v>40</v>
      </c>
      <c r="Q304" s="710"/>
      <c r="R304" s="710"/>
      <c r="S304" s="710"/>
      <c r="T304" s="710"/>
      <c r="U304" s="710"/>
      <c r="V304" s="711"/>
      <c r="W304" s="40" t="s">
        <v>39</v>
      </c>
      <c r="X304" s="41">
        <f>IFERROR(X297/H297,"0")+IFERROR(X298/H298,"0")+IFERROR(X299/H299,"0")+IFERROR(X300/H300,"0")+IFERROR(X301/H301,"0")+IFERROR(X302/H302,"0")+IFERROR(X303/H303,"0")</f>
        <v>0</v>
      </c>
      <c r="Y304" s="41">
        <f>IFERROR(Y297/H297,"0")+IFERROR(Y298/H298,"0")+IFERROR(Y299/H299,"0")+IFERROR(Y300/H300,"0")+IFERROR(Y301/H301,"0")+IFERROR(Y302/H302,"0")+IFERROR(Y303/H303,"0")</f>
        <v>0</v>
      </c>
      <c r="Z304" s="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hidden="1" x14ac:dyDescent="0.2">
      <c r="A305" s="712"/>
      <c r="B305" s="712"/>
      <c r="C305" s="712"/>
      <c r="D305" s="712"/>
      <c r="E305" s="712"/>
      <c r="F305" s="712"/>
      <c r="G305" s="712"/>
      <c r="H305" s="712"/>
      <c r="I305" s="712"/>
      <c r="J305" s="712"/>
      <c r="K305" s="712"/>
      <c r="L305" s="712"/>
      <c r="M305" s="712"/>
      <c r="N305" s="712"/>
      <c r="O305" s="713"/>
      <c r="P305" s="709" t="s">
        <v>40</v>
      </c>
      <c r="Q305" s="710"/>
      <c r="R305" s="710"/>
      <c r="S305" s="710"/>
      <c r="T305" s="710"/>
      <c r="U305" s="710"/>
      <c r="V305" s="711"/>
      <c r="W305" s="40" t="s">
        <v>0</v>
      </c>
      <c r="X305" s="41">
        <f>IFERROR(SUM(X297:X303),"0")</f>
        <v>0</v>
      </c>
      <c r="Y305" s="41">
        <f>IFERROR(SUM(Y297:Y303),"0")</f>
        <v>0</v>
      </c>
      <c r="Z305" s="40"/>
      <c r="AA305" s="64"/>
      <c r="AB305" s="64"/>
      <c r="AC305" s="64"/>
    </row>
    <row r="306" spans="1:68" ht="14.25" hidden="1" customHeight="1" x14ac:dyDescent="0.25">
      <c r="A306" s="703" t="s">
        <v>155</v>
      </c>
      <c r="B306" s="703"/>
      <c r="C306" s="703"/>
      <c r="D306" s="703"/>
      <c r="E306" s="703"/>
      <c r="F306" s="703"/>
      <c r="G306" s="703"/>
      <c r="H306" s="703"/>
      <c r="I306" s="703"/>
      <c r="J306" s="703"/>
      <c r="K306" s="703"/>
      <c r="L306" s="703"/>
      <c r="M306" s="703"/>
      <c r="N306" s="703"/>
      <c r="O306" s="703"/>
      <c r="P306" s="703"/>
      <c r="Q306" s="703"/>
      <c r="R306" s="703"/>
      <c r="S306" s="703"/>
      <c r="T306" s="703"/>
      <c r="U306" s="703"/>
      <c r="V306" s="703"/>
      <c r="W306" s="703"/>
      <c r="X306" s="703"/>
      <c r="Y306" s="703"/>
      <c r="Z306" s="703"/>
      <c r="AA306" s="63"/>
      <c r="AB306" s="63"/>
      <c r="AC306" s="63"/>
    </row>
    <row r="307" spans="1:68" ht="27" hidden="1" customHeight="1" x14ac:dyDescent="0.25">
      <c r="A307" s="60" t="s">
        <v>524</v>
      </c>
      <c r="B307" s="60" t="s">
        <v>525</v>
      </c>
      <c r="C307" s="34">
        <v>4301020377</v>
      </c>
      <c r="D307" s="704">
        <v>4680115885981</v>
      </c>
      <c r="E307" s="704"/>
      <c r="F307" s="59">
        <v>0.33</v>
      </c>
      <c r="G307" s="35">
        <v>6</v>
      </c>
      <c r="H307" s="59">
        <v>1.98</v>
      </c>
      <c r="I307" s="59">
        <v>2.08</v>
      </c>
      <c r="J307" s="35">
        <v>234</v>
      </c>
      <c r="K307" s="35" t="s">
        <v>80</v>
      </c>
      <c r="L307" s="35" t="s">
        <v>46</v>
      </c>
      <c r="M307" s="36" t="s">
        <v>88</v>
      </c>
      <c r="N307" s="36"/>
      <c r="O307" s="35">
        <v>50</v>
      </c>
      <c r="P307" s="8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IFERROR(IF(Y307=0,"",ROUNDUP(Y307/H307,0)*0.00502),"")</f>
        <v/>
      </c>
      <c r="AA307" s="65" t="s">
        <v>46</v>
      </c>
      <c r="AB307" s="66" t="s">
        <v>46</v>
      </c>
      <c r="AC307" s="399" t="s">
        <v>526</v>
      </c>
      <c r="AG307" s="75"/>
      <c r="AJ307" s="79" t="s">
        <v>46</v>
      </c>
      <c r="AK307" s="79">
        <v>0</v>
      </c>
      <c r="BB307" s="400" t="s">
        <v>66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hidden="1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IFERROR(X307/H307,"0")</f>
        <v>0</v>
      </c>
      <c r="Y308" s="41">
        <f>IFERROR(Y307/H307,"0")</f>
        <v>0</v>
      </c>
      <c r="Z308" s="41">
        <f>IFERROR(IF(Z307="",0,Z307),"0")</f>
        <v>0</v>
      </c>
      <c r="AA308" s="64"/>
      <c r="AB308" s="64"/>
      <c r="AC308" s="64"/>
    </row>
    <row r="309" spans="1:68" hidden="1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IFERROR(SUM(X307:X307),"0")</f>
        <v>0</v>
      </c>
      <c r="Y309" s="41">
        <f>IFERROR(SUM(Y307:Y307),"0")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03" t="s">
        <v>527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hidden="1" customHeight="1" x14ac:dyDescent="0.25">
      <c r="A311" s="60" t="s">
        <v>528</v>
      </c>
      <c r="B311" s="60" t="s">
        <v>529</v>
      </c>
      <c r="C311" s="34">
        <v>4301040362</v>
      </c>
      <c r="D311" s="704">
        <v>4680115886803</v>
      </c>
      <c r="E311" s="704"/>
      <c r="F311" s="59">
        <v>0.12</v>
      </c>
      <c r="G311" s="35">
        <v>15</v>
      </c>
      <c r="H311" s="59">
        <v>1.8</v>
      </c>
      <c r="I311" s="59">
        <v>1.9750000000000001</v>
      </c>
      <c r="J311" s="35">
        <v>216</v>
      </c>
      <c r="K311" s="35" t="s">
        <v>343</v>
      </c>
      <c r="L311" s="35" t="s">
        <v>46</v>
      </c>
      <c r="M311" s="36" t="s">
        <v>285</v>
      </c>
      <c r="N311" s="36"/>
      <c r="O311" s="35">
        <v>45</v>
      </c>
      <c r="P311" s="8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 t="s">
        <v>46</v>
      </c>
      <c r="AB311" s="66" t="s">
        <v>46</v>
      </c>
      <c r="AC311" s="401" t="s">
        <v>530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3" t="s">
        <v>344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hidden="1" customHeight="1" x14ac:dyDescent="0.25">
      <c r="A315" s="60" t="s">
        <v>531</v>
      </c>
      <c r="B315" s="60" t="s">
        <v>532</v>
      </c>
      <c r="C315" s="34">
        <v>4301041004</v>
      </c>
      <c r="D315" s="704">
        <v>4680115886704</v>
      </c>
      <c r="E315" s="704"/>
      <c r="F315" s="59">
        <v>5.5E-2</v>
      </c>
      <c r="G315" s="35">
        <v>18</v>
      </c>
      <c r="H315" s="59">
        <v>0.99</v>
      </c>
      <c r="I315" s="59">
        <v>1.18</v>
      </c>
      <c r="J315" s="35">
        <v>216</v>
      </c>
      <c r="K315" s="35" t="s">
        <v>343</v>
      </c>
      <c r="L315" s="35" t="s">
        <v>46</v>
      </c>
      <c r="M315" s="36" t="s">
        <v>285</v>
      </c>
      <c r="N315" s="36"/>
      <c r="O315" s="35">
        <v>90</v>
      </c>
      <c r="P315" s="8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533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704">
        <v>4680115886681</v>
      </c>
      <c r="E316" s="70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285</v>
      </c>
      <c r="N316" s="36"/>
      <c r="O316" s="35">
        <v>90</v>
      </c>
      <c r="P316" s="8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06"/>
      <c r="R316" s="706"/>
      <c r="S316" s="706"/>
      <c r="T316" s="70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05" t="s">
        <v>533</v>
      </c>
      <c r="AG316" s="75"/>
      <c r="AJ316" s="79" t="s">
        <v>46</v>
      </c>
      <c r="AK316" s="79">
        <v>0</v>
      </c>
      <c r="BB316" s="40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536</v>
      </c>
      <c r="B317" s="60" t="s">
        <v>537</v>
      </c>
      <c r="C317" s="34">
        <v>4301041007</v>
      </c>
      <c r="D317" s="704">
        <v>4680115886735</v>
      </c>
      <c r="E317" s="704"/>
      <c r="F317" s="59">
        <v>0.05</v>
      </c>
      <c r="G317" s="35">
        <v>18</v>
      </c>
      <c r="H317" s="59">
        <v>0.9</v>
      </c>
      <c r="I317" s="59">
        <v>1.0900000000000001</v>
      </c>
      <c r="J317" s="35">
        <v>216</v>
      </c>
      <c r="K317" s="35" t="s">
        <v>343</v>
      </c>
      <c r="L317" s="35" t="s">
        <v>46</v>
      </c>
      <c r="M317" s="36" t="s">
        <v>285</v>
      </c>
      <c r="N317" s="36"/>
      <c r="O317" s="35">
        <v>90</v>
      </c>
      <c r="P317" s="8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06"/>
      <c r="R317" s="706"/>
      <c r="S317" s="706"/>
      <c r="T317" s="707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07" t="s">
        <v>533</v>
      </c>
      <c r="AG317" s="75"/>
      <c r="AJ317" s="79" t="s">
        <v>46</v>
      </c>
      <c r="AK317" s="79">
        <v>0</v>
      </c>
      <c r="BB317" s="40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idden="1" x14ac:dyDescent="0.2">
      <c r="A318" s="712"/>
      <c r="B318" s="712"/>
      <c r="C318" s="712"/>
      <c r="D318" s="712"/>
      <c r="E318" s="712"/>
      <c r="F318" s="712"/>
      <c r="G318" s="712"/>
      <c r="H318" s="712"/>
      <c r="I318" s="712"/>
      <c r="J318" s="712"/>
      <c r="K318" s="712"/>
      <c r="L318" s="712"/>
      <c r="M318" s="712"/>
      <c r="N318" s="712"/>
      <c r="O318" s="713"/>
      <c r="P318" s="709" t="s">
        <v>40</v>
      </c>
      <c r="Q318" s="710"/>
      <c r="R318" s="710"/>
      <c r="S318" s="710"/>
      <c r="T318" s="710"/>
      <c r="U318" s="710"/>
      <c r="V318" s="711"/>
      <c r="W318" s="40" t="s">
        <v>39</v>
      </c>
      <c r="X318" s="41">
        <f>IFERROR(X315/H315,"0")+IFERROR(X316/H316,"0")+IFERROR(X317/H317,"0")</f>
        <v>0</v>
      </c>
      <c r="Y318" s="41">
        <f>IFERROR(Y315/H315,"0")+IFERROR(Y316/H316,"0")+IFERROR(Y317/H317,"0")</f>
        <v>0</v>
      </c>
      <c r="Z318" s="41">
        <f>IFERROR(IF(Z315="",0,Z315),"0")+IFERROR(IF(Z316="",0,Z316),"0")+IFERROR(IF(Z317="",0,Z317),"0")</f>
        <v>0</v>
      </c>
      <c r="AA318" s="64"/>
      <c r="AB318" s="64"/>
      <c r="AC318" s="64"/>
    </row>
    <row r="319" spans="1:68" hidden="1" x14ac:dyDescent="0.2">
      <c r="A319" s="712"/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3"/>
      <c r="P319" s="709" t="s">
        <v>40</v>
      </c>
      <c r="Q319" s="710"/>
      <c r="R319" s="710"/>
      <c r="S319" s="710"/>
      <c r="T319" s="710"/>
      <c r="U319" s="710"/>
      <c r="V319" s="711"/>
      <c r="W319" s="40" t="s">
        <v>0</v>
      </c>
      <c r="X319" s="41">
        <f>IFERROR(SUM(X315:X317),"0")</f>
        <v>0</v>
      </c>
      <c r="Y319" s="41">
        <f>IFERROR(SUM(Y315:Y317),"0")</f>
        <v>0</v>
      </c>
      <c r="Z319" s="40"/>
      <c r="AA319" s="64"/>
      <c r="AB319" s="64"/>
      <c r="AC319" s="64"/>
    </row>
    <row r="320" spans="1:68" ht="16.5" hidden="1" customHeight="1" x14ac:dyDescent="0.25">
      <c r="A320" s="702" t="s">
        <v>538</v>
      </c>
      <c r="B320" s="702"/>
      <c r="C320" s="702"/>
      <c r="D320" s="702"/>
      <c r="E320" s="702"/>
      <c r="F320" s="702"/>
      <c r="G320" s="702"/>
      <c r="H320" s="702"/>
      <c r="I320" s="702"/>
      <c r="J320" s="702"/>
      <c r="K320" s="702"/>
      <c r="L320" s="702"/>
      <c r="M320" s="702"/>
      <c r="N320" s="702"/>
      <c r="O320" s="702"/>
      <c r="P320" s="702"/>
      <c r="Q320" s="702"/>
      <c r="R320" s="702"/>
      <c r="S320" s="702"/>
      <c r="T320" s="702"/>
      <c r="U320" s="702"/>
      <c r="V320" s="702"/>
      <c r="W320" s="702"/>
      <c r="X320" s="702"/>
      <c r="Y320" s="702"/>
      <c r="Z320" s="702"/>
      <c r="AA320" s="62"/>
      <c r="AB320" s="62"/>
      <c r="AC320" s="62"/>
    </row>
    <row r="321" spans="1:68" ht="14.25" hidden="1" customHeight="1" x14ac:dyDescent="0.25">
      <c r="A321" s="703" t="s">
        <v>122</v>
      </c>
      <c r="B321" s="703"/>
      <c r="C321" s="703"/>
      <c r="D321" s="703"/>
      <c r="E321" s="703"/>
      <c r="F321" s="703"/>
      <c r="G321" s="703"/>
      <c r="H321" s="703"/>
      <c r="I321" s="703"/>
      <c r="J321" s="703"/>
      <c r="K321" s="703"/>
      <c r="L321" s="703"/>
      <c r="M321" s="703"/>
      <c r="N321" s="703"/>
      <c r="O321" s="703"/>
      <c r="P321" s="703"/>
      <c r="Q321" s="703"/>
      <c r="R321" s="703"/>
      <c r="S321" s="703"/>
      <c r="T321" s="703"/>
      <c r="U321" s="703"/>
      <c r="V321" s="703"/>
      <c r="W321" s="703"/>
      <c r="X321" s="703"/>
      <c r="Y321" s="703"/>
      <c r="Z321" s="703"/>
      <c r="AA321" s="63"/>
      <c r="AB321" s="63"/>
      <c r="AC321" s="63"/>
    </row>
    <row r="322" spans="1:68" ht="27" hidden="1" customHeight="1" x14ac:dyDescent="0.25">
      <c r="A322" s="60" t="s">
        <v>539</v>
      </c>
      <c r="B322" s="60" t="s">
        <v>540</v>
      </c>
      <c r="C322" s="34">
        <v>4301011855</v>
      </c>
      <c r="D322" s="704">
        <v>4680115885837</v>
      </c>
      <c r="E322" s="70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87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06"/>
      <c r="R322" s="706"/>
      <c r="S322" s="706"/>
      <c r="T322" s="707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09" t="s">
        <v>541</v>
      </c>
      <c r="AG322" s="75"/>
      <c r="AJ322" s="79" t="s">
        <v>46</v>
      </c>
      <c r="AK322" s="79">
        <v>0</v>
      </c>
      <c r="BB322" s="410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37.5" hidden="1" customHeight="1" x14ac:dyDescent="0.25">
      <c r="A323" s="60" t="s">
        <v>542</v>
      </c>
      <c r="B323" s="60" t="s">
        <v>543</v>
      </c>
      <c r="C323" s="34">
        <v>4301012234</v>
      </c>
      <c r="D323" s="704">
        <v>4680115887237</v>
      </c>
      <c r="E323" s="70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87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06"/>
      <c r="R323" s="706"/>
      <c r="S323" s="706"/>
      <c r="T323" s="707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1" t="s">
        <v>544</v>
      </c>
      <c r="AG323" s="75"/>
      <c r="AJ323" s="79" t="s">
        <v>46</v>
      </c>
      <c r="AK323" s="79">
        <v>0</v>
      </c>
      <c r="BB323" s="412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545</v>
      </c>
      <c r="B324" s="60" t="s">
        <v>546</v>
      </c>
      <c r="C324" s="34">
        <v>4301011850</v>
      </c>
      <c r="D324" s="704">
        <v>4680115885806</v>
      </c>
      <c r="E324" s="70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8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06"/>
      <c r="R324" s="706"/>
      <c r="S324" s="706"/>
      <c r="T324" s="707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3" t="s">
        <v>547</v>
      </c>
      <c r="AG324" s="75"/>
      <c r="AJ324" s="79" t="s">
        <v>46</v>
      </c>
      <c r="AK324" s="79">
        <v>0</v>
      </c>
      <c r="BB324" s="414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548</v>
      </c>
      <c r="B325" s="60" t="s">
        <v>549</v>
      </c>
      <c r="C325" s="34">
        <v>4301011852</v>
      </c>
      <c r="D325" s="704">
        <v>4680115885844</v>
      </c>
      <c r="E325" s="70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87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06"/>
      <c r="R325" s="706"/>
      <c r="S325" s="706"/>
      <c r="T325" s="70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15" t="s">
        <v>550</v>
      </c>
      <c r="AG325" s="75"/>
      <c r="AJ325" s="79" t="s">
        <v>46</v>
      </c>
      <c r="AK325" s="79">
        <v>0</v>
      </c>
      <c r="BB325" s="416" t="s">
        <v>66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37.5" hidden="1" customHeight="1" x14ac:dyDescent="0.25">
      <c r="A326" s="60" t="s">
        <v>551</v>
      </c>
      <c r="B326" s="60" t="s">
        <v>552</v>
      </c>
      <c r="C326" s="34">
        <v>4301011851</v>
      </c>
      <c r="D326" s="704">
        <v>4680115885820</v>
      </c>
      <c r="E326" s="70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88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17" t="s">
        <v>553</v>
      </c>
      <c r="AG326" s="75"/>
      <c r="AJ326" s="79" t="s">
        <v>46</v>
      </c>
      <c r="AK326" s="79">
        <v>0</v>
      </c>
      <c r="BB326" s="418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idden="1" x14ac:dyDescent="0.2">
      <c r="A327" s="712"/>
      <c r="B327" s="712"/>
      <c r="C327" s="712"/>
      <c r="D327" s="712"/>
      <c r="E327" s="712"/>
      <c r="F327" s="712"/>
      <c r="G327" s="712"/>
      <c r="H327" s="712"/>
      <c r="I327" s="712"/>
      <c r="J327" s="712"/>
      <c r="K327" s="712"/>
      <c r="L327" s="712"/>
      <c r="M327" s="712"/>
      <c r="N327" s="712"/>
      <c r="O327" s="713"/>
      <c r="P327" s="709" t="s">
        <v>40</v>
      </c>
      <c r="Q327" s="710"/>
      <c r="R327" s="710"/>
      <c r="S327" s="710"/>
      <c r="T327" s="710"/>
      <c r="U327" s="710"/>
      <c r="V327" s="711"/>
      <c r="W327" s="40" t="s">
        <v>39</v>
      </c>
      <c r="X327" s="41">
        <f>IFERROR(X322/H322,"0")+IFERROR(X323/H323,"0")+IFERROR(X324/H324,"0")+IFERROR(X325/H325,"0")+IFERROR(X326/H326,"0")</f>
        <v>0</v>
      </c>
      <c r="Y327" s="41">
        <f>IFERROR(Y322/H322,"0")+IFERROR(Y323/H323,"0")+IFERROR(Y324/H324,"0")+IFERROR(Y325/H325,"0")+IFERROR(Y326/H326,"0")</f>
        <v>0</v>
      </c>
      <c r="Z327" s="41">
        <f>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712"/>
      <c r="B328" s="712"/>
      <c r="C328" s="712"/>
      <c r="D328" s="712"/>
      <c r="E328" s="712"/>
      <c r="F328" s="712"/>
      <c r="G328" s="712"/>
      <c r="H328" s="712"/>
      <c r="I328" s="712"/>
      <c r="J328" s="712"/>
      <c r="K328" s="712"/>
      <c r="L328" s="712"/>
      <c r="M328" s="712"/>
      <c r="N328" s="712"/>
      <c r="O328" s="713"/>
      <c r="P328" s="709" t="s">
        <v>40</v>
      </c>
      <c r="Q328" s="710"/>
      <c r="R328" s="710"/>
      <c r="S328" s="710"/>
      <c r="T328" s="710"/>
      <c r="U328" s="710"/>
      <c r="V328" s="711"/>
      <c r="W328" s="40" t="s">
        <v>0</v>
      </c>
      <c r="X328" s="41">
        <f>IFERROR(SUM(X322:X326),"0")</f>
        <v>0</v>
      </c>
      <c r="Y328" s="41">
        <f>IFERROR(SUM(Y322:Y326),"0")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02" t="s">
        <v>554</v>
      </c>
      <c r="B329" s="702"/>
      <c r="C329" s="702"/>
      <c r="D329" s="702"/>
      <c r="E329" s="702"/>
      <c r="F329" s="702"/>
      <c r="G329" s="702"/>
      <c r="H329" s="702"/>
      <c r="I329" s="702"/>
      <c r="J329" s="702"/>
      <c r="K329" s="702"/>
      <c r="L329" s="702"/>
      <c r="M329" s="702"/>
      <c r="N329" s="702"/>
      <c r="O329" s="702"/>
      <c r="P329" s="702"/>
      <c r="Q329" s="702"/>
      <c r="R329" s="702"/>
      <c r="S329" s="702"/>
      <c r="T329" s="702"/>
      <c r="U329" s="702"/>
      <c r="V329" s="702"/>
      <c r="W329" s="702"/>
      <c r="X329" s="702"/>
      <c r="Y329" s="702"/>
      <c r="Z329" s="702"/>
      <c r="AA329" s="62"/>
      <c r="AB329" s="62"/>
      <c r="AC329" s="62"/>
    </row>
    <row r="330" spans="1:68" ht="14.25" hidden="1" customHeight="1" x14ac:dyDescent="0.25">
      <c r="A330" s="703" t="s">
        <v>84</v>
      </c>
      <c r="B330" s="703"/>
      <c r="C330" s="703"/>
      <c r="D330" s="703"/>
      <c r="E330" s="703"/>
      <c r="F330" s="703"/>
      <c r="G330" s="703"/>
      <c r="H330" s="703"/>
      <c r="I330" s="703"/>
      <c r="J330" s="703"/>
      <c r="K330" s="703"/>
      <c r="L330" s="703"/>
      <c r="M330" s="703"/>
      <c r="N330" s="703"/>
      <c r="O330" s="703"/>
      <c r="P330" s="703"/>
      <c r="Q330" s="703"/>
      <c r="R330" s="703"/>
      <c r="S330" s="703"/>
      <c r="T330" s="703"/>
      <c r="U330" s="703"/>
      <c r="V330" s="703"/>
      <c r="W330" s="703"/>
      <c r="X330" s="703"/>
      <c r="Y330" s="703"/>
      <c r="Z330" s="703"/>
      <c r="AA330" s="63"/>
      <c r="AB330" s="63"/>
      <c r="AC330" s="63"/>
    </row>
    <row r="331" spans="1:68" ht="27" hidden="1" customHeight="1" x14ac:dyDescent="0.25">
      <c r="A331" s="60" t="s">
        <v>555</v>
      </c>
      <c r="B331" s="60" t="s">
        <v>556</v>
      </c>
      <c r="C331" s="34">
        <v>4301051893</v>
      </c>
      <c r="D331" s="704">
        <v>4680115886186</v>
      </c>
      <c r="E331" s="70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89</v>
      </c>
      <c r="L331" s="35" t="s">
        <v>46</v>
      </c>
      <c r="M331" s="36" t="s">
        <v>88</v>
      </c>
      <c r="N331" s="36"/>
      <c r="O331" s="35">
        <v>45</v>
      </c>
      <c r="P331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06"/>
      <c r="R331" s="706"/>
      <c r="S331" s="706"/>
      <c r="T331" s="70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19" t="s">
        <v>557</v>
      </c>
      <c r="AG331" s="75"/>
      <c r="AJ331" s="79" t="s">
        <v>46</v>
      </c>
      <c r="AK331" s="79">
        <v>0</v>
      </c>
      <c r="BB331" s="420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558</v>
      </c>
      <c r="B332" s="60" t="s">
        <v>559</v>
      </c>
      <c r="C332" s="34">
        <v>4301051795</v>
      </c>
      <c r="D332" s="704">
        <v>4680115881228</v>
      </c>
      <c r="E332" s="70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89</v>
      </c>
      <c r="L332" s="35" t="s">
        <v>46</v>
      </c>
      <c r="M332" s="36" t="s">
        <v>95</v>
      </c>
      <c r="N332" s="36"/>
      <c r="O332" s="35">
        <v>40</v>
      </c>
      <c r="P332" s="8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06"/>
      <c r="R332" s="706"/>
      <c r="S332" s="706"/>
      <c r="T332" s="70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1" t="s">
        <v>560</v>
      </c>
      <c r="AG332" s="75"/>
      <c r="AJ332" s="79" t="s">
        <v>46</v>
      </c>
      <c r="AK332" s="79">
        <v>0</v>
      </c>
      <c r="BB332" s="422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561</v>
      </c>
      <c r="B333" s="60" t="s">
        <v>562</v>
      </c>
      <c r="C333" s="34">
        <v>4301051388</v>
      </c>
      <c r="D333" s="704">
        <v>4680115881211</v>
      </c>
      <c r="E333" s="70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89</v>
      </c>
      <c r="L333" s="35" t="s">
        <v>46</v>
      </c>
      <c r="M333" s="36" t="s">
        <v>88</v>
      </c>
      <c r="N333" s="36"/>
      <c r="O333" s="35">
        <v>45</v>
      </c>
      <c r="P333" s="88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06"/>
      <c r="R333" s="706"/>
      <c r="S333" s="706"/>
      <c r="T333" s="70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3" t="s">
        <v>557</v>
      </c>
      <c r="AG333" s="75"/>
      <c r="AJ333" s="79" t="s">
        <v>46</v>
      </c>
      <c r="AK333" s="79">
        <v>0</v>
      </c>
      <c r="BB333" s="424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12"/>
      <c r="B334" s="712"/>
      <c r="C334" s="712"/>
      <c r="D334" s="712"/>
      <c r="E334" s="712"/>
      <c r="F334" s="712"/>
      <c r="G334" s="712"/>
      <c r="H334" s="712"/>
      <c r="I334" s="712"/>
      <c r="J334" s="712"/>
      <c r="K334" s="712"/>
      <c r="L334" s="712"/>
      <c r="M334" s="712"/>
      <c r="N334" s="712"/>
      <c r="O334" s="713"/>
      <c r="P334" s="709" t="s">
        <v>40</v>
      </c>
      <c r="Q334" s="710"/>
      <c r="R334" s="710"/>
      <c r="S334" s="710"/>
      <c r="T334" s="710"/>
      <c r="U334" s="710"/>
      <c r="V334" s="711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12"/>
      <c r="B335" s="712"/>
      <c r="C335" s="712"/>
      <c r="D335" s="712"/>
      <c r="E335" s="712"/>
      <c r="F335" s="712"/>
      <c r="G335" s="712"/>
      <c r="H335" s="712"/>
      <c r="I335" s="712"/>
      <c r="J335" s="712"/>
      <c r="K335" s="712"/>
      <c r="L335" s="712"/>
      <c r="M335" s="712"/>
      <c r="N335" s="712"/>
      <c r="O335" s="713"/>
      <c r="P335" s="709" t="s">
        <v>40</v>
      </c>
      <c r="Q335" s="710"/>
      <c r="R335" s="710"/>
      <c r="S335" s="710"/>
      <c r="T335" s="710"/>
      <c r="U335" s="710"/>
      <c r="V335" s="711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02" t="s">
        <v>563</v>
      </c>
      <c r="B336" s="702"/>
      <c r="C336" s="702"/>
      <c r="D336" s="702"/>
      <c r="E336" s="702"/>
      <c r="F336" s="702"/>
      <c r="G336" s="702"/>
      <c r="H336" s="702"/>
      <c r="I336" s="702"/>
      <c r="J336" s="702"/>
      <c r="K336" s="702"/>
      <c r="L336" s="702"/>
      <c r="M336" s="702"/>
      <c r="N336" s="702"/>
      <c r="O336" s="702"/>
      <c r="P336" s="702"/>
      <c r="Q336" s="702"/>
      <c r="R336" s="702"/>
      <c r="S336" s="702"/>
      <c r="T336" s="702"/>
      <c r="U336" s="702"/>
      <c r="V336" s="702"/>
      <c r="W336" s="702"/>
      <c r="X336" s="702"/>
      <c r="Y336" s="702"/>
      <c r="Z336" s="702"/>
      <c r="AA336" s="62"/>
      <c r="AB336" s="62"/>
      <c r="AC336" s="62"/>
    </row>
    <row r="337" spans="1:68" ht="14.25" hidden="1" customHeight="1" x14ac:dyDescent="0.25">
      <c r="A337" s="703" t="s">
        <v>75</v>
      </c>
      <c r="B337" s="703"/>
      <c r="C337" s="703"/>
      <c r="D337" s="703"/>
      <c r="E337" s="703"/>
      <c r="F337" s="703"/>
      <c r="G337" s="703"/>
      <c r="H337" s="703"/>
      <c r="I337" s="703"/>
      <c r="J337" s="703"/>
      <c r="K337" s="703"/>
      <c r="L337" s="703"/>
      <c r="M337" s="703"/>
      <c r="N337" s="703"/>
      <c r="O337" s="703"/>
      <c r="P337" s="703"/>
      <c r="Q337" s="703"/>
      <c r="R337" s="703"/>
      <c r="S337" s="703"/>
      <c r="T337" s="703"/>
      <c r="U337" s="703"/>
      <c r="V337" s="703"/>
      <c r="W337" s="703"/>
      <c r="X337" s="703"/>
      <c r="Y337" s="703"/>
      <c r="Z337" s="703"/>
      <c r="AA337" s="63"/>
      <c r="AB337" s="63"/>
      <c r="AC337" s="63"/>
    </row>
    <row r="338" spans="1:68" ht="27" hidden="1" customHeight="1" x14ac:dyDescent="0.25">
      <c r="A338" s="60" t="s">
        <v>564</v>
      </c>
      <c r="B338" s="60" t="s">
        <v>565</v>
      </c>
      <c r="C338" s="34">
        <v>4301031445</v>
      </c>
      <c r="D338" s="704">
        <v>4680115888319</v>
      </c>
      <c r="E338" s="70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80</v>
      </c>
      <c r="L338" s="35" t="s">
        <v>46</v>
      </c>
      <c r="M338" s="36" t="s">
        <v>79</v>
      </c>
      <c r="N338" s="36"/>
      <c r="O338" s="35">
        <v>45</v>
      </c>
      <c r="P338" s="88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06"/>
      <c r="R338" s="706"/>
      <c r="S338" s="706"/>
      <c r="T338" s="70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25" t="s">
        <v>398</v>
      </c>
      <c r="AG338" s="75"/>
      <c r="AJ338" s="79" t="s">
        <v>46</v>
      </c>
      <c r="AK338" s="79">
        <v>0</v>
      </c>
      <c r="BB338" s="426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566</v>
      </c>
      <c r="B339" s="60" t="s">
        <v>567</v>
      </c>
      <c r="C339" s="34">
        <v>4301031502</v>
      </c>
      <c r="D339" s="704">
        <v>4680115884700</v>
      </c>
      <c r="E339" s="70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80</v>
      </c>
      <c r="L339" s="35" t="s">
        <v>46</v>
      </c>
      <c r="M339" s="36" t="s">
        <v>79</v>
      </c>
      <c r="N339" s="36"/>
      <c r="O339" s="35">
        <v>40</v>
      </c>
      <c r="P339" s="88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06"/>
      <c r="R339" s="706"/>
      <c r="S339" s="706"/>
      <c r="T339" s="70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27" t="s">
        <v>568</v>
      </c>
      <c r="AG339" s="75"/>
      <c r="AJ339" s="79" t="s">
        <v>46</v>
      </c>
      <c r="AK339" s="79">
        <v>0</v>
      </c>
      <c r="BB339" s="428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569</v>
      </c>
      <c r="B340" s="60" t="s">
        <v>570</v>
      </c>
      <c r="C340" s="34">
        <v>4301031307</v>
      </c>
      <c r="D340" s="704">
        <v>4680115880344</v>
      </c>
      <c r="E340" s="70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80</v>
      </c>
      <c r="L340" s="35" t="s">
        <v>46</v>
      </c>
      <c r="M340" s="36" t="s">
        <v>79</v>
      </c>
      <c r="N340" s="36"/>
      <c r="O340" s="35">
        <v>40</v>
      </c>
      <c r="P340" s="8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06"/>
      <c r="R340" s="706"/>
      <c r="S340" s="706"/>
      <c r="T340" s="70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29" t="s">
        <v>571</v>
      </c>
      <c r="AG340" s="75"/>
      <c r="AJ340" s="79" t="s">
        <v>46</v>
      </c>
      <c r="AK340" s="79">
        <v>0</v>
      </c>
      <c r="BB340" s="430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572</v>
      </c>
      <c r="B341" s="60" t="s">
        <v>573</v>
      </c>
      <c r="C341" s="34">
        <v>4301031501</v>
      </c>
      <c r="D341" s="704">
        <v>4680115886919</v>
      </c>
      <c r="E341" s="70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89</v>
      </c>
      <c r="L341" s="35" t="s">
        <v>46</v>
      </c>
      <c r="M341" s="36" t="s">
        <v>79</v>
      </c>
      <c r="N341" s="36"/>
      <c r="O341" s="35">
        <v>40</v>
      </c>
      <c r="P341" s="88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06"/>
      <c r="R341" s="706"/>
      <c r="S341" s="706"/>
      <c r="T341" s="70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1" t="s">
        <v>574</v>
      </c>
      <c r="AG341" s="75"/>
      <c r="AJ341" s="79" t="s">
        <v>46</v>
      </c>
      <c r="AK341" s="79">
        <v>0</v>
      </c>
      <c r="BB341" s="432" t="s">
        <v>66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575</v>
      </c>
      <c r="B342" s="60" t="s">
        <v>576</v>
      </c>
      <c r="C342" s="34">
        <v>4301031246</v>
      </c>
      <c r="D342" s="704">
        <v>4680115883970</v>
      </c>
      <c r="E342" s="70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80</v>
      </c>
      <c r="L342" s="35" t="s">
        <v>46</v>
      </c>
      <c r="M342" s="36" t="s">
        <v>79</v>
      </c>
      <c r="N342" s="36"/>
      <c r="O342" s="35">
        <v>40</v>
      </c>
      <c r="P342" s="88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577</v>
      </c>
      <c r="AG342" s="75"/>
      <c r="AJ342" s="79" t="s">
        <v>46</v>
      </c>
      <c r="AK342" s="79">
        <v>0</v>
      </c>
      <c r="BB342" s="434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12"/>
      <c r="B343" s="712"/>
      <c r="C343" s="712"/>
      <c r="D343" s="712"/>
      <c r="E343" s="712"/>
      <c r="F343" s="712"/>
      <c r="G343" s="712"/>
      <c r="H343" s="712"/>
      <c r="I343" s="712"/>
      <c r="J343" s="712"/>
      <c r="K343" s="712"/>
      <c r="L343" s="712"/>
      <c r="M343" s="712"/>
      <c r="N343" s="712"/>
      <c r="O343" s="713"/>
      <c r="P343" s="709" t="s">
        <v>40</v>
      </c>
      <c r="Q343" s="710"/>
      <c r="R343" s="710"/>
      <c r="S343" s="710"/>
      <c r="T343" s="710"/>
      <c r="U343" s="710"/>
      <c r="V343" s="71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12"/>
      <c r="B344" s="712"/>
      <c r="C344" s="712"/>
      <c r="D344" s="712"/>
      <c r="E344" s="712"/>
      <c r="F344" s="712"/>
      <c r="G344" s="712"/>
      <c r="H344" s="712"/>
      <c r="I344" s="712"/>
      <c r="J344" s="712"/>
      <c r="K344" s="712"/>
      <c r="L344" s="712"/>
      <c r="M344" s="712"/>
      <c r="N344" s="712"/>
      <c r="O344" s="713"/>
      <c r="P344" s="709" t="s">
        <v>40</v>
      </c>
      <c r="Q344" s="710"/>
      <c r="R344" s="710"/>
      <c r="S344" s="710"/>
      <c r="T344" s="710"/>
      <c r="U344" s="710"/>
      <c r="V344" s="71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03" t="s">
        <v>84</v>
      </c>
      <c r="B345" s="703"/>
      <c r="C345" s="703"/>
      <c r="D345" s="703"/>
      <c r="E345" s="703"/>
      <c r="F345" s="703"/>
      <c r="G345" s="703"/>
      <c r="H345" s="703"/>
      <c r="I345" s="703"/>
      <c r="J345" s="703"/>
      <c r="K345" s="703"/>
      <c r="L345" s="703"/>
      <c r="M345" s="703"/>
      <c r="N345" s="703"/>
      <c r="O345" s="703"/>
      <c r="P345" s="703"/>
      <c r="Q345" s="703"/>
      <c r="R345" s="703"/>
      <c r="S345" s="703"/>
      <c r="T345" s="703"/>
      <c r="U345" s="703"/>
      <c r="V345" s="703"/>
      <c r="W345" s="703"/>
      <c r="X345" s="703"/>
      <c r="Y345" s="703"/>
      <c r="Z345" s="703"/>
      <c r="AA345" s="63"/>
      <c r="AB345" s="63"/>
      <c r="AC345" s="63"/>
    </row>
    <row r="346" spans="1:68" ht="27" hidden="1" customHeight="1" x14ac:dyDescent="0.25">
      <c r="A346" s="60" t="s">
        <v>578</v>
      </c>
      <c r="B346" s="60" t="s">
        <v>579</v>
      </c>
      <c r="C346" s="34">
        <v>4301051782</v>
      </c>
      <c r="D346" s="704">
        <v>4680115884618</v>
      </c>
      <c r="E346" s="70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88</v>
      </c>
      <c r="N346" s="36"/>
      <c r="O346" s="35">
        <v>45</v>
      </c>
      <c r="P346" s="8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35" t="s">
        <v>580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581</v>
      </c>
      <c r="B347" s="60" t="s">
        <v>582</v>
      </c>
      <c r="C347" s="34">
        <v>4301052057</v>
      </c>
      <c r="D347" s="704">
        <v>4680115887114</v>
      </c>
      <c r="E347" s="70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88</v>
      </c>
      <c r="N347" s="36"/>
      <c r="O347" s="35">
        <v>45</v>
      </c>
      <c r="P347" s="89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06"/>
      <c r="R347" s="706"/>
      <c r="S347" s="706"/>
      <c r="T347" s="70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37" t="s">
        <v>583</v>
      </c>
      <c r="AG347" s="75"/>
      <c r="AJ347" s="79" t="s">
        <v>46</v>
      </c>
      <c r="AK347" s="79">
        <v>0</v>
      </c>
      <c r="BB347" s="438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712"/>
      <c r="B349" s="712"/>
      <c r="C349" s="712"/>
      <c r="D349" s="712"/>
      <c r="E349" s="712"/>
      <c r="F349" s="712"/>
      <c r="G349" s="712"/>
      <c r="H349" s="712"/>
      <c r="I349" s="712"/>
      <c r="J349" s="712"/>
      <c r="K349" s="712"/>
      <c r="L349" s="712"/>
      <c r="M349" s="712"/>
      <c r="N349" s="712"/>
      <c r="O349" s="713"/>
      <c r="P349" s="709" t="s">
        <v>40</v>
      </c>
      <c r="Q349" s="710"/>
      <c r="R349" s="710"/>
      <c r="S349" s="710"/>
      <c r="T349" s="710"/>
      <c r="U349" s="710"/>
      <c r="V349" s="71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02" t="s">
        <v>584</v>
      </c>
      <c r="B350" s="702"/>
      <c r="C350" s="702"/>
      <c r="D350" s="702"/>
      <c r="E350" s="702"/>
      <c r="F350" s="702"/>
      <c r="G350" s="702"/>
      <c r="H350" s="702"/>
      <c r="I350" s="702"/>
      <c r="J350" s="702"/>
      <c r="K350" s="702"/>
      <c r="L350" s="702"/>
      <c r="M350" s="702"/>
      <c r="N350" s="702"/>
      <c r="O350" s="702"/>
      <c r="P350" s="702"/>
      <c r="Q350" s="702"/>
      <c r="R350" s="702"/>
      <c r="S350" s="702"/>
      <c r="T350" s="702"/>
      <c r="U350" s="702"/>
      <c r="V350" s="702"/>
      <c r="W350" s="702"/>
      <c r="X350" s="702"/>
      <c r="Y350" s="702"/>
      <c r="Z350" s="702"/>
      <c r="AA350" s="62"/>
      <c r="AB350" s="62"/>
      <c r="AC350" s="62"/>
    </row>
    <row r="351" spans="1:68" ht="14.25" hidden="1" customHeight="1" x14ac:dyDescent="0.25">
      <c r="A351" s="703" t="s">
        <v>122</v>
      </c>
      <c r="B351" s="703"/>
      <c r="C351" s="703"/>
      <c r="D351" s="703"/>
      <c r="E351" s="703"/>
      <c r="F351" s="703"/>
      <c r="G351" s="703"/>
      <c r="H351" s="703"/>
      <c r="I351" s="703"/>
      <c r="J351" s="703"/>
      <c r="K351" s="703"/>
      <c r="L351" s="703"/>
      <c r="M351" s="703"/>
      <c r="N351" s="703"/>
      <c r="O351" s="703"/>
      <c r="P351" s="703"/>
      <c r="Q351" s="703"/>
      <c r="R351" s="703"/>
      <c r="S351" s="703"/>
      <c r="T351" s="703"/>
      <c r="U351" s="703"/>
      <c r="V351" s="703"/>
      <c r="W351" s="703"/>
      <c r="X351" s="703"/>
      <c r="Y351" s="703"/>
      <c r="Z351" s="703"/>
      <c r="AA351" s="63"/>
      <c r="AB351" s="63"/>
      <c r="AC351" s="63"/>
    </row>
    <row r="352" spans="1:68" ht="27" hidden="1" customHeight="1" x14ac:dyDescent="0.25">
      <c r="A352" s="60" t="s">
        <v>585</v>
      </c>
      <c r="B352" s="60" t="s">
        <v>586</v>
      </c>
      <c r="C352" s="34">
        <v>4301012324</v>
      </c>
      <c r="D352" s="704">
        <v>4680115887947</v>
      </c>
      <c r="E352" s="70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88</v>
      </c>
      <c r="N352" s="36"/>
      <c r="O352" s="35">
        <v>60</v>
      </c>
      <c r="P352" s="89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06"/>
      <c r="R352" s="706"/>
      <c r="S352" s="706"/>
      <c r="T352" s="70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39" t="s">
        <v>357</v>
      </c>
      <c r="AG352" s="75"/>
      <c r="AJ352" s="79" t="s">
        <v>46</v>
      </c>
      <c r="AK352" s="79">
        <v>0</v>
      </c>
      <c r="BB352" s="440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587</v>
      </c>
      <c r="B353" s="60" t="s">
        <v>588</v>
      </c>
      <c r="C353" s="34">
        <v>4301012325</v>
      </c>
      <c r="D353" s="704">
        <v>4680115887978</v>
      </c>
      <c r="E353" s="70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88</v>
      </c>
      <c r="N353" s="36"/>
      <c r="O353" s="35">
        <v>60</v>
      </c>
      <c r="P353" s="89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06"/>
      <c r="R353" s="706"/>
      <c r="S353" s="706"/>
      <c r="T353" s="70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1" t="s">
        <v>589</v>
      </c>
      <c r="AG353" s="75"/>
      <c r="AJ353" s="79" t="s">
        <v>46</v>
      </c>
      <c r="AK353" s="79">
        <v>0</v>
      </c>
      <c r="BB353" s="442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590</v>
      </c>
      <c r="B354" s="60" t="s">
        <v>591</v>
      </c>
      <c r="C354" s="34">
        <v>4301012327</v>
      </c>
      <c r="D354" s="704">
        <v>4680115887992</v>
      </c>
      <c r="E354" s="70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88</v>
      </c>
      <c r="N354" s="36"/>
      <c r="O354" s="35">
        <v>60</v>
      </c>
      <c r="P354" s="89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06"/>
      <c r="R354" s="706"/>
      <c r="S354" s="706"/>
      <c r="T354" s="70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3" t="s">
        <v>592</v>
      </c>
      <c r="AG354" s="75"/>
      <c r="AJ354" s="79" t="s">
        <v>46</v>
      </c>
      <c r="AK354" s="79">
        <v>0</v>
      </c>
      <c r="BB354" s="444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12"/>
      <c r="B355" s="712"/>
      <c r="C355" s="712"/>
      <c r="D355" s="712"/>
      <c r="E355" s="712"/>
      <c r="F355" s="712"/>
      <c r="G355" s="712"/>
      <c r="H355" s="712"/>
      <c r="I355" s="712"/>
      <c r="J355" s="712"/>
      <c r="K355" s="712"/>
      <c r="L355" s="712"/>
      <c r="M355" s="712"/>
      <c r="N355" s="712"/>
      <c r="O355" s="713"/>
      <c r="P355" s="709" t="s">
        <v>40</v>
      </c>
      <c r="Q355" s="710"/>
      <c r="R355" s="710"/>
      <c r="S355" s="710"/>
      <c r="T355" s="710"/>
      <c r="U355" s="710"/>
      <c r="V355" s="71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712"/>
      <c r="B356" s="712"/>
      <c r="C356" s="712"/>
      <c r="D356" s="712"/>
      <c r="E356" s="712"/>
      <c r="F356" s="712"/>
      <c r="G356" s="712"/>
      <c r="H356" s="712"/>
      <c r="I356" s="712"/>
      <c r="J356" s="712"/>
      <c r="K356" s="712"/>
      <c r="L356" s="712"/>
      <c r="M356" s="712"/>
      <c r="N356" s="712"/>
      <c r="O356" s="713"/>
      <c r="P356" s="709" t="s">
        <v>40</v>
      </c>
      <c r="Q356" s="710"/>
      <c r="R356" s="710"/>
      <c r="S356" s="710"/>
      <c r="T356" s="710"/>
      <c r="U356" s="710"/>
      <c r="V356" s="71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02" t="s">
        <v>593</v>
      </c>
      <c r="B357" s="702"/>
      <c r="C357" s="702"/>
      <c r="D357" s="702"/>
      <c r="E357" s="702"/>
      <c r="F357" s="702"/>
      <c r="G357" s="702"/>
      <c r="H357" s="702"/>
      <c r="I357" s="702"/>
      <c r="J357" s="702"/>
      <c r="K357" s="702"/>
      <c r="L357" s="702"/>
      <c r="M357" s="702"/>
      <c r="N357" s="702"/>
      <c r="O357" s="702"/>
      <c r="P357" s="702"/>
      <c r="Q357" s="702"/>
      <c r="R357" s="702"/>
      <c r="S357" s="702"/>
      <c r="T357" s="702"/>
      <c r="U357" s="702"/>
      <c r="V357" s="702"/>
      <c r="W357" s="702"/>
      <c r="X357" s="702"/>
      <c r="Y357" s="702"/>
      <c r="Z357" s="702"/>
      <c r="AA357" s="62"/>
      <c r="AB357" s="62"/>
      <c r="AC357" s="62"/>
    </row>
    <row r="358" spans="1:68" ht="14.25" hidden="1" customHeight="1" x14ac:dyDescent="0.25">
      <c r="A358" s="703" t="s">
        <v>122</v>
      </c>
      <c r="B358" s="703"/>
      <c r="C358" s="703"/>
      <c r="D358" s="703"/>
      <c r="E358" s="703"/>
      <c r="F358" s="703"/>
      <c r="G358" s="703"/>
      <c r="H358" s="703"/>
      <c r="I358" s="703"/>
      <c r="J358" s="703"/>
      <c r="K358" s="703"/>
      <c r="L358" s="703"/>
      <c r="M358" s="703"/>
      <c r="N358" s="703"/>
      <c r="O358" s="703"/>
      <c r="P358" s="703"/>
      <c r="Q358" s="703"/>
      <c r="R358" s="703"/>
      <c r="S358" s="703"/>
      <c r="T358" s="703"/>
      <c r="U358" s="703"/>
      <c r="V358" s="703"/>
      <c r="W358" s="703"/>
      <c r="X358" s="703"/>
      <c r="Y358" s="703"/>
      <c r="Z358" s="703"/>
      <c r="AA358" s="63"/>
      <c r="AB358" s="63"/>
      <c r="AC358" s="63"/>
    </row>
    <row r="359" spans="1:68" ht="27" hidden="1" customHeight="1" x14ac:dyDescent="0.25">
      <c r="A359" s="60" t="s">
        <v>594</v>
      </c>
      <c r="B359" s="60" t="s">
        <v>595</v>
      </c>
      <c r="C359" s="34">
        <v>4301012235</v>
      </c>
      <c r="D359" s="704">
        <v>4680115887190</v>
      </c>
      <c r="E359" s="70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8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706"/>
      <c r="R359" s="706"/>
      <c r="S359" s="706"/>
      <c r="T359" s="707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45" t="s">
        <v>596</v>
      </c>
      <c r="AG359" s="75"/>
      <c r="AJ359" s="79" t="s">
        <v>46</v>
      </c>
      <c r="AK359" s="79">
        <v>0</v>
      </c>
      <c r="BB359" s="446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37.5" hidden="1" customHeight="1" x14ac:dyDescent="0.25">
      <c r="A360" s="60" t="s">
        <v>597</v>
      </c>
      <c r="B360" s="60" t="s">
        <v>598</v>
      </c>
      <c r="C360" s="34">
        <v>4301012233</v>
      </c>
      <c r="D360" s="704">
        <v>4680115887138</v>
      </c>
      <c r="E360" s="70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89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706"/>
      <c r="R360" s="706"/>
      <c r="S360" s="706"/>
      <c r="T360" s="707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47" t="s">
        <v>599</v>
      </c>
      <c r="AG360" s="75"/>
      <c r="AJ360" s="79" t="s">
        <v>46</v>
      </c>
      <c r="AK360" s="79">
        <v>0</v>
      </c>
      <c r="BB360" s="448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600</v>
      </c>
      <c r="B361" s="60" t="s">
        <v>601</v>
      </c>
      <c r="C361" s="34">
        <v>4301012016</v>
      </c>
      <c r="D361" s="704">
        <v>4680115885554</v>
      </c>
      <c r="E361" s="70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88</v>
      </c>
      <c r="N361" s="36"/>
      <c r="O361" s="35">
        <v>55</v>
      </c>
      <c r="P361" s="8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706"/>
      <c r="R361" s="706"/>
      <c r="S361" s="706"/>
      <c r="T361" s="707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49" t="s">
        <v>602</v>
      </c>
      <c r="AG361" s="75"/>
      <c r="AJ361" s="79" t="s">
        <v>46</v>
      </c>
      <c r="AK361" s="79">
        <v>0</v>
      </c>
      <c r="BB361" s="450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t="27" hidden="1" customHeight="1" x14ac:dyDescent="0.25">
      <c r="A362" s="60" t="s">
        <v>603</v>
      </c>
      <c r="B362" s="60" t="s">
        <v>604</v>
      </c>
      <c r="C362" s="34">
        <v>4301012236</v>
      </c>
      <c r="D362" s="704">
        <v>4680115887220</v>
      </c>
      <c r="E362" s="704"/>
      <c r="F362" s="59">
        <v>0.4</v>
      </c>
      <c r="G362" s="35">
        <v>10</v>
      </c>
      <c r="H362" s="59">
        <v>4</v>
      </c>
      <c r="I362" s="59">
        <v>4.1900000000000004</v>
      </c>
      <c r="J362" s="35">
        <v>132</v>
      </c>
      <c r="K362" s="35" t="s">
        <v>134</v>
      </c>
      <c r="L362" s="35" t="s">
        <v>46</v>
      </c>
      <c r="M362" s="36" t="s">
        <v>126</v>
      </c>
      <c r="N362" s="36"/>
      <c r="O362" s="35">
        <v>55</v>
      </c>
      <c r="P362" s="89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706"/>
      <c r="R362" s="706"/>
      <c r="S362" s="706"/>
      <c r="T362" s="707"/>
      <c r="U362" s="37" t="s">
        <v>46</v>
      </c>
      <c r="V362" s="37" t="s">
        <v>46</v>
      </c>
      <c r="W362" s="38" t="s">
        <v>0</v>
      </c>
      <c r="X362" s="56">
        <v>0</v>
      </c>
      <c r="Y362" s="53">
        <f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51" t="s">
        <v>596</v>
      </c>
      <c r="AG362" s="75"/>
      <c r="AJ362" s="79" t="s">
        <v>46</v>
      </c>
      <c r="AK362" s="79">
        <v>0</v>
      </c>
      <c r="BB362" s="452" t="s">
        <v>66</v>
      </c>
      <c r="BM362" s="75">
        <f>IFERROR(X362*I362/H362,"0")</f>
        <v>0</v>
      </c>
      <c r="BN362" s="75">
        <f>IFERROR(Y362*I362/H362,"0")</f>
        <v>0</v>
      </c>
      <c r="BO362" s="75">
        <f>IFERROR(1/J362*(X362/H362),"0")</f>
        <v>0</v>
      </c>
      <c r="BP362" s="75">
        <f>IFERROR(1/J362*(Y362/H362),"0")</f>
        <v>0</v>
      </c>
    </row>
    <row r="363" spans="1:68" ht="27" hidden="1" customHeight="1" x14ac:dyDescent="0.25">
      <c r="A363" s="60" t="s">
        <v>605</v>
      </c>
      <c r="B363" s="60" t="s">
        <v>606</v>
      </c>
      <c r="C363" s="34">
        <v>4301011859</v>
      </c>
      <c r="D363" s="704">
        <v>4680115885608</v>
      </c>
      <c r="E363" s="704"/>
      <c r="F363" s="59">
        <v>0.4</v>
      </c>
      <c r="G363" s="35">
        <v>10</v>
      </c>
      <c r="H363" s="59">
        <v>4</v>
      </c>
      <c r="I363" s="59">
        <v>4.1900000000000004</v>
      </c>
      <c r="J363" s="35">
        <v>132</v>
      </c>
      <c r="K363" s="35" t="s">
        <v>134</v>
      </c>
      <c r="L363" s="35" t="s">
        <v>46</v>
      </c>
      <c r="M363" s="36" t="s">
        <v>126</v>
      </c>
      <c r="N363" s="36"/>
      <c r="O363" s="35">
        <v>55</v>
      </c>
      <c r="P363" s="89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53" t="s">
        <v>607</v>
      </c>
      <c r="AG363" s="75"/>
      <c r="AJ363" s="79" t="s">
        <v>46</v>
      </c>
      <c r="AK363" s="79">
        <v>0</v>
      </c>
      <c r="BB363" s="454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idden="1" x14ac:dyDescent="0.2">
      <c r="A364" s="712"/>
      <c r="B364" s="712"/>
      <c r="C364" s="712"/>
      <c r="D364" s="712"/>
      <c r="E364" s="712"/>
      <c r="F364" s="712"/>
      <c r="G364" s="712"/>
      <c r="H364" s="712"/>
      <c r="I364" s="712"/>
      <c r="J364" s="712"/>
      <c r="K364" s="712"/>
      <c r="L364" s="712"/>
      <c r="M364" s="712"/>
      <c r="N364" s="712"/>
      <c r="O364" s="713"/>
      <c r="P364" s="709" t="s">
        <v>40</v>
      </c>
      <c r="Q364" s="710"/>
      <c r="R364" s="710"/>
      <c r="S364" s="710"/>
      <c r="T364" s="710"/>
      <c r="U364" s="710"/>
      <c r="V364" s="711"/>
      <c r="W364" s="40" t="s">
        <v>39</v>
      </c>
      <c r="X364" s="41">
        <f>IFERROR(X359/H359,"0")+IFERROR(X360/H360,"0")+IFERROR(X361/H361,"0")+IFERROR(X362/H362,"0")+IFERROR(X363/H363,"0")</f>
        <v>0</v>
      </c>
      <c r="Y364" s="41">
        <f>IFERROR(Y359/H359,"0")+IFERROR(Y360/H360,"0")+IFERROR(Y361/H361,"0")+IFERROR(Y362/H362,"0")+IFERROR(Y363/H363,"0")</f>
        <v>0</v>
      </c>
      <c r="Z364" s="41">
        <f>IFERROR(IF(Z359="",0,Z359),"0")+IFERROR(IF(Z360="",0,Z360),"0")+IFERROR(IF(Z361="",0,Z361),"0")+IFERROR(IF(Z362="",0,Z362),"0")+IFERROR(IF(Z363="",0,Z363),"0")</f>
        <v>0</v>
      </c>
      <c r="AA364" s="64"/>
      <c r="AB364" s="64"/>
      <c r="AC364" s="64"/>
    </row>
    <row r="365" spans="1:68" hidden="1" x14ac:dyDescent="0.2">
      <c r="A365" s="712"/>
      <c r="B365" s="712"/>
      <c r="C365" s="712"/>
      <c r="D365" s="712"/>
      <c r="E365" s="712"/>
      <c r="F365" s="712"/>
      <c r="G365" s="712"/>
      <c r="H365" s="712"/>
      <c r="I365" s="712"/>
      <c r="J365" s="712"/>
      <c r="K365" s="712"/>
      <c r="L365" s="712"/>
      <c r="M365" s="712"/>
      <c r="N365" s="712"/>
      <c r="O365" s="713"/>
      <c r="P365" s="709" t="s">
        <v>40</v>
      </c>
      <c r="Q365" s="710"/>
      <c r="R365" s="710"/>
      <c r="S365" s="710"/>
      <c r="T365" s="710"/>
      <c r="U365" s="710"/>
      <c r="V365" s="711"/>
      <c r="W365" s="40" t="s">
        <v>0</v>
      </c>
      <c r="X365" s="41">
        <f>IFERROR(SUM(X359:X363),"0")</f>
        <v>0</v>
      </c>
      <c r="Y365" s="41">
        <f>IFERROR(SUM(Y359:Y363),"0")</f>
        <v>0</v>
      </c>
      <c r="Z365" s="40"/>
      <c r="AA365" s="64"/>
      <c r="AB365" s="64"/>
      <c r="AC365" s="64"/>
    </row>
    <row r="366" spans="1:68" ht="14.25" hidden="1" customHeight="1" x14ac:dyDescent="0.25">
      <c r="A366" s="703" t="s">
        <v>75</v>
      </c>
      <c r="B366" s="703"/>
      <c r="C366" s="703"/>
      <c r="D366" s="703"/>
      <c r="E366" s="703"/>
      <c r="F366" s="703"/>
      <c r="G366" s="703"/>
      <c r="H366" s="703"/>
      <c r="I366" s="703"/>
      <c r="J366" s="703"/>
      <c r="K366" s="703"/>
      <c r="L366" s="703"/>
      <c r="M366" s="703"/>
      <c r="N366" s="703"/>
      <c r="O366" s="703"/>
      <c r="P366" s="703"/>
      <c r="Q366" s="703"/>
      <c r="R366" s="703"/>
      <c r="S366" s="703"/>
      <c r="T366" s="703"/>
      <c r="U366" s="703"/>
      <c r="V366" s="703"/>
      <c r="W366" s="703"/>
      <c r="X366" s="703"/>
      <c r="Y366" s="703"/>
      <c r="Z366" s="703"/>
      <c r="AA366" s="63"/>
      <c r="AB366" s="63"/>
      <c r="AC366" s="63"/>
    </row>
    <row r="367" spans="1:68" ht="27" hidden="1" customHeight="1" x14ac:dyDescent="0.25">
      <c r="A367" s="60" t="s">
        <v>608</v>
      </c>
      <c r="B367" s="60" t="s">
        <v>609</v>
      </c>
      <c r="C367" s="34">
        <v>4301030878</v>
      </c>
      <c r="D367" s="704">
        <v>4607091387193</v>
      </c>
      <c r="E367" s="704"/>
      <c r="F367" s="59">
        <v>0.7</v>
      </c>
      <c r="G367" s="35">
        <v>6</v>
      </c>
      <c r="H367" s="59">
        <v>4.2</v>
      </c>
      <c r="I367" s="59">
        <v>4.45</v>
      </c>
      <c r="J367" s="35">
        <v>132</v>
      </c>
      <c r="K367" s="35" t="s">
        <v>134</v>
      </c>
      <c r="L367" s="35" t="s">
        <v>46</v>
      </c>
      <c r="M367" s="36" t="s">
        <v>79</v>
      </c>
      <c r="N367" s="36"/>
      <c r="O367" s="35">
        <v>35</v>
      </c>
      <c r="P367" s="8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ref="Y367:Y373" si="54"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610</v>
      </c>
      <c r="AG367" s="75"/>
      <c r="AJ367" s="79" t="s">
        <v>46</v>
      </c>
      <c r="AK367" s="79">
        <v>0</v>
      </c>
      <c r="BB367" s="456" t="s">
        <v>66</v>
      </c>
      <c r="BM367" s="75">
        <f t="shared" ref="BM367:BM373" si="55">IFERROR(X367*I367/H367,"0")</f>
        <v>0</v>
      </c>
      <c r="BN367" s="75">
        <f t="shared" ref="BN367:BN373" si="56">IFERROR(Y367*I367/H367,"0")</f>
        <v>0</v>
      </c>
      <c r="BO367" s="75">
        <f t="shared" ref="BO367:BO373" si="57">IFERROR(1/J367*(X367/H367),"0")</f>
        <v>0</v>
      </c>
      <c r="BP367" s="75">
        <f t="shared" ref="BP367:BP373" si="58"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4301031153</v>
      </c>
      <c r="D368" s="704">
        <v>4607091387230</v>
      </c>
      <c r="E368" s="704"/>
      <c r="F368" s="59">
        <v>0.7</v>
      </c>
      <c r="G368" s="35">
        <v>6</v>
      </c>
      <c r="H368" s="59">
        <v>4.2</v>
      </c>
      <c r="I368" s="59">
        <v>4.45</v>
      </c>
      <c r="J368" s="35">
        <v>132</v>
      </c>
      <c r="K368" s="35" t="s">
        <v>134</v>
      </c>
      <c r="L368" s="35" t="s">
        <v>46</v>
      </c>
      <c r="M368" s="36" t="s">
        <v>79</v>
      </c>
      <c r="N368" s="36"/>
      <c r="O368" s="35">
        <v>40</v>
      </c>
      <c r="P368" s="9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4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613</v>
      </c>
      <c r="AG368" s="75"/>
      <c r="AJ368" s="79" t="s">
        <v>46</v>
      </c>
      <c r="AK368" s="79">
        <v>0</v>
      </c>
      <c r="BB368" s="458" t="s">
        <v>66</v>
      </c>
      <c r="BM368" s="75">
        <f t="shared" si="55"/>
        <v>0</v>
      </c>
      <c r="BN368" s="75">
        <f t="shared" si="56"/>
        <v>0</v>
      </c>
      <c r="BO368" s="75">
        <f t="shared" si="57"/>
        <v>0</v>
      </c>
      <c r="BP368" s="75">
        <f t="shared" si="58"/>
        <v>0</v>
      </c>
    </row>
    <row r="369" spans="1:68" ht="27" hidden="1" customHeight="1" x14ac:dyDescent="0.25">
      <c r="A369" s="60" t="s">
        <v>614</v>
      </c>
      <c r="B369" s="60" t="s">
        <v>615</v>
      </c>
      <c r="C369" s="34">
        <v>4301031154</v>
      </c>
      <c r="D369" s="704">
        <v>4607091387292</v>
      </c>
      <c r="E369" s="704"/>
      <c r="F369" s="59">
        <v>0.73</v>
      </c>
      <c r="G369" s="35">
        <v>6</v>
      </c>
      <c r="H369" s="59">
        <v>4.38</v>
      </c>
      <c r="I369" s="59">
        <v>4.63</v>
      </c>
      <c r="J369" s="35">
        <v>132</v>
      </c>
      <c r="K369" s="35" t="s">
        <v>134</v>
      </c>
      <c r="L369" s="35" t="s">
        <v>46</v>
      </c>
      <c r="M369" s="36" t="s">
        <v>79</v>
      </c>
      <c r="N369" s="36"/>
      <c r="O369" s="35">
        <v>45</v>
      </c>
      <c r="P369" s="90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706"/>
      <c r="R369" s="706"/>
      <c r="S369" s="706"/>
      <c r="T369" s="70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4"/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59" t="s">
        <v>616</v>
      </c>
      <c r="AG369" s="75"/>
      <c r="AJ369" s="79" t="s">
        <v>46</v>
      </c>
      <c r="AK369" s="79">
        <v>0</v>
      </c>
      <c r="BB369" s="460" t="s">
        <v>66</v>
      </c>
      <c r="BM369" s="75">
        <f t="shared" si="55"/>
        <v>0</v>
      </c>
      <c r="BN369" s="75">
        <f t="shared" si="56"/>
        <v>0</v>
      </c>
      <c r="BO369" s="75">
        <f t="shared" si="57"/>
        <v>0</v>
      </c>
      <c r="BP369" s="75">
        <f t="shared" si="58"/>
        <v>0</v>
      </c>
    </row>
    <row r="370" spans="1:68" ht="27" hidden="1" customHeight="1" x14ac:dyDescent="0.25">
      <c r="A370" s="60" t="s">
        <v>617</v>
      </c>
      <c r="B370" s="60" t="s">
        <v>618</v>
      </c>
      <c r="C370" s="34">
        <v>4301031152</v>
      </c>
      <c r="D370" s="704">
        <v>4607091387285</v>
      </c>
      <c r="E370" s="704"/>
      <c r="F370" s="59">
        <v>0.35</v>
      </c>
      <c r="G370" s="35">
        <v>6</v>
      </c>
      <c r="H370" s="59">
        <v>2.1</v>
      </c>
      <c r="I370" s="59">
        <v>2.23</v>
      </c>
      <c r="J370" s="35">
        <v>234</v>
      </c>
      <c r="K370" s="35" t="s">
        <v>80</v>
      </c>
      <c r="L370" s="35" t="s">
        <v>46</v>
      </c>
      <c r="M370" s="36" t="s">
        <v>79</v>
      </c>
      <c r="N370" s="36"/>
      <c r="O370" s="35">
        <v>40</v>
      </c>
      <c r="P370" s="90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706"/>
      <c r="R370" s="706"/>
      <c r="S370" s="706"/>
      <c r="T370" s="70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4"/>
        <v>0</v>
      </c>
      <c r="Z370" s="39" t="str">
        <f>IFERROR(IF(Y370=0,"",ROUNDUP(Y370/H370,0)*0.00502),"")</f>
        <v/>
      </c>
      <c r="AA370" s="65" t="s">
        <v>46</v>
      </c>
      <c r="AB370" s="66" t="s">
        <v>46</v>
      </c>
      <c r="AC370" s="461" t="s">
        <v>613</v>
      </c>
      <c r="AG370" s="75"/>
      <c r="AJ370" s="79" t="s">
        <v>46</v>
      </c>
      <c r="AK370" s="79">
        <v>0</v>
      </c>
      <c r="BB370" s="462" t="s">
        <v>66</v>
      </c>
      <c r="BM370" s="75">
        <f t="shared" si="55"/>
        <v>0</v>
      </c>
      <c r="BN370" s="75">
        <f t="shared" si="56"/>
        <v>0</v>
      </c>
      <c r="BO370" s="75">
        <f t="shared" si="57"/>
        <v>0</v>
      </c>
      <c r="BP370" s="75">
        <f t="shared" si="58"/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4301031305</v>
      </c>
      <c r="D371" s="704">
        <v>4607091389845</v>
      </c>
      <c r="E371" s="704"/>
      <c r="F371" s="59">
        <v>0.35</v>
      </c>
      <c r="G371" s="35">
        <v>6</v>
      </c>
      <c r="H371" s="59">
        <v>2.1</v>
      </c>
      <c r="I371" s="59">
        <v>2.2000000000000002</v>
      </c>
      <c r="J371" s="35">
        <v>234</v>
      </c>
      <c r="K371" s="35" t="s">
        <v>80</v>
      </c>
      <c r="L371" s="35" t="s">
        <v>46</v>
      </c>
      <c r="M371" s="36" t="s">
        <v>79</v>
      </c>
      <c r="N371" s="36"/>
      <c r="O371" s="35">
        <v>40</v>
      </c>
      <c r="P371" s="9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706"/>
      <c r="R371" s="706"/>
      <c r="S371" s="706"/>
      <c r="T371" s="70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4"/>
        <v>0</v>
      </c>
      <c r="Z371" s="39" t="str">
        <f>IFERROR(IF(Y371=0,"",ROUNDUP(Y371/H371,0)*0.00502),"")</f>
        <v/>
      </c>
      <c r="AA371" s="65" t="s">
        <v>46</v>
      </c>
      <c r="AB371" s="66" t="s">
        <v>46</v>
      </c>
      <c r="AC371" s="463" t="s">
        <v>621</v>
      </c>
      <c r="AG371" s="75"/>
      <c r="AJ371" s="79" t="s">
        <v>46</v>
      </c>
      <c r="AK371" s="79">
        <v>0</v>
      </c>
      <c r="BB371" s="464" t="s">
        <v>66</v>
      </c>
      <c r="BM371" s="75">
        <f t="shared" si="55"/>
        <v>0</v>
      </c>
      <c r="BN371" s="75">
        <f t="shared" si="56"/>
        <v>0</v>
      </c>
      <c r="BO371" s="75">
        <f t="shared" si="57"/>
        <v>0</v>
      </c>
      <c r="BP371" s="75">
        <f t="shared" si="58"/>
        <v>0</v>
      </c>
    </row>
    <row r="372" spans="1:68" ht="27" hidden="1" customHeight="1" x14ac:dyDescent="0.25">
      <c r="A372" s="60" t="s">
        <v>622</v>
      </c>
      <c r="B372" s="60" t="s">
        <v>623</v>
      </c>
      <c r="C372" s="34">
        <v>4301031460</v>
      </c>
      <c r="D372" s="704">
        <v>4680115887442</v>
      </c>
      <c r="E372" s="704"/>
      <c r="F372" s="59">
        <v>0.73</v>
      </c>
      <c r="G372" s="35">
        <v>6</v>
      </c>
      <c r="H372" s="59">
        <v>4.38</v>
      </c>
      <c r="I372" s="59">
        <v>4.63</v>
      </c>
      <c r="J372" s="35">
        <v>132</v>
      </c>
      <c r="K372" s="35" t="s">
        <v>134</v>
      </c>
      <c r="L372" s="35" t="s">
        <v>46</v>
      </c>
      <c r="M372" s="36" t="s">
        <v>79</v>
      </c>
      <c r="N372" s="36"/>
      <c r="O372" s="35">
        <v>45</v>
      </c>
      <c r="P372" s="90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54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616</v>
      </c>
      <c r="AG372" s="75"/>
      <c r="AJ372" s="79" t="s">
        <v>46</v>
      </c>
      <c r="AK372" s="79">
        <v>0</v>
      </c>
      <c r="BB372" s="466" t="s">
        <v>66</v>
      </c>
      <c r="BM372" s="75">
        <f t="shared" si="55"/>
        <v>0</v>
      </c>
      <c r="BN372" s="75">
        <f t="shared" si="56"/>
        <v>0</v>
      </c>
      <c r="BO372" s="75">
        <f t="shared" si="57"/>
        <v>0</v>
      </c>
      <c r="BP372" s="75">
        <f t="shared" si="58"/>
        <v>0</v>
      </c>
    </row>
    <row r="373" spans="1:68" ht="27" hidden="1" customHeight="1" x14ac:dyDescent="0.25">
      <c r="A373" s="60" t="s">
        <v>624</v>
      </c>
      <c r="B373" s="60" t="s">
        <v>625</v>
      </c>
      <c r="C373" s="34">
        <v>4301031066</v>
      </c>
      <c r="D373" s="704">
        <v>4607091383836</v>
      </c>
      <c r="E373" s="704"/>
      <c r="F373" s="59">
        <v>0.3</v>
      </c>
      <c r="G373" s="35">
        <v>6</v>
      </c>
      <c r="H373" s="59">
        <v>1.8</v>
      </c>
      <c r="I373" s="59">
        <v>2.028</v>
      </c>
      <c r="J373" s="35">
        <v>182</v>
      </c>
      <c r="K373" s="35" t="s">
        <v>89</v>
      </c>
      <c r="L373" s="35" t="s">
        <v>46</v>
      </c>
      <c r="M373" s="36" t="s">
        <v>79</v>
      </c>
      <c r="N373" s="36"/>
      <c r="O373" s="35">
        <v>40</v>
      </c>
      <c r="P373" s="90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54"/>
        <v>0</v>
      </c>
      <c r="Z373" s="39" t="str">
        <f>IFERROR(IF(Y373=0,"",ROUNDUP(Y373/H373,0)*0.00651),"")</f>
        <v/>
      </c>
      <c r="AA373" s="65" t="s">
        <v>46</v>
      </c>
      <c r="AB373" s="66" t="s">
        <v>46</v>
      </c>
      <c r="AC373" s="467" t="s">
        <v>626</v>
      </c>
      <c r="AG373" s="75"/>
      <c r="AJ373" s="79" t="s">
        <v>46</v>
      </c>
      <c r="AK373" s="79">
        <v>0</v>
      </c>
      <c r="BB373" s="468" t="s">
        <v>66</v>
      </c>
      <c r="BM373" s="75">
        <f t="shared" si="55"/>
        <v>0</v>
      </c>
      <c r="BN373" s="75">
        <f t="shared" si="56"/>
        <v>0</v>
      </c>
      <c r="BO373" s="75">
        <f t="shared" si="57"/>
        <v>0</v>
      </c>
      <c r="BP373" s="75">
        <f t="shared" si="58"/>
        <v>0</v>
      </c>
    </row>
    <row r="374" spans="1:68" hidden="1" x14ac:dyDescent="0.2">
      <c r="A374" s="712"/>
      <c r="B374" s="712"/>
      <c r="C374" s="712"/>
      <c r="D374" s="712"/>
      <c r="E374" s="712"/>
      <c r="F374" s="712"/>
      <c r="G374" s="712"/>
      <c r="H374" s="712"/>
      <c r="I374" s="712"/>
      <c r="J374" s="712"/>
      <c r="K374" s="712"/>
      <c r="L374" s="712"/>
      <c r="M374" s="712"/>
      <c r="N374" s="712"/>
      <c r="O374" s="713"/>
      <c r="P374" s="709" t="s">
        <v>40</v>
      </c>
      <c r="Q374" s="710"/>
      <c r="R374" s="710"/>
      <c r="S374" s="710"/>
      <c r="T374" s="710"/>
      <c r="U374" s="710"/>
      <c r="V374" s="711"/>
      <c r="W374" s="40" t="s">
        <v>39</v>
      </c>
      <c r="X374" s="41">
        <f>IFERROR(X367/H367,"0")+IFERROR(X368/H368,"0")+IFERROR(X369/H369,"0")+IFERROR(X370/H370,"0")+IFERROR(X371/H371,"0")+IFERROR(X372/H372,"0")+IFERROR(X373/H373,"0")</f>
        <v>0</v>
      </c>
      <c r="Y374" s="41">
        <f>IFERROR(Y367/H367,"0")+IFERROR(Y368/H368,"0")+IFERROR(Y369/H369,"0")+IFERROR(Y370/H370,"0")+IFERROR(Y371/H371,"0")+IFERROR(Y372/H372,"0")+IFERROR(Y373/H373,"0")</f>
        <v>0</v>
      </c>
      <c r="Z374" s="41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4"/>
      <c r="AB374" s="64"/>
      <c r="AC374" s="64"/>
    </row>
    <row r="375" spans="1:68" hidden="1" x14ac:dyDescent="0.2">
      <c r="A375" s="712"/>
      <c r="B375" s="712"/>
      <c r="C375" s="712"/>
      <c r="D375" s="712"/>
      <c r="E375" s="712"/>
      <c r="F375" s="712"/>
      <c r="G375" s="712"/>
      <c r="H375" s="712"/>
      <c r="I375" s="712"/>
      <c r="J375" s="712"/>
      <c r="K375" s="712"/>
      <c r="L375" s="712"/>
      <c r="M375" s="712"/>
      <c r="N375" s="712"/>
      <c r="O375" s="713"/>
      <c r="P375" s="709" t="s">
        <v>40</v>
      </c>
      <c r="Q375" s="710"/>
      <c r="R375" s="710"/>
      <c r="S375" s="710"/>
      <c r="T375" s="710"/>
      <c r="U375" s="710"/>
      <c r="V375" s="711"/>
      <c r="W375" s="40" t="s">
        <v>0</v>
      </c>
      <c r="X375" s="41">
        <f>IFERROR(SUM(X367:X373),"0")</f>
        <v>0</v>
      </c>
      <c r="Y375" s="41">
        <f>IFERROR(SUM(Y367:Y373),"0")</f>
        <v>0</v>
      </c>
      <c r="Z375" s="40"/>
      <c r="AA375" s="64"/>
      <c r="AB375" s="64"/>
      <c r="AC375" s="64"/>
    </row>
    <row r="376" spans="1:68" ht="14.25" hidden="1" customHeight="1" x14ac:dyDescent="0.25">
      <c r="A376" s="703" t="s">
        <v>84</v>
      </c>
      <c r="B376" s="703"/>
      <c r="C376" s="703"/>
      <c r="D376" s="703"/>
      <c r="E376" s="703"/>
      <c r="F376" s="703"/>
      <c r="G376" s="703"/>
      <c r="H376" s="703"/>
      <c r="I376" s="703"/>
      <c r="J376" s="703"/>
      <c r="K376" s="703"/>
      <c r="L376" s="703"/>
      <c r="M376" s="703"/>
      <c r="N376" s="703"/>
      <c r="O376" s="703"/>
      <c r="P376" s="703"/>
      <c r="Q376" s="703"/>
      <c r="R376" s="703"/>
      <c r="S376" s="703"/>
      <c r="T376" s="703"/>
      <c r="U376" s="703"/>
      <c r="V376" s="703"/>
      <c r="W376" s="703"/>
      <c r="X376" s="703"/>
      <c r="Y376" s="703"/>
      <c r="Z376" s="703"/>
      <c r="AA376" s="63"/>
      <c r="AB376" s="63"/>
      <c r="AC376" s="63"/>
    </row>
    <row r="377" spans="1:68" ht="27" hidden="1" customHeight="1" x14ac:dyDescent="0.25">
      <c r="A377" s="60" t="s">
        <v>627</v>
      </c>
      <c r="B377" s="60" t="s">
        <v>628</v>
      </c>
      <c r="C377" s="34">
        <v>4301051100</v>
      </c>
      <c r="D377" s="704">
        <v>4607091387766</v>
      </c>
      <c r="E377" s="704"/>
      <c r="F377" s="59">
        <v>1.3</v>
      </c>
      <c r="G377" s="35">
        <v>6</v>
      </c>
      <c r="H377" s="59">
        <v>7.8</v>
      </c>
      <c r="I377" s="59">
        <v>8.2880000000000003</v>
      </c>
      <c r="J377" s="35">
        <v>64</v>
      </c>
      <c r="K377" s="35" t="s">
        <v>127</v>
      </c>
      <c r="L377" s="35" t="s">
        <v>46</v>
      </c>
      <c r="M377" s="36" t="s">
        <v>88</v>
      </c>
      <c r="N377" s="36"/>
      <c r="O377" s="35">
        <v>40</v>
      </c>
      <c r="P377" s="9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IFERROR(IF(Y377=0,"",ROUNDUP(Y377/H377,0)*0.01898),"")</f>
        <v/>
      </c>
      <c r="AA377" s="65" t="s">
        <v>46</v>
      </c>
      <c r="AB377" s="66" t="s">
        <v>46</v>
      </c>
      <c r="AC377" s="469" t="s">
        <v>629</v>
      </c>
      <c r="AG377" s="75"/>
      <c r="AJ377" s="79" t="s">
        <v>46</v>
      </c>
      <c r="AK377" s="79">
        <v>0</v>
      </c>
      <c r="BB377" s="470" t="s">
        <v>66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630</v>
      </c>
      <c r="B378" s="60" t="s">
        <v>631</v>
      </c>
      <c r="C378" s="34">
        <v>4301051818</v>
      </c>
      <c r="D378" s="704">
        <v>4607091387957</v>
      </c>
      <c r="E378" s="704"/>
      <c r="F378" s="59">
        <v>1.3</v>
      </c>
      <c r="G378" s="35">
        <v>6</v>
      </c>
      <c r="H378" s="59">
        <v>7.8</v>
      </c>
      <c r="I378" s="59">
        <v>8.2940000000000005</v>
      </c>
      <c r="J378" s="35">
        <v>64</v>
      </c>
      <c r="K378" s="35" t="s">
        <v>127</v>
      </c>
      <c r="L378" s="35" t="s">
        <v>46</v>
      </c>
      <c r="M378" s="36" t="s">
        <v>88</v>
      </c>
      <c r="N378" s="36"/>
      <c r="O378" s="35">
        <v>40</v>
      </c>
      <c r="P378" s="90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IFERROR(IF(Y378=0,"",ROUNDUP(Y378/H378,0)*0.01898),"")</f>
        <v/>
      </c>
      <c r="AA378" s="65" t="s">
        <v>46</v>
      </c>
      <c r="AB378" s="66" t="s">
        <v>46</v>
      </c>
      <c r="AC378" s="471" t="s">
        <v>632</v>
      </c>
      <c r="AG378" s="75"/>
      <c r="AJ378" s="79" t="s">
        <v>46</v>
      </c>
      <c r="AK378" s="79">
        <v>0</v>
      </c>
      <c r="BB378" s="472" t="s">
        <v>66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633</v>
      </c>
      <c r="B379" s="60" t="s">
        <v>634</v>
      </c>
      <c r="C379" s="34">
        <v>4301051819</v>
      </c>
      <c r="D379" s="704">
        <v>4607091387964</v>
      </c>
      <c r="E379" s="704"/>
      <c r="F379" s="59">
        <v>1.35</v>
      </c>
      <c r="G379" s="35">
        <v>6</v>
      </c>
      <c r="H379" s="59">
        <v>8.1</v>
      </c>
      <c r="I379" s="59">
        <v>8.5760000000000005</v>
      </c>
      <c r="J379" s="35">
        <v>64</v>
      </c>
      <c r="K379" s="35" t="s">
        <v>127</v>
      </c>
      <c r="L379" s="35" t="s">
        <v>46</v>
      </c>
      <c r="M379" s="36" t="s">
        <v>88</v>
      </c>
      <c r="N379" s="36"/>
      <c r="O379" s="35">
        <v>40</v>
      </c>
      <c r="P379" s="9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706"/>
      <c r="R379" s="706"/>
      <c r="S379" s="706"/>
      <c r="T379" s="70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3" t="s">
        <v>635</v>
      </c>
      <c r="AG379" s="75"/>
      <c r="AJ379" s="79" t="s">
        <v>46</v>
      </c>
      <c r="AK379" s="79">
        <v>0</v>
      </c>
      <c r="BB379" s="474" t="s">
        <v>66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4301051734</v>
      </c>
      <c r="D380" s="704">
        <v>4680115884588</v>
      </c>
      <c r="E380" s="704"/>
      <c r="F380" s="59">
        <v>0.5</v>
      </c>
      <c r="G380" s="35">
        <v>6</v>
      </c>
      <c r="H380" s="59">
        <v>3</v>
      </c>
      <c r="I380" s="59">
        <v>3.246</v>
      </c>
      <c r="J380" s="35">
        <v>182</v>
      </c>
      <c r="K380" s="35" t="s">
        <v>89</v>
      </c>
      <c r="L380" s="35" t="s">
        <v>46</v>
      </c>
      <c r="M380" s="36" t="s">
        <v>88</v>
      </c>
      <c r="N380" s="36"/>
      <c r="O380" s="35">
        <v>40</v>
      </c>
      <c r="P380" s="90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706"/>
      <c r="R380" s="706"/>
      <c r="S380" s="706"/>
      <c r="T380" s="70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75" t="s">
        <v>629</v>
      </c>
      <c r="AG380" s="75"/>
      <c r="AJ380" s="79" t="s">
        <v>46</v>
      </c>
      <c r="AK380" s="79">
        <v>0</v>
      </c>
      <c r="BB380" s="47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712"/>
      <c r="B381" s="712"/>
      <c r="C381" s="712"/>
      <c r="D381" s="712"/>
      <c r="E381" s="712"/>
      <c r="F381" s="712"/>
      <c r="G381" s="712"/>
      <c r="H381" s="712"/>
      <c r="I381" s="712"/>
      <c r="J381" s="712"/>
      <c r="K381" s="712"/>
      <c r="L381" s="712"/>
      <c r="M381" s="712"/>
      <c r="N381" s="712"/>
      <c r="O381" s="713"/>
      <c r="P381" s="709" t="s">
        <v>40</v>
      </c>
      <c r="Q381" s="710"/>
      <c r="R381" s="710"/>
      <c r="S381" s="710"/>
      <c r="T381" s="710"/>
      <c r="U381" s="710"/>
      <c r="V381" s="711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712"/>
      <c r="B382" s="712"/>
      <c r="C382" s="712"/>
      <c r="D382" s="712"/>
      <c r="E382" s="712"/>
      <c r="F382" s="712"/>
      <c r="G382" s="712"/>
      <c r="H382" s="712"/>
      <c r="I382" s="712"/>
      <c r="J382" s="712"/>
      <c r="K382" s="712"/>
      <c r="L382" s="712"/>
      <c r="M382" s="712"/>
      <c r="N382" s="712"/>
      <c r="O382" s="713"/>
      <c r="P382" s="709" t="s">
        <v>40</v>
      </c>
      <c r="Q382" s="710"/>
      <c r="R382" s="710"/>
      <c r="S382" s="710"/>
      <c r="T382" s="710"/>
      <c r="U382" s="710"/>
      <c r="V382" s="711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703" t="s">
        <v>172</v>
      </c>
      <c r="B383" s="703"/>
      <c r="C383" s="703"/>
      <c r="D383" s="703"/>
      <c r="E383" s="703"/>
      <c r="F383" s="703"/>
      <c r="G383" s="703"/>
      <c r="H383" s="703"/>
      <c r="I383" s="703"/>
      <c r="J383" s="703"/>
      <c r="K383" s="703"/>
      <c r="L383" s="703"/>
      <c r="M383" s="703"/>
      <c r="N383" s="703"/>
      <c r="O383" s="703"/>
      <c r="P383" s="703"/>
      <c r="Q383" s="703"/>
      <c r="R383" s="703"/>
      <c r="S383" s="703"/>
      <c r="T383" s="703"/>
      <c r="U383" s="703"/>
      <c r="V383" s="703"/>
      <c r="W383" s="703"/>
      <c r="X383" s="703"/>
      <c r="Y383" s="703"/>
      <c r="Z383" s="703"/>
      <c r="AA383" s="63"/>
      <c r="AB383" s="63"/>
      <c r="AC383" s="63"/>
    </row>
    <row r="384" spans="1:68" ht="27" hidden="1" customHeight="1" x14ac:dyDescent="0.25">
      <c r="A384" s="60" t="s">
        <v>638</v>
      </c>
      <c r="B384" s="60" t="s">
        <v>639</v>
      </c>
      <c r="C384" s="34">
        <v>4301060387</v>
      </c>
      <c r="D384" s="704">
        <v>4607091380880</v>
      </c>
      <c r="E384" s="704"/>
      <c r="F384" s="59">
        <v>1.4</v>
      </c>
      <c r="G384" s="35">
        <v>6</v>
      </c>
      <c r="H384" s="59">
        <v>8.4</v>
      </c>
      <c r="I384" s="59">
        <v>8.8940000000000001</v>
      </c>
      <c r="J384" s="35">
        <v>64</v>
      </c>
      <c r="K384" s="35" t="s">
        <v>127</v>
      </c>
      <c r="L384" s="35" t="s">
        <v>46</v>
      </c>
      <c r="M384" s="36" t="s">
        <v>88</v>
      </c>
      <c r="N384" s="36"/>
      <c r="O384" s="35">
        <v>30</v>
      </c>
      <c r="P384" s="91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640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641</v>
      </c>
      <c r="B385" s="60" t="s">
        <v>642</v>
      </c>
      <c r="C385" s="34">
        <v>4301060406</v>
      </c>
      <c r="D385" s="704">
        <v>4607091384482</v>
      </c>
      <c r="E385" s="704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127</v>
      </c>
      <c r="L385" s="35" t="s">
        <v>46</v>
      </c>
      <c r="M385" s="36" t="s">
        <v>88</v>
      </c>
      <c r="N385" s="36"/>
      <c r="O385" s="35">
        <v>30</v>
      </c>
      <c r="P385" s="91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79" t="s">
        <v>643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644</v>
      </c>
      <c r="B386" s="60" t="s">
        <v>645</v>
      </c>
      <c r="C386" s="34">
        <v>4301060484</v>
      </c>
      <c r="D386" s="704">
        <v>4607091380897</v>
      </c>
      <c r="E386" s="70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95</v>
      </c>
      <c r="N386" s="36"/>
      <c r="O386" s="35">
        <v>30</v>
      </c>
      <c r="P386" s="91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706"/>
      <c r="R386" s="706"/>
      <c r="S386" s="706"/>
      <c r="T386" s="70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1" t="s">
        <v>646</v>
      </c>
      <c r="AG386" s="75"/>
      <c r="AJ386" s="79" t="s">
        <v>46</v>
      </c>
      <c r="AK386" s="79">
        <v>0</v>
      </c>
      <c r="BB386" s="48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712"/>
      <c r="B388" s="712"/>
      <c r="C388" s="712"/>
      <c r="D388" s="712"/>
      <c r="E388" s="712"/>
      <c r="F388" s="712"/>
      <c r="G388" s="712"/>
      <c r="H388" s="712"/>
      <c r="I388" s="712"/>
      <c r="J388" s="712"/>
      <c r="K388" s="712"/>
      <c r="L388" s="712"/>
      <c r="M388" s="712"/>
      <c r="N388" s="712"/>
      <c r="O388" s="713"/>
      <c r="P388" s="709" t="s">
        <v>40</v>
      </c>
      <c r="Q388" s="710"/>
      <c r="R388" s="710"/>
      <c r="S388" s="710"/>
      <c r="T388" s="710"/>
      <c r="U388" s="710"/>
      <c r="V388" s="711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4.25" hidden="1" customHeight="1" x14ac:dyDescent="0.25">
      <c r="A389" s="703" t="s">
        <v>280</v>
      </c>
      <c r="B389" s="703"/>
      <c r="C389" s="703"/>
      <c r="D389" s="703"/>
      <c r="E389" s="703"/>
      <c r="F389" s="703"/>
      <c r="G389" s="703"/>
      <c r="H389" s="703"/>
      <c r="I389" s="703"/>
      <c r="J389" s="703"/>
      <c r="K389" s="703"/>
      <c r="L389" s="703"/>
      <c r="M389" s="703"/>
      <c r="N389" s="703"/>
      <c r="O389" s="703"/>
      <c r="P389" s="703"/>
      <c r="Q389" s="703"/>
      <c r="R389" s="703"/>
      <c r="S389" s="703"/>
      <c r="T389" s="703"/>
      <c r="U389" s="703"/>
      <c r="V389" s="703"/>
      <c r="W389" s="703"/>
      <c r="X389" s="703"/>
      <c r="Y389" s="703"/>
      <c r="Z389" s="703"/>
      <c r="AA389" s="63"/>
      <c r="AB389" s="63"/>
      <c r="AC389" s="63"/>
    </row>
    <row r="390" spans="1:68" ht="27" hidden="1" customHeight="1" x14ac:dyDescent="0.25">
      <c r="A390" s="60" t="s">
        <v>647</v>
      </c>
      <c r="B390" s="60" t="s">
        <v>648</v>
      </c>
      <c r="C390" s="34">
        <v>4301030235</v>
      </c>
      <c r="D390" s="704">
        <v>4607091388381</v>
      </c>
      <c r="E390" s="704"/>
      <c r="F390" s="59">
        <v>0.38</v>
      </c>
      <c r="G390" s="35">
        <v>8</v>
      </c>
      <c r="H390" s="59">
        <v>3.04</v>
      </c>
      <c r="I390" s="59">
        <v>3.31</v>
      </c>
      <c r="J390" s="35">
        <v>132</v>
      </c>
      <c r="K390" s="35" t="s">
        <v>134</v>
      </c>
      <c r="L390" s="35" t="s">
        <v>46</v>
      </c>
      <c r="M390" s="36" t="s">
        <v>248</v>
      </c>
      <c r="N390" s="36"/>
      <c r="O390" s="35">
        <v>180</v>
      </c>
      <c r="P390" s="91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IFERROR(IF(Y390=0,"",ROUNDUP(Y390/H390,0)*0.00902),"")</f>
        <v/>
      </c>
      <c r="AA390" s="65" t="s">
        <v>46</v>
      </c>
      <c r="AB390" s="66" t="s">
        <v>46</v>
      </c>
      <c r="AC390" s="483" t="s">
        <v>649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650</v>
      </c>
      <c r="B391" s="60" t="s">
        <v>651</v>
      </c>
      <c r="C391" s="34">
        <v>4301030232</v>
      </c>
      <c r="D391" s="704">
        <v>4607091388374</v>
      </c>
      <c r="E391" s="704"/>
      <c r="F391" s="59">
        <v>0.38</v>
      </c>
      <c r="G391" s="35">
        <v>8</v>
      </c>
      <c r="H391" s="59">
        <v>3.04</v>
      </c>
      <c r="I391" s="59">
        <v>3.27</v>
      </c>
      <c r="J391" s="35">
        <v>132</v>
      </c>
      <c r="K391" s="35" t="s">
        <v>134</v>
      </c>
      <c r="L391" s="35" t="s">
        <v>46</v>
      </c>
      <c r="M391" s="36" t="s">
        <v>248</v>
      </c>
      <c r="N391" s="36"/>
      <c r="O391" s="35">
        <v>180</v>
      </c>
      <c r="P391" s="9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IFERROR(IF(Y391=0,"",ROUNDUP(Y391/H391,0)*0.00902),"")</f>
        <v/>
      </c>
      <c r="AA391" s="65" t="s">
        <v>46</v>
      </c>
      <c r="AB391" s="66" t="s">
        <v>46</v>
      </c>
      <c r="AC391" s="485" t="s">
        <v>649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652</v>
      </c>
      <c r="B392" s="60" t="s">
        <v>653</v>
      </c>
      <c r="C392" s="34">
        <v>4301032015</v>
      </c>
      <c r="D392" s="704">
        <v>4607091383102</v>
      </c>
      <c r="E392" s="704"/>
      <c r="F392" s="59">
        <v>0.17</v>
      </c>
      <c r="G392" s="35">
        <v>15</v>
      </c>
      <c r="H392" s="59">
        <v>2.5499999999999998</v>
      </c>
      <c r="I392" s="59">
        <v>2.9550000000000001</v>
      </c>
      <c r="J392" s="35">
        <v>182</v>
      </c>
      <c r="K392" s="35" t="s">
        <v>89</v>
      </c>
      <c r="L392" s="35" t="s">
        <v>46</v>
      </c>
      <c r="M392" s="36" t="s">
        <v>248</v>
      </c>
      <c r="N392" s="36"/>
      <c r="O392" s="35">
        <v>180</v>
      </c>
      <c r="P392" s="9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706"/>
      <c r="R392" s="706"/>
      <c r="S392" s="706"/>
      <c r="T392" s="70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87" t="s">
        <v>649</v>
      </c>
      <c r="AG392" s="75"/>
      <c r="AJ392" s="79" t="s">
        <v>46</v>
      </c>
      <c r="AK392" s="79">
        <v>0</v>
      </c>
      <c r="BB392" s="488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654</v>
      </c>
      <c r="B393" s="60" t="s">
        <v>655</v>
      </c>
      <c r="C393" s="34">
        <v>4301030233</v>
      </c>
      <c r="D393" s="704">
        <v>4607091388404</v>
      </c>
      <c r="E393" s="704"/>
      <c r="F393" s="59">
        <v>0.17</v>
      </c>
      <c r="G393" s="35">
        <v>15</v>
      </c>
      <c r="H393" s="59">
        <v>2.5499999999999998</v>
      </c>
      <c r="I393" s="59">
        <v>2.88</v>
      </c>
      <c r="J393" s="35">
        <v>182</v>
      </c>
      <c r="K393" s="35" t="s">
        <v>89</v>
      </c>
      <c r="L393" s="35" t="s">
        <v>46</v>
      </c>
      <c r="M393" s="36" t="s">
        <v>248</v>
      </c>
      <c r="N393" s="36"/>
      <c r="O393" s="35">
        <v>180</v>
      </c>
      <c r="P393" s="9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706"/>
      <c r="R393" s="706"/>
      <c r="S393" s="706"/>
      <c r="T393" s="70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89" t="s">
        <v>649</v>
      </c>
      <c r="AG393" s="75"/>
      <c r="AJ393" s="79" t="s">
        <v>46</v>
      </c>
      <c r="AK393" s="79">
        <v>0</v>
      </c>
      <c r="BB393" s="490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712"/>
      <c r="B394" s="712"/>
      <c r="C394" s="712"/>
      <c r="D394" s="712"/>
      <c r="E394" s="712"/>
      <c r="F394" s="712"/>
      <c r="G394" s="712"/>
      <c r="H394" s="712"/>
      <c r="I394" s="712"/>
      <c r="J394" s="712"/>
      <c r="K394" s="712"/>
      <c r="L394" s="712"/>
      <c r="M394" s="712"/>
      <c r="N394" s="712"/>
      <c r="O394" s="713"/>
      <c r="P394" s="709" t="s">
        <v>40</v>
      </c>
      <c r="Q394" s="710"/>
      <c r="R394" s="710"/>
      <c r="S394" s="710"/>
      <c r="T394" s="710"/>
      <c r="U394" s="710"/>
      <c r="V394" s="711"/>
      <c r="W394" s="40" t="s">
        <v>39</v>
      </c>
      <c r="X394" s="41">
        <f>IFERROR(X390/H390,"0")+IFERROR(X391/H391,"0")+IFERROR(X392/H392,"0")+IFERROR(X393/H393,"0")</f>
        <v>0</v>
      </c>
      <c r="Y394" s="41">
        <f>IFERROR(Y390/H390,"0")+IFERROR(Y391/H391,"0")+IFERROR(Y392/H392,"0")+IFERROR(Y393/H393,"0")</f>
        <v>0</v>
      </c>
      <c r="Z394" s="41">
        <f>IFERROR(IF(Z390="",0,Z390),"0")+IFERROR(IF(Z391="",0,Z391),"0")+IFERROR(IF(Z392="",0,Z392),"0")+IFERROR(IF(Z393="",0,Z393),"0")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712"/>
      <c r="B395" s="712"/>
      <c r="C395" s="712"/>
      <c r="D395" s="712"/>
      <c r="E395" s="712"/>
      <c r="F395" s="712"/>
      <c r="G395" s="712"/>
      <c r="H395" s="712"/>
      <c r="I395" s="712"/>
      <c r="J395" s="712"/>
      <c r="K395" s="712"/>
      <c r="L395" s="712"/>
      <c r="M395" s="712"/>
      <c r="N395" s="712"/>
      <c r="O395" s="713"/>
      <c r="P395" s="709" t="s">
        <v>40</v>
      </c>
      <c r="Q395" s="710"/>
      <c r="R395" s="710"/>
      <c r="S395" s="710"/>
      <c r="T395" s="710"/>
      <c r="U395" s="710"/>
      <c r="V395" s="711"/>
      <c r="W395" s="40" t="s">
        <v>0</v>
      </c>
      <c r="X395" s="41">
        <f>IFERROR(SUM(X390:X393),"0")</f>
        <v>0</v>
      </c>
      <c r="Y395" s="41">
        <f>IFERROR(SUM(Y390:Y393),"0")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703" t="s">
        <v>656</v>
      </c>
      <c r="B396" s="703"/>
      <c r="C396" s="703"/>
      <c r="D396" s="703"/>
      <c r="E396" s="703"/>
      <c r="F396" s="703"/>
      <c r="G396" s="703"/>
      <c r="H396" s="703"/>
      <c r="I396" s="703"/>
      <c r="J396" s="703"/>
      <c r="K396" s="703"/>
      <c r="L396" s="703"/>
      <c r="M396" s="703"/>
      <c r="N396" s="703"/>
      <c r="O396" s="703"/>
      <c r="P396" s="703"/>
      <c r="Q396" s="703"/>
      <c r="R396" s="703"/>
      <c r="S396" s="703"/>
      <c r="T396" s="703"/>
      <c r="U396" s="703"/>
      <c r="V396" s="703"/>
      <c r="W396" s="703"/>
      <c r="X396" s="703"/>
      <c r="Y396" s="703"/>
      <c r="Z396" s="703"/>
      <c r="AA396" s="63"/>
      <c r="AB396" s="63"/>
      <c r="AC396" s="63"/>
    </row>
    <row r="397" spans="1:68" ht="16.5" hidden="1" customHeight="1" x14ac:dyDescent="0.25">
      <c r="A397" s="60" t="s">
        <v>657</v>
      </c>
      <c r="B397" s="60" t="s">
        <v>658</v>
      </c>
      <c r="C397" s="34">
        <v>4301180007</v>
      </c>
      <c r="D397" s="704">
        <v>4680115881808</v>
      </c>
      <c r="E397" s="704"/>
      <c r="F397" s="59">
        <v>0.1</v>
      </c>
      <c r="G397" s="35">
        <v>20</v>
      </c>
      <c r="H397" s="59">
        <v>2</v>
      </c>
      <c r="I397" s="59">
        <v>2.2400000000000002</v>
      </c>
      <c r="J397" s="35">
        <v>238</v>
      </c>
      <c r="K397" s="35" t="s">
        <v>89</v>
      </c>
      <c r="L397" s="35" t="s">
        <v>46</v>
      </c>
      <c r="M397" s="36" t="s">
        <v>660</v>
      </c>
      <c r="N397" s="36"/>
      <c r="O397" s="35">
        <v>731</v>
      </c>
      <c r="P397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IFERROR(IF(Y397=0,"",ROUNDUP(Y397/H397,0)*0.00474),"")</f>
        <v/>
      </c>
      <c r="AA397" s="65" t="s">
        <v>46</v>
      </c>
      <c r="AB397" s="66" t="s">
        <v>46</v>
      </c>
      <c r="AC397" s="491" t="s">
        <v>659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661</v>
      </c>
      <c r="B398" s="60" t="s">
        <v>662</v>
      </c>
      <c r="C398" s="34">
        <v>4301180006</v>
      </c>
      <c r="D398" s="704">
        <v>4680115881822</v>
      </c>
      <c r="E398" s="704"/>
      <c r="F398" s="59">
        <v>0.1</v>
      </c>
      <c r="G398" s="35">
        <v>20</v>
      </c>
      <c r="H398" s="59">
        <v>2</v>
      </c>
      <c r="I398" s="59">
        <v>2.2400000000000002</v>
      </c>
      <c r="J398" s="35">
        <v>238</v>
      </c>
      <c r="K398" s="35" t="s">
        <v>89</v>
      </c>
      <c r="L398" s="35" t="s">
        <v>46</v>
      </c>
      <c r="M398" s="36" t="s">
        <v>660</v>
      </c>
      <c r="N398" s="36"/>
      <c r="O398" s="35">
        <v>731</v>
      </c>
      <c r="P398" s="9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IFERROR(IF(Y398=0,"",ROUNDUP(Y398/H398,0)*0.00474),"")</f>
        <v/>
      </c>
      <c r="AA398" s="65" t="s">
        <v>46</v>
      </c>
      <c r="AB398" s="66" t="s">
        <v>46</v>
      </c>
      <c r="AC398" s="493" t="s">
        <v>659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663</v>
      </c>
      <c r="B399" s="60" t="s">
        <v>664</v>
      </c>
      <c r="C399" s="34">
        <v>4301180001</v>
      </c>
      <c r="D399" s="704">
        <v>4680115880016</v>
      </c>
      <c r="E399" s="70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89</v>
      </c>
      <c r="L399" s="35" t="s">
        <v>46</v>
      </c>
      <c r="M399" s="36" t="s">
        <v>660</v>
      </c>
      <c r="N399" s="36"/>
      <c r="O399" s="35">
        <v>731</v>
      </c>
      <c r="P399" s="9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706"/>
      <c r="R399" s="706"/>
      <c r="S399" s="706"/>
      <c r="T399" s="70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495" t="s">
        <v>659</v>
      </c>
      <c r="AG399" s="75"/>
      <c r="AJ399" s="79" t="s">
        <v>46</v>
      </c>
      <c r="AK399" s="79">
        <v>0</v>
      </c>
      <c r="BB399" s="496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idden="1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39</v>
      </c>
      <c r="X400" s="41">
        <f>IFERROR(X397/H397,"0")+IFERROR(X398/H398,"0")+IFERROR(X399/H399,"0")</f>
        <v>0</v>
      </c>
      <c r="Y400" s="41">
        <f>IFERROR(Y397/H397,"0")+IFERROR(Y398/H398,"0")+IFERROR(Y399/H399,"0")</f>
        <v>0</v>
      </c>
      <c r="Z400" s="41">
        <f>IFERROR(IF(Z397="",0,Z397),"0")+IFERROR(IF(Z398="",0,Z398),"0")+IFERROR(IF(Z399="",0,Z399),"0")</f>
        <v>0</v>
      </c>
      <c r="AA400" s="64"/>
      <c r="AB400" s="64"/>
      <c r="AC400" s="64"/>
    </row>
    <row r="401" spans="1:68" hidden="1" x14ac:dyDescent="0.2">
      <c r="A401" s="712"/>
      <c r="B401" s="712"/>
      <c r="C401" s="712"/>
      <c r="D401" s="712"/>
      <c r="E401" s="712"/>
      <c r="F401" s="712"/>
      <c r="G401" s="712"/>
      <c r="H401" s="712"/>
      <c r="I401" s="712"/>
      <c r="J401" s="712"/>
      <c r="K401" s="712"/>
      <c r="L401" s="712"/>
      <c r="M401" s="712"/>
      <c r="N401" s="712"/>
      <c r="O401" s="713"/>
      <c r="P401" s="709" t="s">
        <v>40</v>
      </c>
      <c r="Q401" s="710"/>
      <c r="R401" s="710"/>
      <c r="S401" s="710"/>
      <c r="T401" s="710"/>
      <c r="U401" s="710"/>
      <c r="V401" s="711"/>
      <c r="W401" s="40" t="s">
        <v>0</v>
      </c>
      <c r="X401" s="41">
        <f>IFERROR(SUM(X397:X399),"0")</f>
        <v>0</v>
      </c>
      <c r="Y401" s="41">
        <f>IFERROR(SUM(Y397:Y399),"0")</f>
        <v>0</v>
      </c>
      <c r="Z401" s="40"/>
      <c r="AA401" s="64"/>
      <c r="AB401" s="64"/>
      <c r="AC401" s="64"/>
    </row>
    <row r="402" spans="1:68" ht="14.25" hidden="1" customHeight="1" x14ac:dyDescent="0.25">
      <c r="A402" s="703" t="s">
        <v>665</v>
      </c>
      <c r="B402" s="703"/>
      <c r="C402" s="703"/>
      <c r="D402" s="703"/>
      <c r="E402" s="703"/>
      <c r="F402" s="703"/>
      <c r="G402" s="703"/>
      <c r="H402" s="703"/>
      <c r="I402" s="703"/>
      <c r="J402" s="703"/>
      <c r="K402" s="703"/>
      <c r="L402" s="703"/>
      <c r="M402" s="703"/>
      <c r="N402" s="703"/>
      <c r="O402" s="703"/>
      <c r="P402" s="703"/>
      <c r="Q402" s="703"/>
      <c r="R402" s="703"/>
      <c r="S402" s="703"/>
      <c r="T402" s="703"/>
      <c r="U402" s="703"/>
      <c r="V402" s="703"/>
      <c r="W402" s="703"/>
      <c r="X402" s="703"/>
      <c r="Y402" s="703"/>
      <c r="Z402" s="703"/>
      <c r="AA402" s="63"/>
      <c r="AB402" s="63"/>
      <c r="AC402" s="63"/>
    </row>
    <row r="403" spans="1:68" ht="27" hidden="1" customHeight="1" x14ac:dyDescent="0.25">
      <c r="A403" s="60" t="s">
        <v>666</v>
      </c>
      <c r="B403" s="60" t="s">
        <v>667</v>
      </c>
      <c r="C403" s="34">
        <v>4301220003</v>
      </c>
      <c r="D403" s="704">
        <v>4680115888678</v>
      </c>
      <c r="E403" s="704"/>
      <c r="F403" s="59">
        <v>0.25</v>
      </c>
      <c r="G403" s="35">
        <v>12</v>
      </c>
      <c r="H403" s="59">
        <v>3</v>
      </c>
      <c r="I403" s="59">
        <v>3.22</v>
      </c>
      <c r="J403" s="35">
        <v>224</v>
      </c>
      <c r="K403" s="35" t="s">
        <v>89</v>
      </c>
      <c r="L403" s="35" t="s">
        <v>46</v>
      </c>
      <c r="M403" s="36" t="s">
        <v>660</v>
      </c>
      <c r="N403" s="36"/>
      <c r="O403" s="35">
        <v>1096</v>
      </c>
      <c r="P403" s="92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IFERROR(IF(Y403=0,"",ROUNDUP(Y403/H403,0)*0.0045),"")</f>
        <v/>
      </c>
      <c r="AA403" s="65" t="s">
        <v>46</v>
      </c>
      <c r="AB403" s="66" t="s">
        <v>46</v>
      </c>
      <c r="AC403" s="497" t="s">
        <v>668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4301220001</v>
      </c>
      <c r="D404" s="704">
        <v>4680115888654</v>
      </c>
      <c r="E404" s="704"/>
      <c r="F404" s="59">
        <v>0.32500000000000001</v>
      </c>
      <c r="G404" s="35">
        <v>12</v>
      </c>
      <c r="H404" s="59">
        <v>3.9</v>
      </c>
      <c r="I404" s="59">
        <v>4.17</v>
      </c>
      <c r="J404" s="35">
        <v>144</v>
      </c>
      <c r="K404" s="35" t="s">
        <v>134</v>
      </c>
      <c r="L404" s="35" t="s">
        <v>46</v>
      </c>
      <c r="M404" s="36" t="s">
        <v>660</v>
      </c>
      <c r="N404" s="36"/>
      <c r="O404" s="35">
        <v>1096</v>
      </c>
      <c r="P404" s="92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IFERROR(IF(Y404=0,"",ROUNDUP(Y404/H404,0)*0.006),"")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4301220002</v>
      </c>
      <c r="D405" s="704">
        <v>4680115888753</v>
      </c>
      <c r="E405" s="70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89</v>
      </c>
      <c r="L405" s="35" t="s">
        <v>46</v>
      </c>
      <c r="M405" s="36" t="s">
        <v>660</v>
      </c>
      <c r="N405" s="36"/>
      <c r="O405" s="35">
        <v>1096</v>
      </c>
      <c r="P405" s="92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706"/>
      <c r="R405" s="706"/>
      <c r="S405" s="706"/>
      <c r="T405" s="70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1" t="s">
        <v>668</v>
      </c>
      <c r="AG405" s="75"/>
      <c r="AJ405" s="79" t="s">
        <v>46</v>
      </c>
      <c r="AK405" s="79">
        <v>0</v>
      </c>
      <c r="BB405" s="502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39</v>
      </c>
      <c r="X406" s="41">
        <f>IFERROR(X403/H403,"0")+IFERROR(X404/H404,"0")+IFERROR(X405/H405,"0")</f>
        <v>0</v>
      </c>
      <c r="Y406" s="41">
        <f>IFERROR(Y403/H403,"0")+IFERROR(Y404/H404,"0")+IFERROR(Y405/H405,"0")</f>
        <v>0</v>
      </c>
      <c r="Z406" s="41">
        <f>IFERROR(IF(Z403="",0,Z403),"0")+IFERROR(IF(Z404="",0,Z404),"0")+IFERROR(IF(Z405="",0,Z405),"0")</f>
        <v>0</v>
      </c>
      <c r="AA406" s="64"/>
      <c r="AB406" s="64"/>
      <c r="AC406" s="64"/>
    </row>
    <row r="407" spans="1:68" hidden="1" x14ac:dyDescent="0.2">
      <c r="A407" s="712"/>
      <c r="B407" s="712"/>
      <c r="C407" s="712"/>
      <c r="D407" s="712"/>
      <c r="E407" s="712"/>
      <c r="F407" s="712"/>
      <c r="G407" s="712"/>
      <c r="H407" s="712"/>
      <c r="I407" s="712"/>
      <c r="J407" s="712"/>
      <c r="K407" s="712"/>
      <c r="L407" s="712"/>
      <c r="M407" s="712"/>
      <c r="N407" s="712"/>
      <c r="O407" s="713"/>
      <c r="P407" s="709" t="s">
        <v>40</v>
      </c>
      <c r="Q407" s="710"/>
      <c r="R407" s="710"/>
      <c r="S407" s="710"/>
      <c r="T407" s="710"/>
      <c r="U407" s="710"/>
      <c r="V407" s="711"/>
      <c r="W407" s="40" t="s">
        <v>0</v>
      </c>
      <c r="X407" s="41">
        <f>IFERROR(SUM(X403:X405),"0")</f>
        <v>0</v>
      </c>
      <c r="Y407" s="41">
        <f>IFERROR(SUM(Y403:Y405),"0")</f>
        <v>0</v>
      </c>
      <c r="Z407" s="40"/>
      <c r="AA407" s="64"/>
      <c r="AB407" s="64"/>
      <c r="AC407" s="64"/>
    </row>
    <row r="408" spans="1:68" ht="16.5" hidden="1" customHeight="1" x14ac:dyDescent="0.25">
      <c r="A408" s="702" t="s">
        <v>674</v>
      </c>
      <c r="B408" s="702"/>
      <c r="C408" s="702"/>
      <c r="D408" s="702"/>
      <c r="E408" s="702"/>
      <c r="F408" s="702"/>
      <c r="G408" s="702"/>
      <c r="H408" s="702"/>
      <c r="I408" s="702"/>
      <c r="J408" s="702"/>
      <c r="K408" s="702"/>
      <c r="L408" s="702"/>
      <c r="M408" s="702"/>
      <c r="N408" s="702"/>
      <c r="O408" s="702"/>
      <c r="P408" s="702"/>
      <c r="Q408" s="702"/>
      <c r="R408" s="702"/>
      <c r="S408" s="702"/>
      <c r="T408" s="702"/>
      <c r="U408" s="702"/>
      <c r="V408" s="702"/>
      <c r="W408" s="702"/>
      <c r="X408" s="702"/>
      <c r="Y408" s="702"/>
      <c r="Z408" s="702"/>
      <c r="AA408" s="62"/>
      <c r="AB408" s="62"/>
      <c r="AC408" s="62"/>
    </row>
    <row r="409" spans="1:68" ht="14.25" hidden="1" customHeight="1" x14ac:dyDescent="0.25">
      <c r="A409" s="703" t="s">
        <v>84</v>
      </c>
      <c r="B409" s="703"/>
      <c r="C409" s="703"/>
      <c r="D409" s="703"/>
      <c r="E409" s="703"/>
      <c r="F409" s="703"/>
      <c r="G409" s="703"/>
      <c r="H409" s="703"/>
      <c r="I409" s="703"/>
      <c r="J409" s="703"/>
      <c r="K409" s="703"/>
      <c r="L409" s="703"/>
      <c r="M409" s="703"/>
      <c r="N409" s="703"/>
      <c r="O409" s="703"/>
      <c r="P409" s="703"/>
      <c r="Q409" s="703"/>
      <c r="R409" s="703"/>
      <c r="S409" s="703"/>
      <c r="T409" s="703"/>
      <c r="U409" s="703"/>
      <c r="V409" s="703"/>
      <c r="W409" s="703"/>
      <c r="X409" s="703"/>
      <c r="Y409" s="703"/>
      <c r="Z409" s="703"/>
      <c r="AA409" s="63"/>
      <c r="AB409" s="63"/>
      <c r="AC409" s="63"/>
    </row>
    <row r="410" spans="1:68" ht="16.5" hidden="1" customHeight="1" x14ac:dyDescent="0.25">
      <c r="A410" s="60" t="s">
        <v>675</v>
      </c>
      <c r="B410" s="60" t="s">
        <v>676</v>
      </c>
      <c r="C410" s="34">
        <v>4301052235</v>
      </c>
      <c r="D410" s="704">
        <v>4680115889415</v>
      </c>
      <c r="E410" s="704"/>
      <c r="F410" s="59">
        <v>1.3</v>
      </c>
      <c r="G410" s="35">
        <v>6</v>
      </c>
      <c r="H410" s="59">
        <v>7.8</v>
      </c>
      <c r="I410" s="59">
        <v>8.2100000000000009</v>
      </c>
      <c r="J410" s="35">
        <v>64</v>
      </c>
      <c r="K410" s="35" t="s">
        <v>127</v>
      </c>
      <c r="L410" s="35" t="s">
        <v>46</v>
      </c>
      <c r="M410" s="36" t="s">
        <v>88</v>
      </c>
      <c r="N410" s="36"/>
      <c r="O410" s="35">
        <v>40</v>
      </c>
      <c r="P410" s="92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IFERROR(IF(Y410=0,"",ROUNDUP(Y410/H410,0)*0.01898),"")</f>
        <v/>
      </c>
      <c r="AA410" s="65" t="s">
        <v>46</v>
      </c>
      <c r="AB410" s="66" t="s">
        <v>46</v>
      </c>
      <c r="AC410" s="503" t="s">
        <v>677</v>
      </c>
      <c r="AG410" s="75"/>
      <c r="AJ410" s="79" t="s">
        <v>46</v>
      </c>
      <c r="AK410" s="79">
        <v>0</v>
      </c>
      <c r="BB410" s="504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16.5" hidden="1" customHeight="1" x14ac:dyDescent="0.25">
      <c r="A411" s="60" t="s">
        <v>678</v>
      </c>
      <c r="B411" s="60" t="s">
        <v>679</v>
      </c>
      <c r="C411" s="34">
        <v>4301052236</v>
      </c>
      <c r="D411" s="704">
        <v>4680115889422</v>
      </c>
      <c r="E411" s="704"/>
      <c r="F411" s="59">
        <v>1.3</v>
      </c>
      <c r="G411" s="35">
        <v>6</v>
      </c>
      <c r="H411" s="59">
        <v>7.8</v>
      </c>
      <c r="I411" s="59">
        <v>8.2100000000000009</v>
      </c>
      <c r="J411" s="35">
        <v>64</v>
      </c>
      <c r="K411" s="35" t="s">
        <v>127</v>
      </c>
      <c r="L411" s="35" t="s">
        <v>46</v>
      </c>
      <c r="M411" s="36" t="s">
        <v>88</v>
      </c>
      <c r="N411" s="36"/>
      <c r="O411" s="35">
        <v>40</v>
      </c>
      <c r="P411" s="92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706"/>
      <c r="R411" s="706"/>
      <c r="S411" s="706"/>
      <c r="T411" s="707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IFERROR(IF(Y411=0,"",ROUNDUP(Y411/H411,0)*0.01898),"")</f>
        <v/>
      </c>
      <c r="AA411" s="65" t="s">
        <v>46</v>
      </c>
      <c r="AB411" s="66" t="s">
        <v>46</v>
      </c>
      <c r="AC411" s="505" t="s">
        <v>680</v>
      </c>
      <c r="AG411" s="75"/>
      <c r="AJ411" s="79" t="s">
        <v>46</v>
      </c>
      <c r="AK411" s="79">
        <v>0</v>
      </c>
      <c r="BB411" s="506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idden="1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39</v>
      </c>
      <c r="X412" s="41">
        <f>IFERROR(X410/H410,"0")+IFERROR(X411/H411,"0")</f>
        <v>0</v>
      </c>
      <c r="Y412" s="41">
        <f>IFERROR(Y410/H410,"0")+IFERROR(Y411/H411,"0")</f>
        <v>0</v>
      </c>
      <c r="Z412" s="41">
        <f>IFERROR(IF(Z410="",0,Z410),"0")+IFERROR(IF(Z411="",0,Z411),"0")</f>
        <v>0</v>
      </c>
      <c r="AA412" s="64"/>
      <c r="AB412" s="64"/>
      <c r="AC412" s="64"/>
    </row>
    <row r="413" spans="1:68" hidden="1" x14ac:dyDescent="0.2">
      <c r="A413" s="712"/>
      <c r="B413" s="712"/>
      <c r="C413" s="712"/>
      <c r="D413" s="712"/>
      <c r="E413" s="712"/>
      <c r="F413" s="712"/>
      <c r="G413" s="712"/>
      <c r="H413" s="712"/>
      <c r="I413" s="712"/>
      <c r="J413" s="712"/>
      <c r="K413" s="712"/>
      <c r="L413" s="712"/>
      <c r="M413" s="712"/>
      <c r="N413" s="712"/>
      <c r="O413" s="713"/>
      <c r="P413" s="709" t="s">
        <v>40</v>
      </c>
      <c r="Q413" s="710"/>
      <c r="R413" s="710"/>
      <c r="S413" s="710"/>
      <c r="T413" s="710"/>
      <c r="U413" s="710"/>
      <c r="V413" s="711"/>
      <c r="W413" s="40" t="s">
        <v>0</v>
      </c>
      <c r="X413" s="41">
        <f>IFERROR(SUM(X410:X411),"0")</f>
        <v>0</v>
      </c>
      <c r="Y413" s="41">
        <f>IFERROR(SUM(Y410:Y411),"0")</f>
        <v>0</v>
      </c>
      <c r="Z413" s="40"/>
      <c r="AA413" s="64"/>
      <c r="AB413" s="64"/>
      <c r="AC413" s="64"/>
    </row>
    <row r="414" spans="1:68" ht="16.5" hidden="1" customHeight="1" x14ac:dyDescent="0.25">
      <c r="A414" s="702" t="s">
        <v>681</v>
      </c>
      <c r="B414" s="702"/>
      <c r="C414" s="702"/>
      <c r="D414" s="702"/>
      <c r="E414" s="702"/>
      <c r="F414" s="702"/>
      <c r="G414" s="702"/>
      <c r="H414" s="702"/>
      <c r="I414" s="702"/>
      <c r="J414" s="702"/>
      <c r="K414" s="702"/>
      <c r="L414" s="702"/>
      <c r="M414" s="702"/>
      <c r="N414" s="702"/>
      <c r="O414" s="702"/>
      <c r="P414" s="702"/>
      <c r="Q414" s="702"/>
      <c r="R414" s="702"/>
      <c r="S414" s="702"/>
      <c r="T414" s="702"/>
      <c r="U414" s="702"/>
      <c r="V414" s="702"/>
      <c r="W414" s="702"/>
      <c r="X414" s="702"/>
      <c r="Y414" s="702"/>
      <c r="Z414" s="702"/>
      <c r="AA414" s="62"/>
      <c r="AB414" s="62"/>
      <c r="AC414" s="62"/>
    </row>
    <row r="415" spans="1:68" ht="14.25" hidden="1" customHeight="1" x14ac:dyDescent="0.25">
      <c r="A415" s="703" t="s">
        <v>84</v>
      </c>
      <c r="B415" s="703"/>
      <c r="C415" s="703"/>
      <c r="D415" s="703"/>
      <c r="E415" s="703"/>
      <c r="F415" s="703"/>
      <c r="G415" s="703"/>
      <c r="H415" s="703"/>
      <c r="I415" s="703"/>
      <c r="J415" s="703"/>
      <c r="K415" s="703"/>
      <c r="L415" s="703"/>
      <c r="M415" s="703"/>
      <c r="N415" s="703"/>
      <c r="O415" s="703"/>
      <c r="P415" s="703"/>
      <c r="Q415" s="703"/>
      <c r="R415" s="703"/>
      <c r="S415" s="703"/>
      <c r="T415" s="703"/>
      <c r="U415" s="703"/>
      <c r="V415" s="703"/>
      <c r="W415" s="703"/>
      <c r="X415" s="703"/>
      <c r="Y415" s="703"/>
      <c r="Z415" s="703"/>
      <c r="AA415" s="63"/>
      <c r="AB415" s="63"/>
      <c r="AC415" s="63"/>
    </row>
    <row r="416" spans="1:68" ht="27" hidden="1" customHeight="1" x14ac:dyDescent="0.25">
      <c r="A416" s="60" t="s">
        <v>682</v>
      </c>
      <c r="B416" s="60" t="s">
        <v>683</v>
      </c>
      <c r="C416" s="34">
        <v>4301051489</v>
      </c>
      <c r="D416" s="704">
        <v>4607091387919</v>
      </c>
      <c r="E416" s="704"/>
      <c r="F416" s="59">
        <v>1.35</v>
      </c>
      <c r="G416" s="35">
        <v>6</v>
      </c>
      <c r="H416" s="59">
        <v>8.1</v>
      </c>
      <c r="I416" s="59">
        <v>8.5939999999999994</v>
      </c>
      <c r="J416" s="35">
        <v>64</v>
      </c>
      <c r="K416" s="35" t="s">
        <v>127</v>
      </c>
      <c r="L416" s="35" t="s">
        <v>46</v>
      </c>
      <c r="M416" s="36" t="s">
        <v>95</v>
      </c>
      <c r="N416" s="36"/>
      <c r="O416" s="35">
        <v>45</v>
      </c>
      <c r="P416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07" t="s">
        <v>684</v>
      </c>
      <c r="AG416" s="75"/>
      <c r="AJ416" s="79" t="s">
        <v>46</v>
      </c>
      <c r="AK416" s="79">
        <v>0</v>
      </c>
      <c r="BB416" s="508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685</v>
      </c>
      <c r="B417" s="60" t="s">
        <v>686</v>
      </c>
      <c r="C417" s="34">
        <v>4301051461</v>
      </c>
      <c r="D417" s="704">
        <v>4680115883604</v>
      </c>
      <c r="E417" s="704"/>
      <c r="F417" s="59">
        <v>0.35</v>
      </c>
      <c r="G417" s="35">
        <v>6</v>
      </c>
      <c r="H417" s="59">
        <v>2.1</v>
      </c>
      <c r="I417" s="59">
        <v>2.3519999999999999</v>
      </c>
      <c r="J417" s="35">
        <v>182</v>
      </c>
      <c r="K417" s="35" t="s">
        <v>89</v>
      </c>
      <c r="L417" s="35" t="s">
        <v>46</v>
      </c>
      <c r="M417" s="36" t="s">
        <v>88</v>
      </c>
      <c r="N417" s="36"/>
      <c r="O417" s="35">
        <v>45</v>
      </c>
      <c r="P417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09" t="s">
        <v>687</v>
      </c>
      <c r="AG417" s="75"/>
      <c r="AJ417" s="79" t="s">
        <v>46</v>
      </c>
      <c r="AK417" s="79">
        <v>0</v>
      </c>
      <c r="BB417" s="510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688</v>
      </c>
      <c r="B418" s="60" t="s">
        <v>689</v>
      </c>
      <c r="C418" s="34">
        <v>4301051864</v>
      </c>
      <c r="D418" s="704">
        <v>4680115883567</v>
      </c>
      <c r="E418" s="704"/>
      <c r="F418" s="59">
        <v>0.35</v>
      </c>
      <c r="G418" s="35">
        <v>6</v>
      </c>
      <c r="H418" s="59">
        <v>2.1</v>
      </c>
      <c r="I418" s="59">
        <v>2.34</v>
      </c>
      <c r="J418" s="35">
        <v>182</v>
      </c>
      <c r="K418" s="35" t="s">
        <v>89</v>
      </c>
      <c r="L418" s="35" t="s">
        <v>46</v>
      </c>
      <c r="M418" s="36" t="s">
        <v>95</v>
      </c>
      <c r="N418" s="36"/>
      <c r="O418" s="35">
        <v>40</v>
      </c>
      <c r="P418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706"/>
      <c r="R418" s="706"/>
      <c r="S418" s="706"/>
      <c r="T418" s="70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46</v>
      </c>
      <c r="AB418" s="66" t="s">
        <v>46</v>
      </c>
      <c r="AC418" s="511" t="s">
        <v>690</v>
      </c>
      <c r="AG418" s="75"/>
      <c r="AJ418" s="79" t="s">
        <v>46</v>
      </c>
      <c r="AK418" s="79">
        <v>0</v>
      </c>
      <c r="BB418" s="512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39</v>
      </c>
      <c r="X419" s="41">
        <f>IFERROR(X416/H416,"0")+IFERROR(X417/H417,"0")+IFERROR(X418/H418,"0")</f>
        <v>0</v>
      </c>
      <c r="Y419" s="41">
        <f>IFERROR(Y416/H416,"0")+IFERROR(Y417/H417,"0")+IFERROR(Y418/H418,"0")</f>
        <v>0</v>
      </c>
      <c r="Z419" s="41">
        <f>IFERROR(IF(Z416="",0,Z416),"0")+IFERROR(IF(Z417="",0,Z417),"0")+IFERROR(IF(Z418="",0,Z418),"0")</f>
        <v>0</v>
      </c>
      <c r="AA419" s="64"/>
      <c r="AB419" s="64"/>
      <c r="AC419" s="64"/>
    </row>
    <row r="420" spans="1:68" hidden="1" x14ac:dyDescent="0.2">
      <c r="A420" s="712"/>
      <c r="B420" s="712"/>
      <c r="C420" s="712"/>
      <c r="D420" s="712"/>
      <c r="E420" s="712"/>
      <c r="F420" s="712"/>
      <c r="G420" s="712"/>
      <c r="H420" s="712"/>
      <c r="I420" s="712"/>
      <c r="J420" s="712"/>
      <c r="K420" s="712"/>
      <c r="L420" s="712"/>
      <c r="M420" s="712"/>
      <c r="N420" s="712"/>
      <c r="O420" s="713"/>
      <c r="P420" s="709" t="s">
        <v>40</v>
      </c>
      <c r="Q420" s="710"/>
      <c r="R420" s="710"/>
      <c r="S420" s="710"/>
      <c r="T420" s="710"/>
      <c r="U420" s="710"/>
      <c r="V420" s="711"/>
      <c r="W420" s="40" t="s">
        <v>0</v>
      </c>
      <c r="X420" s="41">
        <f>IFERROR(SUM(X416:X418),"0")</f>
        <v>0</v>
      </c>
      <c r="Y420" s="41">
        <f>IFERROR(SUM(Y416:Y418),"0")</f>
        <v>0</v>
      </c>
      <c r="Z420" s="40"/>
      <c r="AA420" s="64"/>
      <c r="AB420" s="64"/>
      <c r="AC420" s="64"/>
    </row>
    <row r="421" spans="1:68" ht="27.75" hidden="1" customHeight="1" x14ac:dyDescent="0.2">
      <c r="A421" s="701" t="s">
        <v>691</v>
      </c>
      <c r="B421" s="701"/>
      <c r="C421" s="701"/>
      <c r="D421" s="701"/>
      <c r="E421" s="701"/>
      <c r="F421" s="701"/>
      <c r="G421" s="701"/>
      <c r="H421" s="701"/>
      <c r="I421" s="701"/>
      <c r="J421" s="701"/>
      <c r="K421" s="701"/>
      <c r="L421" s="701"/>
      <c r="M421" s="701"/>
      <c r="N421" s="701"/>
      <c r="O421" s="701"/>
      <c r="P421" s="701"/>
      <c r="Q421" s="701"/>
      <c r="R421" s="701"/>
      <c r="S421" s="701"/>
      <c r="T421" s="701"/>
      <c r="U421" s="701"/>
      <c r="V421" s="701"/>
      <c r="W421" s="701"/>
      <c r="X421" s="701"/>
      <c r="Y421" s="701"/>
      <c r="Z421" s="701"/>
      <c r="AA421" s="52"/>
      <c r="AB421" s="52"/>
      <c r="AC421" s="52"/>
    </row>
    <row r="422" spans="1:68" ht="16.5" hidden="1" customHeight="1" x14ac:dyDescent="0.25">
      <c r="A422" s="702" t="s">
        <v>692</v>
      </c>
      <c r="B422" s="702"/>
      <c r="C422" s="702"/>
      <c r="D422" s="702"/>
      <c r="E422" s="702"/>
      <c r="F422" s="702"/>
      <c r="G422" s="702"/>
      <c r="H422" s="702"/>
      <c r="I422" s="702"/>
      <c r="J422" s="702"/>
      <c r="K422" s="702"/>
      <c r="L422" s="702"/>
      <c r="M422" s="702"/>
      <c r="N422" s="702"/>
      <c r="O422" s="702"/>
      <c r="P422" s="702"/>
      <c r="Q422" s="702"/>
      <c r="R422" s="702"/>
      <c r="S422" s="702"/>
      <c r="T422" s="702"/>
      <c r="U422" s="702"/>
      <c r="V422" s="702"/>
      <c r="W422" s="702"/>
      <c r="X422" s="702"/>
      <c r="Y422" s="702"/>
      <c r="Z422" s="702"/>
      <c r="AA422" s="62"/>
      <c r="AB422" s="62"/>
      <c r="AC422" s="62"/>
    </row>
    <row r="423" spans="1:68" ht="14.25" hidden="1" customHeight="1" x14ac:dyDescent="0.25">
      <c r="A423" s="703" t="s">
        <v>122</v>
      </c>
      <c r="B423" s="703"/>
      <c r="C423" s="703"/>
      <c r="D423" s="703"/>
      <c r="E423" s="703"/>
      <c r="F423" s="703"/>
      <c r="G423" s="703"/>
      <c r="H423" s="703"/>
      <c r="I423" s="703"/>
      <c r="J423" s="703"/>
      <c r="K423" s="703"/>
      <c r="L423" s="703"/>
      <c r="M423" s="703"/>
      <c r="N423" s="703"/>
      <c r="O423" s="703"/>
      <c r="P423" s="703"/>
      <c r="Q423" s="703"/>
      <c r="R423" s="703"/>
      <c r="S423" s="703"/>
      <c r="T423" s="703"/>
      <c r="U423" s="703"/>
      <c r="V423" s="703"/>
      <c r="W423" s="703"/>
      <c r="X423" s="703"/>
      <c r="Y423" s="703"/>
      <c r="Z423" s="703"/>
      <c r="AA423" s="63"/>
      <c r="AB423" s="63"/>
      <c r="AC423" s="63"/>
    </row>
    <row r="424" spans="1:68" ht="27" hidden="1" customHeight="1" x14ac:dyDescent="0.25">
      <c r="A424" s="60" t="s">
        <v>693</v>
      </c>
      <c r="B424" s="60" t="s">
        <v>694</v>
      </c>
      <c r="C424" s="34">
        <v>4301012332</v>
      </c>
      <c r="D424" s="704">
        <v>4680115888401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127</v>
      </c>
      <c r="L424" s="35" t="s">
        <v>46</v>
      </c>
      <c r="M424" s="36" t="s">
        <v>95</v>
      </c>
      <c r="N424" s="36"/>
      <c r="O424" s="35">
        <v>60</v>
      </c>
      <c r="P424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ref="Y424:Y431" si="59">IFERROR(IF(X424="",0,CEILING((X424/$H424),1)*$H424),"")</f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3" t="s">
        <v>695</v>
      </c>
      <c r="AG424" s="75"/>
      <c r="AJ424" s="79" t="s">
        <v>46</v>
      </c>
      <c r="AK424" s="79">
        <v>0</v>
      </c>
      <c r="BB424" s="514" t="s">
        <v>66</v>
      </c>
      <c r="BM424" s="75">
        <f t="shared" ref="BM424:BM431" si="60">IFERROR(X424*I424/H424,"0")</f>
        <v>0</v>
      </c>
      <c r="BN424" s="75">
        <f t="shared" ref="BN424:BN431" si="61">IFERROR(Y424*I424/H424,"0")</f>
        <v>0</v>
      </c>
      <c r="BO424" s="75">
        <f t="shared" ref="BO424:BO431" si="62">IFERROR(1/J424*(X424/H424),"0")</f>
        <v>0</v>
      </c>
      <c r="BP424" s="75">
        <f t="shared" ref="BP424:BP431" si="63">IFERROR(1/J424*(Y424/H424),"0")</f>
        <v>0</v>
      </c>
    </row>
    <row r="425" spans="1:68" ht="37.5" hidden="1" customHeight="1" x14ac:dyDescent="0.25">
      <c r="A425" s="60" t="s">
        <v>696</v>
      </c>
      <c r="B425" s="60" t="s">
        <v>697</v>
      </c>
      <c r="C425" s="34">
        <v>4301011869</v>
      </c>
      <c r="D425" s="704">
        <v>4680115884847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127</v>
      </c>
      <c r="L425" s="35" t="s">
        <v>46</v>
      </c>
      <c r="M425" s="36" t="s">
        <v>79</v>
      </c>
      <c r="N425" s="36"/>
      <c r="O425" s="35">
        <v>60</v>
      </c>
      <c r="P425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59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5" t="s">
        <v>698</v>
      </c>
      <c r="AG425" s="75"/>
      <c r="AJ425" s="79" t="s">
        <v>46</v>
      </c>
      <c r="AK425" s="79">
        <v>0</v>
      </c>
      <c r="BB425" s="516" t="s">
        <v>66</v>
      </c>
      <c r="BM425" s="75">
        <f t="shared" si="60"/>
        <v>0</v>
      </c>
      <c r="BN425" s="75">
        <f t="shared" si="61"/>
        <v>0</v>
      </c>
      <c r="BO425" s="75">
        <f t="shared" si="62"/>
        <v>0</v>
      </c>
      <c r="BP425" s="75">
        <f t="shared" si="63"/>
        <v>0</v>
      </c>
    </row>
    <row r="426" spans="1:68" ht="27" hidden="1" customHeight="1" x14ac:dyDescent="0.25">
      <c r="A426" s="60" t="s">
        <v>699</v>
      </c>
      <c r="B426" s="60" t="s">
        <v>700</v>
      </c>
      <c r="C426" s="34">
        <v>4301012083</v>
      </c>
      <c r="D426" s="704">
        <v>4680115884854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126</v>
      </c>
      <c r="N426" s="36"/>
      <c r="O426" s="35">
        <v>60</v>
      </c>
      <c r="P426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59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7" t="s">
        <v>701</v>
      </c>
      <c r="AG426" s="75"/>
      <c r="AJ426" s="79" t="s">
        <v>46</v>
      </c>
      <c r="AK426" s="79">
        <v>0</v>
      </c>
      <c r="BB426" s="518" t="s">
        <v>66</v>
      </c>
      <c r="BM426" s="75">
        <f t="shared" si="60"/>
        <v>0</v>
      </c>
      <c r="BN426" s="75">
        <f t="shared" si="61"/>
        <v>0</v>
      </c>
      <c r="BO426" s="75">
        <f t="shared" si="62"/>
        <v>0</v>
      </c>
      <c r="BP426" s="75">
        <f t="shared" si="63"/>
        <v>0</v>
      </c>
    </row>
    <row r="427" spans="1:68" ht="27" hidden="1" customHeight="1" x14ac:dyDescent="0.25">
      <c r="A427" s="60" t="s">
        <v>702</v>
      </c>
      <c r="B427" s="60" t="s">
        <v>703</v>
      </c>
      <c r="C427" s="34">
        <v>4301011867</v>
      </c>
      <c r="D427" s="704">
        <v>4680115884830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79</v>
      </c>
      <c r="N427" s="36"/>
      <c r="O427" s="35">
        <v>60</v>
      </c>
      <c r="P427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9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19" t="s">
        <v>704</v>
      </c>
      <c r="AG427" s="75"/>
      <c r="AJ427" s="79" t="s">
        <v>46</v>
      </c>
      <c r="AK427" s="79">
        <v>0</v>
      </c>
      <c r="BB427" s="520" t="s">
        <v>66</v>
      </c>
      <c r="BM427" s="75">
        <f t="shared" si="60"/>
        <v>0</v>
      </c>
      <c r="BN427" s="75">
        <f t="shared" si="61"/>
        <v>0</v>
      </c>
      <c r="BO427" s="75">
        <f t="shared" si="62"/>
        <v>0</v>
      </c>
      <c r="BP427" s="75">
        <f t="shared" si="63"/>
        <v>0</v>
      </c>
    </row>
    <row r="428" spans="1:68" ht="27" customHeight="1" x14ac:dyDescent="0.25">
      <c r="A428" s="60" t="s">
        <v>705</v>
      </c>
      <c r="B428" s="60" t="s">
        <v>706</v>
      </c>
      <c r="C428" s="34">
        <v>4301012356</v>
      </c>
      <c r="D428" s="704">
        <v>4680115889231</v>
      </c>
      <c r="E428" s="70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95</v>
      </c>
      <c r="N428" s="36"/>
      <c r="O428" s="35">
        <v>60</v>
      </c>
      <c r="P428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200</v>
      </c>
      <c r="Y428" s="53">
        <f t="shared" si="59"/>
        <v>210</v>
      </c>
      <c r="Z428" s="39">
        <f>IFERROR(IF(Y428=0,"",ROUNDUP(Y428/H428,0)*0.02175),"")</f>
        <v>0.30449999999999999</v>
      </c>
      <c r="AA428" s="65" t="s">
        <v>46</v>
      </c>
      <c r="AB428" s="66" t="s">
        <v>46</v>
      </c>
      <c r="AC428" s="521" t="s">
        <v>707</v>
      </c>
      <c r="AG428" s="75"/>
      <c r="AJ428" s="79" t="s">
        <v>46</v>
      </c>
      <c r="AK428" s="79">
        <v>0</v>
      </c>
      <c r="BB428" s="522" t="s">
        <v>66</v>
      </c>
      <c r="BM428" s="75">
        <f t="shared" si="60"/>
        <v>206.26666666666668</v>
      </c>
      <c r="BN428" s="75">
        <f t="shared" si="61"/>
        <v>216.58</v>
      </c>
      <c r="BO428" s="75">
        <f t="shared" si="62"/>
        <v>0.27777777777777779</v>
      </c>
      <c r="BP428" s="75">
        <f t="shared" si="63"/>
        <v>0.29166666666666663</v>
      </c>
    </row>
    <row r="429" spans="1:68" ht="27" hidden="1" customHeight="1" x14ac:dyDescent="0.25">
      <c r="A429" s="60" t="s">
        <v>708</v>
      </c>
      <c r="B429" s="60" t="s">
        <v>709</v>
      </c>
      <c r="C429" s="34">
        <v>4301011433</v>
      </c>
      <c r="D429" s="704">
        <v>4680115882638</v>
      </c>
      <c r="E429" s="704"/>
      <c r="F429" s="59">
        <v>0.4</v>
      </c>
      <c r="G429" s="35">
        <v>10</v>
      </c>
      <c r="H429" s="59">
        <v>4</v>
      </c>
      <c r="I429" s="59">
        <v>4.1900000000000004</v>
      </c>
      <c r="J429" s="35">
        <v>132</v>
      </c>
      <c r="K429" s="35" t="s">
        <v>134</v>
      </c>
      <c r="L429" s="35" t="s">
        <v>46</v>
      </c>
      <c r="M429" s="36" t="s">
        <v>126</v>
      </c>
      <c r="N429" s="36"/>
      <c r="O429" s="35">
        <v>90</v>
      </c>
      <c r="P429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9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3" t="s">
        <v>710</v>
      </c>
      <c r="AG429" s="75"/>
      <c r="AJ429" s="79" t="s">
        <v>46</v>
      </c>
      <c r="AK429" s="79">
        <v>0</v>
      </c>
      <c r="BB429" s="524" t="s">
        <v>66</v>
      </c>
      <c r="BM429" s="75">
        <f t="shared" si="60"/>
        <v>0</v>
      </c>
      <c r="BN429" s="75">
        <f t="shared" si="61"/>
        <v>0</v>
      </c>
      <c r="BO429" s="75">
        <f t="shared" si="62"/>
        <v>0</v>
      </c>
      <c r="BP429" s="75">
        <f t="shared" si="63"/>
        <v>0</v>
      </c>
    </row>
    <row r="430" spans="1:68" ht="27" hidden="1" customHeight="1" x14ac:dyDescent="0.25">
      <c r="A430" s="60" t="s">
        <v>711</v>
      </c>
      <c r="B430" s="60" t="s">
        <v>712</v>
      </c>
      <c r="C430" s="34">
        <v>4301011952</v>
      </c>
      <c r="D430" s="704">
        <v>4680115884922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134</v>
      </c>
      <c r="L430" s="35" t="s">
        <v>46</v>
      </c>
      <c r="M430" s="36" t="s">
        <v>79</v>
      </c>
      <c r="N430" s="36"/>
      <c r="O430" s="35">
        <v>60</v>
      </c>
      <c r="P430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9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5" t="s">
        <v>713</v>
      </c>
      <c r="AG430" s="75"/>
      <c r="AJ430" s="79" t="s">
        <v>46</v>
      </c>
      <c r="AK430" s="79">
        <v>0</v>
      </c>
      <c r="BB430" s="526" t="s">
        <v>66</v>
      </c>
      <c r="BM430" s="75">
        <f t="shared" si="60"/>
        <v>0</v>
      </c>
      <c r="BN430" s="75">
        <f t="shared" si="61"/>
        <v>0</v>
      </c>
      <c r="BO430" s="75">
        <f t="shared" si="62"/>
        <v>0</v>
      </c>
      <c r="BP430" s="75">
        <f t="shared" si="63"/>
        <v>0</v>
      </c>
    </row>
    <row r="431" spans="1:68" ht="37.5" hidden="1" customHeight="1" x14ac:dyDescent="0.25">
      <c r="A431" s="60" t="s">
        <v>714</v>
      </c>
      <c r="B431" s="60" t="s">
        <v>715</v>
      </c>
      <c r="C431" s="34">
        <v>4301011868</v>
      </c>
      <c r="D431" s="704">
        <v>4680115884861</v>
      </c>
      <c r="E431" s="704"/>
      <c r="F431" s="59">
        <v>0.5</v>
      </c>
      <c r="G431" s="35">
        <v>10</v>
      </c>
      <c r="H431" s="59">
        <v>5</v>
      </c>
      <c r="I431" s="59">
        <v>5.19</v>
      </c>
      <c r="J431" s="35">
        <v>132</v>
      </c>
      <c r="K431" s="35" t="s">
        <v>134</v>
      </c>
      <c r="L431" s="35" t="s">
        <v>46</v>
      </c>
      <c r="M431" s="36" t="s">
        <v>79</v>
      </c>
      <c r="N431" s="36"/>
      <c r="O431" s="35">
        <v>60</v>
      </c>
      <c r="P431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706"/>
      <c r="R431" s="706"/>
      <c r="S431" s="706"/>
      <c r="T431" s="70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59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27" t="s">
        <v>716</v>
      </c>
      <c r="AG431" s="75"/>
      <c r="AJ431" s="79" t="s">
        <v>46</v>
      </c>
      <c r="AK431" s="79">
        <v>0</v>
      </c>
      <c r="BB431" s="528" t="s">
        <v>66</v>
      </c>
      <c r="BM431" s="75">
        <f t="shared" si="60"/>
        <v>0</v>
      </c>
      <c r="BN431" s="75">
        <f t="shared" si="61"/>
        <v>0</v>
      </c>
      <c r="BO431" s="75">
        <f t="shared" si="62"/>
        <v>0</v>
      </c>
      <c r="BP431" s="75">
        <f t="shared" si="63"/>
        <v>0</v>
      </c>
    </row>
    <row r="432" spans="1:68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39</v>
      </c>
      <c r="X432" s="41">
        <f>IFERROR(X424/H424,"0")+IFERROR(X425/H425,"0")+IFERROR(X426/H426,"0")+IFERROR(X427/H427,"0")+IFERROR(X428/H428,"0")+IFERROR(X429/H429,"0")+IFERROR(X430/H430,"0")+IFERROR(X431/H431,"0")</f>
        <v>13.333333333333334</v>
      </c>
      <c r="Y432" s="41">
        <f>IFERROR(Y424/H424,"0")+IFERROR(Y425/H425,"0")+IFERROR(Y426/H426,"0")+IFERROR(Y427/H427,"0")+IFERROR(Y428/H428,"0")+IFERROR(Y429/H429,"0")+IFERROR(Y430/H430,"0")+IFERROR(Y431/H431,"0")</f>
        <v>14</v>
      </c>
      <c r="Z432" s="4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0.30449999999999999</v>
      </c>
      <c r="AA432" s="64"/>
      <c r="AB432" s="64"/>
      <c r="AC432" s="64"/>
    </row>
    <row r="433" spans="1:68" x14ac:dyDescent="0.2">
      <c r="A433" s="712"/>
      <c r="B433" s="712"/>
      <c r="C433" s="712"/>
      <c r="D433" s="712"/>
      <c r="E433" s="712"/>
      <c r="F433" s="712"/>
      <c r="G433" s="712"/>
      <c r="H433" s="712"/>
      <c r="I433" s="712"/>
      <c r="J433" s="712"/>
      <c r="K433" s="712"/>
      <c r="L433" s="712"/>
      <c r="M433" s="712"/>
      <c r="N433" s="712"/>
      <c r="O433" s="713"/>
      <c r="P433" s="709" t="s">
        <v>40</v>
      </c>
      <c r="Q433" s="710"/>
      <c r="R433" s="710"/>
      <c r="S433" s="710"/>
      <c r="T433" s="710"/>
      <c r="U433" s="710"/>
      <c r="V433" s="711"/>
      <c r="W433" s="40" t="s">
        <v>0</v>
      </c>
      <c r="X433" s="41">
        <f>IFERROR(SUM(X424:X431),"0")</f>
        <v>200</v>
      </c>
      <c r="Y433" s="41">
        <f>IFERROR(SUM(Y424:Y431),"0")</f>
        <v>210</v>
      </c>
      <c r="Z433" s="40"/>
      <c r="AA433" s="64"/>
      <c r="AB433" s="64"/>
      <c r="AC433" s="64"/>
    </row>
    <row r="434" spans="1:68" ht="14.25" hidden="1" customHeight="1" x14ac:dyDescent="0.25">
      <c r="A434" s="703" t="s">
        <v>155</v>
      </c>
      <c r="B434" s="703"/>
      <c r="C434" s="703"/>
      <c r="D434" s="703"/>
      <c r="E434" s="703"/>
      <c r="F434" s="703"/>
      <c r="G434" s="703"/>
      <c r="H434" s="703"/>
      <c r="I434" s="703"/>
      <c r="J434" s="703"/>
      <c r="K434" s="703"/>
      <c r="L434" s="703"/>
      <c r="M434" s="703"/>
      <c r="N434" s="703"/>
      <c r="O434" s="703"/>
      <c r="P434" s="703"/>
      <c r="Q434" s="703"/>
      <c r="R434" s="703"/>
      <c r="S434" s="703"/>
      <c r="T434" s="703"/>
      <c r="U434" s="703"/>
      <c r="V434" s="703"/>
      <c r="W434" s="703"/>
      <c r="X434" s="703"/>
      <c r="Y434" s="703"/>
      <c r="Z434" s="703"/>
      <c r="AA434" s="63"/>
      <c r="AB434" s="63"/>
      <c r="AC434" s="63"/>
    </row>
    <row r="435" spans="1:68" ht="27" hidden="1" customHeight="1" x14ac:dyDescent="0.25">
      <c r="A435" s="60" t="s">
        <v>717</v>
      </c>
      <c r="B435" s="60" t="s">
        <v>718</v>
      </c>
      <c r="C435" s="34">
        <v>4301020178</v>
      </c>
      <c r="D435" s="704">
        <v>4607091383980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126</v>
      </c>
      <c r="N435" s="36"/>
      <c r="O435" s="35">
        <v>50</v>
      </c>
      <c r="P435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29" t="s">
        <v>719</v>
      </c>
      <c r="AG435" s="75"/>
      <c r="AJ435" s="79" t="s">
        <v>46</v>
      </c>
      <c r="AK435" s="79">
        <v>0</v>
      </c>
      <c r="BB435" s="530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720</v>
      </c>
      <c r="B436" s="60" t="s">
        <v>721</v>
      </c>
      <c r="C436" s="34">
        <v>4301020355</v>
      </c>
      <c r="D436" s="704">
        <v>4680115888425</v>
      </c>
      <c r="E436" s="704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127</v>
      </c>
      <c r="L436" s="35" t="s">
        <v>46</v>
      </c>
      <c r="M436" s="36" t="s">
        <v>126</v>
      </c>
      <c r="N436" s="36"/>
      <c r="O436" s="35">
        <v>50</v>
      </c>
      <c r="P436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IFERROR(IF(Y436=0,"",ROUNDUP(Y436/H436,0)*0.02175),"")</f>
        <v/>
      </c>
      <c r="AA436" s="65" t="s">
        <v>46</v>
      </c>
      <c r="AB436" s="66" t="s">
        <v>46</v>
      </c>
      <c r="AC436" s="531" t="s">
        <v>722</v>
      </c>
      <c r="AG436" s="75"/>
      <c r="AJ436" s="79" t="s">
        <v>46</v>
      </c>
      <c r="AK436" s="79">
        <v>0</v>
      </c>
      <c r="BB436" s="532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723</v>
      </c>
      <c r="B437" s="60" t="s">
        <v>724</v>
      </c>
      <c r="C437" s="34">
        <v>4301020179</v>
      </c>
      <c r="D437" s="704">
        <v>4607091384178</v>
      </c>
      <c r="E437" s="704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134</v>
      </c>
      <c r="L437" s="35" t="s">
        <v>46</v>
      </c>
      <c r="M437" s="36" t="s">
        <v>126</v>
      </c>
      <c r="N437" s="36"/>
      <c r="O437" s="35">
        <v>50</v>
      </c>
      <c r="P437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706"/>
      <c r="R437" s="706"/>
      <c r="S437" s="706"/>
      <c r="T437" s="70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3" t="s">
        <v>725</v>
      </c>
      <c r="AG437" s="75"/>
      <c r="AJ437" s="79" t="s">
        <v>46</v>
      </c>
      <c r="AK437" s="79">
        <v>0</v>
      </c>
      <c r="BB437" s="534" t="s">
        <v>66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idden="1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39</v>
      </c>
      <c r="X438" s="41">
        <f>IFERROR(X435/H435,"0")+IFERROR(X436/H436,"0")+IFERROR(X437/H437,"0")</f>
        <v>0</v>
      </c>
      <c r="Y438" s="41">
        <f>IFERROR(Y435/H435,"0")+IFERROR(Y436/H436,"0")+IFERROR(Y437/H437,"0")</f>
        <v>0</v>
      </c>
      <c r="Z438" s="41">
        <f>IFERROR(IF(Z435="",0,Z435),"0")+IFERROR(IF(Z436="",0,Z436),"0")+IFERROR(IF(Z437="",0,Z437),"0")</f>
        <v>0</v>
      </c>
      <c r="AA438" s="64"/>
      <c r="AB438" s="64"/>
      <c r="AC438" s="64"/>
    </row>
    <row r="439" spans="1:68" hidden="1" x14ac:dyDescent="0.2">
      <c r="A439" s="712"/>
      <c r="B439" s="712"/>
      <c r="C439" s="712"/>
      <c r="D439" s="712"/>
      <c r="E439" s="712"/>
      <c r="F439" s="712"/>
      <c r="G439" s="712"/>
      <c r="H439" s="712"/>
      <c r="I439" s="712"/>
      <c r="J439" s="712"/>
      <c r="K439" s="712"/>
      <c r="L439" s="712"/>
      <c r="M439" s="712"/>
      <c r="N439" s="712"/>
      <c r="O439" s="713"/>
      <c r="P439" s="709" t="s">
        <v>40</v>
      </c>
      <c r="Q439" s="710"/>
      <c r="R439" s="710"/>
      <c r="S439" s="710"/>
      <c r="T439" s="710"/>
      <c r="U439" s="710"/>
      <c r="V439" s="711"/>
      <c r="W439" s="40" t="s">
        <v>0</v>
      </c>
      <c r="X439" s="41">
        <f>IFERROR(SUM(X435:X437),"0")</f>
        <v>0</v>
      </c>
      <c r="Y439" s="41">
        <f>IFERROR(SUM(Y435:Y437),"0")</f>
        <v>0</v>
      </c>
      <c r="Z439" s="40"/>
      <c r="AA439" s="64"/>
      <c r="AB439" s="64"/>
      <c r="AC439" s="64"/>
    </row>
    <row r="440" spans="1:68" ht="14.25" hidden="1" customHeight="1" x14ac:dyDescent="0.25">
      <c r="A440" s="703" t="s">
        <v>84</v>
      </c>
      <c r="B440" s="703"/>
      <c r="C440" s="703"/>
      <c r="D440" s="703"/>
      <c r="E440" s="703"/>
      <c r="F440" s="703"/>
      <c r="G440" s="703"/>
      <c r="H440" s="703"/>
      <c r="I440" s="703"/>
      <c r="J440" s="703"/>
      <c r="K440" s="703"/>
      <c r="L440" s="703"/>
      <c r="M440" s="703"/>
      <c r="N440" s="703"/>
      <c r="O440" s="703"/>
      <c r="P440" s="703"/>
      <c r="Q440" s="703"/>
      <c r="R440" s="703"/>
      <c r="S440" s="703"/>
      <c r="T440" s="703"/>
      <c r="U440" s="703"/>
      <c r="V440" s="703"/>
      <c r="W440" s="703"/>
      <c r="X440" s="703"/>
      <c r="Y440" s="703"/>
      <c r="Z440" s="703"/>
      <c r="AA440" s="63"/>
      <c r="AB440" s="63"/>
      <c r="AC440" s="63"/>
    </row>
    <row r="441" spans="1:68" ht="27" hidden="1" customHeight="1" x14ac:dyDescent="0.25">
      <c r="A441" s="60" t="s">
        <v>726</v>
      </c>
      <c r="B441" s="60" t="s">
        <v>727</v>
      </c>
      <c r="C441" s="34">
        <v>4301051903</v>
      </c>
      <c r="D441" s="704">
        <v>4607091383928</v>
      </c>
      <c r="E441" s="704"/>
      <c r="F441" s="59">
        <v>1.5</v>
      </c>
      <c r="G441" s="35">
        <v>6</v>
      </c>
      <c r="H441" s="59">
        <v>9</v>
      </c>
      <c r="I441" s="59">
        <v>9.5</v>
      </c>
      <c r="J441" s="35">
        <v>64</v>
      </c>
      <c r="K441" s="35" t="s">
        <v>127</v>
      </c>
      <c r="L441" s="35" t="s">
        <v>46</v>
      </c>
      <c r="M441" s="36" t="s">
        <v>88</v>
      </c>
      <c r="N441" s="36"/>
      <c r="O441" s="35">
        <v>40</v>
      </c>
      <c r="P441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5" t="s">
        <v>728</v>
      </c>
      <c r="AG441" s="75"/>
      <c r="AJ441" s="79" t="s">
        <v>46</v>
      </c>
      <c r="AK441" s="79">
        <v>0</v>
      </c>
      <c r="BB441" s="536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729</v>
      </c>
      <c r="B442" s="60" t="s">
        <v>730</v>
      </c>
      <c r="C442" s="34">
        <v>4301051897</v>
      </c>
      <c r="D442" s="704">
        <v>4607091384260</v>
      </c>
      <c r="E442" s="704"/>
      <c r="F442" s="59">
        <v>1.5</v>
      </c>
      <c r="G442" s="35">
        <v>6</v>
      </c>
      <c r="H442" s="59">
        <v>9</v>
      </c>
      <c r="I442" s="59">
        <v>9.4939999999999998</v>
      </c>
      <c r="J442" s="35">
        <v>64</v>
      </c>
      <c r="K442" s="35" t="s">
        <v>127</v>
      </c>
      <c r="L442" s="35" t="s">
        <v>46</v>
      </c>
      <c r="M442" s="36" t="s">
        <v>88</v>
      </c>
      <c r="N442" s="36"/>
      <c r="O442" s="35">
        <v>40</v>
      </c>
      <c r="P442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IFERROR(IF(Y442=0,"",ROUNDUP(Y442/H442,0)*0.01898),"")</f>
        <v/>
      </c>
      <c r="AA442" s="65" t="s">
        <v>46</v>
      </c>
      <c r="AB442" s="66" t="s">
        <v>46</v>
      </c>
      <c r="AC442" s="537" t="s">
        <v>731</v>
      </c>
      <c r="AG442" s="75"/>
      <c r="AJ442" s="79" t="s">
        <v>46</v>
      </c>
      <c r="AK442" s="79">
        <v>0</v>
      </c>
      <c r="BB442" s="538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hidden="1" customHeight="1" x14ac:dyDescent="0.25">
      <c r="A443" s="60" t="s">
        <v>732</v>
      </c>
      <c r="B443" s="60" t="s">
        <v>733</v>
      </c>
      <c r="C443" s="34">
        <v>4301052220</v>
      </c>
      <c r="D443" s="704">
        <v>4680115889538</v>
      </c>
      <c r="E443" s="704"/>
      <c r="F443" s="59">
        <v>0.8</v>
      </c>
      <c r="G443" s="35">
        <v>6</v>
      </c>
      <c r="H443" s="59">
        <v>4.8</v>
      </c>
      <c r="I443" s="59">
        <v>5.2160000000000002</v>
      </c>
      <c r="J443" s="35">
        <v>104</v>
      </c>
      <c r="K443" s="35" t="s">
        <v>127</v>
      </c>
      <c r="L443" s="35" t="s">
        <v>46</v>
      </c>
      <c r="M443" s="36" t="s">
        <v>88</v>
      </c>
      <c r="N443" s="36"/>
      <c r="O443" s="35">
        <v>45</v>
      </c>
      <c r="P443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706"/>
      <c r="R443" s="706"/>
      <c r="S443" s="706"/>
      <c r="T443" s="70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IFERROR(IF(Y443=0,"",ROUNDUP(Y443/H443,0)*0.01196),"")</f>
        <v/>
      </c>
      <c r="AA443" s="65" t="s">
        <v>46</v>
      </c>
      <c r="AB443" s="66" t="s">
        <v>46</v>
      </c>
      <c r="AC443" s="539" t="s">
        <v>734</v>
      </c>
      <c r="AG443" s="75"/>
      <c r="AJ443" s="79" t="s">
        <v>46</v>
      </c>
      <c r="AK443" s="79">
        <v>0</v>
      </c>
      <c r="BB443" s="540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idden="1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39</v>
      </c>
      <c r="X444" s="41">
        <f>IFERROR(X441/H441,"0")+IFERROR(X442/H442,"0")+IFERROR(X443/H443,"0")</f>
        <v>0</v>
      </c>
      <c r="Y444" s="41">
        <f>IFERROR(Y441/H441,"0")+IFERROR(Y442/H442,"0")+IFERROR(Y443/H443,"0")</f>
        <v>0</v>
      </c>
      <c r="Z444" s="41">
        <f>IFERROR(IF(Z441="",0,Z441),"0")+IFERROR(IF(Z442="",0,Z442),"0")+IFERROR(IF(Z443="",0,Z443),"0")</f>
        <v>0</v>
      </c>
      <c r="AA444" s="64"/>
      <c r="AB444" s="64"/>
      <c r="AC444" s="64"/>
    </row>
    <row r="445" spans="1:68" hidden="1" x14ac:dyDescent="0.2">
      <c r="A445" s="712"/>
      <c r="B445" s="712"/>
      <c r="C445" s="712"/>
      <c r="D445" s="712"/>
      <c r="E445" s="712"/>
      <c r="F445" s="712"/>
      <c r="G445" s="712"/>
      <c r="H445" s="712"/>
      <c r="I445" s="712"/>
      <c r="J445" s="712"/>
      <c r="K445" s="712"/>
      <c r="L445" s="712"/>
      <c r="M445" s="712"/>
      <c r="N445" s="712"/>
      <c r="O445" s="713"/>
      <c r="P445" s="709" t="s">
        <v>40</v>
      </c>
      <c r="Q445" s="710"/>
      <c r="R445" s="710"/>
      <c r="S445" s="710"/>
      <c r="T445" s="710"/>
      <c r="U445" s="710"/>
      <c r="V445" s="711"/>
      <c r="W445" s="40" t="s">
        <v>0</v>
      </c>
      <c r="X445" s="41">
        <f>IFERROR(SUM(X441:X443),"0")</f>
        <v>0</v>
      </c>
      <c r="Y445" s="41">
        <f>IFERROR(SUM(Y441:Y443),"0")</f>
        <v>0</v>
      </c>
      <c r="Z445" s="40"/>
      <c r="AA445" s="64"/>
      <c r="AB445" s="64"/>
      <c r="AC445" s="64"/>
    </row>
    <row r="446" spans="1:68" ht="14.25" hidden="1" customHeight="1" x14ac:dyDescent="0.25">
      <c r="A446" s="703" t="s">
        <v>172</v>
      </c>
      <c r="B446" s="703"/>
      <c r="C446" s="703"/>
      <c r="D446" s="703"/>
      <c r="E446" s="703"/>
      <c r="F446" s="703"/>
      <c r="G446" s="703"/>
      <c r="H446" s="703"/>
      <c r="I446" s="703"/>
      <c r="J446" s="703"/>
      <c r="K446" s="703"/>
      <c r="L446" s="703"/>
      <c r="M446" s="703"/>
      <c r="N446" s="703"/>
      <c r="O446" s="703"/>
      <c r="P446" s="703"/>
      <c r="Q446" s="703"/>
      <c r="R446" s="703"/>
      <c r="S446" s="703"/>
      <c r="T446" s="703"/>
      <c r="U446" s="703"/>
      <c r="V446" s="703"/>
      <c r="W446" s="703"/>
      <c r="X446" s="703"/>
      <c r="Y446" s="703"/>
      <c r="Z446" s="703"/>
      <c r="AA446" s="63"/>
      <c r="AB446" s="63"/>
      <c r="AC446" s="63"/>
    </row>
    <row r="447" spans="1:68" ht="27" hidden="1" customHeight="1" x14ac:dyDescent="0.25">
      <c r="A447" s="60" t="s">
        <v>735</v>
      </c>
      <c r="B447" s="60" t="s">
        <v>736</v>
      </c>
      <c r="C447" s="34">
        <v>4301060537</v>
      </c>
      <c r="D447" s="704">
        <v>4680115889545</v>
      </c>
      <c r="E447" s="704"/>
      <c r="F447" s="59">
        <v>0.7</v>
      </c>
      <c r="G447" s="35">
        <v>6</v>
      </c>
      <c r="H447" s="59">
        <v>4.2</v>
      </c>
      <c r="I447" s="59">
        <v>4.6159999999999997</v>
      </c>
      <c r="J447" s="35">
        <v>104</v>
      </c>
      <c r="K447" s="35" t="s">
        <v>127</v>
      </c>
      <c r="L447" s="35" t="s">
        <v>46</v>
      </c>
      <c r="M447" s="36" t="s">
        <v>88</v>
      </c>
      <c r="N447" s="36"/>
      <c r="O447" s="35">
        <v>30</v>
      </c>
      <c r="P447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IFERROR(IF(Y447=0,"",ROUNDUP(Y447/H447,0)*0.01196),"")</f>
        <v/>
      </c>
      <c r="AA447" s="65" t="s">
        <v>46</v>
      </c>
      <c r="AB447" s="66" t="s">
        <v>46</v>
      </c>
      <c r="AC447" s="541" t="s">
        <v>737</v>
      </c>
      <c r="AG447" s="75"/>
      <c r="AJ447" s="79" t="s">
        <v>46</v>
      </c>
      <c r="AK447" s="79">
        <v>0</v>
      </c>
      <c r="BB447" s="542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16.5" hidden="1" customHeight="1" x14ac:dyDescent="0.25">
      <c r="A448" s="60" t="s">
        <v>738</v>
      </c>
      <c r="B448" s="60" t="s">
        <v>739</v>
      </c>
      <c r="C448" s="34">
        <v>4301060524</v>
      </c>
      <c r="D448" s="704">
        <v>4607091384673</v>
      </c>
      <c r="E448" s="704"/>
      <c r="F448" s="59">
        <v>1.5</v>
      </c>
      <c r="G448" s="35">
        <v>6</v>
      </c>
      <c r="H448" s="59">
        <v>9</v>
      </c>
      <c r="I448" s="59">
        <v>9.4939999999999998</v>
      </c>
      <c r="J448" s="35">
        <v>64</v>
      </c>
      <c r="K448" s="35" t="s">
        <v>127</v>
      </c>
      <c r="L448" s="35" t="s">
        <v>46</v>
      </c>
      <c r="M448" s="36" t="s">
        <v>88</v>
      </c>
      <c r="N448" s="36"/>
      <c r="O448" s="35">
        <v>40</v>
      </c>
      <c r="P448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706"/>
      <c r="R448" s="706"/>
      <c r="S448" s="706"/>
      <c r="T448" s="707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3" t="s">
        <v>740</v>
      </c>
      <c r="AG448" s="75"/>
      <c r="AJ448" s="79" t="s">
        <v>46</v>
      </c>
      <c r="AK448" s="79">
        <v>0</v>
      </c>
      <c r="BB448" s="544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39</v>
      </c>
      <c r="X449" s="41">
        <f>IFERROR(X447/H447,"0")+IFERROR(X448/H448,"0")</f>
        <v>0</v>
      </c>
      <c r="Y449" s="41">
        <f>IFERROR(Y447/H447,"0")+IFERROR(Y448/H448,"0")</f>
        <v>0</v>
      </c>
      <c r="Z449" s="41">
        <f>IFERROR(IF(Z447="",0,Z447),"0")+IFERROR(IF(Z448="",0,Z448),"0")</f>
        <v>0</v>
      </c>
      <c r="AA449" s="64"/>
      <c r="AB449" s="64"/>
      <c r="AC449" s="64"/>
    </row>
    <row r="450" spans="1:68" hidden="1" x14ac:dyDescent="0.2">
      <c r="A450" s="712"/>
      <c r="B450" s="712"/>
      <c r="C450" s="712"/>
      <c r="D450" s="712"/>
      <c r="E450" s="712"/>
      <c r="F450" s="712"/>
      <c r="G450" s="712"/>
      <c r="H450" s="712"/>
      <c r="I450" s="712"/>
      <c r="J450" s="712"/>
      <c r="K450" s="712"/>
      <c r="L450" s="712"/>
      <c r="M450" s="712"/>
      <c r="N450" s="712"/>
      <c r="O450" s="713"/>
      <c r="P450" s="709" t="s">
        <v>40</v>
      </c>
      <c r="Q450" s="710"/>
      <c r="R450" s="710"/>
      <c r="S450" s="710"/>
      <c r="T450" s="710"/>
      <c r="U450" s="710"/>
      <c r="V450" s="711"/>
      <c r="W450" s="40" t="s">
        <v>0</v>
      </c>
      <c r="X450" s="41">
        <f>IFERROR(SUM(X447:X448),"0")</f>
        <v>0</v>
      </c>
      <c r="Y450" s="41">
        <f>IFERROR(SUM(Y447:Y448),"0")</f>
        <v>0</v>
      </c>
      <c r="Z450" s="40"/>
      <c r="AA450" s="64"/>
      <c r="AB450" s="64"/>
      <c r="AC450" s="64"/>
    </row>
    <row r="451" spans="1:68" ht="16.5" hidden="1" customHeight="1" x14ac:dyDescent="0.25">
      <c r="A451" s="702" t="s">
        <v>741</v>
      </c>
      <c r="B451" s="702"/>
      <c r="C451" s="702"/>
      <c r="D451" s="702"/>
      <c r="E451" s="702"/>
      <c r="F451" s="702"/>
      <c r="G451" s="702"/>
      <c r="H451" s="702"/>
      <c r="I451" s="702"/>
      <c r="J451" s="702"/>
      <c r="K451" s="702"/>
      <c r="L451" s="702"/>
      <c r="M451" s="702"/>
      <c r="N451" s="702"/>
      <c r="O451" s="702"/>
      <c r="P451" s="702"/>
      <c r="Q451" s="702"/>
      <c r="R451" s="702"/>
      <c r="S451" s="702"/>
      <c r="T451" s="702"/>
      <c r="U451" s="702"/>
      <c r="V451" s="702"/>
      <c r="W451" s="702"/>
      <c r="X451" s="702"/>
      <c r="Y451" s="702"/>
      <c r="Z451" s="702"/>
      <c r="AA451" s="62"/>
      <c r="AB451" s="62"/>
      <c r="AC451" s="62"/>
    </row>
    <row r="452" spans="1:68" ht="14.25" hidden="1" customHeight="1" x14ac:dyDescent="0.25">
      <c r="A452" s="703" t="s">
        <v>122</v>
      </c>
      <c r="B452" s="703"/>
      <c r="C452" s="703"/>
      <c r="D452" s="703"/>
      <c r="E452" s="703"/>
      <c r="F452" s="703"/>
      <c r="G452" s="703"/>
      <c r="H452" s="703"/>
      <c r="I452" s="703"/>
      <c r="J452" s="703"/>
      <c r="K452" s="703"/>
      <c r="L452" s="703"/>
      <c r="M452" s="703"/>
      <c r="N452" s="703"/>
      <c r="O452" s="703"/>
      <c r="P452" s="703"/>
      <c r="Q452" s="703"/>
      <c r="R452" s="703"/>
      <c r="S452" s="703"/>
      <c r="T452" s="703"/>
      <c r="U452" s="703"/>
      <c r="V452" s="703"/>
      <c r="W452" s="703"/>
      <c r="X452" s="703"/>
      <c r="Y452" s="703"/>
      <c r="Z452" s="703"/>
      <c r="AA452" s="63"/>
      <c r="AB452" s="63"/>
      <c r="AC452" s="63"/>
    </row>
    <row r="453" spans="1:68" ht="27" hidden="1" customHeight="1" x14ac:dyDescent="0.25">
      <c r="A453" s="60" t="s">
        <v>742</v>
      </c>
      <c r="B453" s="60" t="s">
        <v>743</v>
      </c>
      <c r="C453" s="34">
        <v>4301011875</v>
      </c>
      <c r="D453" s="704">
        <v>4680115884885</v>
      </c>
      <c r="E453" s="704"/>
      <c r="F453" s="59">
        <v>0.8</v>
      </c>
      <c r="G453" s="35">
        <v>15</v>
      </c>
      <c r="H453" s="59">
        <v>12</v>
      </c>
      <c r="I453" s="59">
        <v>12.41</v>
      </c>
      <c r="J453" s="35">
        <v>64</v>
      </c>
      <c r="K453" s="35" t="s">
        <v>127</v>
      </c>
      <c r="L453" s="35" t="s">
        <v>46</v>
      </c>
      <c r="M453" s="36" t="s">
        <v>79</v>
      </c>
      <c r="N453" s="36"/>
      <c r="O453" s="35">
        <v>60</v>
      </c>
      <c r="P453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45" t="s">
        <v>744</v>
      </c>
      <c r="AG453" s="75"/>
      <c r="AJ453" s="79" t="s">
        <v>46</v>
      </c>
      <c r="AK453" s="79">
        <v>0</v>
      </c>
      <c r="BB453" s="546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37.5" hidden="1" customHeight="1" x14ac:dyDescent="0.25">
      <c r="A454" s="60" t="s">
        <v>745</v>
      </c>
      <c r="B454" s="60" t="s">
        <v>746</v>
      </c>
      <c r="C454" s="34">
        <v>4301011871</v>
      </c>
      <c r="D454" s="704">
        <v>4680115884908</v>
      </c>
      <c r="E454" s="704"/>
      <c r="F454" s="59">
        <v>0.4</v>
      </c>
      <c r="G454" s="35">
        <v>10</v>
      </c>
      <c r="H454" s="59">
        <v>4</v>
      </c>
      <c r="I454" s="59">
        <v>4.1900000000000004</v>
      </c>
      <c r="J454" s="35">
        <v>132</v>
      </c>
      <c r="K454" s="35" t="s">
        <v>134</v>
      </c>
      <c r="L454" s="35" t="s">
        <v>46</v>
      </c>
      <c r="M454" s="36" t="s">
        <v>79</v>
      </c>
      <c r="N454" s="36"/>
      <c r="O454" s="35">
        <v>60</v>
      </c>
      <c r="P454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706"/>
      <c r="R454" s="706"/>
      <c r="S454" s="706"/>
      <c r="T454" s="707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47" t="s">
        <v>744</v>
      </c>
      <c r="AG454" s="75"/>
      <c r="AJ454" s="79" t="s">
        <v>46</v>
      </c>
      <c r="AK454" s="79">
        <v>0</v>
      </c>
      <c r="BB454" s="548" t="s">
        <v>66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hidden="1" x14ac:dyDescent="0.2">
      <c r="A456" s="712"/>
      <c r="B456" s="712"/>
      <c r="C456" s="712"/>
      <c r="D456" s="712"/>
      <c r="E456" s="712"/>
      <c r="F456" s="712"/>
      <c r="G456" s="712"/>
      <c r="H456" s="712"/>
      <c r="I456" s="712"/>
      <c r="J456" s="712"/>
      <c r="K456" s="712"/>
      <c r="L456" s="712"/>
      <c r="M456" s="712"/>
      <c r="N456" s="712"/>
      <c r="O456" s="713"/>
      <c r="P456" s="709" t="s">
        <v>40</v>
      </c>
      <c r="Q456" s="710"/>
      <c r="R456" s="710"/>
      <c r="S456" s="710"/>
      <c r="T456" s="710"/>
      <c r="U456" s="710"/>
      <c r="V456" s="711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4.25" hidden="1" customHeight="1" x14ac:dyDescent="0.25">
      <c r="A457" s="703" t="s">
        <v>75</v>
      </c>
      <c r="B457" s="703"/>
      <c r="C457" s="703"/>
      <c r="D457" s="703"/>
      <c r="E457" s="703"/>
      <c r="F457" s="703"/>
      <c r="G457" s="703"/>
      <c r="H457" s="703"/>
      <c r="I457" s="703"/>
      <c r="J457" s="703"/>
      <c r="K457" s="703"/>
      <c r="L457" s="703"/>
      <c r="M457" s="703"/>
      <c r="N457" s="703"/>
      <c r="O457" s="703"/>
      <c r="P457" s="703"/>
      <c r="Q457" s="703"/>
      <c r="R457" s="703"/>
      <c r="S457" s="703"/>
      <c r="T457" s="703"/>
      <c r="U457" s="703"/>
      <c r="V457" s="703"/>
      <c r="W457" s="703"/>
      <c r="X457" s="703"/>
      <c r="Y457" s="703"/>
      <c r="Z457" s="703"/>
      <c r="AA457" s="63"/>
      <c r="AB457" s="63"/>
      <c r="AC457" s="63"/>
    </row>
    <row r="458" spans="1:68" ht="27" hidden="1" customHeight="1" x14ac:dyDescent="0.25">
      <c r="A458" s="60" t="s">
        <v>747</v>
      </c>
      <c r="B458" s="60" t="s">
        <v>748</v>
      </c>
      <c r="C458" s="34">
        <v>4301031457</v>
      </c>
      <c r="D458" s="704">
        <v>4607091384802</v>
      </c>
      <c r="E458" s="704"/>
      <c r="F458" s="59">
        <v>0.7</v>
      </c>
      <c r="G458" s="35">
        <v>6</v>
      </c>
      <c r="H458" s="59">
        <v>4.2</v>
      </c>
      <c r="I458" s="59">
        <v>4.45</v>
      </c>
      <c r="J458" s="35">
        <v>132</v>
      </c>
      <c r="K458" s="35" t="s">
        <v>134</v>
      </c>
      <c r="L458" s="35" t="s">
        <v>46</v>
      </c>
      <c r="M458" s="36" t="s">
        <v>79</v>
      </c>
      <c r="N458" s="36"/>
      <c r="O458" s="35">
        <v>50</v>
      </c>
      <c r="P458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706"/>
      <c r="R458" s="706"/>
      <c r="S458" s="706"/>
      <c r="T458" s="707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IFERROR(IF(Y458=0,"",ROUNDUP(Y458/H458,0)*0.00902),"")</f>
        <v/>
      </c>
      <c r="AA458" s="65" t="s">
        <v>46</v>
      </c>
      <c r="AB458" s="66" t="s">
        <v>46</v>
      </c>
      <c r="AC458" s="549" t="s">
        <v>749</v>
      </c>
      <c r="AG458" s="75"/>
      <c r="AJ458" s="79" t="s">
        <v>46</v>
      </c>
      <c r="AK458" s="79">
        <v>0</v>
      </c>
      <c r="BB458" s="550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712"/>
      <c r="B460" s="712"/>
      <c r="C460" s="712"/>
      <c r="D460" s="712"/>
      <c r="E460" s="712"/>
      <c r="F460" s="712"/>
      <c r="G460" s="712"/>
      <c r="H460" s="712"/>
      <c r="I460" s="712"/>
      <c r="J460" s="712"/>
      <c r="K460" s="712"/>
      <c r="L460" s="712"/>
      <c r="M460" s="712"/>
      <c r="N460" s="712"/>
      <c r="O460" s="713"/>
      <c r="P460" s="709" t="s">
        <v>40</v>
      </c>
      <c r="Q460" s="710"/>
      <c r="R460" s="710"/>
      <c r="S460" s="710"/>
      <c r="T460" s="710"/>
      <c r="U460" s="710"/>
      <c r="V460" s="711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703" t="s">
        <v>84</v>
      </c>
      <c r="B461" s="703"/>
      <c r="C461" s="703"/>
      <c r="D461" s="703"/>
      <c r="E461" s="703"/>
      <c r="F461" s="703"/>
      <c r="G461" s="703"/>
      <c r="H461" s="703"/>
      <c r="I461" s="703"/>
      <c r="J461" s="703"/>
      <c r="K461" s="703"/>
      <c r="L461" s="703"/>
      <c r="M461" s="703"/>
      <c r="N461" s="703"/>
      <c r="O461" s="703"/>
      <c r="P461" s="703"/>
      <c r="Q461" s="703"/>
      <c r="R461" s="703"/>
      <c r="S461" s="703"/>
      <c r="T461" s="703"/>
      <c r="U461" s="703"/>
      <c r="V461" s="703"/>
      <c r="W461" s="703"/>
      <c r="X461" s="703"/>
      <c r="Y461" s="703"/>
      <c r="Z461" s="703"/>
      <c r="AA461" s="63"/>
      <c r="AB461" s="63"/>
      <c r="AC461" s="63"/>
    </row>
    <row r="462" spans="1:68" ht="27" hidden="1" customHeight="1" x14ac:dyDescent="0.25">
      <c r="A462" s="60" t="s">
        <v>750</v>
      </c>
      <c r="B462" s="60" t="s">
        <v>751</v>
      </c>
      <c r="C462" s="34">
        <v>4301051899</v>
      </c>
      <c r="D462" s="704">
        <v>4607091384246</v>
      </c>
      <c r="E462" s="704"/>
      <c r="F462" s="59">
        <v>1.5</v>
      </c>
      <c r="G462" s="35">
        <v>6</v>
      </c>
      <c r="H462" s="59">
        <v>9</v>
      </c>
      <c r="I462" s="59">
        <v>9.4939999999999998</v>
      </c>
      <c r="J462" s="35">
        <v>64</v>
      </c>
      <c r="K462" s="35" t="s">
        <v>127</v>
      </c>
      <c r="L462" s="35" t="s">
        <v>46</v>
      </c>
      <c r="M462" s="36" t="s">
        <v>88</v>
      </c>
      <c r="N462" s="36"/>
      <c r="O462" s="35">
        <v>40</v>
      </c>
      <c r="P462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46</v>
      </c>
      <c r="AB462" s="66" t="s">
        <v>46</v>
      </c>
      <c r="AC462" s="551" t="s">
        <v>752</v>
      </c>
      <c r="AG462" s="75"/>
      <c r="AJ462" s="79" t="s">
        <v>46</v>
      </c>
      <c r="AK462" s="79">
        <v>0</v>
      </c>
      <c r="BB462" s="552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753</v>
      </c>
      <c r="B463" s="60" t="s">
        <v>754</v>
      </c>
      <c r="C463" s="34">
        <v>4301051660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89</v>
      </c>
      <c r="L463" s="35" t="s">
        <v>46</v>
      </c>
      <c r="M463" s="36" t="s">
        <v>88</v>
      </c>
      <c r="N463" s="36"/>
      <c r="O463" s="35">
        <v>40</v>
      </c>
      <c r="P463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3" t="s">
        <v>752</v>
      </c>
      <c r="AG463" s="75"/>
      <c r="AJ463" s="79" t="s">
        <v>46</v>
      </c>
      <c r="AK463" s="79">
        <v>0</v>
      </c>
      <c r="BB463" s="554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753</v>
      </c>
      <c r="B464" s="60" t="s">
        <v>755</v>
      </c>
      <c r="C464" s="34">
        <v>4301052069</v>
      </c>
      <c r="D464" s="704">
        <v>4607091384253</v>
      </c>
      <c r="E464" s="704"/>
      <c r="F464" s="59">
        <v>0.4</v>
      </c>
      <c r="G464" s="35">
        <v>6</v>
      </c>
      <c r="H464" s="59">
        <v>2.4</v>
      </c>
      <c r="I464" s="59">
        <v>2.6640000000000001</v>
      </c>
      <c r="J464" s="35">
        <v>182</v>
      </c>
      <c r="K464" s="35" t="s">
        <v>89</v>
      </c>
      <c r="L464" s="35" t="s">
        <v>46</v>
      </c>
      <c r="M464" s="36" t="s">
        <v>88</v>
      </c>
      <c r="N464" s="36"/>
      <c r="O464" s="35">
        <v>40</v>
      </c>
      <c r="P464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706"/>
      <c r="R464" s="706"/>
      <c r="S464" s="706"/>
      <c r="T464" s="707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IFERROR(IF(Y464=0,"",ROUNDUP(Y464/H464,0)*0.00651),"")</f>
        <v/>
      </c>
      <c r="AA464" s="65" t="s">
        <v>46</v>
      </c>
      <c r="AB464" s="66" t="s">
        <v>46</v>
      </c>
      <c r="AC464" s="555" t="s">
        <v>756</v>
      </c>
      <c r="AG464" s="75"/>
      <c r="AJ464" s="79" t="s">
        <v>46</v>
      </c>
      <c r="AK464" s="79">
        <v>0</v>
      </c>
      <c r="BB464" s="556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idden="1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39</v>
      </c>
      <c r="X465" s="41">
        <f>IFERROR(X462/H462,"0")+IFERROR(X463/H463,"0")+IFERROR(X464/H464,"0")</f>
        <v>0</v>
      </c>
      <c r="Y465" s="41">
        <f>IFERROR(Y462/H462,"0")+IFERROR(Y463/H463,"0")+IFERROR(Y464/H464,"0")</f>
        <v>0</v>
      </c>
      <c r="Z465" s="41">
        <f>IFERROR(IF(Z462="",0,Z462),"0")+IFERROR(IF(Z463="",0,Z463),"0")+IFERROR(IF(Z464="",0,Z464),"0")</f>
        <v>0</v>
      </c>
      <c r="AA465" s="64"/>
      <c r="AB465" s="64"/>
      <c r="AC465" s="64"/>
    </row>
    <row r="466" spans="1:68" hidden="1" x14ac:dyDescent="0.2">
      <c r="A466" s="712"/>
      <c r="B466" s="712"/>
      <c r="C466" s="712"/>
      <c r="D466" s="712"/>
      <c r="E466" s="712"/>
      <c r="F466" s="712"/>
      <c r="G466" s="712"/>
      <c r="H466" s="712"/>
      <c r="I466" s="712"/>
      <c r="J466" s="712"/>
      <c r="K466" s="712"/>
      <c r="L466" s="712"/>
      <c r="M466" s="712"/>
      <c r="N466" s="712"/>
      <c r="O466" s="713"/>
      <c r="P466" s="709" t="s">
        <v>40</v>
      </c>
      <c r="Q466" s="710"/>
      <c r="R466" s="710"/>
      <c r="S466" s="710"/>
      <c r="T466" s="710"/>
      <c r="U466" s="710"/>
      <c r="V466" s="711"/>
      <c r="W466" s="40" t="s">
        <v>0</v>
      </c>
      <c r="X466" s="41">
        <f>IFERROR(SUM(X462:X464),"0")</f>
        <v>0</v>
      </c>
      <c r="Y466" s="41">
        <f>IFERROR(SUM(Y462:Y464),"0")</f>
        <v>0</v>
      </c>
      <c r="Z466" s="40"/>
      <c r="AA466" s="64"/>
      <c r="AB466" s="64"/>
      <c r="AC466" s="64"/>
    </row>
    <row r="467" spans="1:68" ht="27.75" hidden="1" customHeight="1" x14ac:dyDescent="0.2">
      <c r="A467" s="701" t="s">
        <v>757</v>
      </c>
      <c r="B467" s="701"/>
      <c r="C467" s="701"/>
      <c r="D467" s="701"/>
      <c r="E467" s="701"/>
      <c r="F467" s="701"/>
      <c r="G467" s="701"/>
      <c r="H467" s="701"/>
      <c r="I467" s="701"/>
      <c r="J467" s="701"/>
      <c r="K467" s="701"/>
      <c r="L467" s="701"/>
      <c r="M467" s="701"/>
      <c r="N467" s="701"/>
      <c r="O467" s="701"/>
      <c r="P467" s="701"/>
      <c r="Q467" s="701"/>
      <c r="R467" s="701"/>
      <c r="S467" s="701"/>
      <c r="T467" s="701"/>
      <c r="U467" s="701"/>
      <c r="V467" s="701"/>
      <c r="W467" s="701"/>
      <c r="X467" s="701"/>
      <c r="Y467" s="701"/>
      <c r="Z467" s="701"/>
      <c r="AA467" s="52"/>
      <c r="AB467" s="52"/>
      <c r="AC467" s="52"/>
    </row>
    <row r="468" spans="1:68" ht="16.5" hidden="1" customHeight="1" x14ac:dyDescent="0.25">
      <c r="A468" s="702" t="s">
        <v>758</v>
      </c>
      <c r="B468" s="702"/>
      <c r="C468" s="702"/>
      <c r="D468" s="702"/>
      <c r="E468" s="702"/>
      <c r="F468" s="702"/>
      <c r="G468" s="702"/>
      <c r="H468" s="702"/>
      <c r="I468" s="702"/>
      <c r="J468" s="702"/>
      <c r="K468" s="702"/>
      <c r="L468" s="702"/>
      <c r="M468" s="702"/>
      <c r="N468" s="702"/>
      <c r="O468" s="702"/>
      <c r="P468" s="702"/>
      <c r="Q468" s="702"/>
      <c r="R468" s="702"/>
      <c r="S468" s="702"/>
      <c r="T468" s="702"/>
      <c r="U468" s="702"/>
      <c r="V468" s="702"/>
      <c r="W468" s="702"/>
      <c r="X468" s="702"/>
      <c r="Y468" s="702"/>
      <c r="Z468" s="702"/>
      <c r="AA468" s="62"/>
      <c r="AB468" s="62"/>
      <c r="AC468" s="62"/>
    </row>
    <row r="469" spans="1:68" ht="14.25" hidden="1" customHeight="1" x14ac:dyDescent="0.25">
      <c r="A469" s="703" t="s">
        <v>75</v>
      </c>
      <c r="B469" s="703"/>
      <c r="C469" s="703"/>
      <c r="D469" s="703"/>
      <c r="E469" s="703"/>
      <c r="F469" s="703"/>
      <c r="G469" s="703"/>
      <c r="H469" s="703"/>
      <c r="I469" s="703"/>
      <c r="J469" s="703"/>
      <c r="K469" s="703"/>
      <c r="L469" s="703"/>
      <c r="M469" s="703"/>
      <c r="N469" s="703"/>
      <c r="O469" s="703"/>
      <c r="P469" s="703"/>
      <c r="Q469" s="703"/>
      <c r="R469" s="703"/>
      <c r="S469" s="703"/>
      <c r="T469" s="703"/>
      <c r="U469" s="703"/>
      <c r="V469" s="703"/>
      <c r="W469" s="703"/>
      <c r="X469" s="703"/>
      <c r="Y469" s="703"/>
      <c r="Z469" s="703"/>
      <c r="AA469" s="63"/>
      <c r="AB469" s="63"/>
      <c r="AC469" s="63"/>
    </row>
    <row r="470" spans="1:68" ht="27" hidden="1" customHeight="1" x14ac:dyDescent="0.25">
      <c r="A470" s="60" t="s">
        <v>759</v>
      </c>
      <c r="B470" s="60" t="s">
        <v>760</v>
      </c>
      <c r="C470" s="34">
        <v>4301031405</v>
      </c>
      <c r="D470" s="704">
        <v>4680115886100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134</v>
      </c>
      <c r="L470" s="35" t="s">
        <v>46</v>
      </c>
      <c r="M470" s="36" t="s">
        <v>79</v>
      </c>
      <c r="N470" s="36"/>
      <c r="O470" s="35">
        <v>50</v>
      </c>
      <c r="P470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ref="Y470:Y475" si="64">IFERROR(IF(X470="",0,CEILING((X470/$H470),1)*$H470),"")</f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7" t="s">
        <v>761</v>
      </c>
      <c r="AG470" s="75"/>
      <c r="AJ470" s="79" t="s">
        <v>46</v>
      </c>
      <c r="AK470" s="79">
        <v>0</v>
      </c>
      <c r="BB470" s="558" t="s">
        <v>66</v>
      </c>
      <c r="BM470" s="75">
        <f t="shared" ref="BM470:BM475" si="65">IFERROR(X470*I470/H470,"0")</f>
        <v>0</v>
      </c>
      <c r="BN470" s="75">
        <f t="shared" ref="BN470:BN475" si="66">IFERROR(Y470*I470/H470,"0")</f>
        <v>0</v>
      </c>
      <c r="BO470" s="75">
        <f t="shared" ref="BO470:BO475" si="67">IFERROR(1/J470*(X470/H470),"0")</f>
        <v>0</v>
      </c>
      <c r="BP470" s="75">
        <f t="shared" ref="BP470:BP475" si="68">IFERROR(1/J470*(Y470/H470),"0")</f>
        <v>0</v>
      </c>
    </row>
    <row r="471" spans="1:68" ht="27" hidden="1" customHeight="1" x14ac:dyDescent="0.25">
      <c r="A471" s="60" t="s">
        <v>762</v>
      </c>
      <c r="B471" s="60" t="s">
        <v>763</v>
      </c>
      <c r="C471" s="34">
        <v>4301031402</v>
      </c>
      <c r="D471" s="704">
        <v>4680115886124</v>
      </c>
      <c r="E471" s="704"/>
      <c r="F471" s="59">
        <v>0.9</v>
      </c>
      <c r="G471" s="35">
        <v>6</v>
      </c>
      <c r="H471" s="59">
        <v>5.4</v>
      </c>
      <c r="I471" s="59">
        <v>5.59</v>
      </c>
      <c r="J471" s="35">
        <v>132</v>
      </c>
      <c r="K471" s="35" t="s">
        <v>134</v>
      </c>
      <c r="L471" s="35" t="s">
        <v>46</v>
      </c>
      <c r="M471" s="36" t="s">
        <v>79</v>
      </c>
      <c r="N471" s="36"/>
      <c r="O471" s="35">
        <v>50</v>
      </c>
      <c r="P471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4"/>
        <v>0</v>
      </c>
      <c r="Z471" s="39" t="str">
        <f>IFERROR(IF(Y471=0,"",ROUNDUP(Y471/H471,0)*0.00902),"")</f>
        <v/>
      </c>
      <c r="AA471" s="65" t="s">
        <v>46</v>
      </c>
      <c r="AB471" s="66" t="s">
        <v>46</v>
      </c>
      <c r="AC471" s="559" t="s">
        <v>764</v>
      </c>
      <c r="AG471" s="75"/>
      <c r="AJ471" s="79" t="s">
        <v>46</v>
      </c>
      <c r="AK471" s="79">
        <v>0</v>
      </c>
      <c r="BB471" s="560" t="s">
        <v>66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hidden="1" customHeight="1" x14ac:dyDescent="0.25">
      <c r="A472" s="60" t="s">
        <v>765</v>
      </c>
      <c r="B472" s="60" t="s">
        <v>766</v>
      </c>
      <c r="C472" s="34">
        <v>4301031362</v>
      </c>
      <c r="D472" s="704">
        <v>4607091384338</v>
      </c>
      <c r="E472" s="704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80</v>
      </c>
      <c r="L472" s="35" t="s">
        <v>46</v>
      </c>
      <c r="M472" s="36" t="s">
        <v>79</v>
      </c>
      <c r="N472" s="36"/>
      <c r="O472" s="35">
        <v>50</v>
      </c>
      <c r="P472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4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1" t="s">
        <v>761</v>
      </c>
      <c r="AG472" s="75"/>
      <c r="AJ472" s="79" t="s">
        <v>46</v>
      </c>
      <c r="AK472" s="79">
        <v>0</v>
      </c>
      <c r="BB472" s="562" t="s">
        <v>66</v>
      </c>
      <c r="BM472" s="75">
        <f t="shared" si="65"/>
        <v>0</v>
      </c>
      <c r="BN472" s="75">
        <f t="shared" si="66"/>
        <v>0</v>
      </c>
      <c r="BO472" s="75">
        <f t="shared" si="67"/>
        <v>0</v>
      </c>
      <c r="BP472" s="75">
        <f t="shared" si="68"/>
        <v>0</v>
      </c>
    </row>
    <row r="473" spans="1:68" ht="27" hidden="1" customHeight="1" x14ac:dyDescent="0.25">
      <c r="A473" s="60" t="s">
        <v>767</v>
      </c>
      <c r="B473" s="60" t="s">
        <v>768</v>
      </c>
      <c r="C473" s="34">
        <v>4301031364</v>
      </c>
      <c r="D473" s="704">
        <v>4680115883161</v>
      </c>
      <c r="E473" s="704"/>
      <c r="F473" s="59">
        <v>0.28000000000000003</v>
      </c>
      <c r="G473" s="35">
        <v>6</v>
      </c>
      <c r="H473" s="59">
        <v>1.68</v>
      </c>
      <c r="I473" s="59">
        <v>1.81</v>
      </c>
      <c r="J473" s="35">
        <v>234</v>
      </c>
      <c r="K473" s="35" t="s">
        <v>80</v>
      </c>
      <c r="L473" s="35" t="s">
        <v>46</v>
      </c>
      <c r="M473" s="36" t="s">
        <v>79</v>
      </c>
      <c r="N473" s="36"/>
      <c r="O473" s="35">
        <v>50</v>
      </c>
      <c r="P473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4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3" t="s">
        <v>769</v>
      </c>
      <c r="AG473" s="75"/>
      <c r="AJ473" s="79" t="s">
        <v>46</v>
      </c>
      <c r="AK473" s="79">
        <v>0</v>
      </c>
      <c r="BB473" s="564" t="s">
        <v>66</v>
      </c>
      <c r="BM473" s="75">
        <f t="shared" si="65"/>
        <v>0</v>
      </c>
      <c r="BN473" s="75">
        <f t="shared" si="66"/>
        <v>0</v>
      </c>
      <c r="BO473" s="75">
        <f t="shared" si="67"/>
        <v>0</v>
      </c>
      <c r="BP473" s="75">
        <f t="shared" si="68"/>
        <v>0</v>
      </c>
    </row>
    <row r="474" spans="1:68" ht="27" hidden="1" customHeight="1" x14ac:dyDescent="0.25">
      <c r="A474" s="60" t="s">
        <v>770</v>
      </c>
      <c r="B474" s="60" t="s">
        <v>771</v>
      </c>
      <c r="C474" s="34">
        <v>4301031358</v>
      </c>
      <c r="D474" s="704">
        <v>4607091389531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80</v>
      </c>
      <c r="L474" s="35" t="s">
        <v>46</v>
      </c>
      <c r="M474" s="36" t="s">
        <v>79</v>
      </c>
      <c r="N474" s="36"/>
      <c r="O474" s="35">
        <v>50</v>
      </c>
      <c r="P474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4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5" t="s">
        <v>772</v>
      </c>
      <c r="AG474" s="75"/>
      <c r="AJ474" s="79" t="s">
        <v>46</v>
      </c>
      <c r="AK474" s="79">
        <v>0</v>
      </c>
      <c r="BB474" s="566" t="s">
        <v>66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37.5" hidden="1" customHeight="1" x14ac:dyDescent="0.25">
      <c r="A475" s="60" t="s">
        <v>773</v>
      </c>
      <c r="B475" s="60" t="s">
        <v>774</v>
      </c>
      <c r="C475" s="34">
        <v>4301031360</v>
      </c>
      <c r="D475" s="704">
        <v>4607091384345</v>
      </c>
      <c r="E475" s="704"/>
      <c r="F475" s="59">
        <v>0.35</v>
      </c>
      <c r="G475" s="35">
        <v>6</v>
      </c>
      <c r="H475" s="59">
        <v>2.1</v>
      </c>
      <c r="I475" s="59">
        <v>2.23</v>
      </c>
      <c r="J475" s="35">
        <v>234</v>
      </c>
      <c r="K475" s="35" t="s">
        <v>80</v>
      </c>
      <c r="L475" s="35" t="s">
        <v>46</v>
      </c>
      <c r="M475" s="36" t="s">
        <v>79</v>
      </c>
      <c r="N475" s="36"/>
      <c r="O475" s="35">
        <v>50</v>
      </c>
      <c r="P475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706"/>
      <c r="R475" s="706"/>
      <c r="S475" s="706"/>
      <c r="T475" s="70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4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67" t="s">
        <v>769</v>
      </c>
      <c r="AG475" s="75"/>
      <c r="AJ475" s="79" t="s">
        <v>46</v>
      </c>
      <c r="AK475" s="79">
        <v>0</v>
      </c>
      <c r="BB475" s="568" t="s">
        <v>66</v>
      </c>
      <c r="BM475" s="75">
        <f t="shared" si="65"/>
        <v>0</v>
      </c>
      <c r="BN475" s="75">
        <f t="shared" si="66"/>
        <v>0</v>
      </c>
      <c r="BO475" s="75">
        <f t="shared" si="67"/>
        <v>0</v>
      </c>
      <c r="BP475" s="75">
        <f t="shared" si="68"/>
        <v>0</v>
      </c>
    </row>
    <row r="476" spans="1:68" hidden="1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39</v>
      </c>
      <c r="X476" s="41">
        <f>IFERROR(X470/H470,"0")+IFERROR(X471/H471,"0")+IFERROR(X472/H472,"0")+IFERROR(X473/H473,"0")+IFERROR(X474/H474,"0")+IFERROR(X475/H475,"0")</f>
        <v>0</v>
      </c>
      <c r="Y476" s="41">
        <f>IFERROR(Y470/H470,"0")+IFERROR(Y471/H471,"0")+IFERROR(Y472/H472,"0")+IFERROR(Y473/H473,"0")+IFERROR(Y474/H474,"0")+IFERROR(Y475/H475,"0")</f>
        <v>0</v>
      </c>
      <c r="Z476" s="41">
        <f>IFERROR(IF(Z470="",0,Z470),"0")+IFERROR(IF(Z471="",0,Z471),"0")+IFERROR(IF(Z472="",0,Z472),"0")+IFERROR(IF(Z473="",0,Z473),"0")+IFERROR(IF(Z474="",0,Z474),"0")+IFERROR(IF(Z475="",0,Z475),"0")</f>
        <v>0</v>
      </c>
      <c r="AA476" s="64"/>
      <c r="AB476" s="64"/>
      <c r="AC476" s="64"/>
    </row>
    <row r="477" spans="1:68" hidden="1" x14ac:dyDescent="0.2">
      <c r="A477" s="712"/>
      <c r="B477" s="712"/>
      <c r="C477" s="712"/>
      <c r="D477" s="712"/>
      <c r="E477" s="712"/>
      <c r="F477" s="712"/>
      <c r="G477" s="712"/>
      <c r="H477" s="712"/>
      <c r="I477" s="712"/>
      <c r="J477" s="712"/>
      <c r="K477" s="712"/>
      <c r="L477" s="712"/>
      <c r="M477" s="712"/>
      <c r="N477" s="712"/>
      <c r="O477" s="713"/>
      <c r="P477" s="709" t="s">
        <v>40</v>
      </c>
      <c r="Q477" s="710"/>
      <c r="R477" s="710"/>
      <c r="S477" s="710"/>
      <c r="T477" s="710"/>
      <c r="U477" s="710"/>
      <c r="V477" s="711"/>
      <c r="W477" s="40" t="s">
        <v>0</v>
      </c>
      <c r="X477" s="41">
        <f>IFERROR(SUM(X470:X475),"0")</f>
        <v>0</v>
      </c>
      <c r="Y477" s="41">
        <f>IFERROR(SUM(Y470:Y475),"0")</f>
        <v>0</v>
      </c>
      <c r="Z477" s="40"/>
      <c r="AA477" s="64"/>
      <c r="AB477" s="64"/>
      <c r="AC477" s="64"/>
    </row>
    <row r="478" spans="1:68" ht="14.25" hidden="1" customHeight="1" x14ac:dyDescent="0.25">
      <c r="A478" s="703" t="s">
        <v>84</v>
      </c>
      <c r="B478" s="703"/>
      <c r="C478" s="703"/>
      <c r="D478" s="703"/>
      <c r="E478" s="703"/>
      <c r="F478" s="703"/>
      <c r="G478" s="703"/>
      <c r="H478" s="703"/>
      <c r="I478" s="703"/>
      <c r="J478" s="703"/>
      <c r="K478" s="703"/>
      <c r="L478" s="703"/>
      <c r="M478" s="703"/>
      <c r="N478" s="703"/>
      <c r="O478" s="703"/>
      <c r="P478" s="703"/>
      <c r="Q478" s="703"/>
      <c r="R478" s="703"/>
      <c r="S478" s="703"/>
      <c r="T478" s="703"/>
      <c r="U478" s="703"/>
      <c r="V478" s="703"/>
      <c r="W478" s="703"/>
      <c r="X478" s="703"/>
      <c r="Y478" s="703"/>
      <c r="Z478" s="703"/>
      <c r="AA478" s="63"/>
      <c r="AB478" s="63"/>
      <c r="AC478" s="63"/>
    </row>
    <row r="479" spans="1:68" ht="27" hidden="1" customHeight="1" x14ac:dyDescent="0.25">
      <c r="A479" s="60" t="s">
        <v>775</v>
      </c>
      <c r="B479" s="60" t="s">
        <v>776</v>
      </c>
      <c r="C479" s="34">
        <v>4301051284</v>
      </c>
      <c r="D479" s="704">
        <v>4607091384352</v>
      </c>
      <c r="E479" s="704"/>
      <c r="F479" s="59">
        <v>0.6</v>
      </c>
      <c r="G479" s="35">
        <v>4</v>
      </c>
      <c r="H479" s="59">
        <v>2.4</v>
      </c>
      <c r="I479" s="59">
        <v>2.6259999999999999</v>
      </c>
      <c r="J479" s="35">
        <v>132</v>
      </c>
      <c r="K479" s="35" t="s">
        <v>134</v>
      </c>
      <c r="L479" s="35" t="s">
        <v>46</v>
      </c>
      <c r="M479" s="36" t="s">
        <v>88</v>
      </c>
      <c r="N479" s="36"/>
      <c r="O479" s="35">
        <v>45</v>
      </c>
      <c r="P479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69" t="s">
        <v>777</v>
      </c>
      <c r="AG479" s="75"/>
      <c r="AJ479" s="79" t="s">
        <v>46</v>
      </c>
      <c r="AK479" s="79">
        <v>0</v>
      </c>
      <c r="BB479" s="570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778</v>
      </c>
      <c r="B480" s="60" t="s">
        <v>779</v>
      </c>
      <c r="C480" s="34">
        <v>4301051431</v>
      </c>
      <c r="D480" s="704">
        <v>4607091389654</v>
      </c>
      <c r="E480" s="704"/>
      <c r="F480" s="59">
        <v>0.33</v>
      </c>
      <c r="G480" s="35">
        <v>6</v>
      </c>
      <c r="H480" s="59">
        <v>1.98</v>
      </c>
      <c r="I480" s="59">
        <v>2.238</v>
      </c>
      <c r="J480" s="35">
        <v>182</v>
      </c>
      <c r="K480" s="35" t="s">
        <v>89</v>
      </c>
      <c r="L480" s="35" t="s">
        <v>46</v>
      </c>
      <c r="M480" s="36" t="s">
        <v>88</v>
      </c>
      <c r="N480" s="36"/>
      <c r="O480" s="35">
        <v>45</v>
      </c>
      <c r="P480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706"/>
      <c r="R480" s="706"/>
      <c r="S480" s="706"/>
      <c r="T480" s="707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71" t="s">
        <v>780</v>
      </c>
      <c r="AG480" s="75"/>
      <c r="AJ480" s="79" t="s">
        <v>46</v>
      </c>
      <c r="AK480" s="79">
        <v>0</v>
      </c>
      <c r="BB480" s="572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hidden="1" x14ac:dyDescent="0.2">
      <c r="A482" s="712"/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3"/>
      <c r="P482" s="709" t="s">
        <v>40</v>
      </c>
      <c r="Q482" s="710"/>
      <c r="R482" s="710"/>
      <c r="S482" s="710"/>
      <c r="T482" s="710"/>
      <c r="U482" s="710"/>
      <c r="V482" s="71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hidden="1" customHeight="1" x14ac:dyDescent="0.25">
      <c r="A483" s="702" t="s">
        <v>781</v>
      </c>
      <c r="B483" s="702"/>
      <c r="C483" s="702"/>
      <c r="D483" s="702"/>
      <c r="E483" s="702"/>
      <c r="F483" s="702"/>
      <c r="G483" s="702"/>
      <c r="H483" s="702"/>
      <c r="I483" s="702"/>
      <c r="J483" s="702"/>
      <c r="K483" s="702"/>
      <c r="L483" s="702"/>
      <c r="M483" s="702"/>
      <c r="N483" s="702"/>
      <c r="O483" s="702"/>
      <c r="P483" s="702"/>
      <c r="Q483" s="702"/>
      <c r="R483" s="702"/>
      <c r="S483" s="702"/>
      <c r="T483" s="702"/>
      <c r="U483" s="702"/>
      <c r="V483" s="702"/>
      <c r="W483" s="702"/>
      <c r="X483" s="702"/>
      <c r="Y483" s="702"/>
      <c r="Z483" s="702"/>
      <c r="AA483" s="62"/>
      <c r="AB483" s="62"/>
      <c r="AC483" s="62"/>
    </row>
    <row r="484" spans="1:68" ht="14.25" hidden="1" customHeight="1" x14ac:dyDescent="0.25">
      <c r="A484" s="703" t="s">
        <v>155</v>
      </c>
      <c r="B484" s="703"/>
      <c r="C484" s="703"/>
      <c r="D484" s="703"/>
      <c r="E484" s="703"/>
      <c r="F484" s="703"/>
      <c r="G484" s="703"/>
      <c r="H484" s="703"/>
      <c r="I484" s="703"/>
      <c r="J484" s="703"/>
      <c r="K484" s="703"/>
      <c r="L484" s="703"/>
      <c r="M484" s="703"/>
      <c r="N484" s="703"/>
      <c r="O484" s="703"/>
      <c r="P484" s="703"/>
      <c r="Q484" s="703"/>
      <c r="R484" s="703"/>
      <c r="S484" s="703"/>
      <c r="T484" s="703"/>
      <c r="U484" s="703"/>
      <c r="V484" s="703"/>
      <c r="W484" s="703"/>
      <c r="X484" s="703"/>
      <c r="Y484" s="703"/>
      <c r="Z484" s="703"/>
      <c r="AA484" s="63"/>
      <c r="AB484" s="63"/>
      <c r="AC484" s="63"/>
    </row>
    <row r="485" spans="1:68" ht="27" hidden="1" customHeight="1" x14ac:dyDescent="0.25">
      <c r="A485" s="60" t="s">
        <v>782</v>
      </c>
      <c r="B485" s="60" t="s">
        <v>783</v>
      </c>
      <c r="C485" s="34">
        <v>4301020416</v>
      </c>
      <c r="D485" s="704">
        <v>4680115885240</v>
      </c>
      <c r="E485" s="704"/>
      <c r="F485" s="59">
        <v>0.35</v>
      </c>
      <c r="G485" s="35">
        <v>6</v>
      </c>
      <c r="H485" s="59">
        <v>2.1</v>
      </c>
      <c r="I485" s="59">
        <v>2.31</v>
      </c>
      <c r="J485" s="35">
        <v>182</v>
      </c>
      <c r="K485" s="35" t="s">
        <v>89</v>
      </c>
      <c r="L485" s="35" t="s">
        <v>46</v>
      </c>
      <c r="M485" s="36" t="s">
        <v>79</v>
      </c>
      <c r="N485" s="36"/>
      <c r="O485" s="35">
        <v>40</v>
      </c>
      <c r="P485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706"/>
      <c r="R485" s="706"/>
      <c r="S485" s="706"/>
      <c r="T485" s="707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73" t="s">
        <v>784</v>
      </c>
      <c r="AG485" s="75"/>
      <c r="AJ485" s="79" t="s">
        <v>46</v>
      </c>
      <c r="AK485" s="79">
        <v>0</v>
      </c>
      <c r="BB485" s="574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712"/>
      <c r="B487" s="712"/>
      <c r="C487" s="712"/>
      <c r="D487" s="712"/>
      <c r="E487" s="712"/>
      <c r="F487" s="712"/>
      <c r="G487" s="712"/>
      <c r="H487" s="712"/>
      <c r="I487" s="712"/>
      <c r="J487" s="712"/>
      <c r="K487" s="712"/>
      <c r="L487" s="712"/>
      <c r="M487" s="712"/>
      <c r="N487" s="712"/>
      <c r="O487" s="713"/>
      <c r="P487" s="709" t="s">
        <v>40</v>
      </c>
      <c r="Q487" s="710"/>
      <c r="R487" s="710"/>
      <c r="S487" s="710"/>
      <c r="T487" s="710"/>
      <c r="U487" s="710"/>
      <c r="V487" s="71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4.25" hidden="1" customHeight="1" x14ac:dyDescent="0.25">
      <c r="A488" s="703" t="s">
        <v>75</v>
      </c>
      <c r="B488" s="703"/>
      <c r="C488" s="703"/>
      <c r="D488" s="703"/>
      <c r="E488" s="703"/>
      <c r="F488" s="703"/>
      <c r="G488" s="703"/>
      <c r="H488" s="703"/>
      <c r="I488" s="703"/>
      <c r="J488" s="703"/>
      <c r="K488" s="703"/>
      <c r="L488" s="703"/>
      <c r="M488" s="703"/>
      <c r="N488" s="703"/>
      <c r="O488" s="703"/>
      <c r="P488" s="703"/>
      <c r="Q488" s="703"/>
      <c r="R488" s="703"/>
      <c r="S488" s="703"/>
      <c r="T488" s="703"/>
      <c r="U488" s="703"/>
      <c r="V488" s="703"/>
      <c r="W488" s="703"/>
      <c r="X488" s="703"/>
      <c r="Y488" s="703"/>
      <c r="Z488" s="703"/>
      <c r="AA488" s="63"/>
      <c r="AB488" s="63"/>
      <c r="AC488" s="63"/>
    </row>
    <row r="489" spans="1:68" ht="27" hidden="1" customHeight="1" x14ac:dyDescent="0.25">
      <c r="A489" s="60" t="s">
        <v>785</v>
      </c>
      <c r="B489" s="60" t="s">
        <v>786</v>
      </c>
      <c r="C489" s="34">
        <v>4301031407</v>
      </c>
      <c r="D489" s="704">
        <v>4680115886094</v>
      </c>
      <c r="E489" s="704"/>
      <c r="F489" s="59">
        <v>0.9</v>
      </c>
      <c r="G489" s="35">
        <v>6</v>
      </c>
      <c r="H489" s="59">
        <v>5.4</v>
      </c>
      <c r="I489" s="59">
        <v>5.59</v>
      </c>
      <c r="J489" s="35">
        <v>132</v>
      </c>
      <c r="K489" s="35" t="s">
        <v>134</v>
      </c>
      <c r="L489" s="35" t="s">
        <v>46</v>
      </c>
      <c r="M489" s="36" t="s">
        <v>79</v>
      </c>
      <c r="N489" s="36"/>
      <c r="O489" s="35">
        <v>50</v>
      </c>
      <c r="P489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IFERROR(IF(Y489=0,"",ROUNDUP(Y489/H489,0)*0.00902),"")</f>
        <v/>
      </c>
      <c r="AA489" s="65" t="s">
        <v>46</v>
      </c>
      <c r="AB489" s="66" t="s">
        <v>46</v>
      </c>
      <c r="AC489" s="575" t="s">
        <v>787</v>
      </c>
      <c r="AG489" s="75"/>
      <c r="AJ489" s="79" t="s">
        <v>46</v>
      </c>
      <c r="AK489" s="79">
        <v>0</v>
      </c>
      <c r="BB489" s="576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788</v>
      </c>
      <c r="B490" s="60" t="s">
        <v>789</v>
      </c>
      <c r="C490" s="34">
        <v>4301031373</v>
      </c>
      <c r="D490" s="704">
        <v>4680115880771</v>
      </c>
      <c r="E490" s="704"/>
      <c r="F490" s="59">
        <v>0.28000000000000003</v>
      </c>
      <c r="G490" s="35">
        <v>6</v>
      </c>
      <c r="H490" s="59">
        <v>1.68</v>
      </c>
      <c r="I490" s="59">
        <v>1.81</v>
      </c>
      <c r="J490" s="35">
        <v>234</v>
      </c>
      <c r="K490" s="35" t="s">
        <v>80</v>
      </c>
      <c r="L490" s="35" t="s">
        <v>46</v>
      </c>
      <c r="M490" s="36" t="s">
        <v>79</v>
      </c>
      <c r="N490" s="36"/>
      <c r="O490" s="35">
        <v>50</v>
      </c>
      <c r="P490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7" t="s">
        <v>790</v>
      </c>
      <c r="AG490" s="75"/>
      <c r="AJ490" s="79" t="s">
        <v>46</v>
      </c>
      <c r="AK490" s="79">
        <v>0</v>
      </c>
      <c r="BB490" s="578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t="27" hidden="1" customHeight="1" x14ac:dyDescent="0.25">
      <c r="A491" s="60" t="s">
        <v>791</v>
      </c>
      <c r="B491" s="60" t="s">
        <v>792</v>
      </c>
      <c r="C491" s="34">
        <v>4301031359</v>
      </c>
      <c r="D491" s="704">
        <v>4607091389500</v>
      </c>
      <c r="E491" s="704"/>
      <c r="F491" s="59">
        <v>0.35</v>
      </c>
      <c r="G491" s="35">
        <v>6</v>
      </c>
      <c r="H491" s="59">
        <v>2.1</v>
      </c>
      <c r="I491" s="59">
        <v>2.23</v>
      </c>
      <c r="J491" s="35">
        <v>234</v>
      </c>
      <c r="K491" s="35" t="s">
        <v>80</v>
      </c>
      <c r="L491" s="35" t="s">
        <v>46</v>
      </c>
      <c r="M491" s="36" t="s">
        <v>79</v>
      </c>
      <c r="N491" s="36"/>
      <c r="O491" s="35">
        <v>50</v>
      </c>
      <c r="P491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706"/>
      <c r="R491" s="706"/>
      <c r="S491" s="706"/>
      <c r="T491" s="70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IFERROR(IF(Y491=0,"",ROUNDUP(Y491/H491,0)*0.00502),"")</f>
        <v/>
      </c>
      <c r="AA491" s="65" t="s">
        <v>46</v>
      </c>
      <c r="AB491" s="66" t="s">
        <v>46</v>
      </c>
      <c r="AC491" s="579" t="s">
        <v>790</v>
      </c>
      <c r="AG491" s="75"/>
      <c r="AJ491" s="79" t="s">
        <v>46</v>
      </c>
      <c r="AK491" s="79">
        <v>0</v>
      </c>
      <c r="BB491" s="580" t="s">
        <v>66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idden="1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39</v>
      </c>
      <c r="X492" s="41">
        <f>IFERROR(X489/H489,"0")+IFERROR(X490/H490,"0")+IFERROR(X491/H491,"0")</f>
        <v>0</v>
      </c>
      <c r="Y492" s="41">
        <f>IFERROR(Y489/H489,"0")+IFERROR(Y490/H490,"0")+IFERROR(Y491/H491,"0")</f>
        <v>0</v>
      </c>
      <c r="Z492" s="41">
        <f>IFERROR(IF(Z489="",0,Z489),"0")+IFERROR(IF(Z490="",0,Z490),"0")+IFERROR(IF(Z491="",0,Z491),"0")</f>
        <v>0</v>
      </c>
      <c r="AA492" s="64"/>
      <c r="AB492" s="64"/>
      <c r="AC492" s="64"/>
    </row>
    <row r="493" spans="1:68" hidden="1" x14ac:dyDescent="0.2">
      <c r="A493" s="712"/>
      <c r="B493" s="712"/>
      <c r="C493" s="712"/>
      <c r="D493" s="712"/>
      <c r="E493" s="712"/>
      <c r="F493" s="712"/>
      <c r="G493" s="712"/>
      <c r="H493" s="712"/>
      <c r="I493" s="712"/>
      <c r="J493" s="712"/>
      <c r="K493" s="712"/>
      <c r="L493" s="712"/>
      <c r="M493" s="712"/>
      <c r="N493" s="712"/>
      <c r="O493" s="713"/>
      <c r="P493" s="709" t="s">
        <v>40</v>
      </c>
      <c r="Q493" s="710"/>
      <c r="R493" s="710"/>
      <c r="S493" s="710"/>
      <c r="T493" s="710"/>
      <c r="U493" s="710"/>
      <c r="V493" s="711"/>
      <c r="W493" s="40" t="s">
        <v>0</v>
      </c>
      <c r="X493" s="41">
        <f>IFERROR(SUM(X489:X491),"0")</f>
        <v>0</v>
      </c>
      <c r="Y493" s="41">
        <f>IFERROR(SUM(Y489:Y491),"0")</f>
        <v>0</v>
      </c>
      <c r="Z493" s="40"/>
      <c r="AA493" s="64"/>
      <c r="AB493" s="64"/>
      <c r="AC493" s="64"/>
    </row>
    <row r="494" spans="1:68" ht="27.75" hidden="1" customHeight="1" x14ac:dyDescent="0.2">
      <c r="A494" s="701" t="s">
        <v>793</v>
      </c>
      <c r="B494" s="701"/>
      <c r="C494" s="701"/>
      <c r="D494" s="701"/>
      <c r="E494" s="701"/>
      <c r="F494" s="701"/>
      <c r="G494" s="701"/>
      <c r="H494" s="701"/>
      <c r="I494" s="701"/>
      <c r="J494" s="701"/>
      <c r="K494" s="701"/>
      <c r="L494" s="701"/>
      <c r="M494" s="701"/>
      <c r="N494" s="701"/>
      <c r="O494" s="701"/>
      <c r="P494" s="701"/>
      <c r="Q494" s="701"/>
      <c r="R494" s="701"/>
      <c r="S494" s="701"/>
      <c r="T494" s="701"/>
      <c r="U494" s="701"/>
      <c r="V494" s="701"/>
      <c r="W494" s="701"/>
      <c r="X494" s="701"/>
      <c r="Y494" s="701"/>
      <c r="Z494" s="701"/>
      <c r="AA494" s="52"/>
      <c r="AB494" s="52"/>
      <c r="AC494" s="52"/>
    </row>
    <row r="495" spans="1:68" ht="16.5" hidden="1" customHeight="1" x14ac:dyDescent="0.25">
      <c r="A495" s="702" t="s">
        <v>793</v>
      </c>
      <c r="B495" s="702"/>
      <c r="C495" s="702"/>
      <c r="D495" s="702"/>
      <c r="E495" s="702"/>
      <c r="F495" s="702"/>
      <c r="G495" s="702"/>
      <c r="H495" s="702"/>
      <c r="I495" s="702"/>
      <c r="J495" s="702"/>
      <c r="K495" s="702"/>
      <c r="L495" s="702"/>
      <c r="M495" s="702"/>
      <c r="N495" s="702"/>
      <c r="O495" s="702"/>
      <c r="P495" s="702"/>
      <c r="Q495" s="702"/>
      <c r="R495" s="702"/>
      <c r="S495" s="702"/>
      <c r="T495" s="702"/>
      <c r="U495" s="702"/>
      <c r="V495" s="702"/>
      <c r="W495" s="702"/>
      <c r="X495" s="702"/>
      <c r="Y495" s="702"/>
      <c r="Z495" s="702"/>
      <c r="AA495" s="62"/>
      <c r="AB495" s="62"/>
      <c r="AC495" s="62"/>
    </row>
    <row r="496" spans="1:68" ht="14.25" hidden="1" customHeight="1" x14ac:dyDescent="0.25">
      <c r="A496" s="703" t="s">
        <v>122</v>
      </c>
      <c r="B496" s="703"/>
      <c r="C496" s="703"/>
      <c r="D496" s="703"/>
      <c r="E496" s="703"/>
      <c r="F496" s="703"/>
      <c r="G496" s="703"/>
      <c r="H496" s="703"/>
      <c r="I496" s="703"/>
      <c r="J496" s="703"/>
      <c r="K496" s="703"/>
      <c r="L496" s="703"/>
      <c r="M496" s="703"/>
      <c r="N496" s="703"/>
      <c r="O496" s="703"/>
      <c r="P496" s="703"/>
      <c r="Q496" s="703"/>
      <c r="R496" s="703"/>
      <c r="S496" s="703"/>
      <c r="T496" s="703"/>
      <c r="U496" s="703"/>
      <c r="V496" s="703"/>
      <c r="W496" s="703"/>
      <c r="X496" s="703"/>
      <c r="Y496" s="703"/>
      <c r="Z496" s="703"/>
      <c r="AA496" s="63"/>
      <c r="AB496" s="63"/>
      <c r="AC496" s="63"/>
    </row>
    <row r="497" spans="1:68" ht="27" hidden="1" customHeight="1" x14ac:dyDescent="0.25">
      <c r="A497" s="60" t="s">
        <v>794</v>
      </c>
      <c r="B497" s="60" t="s">
        <v>795</v>
      </c>
      <c r="C497" s="34">
        <v>4301011769</v>
      </c>
      <c r="D497" s="704">
        <v>4607091389067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127</v>
      </c>
      <c r="L497" s="35" t="s">
        <v>46</v>
      </c>
      <c r="M497" s="36" t="s">
        <v>88</v>
      </c>
      <c r="N497" s="36"/>
      <c r="O497" s="35">
        <v>60</v>
      </c>
      <c r="P497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ref="Y497:Y505" si="69">IFERROR(IF(X497="",0,CEILING((X497/$H497),1)*$H497),"")</f>
        <v>0</v>
      </c>
      <c r="Z497" s="39" t="str">
        <f t="shared" ref="Z497:Z502" si="70">IFERROR(IF(Y497=0,"",ROUNDUP(Y497/H497,0)*0.01196),"")</f>
        <v/>
      </c>
      <c r="AA497" s="65" t="s">
        <v>46</v>
      </c>
      <c r="AB497" s="66" t="s">
        <v>46</v>
      </c>
      <c r="AC497" s="581" t="s">
        <v>125</v>
      </c>
      <c r="AG497" s="75"/>
      <c r="AJ497" s="79" t="s">
        <v>46</v>
      </c>
      <c r="AK497" s="79">
        <v>0</v>
      </c>
      <c r="BB497" s="582" t="s">
        <v>66</v>
      </c>
      <c r="BM497" s="75">
        <f t="shared" ref="BM497:BM505" si="71">IFERROR(X497*I497/H497,"0")</f>
        <v>0</v>
      </c>
      <c r="BN497" s="75">
        <f t="shared" ref="BN497:BN505" si="72">IFERROR(Y497*I497/H497,"0")</f>
        <v>0</v>
      </c>
      <c r="BO497" s="75">
        <f t="shared" ref="BO497:BO505" si="73">IFERROR(1/J497*(X497/H497),"0")</f>
        <v>0</v>
      </c>
      <c r="BP497" s="75">
        <f t="shared" ref="BP497:BP505" si="74">IFERROR(1/J497*(Y497/H497),"0")</f>
        <v>0</v>
      </c>
    </row>
    <row r="498" spans="1:68" ht="16.5" hidden="1" customHeight="1" x14ac:dyDescent="0.25">
      <c r="A498" s="60" t="s">
        <v>796</v>
      </c>
      <c r="B498" s="60" t="s">
        <v>797</v>
      </c>
      <c r="C498" s="34">
        <v>4301012380</v>
      </c>
      <c r="D498" s="704">
        <v>4680115889576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127</v>
      </c>
      <c r="L498" s="35" t="s">
        <v>46</v>
      </c>
      <c r="M498" s="36" t="s">
        <v>126</v>
      </c>
      <c r="N498" s="36"/>
      <c r="O498" s="35">
        <v>60</v>
      </c>
      <c r="P498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9"/>
        <v>0</v>
      </c>
      <c r="Z498" s="39" t="str">
        <f t="shared" si="70"/>
        <v/>
      </c>
      <c r="AA498" s="65" t="s">
        <v>46</v>
      </c>
      <c r="AB498" s="66" t="s">
        <v>46</v>
      </c>
      <c r="AC498" s="583" t="s">
        <v>798</v>
      </c>
      <c r="AG498" s="75"/>
      <c r="AJ498" s="79" t="s">
        <v>46</v>
      </c>
      <c r="AK498" s="79">
        <v>0</v>
      </c>
      <c r="BB498" s="584" t="s">
        <v>66</v>
      </c>
      <c r="BM498" s="75">
        <f t="shared" si="71"/>
        <v>0</v>
      </c>
      <c r="BN498" s="75">
        <f t="shared" si="72"/>
        <v>0</v>
      </c>
      <c r="BO498" s="75">
        <f t="shared" si="73"/>
        <v>0</v>
      </c>
      <c r="BP498" s="75">
        <f t="shared" si="74"/>
        <v>0</v>
      </c>
    </row>
    <row r="499" spans="1:68" ht="27" hidden="1" customHeight="1" x14ac:dyDescent="0.25">
      <c r="A499" s="60" t="s">
        <v>799</v>
      </c>
      <c r="B499" s="60" t="s">
        <v>800</v>
      </c>
      <c r="C499" s="34">
        <v>4301011961</v>
      </c>
      <c r="D499" s="704">
        <v>4680115885271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126</v>
      </c>
      <c r="N499" s="36"/>
      <c r="O499" s="35">
        <v>60</v>
      </c>
      <c r="P499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9"/>
        <v>0</v>
      </c>
      <c r="Z499" s="39" t="str">
        <f t="shared" si="70"/>
        <v/>
      </c>
      <c r="AA499" s="65" t="s">
        <v>46</v>
      </c>
      <c r="AB499" s="66" t="s">
        <v>46</v>
      </c>
      <c r="AC499" s="585" t="s">
        <v>801</v>
      </c>
      <c r="AG499" s="75"/>
      <c r="AJ499" s="79" t="s">
        <v>46</v>
      </c>
      <c r="AK499" s="79">
        <v>0</v>
      </c>
      <c r="BB499" s="586" t="s">
        <v>66</v>
      </c>
      <c r="BM499" s="75">
        <f t="shared" si="71"/>
        <v>0</v>
      </c>
      <c r="BN499" s="75">
        <f t="shared" si="72"/>
        <v>0</v>
      </c>
      <c r="BO499" s="75">
        <f t="shared" si="73"/>
        <v>0</v>
      </c>
      <c r="BP499" s="75">
        <f t="shared" si="74"/>
        <v>0</v>
      </c>
    </row>
    <row r="500" spans="1:68" ht="27" hidden="1" customHeight="1" x14ac:dyDescent="0.25">
      <c r="A500" s="60" t="s">
        <v>802</v>
      </c>
      <c r="B500" s="60" t="s">
        <v>803</v>
      </c>
      <c r="C500" s="34">
        <v>4301011369</v>
      </c>
      <c r="D500" s="704">
        <v>4680115885226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9"/>
        <v>0</v>
      </c>
      <c r="Z500" s="39" t="str">
        <f t="shared" si="70"/>
        <v/>
      </c>
      <c r="AA500" s="65" t="s">
        <v>46</v>
      </c>
      <c r="AB500" s="66" t="s">
        <v>46</v>
      </c>
      <c r="AC500" s="587" t="s">
        <v>804</v>
      </c>
      <c r="AG500" s="75"/>
      <c r="AJ500" s="79" t="s">
        <v>46</v>
      </c>
      <c r="AK500" s="79">
        <v>0</v>
      </c>
      <c r="BB500" s="588" t="s">
        <v>66</v>
      </c>
      <c r="BM500" s="75">
        <f t="shared" si="71"/>
        <v>0</v>
      </c>
      <c r="BN500" s="75">
        <f t="shared" si="72"/>
        <v>0</v>
      </c>
      <c r="BO500" s="75">
        <f t="shared" si="73"/>
        <v>0</v>
      </c>
      <c r="BP500" s="75">
        <f t="shared" si="74"/>
        <v>0</v>
      </c>
    </row>
    <row r="501" spans="1:68" ht="16.5" hidden="1" customHeight="1" x14ac:dyDescent="0.25">
      <c r="A501" s="60" t="s">
        <v>805</v>
      </c>
      <c r="B501" s="60" t="s">
        <v>806</v>
      </c>
      <c r="C501" s="34">
        <v>4301011797</v>
      </c>
      <c r="D501" s="704">
        <v>4680115884502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88</v>
      </c>
      <c r="N501" s="36"/>
      <c r="O501" s="35">
        <v>60</v>
      </c>
      <c r="P501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9"/>
        <v>0</v>
      </c>
      <c r="Z501" s="39" t="str">
        <f t="shared" si="70"/>
        <v/>
      </c>
      <c r="AA501" s="65" t="s">
        <v>46</v>
      </c>
      <c r="AB501" s="66" t="s">
        <v>46</v>
      </c>
      <c r="AC501" s="589" t="s">
        <v>807</v>
      </c>
      <c r="AG501" s="75"/>
      <c r="AJ501" s="79" t="s">
        <v>46</v>
      </c>
      <c r="AK501" s="79">
        <v>0</v>
      </c>
      <c r="BB501" s="590" t="s">
        <v>66</v>
      </c>
      <c r="BM501" s="75">
        <f t="shared" si="71"/>
        <v>0</v>
      </c>
      <c r="BN501" s="75">
        <f t="shared" si="72"/>
        <v>0</v>
      </c>
      <c r="BO501" s="75">
        <f t="shared" si="73"/>
        <v>0</v>
      </c>
      <c r="BP501" s="75">
        <f t="shared" si="74"/>
        <v>0</v>
      </c>
    </row>
    <row r="502" spans="1:68" ht="27" hidden="1" customHeight="1" x14ac:dyDescent="0.25">
      <c r="A502" s="60" t="s">
        <v>808</v>
      </c>
      <c r="B502" s="60" t="s">
        <v>809</v>
      </c>
      <c r="C502" s="34">
        <v>4301011771</v>
      </c>
      <c r="D502" s="704">
        <v>4607091389104</v>
      </c>
      <c r="E502" s="70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9"/>
        <v>0</v>
      </c>
      <c r="Z502" s="39" t="str">
        <f t="shared" si="70"/>
        <v/>
      </c>
      <c r="AA502" s="65" t="s">
        <v>46</v>
      </c>
      <c r="AB502" s="66" t="s">
        <v>46</v>
      </c>
      <c r="AC502" s="591" t="s">
        <v>810</v>
      </c>
      <c r="AG502" s="75"/>
      <c r="AJ502" s="79" t="s">
        <v>46</v>
      </c>
      <c r="AK502" s="79">
        <v>0</v>
      </c>
      <c r="BB502" s="592" t="s">
        <v>66</v>
      </c>
      <c r="BM502" s="75">
        <f t="shared" si="71"/>
        <v>0</v>
      </c>
      <c r="BN502" s="75">
        <f t="shared" si="72"/>
        <v>0</v>
      </c>
      <c r="BO502" s="75">
        <f t="shared" si="73"/>
        <v>0</v>
      </c>
      <c r="BP502" s="75">
        <f t="shared" si="74"/>
        <v>0</v>
      </c>
    </row>
    <row r="503" spans="1:68" ht="27" hidden="1" customHeight="1" x14ac:dyDescent="0.25">
      <c r="A503" s="60" t="s">
        <v>811</v>
      </c>
      <c r="B503" s="60" t="s">
        <v>812</v>
      </c>
      <c r="C503" s="34">
        <v>4301012125</v>
      </c>
      <c r="D503" s="704">
        <v>4680115886391</v>
      </c>
      <c r="E503" s="704"/>
      <c r="F503" s="59">
        <v>0.4</v>
      </c>
      <c r="G503" s="35">
        <v>6</v>
      </c>
      <c r="H503" s="59">
        <v>2.4</v>
      </c>
      <c r="I503" s="59">
        <v>2.58</v>
      </c>
      <c r="J503" s="35">
        <v>182</v>
      </c>
      <c r="K503" s="35" t="s">
        <v>89</v>
      </c>
      <c r="L503" s="35" t="s">
        <v>46</v>
      </c>
      <c r="M503" s="36" t="s">
        <v>88</v>
      </c>
      <c r="N503" s="36"/>
      <c r="O503" s="35">
        <v>60</v>
      </c>
      <c r="P503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9"/>
        <v>0</v>
      </c>
      <c r="Z503" s="39" t="str">
        <f>IFERROR(IF(Y503=0,"",ROUNDUP(Y503/H503,0)*0.00651),"")</f>
        <v/>
      </c>
      <c r="AA503" s="65" t="s">
        <v>46</v>
      </c>
      <c r="AB503" s="66" t="s">
        <v>46</v>
      </c>
      <c r="AC503" s="593" t="s">
        <v>125</v>
      </c>
      <c r="AG503" s="75"/>
      <c r="AJ503" s="79" t="s">
        <v>46</v>
      </c>
      <c r="AK503" s="79">
        <v>0</v>
      </c>
      <c r="BB503" s="594" t="s">
        <v>66</v>
      </c>
      <c r="BM503" s="75">
        <f t="shared" si="71"/>
        <v>0</v>
      </c>
      <c r="BN503" s="75">
        <f t="shared" si="72"/>
        <v>0</v>
      </c>
      <c r="BO503" s="75">
        <f t="shared" si="73"/>
        <v>0</v>
      </c>
      <c r="BP503" s="75">
        <f t="shared" si="74"/>
        <v>0</v>
      </c>
    </row>
    <row r="504" spans="1:68" ht="27" hidden="1" customHeight="1" x14ac:dyDescent="0.25">
      <c r="A504" s="60" t="s">
        <v>813</v>
      </c>
      <c r="B504" s="60" t="s">
        <v>814</v>
      </c>
      <c r="C504" s="34">
        <v>4301012048</v>
      </c>
      <c r="D504" s="704">
        <v>4680115880603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134</v>
      </c>
      <c r="L504" s="35" t="s">
        <v>46</v>
      </c>
      <c r="M504" s="36" t="s">
        <v>88</v>
      </c>
      <c r="N504" s="36"/>
      <c r="O504" s="35">
        <v>60</v>
      </c>
      <c r="P504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9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5" t="s">
        <v>125</v>
      </c>
      <c r="AG504" s="75"/>
      <c r="AJ504" s="79" t="s">
        <v>46</v>
      </c>
      <c r="AK504" s="79">
        <v>0</v>
      </c>
      <c r="BB504" s="596" t="s">
        <v>66</v>
      </c>
      <c r="BM504" s="75">
        <f t="shared" si="71"/>
        <v>0</v>
      </c>
      <c r="BN504" s="75">
        <f t="shared" si="72"/>
        <v>0</v>
      </c>
      <c r="BO504" s="75">
        <f t="shared" si="73"/>
        <v>0</v>
      </c>
      <c r="BP504" s="75">
        <f t="shared" si="74"/>
        <v>0</v>
      </c>
    </row>
    <row r="505" spans="1:68" ht="27" hidden="1" customHeight="1" x14ac:dyDescent="0.25">
      <c r="A505" s="60" t="s">
        <v>815</v>
      </c>
      <c r="B505" s="60" t="s">
        <v>816</v>
      </c>
      <c r="C505" s="34">
        <v>4301012034</v>
      </c>
      <c r="D505" s="704">
        <v>4607091389982</v>
      </c>
      <c r="E505" s="704"/>
      <c r="F505" s="59">
        <v>0.6</v>
      </c>
      <c r="G505" s="35">
        <v>8</v>
      </c>
      <c r="H505" s="59">
        <v>4.8</v>
      </c>
      <c r="I505" s="59">
        <v>6.91</v>
      </c>
      <c r="J505" s="35">
        <v>132</v>
      </c>
      <c r="K505" s="35" t="s">
        <v>134</v>
      </c>
      <c r="L505" s="35" t="s">
        <v>46</v>
      </c>
      <c r="M505" s="36" t="s">
        <v>126</v>
      </c>
      <c r="N505" s="36"/>
      <c r="O505" s="35">
        <v>60</v>
      </c>
      <c r="P505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706"/>
      <c r="R505" s="706"/>
      <c r="S505" s="706"/>
      <c r="T505" s="70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69"/>
        <v>0</v>
      </c>
      <c r="Z505" s="39" t="str">
        <f>IFERROR(IF(Y505=0,"",ROUNDUP(Y505/H505,0)*0.00902),"")</f>
        <v/>
      </c>
      <c r="AA505" s="65" t="s">
        <v>46</v>
      </c>
      <c r="AB505" s="66" t="s">
        <v>46</v>
      </c>
      <c r="AC505" s="597" t="s">
        <v>810</v>
      </c>
      <c r="AG505" s="75"/>
      <c r="AJ505" s="79" t="s">
        <v>46</v>
      </c>
      <c r="AK505" s="79">
        <v>0</v>
      </c>
      <c r="BB505" s="598" t="s">
        <v>66</v>
      </c>
      <c r="BM505" s="75">
        <f t="shared" si="71"/>
        <v>0</v>
      </c>
      <c r="BN505" s="75">
        <f t="shared" si="72"/>
        <v>0</v>
      </c>
      <c r="BO505" s="75">
        <f t="shared" si="73"/>
        <v>0</v>
      </c>
      <c r="BP505" s="75">
        <f t="shared" si="74"/>
        <v>0</v>
      </c>
    </row>
    <row r="506" spans="1:68" hidden="1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39</v>
      </c>
      <c r="X506" s="41">
        <f>IFERROR(X497/H497,"0")+IFERROR(X498/H498,"0")+IFERROR(X499/H499,"0")+IFERROR(X500/H500,"0")+IFERROR(X501/H501,"0")+IFERROR(X502/H502,"0")+IFERROR(X503/H503,"0")+IFERROR(X504/H504,"0")+IFERROR(X505/H505,"0")</f>
        <v>0</v>
      </c>
      <c r="Y506" s="41">
        <f>IFERROR(Y497/H497,"0")+IFERROR(Y498/H498,"0")+IFERROR(Y499/H499,"0")+IFERROR(Y500/H500,"0")+IFERROR(Y501/H501,"0")+IFERROR(Y502/H502,"0")+IFERROR(Y503/H503,"0")+IFERROR(Y504/H504,"0")+IFERROR(Y505/H505,"0")</f>
        <v>0</v>
      </c>
      <c r="Z506" s="4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4"/>
      <c r="AB506" s="64"/>
      <c r="AC506" s="64"/>
    </row>
    <row r="507" spans="1:68" hidden="1" x14ac:dyDescent="0.2">
      <c r="A507" s="712"/>
      <c r="B507" s="712"/>
      <c r="C507" s="712"/>
      <c r="D507" s="712"/>
      <c r="E507" s="712"/>
      <c r="F507" s="712"/>
      <c r="G507" s="712"/>
      <c r="H507" s="712"/>
      <c r="I507" s="712"/>
      <c r="J507" s="712"/>
      <c r="K507" s="712"/>
      <c r="L507" s="712"/>
      <c r="M507" s="712"/>
      <c r="N507" s="712"/>
      <c r="O507" s="713"/>
      <c r="P507" s="709" t="s">
        <v>40</v>
      </c>
      <c r="Q507" s="710"/>
      <c r="R507" s="710"/>
      <c r="S507" s="710"/>
      <c r="T507" s="710"/>
      <c r="U507" s="710"/>
      <c r="V507" s="711"/>
      <c r="W507" s="40" t="s">
        <v>0</v>
      </c>
      <c r="X507" s="41">
        <f>IFERROR(SUM(X497:X505),"0")</f>
        <v>0</v>
      </c>
      <c r="Y507" s="41">
        <f>IFERROR(SUM(Y497:Y505),"0")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703" t="s">
        <v>155</v>
      </c>
      <c r="B508" s="703"/>
      <c r="C508" s="703"/>
      <c r="D508" s="703"/>
      <c r="E508" s="703"/>
      <c r="F508" s="703"/>
      <c r="G508" s="703"/>
      <c r="H508" s="703"/>
      <c r="I508" s="703"/>
      <c r="J508" s="703"/>
      <c r="K508" s="703"/>
      <c r="L508" s="703"/>
      <c r="M508" s="703"/>
      <c r="N508" s="703"/>
      <c r="O508" s="703"/>
      <c r="P508" s="703"/>
      <c r="Q508" s="703"/>
      <c r="R508" s="703"/>
      <c r="S508" s="703"/>
      <c r="T508" s="703"/>
      <c r="U508" s="703"/>
      <c r="V508" s="703"/>
      <c r="W508" s="703"/>
      <c r="X508" s="703"/>
      <c r="Y508" s="703"/>
      <c r="Z508" s="703"/>
      <c r="AA508" s="63"/>
      <c r="AB508" s="63"/>
      <c r="AC508" s="63"/>
    </row>
    <row r="509" spans="1:68" ht="16.5" hidden="1" customHeight="1" x14ac:dyDescent="0.25">
      <c r="A509" s="60" t="s">
        <v>817</v>
      </c>
      <c r="B509" s="60" t="s">
        <v>818</v>
      </c>
      <c r="C509" s="34">
        <v>4301020334</v>
      </c>
      <c r="D509" s="704">
        <v>4607091388930</v>
      </c>
      <c r="E509" s="704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88</v>
      </c>
      <c r="N509" s="36"/>
      <c r="O509" s="35">
        <v>70</v>
      </c>
      <c r="P509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IFERROR(IF(Y509=0,"",ROUNDUP(Y509/H509,0)*0.01196),"")</f>
        <v/>
      </c>
      <c r="AA509" s="65" t="s">
        <v>46</v>
      </c>
      <c r="AB509" s="66" t="s">
        <v>46</v>
      </c>
      <c r="AC509" s="599" t="s">
        <v>819</v>
      </c>
      <c r="AG509" s="75"/>
      <c r="AJ509" s="79" t="s">
        <v>46</v>
      </c>
      <c r="AK509" s="79">
        <v>0</v>
      </c>
      <c r="BB509" s="600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820</v>
      </c>
      <c r="B510" s="60" t="s">
        <v>821</v>
      </c>
      <c r="C510" s="34">
        <v>4301020374</v>
      </c>
      <c r="D510" s="704">
        <v>4680115886407</v>
      </c>
      <c r="E510" s="704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89</v>
      </c>
      <c r="L510" s="35" t="s">
        <v>46</v>
      </c>
      <c r="M510" s="36" t="s">
        <v>126</v>
      </c>
      <c r="N510" s="36"/>
      <c r="O510" s="35">
        <v>70</v>
      </c>
      <c r="P510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1" t="s">
        <v>819</v>
      </c>
      <c r="AG510" s="75"/>
      <c r="AJ510" s="79" t="s">
        <v>46</v>
      </c>
      <c r="AK510" s="79">
        <v>0</v>
      </c>
      <c r="BB510" s="602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t="16.5" hidden="1" customHeight="1" x14ac:dyDescent="0.25">
      <c r="A511" s="60" t="s">
        <v>822</v>
      </c>
      <c r="B511" s="60" t="s">
        <v>823</v>
      </c>
      <c r="C511" s="34">
        <v>4301020385</v>
      </c>
      <c r="D511" s="704">
        <v>4680115880054</v>
      </c>
      <c r="E511" s="704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134</v>
      </c>
      <c r="L511" s="35" t="s">
        <v>46</v>
      </c>
      <c r="M511" s="36" t="s">
        <v>126</v>
      </c>
      <c r="N511" s="36"/>
      <c r="O511" s="35">
        <v>70</v>
      </c>
      <c r="P511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706"/>
      <c r="R511" s="706"/>
      <c r="S511" s="706"/>
      <c r="T511" s="707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3" t="s">
        <v>819</v>
      </c>
      <c r="AG511" s="75"/>
      <c r="AJ511" s="79" t="s">
        <v>46</v>
      </c>
      <c r="AK511" s="79">
        <v>0</v>
      </c>
      <c r="BB511" s="604" t="s">
        <v>66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idden="1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39</v>
      </c>
      <c r="X512" s="41">
        <f>IFERROR(X509/H509,"0")+IFERROR(X510/H510,"0")+IFERROR(X511/H511,"0")</f>
        <v>0</v>
      </c>
      <c r="Y512" s="41">
        <f>IFERROR(Y509/H509,"0")+IFERROR(Y510/H510,"0")+IFERROR(Y511/H511,"0")</f>
        <v>0</v>
      </c>
      <c r="Z512" s="41">
        <f>IFERROR(IF(Z509="",0,Z509),"0")+IFERROR(IF(Z510="",0,Z510),"0")+IFERROR(IF(Z511="",0,Z511),"0")</f>
        <v>0</v>
      </c>
      <c r="AA512" s="64"/>
      <c r="AB512" s="64"/>
      <c r="AC512" s="64"/>
    </row>
    <row r="513" spans="1:68" hidden="1" x14ac:dyDescent="0.2">
      <c r="A513" s="712"/>
      <c r="B513" s="712"/>
      <c r="C513" s="712"/>
      <c r="D513" s="712"/>
      <c r="E513" s="712"/>
      <c r="F513" s="712"/>
      <c r="G513" s="712"/>
      <c r="H513" s="712"/>
      <c r="I513" s="712"/>
      <c r="J513" s="712"/>
      <c r="K513" s="712"/>
      <c r="L513" s="712"/>
      <c r="M513" s="712"/>
      <c r="N513" s="712"/>
      <c r="O513" s="713"/>
      <c r="P513" s="709" t="s">
        <v>40</v>
      </c>
      <c r="Q513" s="710"/>
      <c r="R513" s="710"/>
      <c r="S513" s="710"/>
      <c r="T513" s="710"/>
      <c r="U513" s="710"/>
      <c r="V513" s="711"/>
      <c r="W513" s="40" t="s">
        <v>0</v>
      </c>
      <c r="X513" s="41">
        <f>IFERROR(SUM(X509:X511),"0")</f>
        <v>0</v>
      </c>
      <c r="Y513" s="41">
        <f>IFERROR(SUM(Y509:Y511),"0")</f>
        <v>0</v>
      </c>
      <c r="Z513" s="40"/>
      <c r="AA513" s="64"/>
      <c r="AB513" s="64"/>
      <c r="AC513" s="64"/>
    </row>
    <row r="514" spans="1:68" ht="14.25" hidden="1" customHeight="1" x14ac:dyDescent="0.25">
      <c r="A514" s="703" t="s">
        <v>75</v>
      </c>
      <c r="B514" s="703"/>
      <c r="C514" s="703"/>
      <c r="D514" s="703"/>
      <c r="E514" s="703"/>
      <c r="F514" s="703"/>
      <c r="G514" s="703"/>
      <c r="H514" s="703"/>
      <c r="I514" s="703"/>
      <c r="J514" s="703"/>
      <c r="K514" s="703"/>
      <c r="L514" s="703"/>
      <c r="M514" s="703"/>
      <c r="N514" s="703"/>
      <c r="O514" s="703"/>
      <c r="P514" s="703"/>
      <c r="Q514" s="703"/>
      <c r="R514" s="703"/>
      <c r="S514" s="703"/>
      <c r="T514" s="703"/>
      <c r="U514" s="703"/>
      <c r="V514" s="703"/>
      <c r="W514" s="703"/>
      <c r="X514" s="703"/>
      <c r="Y514" s="703"/>
      <c r="Z514" s="703"/>
      <c r="AA514" s="63"/>
      <c r="AB514" s="63"/>
      <c r="AC514" s="63"/>
    </row>
    <row r="515" spans="1:68" ht="27" hidden="1" customHeight="1" x14ac:dyDescent="0.25">
      <c r="A515" s="60" t="s">
        <v>824</v>
      </c>
      <c r="B515" s="60" t="s">
        <v>825</v>
      </c>
      <c r="C515" s="34">
        <v>4301031349</v>
      </c>
      <c r="D515" s="704">
        <v>4680115883116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127</v>
      </c>
      <c r="L515" s="35" t="s">
        <v>46</v>
      </c>
      <c r="M515" s="36" t="s">
        <v>126</v>
      </c>
      <c r="N515" s="36"/>
      <c r="O515" s="35">
        <v>70</v>
      </c>
      <c r="P515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ref="Y515:Y521" si="75">IFERROR(IF(X515="",0,CEILING((X515/$H515),1)*$H515),"")</f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5" t="s">
        <v>826</v>
      </c>
      <c r="AG515" s="75"/>
      <c r="AJ515" s="79" t="s">
        <v>46</v>
      </c>
      <c r="AK515" s="79">
        <v>0</v>
      </c>
      <c r="BB515" s="606" t="s">
        <v>66</v>
      </c>
      <c r="BM515" s="75">
        <f t="shared" ref="BM515:BM521" si="76">IFERROR(X515*I515/H515,"0")</f>
        <v>0</v>
      </c>
      <c r="BN515" s="75">
        <f t="shared" ref="BN515:BN521" si="77">IFERROR(Y515*I515/H515,"0")</f>
        <v>0</v>
      </c>
      <c r="BO515" s="75">
        <f t="shared" ref="BO515:BO521" si="78">IFERROR(1/J515*(X515/H515),"0")</f>
        <v>0</v>
      </c>
      <c r="BP515" s="75">
        <f t="shared" ref="BP515:BP521" si="79">IFERROR(1/J515*(Y515/H515),"0")</f>
        <v>0</v>
      </c>
    </row>
    <row r="516" spans="1:68" ht="27" hidden="1" customHeight="1" x14ac:dyDescent="0.25">
      <c r="A516" s="60" t="s">
        <v>827</v>
      </c>
      <c r="B516" s="60" t="s">
        <v>828</v>
      </c>
      <c r="C516" s="34">
        <v>4301031350</v>
      </c>
      <c r="D516" s="704">
        <v>4680115883093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127</v>
      </c>
      <c r="L516" s="35" t="s">
        <v>46</v>
      </c>
      <c r="M516" s="36" t="s">
        <v>79</v>
      </c>
      <c r="N516" s="36"/>
      <c r="O516" s="35">
        <v>70</v>
      </c>
      <c r="P516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75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7" t="s">
        <v>829</v>
      </c>
      <c r="AG516" s="75"/>
      <c r="AJ516" s="79" t="s">
        <v>46</v>
      </c>
      <c r="AK516" s="79">
        <v>0</v>
      </c>
      <c r="BB516" s="608" t="s">
        <v>66</v>
      </c>
      <c r="BM516" s="75">
        <f t="shared" si="76"/>
        <v>0</v>
      </c>
      <c r="BN516" s="75">
        <f t="shared" si="77"/>
        <v>0</v>
      </c>
      <c r="BO516" s="75">
        <f t="shared" si="78"/>
        <v>0</v>
      </c>
      <c r="BP516" s="75">
        <f t="shared" si="79"/>
        <v>0</v>
      </c>
    </row>
    <row r="517" spans="1:68" ht="27" hidden="1" customHeight="1" x14ac:dyDescent="0.25">
      <c r="A517" s="60" t="s">
        <v>830</v>
      </c>
      <c r="B517" s="60" t="s">
        <v>831</v>
      </c>
      <c r="C517" s="34">
        <v>4301031353</v>
      </c>
      <c r="D517" s="704">
        <v>4680115883109</v>
      </c>
      <c r="E517" s="70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79</v>
      </c>
      <c r="N517" s="36"/>
      <c r="O517" s="35">
        <v>70</v>
      </c>
      <c r="P517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75"/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09" t="s">
        <v>832</v>
      </c>
      <c r="AG517" s="75"/>
      <c r="AJ517" s="79" t="s">
        <v>46</v>
      </c>
      <c r="AK517" s="79">
        <v>0</v>
      </c>
      <c r="BB517" s="610" t="s">
        <v>66</v>
      </c>
      <c r="BM517" s="75">
        <f t="shared" si="76"/>
        <v>0</v>
      </c>
      <c r="BN517" s="75">
        <f t="shared" si="77"/>
        <v>0</v>
      </c>
      <c r="BO517" s="75">
        <f t="shared" si="78"/>
        <v>0</v>
      </c>
      <c r="BP517" s="75">
        <f t="shared" si="79"/>
        <v>0</v>
      </c>
    </row>
    <row r="518" spans="1:68" ht="27" hidden="1" customHeight="1" x14ac:dyDescent="0.25">
      <c r="A518" s="60" t="s">
        <v>833</v>
      </c>
      <c r="B518" s="60" t="s">
        <v>834</v>
      </c>
      <c r="C518" s="34">
        <v>4301031419</v>
      </c>
      <c r="D518" s="704">
        <v>4680115882072</v>
      </c>
      <c r="E518" s="704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134</v>
      </c>
      <c r="L518" s="35" t="s">
        <v>46</v>
      </c>
      <c r="M518" s="36" t="s">
        <v>126</v>
      </c>
      <c r="N518" s="36"/>
      <c r="O518" s="35">
        <v>70</v>
      </c>
      <c r="P518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75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1" t="s">
        <v>826</v>
      </c>
      <c r="AG518" s="75"/>
      <c r="AJ518" s="79" t="s">
        <v>46</v>
      </c>
      <c r="AK518" s="79">
        <v>0</v>
      </c>
      <c r="BB518" s="612" t="s">
        <v>66</v>
      </c>
      <c r="BM518" s="75">
        <f t="shared" si="76"/>
        <v>0</v>
      </c>
      <c r="BN518" s="75">
        <f t="shared" si="77"/>
        <v>0</v>
      </c>
      <c r="BO518" s="75">
        <f t="shared" si="78"/>
        <v>0</v>
      </c>
      <c r="BP518" s="75">
        <f t="shared" si="79"/>
        <v>0</v>
      </c>
    </row>
    <row r="519" spans="1:68" ht="27" hidden="1" customHeight="1" x14ac:dyDescent="0.25">
      <c r="A519" s="60" t="s">
        <v>835</v>
      </c>
      <c r="B519" s="60" t="s">
        <v>836</v>
      </c>
      <c r="C519" s="34">
        <v>4301031352</v>
      </c>
      <c r="D519" s="704">
        <v>4680115882102</v>
      </c>
      <c r="E519" s="704"/>
      <c r="F519" s="59">
        <v>0.6</v>
      </c>
      <c r="G519" s="35">
        <v>6</v>
      </c>
      <c r="H519" s="59">
        <v>3.6</v>
      </c>
      <c r="I519" s="59">
        <v>3.79</v>
      </c>
      <c r="J519" s="35">
        <v>132</v>
      </c>
      <c r="K519" s="35" t="s">
        <v>134</v>
      </c>
      <c r="L519" s="35" t="s">
        <v>46</v>
      </c>
      <c r="M519" s="36" t="s">
        <v>79</v>
      </c>
      <c r="N519" s="36"/>
      <c r="O519" s="35">
        <v>70</v>
      </c>
      <c r="P519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75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3" t="s">
        <v>829</v>
      </c>
      <c r="AG519" s="75"/>
      <c r="AJ519" s="79" t="s">
        <v>46</v>
      </c>
      <c r="AK519" s="79">
        <v>0</v>
      </c>
      <c r="BB519" s="614" t="s">
        <v>66</v>
      </c>
      <c r="BM519" s="75">
        <f t="shared" si="76"/>
        <v>0</v>
      </c>
      <c r="BN519" s="75">
        <f t="shared" si="77"/>
        <v>0</v>
      </c>
      <c r="BO519" s="75">
        <f t="shared" si="78"/>
        <v>0</v>
      </c>
      <c r="BP519" s="75">
        <f t="shared" si="79"/>
        <v>0</v>
      </c>
    </row>
    <row r="520" spans="1:68" ht="27" hidden="1" customHeight="1" x14ac:dyDescent="0.25">
      <c r="A520" s="60" t="s">
        <v>835</v>
      </c>
      <c r="B520" s="60" t="s">
        <v>837</v>
      </c>
      <c r="C520" s="34">
        <v>4301031418</v>
      </c>
      <c r="D520" s="704">
        <v>4680115882102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134</v>
      </c>
      <c r="L520" s="35" t="s">
        <v>46</v>
      </c>
      <c r="M520" s="36" t="s">
        <v>79</v>
      </c>
      <c r="N520" s="36"/>
      <c r="O520" s="35">
        <v>70</v>
      </c>
      <c r="P520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75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5" t="s">
        <v>829</v>
      </c>
      <c r="AG520" s="75"/>
      <c r="AJ520" s="79" t="s">
        <v>46</v>
      </c>
      <c r="AK520" s="79">
        <v>0</v>
      </c>
      <c r="BB520" s="616" t="s">
        <v>66</v>
      </c>
      <c r="BM520" s="75">
        <f t="shared" si="76"/>
        <v>0</v>
      </c>
      <c r="BN520" s="75">
        <f t="shared" si="77"/>
        <v>0</v>
      </c>
      <c r="BO520" s="75">
        <f t="shared" si="78"/>
        <v>0</v>
      </c>
      <c r="BP520" s="75">
        <f t="shared" si="79"/>
        <v>0</v>
      </c>
    </row>
    <row r="521" spans="1:68" ht="27" hidden="1" customHeight="1" x14ac:dyDescent="0.25">
      <c r="A521" s="60" t="s">
        <v>838</v>
      </c>
      <c r="B521" s="60" t="s">
        <v>839</v>
      </c>
      <c r="C521" s="34">
        <v>4301031417</v>
      </c>
      <c r="D521" s="704">
        <v>4680115882096</v>
      </c>
      <c r="E521" s="704"/>
      <c r="F521" s="59">
        <v>0.6</v>
      </c>
      <c r="G521" s="35">
        <v>8</v>
      </c>
      <c r="H521" s="59">
        <v>4.8</v>
      </c>
      <c r="I521" s="59">
        <v>6.67</v>
      </c>
      <c r="J521" s="35">
        <v>132</v>
      </c>
      <c r="K521" s="35" t="s">
        <v>134</v>
      </c>
      <c r="L521" s="35" t="s">
        <v>46</v>
      </c>
      <c r="M521" s="36" t="s">
        <v>79</v>
      </c>
      <c r="N521" s="36"/>
      <c r="O521" s="35">
        <v>70</v>
      </c>
      <c r="P521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706"/>
      <c r="R521" s="706"/>
      <c r="S521" s="706"/>
      <c r="T521" s="70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75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17" t="s">
        <v>832</v>
      </c>
      <c r="AG521" s="75"/>
      <c r="AJ521" s="79" t="s">
        <v>46</v>
      </c>
      <c r="AK521" s="79">
        <v>0</v>
      </c>
      <c r="BB521" s="618" t="s">
        <v>66</v>
      </c>
      <c r="BM521" s="75">
        <f t="shared" si="76"/>
        <v>0</v>
      </c>
      <c r="BN521" s="75">
        <f t="shared" si="77"/>
        <v>0</v>
      </c>
      <c r="BO521" s="75">
        <f t="shared" si="78"/>
        <v>0</v>
      </c>
      <c r="BP521" s="75">
        <f t="shared" si="79"/>
        <v>0</v>
      </c>
    </row>
    <row r="522" spans="1:68" hidden="1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39</v>
      </c>
      <c r="X522" s="41">
        <f>IFERROR(X515/H515,"0")+IFERROR(X516/H516,"0")+IFERROR(X517/H517,"0")+IFERROR(X518/H518,"0")+IFERROR(X519/H519,"0")+IFERROR(X520/H520,"0")+IFERROR(X521/H521,"0")</f>
        <v>0</v>
      </c>
      <c r="Y522" s="41">
        <f>IFERROR(Y515/H515,"0")+IFERROR(Y516/H516,"0")+IFERROR(Y517/H517,"0")+IFERROR(Y518/H518,"0")+IFERROR(Y519/H519,"0")+IFERROR(Y520/H520,"0")+IFERROR(Y521/H521,"0")</f>
        <v>0</v>
      </c>
      <c r="Z522" s="41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4"/>
      <c r="AB522" s="64"/>
      <c r="AC522" s="64"/>
    </row>
    <row r="523" spans="1:68" hidden="1" x14ac:dyDescent="0.2">
      <c r="A523" s="712"/>
      <c r="B523" s="712"/>
      <c r="C523" s="712"/>
      <c r="D523" s="712"/>
      <c r="E523" s="712"/>
      <c r="F523" s="712"/>
      <c r="G523" s="712"/>
      <c r="H523" s="712"/>
      <c r="I523" s="712"/>
      <c r="J523" s="712"/>
      <c r="K523" s="712"/>
      <c r="L523" s="712"/>
      <c r="M523" s="712"/>
      <c r="N523" s="712"/>
      <c r="O523" s="713"/>
      <c r="P523" s="709" t="s">
        <v>40</v>
      </c>
      <c r="Q523" s="710"/>
      <c r="R523" s="710"/>
      <c r="S523" s="710"/>
      <c r="T523" s="710"/>
      <c r="U523" s="710"/>
      <c r="V523" s="711"/>
      <c r="W523" s="40" t="s">
        <v>0</v>
      </c>
      <c r="X523" s="41">
        <f>IFERROR(SUM(X515:X521),"0")</f>
        <v>0</v>
      </c>
      <c r="Y523" s="41">
        <f>IFERROR(SUM(Y515:Y521),"0")</f>
        <v>0</v>
      </c>
      <c r="Z523" s="40"/>
      <c r="AA523" s="64"/>
      <c r="AB523" s="64"/>
      <c r="AC523" s="64"/>
    </row>
    <row r="524" spans="1:68" ht="27.75" hidden="1" customHeight="1" x14ac:dyDescent="0.2">
      <c r="A524" s="701" t="s">
        <v>840</v>
      </c>
      <c r="B524" s="701"/>
      <c r="C524" s="701"/>
      <c r="D524" s="701"/>
      <c r="E524" s="701"/>
      <c r="F524" s="701"/>
      <c r="G524" s="701"/>
      <c r="H524" s="701"/>
      <c r="I524" s="701"/>
      <c r="J524" s="701"/>
      <c r="K524" s="701"/>
      <c r="L524" s="701"/>
      <c r="M524" s="701"/>
      <c r="N524" s="701"/>
      <c r="O524" s="701"/>
      <c r="P524" s="701"/>
      <c r="Q524" s="701"/>
      <c r="R524" s="701"/>
      <c r="S524" s="701"/>
      <c r="T524" s="701"/>
      <c r="U524" s="701"/>
      <c r="V524" s="701"/>
      <c r="W524" s="701"/>
      <c r="X524" s="701"/>
      <c r="Y524" s="701"/>
      <c r="Z524" s="701"/>
      <c r="AA524" s="52"/>
      <c r="AB524" s="52"/>
      <c r="AC524" s="52"/>
    </row>
    <row r="525" spans="1:68" ht="16.5" hidden="1" customHeight="1" x14ac:dyDescent="0.25">
      <c r="A525" s="702" t="s">
        <v>840</v>
      </c>
      <c r="B525" s="702"/>
      <c r="C525" s="702"/>
      <c r="D525" s="702"/>
      <c r="E525" s="702"/>
      <c r="F525" s="702"/>
      <c r="G525" s="702"/>
      <c r="H525" s="702"/>
      <c r="I525" s="702"/>
      <c r="J525" s="702"/>
      <c r="K525" s="702"/>
      <c r="L525" s="702"/>
      <c r="M525" s="702"/>
      <c r="N525" s="702"/>
      <c r="O525" s="702"/>
      <c r="P525" s="702"/>
      <c r="Q525" s="702"/>
      <c r="R525" s="702"/>
      <c r="S525" s="702"/>
      <c r="T525" s="702"/>
      <c r="U525" s="702"/>
      <c r="V525" s="702"/>
      <c r="W525" s="702"/>
      <c r="X525" s="702"/>
      <c r="Y525" s="702"/>
      <c r="Z525" s="702"/>
      <c r="AA525" s="62"/>
      <c r="AB525" s="62"/>
      <c r="AC525" s="62"/>
    </row>
    <row r="526" spans="1:68" ht="14.25" hidden="1" customHeight="1" x14ac:dyDescent="0.25">
      <c r="A526" s="703" t="s">
        <v>122</v>
      </c>
      <c r="B526" s="703"/>
      <c r="C526" s="703"/>
      <c r="D526" s="703"/>
      <c r="E526" s="703"/>
      <c r="F526" s="703"/>
      <c r="G526" s="703"/>
      <c r="H526" s="703"/>
      <c r="I526" s="703"/>
      <c r="J526" s="703"/>
      <c r="K526" s="703"/>
      <c r="L526" s="703"/>
      <c r="M526" s="703"/>
      <c r="N526" s="703"/>
      <c r="O526" s="703"/>
      <c r="P526" s="703"/>
      <c r="Q526" s="703"/>
      <c r="R526" s="703"/>
      <c r="S526" s="703"/>
      <c r="T526" s="703"/>
      <c r="U526" s="703"/>
      <c r="V526" s="703"/>
      <c r="W526" s="703"/>
      <c r="X526" s="703"/>
      <c r="Y526" s="703"/>
      <c r="Z526" s="703"/>
      <c r="AA526" s="63"/>
      <c r="AB526" s="63"/>
      <c r="AC526" s="63"/>
    </row>
    <row r="527" spans="1:68" ht="27" hidden="1" customHeight="1" x14ac:dyDescent="0.25">
      <c r="A527" s="60" t="s">
        <v>841</v>
      </c>
      <c r="B527" s="60" t="s">
        <v>842</v>
      </c>
      <c r="C527" s="34">
        <v>4301011584</v>
      </c>
      <c r="D527" s="704">
        <v>4640242180564</v>
      </c>
      <c r="E527" s="704"/>
      <c r="F527" s="59">
        <v>1.5</v>
      </c>
      <c r="G527" s="35">
        <v>8</v>
      </c>
      <c r="H527" s="59">
        <v>12</v>
      </c>
      <c r="I527" s="59">
        <v>12.41</v>
      </c>
      <c r="J527" s="35">
        <v>64</v>
      </c>
      <c r="K527" s="35" t="s">
        <v>127</v>
      </c>
      <c r="L527" s="35" t="s">
        <v>46</v>
      </c>
      <c r="M527" s="36" t="s">
        <v>126</v>
      </c>
      <c r="N527" s="36"/>
      <c r="O527" s="35">
        <v>50</v>
      </c>
      <c r="P527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706"/>
      <c r="R527" s="706"/>
      <c r="S527" s="706"/>
      <c r="T527" s="707"/>
      <c r="U527" s="37" t="s">
        <v>46</v>
      </c>
      <c r="V527" s="37" t="s">
        <v>46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46</v>
      </c>
      <c r="AB527" s="66" t="s">
        <v>46</v>
      </c>
      <c r="AC527" s="619" t="s">
        <v>843</v>
      </c>
      <c r="AG527" s="75"/>
      <c r="AJ527" s="79" t="s">
        <v>46</v>
      </c>
      <c r="AK527" s="79">
        <v>0</v>
      </c>
      <c r="BB527" s="620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idden="1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39</v>
      </c>
      <c r="X528" s="41">
        <f>IFERROR(X527/H527,"0")</f>
        <v>0</v>
      </c>
      <c r="Y528" s="41">
        <f>IFERROR(Y527/H527,"0")</f>
        <v>0</v>
      </c>
      <c r="Z528" s="41">
        <f>IFERROR(IF(Z527="",0,Z527),"0")</f>
        <v>0</v>
      </c>
      <c r="AA528" s="64"/>
      <c r="AB528" s="64"/>
      <c r="AC528" s="64"/>
    </row>
    <row r="529" spans="1:68" hidden="1" x14ac:dyDescent="0.2">
      <c r="A529" s="712"/>
      <c r="B529" s="712"/>
      <c r="C529" s="712"/>
      <c r="D529" s="712"/>
      <c r="E529" s="712"/>
      <c r="F529" s="712"/>
      <c r="G529" s="712"/>
      <c r="H529" s="712"/>
      <c r="I529" s="712"/>
      <c r="J529" s="712"/>
      <c r="K529" s="712"/>
      <c r="L529" s="712"/>
      <c r="M529" s="712"/>
      <c r="N529" s="712"/>
      <c r="O529" s="713"/>
      <c r="P529" s="709" t="s">
        <v>40</v>
      </c>
      <c r="Q529" s="710"/>
      <c r="R529" s="710"/>
      <c r="S529" s="710"/>
      <c r="T529" s="710"/>
      <c r="U529" s="710"/>
      <c r="V529" s="711"/>
      <c r="W529" s="40" t="s">
        <v>0</v>
      </c>
      <c r="X529" s="41">
        <f>IFERROR(SUM(X527:X527),"0")</f>
        <v>0</v>
      </c>
      <c r="Y529" s="41">
        <f>IFERROR(SUM(Y527:Y527),"0")</f>
        <v>0</v>
      </c>
      <c r="Z529" s="40"/>
      <c r="AA529" s="64"/>
      <c r="AB529" s="64"/>
      <c r="AC529" s="64"/>
    </row>
    <row r="530" spans="1:68" ht="14.25" hidden="1" customHeight="1" x14ac:dyDescent="0.25">
      <c r="A530" s="703" t="s">
        <v>155</v>
      </c>
      <c r="B530" s="703"/>
      <c r="C530" s="703"/>
      <c r="D530" s="703"/>
      <c r="E530" s="703"/>
      <c r="F530" s="703"/>
      <c r="G530" s="703"/>
      <c r="H530" s="703"/>
      <c r="I530" s="703"/>
      <c r="J530" s="703"/>
      <c r="K530" s="703"/>
      <c r="L530" s="703"/>
      <c r="M530" s="703"/>
      <c r="N530" s="703"/>
      <c r="O530" s="703"/>
      <c r="P530" s="703"/>
      <c r="Q530" s="703"/>
      <c r="R530" s="703"/>
      <c r="S530" s="703"/>
      <c r="T530" s="703"/>
      <c r="U530" s="703"/>
      <c r="V530" s="703"/>
      <c r="W530" s="703"/>
      <c r="X530" s="703"/>
      <c r="Y530" s="703"/>
      <c r="Z530" s="703"/>
      <c r="AA530" s="63"/>
      <c r="AB530" s="63"/>
      <c r="AC530" s="63"/>
    </row>
    <row r="531" spans="1:68" ht="27" hidden="1" customHeight="1" x14ac:dyDescent="0.25">
      <c r="A531" s="60" t="s">
        <v>844</v>
      </c>
      <c r="B531" s="60" t="s">
        <v>845</v>
      </c>
      <c r="C531" s="34">
        <v>4301020400</v>
      </c>
      <c r="D531" s="704">
        <v>4640242180519</v>
      </c>
      <c r="E531" s="704"/>
      <c r="F531" s="59">
        <v>1.5</v>
      </c>
      <c r="G531" s="35">
        <v>8</v>
      </c>
      <c r="H531" s="59">
        <v>12</v>
      </c>
      <c r="I531" s="59">
        <v>12.41</v>
      </c>
      <c r="J531" s="35">
        <v>64</v>
      </c>
      <c r="K531" s="35" t="s">
        <v>127</v>
      </c>
      <c r="L531" s="35" t="s">
        <v>46</v>
      </c>
      <c r="M531" s="36" t="s">
        <v>126</v>
      </c>
      <c r="N531" s="36"/>
      <c r="O531" s="35">
        <v>50</v>
      </c>
      <c r="P531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706"/>
      <c r="R531" s="706"/>
      <c r="S531" s="706"/>
      <c r="T531" s="707"/>
      <c r="U531" s="37" t="s">
        <v>46</v>
      </c>
      <c r="V531" s="37" t="s">
        <v>46</v>
      </c>
      <c r="W531" s="38" t="s">
        <v>0</v>
      </c>
      <c r="X531" s="56">
        <v>0</v>
      </c>
      <c r="Y531" s="53">
        <f>IFERROR(IF(X531="",0,CEILING((X531/$H531),1)*$H531),"")</f>
        <v>0</v>
      </c>
      <c r="Z531" s="39" t="str">
        <f>IFERROR(IF(Y531=0,"",ROUNDUP(Y531/H531,0)*0.01898),"")</f>
        <v/>
      </c>
      <c r="AA531" s="65" t="s">
        <v>46</v>
      </c>
      <c r="AB531" s="66" t="s">
        <v>46</v>
      </c>
      <c r="AC531" s="621" t="s">
        <v>846</v>
      </c>
      <c r="AG531" s="75"/>
      <c r="AJ531" s="79" t="s">
        <v>46</v>
      </c>
      <c r="AK531" s="79">
        <v>0</v>
      </c>
      <c r="BB531" s="622" t="s">
        <v>66</v>
      </c>
      <c r="BM531" s="75">
        <f>IFERROR(X531*I531/H531,"0")</f>
        <v>0</v>
      </c>
      <c r="BN531" s="75">
        <f>IFERROR(Y531*I531/H531,"0")</f>
        <v>0</v>
      </c>
      <c r="BO531" s="75">
        <f>IFERROR(1/J531*(X531/H531),"0")</f>
        <v>0</v>
      </c>
      <c r="BP531" s="75">
        <f>IFERROR(1/J531*(Y531/H531),"0")</f>
        <v>0</v>
      </c>
    </row>
    <row r="532" spans="1:68" hidden="1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39</v>
      </c>
      <c r="X532" s="41">
        <f>IFERROR(X531/H531,"0")</f>
        <v>0</v>
      </c>
      <c r="Y532" s="41">
        <f>IFERROR(Y531/H531,"0")</f>
        <v>0</v>
      </c>
      <c r="Z532" s="41">
        <f>IFERROR(IF(Z531="",0,Z531),"0")</f>
        <v>0</v>
      </c>
      <c r="AA532" s="64"/>
      <c r="AB532" s="64"/>
      <c r="AC532" s="64"/>
    </row>
    <row r="533" spans="1:68" hidden="1" x14ac:dyDescent="0.2">
      <c r="A533" s="712"/>
      <c r="B533" s="712"/>
      <c r="C533" s="712"/>
      <c r="D533" s="712"/>
      <c r="E533" s="712"/>
      <c r="F533" s="712"/>
      <c r="G533" s="712"/>
      <c r="H533" s="712"/>
      <c r="I533" s="712"/>
      <c r="J533" s="712"/>
      <c r="K533" s="712"/>
      <c r="L533" s="712"/>
      <c r="M533" s="712"/>
      <c r="N533" s="712"/>
      <c r="O533" s="713"/>
      <c r="P533" s="709" t="s">
        <v>40</v>
      </c>
      <c r="Q533" s="710"/>
      <c r="R533" s="710"/>
      <c r="S533" s="710"/>
      <c r="T533" s="710"/>
      <c r="U533" s="710"/>
      <c r="V533" s="711"/>
      <c r="W533" s="40" t="s">
        <v>0</v>
      </c>
      <c r="X533" s="41">
        <f>IFERROR(SUM(X531:X531),"0")</f>
        <v>0</v>
      </c>
      <c r="Y533" s="41">
        <f>IFERROR(SUM(Y531:Y531),"0")</f>
        <v>0</v>
      </c>
      <c r="Z533" s="40"/>
      <c r="AA533" s="64"/>
      <c r="AB533" s="64"/>
      <c r="AC533" s="64"/>
    </row>
    <row r="534" spans="1:68" ht="14.25" hidden="1" customHeight="1" x14ac:dyDescent="0.25">
      <c r="A534" s="703" t="s">
        <v>75</v>
      </c>
      <c r="B534" s="703"/>
      <c r="C534" s="703"/>
      <c r="D534" s="703"/>
      <c r="E534" s="703"/>
      <c r="F534" s="703"/>
      <c r="G534" s="703"/>
      <c r="H534" s="703"/>
      <c r="I534" s="703"/>
      <c r="J534" s="703"/>
      <c r="K534" s="703"/>
      <c r="L534" s="703"/>
      <c r="M534" s="703"/>
      <c r="N534" s="703"/>
      <c r="O534" s="703"/>
      <c r="P534" s="703"/>
      <c r="Q534" s="703"/>
      <c r="R534" s="703"/>
      <c r="S534" s="703"/>
      <c r="T534" s="703"/>
      <c r="U534" s="703"/>
      <c r="V534" s="703"/>
      <c r="W534" s="703"/>
      <c r="X534" s="703"/>
      <c r="Y534" s="703"/>
      <c r="Z534" s="703"/>
      <c r="AA534" s="63"/>
      <c r="AB534" s="63"/>
      <c r="AC534" s="63"/>
    </row>
    <row r="535" spans="1:68" ht="27" hidden="1" customHeight="1" x14ac:dyDescent="0.25">
      <c r="A535" s="60" t="s">
        <v>847</v>
      </c>
      <c r="B535" s="60" t="s">
        <v>848</v>
      </c>
      <c r="C535" s="34">
        <v>4301031500</v>
      </c>
      <c r="D535" s="704">
        <v>4640242180595</v>
      </c>
      <c r="E535" s="704"/>
      <c r="F535" s="59">
        <v>0.7</v>
      </c>
      <c r="G535" s="35">
        <v>6</v>
      </c>
      <c r="H535" s="59">
        <v>4.2</v>
      </c>
      <c r="I535" s="59">
        <v>4.45</v>
      </c>
      <c r="J535" s="35">
        <v>132</v>
      </c>
      <c r="K535" s="35" t="s">
        <v>134</v>
      </c>
      <c r="L535" s="35" t="s">
        <v>46</v>
      </c>
      <c r="M535" s="36" t="s">
        <v>79</v>
      </c>
      <c r="N535" s="36"/>
      <c r="O535" s="35">
        <v>40</v>
      </c>
      <c r="P535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706"/>
      <c r="R535" s="706"/>
      <c r="S535" s="706"/>
      <c r="T535" s="707"/>
      <c r="U535" s="37" t="s">
        <v>46</v>
      </c>
      <c r="V535" s="37" t="s">
        <v>46</v>
      </c>
      <c r="W535" s="38" t="s">
        <v>0</v>
      </c>
      <c r="X535" s="56">
        <v>0</v>
      </c>
      <c r="Y535" s="53">
        <f>IFERROR(IF(X535="",0,CEILING((X535/$H535),1)*$H535),"")</f>
        <v>0</v>
      </c>
      <c r="Z535" s="39" t="str">
        <f>IFERROR(IF(Y535=0,"",ROUNDUP(Y535/H535,0)*0.00902),"")</f>
        <v/>
      </c>
      <c r="AA535" s="65" t="s">
        <v>46</v>
      </c>
      <c r="AB535" s="66" t="s">
        <v>46</v>
      </c>
      <c r="AC535" s="623" t="s">
        <v>849</v>
      </c>
      <c r="AG535" s="75"/>
      <c r="AJ535" s="79" t="s">
        <v>46</v>
      </c>
      <c r="AK535" s="79">
        <v>0</v>
      </c>
      <c r="BB535" s="624" t="s">
        <v>66</v>
      </c>
      <c r="BM535" s="75">
        <f>IFERROR(X535*I535/H535,"0")</f>
        <v>0</v>
      </c>
      <c r="BN535" s="75">
        <f>IFERROR(Y535*I535/H535,"0")</f>
        <v>0</v>
      </c>
      <c r="BO535" s="75">
        <f>IFERROR(1/J535*(X535/H535),"0")</f>
        <v>0</v>
      </c>
      <c r="BP535" s="75">
        <f>IFERROR(1/J535*(Y535/H535),"0")</f>
        <v>0</v>
      </c>
    </row>
    <row r="536" spans="1:68" hidden="1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39</v>
      </c>
      <c r="X536" s="41">
        <f>IFERROR(X535/H535,"0")</f>
        <v>0</v>
      </c>
      <c r="Y536" s="41">
        <f>IFERROR(Y535/H535,"0")</f>
        <v>0</v>
      </c>
      <c r="Z536" s="41">
        <f>IFERROR(IF(Z535="",0,Z535),"0")</f>
        <v>0</v>
      </c>
      <c r="AA536" s="64"/>
      <c r="AB536" s="64"/>
      <c r="AC536" s="64"/>
    </row>
    <row r="537" spans="1:68" hidden="1" x14ac:dyDescent="0.2">
      <c r="A537" s="712"/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3"/>
      <c r="P537" s="709" t="s">
        <v>40</v>
      </c>
      <c r="Q537" s="710"/>
      <c r="R537" s="710"/>
      <c r="S537" s="710"/>
      <c r="T537" s="710"/>
      <c r="U537" s="710"/>
      <c r="V537" s="711"/>
      <c r="W537" s="40" t="s">
        <v>0</v>
      </c>
      <c r="X537" s="41">
        <f>IFERROR(SUM(X535:X535),"0")</f>
        <v>0</v>
      </c>
      <c r="Y537" s="41">
        <f>IFERROR(SUM(Y535:Y535),"0")</f>
        <v>0</v>
      </c>
      <c r="Z537" s="40"/>
      <c r="AA537" s="64"/>
      <c r="AB537" s="64"/>
      <c r="AC537" s="64"/>
    </row>
    <row r="538" spans="1:68" ht="14.25" hidden="1" customHeight="1" x14ac:dyDescent="0.25">
      <c r="A538" s="703" t="s">
        <v>84</v>
      </c>
      <c r="B538" s="703"/>
      <c r="C538" s="703"/>
      <c r="D538" s="703"/>
      <c r="E538" s="703"/>
      <c r="F538" s="703"/>
      <c r="G538" s="703"/>
      <c r="H538" s="703"/>
      <c r="I538" s="703"/>
      <c r="J538" s="703"/>
      <c r="K538" s="703"/>
      <c r="L538" s="703"/>
      <c r="M538" s="703"/>
      <c r="N538" s="703"/>
      <c r="O538" s="703"/>
      <c r="P538" s="703"/>
      <c r="Q538" s="703"/>
      <c r="R538" s="703"/>
      <c r="S538" s="703"/>
      <c r="T538" s="703"/>
      <c r="U538" s="703"/>
      <c r="V538" s="703"/>
      <c r="W538" s="703"/>
      <c r="X538" s="703"/>
      <c r="Y538" s="703"/>
      <c r="Z538" s="703"/>
      <c r="AA538" s="63"/>
      <c r="AB538" s="63"/>
      <c r="AC538" s="63"/>
    </row>
    <row r="539" spans="1:68" ht="27" hidden="1" customHeight="1" x14ac:dyDescent="0.25">
      <c r="A539" s="60" t="s">
        <v>850</v>
      </c>
      <c r="B539" s="60" t="s">
        <v>851</v>
      </c>
      <c r="C539" s="34">
        <v>4301052043</v>
      </c>
      <c r="D539" s="704">
        <v>4640242180533</v>
      </c>
      <c r="E539" s="704"/>
      <c r="F539" s="59">
        <v>1.5</v>
      </c>
      <c r="G539" s="35">
        <v>6</v>
      </c>
      <c r="H539" s="59">
        <v>9</v>
      </c>
      <c r="I539" s="59">
        <v>9.4939999999999998</v>
      </c>
      <c r="J539" s="35">
        <v>64</v>
      </c>
      <c r="K539" s="35" t="s">
        <v>127</v>
      </c>
      <c r="L539" s="35" t="s">
        <v>46</v>
      </c>
      <c r="M539" s="36" t="s">
        <v>88</v>
      </c>
      <c r="N539" s="36"/>
      <c r="O539" s="35">
        <v>45</v>
      </c>
      <c r="P539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706"/>
      <c r="R539" s="706"/>
      <c r="S539" s="706"/>
      <c r="T539" s="707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25" t="s">
        <v>852</v>
      </c>
      <c r="AG539" s="75"/>
      <c r="AJ539" s="79" t="s">
        <v>46</v>
      </c>
      <c r="AK539" s="79">
        <v>0</v>
      </c>
      <c r="BB539" s="626" t="s">
        <v>66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712"/>
      <c r="B541" s="712"/>
      <c r="C541" s="712"/>
      <c r="D541" s="712"/>
      <c r="E541" s="712"/>
      <c r="F541" s="712"/>
      <c r="G541" s="712"/>
      <c r="H541" s="712"/>
      <c r="I541" s="712"/>
      <c r="J541" s="712"/>
      <c r="K541" s="712"/>
      <c r="L541" s="712"/>
      <c r="M541" s="712"/>
      <c r="N541" s="712"/>
      <c r="O541" s="713"/>
      <c r="P541" s="709" t="s">
        <v>40</v>
      </c>
      <c r="Q541" s="710"/>
      <c r="R541" s="710"/>
      <c r="S541" s="710"/>
      <c r="T541" s="710"/>
      <c r="U541" s="710"/>
      <c r="V541" s="711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703" t="s">
        <v>172</v>
      </c>
      <c r="B542" s="703"/>
      <c r="C542" s="703"/>
      <c r="D542" s="703"/>
      <c r="E542" s="703"/>
      <c r="F542" s="703"/>
      <c r="G542" s="703"/>
      <c r="H542" s="703"/>
      <c r="I542" s="703"/>
      <c r="J542" s="703"/>
      <c r="K542" s="703"/>
      <c r="L542" s="703"/>
      <c r="M542" s="703"/>
      <c r="N542" s="703"/>
      <c r="O542" s="703"/>
      <c r="P542" s="703"/>
      <c r="Q542" s="703"/>
      <c r="R542" s="703"/>
      <c r="S542" s="703"/>
      <c r="T542" s="703"/>
      <c r="U542" s="703"/>
      <c r="V542" s="703"/>
      <c r="W542" s="703"/>
      <c r="X542" s="703"/>
      <c r="Y542" s="703"/>
      <c r="Z542" s="703"/>
      <c r="AA542" s="63"/>
      <c r="AB542" s="63"/>
      <c r="AC542" s="63"/>
    </row>
    <row r="543" spans="1:68" ht="27" hidden="1" customHeight="1" x14ac:dyDescent="0.25">
      <c r="A543" s="60" t="s">
        <v>853</v>
      </c>
      <c r="B543" s="60" t="s">
        <v>854</v>
      </c>
      <c r="C543" s="34">
        <v>4301060535</v>
      </c>
      <c r="D543" s="704">
        <v>4640242180120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127</v>
      </c>
      <c r="L543" s="35" t="s">
        <v>46</v>
      </c>
      <c r="M543" s="36" t="s">
        <v>88</v>
      </c>
      <c r="N543" s="36"/>
      <c r="O543" s="35">
        <v>40</v>
      </c>
      <c r="P543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7" t="s">
        <v>855</v>
      </c>
      <c r="AG543" s="75"/>
      <c r="AJ543" s="79" t="s">
        <v>46</v>
      </c>
      <c r="AK543" s="79">
        <v>0</v>
      </c>
      <c r="BB543" s="628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hidden="1" customHeight="1" x14ac:dyDescent="0.25">
      <c r="A544" s="60" t="s">
        <v>856</v>
      </c>
      <c r="B544" s="60" t="s">
        <v>857</v>
      </c>
      <c r="C544" s="34">
        <v>4301060536</v>
      </c>
      <c r="D544" s="704">
        <v>4640242180137</v>
      </c>
      <c r="E544" s="704"/>
      <c r="F544" s="59">
        <v>1.5</v>
      </c>
      <c r="G544" s="35">
        <v>6</v>
      </c>
      <c r="H544" s="59">
        <v>9</v>
      </c>
      <c r="I544" s="59">
        <v>9.41</v>
      </c>
      <c r="J544" s="35">
        <v>64</v>
      </c>
      <c r="K544" s="35" t="s">
        <v>127</v>
      </c>
      <c r="L544" s="35" t="s">
        <v>46</v>
      </c>
      <c r="M544" s="36" t="s">
        <v>88</v>
      </c>
      <c r="N544" s="36"/>
      <c r="O544" s="35">
        <v>40</v>
      </c>
      <c r="P544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706"/>
      <c r="R544" s="706"/>
      <c r="S544" s="706"/>
      <c r="T544" s="707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29" t="s">
        <v>858</v>
      </c>
      <c r="AG544" s="75"/>
      <c r="AJ544" s="79" t="s">
        <v>46</v>
      </c>
      <c r="AK544" s="79">
        <v>0</v>
      </c>
      <c r="BB544" s="630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39</v>
      </c>
      <c r="X545" s="41">
        <f>IFERROR(X543/H543,"0")+IFERROR(X544/H544,"0")</f>
        <v>0</v>
      </c>
      <c r="Y545" s="41">
        <f>IFERROR(Y543/H543,"0")+IFERROR(Y544/H544,"0")</f>
        <v>0</v>
      </c>
      <c r="Z545" s="41">
        <f>IFERROR(IF(Z543="",0,Z543),"0")+IFERROR(IF(Z544="",0,Z544),"0")</f>
        <v>0</v>
      </c>
      <c r="AA545" s="64"/>
      <c r="AB545" s="64"/>
      <c r="AC545" s="64"/>
    </row>
    <row r="546" spans="1:68" hidden="1" x14ac:dyDescent="0.2">
      <c r="A546" s="712"/>
      <c r="B546" s="712"/>
      <c r="C546" s="712"/>
      <c r="D546" s="712"/>
      <c r="E546" s="712"/>
      <c r="F546" s="712"/>
      <c r="G546" s="712"/>
      <c r="H546" s="712"/>
      <c r="I546" s="712"/>
      <c r="J546" s="712"/>
      <c r="K546" s="712"/>
      <c r="L546" s="712"/>
      <c r="M546" s="712"/>
      <c r="N546" s="712"/>
      <c r="O546" s="713"/>
      <c r="P546" s="709" t="s">
        <v>40</v>
      </c>
      <c r="Q546" s="710"/>
      <c r="R546" s="710"/>
      <c r="S546" s="710"/>
      <c r="T546" s="710"/>
      <c r="U546" s="710"/>
      <c r="V546" s="711"/>
      <c r="W546" s="40" t="s">
        <v>0</v>
      </c>
      <c r="X546" s="41">
        <f>IFERROR(SUM(X543:X544),"0")</f>
        <v>0</v>
      </c>
      <c r="Y546" s="41">
        <f>IFERROR(SUM(Y543:Y544),"0")</f>
        <v>0</v>
      </c>
      <c r="Z546" s="40"/>
      <c r="AA546" s="64"/>
      <c r="AB546" s="64"/>
      <c r="AC546" s="64"/>
    </row>
    <row r="547" spans="1:68" ht="16.5" hidden="1" customHeight="1" x14ac:dyDescent="0.25">
      <c r="A547" s="702" t="s">
        <v>859</v>
      </c>
      <c r="B547" s="702"/>
      <c r="C547" s="702"/>
      <c r="D547" s="702"/>
      <c r="E547" s="702"/>
      <c r="F547" s="702"/>
      <c r="G547" s="702"/>
      <c r="H547" s="702"/>
      <c r="I547" s="702"/>
      <c r="J547" s="702"/>
      <c r="K547" s="702"/>
      <c r="L547" s="702"/>
      <c r="M547" s="702"/>
      <c r="N547" s="702"/>
      <c r="O547" s="702"/>
      <c r="P547" s="702"/>
      <c r="Q547" s="702"/>
      <c r="R547" s="702"/>
      <c r="S547" s="702"/>
      <c r="T547" s="702"/>
      <c r="U547" s="702"/>
      <c r="V547" s="702"/>
      <c r="W547" s="702"/>
      <c r="X547" s="702"/>
      <c r="Y547" s="702"/>
      <c r="Z547" s="702"/>
      <c r="AA547" s="62"/>
      <c r="AB547" s="62"/>
      <c r="AC547" s="62"/>
    </row>
    <row r="548" spans="1:68" ht="14.25" hidden="1" customHeight="1" x14ac:dyDescent="0.25">
      <c r="A548" s="703" t="s">
        <v>155</v>
      </c>
      <c r="B548" s="703"/>
      <c r="C548" s="703"/>
      <c r="D548" s="703"/>
      <c r="E548" s="703"/>
      <c r="F548" s="703"/>
      <c r="G548" s="703"/>
      <c r="H548" s="703"/>
      <c r="I548" s="703"/>
      <c r="J548" s="703"/>
      <c r="K548" s="703"/>
      <c r="L548" s="703"/>
      <c r="M548" s="703"/>
      <c r="N548" s="703"/>
      <c r="O548" s="703"/>
      <c r="P548" s="703"/>
      <c r="Q548" s="703"/>
      <c r="R548" s="703"/>
      <c r="S548" s="703"/>
      <c r="T548" s="703"/>
      <c r="U548" s="703"/>
      <c r="V548" s="703"/>
      <c r="W548" s="703"/>
      <c r="X548" s="703"/>
      <c r="Y548" s="703"/>
      <c r="Z548" s="703"/>
      <c r="AA548" s="63"/>
      <c r="AB548" s="63"/>
      <c r="AC548" s="63"/>
    </row>
    <row r="549" spans="1:68" ht="27" hidden="1" customHeight="1" x14ac:dyDescent="0.25">
      <c r="A549" s="60" t="s">
        <v>860</v>
      </c>
      <c r="B549" s="60" t="s">
        <v>861</v>
      </c>
      <c r="C549" s="34">
        <v>4301020428</v>
      </c>
      <c r="D549" s="704">
        <v>4640242180090</v>
      </c>
      <c r="E549" s="704"/>
      <c r="F549" s="59">
        <v>1.5</v>
      </c>
      <c r="G549" s="35">
        <v>8</v>
      </c>
      <c r="H549" s="59">
        <v>12</v>
      </c>
      <c r="I549" s="59">
        <v>12.41</v>
      </c>
      <c r="J549" s="35">
        <v>64</v>
      </c>
      <c r="K549" s="35" t="s">
        <v>127</v>
      </c>
      <c r="L549" s="35" t="s">
        <v>46</v>
      </c>
      <c r="M549" s="36" t="s">
        <v>126</v>
      </c>
      <c r="N549" s="36"/>
      <c r="O549" s="35">
        <v>50</v>
      </c>
      <c r="P549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706"/>
      <c r="R549" s="706"/>
      <c r="S549" s="706"/>
      <c r="T549" s="707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1" t="s">
        <v>862</v>
      </c>
      <c r="AG549" s="75"/>
      <c r="AJ549" s="79" t="s">
        <v>46</v>
      </c>
      <c r="AK549" s="79">
        <v>0</v>
      </c>
      <c r="BB549" s="632" t="s">
        <v>66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39</v>
      </c>
      <c r="X550" s="41">
        <f>IFERROR(X549/H549,"0")</f>
        <v>0</v>
      </c>
      <c r="Y550" s="41">
        <f>IFERROR(Y549/H549,"0")</f>
        <v>0</v>
      </c>
      <c r="Z550" s="41">
        <f>IFERROR(IF(Z549="",0,Z549),"0")</f>
        <v>0</v>
      </c>
      <c r="AA550" s="64"/>
      <c r="AB550" s="64"/>
      <c r="AC550" s="64"/>
    </row>
    <row r="551" spans="1:68" hidden="1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713"/>
      <c r="P551" s="709" t="s">
        <v>40</v>
      </c>
      <c r="Q551" s="710"/>
      <c r="R551" s="710"/>
      <c r="S551" s="710"/>
      <c r="T551" s="710"/>
      <c r="U551" s="710"/>
      <c r="V551" s="711"/>
      <c r="W551" s="40" t="s">
        <v>0</v>
      </c>
      <c r="X551" s="41">
        <f>IFERROR(SUM(X549:X549),"0")</f>
        <v>0</v>
      </c>
      <c r="Y551" s="41">
        <f>IFERROR(SUM(Y549:Y549),"0")</f>
        <v>0</v>
      </c>
      <c r="Z551" s="40"/>
      <c r="AA551" s="64"/>
      <c r="AB551" s="64"/>
      <c r="AC551" s="64"/>
    </row>
    <row r="552" spans="1:68" ht="15" customHeight="1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33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1000</v>
      </c>
      <c r="Y552" s="4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1020.9000000000001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34</v>
      </c>
      <c r="Q553" s="989"/>
      <c r="R553" s="989"/>
      <c r="S553" s="989"/>
      <c r="T553" s="989"/>
      <c r="U553" s="989"/>
      <c r="V553" s="990"/>
      <c r="W553" s="40" t="s">
        <v>0</v>
      </c>
      <c r="X553" s="41">
        <f>IFERROR(SUM(BM22:BM549),"0")</f>
        <v>1062.6185185185186</v>
      </c>
      <c r="Y553" s="41">
        <f>IFERROR(SUM(BN22:BN549),"0")</f>
        <v>1084.3039999999999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35</v>
      </c>
      <c r="Q554" s="989"/>
      <c r="R554" s="989"/>
      <c r="S554" s="989"/>
      <c r="T554" s="989"/>
      <c r="U554" s="989"/>
      <c r="V554" s="990"/>
      <c r="W554" s="40" t="s">
        <v>20</v>
      </c>
      <c r="X554" s="42">
        <f>ROUNDUP(SUM(BO22:BO549),0)</f>
        <v>2</v>
      </c>
      <c r="Y554" s="42">
        <f>ROUNDUP(SUM(BP22:BP549),0)</f>
        <v>2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36</v>
      </c>
      <c r="Q555" s="989"/>
      <c r="R555" s="989"/>
      <c r="S555" s="989"/>
      <c r="T555" s="989"/>
      <c r="U555" s="989"/>
      <c r="V555" s="990"/>
      <c r="W555" s="40" t="s">
        <v>0</v>
      </c>
      <c r="X555" s="41">
        <f>GrossWeightTotal+PalletQtyTotal*25</f>
        <v>1112.6185185185186</v>
      </c>
      <c r="Y555" s="41">
        <f>GrossWeightTotalR+PalletQtyTotalR*25</f>
        <v>1134.3039999999999</v>
      </c>
      <c r="Z555" s="40"/>
      <c r="AA555" s="64"/>
      <c r="AB555" s="64"/>
      <c r="AC555" s="64"/>
    </row>
    <row r="556" spans="1:68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37</v>
      </c>
      <c r="Q556" s="989"/>
      <c r="R556" s="989"/>
      <c r="S556" s="989"/>
      <c r="T556" s="989"/>
      <c r="U556" s="989"/>
      <c r="V556" s="990"/>
      <c r="W556" s="40" t="s">
        <v>20</v>
      </c>
      <c r="X556" s="4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244.81481481481481</v>
      </c>
      <c r="Y556" s="4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247</v>
      </c>
      <c r="Z556" s="40"/>
      <c r="AA556" s="64"/>
      <c r="AB556" s="64"/>
      <c r="AC556" s="64"/>
    </row>
    <row r="557" spans="1:68" ht="14.25" hidden="1" x14ac:dyDescent="0.2">
      <c r="A557" s="712"/>
      <c r="B557" s="712"/>
      <c r="C557" s="712"/>
      <c r="D557" s="712"/>
      <c r="E557" s="712"/>
      <c r="F557" s="712"/>
      <c r="G557" s="712"/>
      <c r="H557" s="712"/>
      <c r="I557" s="712"/>
      <c r="J557" s="712"/>
      <c r="K557" s="712"/>
      <c r="L557" s="712"/>
      <c r="M557" s="712"/>
      <c r="N557" s="712"/>
      <c r="O557" s="991"/>
      <c r="P557" s="988" t="s">
        <v>38</v>
      </c>
      <c r="Q557" s="989"/>
      <c r="R557" s="989"/>
      <c r="S557" s="989"/>
      <c r="T557" s="989"/>
      <c r="U557" s="989"/>
      <c r="V557" s="990"/>
      <c r="W557" s="43" t="s">
        <v>52</v>
      </c>
      <c r="X557" s="40"/>
      <c r="Y557" s="40"/>
      <c r="Z557" s="40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2.0865900000000002</v>
      </c>
      <c r="AA557" s="64"/>
      <c r="AB557" s="64"/>
      <c r="AC557" s="64"/>
    </row>
    <row r="558" spans="1:68" ht="13.5" thickBot="1" x14ac:dyDescent="0.25"/>
    <row r="559" spans="1:68" ht="27" thickTop="1" thickBot="1" x14ac:dyDescent="0.25">
      <c r="A559" s="44" t="s">
        <v>9</v>
      </c>
      <c r="B559" s="80" t="s">
        <v>74</v>
      </c>
      <c r="C559" s="80" t="s">
        <v>45</v>
      </c>
      <c r="D559" s="992" t="s">
        <v>120</v>
      </c>
      <c r="E559" s="992" t="s">
        <v>120</v>
      </c>
      <c r="F559" s="992" t="s">
        <v>120</v>
      </c>
      <c r="G559" s="992" t="s">
        <v>120</v>
      </c>
      <c r="H559" s="992" t="s">
        <v>120</v>
      </c>
      <c r="I559" s="992" t="s">
        <v>120</v>
      </c>
      <c r="J559" s="992" t="s">
        <v>120</v>
      </c>
      <c r="K559" s="992" t="s">
        <v>348</v>
      </c>
      <c r="L559" s="992" t="s">
        <v>348</v>
      </c>
      <c r="M559" s="992" t="s">
        <v>348</v>
      </c>
      <c r="N559" s="993"/>
      <c r="O559" s="992" t="s">
        <v>348</v>
      </c>
      <c r="P559" s="992" t="s">
        <v>348</v>
      </c>
      <c r="Q559" s="992" t="s">
        <v>348</v>
      </c>
      <c r="R559" s="992" t="s">
        <v>348</v>
      </c>
      <c r="S559" s="992" t="s">
        <v>348</v>
      </c>
      <c r="T559" s="992" t="s">
        <v>348</v>
      </c>
      <c r="U559" s="992" t="s">
        <v>348</v>
      </c>
      <c r="V559" s="992" t="s">
        <v>348</v>
      </c>
      <c r="W559" s="992" t="s">
        <v>691</v>
      </c>
      <c r="X559" s="992" t="s">
        <v>691</v>
      </c>
      <c r="Y559" s="992" t="s">
        <v>757</v>
      </c>
      <c r="Z559" s="992" t="s">
        <v>757</v>
      </c>
      <c r="AA559" s="80" t="s">
        <v>793</v>
      </c>
      <c r="AB559" s="992" t="s">
        <v>840</v>
      </c>
      <c r="AC559" s="992" t="s">
        <v>840</v>
      </c>
      <c r="AF559" s="1"/>
    </row>
    <row r="560" spans="1:68" ht="14.25" customHeight="1" thickTop="1" x14ac:dyDescent="0.2">
      <c r="A560" s="994" t="s">
        <v>10</v>
      </c>
      <c r="B560" s="992" t="s">
        <v>74</v>
      </c>
      <c r="C560" s="992" t="s">
        <v>102</v>
      </c>
      <c r="D560" s="992" t="s">
        <v>121</v>
      </c>
      <c r="E560" s="992" t="s">
        <v>137</v>
      </c>
      <c r="F560" s="992" t="s">
        <v>179</v>
      </c>
      <c r="G560" s="992" t="s">
        <v>200</v>
      </c>
      <c r="H560" s="992" t="s">
        <v>240</v>
      </c>
      <c r="I560" s="992" t="s">
        <v>264</v>
      </c>
      <c r="J560" s="992" t="s">
        <v>120</v>
      </c>
      <c r="K560" s="992" t="s">
        <v>349</v>
      </c>
      <c r="L560" s="992" t="s">
        <v>370</v>
      </c>
      <c r="M560" s="992" t="s">
        <v>437</v>
      </c>
      <c r="N560" s="1"/>
      <c r="O560" s="992" t="s">
        <v>505</v>
      </c>
      <c r="P560" s="992" t="s">
        <v>538</v>
      </c>
      <c r="Q560" s="992" t="s">
        <v>554</v>
      </c>
      <c r="R560" s="992" t="s">
        <v>563</v>
      </c>
      <c r="S560" s="992" t="s">
        <v>584</v>
      </c>
      <c r="T560" s="992" t="s">
        <v>593</v>
      </c>
      <c r="U560" s="992" t="s">
        <v>674</v>
      </c>
      <c r="V560" s="992" t="s">
        <v>681</v>
      </c>
      <c r="W560" s="992" t="s">
        <v>692</v>
      </c>
      <c r="X560" s="992" t="s">
        <v>741</v>
      </c>
      <c r="Y560" s="992" t="s">
        <v>758</v>
      </c>
      <c r="Z560" s="992" t="s">
        <v>781</v>
      </c>
      <c r="AA560" s="992" t="s">
        <v>793</v>
      </c>
      <c r="AB560" s="992" t="s">
        <v>840</v>
      </c>
      <c r="AC560" s="992" t="s">
        <v>859</v>
      </c>
      <c r="AF560" s="1"/>
    </row>
    <row r="561" spans="1:32" ht="13.5" thickBot="1" x14ac:dyDescent="0.25">
      <c r="A561" s="995"/>
      <c r="B561" s="992"/>
      <c r="C561" s="992"/>
      <c r="D561" s="992"/>
      <c r="E561" s="992"/>
      <c r="F561" s="992"/>
      <c r="G561" s="992"/>
      <c r="H561" s="992"/>
      <c r="I561" s="992"/>
      <c r="J561" s="992"/>
      <c r="K561" s="992"/>
      <c r="L561" s="992"/>
      <c r="M561" s="992"/>
      <c r="N561" s="1"/>
      <c r="O561" s="992"/>
      <c r="P561" s="992"/>
      <c r="Q561" s="992"/>
      <c r="R561" s="992"/>
      <c r="S561" s="992"/>
      <c r="T561" s="992"/>
      <c r="U561" s="992"/>
      <c r="V561" s="992"/>
      <c r="W561" s="992"/>
      <c r="X561" s="992"/>
      <c r="Y561" s="992"/>
      <c r="Z561" s="992"/>
      <c r="AA561" s="992"/>
      <c r="AB561" s="992"/>
      <c r="AC561" s="992"/>
      <c r="AF561" s="1"/>
    </row>
    <row r="562" spans="1:32" ht="18" thickTop="1" thickBot="1" x14ac:dyDescent="0.25">
      <c r="A562" s="44" t="s">
        <v>13</v>
      </c>
      <c r="B562" s="50">
        <f>IFERROR(Y22*1,"0")+IFERROR(Y23*1,"0")+IFERROR(Y27*1,"0")+IFERROR(Y28*1,"0")+IFERROR(Y29*1,"0")+IFERROR(Y30*1,"0")+IFERROR(Y31*1,"0")</f>
        <v>0</v>
      </c>
      <c r="C562" s="50">
        <f>IFERROR(Y37*1,"0")+IFERROR(Y38*1,"0")+IFERROR(Y39*1,"0")+IFERROR(Y40*1,"0")+IFERROR(Y41*1,"0")+IFERROR(Y42*1,"0")</f>
        <v>0</v>
      </c>
      <c r="D562" s="50">
        <f>IFERROR(Y48*1,"0")+IFERROR(Y49*1,"0")+IFERROR(Y50*1,"0")+IFERROR(Y51*1,"0")</f>
        <v>0</v>
      </c>
      <c r="E562" s="50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360</v>
      </c>
      <c r="F562" s="50">
        <f>IFERROR(Y83*1,"0")+IFERROR(Y84*1,"0")+IFERROR(Y85*1,"0")+IFERROR(Y86*1,"0")+IFERROR(Y90*1,"0")+IFERROR(Y91*1,"0")+IFERROR(Y92*1,"0")+IFERROR(Y93*1,"0")</f>
        <v>450.90000000000003</v>
      </c>
      <c r="G562" s="50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2" s="50">
        <f>IFERROR(Y128*1,"0")+IFERROR(Y129*1,"0")+IFERROR(Y130*1,"0")+IFERROR(Y134*1,"0")+IFERROR(Y135*1,"0")+IFERROR(Y136*1,"0")+IFERROR(Y137*1,"0")+IFERROR(Y141*1,"0")+IFERROR(Y142*1,"0")+IFERROR(Y143*1,"0")</f>
        <v>0</v>
      </c>
      <c r="I562" s="50">
        <f>IFERROR(Y148*1,"0")+IFERROR(Y149*1,"0")+IFERROR(Y150*1,"0")+IFERROR(Y151*1,"0")+IFERROR(Y152*1,"0")+IFERROR(Y153*1,"0")+IFERROR(Y154*1,"0")+IFERROR(Y158*1,"0")</f>
        <v>0</v>
      </c>
      <c r="J562" s="50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50">
        <f>IFERROR(Y204*1,"0")+IFERROR(Y205*1,"0")+IFERROR(Y206*1,"0")+IFERROR(Y207*1,"0")+IFERROR(Y208*1,"0")+IFERROR(Y209*1,"0")+IFERROR(Y210*1,"0")</f>
        <v>0</v>
      </c>
      <c r="L562" s="50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50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1"/>
      <c r="O562" s="50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50">
        <f>IFERROR(Y322*1,"0")+IFERROR(Y323*1,"0")+IFERROR(Y324*1,"0")+IFERROR(Y325*1,"0")+IFERROR(Y326*1,"0")</f>
        <v>0</v>
      </c>
      <c r="Q562" s="50">
        <f>IFERROR(Y331*1,"0")+IFERROR(Y332*1,"0")+IFERROR(Y333*1,"0")</f>
        <v>0</v>
      </c>
      <c r="R562" s="50">
        <f>IFERROR(Y338*1,"0")+IFERROR(Y339*1,"0")+IFERROR(Y340*1,"0")+IFERROR(Y341*1,"0")+IFERROR(Y342*1,"0")+IFERROR(Y346*1,"0")+IFERROR(Y347*1,"0")</f>
        <v>0</v>
      </c>
      <c r="S562" s="50">
        <f>IFERROR(Y352*1,"0")+IFERROR(Y353*1,"0")+IFERROR(Y354*1,"0")</f>
        <v>0</v>
      </c>
      <c r="T562" s="50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50">
        <f>IFERROR(Y410*1,"0")+IFERROR(Y411*1,"0")</f>
        <v>0</v>
      </c>
      <c r="V562" s="50">
        <f>IFERROR(Y416*1,"0")+IFERROR(Y417*1,"0")+IFERROR(Y418*1,"0")</f>
        <v>0</v>
      </c>
      <c r="W562" s="50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210</v>
      </c>
      <c r="X562" s="50">
        <f>IFERROR(Y453*1,"0")+IFERROR(Y454*1,"0")+IFERROR(Y458*1,"0")+IFERROR(Y462*1,"0")+IFERROR(Y463*1,"0")+IFERROR(Y464*1,"0")</f>
        <v>0</v>
      </c>
      <c r="Y562" s="50">
        <f>IFERROR(Y470*1,"0")+IFERROR(Y471*1,"0")+IFERROR(Y472*1,"0")+IFERROR(Y473*1,"0")+IFERROR(Y474*1,"0")+IFERROR(Y475*1,"0")+IFERROR(Y479*1,"0")+IFERROR(Y480*1,"0")</f>
        <v>0</v>
      </c>
      <c r="Z562" s="50">
        <f>IFERROR(Y485*1,"0")+IFERROR(Y489*1,"0")+IFERROR(Y490*1,"0")+IFERROR(Y491*1,"0")</f>
        <v>0</v>
      </c>
      <c r="AA562" s="50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0</v>
      </c>
      <c r="AB562" s="50">
        <f>IFERROR(Y527*1,"0")+IFERROR(Y531*1,"0")+IFERROR(Y535*1,"0")+IFERROR(Y539*1,"0")+IFERROR(Y543*1,"0")+IFERROR(Y544*1,"0")</f>
        <v>0</v>
      </c>
      <c r="AC562" s="50">
        <f>IFERROR(Y549*1,"0")</f>
        <v>0</v>
      </c>
      <c r="AF562" s="1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62,62"/>
        <filter val="1 112,62"/>
        <filter val="100,00"/>
        <filter val="13,33"/>
        <filter val="166,67"/>
        <filter val="2"/>
        <filter val="200,00"/>
        <filter val="244,81"/>
        <filter val="250,00"/>
        <filter val="350,00"/>
        <filter val="450,00"/>
        <filter val="64,81"/>
      </filters>
    </filterColumn>
    <filterColumn colId="29" showButton="0"/>
    <filterColumn colId="30" showButton="0"/>
  </autoFilter>
  <dataConsolidate/>
  <mergeCells count="989">
    <mergeCell ref="U560:U561"/>
    <mergeCell ref="V560:V561"/>
    <mergeCell ref="W560:W561"/>
    <mergeCell ref="X560:X561"/>
    <mergeCell ref="Y560:Y561"/>
    <mergeCell ref="Z560:Z561"/>
    <mergeCell ref="AA560:AA561"/>
    <mergeCell ref="AB560:AB561"/>
    <mergeCell ref="AC560:AC561"/>
    <mergeCell ref="D559:J559"/>
    <mergeCell ref="K559:V559"/>
    <mergeCell ref="W559:X559"/>
    <mergeCell ref="Y559:Z559"/>
    <mergeCell ref="AB559:AC559"/>
    <mergeCell ref="A560:A561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J560:J561"/>
    <mergeCell ref="K560:K561"/>
    <mergeCell ref="L560:L561"/>
    <mergeCell ref="M560:M561"/>
    <mergeCell ref="O560:O561"/>
    <mergeCell ref="P560:P561"/>
    <mergeCell ref="Q560:Q561"/>
    <mergeCell ref="R560:R561"/>
    <mergeCell ref="S560:S561"/>
    <mergeCell ref="T560:T561"/>
    <mergeCell ref="P550:V550"/>
    <mergeCell ref="A550:O551"/>
    <mergeCell ref="P551:V551"/>
    <mergeCell ref="P552:V552"/>
    <mergeCell ref="A552:O557"/>
    <mergeCell ref="P553:V553"/>
    <mergeCell ref="P554:V554"/>
    <mergeCell ref="P555:V555"/>
    <mergeCell ref="P556:V556"/>
    <mergeCell ref="P557:V557"/>
    <mergeCell ref="D544:E544"/>
    <mergeCell ref="P544:T544"/>
    <mergeCell ref="P545:V545"/>
    <mergeCell ref="A545:O546"/>
    <mergeCell ref="P546:V546"/>
    <mergeCell ref="A547:Z547"/>
    <mergeCell ref="A548:Z548"/>
    <mergeCell ref="D549:E549"/>
    <mergeCell ref="P549:T549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31:E531"/>
    <mergeCell ref="P531:T531"/>
    <mergeCell ref="P532:V532"/>
    <mergeCell ref="A532:O533"/>
    <mergeCell ref="P533:V533"/>
    <mergeCell ref="A534:Z534"/>
    <mergeCell ref="D535:E535"/>
    <mergeCell ref="P535:T535"/>
    <mergeCell ref="P536:V536"/>
    <mergeCell ref="A536:O537"/>
    <mergeCell ref="P537:V537"/>
    <mergeCell ref="A524:Z524"/>
    <mergeCell ref="A525:Z525"/>
    <mergeCell ref="A526:Z526"/>
    <mergeCell ref="D527:E527"/>
    <mergeCell ref="P527:T527"/>
    <mergeCell ref="P528:V528"/>
    <mergeCell ref="A528:O529"/>
    <mergeCell ref="P529:V529"/>
    <mergeCell ref="A530:Z530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P512:V512"/>
    <mergeCell ref="A512:O513"/>
    <mergeCell ref="P513:V513"/>
    <mergeCell ref="A514:Z514"/>
    <mergeCell ref="D515:E515"/>
    <mergeCell ref="P515:T515"/>
    <mergeCell ref="D516:E516"/>
    <mergeCell ref="P516:T516"/>
    <mergeCell ref="D517:E517"/>
    <mergeCell ref="P517:T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A496:Z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A483:Z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46:Z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23:Z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11:E411"/>
    <mergeCell ref="P411:T411"/>
    <mergeCell ref="P412:V412"/>
    <mergeCell ref="A412:O413"/>
    <mergeCell ref="P413:V413"/>
    <mergeCell ref="A414:Z414"/>
    <mergeCell ref="A415:Z415"/>
    <mergeCell ref="D416:E416"/>
    <mergeCell ref="P416:T416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87:V387"/>
    <mergeCell ref="A387:O388"/>
    <mergeCell ref="P388:V388"/>
    <mergeCell ref="A389:Z389"/>
    <mergeCell ref="D390:E390"/>
    <mergeCell ref="P390:T390"/>
    <mergeCell ref="D391:E391"/>
    <mergeCell ref="P391:T391"/>
    <mergeCell ref="D392:E392"/>
    <mergeCell ref="P392:T39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P364:V364"/>
    <mergeCell ref="A364:O365"/>
    <mergeCell ref="P365:V365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863</v>
      </c>
      <c r="H1" s="9"/>
    </row>
    <row r="3" spans="2:8" x14ac:dyDescent="0.2">
      <c r="B3" s="51" t="s">
        <v>864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866</v>
      </c>
      <c r="C6" s="51" t="s">
        <v>867</v>
      </c>
      <c r="D6" s="51" t="s">
        <v>868</v>
      </c>
      <c r="E6" s="51" t="s">
        <v>46</v>
      </c>
    </row>
    <row r="7" spans="2:8" x14ac:dyDescent="0.2">
      <c r="B7" s="51" t="s">
        <v>869</v>
      </c>
      <c r="C7" s="51" t="s">
        <v>870</v>
      </c>
      <c r="D7" s="51" t="s">
        <v>871</v>
      </c>
      <c r="E7" s="51" t="s">
        <v>46</v>
      </c>
    </row>
    <row r="8" spans="2:8" x14ac:dyDescent="0.2">
      <c r="B8" s="51" t="s">
        <v>872</v>
      </c>
      <c r="C8" s="51" t="s">
        <v>873</v>
      </c>
      <c r="D8" s="51" t="s">
        <v>874</v>
      </c>
      <c r="E8" s="51" t="s">
        <v>46</v>
      </c>
    </row>
    <row r="9" spans="2:8" x14ac:dyDescent="0.2">
      <c r="B9" s="51" t="s">
        <v>875</v>
      </c>
      <c r="C9" s="51" t="s">
        <v>876</v>
      </c>
      <c r="D9" s="51" t="s">
        <v>877</v>
      </c>
      <c r="E9" s="51" t="s">
        <v>46</v>
      </c>
    </row>
    <row r="10" spans="2:8" x14ac:dyDescent="0.2">
      <c r="B10" s="51" t="s">
        <v>878</v>
      </c>
      <c r="C10" s="51" t="s">
        <v>879</v>
      </c>
      <c r="D10" s="51" t="s">
        <v>880</v>
      </c>
      <c r="E10" s="51" t="s">
        <v>46</v>
      </c>
    </row>
    <row r="11" spans="2:8" x14ac:dyDescent="0.2">
      <c r="B11" s="51" t="s">
        <v>881</v>
      </c>
      <c r="C11" s="51" t="s">
        <v>882</v>
      </c>
      <c r="D11" s="51" t="s">
        <v>883</v>
      </c>
      <c r="E11" s="51" t="s">
        <v>46</v>
      </c>
    </row>
    <row r="12" spans="2:8" x14ac:dyDescent="0.2">
      <c r="B12" s="51" t="s">
        <v>884</v>
      </c>
      <c r="C12" s="51" t="s">
        <v>885</v>
      </c>
      <c r="D12" s="51" t="s">
        <v>886</v>
      </c>
      <c r="E12" s="51" t="s">
        <v>46</v>
      </c>
    </row>
    <row r="14" spans="2:8" x14ac:dyDescent="0.2">
      <c r="B14" s="51" t="s">
        <v>887</v>
      </c>
      <c r="C14" s="51" t="s">
        <v>867</v>
      </c>
      <c r="D14" s="51" t="s">
        <v>46</v>
      </c>
      <c r="E14" s="51" t="s">
        <v>46</v>
      </c>
    </row>
    <row r="16" spans="2:8" x14ac:dyDescent="0.2">
      <c r="B16" s="51" t="s">
        <v>888</v>
      </c>
      <c r="C16" s="51" t="s">
        <v>870</v>
      </c>
      <c r="D16" s="51" t="s">
        <v>46</v>
      </c>
      <c r="E16" s="51" t="s">
        <v>46</v>
      </c>
    </row>
    <row r="18" spans="2:5" x14ac:dyDescent="0.2">
      <c r="B18" s="51" t="s">
        <v>889</v>
      </c>
      <c r="C18" s="51" t="s">
        <v>873</v>
      </c>
      <c r="D18" s="51" t="s">
        <v>46</v>
      </c>
      <c r="E18" s="51" t="s">
        <v>46</v>
      </c>
    </row>
    <row r="20" spans="2:5" x14ac:dyDescent="0.2">
      <c r="B20" s="51" t="s">
        <v>890</v>
      </c>
      <c r="C20" s="51" t="s">
        <v>876</v>
      </c>
      <c r="D20" s="51" t="s">
        <v>46</v>
      </c>
      <c r="E20" s="51" t="s">
        <v>46</v>
      </c>
    </row>
    <row r="22" spans="2:5" x14ac:dyDescent="0.2">
      <c r="B22" s="51" t="s">
        <v>891</v>
      </c>
      <c r="C22" s="51" t="s">
        <v>879</v>
      </c>
      <c r="D22" s="51" t="s">
        <v>46</v>
      </c>
      <c r="E22" s="51" t="s">
        <v>46</v>
      </c>
    </row>
    <row r="24" spans="2:5" x14ac:dyDescent="0.2">
      <c r="B24" s="51" t="s">
        <v>892</v>
      </c>
      <c r="C24" s="51" t="s">
        <v>882</v>
      </c>
      <c r="D24" s="51" t="s">
        <v>46</v>
      </c>
      <c r="E24" s="51" t="s">
        <v>46</v>
      </c>
    </row>
    <row r="26" spans="2:5" x14ac:dyDescent="0.2">
      <c r="B26" s="51" t="s">
        <v>893</v>
      </c>
      <c r="C26" s="51" t="s">
        <v>885</v>
      </c>
      <c r="D26" s="51" t="s">
        <v>46</v>
      </c>
      <c r="E26" s="51" t="s">
        <v>46</v>
      </c>
    </row>
    <row r="28" spans="2:5" x14ac:dyDescent="0.2">
      <c r="B28" s="51" t="s">
        <v>894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897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898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899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904</v>
      </c>
      <c r="C38" s="51" t="s">
        <v>46</v>
      </c>
      <c r="D38" s="51" t="s">
        <v>46</v>
      </c>
      <c r="E38" s="51" t="s">
        <v>46</v>
      </c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2026-08-22T07:26:29Z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