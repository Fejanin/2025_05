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EB11D2-21D1-44BB-B273-25FD5B5D6AE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Y412" i="2"/>
  <c r="Y55" i="2"/>
  <c r="BN472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2" i="2" l="1"/>
  <c r="Z405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<sst xmlns="http://schemas.openxmlformats.org/spreadsheetml/2006/main" count="4194" uniqueCount="891">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</sst>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46256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Суббота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1800</v>
      </c>
      <c r="Y424" s="53">
        <f t="shared" si="52"/>
        <v>1800</v>
      </c>
      <c r="Z424" s="39">
        <f>IFERROR(IF(Y424=0,"",ROUNDUP(Y424/H424,0)*0.02175),"")</f>
        <v>2.61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1856.4</v>
      </c>
      <c r="BN424" s="75">
        <f t="shared" si="54"/>
        <v>1856.4</v>
      </c>
      <c r="BO424" s="75">
        <f t="shared" si="55"/>
        <v>2.5</v>
      </c>
      <c r="BP424" s="75">
        <f t="shared" si="56"/>
        <v>2.5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800</v>
      </c>
      <c r="Y425" s="53">
        <f t="shared" si="52"/>
        <v>810</v>
      </c>
      <c r="Z425" s="39">
        <f>IFERROR(IF(Y425=0,"",ROUNDUP(Y425/H425,0)*0.02175),"")</f>
        <v>1.1744999999999999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825.06666666666672</v>
      </c>
      <c r="BN425" s="75">
        <f t="shared" si="54"/>
        <v>835.38</v>
      </c>
      <c r="BO425" s="75">
        <f t="shared" si="55"/>
        <v>1.1111111111111112</v>
      </c>
      <c r="BP425" s="75">
        <f t="shared" si="56"/>
        <v>1.125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1000</v>
      </c>
      <c r="Y426" s="53">
        <f t="shared" si="52"/>
        <v>1005</v>
      </c>
      <c r="Z426" s="39">
        <f>IFERROR(IF(Y426=0,"",ROUNDUP(Y426/H426,0)*0.02175),"")</f>
        <v>1.4572499999999999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1031.3333333333333</v>
      </c>
      <c r="BN426" s="75">
        <f t="shared" si="54"/>
        <v>1036.49</v>
      </c>
      <c r="BO426" s="75">
        <f t="shared" si="55"/>
        <v>1.3888888888888888</v>
      </c>
      <c r="BP426" s="75">
        <f t="shared" si="56"/>
        <v>1.3958333333333333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240</v>
      </c>
      <c r="Y431" s="41">
        <f>IFERROR(Y423/H423,"0")+IFERROR(Y424/H424,"0")+IFERROR(Y425/H425,"0")+IFERROR(Y426/H426,"0")+IFERROR(Y427/H427,"0")+IFERROR(Y428/H428,"0")+IFERROR(Y429/H429,"0")+IFERROR(Y430/H430,"0")</f>
        <v>241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5.2417499999999997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3600</v>
      </c>
      <c r="Y432" s="41">
        <f>IFERROR(SUM(Y423:Y430),"0")</f>
        <v>3615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1400</v>
      </c>
      <c r="Y434" s="53">
        <f>IFERROR(IF(X434="",0,CEILING((X434/$H434),1)*$H434),"")</f>
        <v>1410</v>
      </c>
      <c r="Z434" s="39">
        <f>IFERROR(IF(Y434=0,"",ROUNDUP(Y434/H434,0)*0.02175),"")</f>
        <v>2.0444999999999998</v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1443.8666666666666</v>
      </c>
      <c r="BN434" s="75">
        <f>IFERROR(Y434*I434/H434,"0")</f>
        <v>1454.18</v>
      </c>
      <c r="BO434" s="75">
        <f>IFERROR(1/J434*(X434/H434),"0")</f>
        <v>1.9444444444444442</v>
      </c>
      <c r="BP434" s="75">
        <f>IFERROR(1/J434*(Y434/H434),"0")</f>
        <v>1.9583333333333333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93.333333333333329</v>
      </c>
      <c r="Y437" s="41">
        <f>IFERROR(Y434/H434,"0")+IFERROR(Y435/H435,"0")+IFERROR(Y436/H436,"0")</f>
        <v>94</v>
      </c>
      <c r="Z437" s="41">
        <f>IFERROR(IF(Z434="",0,Z434),"0")+IFERROR(IF(Z435="",0,Z435),"0")+IFERROR(IF(Z436="",0,Z436),"0")</f>
        <v>2.0444999999999998</v>
      </c>
      <c r="AA437" s="64"/>
      <c r="AB437" s="64"/>
      <c r="AC437" s="64"/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1400</v>
      </c>
      <c r="Y438" s="41">
        <f>IFERROR(SUM(Y434:Y436),"0")</f>
        <v>1410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5000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5025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5156.666666666667</v>
      </c>
      <c r="Y552" s="41">
        <f>IFERROR(SUM(BN22:BN548),"0")</f>
        <v>5182.4500000000007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7</v>
      </c>
      <c r="Y553" s="42">
        <f>ROUNDUP(SUM(BP22:BP548),0)</f>
        <v>7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5331.666666666667</v>
      </c>
      <c r="Y554" s="41">
        <f>GrossWeightTotalR+PalletQtyTotalR*25</f>
        <v>5357.4500000000007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333.33333333333331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335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7.286249999999999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5025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00,00"/>
        <filter val="1 800,00"/>
        <filter val="240,00"/>
        <filter val="3 600,00"/>
        <filter val="333,33"/>
        <filter val="5 000,00"/>
        <filter val="5 156,67"/>
        <filter val="5 331,67"/>
        <filter val="7"/>
        <filter val="800,00"/>
        <filter val="93,33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2026-08-22T07:19:12Z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