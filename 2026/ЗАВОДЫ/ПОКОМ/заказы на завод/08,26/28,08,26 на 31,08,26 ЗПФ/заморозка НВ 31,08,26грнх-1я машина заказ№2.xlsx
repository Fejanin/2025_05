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B419F8-782F-462C-A409-DA1A697B77B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<sst xmlns="http://schemas.openxmlformats.org/spreadsheetml/2006/main" count="1702" uniqueCount="399">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</sst>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 t="s">
        <v>398</v>
      </c>
      <c r="I5" s="283"/>
      <c r="J5" s="283"/>
      <c r="K5" s="283"/>
      <c r="L5" s="283"/>
      <c r="M5" s="283"/>
      <c r="N5" s="72"/>
      <c r="P5" s="26" t="s">
        <v>4</v>
      </c>
      <c r="Q5" s="285">
        <v>46265</v>
      </c>
      <c r="R5" s="286"/>
      <c r="T5" s="287" t="s">
        <v>3</v>
      </c>
      <c r="U5" s="288"/>
      <c r="V5" s="289" t="s">
        <v>384</v>
      </c>
      <c r="W5" s="290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1" t="s">
        <v>79</v>
      </c>
      <c r="E6" s="291"/>
      <c r="F6" s="291"/>
      <c r="G6" s="291"/>
      <c r="H6" s="291"/>
      <c r="I6" s="291"/>
      <c r="J6" s="291"/>
      <c r="K6" s="291"/>
      <c r="L6" s="291"/>
      <c r="M6" s="291"/>
      <c r="N6" s="73"/>
      <c r="P6" s="26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73</v>
      </c>
      <c r="W6" s="29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4"/>
      <c r="P7" s="26"/>
      <c r="Q7" s="46"/>
      <c r="R7" s="46"/>
      <c r="T7" s="293"/>
      <c r="U7" s="294"/>
      <c r="V7" s="297"/>
      <c r="W7" s="298"/>
      <c r="AB7" s="57"/>
      <c r="AC7" s="57"/>
      <c r="AD7" s="57"/>
      <c r="AE7" s="57"/>
    </row>
    <row r="8" spans="1:32" s="17" customFormat="1" ht="25.5" customHeight="1" x14ac:dyDescent="0.2">
      <c r="A8" s="304" t="s">
        <v>58</v>
      </c>
      <c r="B8" s="304"/>
      <c r="C8" s="304"/>
      <c r="D8" s="305" t="s">
        <v>80</v>
      </c>
      <c r="E8" s="305"/>
      <c r="F8" s="305"/>
      <c r="G8" s="305"/>
      <c r="H8" s="305"/>
      <c r="I8" s="305"/>
      <c r="J8" s="305"/>
      <c r="K8" s="305"/>
      <c r="L8" s="305"/>
      <c r="M8" s="305"/>
      <c r="N8" s="75"/>
      <c r="P8" s="26" t="s">
        <v>11</v>
      </c>
      <c r="Q8" s="306">
        <v>0.41666666666666669</v>
      </c>
      <c r="R8" s="307"/>
      <c r="T8" s="293"/>
      <c r="U8" s="294"/>
      <c r="V8" s="297"/>
      <c r="W8" s="298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>
        <v>46268</v>
      </c>
      <c r="R9" s="312"/>
      <c r="T9" s="293"/>
      <c r="U9" s="294"/>
      <c r="V9" s="299"/>
      <c r="W9" s="30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>
        <v>0.375</v>
      </c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6"/>
      <c r="R12" s="306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81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81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82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351">
        <v>4607111035912</v>
      </c>
      <c r="E24" s="351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5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351">
        <v>4607111035103</v>
      </c>
      <c r="E25" s="351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57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351">
        <v>4607111035929</v>
      </c>
      <c r="E26" s="351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5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351">
        <v>4607111035882</v>
      </c>
      <c r="E27" s="351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5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351">
        <v>4607111035110</v>
      </c>
      <c r="E28" s="351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6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3"/>
      <c r="R28" s="353"/>
      <c r="S28" s="353"/>
      <c r="T28" s="35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351">
        <v>4607111035905</v>
      </c>
      <c r="E29" s="351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6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3"/>
      <c r="R29" s="353"/>
      <c r="S29" s="353"/>
      <c r="T29" s="354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6"/>
      <c r="P30" s="362" t="s">
        <v>40</v>
      </c>
      <c r="Q30" s="363"/>
      <c r="R30" s="363"/>
      <c r="S30" s="363"/>
      <c r="T30" s="363"/>
      <c r="U30" s="363"/>
      <c r="V30" s="364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6"/>
      <c r="P31" s="362" t="s">
        <v>40</v>
      </c>
      <c r="Q31" s="363"/>
      <c r="R31" s="363"/>
      <c r="S31" s="363"/>
      <c r="T31" s="363"/>
      <c r="U31" s="363"/>
      <c r="V31" s="364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49" t="s">
        <v>105</v>
      </c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62"/>
      <c r="AB32" s="62"/>
      <c r="AC32" s="62"/>
    </row>
    <row r="33" spans="1:68" ht="14.25" hidden="1" customHeight="1" x14ac:dyDescent="0.25">
      <c r="A33" s="350" t="s">
        <v>82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351">
        <v>4607111039019</v>
      </c>
      <c r="E34" s="351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6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3"/>
      <c r="R34" s="353"/>
      <c r="S34" s="353"/>
      <c r="T34" s="35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351">
        <v>4607111038708</v>
      </c>
      <c r="E35" s="351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3"/>
      <c r="R35" s="353"/>
      <c r="S35" s="353"/>
      <c r="T35" s="354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6"/>
      <c r="P36" s="362" t="s">
        <v>40</v>
      </c>
      <c r="Q36" s="363"/>
      <c r="R36" s="363"/>
      <c r="S36" s="363"/>
      <c r="T36" s="363"/>
      <c r="U36" s="363"/>
      <c r="V36" s="364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6"/>
      <c r="P37" s="362" t="s">
        <v>40</v>
      </c>
      <c r="Q37" s="363"/>
      <c r="R37" s="363"/>
      <c r="S37" s="363"/>
      <c r="T37" s="363"/>
      <c r="U37" s="363"/>
      <c r="V37" s="364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8" t="s">
        <v>45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52"/>
      <c r="AB38" s="52"/>
      <c r="AC38" s="52"/>
    </row>
    <row r="39" spans="1:68" ht="16.5" hidden="1" customHeight="1" x14ac:dyDescent="0.25">
      <c r="A39" s="349" t="s">
        <v>111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62"/>
      <c r="AB39" s="62"/>
      <c r="AC39" s="62"/>
    </row>
    <row r="40" spans="1:68" ht="14.25" hidden="1" customHeight="1" x14ac:dyDescent="0.25">
      <c r="A40" s="350" t="s">
        <v>112</v>
      </c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351">
        <v>4607111036537</v>
      </c>
      <c r="E41" s="35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6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3"/>
      <c r="R41" s="353"/>
      <c r="S41" s="353"/>
      <c r="T41" s="354"/>
      <c r="U41" s="37" t="s">
        <v>46</v>
      </c>
      <c r="V41" s="37" t="s">
        <v>46</v>
      </c>
      <c r="W41" s="38" t="s">
        <v>39</v>
      </c>
      <c r="X41" s="56">
        <v>98</v>
      </c>
      <c r="Y41" s="53">
        <f>IFERROR(IF(X41="","",X41),"")</f>
        <v>98</v>
      </c>
      <c r="Z41" s="39">
        <f>IFERROR(IF(X41="","",X41*0.00941),"")</f>
        <v>0.92218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188.3364</v>
      </c>
      <c r="BN41" s="78">
        <f>IFERROR(Y41*I41,"0")</f>
        <v>188.3364</v>
      </c>
      <c r="BO41" s="78">
        <f>IFERROR(X41/J41,"0")</f>
        <v>0.7</v>
      </c>
      <c r="BP41" s="78">
        <f>IFERROR(Y41/J41,"0")</f>
        <v>0.7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351">
        <v>4607111036605</v>
      </c>
      <c r="E42" s="351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7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3"/>
      <c r="R42" s="353"/>
      <c r="S42" s="353"/>
      <c r="T42" s="354"/>
      <c r="U42" s="37" t="s">
        <v>46</v>
      </c>
      <c r="V42" s="37" t="s">
        <v>46</v>
      </c>
      <c r="W42" s="38" t="s">
        <v>39</v>
      </c>
      <c r="X42" s="56">
        <v>84</v>
      </c>
      <c r="Y42" s="53">
        <f>IFERROR(IF(X42="","",X42),"")</f>
        <v>84</v>
      </c>
      <c r="Z42" s="39">
        <f>IFERROR(IF(X42="","",X42*0.00941),"")</f>
        <v>0.79044000000000003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161.43119999999999</v>
      </c>
      <c r="BN42" s="78">
        <f>IFERROR(Y42*I42,"0")</f>
        <v>161.43119999999999</v>
      </c>
      <c r="BO42" s="78">
        <f>IFERROR(X42/J42,"0")</f>
        <v>0.6</v>
      </c>
      <c r="BP42" s="78">
        <f>IFERROR(Y42/J42,"0")</f>
        <v>0.6</v>
      </c>
    </row>
    <row r="43" spans="1:68" x14ac:dyDescent="0.2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6"/>
      <c r="P43" s="362" t="s">
        <v>40</v>
      </c>
      <c r="Q43" s="363"/>
      <c r="R43" s="363"/>
      <c r="S43" s="363"/>
      <c r="T43" s="363"/>
      <c r="U43" s="363"/>
      <c r="V43" s="364"/>
      <c r="W43" s="40" t="s">
        <v>39</v>
      </c>
      <c r="X43" s="41">
        <f>IFERROR(SUM(X41:X42),"0")</f>
        <v>182</v>
      </c>
      <c r="Y43" s="41">
        <f>IFERROR(SUM(Y41:Y42),"0")</f>
        <v>182</v>
      </c>
      <c r="Z43" s="41">
        <f>IFERROR(IF(Z41="",0,Z41),"0")+IFERROR(IF(Z42="",0,Z42),"0")</f>
        <v>1.71262</v>
      </c>
      <c r="AA43" s="64"/>
      <c r="AB43" s="64"/>
      <c r="AC43" s="64"/>
    </row>
    <row r="44" spans="1:68" x14ac:dyDescent="0.2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6"/>
      <c r="P44" s="362" t="s">
        <v>40</v>
      </c>
      <c r="Q44" s="363"/>
      <c r="R44" s="363"/>
      <c r="S44" s="363"/>
      <c r="T44" s="363"/>
      <c r="U44" s="363"/>
      <c r="V44" s="364"/>
      <c r="W44" s="40" t="s">
        <v>0</v>
      </c>
      <c r="X44" s="41">
        <f>IFERROR(SUMPRODUCT(X41:X42*H41:H42),"0")</f>
        <v>273</v>
      </c>
      <c r="Y44" s="41">
        <f>IFERROR(SUMPRODUCT(Y41:Y42*H41:H42),"0")</f>
        <v>273</v>
      </c>
      <c r="Z44" s="40"/>
      <c r="AA44" s="64"/>
      <c r="AB44" s="64"/>
      <c r="AC44" s="64"/>
    </row>
    <row r="45" spans="1:68" ht="16.5" hidden="1" customHeight="1" x14ac:dyDescent="0.25">
      <c r="A45" s="349" t="s">
        <v>122</v>
      </c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62"/>
      <c r="AB45" s="62"/>
      <c r="AC45" s="62"/>
    </row>
    <row r="46" spans="1:68" ht="14.25" hidden="1" customHeight="1" x14ac:dyDescent="0.25">
      <c r="A46" s="350" t="s">
        <v>82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351">
        <v>4620207490075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351">
        <v>4620207490174</v>
      </c>
      <c r="E48" s="35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7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3"/>
      <c r="R48" s="353"/>
      <c r="S48" s="353"/>
      <c r="T48" s="354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351">
        <v>4620207490044</v>
      </c>
      <c r="E49" s="351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7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3"/>
      <c r="R49" s="353"/>
      <c r="S49" s="353"/>
      <c r="T49" s="354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hidden="1" x14ac:dyDescent="0.2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6"/>
      <c r="P50" s="362" t="s">
        <v>40</v>
      </c>
      <c r="Q50" s="363"/>
      <c r="R50" s="363"/>
      <c r="S50" s="363"/>
      <c r="T50" s="363"/>
      <c r="U50" s="363"/>
      <c r="V50" s="364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365"/>
      <c r="B51" s="365"/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6"/>
      <c r="P51" s="362" t="s">
        <v>40</v>
      </c>
      <c r="Q51" s="363"/>
      <c r="R51" s="363"/>
      <c r="S51" s="363"/>
      <c r="T51" s="363"/>
      <c r="U51" s="363"/>
      <c r="V51" s="364"/>
      <c r="W51" s="40" t="s">
        <v>0</v>
      </c>
      <c r="X51" s="41">
        <f>IFERROR(SUMPRODUCT(X47:X49*H47:H49),"0")</f>
        <v>0</v>
      </c>
      <c r="Y51" s="41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49" t="s">
        <v>132</v>
      </c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62"/>
      <c r="AB52" s="62"/>
      <c r="AC52" s="62"/>
    </row>
    <row r="53" spans="1:68" ht="14.25" hidden="1" customHeight="1" x14ac:dyDescent="0.25">
      <c r="A53" s="350" t="s">
        <v>82</v>
      </c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351">
        <v>4607111039385</v>
      </c>
      <c r="E54" s="351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351">
        <v>4607111038982</v>
      </c>
      <c r="E55" s="351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351">
        <v>4607111039354</v>
      </c>
      <c r="E56" s="351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3"/>
      <c r="R56" s="353"/>
      <c r="S56" s="353"/>
      <c r="T56" s="354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4301071047</v>
      </c>
      <c r="D57" s="351">
        <v>4607111039330</v>
      </c>
      <c r="E57" s="351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3"/>
      <c r="R57" s="353"/>
      <c r="S57" s="353"/>
      <c r="T57" s="354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2.75" hidden="1" customHeight="1" x14ac:dyDescent="0.2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6"/>
      <c r="P58" s="362" t="s">
        <v>40</v>
      </c>
      <c r="Q58" s="363"/>
      <c r="R58" s="363"/>
      <c r="S58" s="363"/>
      <c r="T58" s="363"/>
      <c r="U58" s="363"/>
      <c r="V58" s="364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t="12.75" hidden="1" customHeight="1" x14ac:dyDescent="0.2">
      <c r="A59" s="365"/>
      <c r="B59" s="365"/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6"/>
      <c r="P59" s="362" t="s">
        <v>40</v>
      </c>
      <c r="Q59" s="363"/>
      <c r="R59" s="363"/>
      <c r="S59" s="363"/>
      <c r="T59" s="363"/>
      <c r="U59" s="363"/>
      <c r="V59" s="364"/>
      <c r="W59" s="40" t="s">
        <v>0</v>
      </c>
      <c r="X59" s="41">
        <f>IFERROR(SUMPRODUCT(X54:X57*H54:H57),"0")</f>
        <v>0</v>
      </c>
      <c r="Y59" s="41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49" t="s">
        <v>143</v>
      </c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62"/>
      <c r="AB60" s="62"/>
      <c r="AC60" s="62"/>
    </row>
    <row r="61" spans="1:68" ht="14.25" hidden="1" customHeight="1" x14ac:dyDescent="0.25">
      <c r="A61" s="350" t="s">
        <v>82</v>
      </c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351">
        <v>4620207490822</v>
      </c>
      <c r="E62" s="351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3"/>
      <c r="R62" s="353"/>
      <c r="S62" s="353"/>
      <c r="T62" s="354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6"/>
      <c r="P63" s="362" t="s">
        <v>40</v>
      </c>
      <c r="Q63" s="363"/>
      <c r="R63" s="363"/>
      <c r="S63" s="363"/>
      <c r="T63" s="363"/>
      <c r="U63" s="363"/>
      <c r="V63" s="364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365"/>
      <c r="B64" s="365"/>
      <c r="C64" s="365"/>
      <c r="D64" s="365"/>
      <c r="E64" s="365"/>
      <c r="F64" s="365"/>
      <c r="G64" s="365"/>
      <c r="H64" s="365"/>
      <c r="I64" s="365"/>
      <c r="J64" s="365"/>
      <c r="K64" s="365"/>
      <c r="L64" s="365"/>
      <c r="M64" s="365"/>
      <c r="N64" s="365"/>
      <c r="O64" s="366"/>
      <c r="P64" s="362" t="s">
        <v>40</v>
      </c>
      <c r="Q64" s="363"/>
      <c r="R64" s="363"/>
      <c r="S64" s="363"/>
      <c r="T64" s="363"/>
      <c r="U64" s="363"/>
      <c r="V64" s="364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50" t="s">
        <v>112</v>
      </c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351">
        <v>4607111039712</v>
      </c>
      <c r="E66" s="351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3"/>
      <c r="R66" s="353"/>
      <c r="S66" s="353"/>
      <c r="T66" s="354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6"/>
      <c r="P67" s="362" t="s">
        <v>40</v>
      </c>
      <c r="Q67" s="363"/>
      <c r="R67" s="363"/>
      <c r="S67" s="363"/>
      <c r="T67" s="363"/>
      <c r="U67" s="363"/>
      <c r="V67" s="364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365"/>
      <c r="B68" s="365"/>
      <c r="C68" s="365"/>
      <c r="D68" s="365"/>
      <c r="E68" s="365"/>
      <c r="F68" s="365"/>
      <c r="G68" s="365"/>
      <c r="H68" s="365"/>
      <c r="I68" s="365"/>
      <c r="J68" s="365"/>
      <c r="K68" s="365"/>
      <c r="L68" s="365"/>
      <c r="M68" s="365"/>
      <c r="N68" s="365"/>
      <c r="O68" s="366"/>
      <c r="P68" s="362" t="s">
        <v>40</v>
      </c>
      <c r="Q68" s="363"/>
      <c r="R68" s="363"/>
      <c r="S68" s="363"/>
      <c r="T68" s="363"/>
      <c r="U68" s="363"/>
      <c r="V68" s="364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50" t="s">
        <v>150</v>
      </c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351">
        <v>4607111037008</v>
      </c>
      <c r="E70" s="351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8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3"/>
      <c r="R70" s="353"/>
      <c r="S70" s="353"/>
      <c r="T70" s="35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351">
        <v>4607111037398</v>
      </c>
      <c r="E71" s="351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3"/>
      <c r="R71" s="353"/>
      <c r="S71" s="353"/>
      <c r="T71" s="354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6"/>
      <c r="P72" s="362" t="s">
        <v>40</v>
      </c>
      <c r="Q72" s="363"/>
      <c r="R72" s="363"/>
      <c r="S72" s="363"/>
      <c r="T72" s="363"/>
      <c r="U72" s="363"/>
      <c r="V72" s="364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6"/>
      <c r="P73" s="362" t="s">
        <v>40</v>
      </c>
      <c r="Q73" s="363"/>
      <c r="R73" s="363"/>
      <c r="S73" s="363"/>
      <c r="T73" s="363"/>
      <c r="U73" s="363"/>
      <c r="V73" s="364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50" t="s">
        <v>156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350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351">
        <v>4607111039705</v>
      </c>
      <c r="E75" s="35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3"/>
      <c r="R75" s="353"/>
      <c r="S75" s="353"/>
      <c r="T75" s="354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351">
        <v>4607111039729</v>
      </c>
      <c r="E76" s="351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3"/>
      <c r="R76" s="353"/>
      <c r="S76" s="353"/>
      <c r="T76" s="354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351">
        <v>4620207490228</v>
      </c>
      <c r="E77" s="351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3"/>
      <c r="R77" s="353"/>
      <c r="S77" s="353"/>
      <c r="T77" s="354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6"/>
      <c r="P78" s="362" t="s">
        <v>40</v>
      </c>
      <c r="Q78" s="363"/>
      <c r="R78" s="363"/>
      <c r="S78" s="363"/>
      <c r="T78" s="363"/>
      <c r="U78" s="363"/>
      <c r="V78" s="364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6"/>
      <c r="P79" s="362" t="s">
        <v>40</v>
      </c>
      <c r="Q79" s="363"/>
      <c r="R79" s="363"/>
      <c r="S79" s="363"/>
      <c r="T79" s="363"/>
      <c r="U79" s="363"/>
      <c r="V79" s="364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49" t="s">
        <v>164</v>
      </c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62"/>
      <c r="AB80" s="62"/>
      <c r="AC80" s="62"/>
    </row>
    <row r="81" spans="1:68" ht="14.25" hidden="1" customHeight="1" x14ac:dyDescent="0.25">
      <c r="A81" s="350" t="s">
        <v>82</v>
      </c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351">
        <v>4607111037411</v>
      </c>
      <c r="E82" s="351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3"/>
      <c r="R82" s="353"/>
      <c r="S82" s="353"/>
      <c r="T82" s="354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351">
        <v>4607111036728</v>
      </c>
      <c r="E83" s="351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3"/>
      <c r="R83" s="353"/>
      <c r="S83" s="353"/>
      <c r="T83" s="354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6"/>
      <c r="P84" s="362" t="s">
        <v>40</v>
      </c>
      <c r="Q84" s="363"/>
      <c r="R84" s="363"/>
      <c r="S84" s="363"/>
      <c r="T84" s="363"/>
      <c r="U84" s="363"/>
      <c r="V84" s="364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6"/>
      <c r="P85" s="362" t="s">
        <v>40</v>
      </c>
      <c r="Q85" s="363"/>
      <c r="R85" s="363"/>
      <c r="S85" s="363"/>
      <c r="T85" s="363"/>
      <c r="U85" s="363"/>
      <c r="V85" s="364"/>
      <c r="W85" s="40" t="s">
        <v>0</v>
      </c>
      <c r="X85" s="41">
        <f>IFERROR(SUMPRODUCT(X82:X83*H82:H83),"0")</f>
        <v>0</v>
      </c>
      <c r="Y85" s="41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49" t="s">
        <v>171</v>
      </c>
      <c r="B86" s="349"/>
      <c r="C86" s="349"/>
      <c r="D86" s="349"/>
      <c r="E86" s="349"/>
      <c r="F86" s="349"/>
      <c r="G86" s="349"/>
      <c r="H86" s="349"/>
      <c r="I86" s="349"/>
      <c r="J86" s="349"/>
      <c r="K86" s="349"/>
      <c r="L86" s="349"/>
      <c r="M86" s="349"/>
      <c r="N86" s="349"/>
      <c r="O86" s="349"/>
      <c r="P86" s="349"/>
      <c r="Q86" s="349"/>
      <c r="R86" s="349"/>
      <c r="S86" s="349"/>
      <c r="T86" s="349"/>
      <c r="U86" s="349"/>
      <c r="V86" s="349"/>
      <c r="W86" s="349"/>
      <c r="X86" s="349"/>
      <c r="Y86" s="349"/>
      <c r="Z86" s="349"/>
      <c r="AA86" s="62"/>
      <c r="AB86" s="62"/>
      <c r="AC86" s="62"/>
    </row>
    <row r="87" spans="1:68" ht="14.25" hidden="1" customHeight="1" x14ac:dyDescent="0.25">
      <c r="A87" s="350" t="s">
        <v>156</v>
      </c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351">
        <v>4607111033659</v>
      </c>
      <c r="E88" s="351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3"/>
      <c r="R88" s="353"/>
      <c r="S88" s="353"/>
      <c r="T88" s="354"/>
      <c r="U88" s="37" t="s">
        <v>46</v>
      </c>
      <c r="V88" s="37" t="s">
        <v>46</v>
      </c>
      <c r="W88" s="38" t="s">
        <v>39</v>
      </c>
      <c r="X88" s="56">
        <v>28</v>
      </c>
      <c r="Y88" s="53">
        <f>IFERROR(IF(X88="","",X88),"")</f>
        <v>28</v>
      </c>
      <c r="Z88" s="39">
        <f>IFERROR(IF(X88="","",X88*0.01788),"")</f>
        <v>0.50063999999999997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120.50080000000001</v>
      </c>
      <c r="BN88" s="78">
        <f>IFERROR(Y88*I88,"0")</f>
        <v>120.50080000000001</v>
      </c>
      <c r="BO88" s="78">
        <f>IFERROR(X88/J88,"0")</f>
        <v>0.4</v>
      </c>
      <c r="BP88" s="78">
        <f>IFERROR(Y88/J88,"0")</f>
        <v>0.4</v>
      </c>
    </row>
    <row r="89" spans="1:68" ht="12.75" customHeight="1" x14ac:dyDescent="0.2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6"/>
      <c r="P89" s="362" t="s">
        <v>40</v>
      </c>
      <c r="Q89" s="363"/>
      <c r="R89" s="363"/>
      <c r="S89" s="363"/>
      <c r="T89" s="363"/>
      <c r="U89" s="363"/>
      <c r="V89" s="364"/>
      <c r="W89" s="40" t="s">
        <v>39</v>
      </c>
      <c r="X89" s="41">
        <f>IFERROR(SUM(X88:X88),"0")</f>
        <v>28</v>
      </c>
      <c r="Y89" s="41">
        <f>IFERROR(SUM(Y88:Y88),"0")</f>
        <v>28</v>
      </c>
      <c r="Z89" s="41">
        <f>IFERROR(IF(Z88="",0,Z88),"0")</f>
        <v>0.50063999999999997</v>
      </c>
      <c r="AA89" s="64"/>
      <c r="AB89" s="64"/>
      <c r="AC89" s="64"/>
    </row>
    <row r="90" spans="1:68" ht="12.75" customHeight="1" x14ac:dyDescent="0.2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6"/>
      <c r="P90" s="362" t="s">
        <v>40</v>
      </c>
      <c r="Q90" s="363"/>
      <c r="R90" s="363"/>
      <c r="S90" s="363"/>
      <c r="T90" s="363"/>
      <c r="U90" s="363"/>
      <c r="V90" s="364"/>
      <c r="W90" s="40" t="s">
        <v>0</v>
      </c>
      <c r="X90" s="41">
        <f>IFERROR(SUMPRODUCT(X88:X88*H88:H88),"0")</f>
        <v>100.8</v>
      </c>
      <c r="Y90" s="41">
        <f>IFERROR(SUMPRODUCT(Y88:Y88*H88:H88),"0")</f>
        <v>100.8</v>
      </c>
      <c r="Z90" s="40"/>
      <c r="AA90" s="64"/>
      <c r="AB90" s="64"/>
      <c r="AC90" s="64"/>
    </row>
    <row r="91" spans="1:68" ht="16.5" hidden="1" customHeight="1" x14ac:dyDescent="0.25">
      <c r="A91" s="349" t="s">
        <v>175</v>
      </c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62"/>
      <c r="AB91" s="62"/>
      <c r="AC91" s="62"/>
    </row>
    <row r="92" spans="1:68" ht="14.25" hidden="1" customHeight="1" x14ac:dyDescent="0.25">
      <c r="A92" s="350" t="s">
        <v>176</v>
      </c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351">
        <v>4607111034120</v>
      </c>
      <c r="E93" s="351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3"/>
      <c r="R93" s="353"/>
      <c r="S93" s="353"/>
      <c r="T93" s="354"/>
      <c r="U93" s="37" t="s">
        <v>46</v>
      </c>
      <c r="V93" s="37" t="s">
        <v>46</v>
      </c>
      <c r="W93" s="38" t="s">
        <v>39</v>
      </c>
      <c r="X93" s="56">
        <v>70</v>
      </c>
      <c r="Y93" s="53">
        <f>IFERROR(IF(X93="","",X93),"")</f>
        <v>70</v>
      </c>
      <c r="Z93" s="39">
        <f>IFERROR(IF(X93="","",X93*0.01788),"")</f>
        <v>1.2516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301.25200000000001</v>
      </c>
      <c r="BN93" s="78">
        <f>IFERROR(Y93*I93,"0")</f>
        <v>301.25200000000001</v>
      </c>
      <c r="BO93" s="78">
        <f>IFERROR(X93/J93,"0")</f>
        <v>1</v>
      </c>
      <c r="BP93" s="78">
        <f>IFERROR(Y93/J93,"0")</f>
        <v>1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351">
        <v>4607111034137</v>
      </c>
      <c r="E94" s="351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8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3"/>
      <c r="R94" s="353"/>
      <c r="S94" s="353"/>
      <c r="T94" s="354"/>
      <c r="U94" s="37" t="s">
        <v>46</v>
      </c>
      <c r="V94" s="37" t="s">
        <v>46</v>
      </c>
      <c r="W94" s="38" t="s">
        <v>39</v>
      </c>
      <c r="X94" s="56">
        <v>42</v>
      </c>
      <c r="Y94" s="53">
        <f>IFERROR(IF(X94="","",X94),"")</f>
        <v>42</v>
      </c>
      <c r="Z94" s="39">
        <f>IFERROR(IF(X94="","",X94*0.01788),"")</f>
        <v>0.75095999999999996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180.75120000000001</v>
      </c>
      <c r="BN94" s="78">
        <f>IFERROR(Y94*I94,"0")</f>
        <v>180.75120000000001</v>
      </c>
      <c r="BO94" s="78">
        <f>IFERROR(X94/J94,"0")</f>
        <v>0.6</v>
      </c>
      <c r="BP94" s="78">
        <f>IFERROR(Y94/J94,"0")</f>
        <v>0.6</v>
      </c>
    </row>
    <row r="95" spans="1:68" x14ac:dyDescent="0.2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6"/>
      <c r="P95" s="362" t="s">
        <v>40</v>
      </c>
      <c r="Q95" s="363"/>
      <c r="R95" s="363"/>
      <c r="S95" s="363"/>
      <c r="T95" s="363"/>
      <c r="U95" s="363"/>
      <c r="V95" s="364"/>
      <c r="W95" s="40" t="s">
        <v>39</v>
      </c>
      <c r="X95" s="41">
        <f>IFERROR(SUM(X93:X94),"0")</f>
        <v>112</v>
      </c>
      <c r="Y95" s="41">
        <f>IFERROR(SUM(Y93:Y94),"0")</f>
        <v>112</v>
      </c>
      <c r="Z95" s="41">
        <f>IFERROR(IF(Z93="",0,Z93),"0")+IFERROR(IF(Z94="",0,Z94),"0")</f>
        <v>2.0025599999999999</v>
      </c>
      <c r="AA95" s="64"/>
      <c r="AB95" s="64"/>
      <c r="AC95" s="64"/>
    </row>
    <row r="96" spans="1:68" x14ac:dyDescent="0.2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6"/>
      <c r="P96" s="362" t="s">
        <v>40</v>
      </c>
      <c r="Q96" s="363"/>
      <c r="R96" s="363"/>
      <c r="S96" s="363"/>
      <c r="T96" s="363"/>
      <c r="U96" s="363"/>
      <c r="V96" s="364"/>
      <c r="W96" s="40" t="s">
        <v>0</v>
      </c>
      <c r="X96" s="41">
        <f>IFERROR(SUMPRODUCT(X93:X94*H93:H94),"0")</f>
        <v>403.20000000000005</v>
      </c>
      <c r="Y96" s="41">
        <f>IFERROR(SUMPRODUCT(Y93:Y94*H93:H94),"0")</f>
        <v>403.20000000000005</v>
      </c>
      <c r="Z96" s="40"/>
      <c r="AA96" s="64"/>
      <c r="AB96" s="64"/>
      <c r="AC96" s="64"/>
    </row>
    <row r="97" spans="1:68" ht="16.5" hidden="1" customHeight="1" x14ac:dyDescent="0.25">
      <c r="A97" s="349" t="s">
        <v>183</v>
      </c>
      <c r="B97" s="349"/>
      <c r="C97" s="349"/>
      <c r="D97" s="349"/>
      <c r="E97" s="349"/>
      <c r="F97" s="349"/>
      <c r="G97" s="349"/>
      <c r="H97" s="349"/>
      <c r="I97" s="349"/>
      <c r="J97" s="349"/>
      <c r="K97" s="349"/>
      <c r="L97" s="349"/>
      <c r="M97" s="349"/>
      <c r="N97" s="349"/>
      <c r="O97" s="349"/>
      <c r="P97" s="349"/>
      <c r="Q97" s="349"/>
      <c r="R97" s="349"/>
      <c r="S97" s="349"/>
      <c r="T97" s="349"/>
      <c r="U97" s="349"/>
      <c r="V97" s="349"/>
      <c r="W97" s="349"/>
      <c r="X97" s="349"/>
      <c r="Y97" s="349"/>
      <c r="Z97" s="349"/>
      <c r="AA97" s="62"/>
      <c r="AB97" s="62"/>
      <c r="AC97" s="62"/>
    </row>
    <row r="98" spans="1:68" ht="14.25" hidden="1" customHeight="1" x14ac:dyDescent="0.25">
      <c r="A98" s="350" t="s">
        <v>156</v>
      </c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350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351">
        <v>4620207491027</v>
      </c>
      <c r="E99" s="35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9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3"/>
      <c r="R99" s="353"/>
      <c r="S99" s="353"/>
      <c r="T99" s="354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ref="Y99:Y104" si="6">IFERROR(IF(X99="","",X99),"")</f>
        <v>42</v>
      </c>
      <c r="Z99" s="39">
        <f t="shared" ref="Z99:Z104" si="7">IFERROR(IF(X99="","",X99*0.01788),"")</f>
        <v>0.75095999999999996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150.5112</v>
      </c>
      <c r="BN99" s="78">
        <f t="shared" ref="BN99:BN104" si="9">IFERROR(Y99*I99,"0")</f>
        <v>150.5112</v>
      </c>
      <c r="BO99" s="78">
        <f t="shared" ref="BO99:BO104" si="10">IFERROR(X99/J99,"0")</f>
        <v>0.6</v>
      </c>
      <c r="BP99" s="78">
        <f t="shared" ref="BP99:BP104" si="11">IFERROR(Y99/J99,"0")</f>
        <v>0.6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351">
        <v>4620207491003</v>
      </c>
      <c r="E100" s="35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9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3"/>
      <c r="R100" s="353"/>
      <c r="S100" s="353"/>
      <c r="T100" s="354"/>
      <c r="U100" s="37" t="s">
        <v>46</v>
      </c>
      <c r="V100" s="37" t="s">
        <v>46</v>
      </c>
      <c r="W100" s="38" t="s">
        <v>39</v>
      </c>
      <c r="X100" s="56">
        <v>98</v>
      </c>
      <c r="Y100" s="53">
        <f t="shared" si="6"/>
        <v>98</v>
      </c>
      <c r="Z100" s="39">
        <f t="shared" si="7"/>
        <v>1.75224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351.19280000000003</v>
      </c>
      <c r="BN100" s="78">
        <f t="shared" si="9"/>
        <v>351.19280000000003</v>
      </c>
      <c r="BO100" s="78">
        <f t="shared" si="10"/>
        <v>1.4</v>
      </c>
      <c r="BP100" s="78">
        <f t="shared" si="11"/>
        <v>1.4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351">
        <v>4620207491034</v>
      </c>
      <c r="E101" s="351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9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3"/>
      <c r="R101" s="353"/>
      <c r="S101" s="353"/>
      <c r="T101" s="354"/>
      <c r="U101" s="37" t="s">
        <v>46</v>
      </c>
      <c r="V101" s="37" t="s">
        <v>46</v>
      </c>
      <c r="W101" s="38" t="s">
        <v>39</v>
      </c>
      <c r="X101" s="56">
        <v>70</v>
      </c>
      <c r="Y101" s="53">
        <f t="shared" si="6"/>
        <v>70</v>
      </c>
      <c r="Z101" s="39">
        <f t="shared" si="7"/>
        <v>1.2516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250.852</v>
      </c>
      <c r="BN101" s="78">
        <f t="shared" si="9"/>
        <v>250.852</v>
      </c>
      <c r="BO101" s="78">
        <f t="shared" si="10"/>
        <v>1</v>
      </c>
      <c r="BP101" s="78">
        <f t="shared" si="11"/>
        <v>1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351">
        <v>4620207491010</v>
      </c>
      <c r="E102" s="351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9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3"/>
      <c r="R102" s="353"/>
      <c r="S102" s="353"/>
      <c r="T102" s="354"/>
      <c r="U102" s="37" t="s">
        <v>46</v>
      </c>
      <c r="V102" s="37" t="s">
        <v>46</v>
      </c>
      <c r="W102" s="38" t="s">
        <v>39</v>
      </c>
      <c r="X102" s="56">
        <v>84</v>
      </c>
      <c r="Y102" s="53">
        <f t="shared" si="6"/>
        <v>84</v>
      </c>
      <c r="Z102" s="39">
        <f t="shared" si="7"/>
        <v>1.5019199999999999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301.0224</v>
      </c>
      <c r="BN102" s="78">
        <f t="shared" si="9"/>
        <v>301.0224</v>
      </c>
      <c r="BO102" s="78">
        <f t="shared" si="10"/>
        <v>1.2</v>
      </c>
      <c r="BP102" s="78">
        <f t="shared" si="11"/>
        <v>1.2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351">
        <v>4607111035028</v>
      </c>
      <c r="E103" s="351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9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28</v>
      </c>
      <c r="Y103" s="53">
        <f t="shared" si="6"/>
        <v>28</v>
      </c>
      <c r="Z103" s="39">
        <f t="shared" si="7"/>
        <v>0.50063999999999997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124.56640000000002</v>
      </c>
      <c r="BN103" s="78">
        <f t="shared" si="9"/>
        <v>124.56640000000002</v>
      </c>
      <c r="BO103" s="78">
        <f t="shared" si="10"/>
        <v>0.4</v>
      </c>
      <c r="BP103" s="78">
        <f t="shared" si="11"/>
        <v>0.4</v>
      </c>
    </row>
    <row r="104" spans="1:68" ht="27" customHeight="1" x14ac:dyDescent="0.25">
      <c r="A104" s="60" t="s">
        <v>195</v>
      </c>
      <c r="B104" s="60" t="s">
        <v>196</v>
      </c>
      <c r="C104" s="34">
        <v>4301135285</v>
      </c>
      <c r="D104" s="351">
        <v>4607111036407</v>
      </c>
      <c r="E104" s="351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9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3"/>
      <c r="R104" s="353"/>
      <c r="S104" s="353"/>
      <c r="T104" s="354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6"/>
      <c r="P105" s="362" t="s">
        <v>40</v>
      </c>
      <c r="Q105" s="363"/>
      <c r="R105" s="363"/>
      <c r="S105" s="363"/>
      <c r="T105" s="363"/>
      <c r="U105" s="363"/>
      <c r="V105" s="364"/>
      <c r="W105" s="40" t="s">
        <v>39</v>
      </c>
      <c r="X105" s="41">
        <f>IFERROR(SUM(X99:X104),"0")</f>
        <v>336</v>
      </c>
      <c r="Y105" s="41">
        <f>IFERROR(SUM(Y99:Y104),"0")</f>
        <v>336</v>
      </c>
      <c r="Z105" s="41">
        <f>IFERROR(IF(Z99="",0,Z99),"0")+IFERROR(IF(Z100="",0,Z100),"0")+IFERROR(IF(Z101="",0,Z101),"0")+IFERROR(IF(Z102="",0,Z102),"0")+IFERROR(IF(Z103="",0,Z103),"0")+IFERROR(IF(Z104="",0,Z104),"0")</f>
        <v>6.0076800000000006</v>
      </c>
      <c r="AA105" s="64"/>
      <c r="AB105" s="64"/>
      <c r="AC105" s="64"/>
    </row>
    <row r="106" spans="1:68" x14ac:dyDescent="0.2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6"/>
      <c r="P106" s="362" t="s">
        <v>40</v>
      </c>
      <c r="Q106" s="363"/>
      <c r="R106" s="363"/>
      <c r="S106" s="363"/>
      <c r="T106" s="363"/>
      <c r="U106" s="363"/>
      <c r="V106" s="364"/>
      <c r="W106" s="40" t="s">
        <v>0</v>
      </c>
      <c r="X106" s="41">
        <f>IFERROR(SUMPRODUCT(X99:X104*H99:H104),"0")</f>
        <v>1013.0399999999998</v>
      </c>
      <c r="Y106" s="41">
        <f>IFERROR(SUMPRODUCT(Y99:Y104*H99:H104),"0")</f>
        <v>1013.0399999999998</v>
      </c>
      <c r="Z106" s="40"/>
      <c r="AA106" s="64"/>
      <c r="AB106" s="64"/>
      <c r="AC106" s="64"/>
    </row>
    <row r="107" spans="1:68" ht="16.5" hidden="1" customHeight="1" x14ac:dyDescent="0.25">
      <c r="A107" s="349" t="s">
        <v>198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2"/>
      <c r="AB107" s="62"/>
      <c r="AC107" s="62"/>
    </row>
    <row r="108" spans="1:68" ht="14.25" hidden="1" customHeight="1" x14ac:dyDescent="0.25">
      <c r="A108" s="350" t="s">
        <v>150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351">
        <v>4607025784012</v>
      </c>
      <c r="E109" s="351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351">
        <v>4607025784319</v>
      </c>
      <c r="E110" s="351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9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3"/>
      <c r="R110" s="353"/>
      <c r="S110" s="353"/>
      <c r="T110" s="354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365"/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5"/>
      <c r="M111" s="365"/>
      <c r="N111" s="365"/>
      <c r="O111" s="366"/>
      <c r="P111" s="362" t="s">
        <v>40</v>
      </c>
      <c r="Q111" s="363"/>
      <c r="R111" s="363"/>
      <c r="S111" s="363"/>
      <c r="T111" s="363"/>
      <c r="U111" s="363"/>
      <c r="V111" s="364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365"/>
      <c r="B112" s="365"/>
      <c r="C112" s="365"/>
      <c r="D112" s="365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6"/>
      <c r="P112" s="362" t="s">
        <v>40</v>
      </c>
      <c r="Q112" s="363"/>
      <c r="R112" s="363"/>
      <c r="S112" s="363"/>
      <c r="T112" s="363"/>
      <c r="U112" s="363"/>
      <c r="V112" s="364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49" t="s">
        <v>204</v>
      </c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62"/>
      <c r="AB113" s="62"/>
      <c r="AC113" s="62"/>
    </row>
    <row r="114" spans="1:68" ht="14.25" hidden="1" customHeight="1" x14ac:dyDescent="0.25">
      <c r="A114" s="350" t="s">
        <v>82</v>
      </c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351">
        <v>4620207491157</v>
      </c>
      <c r="E115" s="351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9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351">
        <v>4620207491393</v>
      </c>
      <c r="E116" s="351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3"/>
      <c r="R116" s="353"/>
      <c r="S116" s="353"/>
      <c r="T116" s="354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211</v>
      </c>
      <c r="B117" s="60" t="s">
        <v>212</v>
      </c>
      <c r="C117" s="34">
        <v>4301071051</v>
      </c>
      <c r="D117" s="351">
        <v>4607111039262</v>
      </c>
      <c r="E117" s="351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3"/>
      <c r="R117" s="353"/>
      <c r="S117" s="353"/>
      <c r="T117" s="354"/>
      <c r="U117" s="37" t="s">
        <v>46</v>
      </c>
      <c r="V117" s="37" t="s">
        <v>46</v>
      </c>
      <c r="W117" s="38" t="s">
        <v>39</v>
      </c>
      <c r="X117" s="56">
        <v>60</v>
      </c>
      <c r="Y117" s="53">
        <f t="shared" si="12"/>
        <v>60</v>
      </c>
      <c r="Z117" s="39">
        <f t="shared" si="13"/>
        <v>0.92999999999999994</v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403.17599999999999</v>
      </c>
      <c r="BN117" s="78">
        <f t="shared" si="15"/>
        <v>403.17599999999999</v>
      </c>
      <c r="BO117" s="78">
        <f t="shared" si="16"/>
        <v>0.7142857142857143</v>
      </c>
      <c r="BP117" s="78">
        <f t="shared" si="17"/>
        <v>0.7142857142857143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351">
        <v>4607111039248</v>
      </c>
      <c r="E118" s="351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40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3"/>
      <c r="R118" s="353"/>
      <c r="S118" s="353"/>
      <c r="T118" s="354"/>
      <c r="U118" s="37" t="s">
        <v>46</v>
      </c>
      <c r="V118" s="37" t="s">
        <v>46</v>
      </c>
      <c r="W118" s="38" t="s">
        <v>39</v>
      </c>
      <c r="X118" s="56">
        <v>84</v>
      </c>
      <c r="Y118" s="53">
        <f t="shared" si="12"/>
        <v>84</v>
      </c>
      <c r="Z118" s="39">
        <f t="shared" si="13"/>
        <v>1.302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613.19999999999993</v>
      </c>
      <c r="BN118" s="78">
        <f t="shared" si="15"/>
        <v>613.19999999999993</v>
      </c>
      <c r="BO118" s="78">
        <f t="shared" si="16"/>
        <v>1</v>
      </c>
      <c r="BP118" s="78">
        <f t="shared" si="17"/>
        <v>1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351">
        <v>4607111037145</v>
      </c>
      <c r="E119" s="351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218</v>
      </c>
      <c r="B120" s="60" t="s">
        <v>219</v>
      </c>
      <c r="C120" s="34">
        <v>4301071049</v>
      </c>
      <c r="D120" s="351">
        <v>4607111039293</v>
      </c>
      <c r="E120" s="351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40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3"/>
      <c r="R120" s="353"/>
      <c r="S120" s="353"/>
      <c r="T120" s="354"/>
      <c r="U120" s="37" t="s">
        <v>46</v>
      </c>
      <c r="V120" s="37" t="s">
        <v>46</v>
      </c>
      <c r="W120" s="38" t="s">
        <v>39</v>
      </c>
      <c r="X120" s="56">
        <v>60</v>
      </c>
      <c r="Y120" s="53">
        <f t="shared" si="12"/>
        <v>60</v>
      </c>
      <c r="Z120" s="39">
        <f t="shared" si="13"/>
        <v>0.92999999999999994</v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403.17599999999999</v>
      </c>
      <c r="BN120" s="78">
        <f t="shared" si="15"/>
        <v>403.17599999999999</v>
      </c>
      <c r="BO120" s="78">
        <f t="shared" si="16"/>
        <v>0.7142857142857143</v>
      </c>
      <c r="BP120" s="78">
        <f t="shared" si="17"/>
        <v>0.7142857142857143</v>
      </c>
    </row>
    <row r="121" spans="1:68" ht="27" customHeight="1" x14ac:dyDescent="0.25">
      <c r="A121" s="60" t="s">
        <v>220</v>
      </c>
      <c r="B121" s="60" t="s">
        <v>221</v>
      </c>
      <c r="C121" s="34">
        <v>4301071039</v>
      </c>
      <c r="D121" s="351">
        <v>4607111039279</v>
      </c>
      <c r="E121" s="351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40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3"/>
      <c r="R121" s="353"/>
      <c r="S121" s="353"/>
      <c r="T121" s="354"/>
      <c r="U121" s="37" t="s">
        <v>46</v>
      </c>
      <c r="V121" s="37" t="s">
        <v>46</v>
      </c>
      <c r="W121" s="38" t="s">
        <v>39</v>
      </c>
      <c r="X121" s="56">
        <v>108</v>
      </c>
      <c r="Y121" s="53">
        <f t="shared" si="12"/>
        <v>108</v>
      </c>
      <c r="Z121" s="39">
        <f t="shared" si="13"/>
        <v>1.6739999999999999</v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788.4</v>
      </c>
      <c r="BN121" s="78">
        <f t="shared" si="15"/>
        <v>788.4</v>
      </c>
      <c r="BO121" s="78">
        <f t="shared" si="16"/>
        <v>1.2857142857142858</v>
      </c>
      <c r="BP121" s="78">
        <f t="shared" si="17"/>
        <v>1.2857142857142858</v>
      </c>
    </row>
    <row r="122" spans="1:68" x14ac:dyDescent="0.2">
      <c r="A122" s="365"/>
      <c r="B122" s="365"/>
      <c r="C122" s="365"/>
      <c r="D122" s="365"/>
      <c r="E122" s="365"/>
      <c r="F122" s="365"/>
      <c r="G122" s="365"/>
      <c r="H122" s="365"/>
      <c r="I122" s="365"/>
      <c r="J122" s="365"/>
      <c r="K122" s="365"/>
      <c r="L122" s="365"/>
      <c r="M122" s="365"/>
      <c r="N122" s="365"/>
      <c r="O122" s="366"/>
      <c r="P122" s="362" t="s">
        <v>40</v>
      </c>
      <c r="Q122" s="363"/>
      <c r="R122" s="363"/>
      <c r="S122" s="363"/>
      <c r="T122" s="363"/>
      <c r="U122" s="363"/>
      <c r="V122" s="364"/>
      <c r="W122" s="40" t="s">
        <v>39</v>
      </c>
      <c r="X122" s="41">
        <f>IFERROR(SUM(X115:X121),"0")</f>
        <v>312</v>
      </c>
      <c r="Y122" s="41">
        <f>IFERROR(SUM(Y115:Y121),"0")</f>
        <v>312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4.8360000000000003</v>
      </c>
      <c r="AA122" s="64"/>
      <c r="AB122" s="64"/>
      <c r="AC122" s="64"/>
    </row>
    <row r="123" spans="1:68" x14ac:dyDescent="0.2">
      <c r="A123" s="365"/>
      <c r="B123" s="365"/>
      <c r="C123" s="365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6"/>
      <c r="P123" s="362" t="s">
        <v>40</v>
      </c>
      <c r="Q123" s="363"/>
      <c r="R123" s="363"/>
      <c r="S123" s="363"/>
      <c r="T123" s="363"/>
      <c r="U123" s="363"/>
      <c r="V123" s="364"/>
      <c r="W123" s="40" t="s">
        <v>0</v>
      </c>
      <c r="X123" s="41">
        <f>IFERROR(SUMPRODUCT(X115:X121*H115:H121),"0")</f>
        <v>2112</v>
      </c>
      <c r="Y123" s="41">
        <f>IFERROR(SUMPRODUCT(Y115:Y121*H115:H121),"0")</f>
        <v>2112</v>
      </c>
      <c r="Z123" s="40"/>
      <c r="AA123" s="64"/>
      <c r="AB123" s="64"/>
      <c r="AC123" s="64"/>
    </row>
    <row r="124" spans="1:68" ht="14.25" hidden="1" customHeight="1" x14ac:dyDescent="0.25">
      <c r="A124" s="350" t="s">
        <v>156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  <c r="Z124" s="350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351">
        <v>4620207490983</v>
      </c>
      <c r="E125" s="351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40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3"/>
      <c r="R125" s="353"/>
      <c r="S125" s="353"/>
      <c r="T125" s="354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365"/>
      <c r="B126" s="365"/>
      <c r="C126" s="365"/>
      <c r="D126" s="365"/>
      <c r="E126" s="365"/>
      <c r="F126" s="365"/>
      <c r="G126" s="365"/>
      <c r="H126" s="365"/>
      <c r="I126" s="365"/>
      <c r="J126" s="365"/>
      <c r="K126" s="365"/>
      <c r="L126" s="365"/>
      <c r="M126" s="365"/>
      <c r="N126" s="365"/>
      <c r="O126" s="366"/>
      <c r="P126" s="362" t="s">
        <v>40</v>
      </c>
      <c r="Q126" s="363"/>
      <c r="R126" s="363"/>
      <c r="S126" s="363"/>
      <c r="T126" s="363"/>
      <c r="U126" s="363"/>
      <c r="V126" s="364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365"/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6"/>
      <c r="P127" s="362" t="s">
        <v>40</v>
      </c>
      <c r="Q127" s="363"/>
      <c r="R127" s="363"/>
      <c r="S127" s="363"/>
      <c r="T127" s="363"/>
      <c r="U127" s="363"/>
      <c r="V127" s="364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50" t="s">
        <v>225</v>
      </c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351">
        <v>4620207491140</v>
      </c>
      <c r="E129" s="351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40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3"/>
      <c r="R129" s="353"/>
      <c r="S129" s="353"/>
      <c r="T129" s="354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365"/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6"/>
      <c r="P130" s="362" t="s">
        <v>40</v>
      </c>
      <c r="Q130" s="363"/>
      <c r="R130" s="363"/>
      <c r="S130" s="363"/>
      <c r="T130" s="363"/>
      <c r="U130" s="363"/>
      <c r="V130" s="364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365"/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6"/>
      <c r="P131" s="362" t="s">
        <v>40</v>
      </c>
      <c r="Q131" s="363"/>
      <c r="R131" s="363"/>
      <c r="S131" s="363"/>
      <c r="T131" s="363"/>
      <c r="U131" s="363"/>
      <c r="V131" s="364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49" t="s">
        <v>229</v>
      </c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62"/>
      <c r="AB132" s="62"/>
      <c r="AC132" s="62"/>
    </row>
    <row r="133" spans="1:68" ht="14.25" hidden="1" customHeight="1" x14ac:dyDescent="0.25">
      <c r="A133" s="350" t="s">
        <v>230</v>
      </c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351">
        <v>4620207491386</v>
      </c>
      <c r="E134" s="351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40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3"/>
      <c r="R134" s="353"/>
      <c r="S134" s="353"/>
      <c r="T134" s="354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365"/>
      <c r="B135" s="365"/>
      <c r="C135" s="365"/>
      <c r="D135" s="365"/>
      <c r="E135" s="365"/>
      <c r="F135" s="365"/>
      <c r="G135" s="365"/>
      <c r="H135" s="365"/>
      <c r="I135" s="365"/>
      <c r="J135" s="365"/>
      <c r="K135" s="365"/>
      <c r="L135" s="365"/>
      <c r="M135" s="365"/>
      <c r="N135" s="365"/>
      <c r="O135" s="366"/>
      <c r="P135" s="362" t="s">
        <v>40</v>
      </c>
      <c r="Q135" s="363"/>
      <c r="R135" s="363"/>
      <c r="S135" s="363"/>
      <c r="T135" s="363"/>
      <c r="U135" s="363"/>
      <c r="V135" s="364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365"/>
      <c r="B136" s="365"/>
      <c r="C136" s="365"/>
      <c r="D136" s="365"/>
      <c r="E136" s="365"/>
      <c r="F136" s="365"/>
      <c r="G136" s="365"/>
      <c r="H136" s="365"/>
      <c r="I136" s="365"/>
      <c r="J136" s="365"/>
      <c r="K136" s="365"/>
      <c r="L136" s="365"/>
      <c r="M136" s="365"/>
      <c r="N136" s="365"/>
      <c r="O136" s="366"/>
      <c r="P136" s="362" t="s">
        <v>40</v>
      </c>
      <c r="Q136" s="363"/>
      <c r="R136" s="363"/>
      <c r="S136" s="363"/>
      <c r="T136" s="363"/>
      <c r="U136" s="363"/>
      <c r="V136" s="364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49" t="s">
        <v>234</v>
      </c>
      <c r="B137" s="349"/>
      <c r="C137" s="349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62"/>
      <c r="AB137" s="62"/>
      <c r="AC137" s="62"/>
    </row>
    <row r="138" spans="1:68" ht="14.25" hidden="1" customHeight="1" x14ac:dyDescent="0.25">
      <c r="A138" s="350" t="s">
        <v>156</v>
      </c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351">
        <v>4620207491485</v>
      </c>
      <c r="E139" s="351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408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3"/>
      <c r="R139" s="353"/>
      <c r="S139" s="353"/>
      <c r="T139" s="354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351">
        <v>4607111034014</v>
      </c>
      <c r="E140" s="351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40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3"/>
      <c r="R140" s="353"/>
      <c r="S140" s="353"/>
      <c r="T140" s="354"/>
      <c r="U140" s="37" t="s">
        <v>46</v>
      </c>
      <c r="V140" s="37" t="s">
        <v>46</v>
      </c>
      <c r="W140" s="38" t="s">
        <v>39</v>
      </c>
      <c r="X140" s="56">
        <v>140</v>
      </c>
      <c r="Y140" s="53">
        <f>IFERROR(IF(X140="","",X140),"")</f>
        <v>140</v>
      </c>
      <c r="Z140" s="39">
        <f>IFERROR(IF(X140="","",X140*0.01788),"")</f>
        <v>2.5032000000000001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518.50400000000002</v>
      </c>
      <c r="BN140" s="78">
        <f>IFERROR(Y140*I140,"0")</f>
        <v>518.50400000000002</v>
      </c>
      <c r="BO140" s="78">
        <f>IFERROR(X140/J140,"0")</f>
        <v>2</v>
      </c>
      <c r="BP140" s="78">
        <f>IFERROR(Y140/J140,"0")</f>
        <v>2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351">
        <v>4607111033994</v>
      </c>
      <c r="E141" s="351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4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3"/>
      <c r="R141" s="353"/>
      <c r="S141" s="353"/>
      <c r="T141" s="354"/>
      <c r="U141" s="37" t="s">
        <v>46</v>
      </c>
      <c r="V141" s="37" t="s">
        <v>46</v>
      </c>
      <c r="W141" s="38" t="s">
        <v>39</v>
      </c>
      <c r="X141" s="56">
        <v>112</v>
      </c>
      <c r="Y141" s="53">
        <f>IFERROR(IF(X141="","",X141),"")</f>
        <v>112</v>
      </c>
      <c r="Z141" s="39">
        <f>IFERROR(IF(X141="","",X141*0.01788),"")</f>
        <v>2.0025599999999999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414.80319999999995</v>
      </c>
      <c r="BN141" s="78">
        <f>IFERROR(Y141*I141,"0")</f>
        <v>414.80319999999995</v>
      </c>
      <c r="BO141" s="78">
        <f>IFERROR(X141/J141,"0")</f>
        <v>1.6</v>
      </c>
      <c r="BP141" s="78">
        <f>IFERROR(Y141/J141,"0")</f>
        <v>1.6</v>
      </c>
    </row>
    <row r="142" spans="1:68" x14ac:dyDescent="0.2">
      <c r="A142" s="365"/>
      <c r="B142" s="365"/>
      <c r="C142" s="365"/>
      <c r="D142" s="365"/>
      <c r="E142" s="365"/>
      <c r="F142" s="365"/>
      <c r="G142" s="365"/>
      <c r="H142" s="365"/>
      <c r="I142" s="365"/>
      <c r="J142" s="365"/>
      <c r="K142" s="365"/>
      <c r="L142" s="365"/>
      <c r="M142" s="365"/>
      <c r="N142" s="365"/>
      <c r="O142" s="366"/>
      <c r="P142" s="362" t="s">
        <v>40</v>
      </c>
      <c r="Q142" s="363"/>
      <c r="R142" s="363"/>
      <c r="S142" s="363"/>
      <c r="T142" s="363"/>
      <c r="U142" s="363"/>
      <c r="V142" s="364"/>
      <c r="W142" s="40" t="s">
        <v>39</v>
      </c>
      <c r="X142" s="41">
        <f>IFERROR(SUM(X139:X141),"0")</f>
        <v>252</v>
      </c>
      <c r="Y142" s="41">
        <f>IFERROR(SUM(Y139:Y141),"0")</f>
        <v>252</v>
      </c>
      <c r="Z142" s="41">
        <f>IFERROR(IF(Z139="",0,Z139),"0")+IFERROR(IF(Z140="",0,Z140),"0")+IFERROR(IF(Z141="",0,Z141),"0")</f>
        <v>4.5057600000000004</v>
      </c>
      <c r="AA142" s="64"/>
      <c r="AB142" s="64"/>
      <c r="AC142" s="64"/>
    </row>
    <row r="143" spans="1:68" x14ac:dyDescent="0.2">
      <c r="A143" s="365"/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365"/>
      <c r="O143" s="366"/>
      <c r="P143" s="362" t="s">
        <v>40</v>
      </c>
      <c r="Q143" s="363"/>
      <c r="R143" s="363"/>
      <c r="S143" s="363"/>
      <c r="T143" s="363"/>
      <c r="U143" s="363"/>
      <c r="V143" s="364"/>
      <c r="W143" s="40" t="s">
        <v>0</v>
      </c>
      <c r="X143" s="41">
        <f>IFERROR(SUMPRODUCT(X139:X141*H139:H141),"0")</f>
        <v>756</v>
      </c>
      <c r="Y143" s="41">
        <f>IFERROR(SUMPRODUCT(Y139:Y141*H139:H141),"0")</f>
        <v>756</v>
      </c>
      <c r="Z143" s="40"/>
      <c r="AA143" s="64"/>
      <c r="AB143" s="64"/>
      <c r="AC143" s="64"/>
    </row>
    <row r="144" spans="1:68" ht="16.5" hidden="1" customHeight="1" x14ac:dyDescent="0.25">
      <c r="A144" s="349" t="s">
        <v>243</v>
      </c>
      <c r="B144" s="349"/>
      <c r="C144" s="349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62"/>
      <c r="AB144" s="62"/>
      <c r="AC144" s="62"/>
    </row>
    <row r="145" spans="1:68" ht="14.25" hidden="1" customHeight="1" x14ac:dyDescent="0.25">
      <c r="A145" s="350" t="s">
        <v>156</v>
      </c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  <c r="Z145" s="350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351">
        <v>4620207491492</v>
      </c>
      <c r="E146" s="351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411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3"/>
      <c r="R146" s="353"/>
      <c r="S146" s="353"/>
      <c r="T146" s="354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351">
        <v>4607111039095</v>
      </c>
      <c r="E147" s="351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41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3"/>
      <c r="R147" s="353"/>
      <c r="S147" s="353"/>
      <c r="T147" s="354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351">
        <v>4607111034199</v>
      </c>
      <c r="E148" s="351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41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70</v>
      </c>
      <c r="Y148" s="53">
        <f>IFERROR(IF(X148="","",X148),"")</f>
        <v>70</v>
      </c>
      <c r="Z148" s="39">
        <f>IFERROR(IF(X148="","",X148*0.01788),"")</f>
        <v>1.2516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259.25200000000001</v>
      </c>
      <c r="BN148" s="78">
        <f>IFERROR(Y148*I148,"0")</f>
        <v>259.25200000000001</v>
      </c>
      <c r="BO148" s="78">
        <f>IFERROR(X148/J148,"0")</f>
        <v>1</v>
      </c>
      <c r="BP148" s="78">
        <f>IFERROR(Y148/J148,"0")</f>
        <v>1</v>
      </c>
    </row>
    <row r="149" spans="1:68" x14ac:dyDescent="0.2">
      <c r="A149" s="365"/>
      <c r="B149" s="365"/>
      <c r="C149" s="365"/>
      <c r="D149" s="365"/>
      <c r="E149" s="365"/>
      <c r="F149" s="365"/>
      <c r="G149" s="365"/>
      <c r="H149" s="365"/>
      <c r="I149" s="365"/>
      <c r="J149" s="365"/>
      <c r="K149" s="365"/>
      <c r="L149" s="365"/>
      <c r="M149" s="365"/>
      <c r="N149" s="365"/>
      <c r="O149" s="366"/>
      <c r="P149" s="362" t="s">
        <v>40</v>
      </c>
      <c r="Q149" s="363"/>
      <c r="R149" s="363"/>
      <c r="S149" s="363"/>
      <c r="T149" s="363"/>
      <c r="U149" s="363"/>
      <c r="V149" s="364"/>
      <c r="W149" s="40" t="s">
        <v>39</v>
      </c>
      <c r="X149" s="41">
        <f>IFERROR(SUM(X146:X148),"0")</f>
        <v>70</v>
      </c>
      <c r="Y149" s="41">
        <f>IFERROR(SUM(Y146:Y148),"0")</f>
        <v>70</v>
      </c>
      <c r="Z149" s="41">
        <f>IFERROR(IF(Z146="",0,Z146),"0")+IFERROR(IF(Z147="",0,Z147),"0")+IFERROR(IF(Z148="",0,Z148),"0")</f>
        <v>1.2516</v>
      </c>
      <c r="AA149" s="64"/>
      <c r="AB149" s="64"/>
      <c r="AC149" s="64"/>
    </row>
    <row r="150" spans="1:68" x14ac:dyDescent="0.2">
      <c r="A150" s="365"/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6"/>
      <c r="P150" s="362" t="s">
        <v>40</v>
      </c>
      <c r="Q150" s="363"/>
      <c r="R150" s="363"/>
      <c r="S150" s="363"/>
      <c r="T150" s="363"/>
      <c r="U150" s="363"/>
      <c r="V150" s="364"/>
      <c r="W150" s="40" t="s">
        <v>0</v>
      </c>
      <c r="X150" s="41">
        <f>IFERROR(SUMPRODUCT(X146:X148*H146:H148),"0")</f>
        <v>210</v>
      </c>
      <c r="Y150" s="41">
        <f>IFERROR(SUMPRODUCT(Y146:Y148*H146:H148),"0")</f>
        <v>210</v>
      </c>
      <c r="Z150" s="40"/>
      <c r="AA150" s="64"/>
      <c r="AB150" s="64"/>
      <c r="AC150" s="64"/>
    </row>
    <row r="151" spans="1:68" ht="16.5" hidden="1" customHeight="1" x14ac:dyDescent="0.25">
      <c r="A151" s="349" t="s">
        <v>252</v>
      </c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62"/>
      <c r="AB151" s="62"/>
      <c r="AC151" s="62"/>
    </row>
    <row r="152" spans="1:68" ht="14.25" hidden="1" customHeight="1" x14ac:dyDescent="0.25">
      <c r="A152" s="350" t="s">
        <v>156</v>
      </c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  <c r="Z152" s="350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351">
        <v>4620207490914</v>
      </c>
      <c r="E153" s="351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41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3"/>
      <c r="R153" s="353"/>
      <c r="S153" s="353"/>
      <c r="T153" s="354"/>
      <c r="U153" s="37" t="s">
        <v>46</v>
      </c>
      <c r="V153" s="37" t="s">
        <v>46</v>
      </c>
      <c r="W153" s="38" t="s">
        <v>39</v>
      </c>
      <c r="X153" s="56">
        <v>70</v>
      </c>
      <c r="Y153" s="53">
        <f>IFERROR(IF(X153="","",X153),"")</f>
        <v>70</v>
      </c>
      <c r="Z153" s="39">
        <f>IFERROR(IF(X153="","",X153*0.01788),"")</f>
        <v>1.2516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187.60000000000002</v>
      </c>
      <c r="BN153" s="78">
        <f>IFERROR(Y153*I153,"0")</f>
        <v>187.60000000000002</v>
      </c>
      <c r="BO153" s="78">
        <f>IFERROR(X153/J153,"0")</f>
        <v>1</v>
      </c>
      <c r="BP153" s="78">
        <f>IFERROR(Y153/J153,"0")</f>
        <v>1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351">
        <v>4620207490853</v>
      </c>
      <c r="E154" s="351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41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3"/>
      <c r="R154" s="353"/>
      <c r="S154" s="353"/>
      <c r="T154" s="354"/>
      <c r="U154" s="37" t="s">
        <v>46</v>
      </c>
      <c r="V154" s="37" t="s">
        <v>46</v>
      </c>
      <c r="W154" s="38" t="s">
        <v>39</v>
      </c>
      <c r="X154" s="56">
        <v>42</v>
      </c>
      <c r="Y154" s="53">
        <f>IFERROR(IF(X154="","",X154),"")</f>
        <v>42</v>
      </c>
      <c r="Z154" s="39">
        <f>IFERROR(IF(X154="","",X154*0.01788),"")</f>
        <v>0.75095999999999996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112.56</v>
      </c>
      <c r="BN154" s="78">
        <f>IFERROR(Y154*I154,"0")</f>
        <v>112.56</v>
      </c>
      <c r="BO154" s="78">
        <f>IFERROR(X154/J154,"0")</f>
        <v>0.6</v>
      </c>
      <c r="BP154" s="78">
        <f>IFERROR(Y154/J154,"0")</f>
        <v>0.6</v>
      </c>
    </row>
    <row r="155" spans="1:68" x14ac:dyDescent="0.2">
      <c r="A155" s="365"/>
      <c r="B155" s="365"/>
      <c r="C155" s="365"/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6"/>
      <c r="P155" s="362" t="s">
        <v>40</v>
      </c>
      <c r="Q155" s="363"/>
      <c r="R155" s="363"/>
      <c r="S155" s="363"/>
      <c r="T155" s="363"/>
      <c r="U155" s="363"/>
      <c r="V155" s="364"/>
      <c r="W155" s="40" t="s">
        <v>39</v>
      </c>
      <c r="X155" s="41">
        <f>IFERROR(SUM(X153:X154),"0")</f>
        <v>112</v>
      </c>
      <c r="Y155" s="41">
        <f>IFERROR(SUM(Y153:Y154),"0")</f>
        <v>112</v>
      </c>
      <c r="Z155" s="41">
        <f>IFERROR(IF(Z153="",0,Z153),"0")+IFERROR(IF(Z154="",0,Z154),"0")</f>
        <v>2.0025599999999999</v>
      </c>
      <c r="AA155" s="64"/>
      <c r="AB155" s="64"/>
      <c r="AC155" s="64"/>
    </row>
    <row r="156" spans="1:68" x14ac:dyDescent="0.2">
      <c r="A156" s="365"/>
      <c r="B156" s="365"/>
      <c r="C156" s="365"/>
      <c r="D156" s="365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6"/>
      <c r="P156" s="362" t="s">
        <v>40</v>
      </c>
      <c r="Q156" s="363"/>
      <c r="R156" s="363"/>
      <c r="S156" s="363"/>
      <c r="T156" s="363"/>
      <c r="U156" s="363"/>
      <c r="V156" s="364"/>
      <c r="W156" s="40" t="s">
        <v>0</v>
      </c>
      <c r="X156" s="41">
        <f>IFERROR(SUMPRODUCT(X153:X154*H153:H154),"0")</f>
        <v>268.8</v>
      </c>
      <c r="Y156" s="41">
        <f>IFERROR(SUMPRODUCT(Y153:Y154*H153:H154),"0")</f>
        <v>268.8</v>
      </c>
      <c r="Z156" s="40"/>
      <c r="AA156" s="64"/>
      <c r="AB156" s="64"/>
      <c r="AC156" s="64"/>
    </row>
    <row r="157" spans="1:68" ht="16.5" hidden="1" customHeight="1" x14ac:dyDescent="0.25">
      <c r="A157" s="349" t="s">
        <v>257</v>
      </c>
      <c r="B157" s="349"/>
      <c r="C157" s="349"/>
      <c r="D157" s="349"/>
      <c r="E157" s="349"/>
      <c r="F157" s="349"/>
      <c r="G157" s="349"/>
      <c r="H157" s="349"/>
      <c r="I157" s="349"/>
      <c r="J157" s="349"/>
      <c r="K157" s="349"/>
      <c r="L157" s="349"/>
      <c r="M157" s="349"/>
      <c r="N157" s="349"/>
      <c r="O157" s="349"/>
      <c r="P157" s="349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62"/>
      <c r="AB157" s="62"/>
      <c r="AC157" s="62"/>
    </row>
    <row r="158" spans="1:68" ht="14.25" hidden="1" customHeight="1" x14ac:dyDescent="0.25">
      <c r="A158" s="350" t="s">
        <v>156</v>
      </c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  <c r="AA158" s="63"/>
      <c r="AB158" s="63"/>
      <c r="AC158" s="63"/>
    </row>
    <row r="159" spans="1:68" ht="27" customHeight="1" x14ac:dyDescent="0.25">
      <c r="A159" s="60" t="s">
        <v>258</v>
      </c>
      <c r="B159" s="60" t="s">
        <v>259</v>
      </c>
      <c r="C159" s="34">
        <v>4301135570</v>
      </c>
      <c r="D159" s="351">
        <v>4607111035806</v>
      </c>
      <c r="E159" s="351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3"/>
      <c r="R159" s="353"/>
      <c r="S159" s="353"/>
      <c r="T159" s="354"/>
      <c r="U159" s="37" t="s">
        <v>46</v>
      </c>
      <c r="V159" s="37" t="s">
        <v>46</v>
      </c>
      <c r="W159" s="38" t="s">
        <v>39</v>
      </c>
      <c r="X159" s="56">
        <v>14</v>
      </c>
      <c r="Y159" s="53">
        <f>IFERROR(IF(X159="","",X159),"")</f>
        <v>14</v>
      </c>
      <c r="Z159" s="39">
        <f>IFERROR(IF(X159="","",X159*0.01788),"")</f>
        <v>0.25031999999999999</v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51.850399999999993</v>
      </c>
      <c r="BN159" s="78">
        <f>IFERROR(Y159*I159,"0")</f>
        <v>51.850399999999993</v>
      </c>
      <c r="BO159" s="78">
        <f>IFERROR(X159/J159,"0")</f>
        <v>0.2</v>
      </c>
      <c r="BP159" s="78">
        <f>IFERROR(Y159/J159,"0")</f>
        <v>0.2</v>
      </c>
    </row>
    <row r="160" spans="1:68" ht="12.75" customHeight="1" x14ac:dyDescent="0.2">
      <c r="A160" s="365"/>
      <c r="B160" s="365"/>
      <c r="C160" s="365"/>
      <c r="D160" s="365"/>
      <c r="E160" s="365"/>
      <c r="F160" s="365"/>
      <c r="G160" s="365"/>
      <c r="H160" s="365"/>
      <c r="I160" s="365"/>
      <c r="J160" s="365"/>
      <c r="K160" s="365"/>
      <c r="L160" s="365"/>
      <c r="M160" s="365"/>
      <c r="N160" s="365"/>
      <c r="O160" s="366"/>
      <c r="P160" s="362" t="s">
        <v>40</v>
      </c>
      <c r="Q160" s="363"/>
      <c r="R160" s="363"/>
      <c r="S160" s="363"/>
      <c r="T160" s="363"/>
      <c r="U160" s="363"/>
      <c r="V160" s="364"/>
      <c r="W160" s="40" t="s">
        <v>39</v>
      </c>
      <c r="X160" s="41">
        <f>IFERROR(SUM(X159:X159),"0")</f>
        <v>14</v>
      </c>
      <c r="Y160" s="41">
        <f>IFERROR(SUM(Y159:Y159),"0")</f>
        <v>14</v>
      </c>
      <c r="Z160" s="41">
        <f>IFERROR(IF(Z159="",0,Z159),"0")</f>
        <v>0.25031999999999999</v>
      </c>
      <c r="AA160" s="64"/>
      <c r="AB160" s="64"/>
      <c r="AC160" s="64"/>
    </row>
    <row r="161" spans="1:68" ht="12.75" customHeight="1" x14ac:dyDescent="0.2">
      <c r="A161" s="365"/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6"/>
      <c r="P161" s="362" t="s">
        <v>40</v>
      </c>
      <c r="Q161" s="363"/>
      <c r="R161" s="363"/>
      <c r="S161" s="363"/>
      <c r="T161" s="363"/>
      <c r="U161" s="363"/>
      <c r="V161" s="364"/>
      <c r="W161" s="40" t="s">
        <v>0</v>
      </c>
      <c r="X161" s="41">
        <f>IFERROR(SUMPRODUCT(X159:X159*H159:H159),"0")</f>
        <v>42</v>
      </c>
      <c r="Y161" s="41">
        <f>IFERROR(SUMPRODUCT(Y159:Y159*H159:H159),"0")</f>
        <v>42</v>
      </c>
      <c r="Z161" s="40"/>
      <c r="AA161" s="64"/>
      <c r="AB161" s="64"/>
      <c r="AC161" s="64"/>
    </row>
    <row r="162" spans="1:68" ht="16.5" hidden="1" customHeight="1" x14ac:dyDescent="0.25">
      <c r="A162" s="349" t="s">
        <v>261</v>
      </c>
      <c r="B162" s="349"/>
      <c r="C162" s="349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62"/>
      <c r="AB162" s="62"/>
      <c r="AC162" s="62"/>
    </row>
    <row r="163" spans="1:68" ht="14.25" hidden="1" customHeight="1" x14ac:dyDescent="0.25">
      <c r="A163" s="350" t="s">
        <v>156</v>
      </c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351">
        <v>4607111039613</v>
      </c>
      <c r="E164" s="351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41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3"/>
      <c r="R164" s="353"/>
      <c r="S164" s="353"/>
      <c r="T164" s="354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365"/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6"/>
      <c r="P165" s="362" t="s">
        <v>40</v>
      </c>
      <c r="Q165" s="363"/>
      <c r="R165" s="363"/>
      <c r="S165" s="363"/>
      <c r="T165" s="363"/>
      <c r="U165" s="363"/>
      <c r="V165" s="364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365"/>
      <c r="B166" s="365"/>
      <c r="C166" s="365"/>
      <c r="D166" s="365"/>
      <c r="E166" s="365"/>
      <c r="F166" s="365"/>
      <c r="G166" s="365"/>
      <c r="H166" s="365"/>
      <c r="I166" s="365"/>
      <c r="J166" s="365"/>
      <c r="K166" s="365"/>
      <c r="L166" s="365"/>
      <c r="M166" s="365"/>
      <c r="N166" s="365"/>
      <c r="O166" s="366"/>
      <c r="P166" s="362" t="s">
        <v>40</v>
      </c>
      <c r="Q166" s="363"/>
      <c r="R166" s="363"/>
      <c r="S166" s="363"/>
      <c r="T166" s="363"/>
      <c r="U166" s="363"/>
      <c r="V166" s="364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49" t="s">
        <v>264</v>
      </c>
      <c r="B167" s="349"/>
      <c r="C167" s="349"/>
      <c r="D167" s="349"/>
      <c r="E167" s="349"/>
      <c r="F167" s="349"/>
      <c r="G167" s="349"/>
      <c r="H167" s="349"/>
      <c r="I167" s="349"/>
      <c r="J167" s="349"/>
      <c r="K167" s="349"/>
      <c r="L167" s="349"/>
      <c r="M167" s="349"/>
      <c r="N167" s="349"/>
      <c r="O167" s="349"/>
      <c r="P167" s="349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62"/>
      <c r="AB167" s="62"/>
      <c r="AC167" s="62"/>
    </row>
    <row r="168" spans="1:68" ht="14.25" hidden="1" customHeight="1" x14ac:dyDescent="0.25">
      <c r="A168" s="350" t="s">
        <v>225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351">
        <v>4607111035646</v>
      </c>
      <c r="E169" s="351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41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3"/>
      <c r="R169" s="353"/>
      <c r="S169" s="353"/>
      <c r="T169" s="354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365"/>
      <c r="B170" s="365"/>
      <c r="C170" s="365"/>
      <c r="D170" s="365"/>
      <c r="E170" s="365"/>
      <c r="F170" s="365"/>
      <c r="G170" s="365"/>
      <c r="H170" s="365"/>
      <c r="I170" s="365"/>
      <c r="J170" s="365"/>
      <c r="K170" s="365"/>
      <c r="L170" s="365"/>
      <c r="M170" s="365"/>
      <c r="N170" s="365"/>
      <c r="O170" s="366"/>
      <c r="P170" s="362" t="s">
        <v>40</v>
      </c>
      <c r="Q170" s="363"/>
      <c r="R170" s="363"/>
      <c r="S170" s="363"/>
      <c r="T170" s="363"/>
      <c r="U170" s="363"/>
      <c r="V170" s="364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365"/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6"/>
      <c r="P171" s="362" t="s">
        <v>40</v>
      </c>
      <c r="Q171" s="363"/>
      <c r="R171" s="363"/>
      <c r="S171" s="363"/>
      <c r="T171" s="363"/>
      <c r="U171" s="363"/>
      <c r="V171" s="364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49" t="s">
        <v>269</v>
      </c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62"/>
      <c r="AB172" s="62"/>
      <c r="AC172" s="62"/>
    </row>
    <row r="173" spans="1:68" ht="14.25" hidden="1" customHeight="1" x14ac:dyDescent="0.25">
      <c r="A173" s="350" t="s">
        <v>156</v>
      </c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351">
        <v>4607111036568</v>
      </c>
      <c r="E174" s="351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4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3"/>
      <c r="R174" s="353"/>
      <c r="S174" s="353"/>
      <c r="T174" s="354"/>
      <c r="U174" s="37" t="s">
        <v>46</v>
      </c>
      <c r="V174" s="37" t="s">
        <v>46</v>
      </c>
      <c r="W174" s="38" t="s">
        <v>39</v>
      </c>
      <c r="X174" s="56">
        <v>126</v>
      </c>
      <c r="Y174" s="53">
        <f>IFERROR(IF(X174="","",X174),"")</f>
        <v>126</v>
      </c>
      <c r="Z174" s="39">
        <f>IFERROR(IF(X174="","",X174*0.00941),"")</f>
        <v>1.1856599999999999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264.82679999999999</v>
      </c>
      <c r="BN174" s="78">
        <f>IFERROR(Y174*I174,"0")</f>
        <v>264.82679999999999</v>
      </c>
      <c r="BO174" s="78">
        <f>IFERROR(X174/J174,"0")</f>
        <v>0.9</v>
      </c>
      <c r="BP174" s="78">
        <f>IFERROR(Y174/J174,"0")</f>
        <v>0.9</v>
      </c>
    </row>
    <row r="175" spans="1:68" x14ac:dyDescent="0.2">
      <c r="A175" s="365"/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N175" s="365"/>
      <c r="O175" s="366"/>
      <c r="P175" s="362" t="s">
        <v>40</v>
      </c>
      <c r="Q175" s="363"/>
      <c r="R175" s="363"/>
      <c r="S175" s="363"/>
      <c r="T175" s="363"/>
      <c r="U175" s="363"/>
      <c r="V175" s="364"/>
      <c r="W175" s="40" t="s">
        <v>39</v>
      </c>
      <c r="X175" s="41">
        <f>IFERROR(SUM(X174:X174),"0")</f>
        <v>126</v>
      </c>
      <c r="Y175" s="41">
        <f>IFERROR(SUM(Y174:Y174),"0")</f>
        <v>126</v>
      </c>
      <c r="Z175" s="41">
        <f>IFERROR(IF(Z174="",0,Z174),"0")</f>
        <v>1.1856599999999999</v>
      </c>
      <c r="AA175" s="64"/>
      <c r="AB175" s="64"/>
      <c r="AC175" s="64"/>
    </row>
    <row r="176" spans="1:68" x14ac:dyDescent="0.2">
      <c r="A176" s="365"/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6"/>
      <c r="P176" s="362" t="s">
        <v>40</v>
      </c>
      <c r="Q176" s="363"/>
      <c r="R176" s="363"/>
      <c r="S176" s="363"/>
      <c r="T176" s="363"/>
      <c r="U176" s="363"/>
      <c r="V176" s="364"/>
      <c r="W176" s="40" t="s">
        <v>0</v>
      </c>
      <c r="X176" s="41">
        <f>IFERROR(SUMPRODUCT(X174:X174*H174:H174),"0")</f>
        <v>211.67999999999998</v>
      </c>
      <c r="Y176" s="41">
        <f>IFERROR(SUMPRODUCT(Y174:Y174*H174:H174),"0")</f>
        <v>211.67999999999998</v>
      </c>
      <c r="Z176" s="40"/>
      <c r="AA176" s="64"/>
      <c r="AB176" s="64"/>
      <c r="AC176" s="64"/>
    </row>
    <row r="177" spans="1:68" ht="27.75" hidden="1" customHeight="1" x14ac:dyDescent="0.2">
      <c r="A177" s="348" t="s">
        <v>273</v>
      </c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52"/>
      <c r="AB177" s="52"/>
      <c r="AC177" s="52"/>
    </row>
    <row r="178" spans="1:68" ht="16.5" hidden="1" customHeight="1" x14ac:dyDescent="0.25">
      <c r="A178" s="349" t="s">
        <v>274</v>
      </c>
      <c r="B178" s="349"/>
      <c r="C178" s="349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/>
      <c r="N178" s="349"/>
      <c r="O178" s="349"/>
      <c r="P178" s="349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62"/>
      <c r="AB178" s="62"/>
      <c r="AC178" s="62"/>
    </row>
    <row r="179" spans="1:68" ht="14.25" hidden="1" customHeight="1" x14ac:dyDescent="0.25">
      <c r="A179" s="350" t="s">
        <v>82</v>
      </c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351">
        <v>4607111036384</v>
      </c>
      <c r="E180" s="351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42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3"/>
      <c r="R180" s="353"/>
      <c r="S180" s="353"/>
      <c r="T180" s="354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351">
        <v>4607111036216</v>
      </c>
      <c r="E181" s="351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3"/>
      <c r="R181" s="353"/>
      <c r="S181" s="353"/>
      <c r="T181" s="354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365"/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6"/>
      <c r="P182" s="362" t="s">
        <v>40</v>
      </c>
      <c r="Q182" s="363"/>
      <c r="R182" s="363"/>
      <c r="S182" s="363"/>
      <c r="T182" s="363"/>
      <c r="U182" s="363"/>
      <c r="V182" s="364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365"/>
      <c r="B183" s="365"/>
      <c r="C183" s="365"/>
      <c r="D183" s="365"/>
      <c r="E183" s="365"/>
      <c r="F183" s="365"/>
      <c r="G183" s="365"/>
      <c r="H183" s="365"/>
      <c r="I183" s="365"/>
      <c r="J183" s="365"/>
      <c r="K183" s="365"/>
      <c r="L183" s="365"/>
      <c r="M183" s="365"/>
      <c r="N183" s="365"/>
      <c r="O183" s="366"/>
      <c r="P183" s="362" t="s">
        <v>40</v>
      </c>
      <c r="Q183" s="363"/>
      <c r="R183" s="363"/>
      <c r="S183" s="363"/>
      <c r="T183" s="363"/>
      <c r="U183" s="363"/>
      <c r="V183" s="364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50" t="s">
        <v>281</v>
      </c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351">
        <v>4607111036827</v>
      </c>
      <c r="E185" s="351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42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3"/>
      <c r="R185" s="353"/>
      <c r="S185" s="353"/>
      <c r="T185" s="354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351">
        <v>4607111036834</v>
      </c>
      <c r="E186" s="351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3"/>
      <c r="R186" s="353"/>
      <c r="S186" s="353"/>
      <c r="T186" s="354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365"/>
      <c r="B187" s="365"/>
      <c r="C187" s="365"/>
      <c r="D187" s="365"/>
      <c r="E187" s="365"/>
      <c r="F187" s="365"/>
      <c r="G187" s="365"/>
      <c r="H187" s="365"/>
      <c r="I187" s="365"/>
      <c r="J187" s="365"/>
      <c r="K187" s="365"/>
      <c r="L187" s="365"/>
      <c r="M187" s="365"/>
      <c r="N187" s="365"/>
      <c r="O187" s="366"/>
      <c r="P187" s="362" t="s">
        <v>40</v>
      </c>
      <c r="Q187" s="363"/>
      <c r="R187" s="363"/>
      <c r="S187" s="363"/>
      <c r="T187" s="363"/>
      <c r="U187" s="363"/>
      <c r="V187" s="364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365"/>
      <c r="B188" s="365"/>
      <c r="C188" s="365"/>
      <c r="D188" s="365"/>
      <c r="E188" s="365"/>
      <c r="F188" s="365"/>
      <c r="G188" s="365"/>
      <c r="H188" s="365"/>
      <c r="I188" s="365"/>
      <c r="J188" s="365"/>
      <c r="K188" s="365"/>
      <c r="L188" s="365"/>
      <c r="M188" s="365"/>
      <c r="N188" s="365"/>
      <c r="O188" s="366"/>
      <c r="P188" s="362" t="s">
        <v>40</v>
      </c>
      <c r="Q188" s="363"/>
      <c r="R188" s="363"/>
      <c r="S188" s="363"/>
      <c r="T188" s="363"/>
      <c r="U188" s="363"/>
      <c r="V188" s="364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48" t="s">
        <v>287</v>
      </c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48"/>
      <c r="P189" s="348"/>
      <c r="Q189" s="348"/>
      <c r="R189" s="348"/>
      <c r="S189" s="348"/>
      <c r="T189" s="348"/>
      <c r="U189" s="348"/>
      <c r="V189" s="348"/>
      <c r="W189" s="348"/>
      <c r="X189" s="348"/>
      <c r="Y189" s="348"/>
      <c r="Z189" s="348"/>
      <c r="AA189" s="52"/>
      <c r="AB189" s="52"/>
      <c r="AC189" s="52"/>
    </row>
    <row r="190" spans="1:68" ht="16.5" hidden="1" customHeight="1" x14ac:dyDescent="0.25">
      <c r="A190" s="349" t="s">
        <v>288</v>
      </c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62"/>
      <c r="AB190" s="62"/>
      <c r="AC190" s="62"/>
    </row>
    <row r="191" spans="1:68" ht="14.25" hidden="1" customHeight="1" x14ac:dyDescent="0.25">
      <c r="A191" s="350" t="s">
        <v>112</v>
      </c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351">
        <v>4607111035691</v>
      </c>
      <c r="E192" s="351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28</v>
      </c>
      <c r="Y192" s="53">
        <f>IFERROR(IF(X192="","",X192),"")</f>
        <v>28</v>
      </c>
      <c r="Z192" s="39">
        <f>IFERROR(IF(X192="","",X192*0.01788),"")</f>
        <v>0.50063999999999997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94.864000000000004</v>
      </c>
      <c r="BN192" s="78">
        <f>IFERROR(Y192*I192,"0")</f>
        <v>94.864000000000004</v>
      </c>
      <c r="BO192" s="78">
        <f>IFERROR(X192/J192,"0")</f>
        <v>0.4</v>
      </c>
      <c r="BP192" s="78">
        <f>IFERROR(Y192/J192,"0")</f>
        <v>0.4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351">
        <v>4607111035721</v>
      </c>
      <c r="E193" s="351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3"/>
      <c r="R193" s="353"/>
      <c r="S193" s="353"/>
      <c r="T193" s="354"/>
      <c r="U193" s="37" t="s">
        <v>46</v>
      </c>
      <c r="V193" s="37" t="s">
        <v>46</v>
      </c>
      <c r="W193" s="38" t="s">
        <v>39</v>
      </c>
      <c r="X193" s="56">
        <v>28</v>
      </c>
      <c r="Y193" s="53">
        <f>IFERROR(IF(X193="","",X193),"")</f>
        <v>28</v>
      </c>
      <c r="Z193" s="39">
        <f>IFERROR(IF(X193="","",X193*0.01788),"")</f>
        <v>0.50063999999999997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94.864000000000004</v>
      </c>
      <c r="BN193" s="78">
        <f>IFERROR(Y193*I193,"0")</f>
        <v>94.864000000000004</v>
      </c>
      <c r="BO193" s="78">
        <f>IFERROR(X193/J193,"0")</f>
        <v>0.4</v>
      </c>
      <c r="BP193" s="78">
        <f>IFERROR(Y193/J193,"0")</f>
        <v>0.4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351">
        <v>4607111038487</v>
      </c>
      <c r="E194" s="351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3"/>
      <c r="R194" s="353"/>
      <c r="S194" s="353"/>
      <c r="T194" s="354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351">
        <v>4620207491195</v>
      </c>
      <c r="E195" s="351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3"/>
      <c r="R195" s="353"/>
      <c r="S195" s="353"/>
      <c r="T195" s="354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365"/>
      <c r="B196" s="365"/>
      <c r="C196" s="365"/>
      <c r="D196" s="365"/>
      <c r="E196" s="365"/>
      <c r="F196" s="365"/>
      <c r="G196" s="365"/>
      <c r="H196" s="365"/>
      <c r="I196" s="365"/>
      <c r="J196" s="365"/>
      <c r="K196" s="365"/>
      <c r="L196" s="365"/>
      <c r="M196" s="365"/>
      <c r="N196" s="365"/>
      <c r="O196" s="366"/>
      <c r="P196" s="362" t="s">
        <v>40</v>
      </c>
      <c r="Q196" s="363"/>
      <c r="R196" s="363"/>
      <c r="S196" s="363"/>
      <c r="T196" s="363"/>
      <c r="U196" s="363"/>
      <c r="V196" s="364"/>
      <c r="W196" s="40" t="s">
        <v>39</v>
      </c>
      <c r="X196" s="41">
        <f>IFERROR(SUM(X192:X195),"0")</f>
        <v>56</v>
      </c>
      <c r="Y196" s="41">
        <f>IFERROR(SUM(Y192:Y195),"0")</f>
        <v>56</v>
      </c>
      <c r="Z196" s="41">
        <f>IFERROR(IF(Z192="",0,Z192),"0")+IFERROR(IF(Z193="",0,Z193),"0")+IFERROR(IF(Z194="",0,Z194),"0")+IFERROR(IF(Z195="",0,Z195),"0")</f>
        <v>1.0012799999999999</v>
      </c>
      <c r="AA196" s="64"/>
      <c r="AB196" s="64"/>
      <c r="AC196" s="64"/>
    </row>
    <row r="197" spans="1:68" x14ac:dyDescent="0.2">
      <c r="A197" s="365"/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6"/>
      <c r="P197" s="362" t="s">
        <v>40</v>
      </c>
      <c r="Q197" s="363"/>
      <c r="R197" s="363"/>
      <c r="S197" s="363"/>
      <c r="T197" s="363"/>
      <c r="U197" s="363"/>
      <c r="V197" s="364"/>
      <c r="W197" s="40" t="s">
        <v>0</v>
      </c>
      <c r="X197" s="41">
        <f>IFERROR(SUMPRODUCT(X192:X195*H192:H195),"0")</f>
        <v>168</v>
      </c>
      <c r="Y197" s="41">
        <f>IFERROR(SUMPRODUCT(Y192:Y195*H192:H195),"0")</f>
        <v>168</v>
      </c>
      <c r="Z197" s="40"/>
      <c r="AA197" s="64"/>
      <c r="AB197" s="64"/>
      <c r="AC197" s="64"/>
    </row>
    <row r="198" spans="1:68" ht="27.75" hidden="1" customHeight="1" x14ac:dyDescent="0.2">
      <c r="A198" s="348" t="s">
        <v>301</v>
      </c>
      <c r="B198" s="348"/>
      <c r="C198" s="348"/>
      <c r="D198" s="348"/>
      <c r="E198" s="348"/>
      <c r="F198" s="348"/>
      <c r="G198" s="348"/>
      <c r="H198" s="348"/>
      <c r="I198" s="348"/>
      <c r="J198" s="348"/>
      <c r="K198" s="348"/>
      <c r="L198" s="348"/>
      <c r="M198" s="348"/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  <c r="AA198" s="52"/>
      <c r="AB198" s="52"/>
      <c r="AC198" s="52"/>
    </row>
    <row r="199" spans="1:68" ht="16.5" hidden="1" customHeight="1" x14ac:dyDescent="0.25">
      <c r="A199" s="349" t="s">
        <v>302</v>
      </c>
      <c r="B199" s="349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49"/>
      <c r="P199" s="349"/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62"/>
      <c r="AB199" s="62"/>
      <c r="AC199" s="62"/>
    </row>
    <row r="200" spans="1:68" ht="14.25" hidden="1" customHeight="1" x14ac:dyDescent="0.25">
      <c r="A200" s="350" t="s">
        <v>112</v>
      </c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351">
        <v>4620207491133</v>
      </c>
      <c r="E201" s="351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3"/>
      <c r="R201" s="353"/>
      <c r="S201" s="353"/>
      <c r="T201" s="354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365"/>
      <c r="B202" s="365"/>
      <c r="C202" s="365"/>
      <c r="D202" s="365"/>
      <c r="E202" s="365"/>
      <c r="F202" s="365"/>
      <c r="G202" s="365"/>
      <c r="H202" s="365"/>
      <c r="I202" s="365"/>
      <c r="J202" s="365"/>
      <c r="K202" s="365"/>
      <c r="L202" s="365"/>
      <c r="M202" s="365"/>
      <c r="N202" s="365"/>
      <c r="O202" s="366"/>
      <c r="P202" s="362" t="s">
        <v>40</v>
      </c>
      <c r="Q202" s="363"/>
      <c r="R202" s="363"/>
      <c r="S202" s="363"/>
      <c r="T202" s="363"/>
      <c r="U202" s="363"/>
      <c r="V202" s="364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365"/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6"/>
      <c r="P203" s="362" t="s">
        <v>40</v>
      </c>
      <c r="Q203" s="363"/>
      <c r="R203" s="363"/>
      <c r="S203" s="363"/>
      <c r="T203" s="363"/>
      <c r="U203" s="363"/>
      <c r="V203" s="364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50" t="s">
        <v>156</v>
      </c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351">
        <v>4620207491188</v>
      </c>
      <c r="E205" s="351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3"/>
      <c r="R205" s="353"/>
      <c r="S205" s="353"/>
      <c r="T205" s="354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351">
        <v>4620207490198</v>
      </c>
      <c r="E206" s="351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43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3"/>
      <c r="R206" s="353"/>
      <c r="S206" s="353"/>
      <c r="T206" s="354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351">
        <v>4620207490235</v>
      </c>
      <c r="E207" s="351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3"/>
      <c r="R207" s="353"/>
      <c r="S207" s="353"/>
      <c r="T207" s="354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351">
        <v>4620207490259</v>
      </c>
      <c r="E208" s="351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4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3"/>
      <c r="R208" s="353"/>
      <c r="S208" s="353"/>
      <c r="T208" s="354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365"/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6"/>
      <c r="P209" s="362" t="s">
        <v>40</v>
      </c>
      <c r="Q209" s="363"/>
      <c r="R209" s="363"/>
      <c r="S209" s="363"/>
      <c r="T209" s="363"/>
      <c r="U209" s="363"/>
      <c r="V209" s="364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365"/>
      <c r="B210" s="365"/>
      <c r="C210" s="365"/>
      <c r="D210" s="365"/>
      <c r="E210" s="365"/>
      <c r="F210" s="365"/>
      <c r="G210" s="365"/>
      <c r="H210" s="365"/>
      <c r="I210" s="365"/>
      <c r="J210" s="365"/>
      <c r="K210" s="365"/>
      <c r="L210" s="365"/>
      <c r="M210" s="365"/>
      <c r="N210" s="365"/>
      <c r="O210" s="366"/>
      <c r="P210" s="362" t="s">
        <v>40</v>
      </c>
      <c r="Q210" s="363"/>
      <c r="R210" s="363"/>
      <c r="S210" s="363"/>
      <c r="T210" s="363"/>
      <c r="U210" s="363"/>
      <c r="V210" s="364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49" t="s">
        <v>317</v>
      </c>
      <c r="B211" s="349"/>
      <c r="C211" s="349"/>
      <c r="D211" s="349"/>
      <c r="E211" s="349"/>
      <c r="F211" s="349"/>
      <c r="G211" s="349"/>
      <c r="H211" s="349"/>
      <c r="I211" s="349"/>
      <c r="J211" s="349"/>
      <c r="K211" s="349"/>
      <c r="L211" s="349"/>
      <c r="M211" s="349"/>
      <c r="N211" s="349"/>
      <c r="O211" s="349"/>
      <c r="P211" s="349"/>
      <c r="Q211" s="349"/>
      <c r="R211" s="349"/>
      <c r="S211" s="349"/>
      <c r="T211" s="349"/>
      <c r="U211" s="349"/>
      <c r="V211" s="349"/>
      <c r="W211" s="349"/>
      <c r="X211" s="349"/>
      <c r="Y211" s="349"/>
      <c r="Z211" s="349"/>
      <c r="AA211" s="62"/>
      <c r="AB211" s="62"/>
      <c r="AC211" s="62"/>
    </row>
    <row r="212" spans="1:68" ht="14.25" hidden="1" customHeight="1" x14ac:dyDescent="0.25">
      <c r="A212" s="350" t="s">
        <v>82</v>
      </c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351">
        <v>4620207491096</v>
      </c>
      <c r="E213" s="351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4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3"/>
      <c r="R213" s="353"/>
      <c r="S213" s="353"/>
      <c r="T213" s="354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365"/>
      <c r="B214" s="365"/>
      <c r="C214" s="365"/>
      <c r="D214" s="365"/>
      <c r="E214" s="365"/>
      <c r="F214" s="365"/>
      <c r="G214" s="365"/>
      <c r="H214" s="365"/>
      <c r="I214" s="365"/>
      <c r="J214" s="365"/>
      <c r="K214" s="365"/>
      <c r="L214" s="365"/>
      <c r="M214" s="365"/>
      <c r="N214" s="365"/>
      <c r="O214" s="366"/>
      <c r="P214" s="362" t="s">
        <v>40</v>
      </c>
      <c r="Q214" s="363"/>
      <c r="R214" s="363"/>
      <c r="S214" s="363"/>
      <c r="T214" s="363"/>
      <c r="U214" s="363"/>
      <c r="V214" s="364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365"/>
      <c r="B215" s="365"/>
      <c r="C215" s="365"/>
      <c r="D215" s="365"/>
      <c r="E215" s="365"/>
      <c r="F215" s="365"/>
      <c r="G215" s="365"/>
      <c r="H215" s="365"/>
      <c r="I215" s="365"/>
      <c r="J215" s="365"/>
      <c r="K215" s="365"/>
      <c r="L215" s="365"/>
      <c r="M215" s="365"/>
      <c r="N215" s="365"/>
      <c r="O215" s="366"/>
      <c r="P215" s="362" t="s">
        <v>40</v>
      </c>
      <c r="Q215" s="363"/>
      <c r="R215" s="363"/>
      <c r="S215" s="363"/>
      <c r="T215" s="363"/>
      <c r="U215" s="363"/>
      <c r="V215" s="364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49" t="s">
        <v>321</v>
      </c>
      <c r="B216" s="349"/>
      <c r="C216" s="349"/>
      <c r="D216" s="349"/>
      <c r="E216" s="349"/>
      <c r="F216" s="349"/>
      <c r="G216" s="349"/>
      <c r="H216" s="349"/>
      <c r="I216" s="349"/>
      <c r="J216" s="349"/>
      <c r="K216" s="349"/>
      <c r="L216" s="349"/>
      <c r="M216" s="349"/>
      <c r="N216" s="349"/>
      <c r="O216" s="349"/>
      <c r="P216" s="349"/>
      <c r="Q216" s="349"/>
      <c r="R216" s="349"/>
      <c r="S216" s="349"/>
      <c r="T216" s="349"/>
      <c r="U216" s="349"/>
      <c r="V216" s="349"/>
      <c r="W216" s="349"/>
      <c r="X216" s="349"/>
      <c r="Y216" s="349"/>
      <c r="Z216" s="349"/>
      <c r="AA216" s="62"/>
      <c r="AB216" s="62"/>
      <c r="AC216" s="62"/>
    </row>
    <row r="217" spans="1:68" ht="14.25" hidden="1" customHeight="1" x14ac:dyDescent="0.25">
      <c r="A217" s="350" t="s">
        <v>156</v>
      </c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351">
        <v>4620207490549</v>
      </c>
      <c r="E218" s="351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43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3"/>
      <c r="R218" s="353"/>
      <c r="S218" s="353"/>
      <c r="T218" s="354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351">
        <v>4620207490501</v>
      </c>
      <c r="E219" s="351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3"/>
      <c r="R219" s="353"/>
      <c r="S219" s="353"/>
      <c r="T219" s="354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365"/>
      <c r="B220" s="365"/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6"/>
      <c r="P220" s="362" t="s">
        <v>40</v>
      </c>
      <c r="Q220" s="363"/>
      <c r="R220" s="363"/>
      <c r="S220" s="363"/>
      <c r="T220" s="363"/>
      <c r="U220" s="363"/>
      <c r="V220" s="364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6"/>
      <c r="P221" s="362" t="s">
        <v>40</v>
      </c>
      <c r="Q221" s="363"/>
      <c r="R221" s="363"/>
      <c r="S221" s="363"/>
      <c r="T221" s="363"/>
      <c r="U221" s="363"/>
      <c r="V221" s="364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48" t="s">
        <v>327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52"/>
      <c r="AB222" s="52"/>
      <c r="AC222" s="52"/>
    </row>
    <row r="223" spans="1:68" ht="16.5" hidden="1" customHeight="1" x14ac:dyDescent="0.25">
      <c r="A223" s="349" t="s">
        <v>328</v>
      </c>
      <c r="B223" s="349"/>
      <c r="C223" s="349"/>
      <c r="D223" s="349"/>
      <c r="E223" s="349"/>
      <c r="F223" s="349"/>
      <c r="G223" s="349"/>
      <c r="H223" s="349"/>
      <c r="I223" s="349"/>
      <c r="J223" s="349"/>
      <c r="K223" s="349"/>
      <c r="L223" s="349"/>
      <c r="M223" s="349"/>
      <c r="N223" s="349"/>
      <c r="O223" s="349"/>
      <c r="P223" s="349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62"/>
      <c r="AB223" s="62"/>
      <c r="AC223" s="62"/>
    </row>
    <row r="224" spans="1:68" ht="14.25" hidden="1" customHeight="1" x14ac:dyDescent="0.25">
      <c r="A224" s="350" t="s">
        <v>82</v>
      </c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351">
        <v>4607111036162</v>
      </c>
      <c r="E225" s="351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3"/>
      <c r="R225" s="353"/>
      <c r="S225" s="353"/>
      <c r="T225" s="354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365"/>
      <c r="B226" s="365"/>
      <c r="C226" s="365"/>
      <c r="D226" s="365"/>
      <c r="E226" s="365"/>
      <c r="F226" s="365"/>
      <c r="G226" s="365"/>
      <c r="H226" s="365"/>
      <c r="I226" s="365"/>
      <c r="J226" s="365"/>
      <c r="K226" s="365"/>
      <c r="L226" s="365"/>
      <c r="M226" s="365"/>
      <c r="N226" s="365"/>
      <c r="O226" s="366"/>
      <c r="P226" s="362" t="s">
        <v>40</v>
      </c>
      <c r="Q226" s="363"/>
      <c r="R226" s="363"/>
      <c r="S226" s="363"/>
      <c r="T226" s="363"/>
      <c r="U226" s="363"/>
      <c r="V226" s="364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6"/>
      <c r="P227" s="362" t="s">
        <v>40</v>
      </c>
      <c r="Q227" s="363"/>
      <c r="R227" s="363"/>
      <c r="S227" s="363"/>
      <c r="T227" s="363"/>
      <c r="U227" s="363"/>
      <c r="V227" s="364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48" t="s">
        <v>332</v>
      </c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  <c r="AA228" s="52"/>
      <c r="AB228" s="52"/>
      <c r="AC228" s="52"/>
    </row>
    <row r="229" spans="1:68" ht="16.5" hidden="1" customHeight="1" x14ac:dyDescent="0.25">
      <c r="A229" s="349" t="s">
        <v>333</v>
      </c>
      <c r="B229" s="349"/>
      <c r="C229" s="349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62"/>
      <c r="AB229" s="62"/>
      <c r="AC229" s="62"/>
    </row>
    <row r="230" spans="1:68" ht="14.25" hidden="1" customHeight="1" x14ac:dyDescent="0.25">
      <c r="A230" s="350" t="s">
        <v>82</v>
      </c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351">
        <v>4607111035899</v>
      </c>
      <c r="E231" s="351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3"/>
      <c r="R231" s="353"/>
      <c r="S231" s="353"/>
      <c r="T231" s="354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365"/>
      <c r="B232" s="365"/>
      <c r="C232" s="365"/>
      <c r="D232" s="365"/>
      <c r="E232" s="365"/>
      <c r="F232" s="365"/>
      <c r="G232" s="365"/>
      <c r="H232" s="365"/>
      <c r="I232" s="365"/>
      <c r="J232" s="365"/>
      <c r="K232" s="365"/>
      <c r="L232" s="365"/>
      <c r="M232" s="365"/>
      <c r="N232" s="365"/>
      <c r="O232" s="366"/>
      <c r="P232" s="362" t="s">
        <v>40</v>
      </c>
      <c r="Q232" s="363"/>
      <c r="R232" s="363"/>
      <c r="S232" s="363"/>
      <c r="T232" s="363"/>
      <c r="U232" s="363"/>
      <c r="V232" s="364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6"/>
      <c r="P233" s="362" t="s">
        <v>40</v>
      </c>
      <c r="Q233" s="363"/>
      <c r="R233" s="363"/>
      <c r="S233" s="363"/>
      <c r="T233" s="363"/>
      <c r="U233" s="363"/>
      <c r="V233" s="364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48" t="s">
        <v>336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52"/>
      <c r="AB234" s="52"/>
      <c r="AC234" s="52"/>
    </row>
    <row r="235" spans="1:68" ht="16.5" hidden="1" customHeight="1" x14ac:dyDescent="0.25">
      <c r="A235" s="349" t="s">
        <v>337</v>
      </c>
      <c r="B235" s="349"/>
      <c r="C235" s="349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62"/>
      <c r="AB235" s="62"/>
      <c r="AC235" s="62"/>
    </row>
    <row r="236" spans="1:68" ht="14.25" hidden="1" customHeight="1" x14ac:dyDescent="0.25">
      <c r="A236" s="350" t="s">
        <v>338</v>
      </c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351">
        <v>4607111039774</v>
      </c>
      <c r="E237" s="351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3"/>
      <c r="R237" s="353"/>
      <c r="S237" s="353"/>
      <c r="T237" s="354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6"/>
      <c r="P238" s="362" t="s">
        <v>40</v>
      </c>
      <c r="Q238" s="363"/>
      <c r="R238" s="363"/>
      <c r="S238" s="363"/>
      <c r="T238" s="363"/>
      <c r="U238" s="363"/>
      <c r="V238" s="364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365"/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6"/>
      <c r="P239" s="362" t="s">
        <v>40</v>
      </c>
      <c r="Q239" s="363"/>
      <c r="R239" s="363"/>
      <c r="S239" s="363"/>
      <c r="T239" s="363"/>
      <c r="U239" s="363"/>
      <c r="V239" s="364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50" t="s">
        <v>156</v>
      </c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351">
        <v>4607111039361</v>
      </c>
      <c r="E241" s="351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3"/>
      <c r="R241" s="353"/>
      <c r="S241" s="353"/>
      <c r="T241" s="354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365"/>
      <c r="B242" s="365"/>
      <c r="C242" s="365"/>
      <c r="D242" s="365"/>
      <c r="E242" s="365"/>
      <c r="F242" s="365"/>
      <c r="G242" s="365"/>
      <c r="H242" s="365"/>
      <c r="I242" s="365"/>
      <c r="J242" s="365"/>
      <c r="K242" s="365"/>
      <c r="L242" s="365"/>
      <c r="M242" s="365"/>
      <c r="N242" s="365"/>
      <c r="O242" s="366"/>
      <c r="P242" s="362" t="s">
        <v>40</v>
      </c>
      <c r="Q242" s="363"/>
      <c r="R242" s="363"/>
      <c r="S242" s="363"/>
      <c r="T242" s="363"/>
      <c r="U242" s="363"/>
      <c r="V242" s="364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6"/>
      <c r="P243" s="362" t="s">
        <v>40</v>
      </c>
      <c r="Q243" s="363"/>
      <c r="R243" s="363"/>
      <c r="S243" s="363"/>
      <c r="T243" s="363"/>
      <c r="U243" s="363"/>
      <c r="V243" s="364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48" t="s">
        <v>344</v>
      </c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52"/>
      <c r="AB244" s="52"/>
      <c r="AC244" s="52"/>
    </row>
    <row r="245" spans="1:68" ht="16.5" hidden="1" customHeight="1" x14ac:dyDescent="0.25">
      <c r="A245" s="349" t="s">
        <v>344</v>
      </c>
      <c r="B245" s="349"/>
      <c r="C245" s="349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/>
      <c r="N245" s="349"/>
      <c r="O245" s="349"/>
      <c r="P245" s="349"/>
      <c r="Q245" s="349"/>
      <c r="R245" s="349"/>
      <c r="S245" s="349"/>
      <c r="T245" s="349"/>
      <c r="U245" s="349"/>
      <c r="V245" s="349"/>
      <c r="W245" s="349"/>
      <c r="X245" s="349"/>
      <c r="Y245" s="349"/>
      <c r="Z245" s="349"/>
      <c r="AA245" s="62"/>
      <c r="AB245" s="62"/>
      <c r="AC245" s="62"/>
    </row>
    <row r="246" spans="1:68" ht="14.25" hidden="1" customHeight="1" x14ac:dyDescent="0.25">
      <c r="A246" s="350" t="s">
        <v>82</v>
      </c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351">
        <v>4640242181264</v>
      </c>
      <c r="E247" s="351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44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3"/>
      <c r="R247" s="353"/>
      <c r="S247" s="353"/>
      <c r="T247" s="354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351">
        <v>4640242181325</v>
      </c>
      <c r="E248" s="351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4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3"/>
      <c r="R248" s="353"/>
      <c r="S248" s="353"/>
      <c r="T248" s="354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365"/>
      <c r="B249" s="365"/>
      <c r="C249" s="365"/>
      <c r="D249" s="365"/>
      <c r="E249" s="365"/>
      <c r="F249" s="365"/>
      <c r="G249" s="365"/>
      <c r="H249" s="365"/>
      <c r="I249" s="365"/>
      <c r="J249" s="365"/>
      <c r="K249" s="365"/>
      <c r="L249" s="365"/>
      <c r="M249" s="365"/>
      <c r="N249" s="365"/>
      <c r="O249" s="366"/>
      <c r="P249" s="362" t="s">
        <v>40</v>
      </c>
      <c r="Q249" s="363"/>
      <c r="R249" s="363"/>
      <c r="S249" s="363"/>
      <c r="T249" s="363"/>
      <c r="U249" s="363"/>
      <c r="V249" s="364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365"/>
      <c r="B250" s="365"/>
      <c r="C250" s="365"/>
      <c r="D250" s="365"/>
      <c r="E250" s="365"/>
      <c r="F250" s="365"/>
      <c r="G250" s="365"/>
      <c r="H250" s="365"/>
      <c r="I250" s="365"/>
      <c r="J250" s="365"/>
      <c r="K250" s="365"/>
      <c r="L250" s="365"/>
      <c r="M250" s="365"/>
      <c r="N250" s="365"/>
      <c r="O250" s="366"/>
      <c r="P250" s="362" t="s">
        <v>40</v>
      </c>
      <c r="Q250" s="363"/>
      <c r="R250" s="363"/>
      <c r="S250" s="363"/>
      <c r="T250" s="363"/>
      <c r="U250" s="363"/>
      <c r="V250" s="364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50" t="s">
        <v>112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351">
        <v>4640242180397</v>
      </c>
      <c r="E252" s="351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44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48</v>
      </c>
      <c r="Y252" s="53">
        <f>IFERROR(IF(X252="","",X252),"")</f>
        <v>48</v>
      </c>
      <c r="Z252" s="39">
        <f>IFERROR(IF(X252="","",X252*0.0155),"")</f>
        <v>0.74399999999999999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300.48</v>
      </c>
      <c r="BN252" s="78">
        <f>IFERROR(Y252*I252,"0")</f>
        <v>300.48</v>
      </c>
      <c r="BO252" s="78">
        <f>IFERROR(X252/J252,"0")</f>
        <v>0.5714285714285714</v>
      </c>
      <c r="BP252" s="78">
        <f>IFERROR(Y252/J252,"0")</f>
        <v>0.5714285714285714</v>
      </c>
    </row>
    <row r="253" spans="1:68" x14ac:dyDescent="0.2">
      <c r="A253" s="365"/>
      <c r="B253" s="365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6"/>
      <c r="P253" s="362" t="s">
        <v>40</v>
      </c>
      <c r="Q253" s="363"/>
      <c r="R253" s="363"/>
      <c r="S253" s="363"/>
      <c r="T253" s="363"/>
      <c r="U253" s="363"/>
      <c r="V253" s="364"/>
      <c r="W253" s="40" t="s">
        <v>39</v>
      </c>
      <c r="X253" s="41">
        <f>IFERROR(SUM(X252:X252),"0")</f>
        <v>48</v>
      </c>
      <c r="Y253" s="41">
        <f>IFERROR(SUM(Y252:Y252),"0")</f>
        <v>48</v>
      </c>
      <c r="Z253" s="41">
        <f>IFERROR(IF(Z252="",0,Z252),"0")</f>
        <v>0.74399999999999999</v>
      </c>
      <c r="AA253" s="64"/>
      <c r="AB253" s="64"/>
      <c r="AC253" s="64"/>
    </row>
    <row r="254" spans="1:68" x14ac:dyDescent="0.2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6"/>
      <c r="P254" s="362" t="s">
        <v>40</v>
      </c>
      <c r="Q254" s="363"/>
      <c r="R254" s="363"/>
      <c r="S254" s="363"/>
      <c r="T254" s="363"/>
      <c r="U254" s="363"/>
      <c r="V254" s="364"/>
      <c r="W254" s="40" t="s">
        <v>0</v>
      </c>
      <c r="X254" s="41">
        <f>IFERROR(SUMPRODUCT(X252:X252*H252:H252),"0")</f>
        <v>288</v>
      </c>
      <c r="Y254" s="41">
        <f>IFERROR(SUMPRODUCT(Y252:Y252*H252:H252),"0")</f>
        <v>288</v>
      </c>
      <c r="Z254" s="40"/>
      <c r="AA254" s="64"/>
      <c r="AB254" s="64"/>
      <c r="AC254" s="64"/>
    </row>
    <row r="255" spans="1:68" ht="14.25" hidden="1" customHeight="1" x14ac:dyDescent="0.25">
      <c r="A255" s="350" t="s">
        <v>150</v>
      </c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351">
        <v>4640242180304</v>
      </c>
      <c r="E256" s="351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3"/>
      <c r="R256" s="353"/>
      <c r="S256" s="353"/>
      <c r="T256" s="354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351">
        <v>4640242180236</v>
      </c>
      <c r="E257" s="351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44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3"/>
      <c r="R257" s="353"/>
      <c r="S257" s="353"/>
      <c r="T257" s="354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351">
        <v>4640242180410</v>
      </c>
      <c r="E258" s="351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4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3"/>
      <c r="R258" s="353"/>
      <c r="S258" s="353"/>
      <c r="T258" s="354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6"/>
      <c r="P259" s="362" t="s">
        <v>40</v>
      </c>
      <c r="Q259" s="363"/>
      <c r="R259" s="363"/>
      <c r="S259" s="363"/>
      <c r="T259" s="363"/>
      <c r="U259" s="363"/>
      <c r="V259" s="364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365"/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6"/>
      <c r="P260" s="362" t="s">
        <v>40</v>
      </c>
      <c r="Q260" s="363"/>
      <c r="R260" s="363"/>
      <c r="S260" s="363"/>
      <c r="T260" s="363"/>
      <c r="U260" s="363"/>
      <c r="V260" s="364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50" t="s">
        <v>156</v>
      </c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351">
        <v>4640242181554</v>
      </c>
      <c r="E262" s="351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351">
        <v>4640242182087</v>
      </c>
      <c r="E263" s="351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44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168</v>
      </c>
      <c r="Y263" s="53">
        <f t="shared" si="18"/>
        <v>168</v>
      </c>
      <c r="Z263" s="39">
        <f>IFERROR(IF(X263="","",X263*0.0155),"")</f>
        <v>2.6040000000000001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878.6400000000001</v>
      </c>
      <c r="BN263" s="78">
        <f t="shared" si="20"/>
        <v>878.6400000000001</v>
      </c>
      <c r="BO263" s="78">
        <f t="shared" si="21"/>
        <v>2</v>
      </c>
      <c r="BP263" s="78">
        <f t="shared" si="22"/>
        <v>2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351">
        <v>4640242181424</v>
      </c>
      <c r="E264" s="351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3"/>
      <c r="R264" s="353"/>
      <c r="S264" s="353"/>
      <c r="T264" s="354"/>
      <c r="U264" s="37" t="s">
        <v>46</v>
      </c>
      <c r="V264" s="37" t="s">
        <v>46</v>
      </c>
      <c r="W264" s="38" t="s">
        <v>39</v>
      </c>
      <c r="X264" s="56">
        <v>84</v>
      </c>
      <c r="Y264" s="53">
        <f t="shared" si="18"/>
        <v>84</v>
      </c>
      <c r="Z264" s="39">
        <f>IFERROR(IF(X264="","",X264*0.0155),"")</f>
        <v>1.302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481.74</v>
      </c>
      <c r="BN264" s="78">
        <f t="shared" si="20"/>
        <v>481.74</v>
      </c>
      <c r="BO264" s="78">
        <f t="shared" si="21"/>
        <v>1</v>
      </c>
      <c r="BP264" s="78">
        <f t="shared" si="22"/>
        <v>1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351">
        <v>4640242181523</v>
      </c>
      <c r="E265" s="351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3"/>
      <c r="R265" s="353"/>
      <c r="S265" s="353"/>
      <c r="T265" s="354"/>
      <c r="U265" s="37" t="s">
        <v>46</v>
      </c>
      <c r="V265" s="37" t="s">
        <v>46</v>
      </c>
      <c r="W265" s="38" t="s">
        <v>39</v>
      </c>
      <c r="X265" s="56">
        <v>14</v>
      </c>
      <c r="Y265" s="53">
        <f t="shared" si="18"/>
        <v>14</v>
      </c>
      <c r="Z265" s="39">
        <f t="shared" ref="Z265:Z270" si="23">IFERROR(IF(X265="","",X265*0.00936),"")</f>
        <v>0.13103999999999999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44.688000000000002</v>
      </c>
      <c r="BN265" s="78">
        <f t="shared" si="20"/>
        <v>44.688000000000002</v>
      </c>
      <c r="BO265" s="78">
        <f t="shared" si="21"/>
        <v>0.1111111111111111</v>
      </c>
      <c r="BP265" s="78">
        <f t="shared" si="22"/>
        <v>0.1111111111111111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351">
        <v>4640242181486</v>
      </c>
      <c r="E266" s="351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3"/>
      <c r="R266" s="353"/>
      <c r="S266" s="353"/>
      <c r="T266" s="354"/>
      <c r="U266" s="37" t="s">
        <v>46</v>
      </c>
      <c r="V266" s="37" t="s">
        <v>46</v>
      </c>
      <c r="W266" s="38" t="s">
        <v>39</v>
      </c>
      <c r="X266" s="56">
        <v>252</v>
      </c>
      <c r="Y266" s="53">
        <f t="shared" si="18"/>
        <v>252</v>
      </c>
      <c r="Z266" s="39">
        <f t="shared" si="23"/>
        <v>2.3587199999999999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980.78399999999999</v>
      </c>
      <c r="BN266" s="78">
        <f t="shared" si="20"/>
        <v>980.78399999999999</v>
      </c>
      <c r="BO266" s="78">
        <f t="shared" si="21"/>
        <v>2</v>
      </c>
      <c r="BP266" s="78">
        <f t="shared" si="22"/>
        <v>2</v>
      </c>
    </row>
    <row r="267" spans="1:68" ht="37.5" hidden="1" customHeight="1" x14ac:dyDescent="0.25">
      <c r="A267" s="60" t="s">
        <v>372</v>
      </c>
      <c r="B267" s="60" t="s">
        <v>373</v>
      </c>
      <c r="C267" s="34">
        <v>4301135402</v>
      </c>
      <c r="D267" s="351">
        <v>4640242181493</v>
      </c>
      <c r="E267" s="351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/>
      <c r="Y267" s="53" t="str">
        <f t="shared" si="18"/>
        <v/>
      </c>
      <c r="Z267" s="39" t="str">
        <f t="shared" si="23"/>
        <v/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0</v>
      </c>
      <c r="BN267" s="78" t="str">
        <f t="shared" si="20"/>
        <v>0</v>
      </c>
      <c r="BO267" s="78">
        <f t="shared" si="21"/>
        <v>0</v>
      </c>
      <c r="BP267" s="78" t="str">
        <f t="shared" si="22"/>
        <v>0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351">
        <v>4640242181509</v>
      </c>
      <c r="E268" s="351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3"/>
      <c r="R268" s="353"/>
      <c r="S268" s="353"/>
      <c r="T268" s="354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351">
        <v>4640242181240</v>
      </c>
      <c r="E269" s="351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3"/>
      <c r="R269" s="353"/>
      <c r="S269" s="353"/>
      <c r="T269" s="354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351">
        <v>4640242181318</v>
      </c>
      <c r="E270" s="351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3"/>
      <c r="R270" s="353"/>
      <c r="S270" s="353"/>
      <c r="T270" s="354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351">
        <v>4640242181387</v>
      </c>
      <c r="E271" s="351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3"/>
      <c r="R271" s="353"/>
      <c r="S271" s="353"/>
      <c r="T271" s="354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365"/>
      <c r="B272" s="365"/>
      <c r="C272" s="365"/>
      <c r="D272" s="365"/>
      <c r="E272" s="365"/>
      <c r="F272" s="365"/>
      <c r="G272" s="365"/>
      <c r="H272" s="365"/>
      <c r="I272" s="365"/>
      <c r="J272" s="365"/>
      <c r="K272" s="365"/>
      <c r="L272" s="365"/>
      <c r="M272" s="365"/>
      <c r="N272" s="365"/>
      <c r="O272" s="366"/>
      <c r="P272" s="362" t="s">
        <v>40</v>
      </c>
      <c r="Q272" s="363"/>
      <c r="R272" s="363"/>
      <c r="S272" s="363"/>
      <c r="T272" s="363"/>
      <c r="U272" s="363"/>
      <c r="V272" s="364"/>
      <c r="W272" s="40" t="s">
        <v>39</v>
      </c>
      <c r="X272" s="41">
        <f>IFERROR(SUM(X262:X271),"0")</f>
        <v>518</v>
      </c>
      <c r="Y272" s="41">
        <f>IFERROR(SUM(Y262:Y271),"0")</f>
        <v>518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6.3957600000000001</v>
      </c>
      <c r="AA272" s="64"/>
      <c r="AB272" s="64"/>
      <c r="AC272" s="64"/>
    </row>
    <row r="273" spans="1:32" x14ac:dyDescent="0.2">
      <c r="A273" s="365"/>
      <c r="B273" s="365"/>
      <c r="C273" s="365"/>
      <c r="D273" s="365"/>
      <c r="E273" s="365"/>
      <c r="F273" s="365"/>
      <c r="G273" s="365"/>
      <c r="H273" s="365"/>
      <c r="I273" s="365"/>
      <c r="J273" s="365"/>
      <c r="K273" s="365"/>
      <c r="L273" s="365"/>
      <c r="M273" s="365"/>
      <c r="N273" s="365"/>
      <c r="O273" s="366"/>
      <c r="P273" s="362" t="s">
        <v>40</v>
      </c>
      <c r="Q273" s="363"/>
      <c r="R273" s="363"/>
      <c r="S273" s="363"/>
      <c r="T273" s="363"/>
      <c r="U273" s="363"/>
      <c r="V273" s="364"/>
      <c r="W273" s="40" t="s">
        <v>0</v>
      </c>
      <c r="X273" s="41">
        <f>IFERROR(SUMPRODUCT(X262:X271*H262:H271),"0")</f>
        <v>2276.4</v>
      </c>
      <c r="Y273" s="41" t="str">
        <f>IFERROR(SUMPRODUCT(Y262:Y271*H262:H271),"0")</f>
        <v>0</v>
      </c>
      <c r="Z273" s="40"/>
      <c r="AA273" s="64"/>
      <c r="AB273" s="64"/>
      <c r="AC273" s="64"/>
    </row>
    <row r="274" spans="1:32" ht="15" customHeight="1" x14ac:dyDescent="0.2">
      <c r="A274" s="365"/>
      <c r="B274" s="365"/>
      <c r="C274" s="365"/>
      <c r="D274" s="365"/>
      <c r="E274" s="365"/>
      <c r="F274" s="365"/>
      <c r="G274" s="365"/>
      <c r="H274" s="365"/>
      <c r="I274" s="365"/>
      <c r="J274" s="365"/>
      <c r="K274" s="365"/>
      <c r="L274" s="365"/>
      <c r="M274" s="365"/>
      <c r="N274" s="365"/>
      <c r="O274" s="459"/>
      <c r="P274" s="456" t="s">
        <v>33</v>
      </c>
      <c r="Q274" s="457"/>
      <c r="R274" s="457"/>
      <c r="S274" s="457"/>
      <c r="T274" s="457"/>
      <c r="U274" s="457"/>
      <c r="V274" s="458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8122.92</v>
      </c>
      <c r="Y274" s="41">
        <f>IFERROR(Y31+Y37+Y44+Y51+Y59+Y64+Y68+Y73+Y79+Y85+Y90+Y96+Y106+Y112+Y123+Y127+Y131+Y136+Y143+Y150+Y156+Y161+Y166+Y171+Y176+Y183+Y188+Y197+Y203+Y210+Y215+Y221+Y227+Y233+Y239+Y243+Y250+Y254+Y260+Y273,"0")</f>
        <v>5846.52</v>
      </c>
      <c r="Z274" s="40"/>
      <c r="AA274" s="64"/>
      <c r="AB274" s="64"/>
      <c r="AC274" s="64"/>
    </row>
    <row r="275" spans="1:32" x14ac:dyDescent="0.2">
      <c r="A275" s="365"/>
      <c r="B275" s="365"/>
      <c r="C275" s="365"/>
      <c r="D275" s="365"/>
      <c r="E275" s="365"/>
      <c r="F275" s="365"/>
      <c r="G275" s="365"/>
      <c r="H275" s="365"/>
      <c r="I275" s="365"/>
      <c r="J275" s="365"/>
      <c r="K275" s="365"/>
      <c r="L275" s="365"/>
      <c r="M275" s="365"/>
      <c r="N275" s="365"/>
      <c r="O275" s="459"/>
      <c r="P275" s="456" t="s">
        <v>34</v>
      </c>
      <c r="Q275" s="457"/>
      <c r="R275" s="457"/>
      <c r="S275" s="457"/>
      <c r="T275" s="457"/>
      <c r="U275" s="457"/>
      <c r="V275" s="458"/>
      <c r="W275" s="40" t="s">
        <v>0</v>
      </c>
      <c r="X275" s="41">
        <f>IFERROR(SUM(BM22:BM271),"0")</f>
        <v>9087.2336000000014</v>
      </c>
      <c r="Y275" s="41">
        <f>IFERROR(SUM(BN22:BN271),"0")</f>
        <v>9087.2336000000014</v>
      </c>
      <c r="Z275" s="40"/>
      <c r="AA275" s="64"/>
      <c r="AB275" s="64"/>
      <c r="AC275" s="64"/>
    </row>
    <row r="276" spans="1:32" x14ac:dyDescent="0.2">
      <c r="A276" s="365"/>
      <c r="B276" s="365"/>
      <c r="C276" s="365"/>
      <c r="D276" s="365"/>
      <c r="E276" s="365"/>
      <c r="F276" s="365"/>
      <c r="G276" s="365"/>
      <c r="H276" s="365"/>
      <c r="I276" s="365"/>
      <c r="J276" s="365"/>
      <c r="K276" s="365"/>
      <c r="L276" s="365"/>
      <c r="M276" s="365"/>
      <c r="N276" s="365"/>
      <c r="O276" s="459"/>
      <c r="P276" s="456" t="s">
        <v>35</v>
      </c>
      <c r="Q276" s="457"/>
      <c r="R276" s="457"/>
      <c r="S276" s="457"/>
      <c r="T276" s="457"/>
      <c r="U276" s="457"/>
      <c r="V276" s="458"/>
      <c r="W276" s="40" t="s">
        <v>20</v>
      </c>
      <c r="X276" s="42">
        <f>ROUNDUP(SUM(BO22:BO271),0)</f>
        <v>26</v>
      </c>
      <c r="Y276" s="42">
        <f>ROUNDUP(SUM(BP22:BP271),0)</f>
        <v>26</v>
      </c>
      <c r="Z276" s="40"/>
      <c r="AA276" s="64"/>
      <c r="AB276" s="64"/>
      <c r="AC276" s="64"/>
    </row>
    <row r="277" spans="1:32" x14ac:dyDescent="0.2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459"/>
      <c r="P277" s="456" t="s">
        <v>36</v>
      </c>
      <c r="Q277" s="457"/>
      <c r="R277" s="457"/>
      <c r="S277" s="457"/>
      <c r="T277" s="457"/>
      <c r="U277" s="457"/>
      <c r="V277" s="458"/>
      <c r="W277" s="40" t="s">
        <v>0</v>
      </c>
      <c r="X277" s="41">
        <f>GrossWeightTotal+PalletQtyTotal*25</f>
        <v>9737.2336000000014</v>
      </c>
      <c r="Y277" s="41">
        <f>GrossWeightTotalR+PalletQtyTotalR*25</f>
        <v>9737.2336000000014</v>
      </c>
      <c r="Z277" s="40"/>
      <c r="AA277" s="64"/>
      <c r="AB277" s="64"/>
      <c r="AC277" s="64"/>
    </row>
    <row r="278" spans="1:32" x14ac:dyDescent="0.2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459"/>
      <c r="P278" s="456" t="s">
        <v>37</v>
      </c>
      <c r="Q278" s="457"/>
      <c r="R278" s="457"/>
      <c r="S278" s="457"/>
      <c r="T278" s="457"/>
      <c r="U278" s="457"/>
      <c r="V278" s="458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2166</v>
      </c>
      <c r="Y278" s="41">
        <f>IFERROR(Y30+Y36+Y43+Y50+Y58+Y63+Y67+Y72+Y78+Y84+Y89+Y95+Y105+Y111+Y122+Y126+Y130+Y135+Y142+Y149+Y155+Y160+Y165+Y170+Y175+Y182+Y187+Y196+Y202+Y209+Y214+Y220+Y226+Y232+Y238+Y242+Y249+Y253+Y259+Y272,"0")</f>
        <v>2166</v>
      </c>
      <c r="Z278" s="40"/>
      <c r="AA278" s="64"/>
      <c r="AB278" s="64"/>
      <c r="AC278" s="64"/>
    </row>
    <row r="279" spans="1:32" ht="14.25" hidden="1" customHeight="1" x14ac:dyDescent="0.2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459"/>
      <c r="P279" s="456" t="s">
        <v>38</v>
      </c>
      <c r="Q279" s="457"/>
      <c r="R279" s="457"/>
      <c r="S279" s="457"/>
      <c r="T279" s="457"/>
      <c r="U279" s="457"/>
      <c r="V279" s="458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32.396439999999998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460" t="s">
        <v>81</v>
      </c>
      <c r="C281" s="460" t="s">
        <v>81</v>
      </c>
      <c r="D281" s="460" t="s">
        <v>45</v>
      </c>
      <c r="E281" s="460" t="s">
        <v>45</v>
      </c>
      <c r="F281" s="460" t="s">
        <v>45</v>
      </c>
      <c r="G281" s="460" t="s">
        <v>45</v>
      </c>
      <c r="H281" s="460" t="s">
        <v>45</v>
      </c>
      <c r="I281" s="460" t="s">
        <v>45</v>
      </c>
      <c r="J281" s="460" t="s">
        <v>45</v>
      </c>
      <c r="K281" s="460" t="s">
        <v>45</v>
      </c>
      <c r="L281" s="460" t="s">
        <v>45</v>
      </c>
      <c r="M281" s="460" t="s">
        <v>45</v>
      </c>
      <c r="N281" s="461"/>
      <c r="O281" s="460" t="s">
        <v>45</v>
      </c>
      <c r="P281" s="460" t="s">
        <v>45</v>
      </c>
      <c r="Q281" s="460" t="s">
        <v>45</v>
      </c>
      <c r="R281" s="460" t="s">
        <v>45</v>
      </c>
      <c r="S281" s="460" t="s">
        <v>45</v>
      </c>
      <c r="T281" s="460" t="s">
        <v>45</v>
      </c>
      <c r="U281" s="460" t="s">
        <v>45</v>
      </c>
      <c r="V281" s="460" t="s">
        <v>45</v>
      </c>
      <c r="W281" s="83" t="s">
        <v>273</v>
      </c>
      <c r="X281" s="83" t="s">
        <v>287</v>
      </c>
      <c r="Y281" s="460" t="s">
        <v>301</v>
      </c>
      <c r="Z281" s="460" t="s">
        <v>301</v>
      </c>
      <c r="AA281" s="460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462" t="s">
        <v>10</v>
      </c>
      <c r="B282" s="460" t="s">
        <v>81</v>
      </c>
      <c r="C282" s="460" t="s">
        <v>105</v>
      </c>
      <c r="D282" s="460" t="s">
        <v>111</v>
      </c>
      <c r="E282" s="460" t="s">
        <v>122</v>
      </c>
      <c r="F282" s="460" t="s">
        <v>132</v>
      </c>
      <c r="G282" s="460" t="s">
        <v>143</v>
      </c>
      <c r="H282" s="460" t="s">
        <v>164</v>
      </c>
      <c r="I282" s="460" t="s">
        <v>171</v>
      </c>
      <c r="J282" s="460" t="s">
        <v>175</v>
      </c>
      <c r="K282" s="460" t="s">
        <v>183</v>
      </c>
      <c r="L282" s="460" t="s">
        <v>198</v>
      </c>
      <c r="M282" s="460" t="s">
        <v>204</v>
      </c>
      <c r="N282" s="1"/>
      <c r="O282" s="460" t="s">
        <v>229</v>
      </c>
      <c r="P282" s="460" t="s">
        <v>234</v>
      </c>
      <c r="Q282" s="460" t="s">
        <v>243</v>
      </c>
      <c r="R282" s="460" t="s">
        <v>252</v>
      </c>
      <c r="S282" s="460" t="s">
        <v>257</v>
      </c>
      <c r="T282" s="460" t="s">
        <v>261</v>
      </c>
      <c r="U282" s="460" t="s">
        <v>264</v>
      </c>
      <c r="V282" s="460" t="s">
        <v>269</v>
      </c>
      <c r="W282" s="460" t="s">
        <v>274</v>
      </c>
      <c r="X282" s="460" t="s">
        <v>288</v>
      </c>
      <c r="Y282" s="460" t="s">
        <v>302</v>
      </c>
      <c r="Z282" s="460" t="s">
        <v>317</v>
      </c>
      <c r="AA282" s="460" t="s">
        <v>321</v>
      </c>
      <c r="AB282" s="460" t="s">
        <v>328</v>
      </c>
      <c r="AC282" s="460" t="s">
        <v>333</v>
      </c>
      <c r="AD282" s="460" t="s">
        <v>337</v>
      </c>
      <c r="AE282" s="460" t="s">
        <v>344</v>
      </c>
      <c r="AF282" s="1"/>
    </row>
    <row r="283" spans="1:32" ht="13.5" thickBot="1" x14ac:dyDescent="0.25">
      <c r="A283" s="463"/>
      <c r="B283" s="460"/>
      <c r="C283" s="460"/>
      <c r="D283" s="460"/>
      <c r="E283" s="460"/>
      <c r="F283" s="460"/>
      <c r="G283" s="460"/>
      <c r="H283" s="460"/>
      <c r="I283" s="460"/>
      <c r="J283" s="460"/>
      <c r="K283" s="460"/>
      <c r="L283" s="460"/>
      <c r="M283" s="460"/>
      <c r="N283" s="1"/>
      <c r="O283" s="460"/>
      <c r="P283" s="460"/>
      <c r="Q283" s="460"/>
      <c r="R283" s="460"/>
      <c r="S283" s="460"/>
      <c r="T283" s="460"/>
      <c r="U283" s="460"/>
      <c r="V283" s="460"/>
      <c r="W283" s="460"/>
      <c r="X283" s="460"/>
      <c r="Y283" s="460"/>
      <c r="Z283" s="460"/>
      <c r="AA283" s="460"/>
      <c r="AB283" s="460"/>
      <c r="AC283" s="460"/>
      <c r="AD283" s="460"/>
      <c r="AE283" s="460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273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0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100.8</v>
      </c>
      <c r="J284" s="50">
        <f>IFERROR(X93*H93,"0")+IFERROR(X94*H94,"0")</f>
        <v>403.20000000000005</v>
      </c>
      <c r="K284" s="50">
        <f>IFERROR(X99*H99,"0")+IFERROR(X100*H100,"0")+IFERROR(X101*H101,"0")+IFERROR(X102*H102,"0")+IFERROR(X103*H103,"0")+IFERROR(X104*H104,"0")</f>
        <v>1013.0399999999998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2112</v>
      </c>
      <c r="N284" s="1"/>
      <c r="O284" s="50">
        <f>IFERROR(X134*H134,"0")</f>
        <v>0</v>
      </c>
      <c r="P284" s="50">
        <f>IFERROR(X139*H139,"0")+IFERROR(X140*H140,"0")+IFERROR(X141*H141,"0")</f>
        <v>756</v>
      </c>
      <c r="Q284" s="50">
        <f>IFERROR(X146*H146,"0")+IFERROR(X147*H147,"0")+IFERROR(X148*H148,"0")</f>
        <v>210</v>
      </c>
      <c r="R284" s="50">
        <f>IFERROR(X153*H153,"0")+IFERROR(X154*H154,"0")</f>
        <v>268.8</v>
      </c>
      <c r="S284" s="50">
        <f>IFERROR(X159*H159,"0")</f>
        <v>42</v>
      </c>
      <c r="T284" s="50">
        <f>IFERROR(X164*H164,"0")</f>
        <v>0</v>
      </c>
      <c r="U284" s="50">
        <f>IFERROR(X169*H169,"0")</f>
        <v>0</v>
      </c>
      <c r="V284" s="50">
        <f>IFERROR(X174*H174,"0")</f>
        <v>211.67999999999998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168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2564.4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2112</v>
      </c>
      <c r="B287" s="69">
        <f>SUMPRODUCT(--(BB:BB="ПГП"),--(W:W="кор"),H:H,Y:Y)+SUMPRODUCT(--(BB:BB="ПГП"),--(W:W="кг"),Y:Y)</f>
        <v>6010.92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04"/>
        <filter val="100,80"/>
        <filter val="108,00"/>
        <filter val="112,00"/>
        <filter val="126,00"/>
        <filter val="14,00"/>
        <filter val="140,00"/>
        <filter val="168,00"/>
        <filter val="182,00"/>
        <filter val="2 112,00"/>
        <filter val="2 166,00"/>
        <filter val="2 276,40"/>
        <filter val="210,00"/>
        <filter val="211,68"/>
        <filter val="252,00"/>
        <filter val="26"/>
        <filter val="268,80"/>
        <filter val="273,00"/>
        <filter val="28,00"/>
        <filter val="288,00"/>
        <filter val="312,00"/>
        <filter val="336,00"/>
        <filter val="403,20"/>
        <filter val="42,00"/>
        <filter val="48,00"/>
        <filter val="518,00"/>
        <filter val="56,00"/>
        <filter val="60,00"/>
        <filter val="70,00"/>
        <filter val="756,00"/>
        <filter val="8 122,92"/>
        <filter val="84,00"/>
        <filter val="9 087,23"/>
        <filter val="9 737,23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6" stopIfTrue="1">
      <formula>IF($V$5="самовывоз",1,0)</formula>
    </cfRule>
  </conditionalFormatting>
  <conditionalFormatting sqref="P5 P6:R6 P8">
    <cfRule type="expression" dxfId="3" priority="5" stopIfTrue="1">
      <formula>IF($V$5="доставка",1,0)</formula>
    </cfRule>
  </conditionalFormatting>
  <conditionalFormatting sqref="P9:R13">
    <cfRule type="expression" dxfId="2" priority="17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2026-08-28T15:29:35Z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