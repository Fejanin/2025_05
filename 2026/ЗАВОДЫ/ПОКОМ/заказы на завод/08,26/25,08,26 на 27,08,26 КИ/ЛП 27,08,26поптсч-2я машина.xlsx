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6BA63F0-003E-42DC-87C5-F7D0609A1F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Z540" i="2"/>
  <c r="Z541" i="2" s="1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Z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N506" i="2"/>
  <c r="BM506" i="2"/>
  <c r="Z506" i="2"/>
  <c r="Y506" i="2"/>
  <c r="BP506" i="2" s="1"/>
  <c r="P506" i="2"/>
  <c r="BO505" i="2"/>
  <c r="BM505" i="2"/>
  <c r="Z505" i="2"/>
  <c r="Y505" i="2"/>
  <c r="BN505" i="2" s="1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P500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BN498" i="2" s="1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P486" i="2"/>
  <c r="BO486" i="2"/>
  <c r="BM486" i="2"/>
  <c r="Y486" i="2"/>
  <c r="P486" i="2"/>
  <c r="X483" i="2"/>
  <c r="X482" i="2"/>
  <c r="BO481" i="2"/>
  <c r="BM481" i="2"/>
  <c r="Y481" i="2"/>
  <c r="BN481" i="2" s="1"/>
  <c r="P481" i="2"/>
  <c r="BO480" i="2"/>
  <c r="BM480" i="2"/>
  <c r="Y480" i="2"/>
  <c r="BN480" i="2" s="1"/>
  <c r="P480" i="2"/>
  <c r="X478" i="2"/>
  <c r="X477" i="2"/>
  <c r="BO476" i="2"/>
  <c r="BM476" i="2"/>
  <c r="Y476" i="2"/>
  <c r="P476" i="2"/>
  <c r="BP475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BP472" i="2" s="1"/>
  <c r="P472" i="2"/>
  <c r="BP471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Y467" i="2" s="1"/>
  <c r="P463" i="2"/>
  <c r="X461" i="2"/>
  <c r="X460" i="2"/>
  <c r="BO459" i="2"/>
  <c r="BM459" i="2"/>
  <c r="Z459" i="2"/>
  <c r="Z460" i="2" s="1"/>
  <c r="Y459" i="2"/>
  <c r="P459" i="2"/>
  <c r="X457" i="2"/>
  <c r="X456" i="2"/>
  <c r="BO455" i="2"/>
  <c r="BM455" i="2"/>
  <c r="Z455" i="2"/>
  <c r="Y455" i="2"/>
  <c r="BN455" i="2" s="1"/>
  <c r="P455" i="2"/>
  <c r="BO454" i="2"/>
  <c r="BM454" i="2"/>
  <c r="Y454" i="2"/>
  <c r="BP454" i="2" s="1"/>
  <c r="P454" i="2"/>
  <c r="Y451" i="2"/>
  <c r="X451" i="2"/>
  <c r="X450" i="2"/>
  <c r="BO449" i="2"/>
  <c r="BM449" i="2"/>
  <c r="Y449" i="2"/>
  <c r="P449" i="2"/>
  <c r="BO448" i="2"/>
  <c r="BN448" i="2"/>
  <c r="BM448" i="2"/>
  <c r="Z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Y440" i="2" s="1"/>
  <c r="P436" i="2"/>
  <c r="X434" i="2"/>
  <c r="X433" i="2"/>
  <c r="BO432" i="2"/>
  <c r="BM432" i="2"/>
  <c r="Y432" i="2"/>
  <c r="P432" i="2"/>
  <c r="BP431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BN425" i="2" s="1"/>
  <c r="P425" i="2"/>
  <c r="X421" i="2"/>
  <c r="X420" i="2"/>
  <c r="BO419" i="2"/>
  <c r="BM419" i="2"/>
  <c r="Y419" i="2"/>
  <c r="BN419" i="2" s="1"/>
  <c r="P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Y413" i="2" s="1"/>
  <c r="P412" i="2"/>
  <c r="BP411" i="2"/>
  <c r="BO411" i="2"/>
  <c r="BN411" i="2"/>
  <c r="BM411" i="2"/>
  <c r="Z411" i="2"/>
  <c r="Y411" i="2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BP404" i="2" s="1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X396" i="2"/>
  <c r="X395" i="2"/>
  <c r="BP394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P386" i="2"/>
  <c r="BP385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N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M371" i="2"/>
  <c r="Y371" i="2"/>
  <c r="Z371" i="2" s="1"/>
  <c r="P371" i="2"/>
  <c r="BO370" i="2"/>
  <c r="BM370" i="2"/>
  <c r="Z370" i="2"/>
  <c r="Y370" i="2"/>
  <c r="BN370" i="2" s="1"/>
  <c r="P370" i="2"/>
  <c r="BO369" i="2"/>
  <c r="BM369" i="2"/>
  <c r="Y369" i="2"/>
  <c r="P369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P346" i="2"/>
  <c r="BO346" i="2"/>
  <c r="BN346" i="2"/>
  <c r="BM346" i="2"/>
  <c r="Z346" i="2"/>
  <c r="Y346" i="2"/>
  <c r="P346" i="2"/>
  <c r="X344" i="2"/>
  <c r="X343" i="2"/>
  <c r="BO342" i="2"/>
  <c r="BM342" i="2"/>
  <c r="Y342" i="2"/>
  <c r="BN342" i="2" s="1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P332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Z322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P311" i="2"/>
  <c r="Y309" i="2"/>
  <c r="X309" i="2"/>
  <c r="Y308" i="2"/>
  <c r="X308" i="2"/>
  <c r="BP307" i="2"/>
  <c r="BO307" i="2"/>
  <c r="BN307" i="2"/>
  <c r="BM307" i="2"/>
  <c r="Z307" i="2"/>
  <c r="Z308" i="2" s="1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BN301" i="2" s="1"/>
  <c r="P301" i="2"/>
  <c r="BO300" i="2"/>
  <c r="BM300" i="2"/>
  <c r="Y300" i="2"/>
  <c r="BP300" i="2" s="1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BO297" i="2"/>
  <c r="BM297" i="2"/>
  <c r="Z297" i="2"/>
  <c r="Y297" i="2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BN287" i="2" s="1"/>
  <c r="P287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P282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N268" i="2" s="1"/>
  <c r="P268" i="2"/>
  <c r="BP267" i="2"/>
  <c r="BO267" i="2"/>
  <c r="BN267" i="2"/>
  <c r="BM267" i="2"/>
  <c r="Z267" i="2"/>
  <c r="Y267" i="2"/>
  <c r="P267" i="2"/>
  <c r="BO266" i="2"/>
  <c r="BM266" i="2"/>
  <c r="Y266" i="2"/>
  <c r="Z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BP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O244" i="2"/>
  <c r="BM244" i="2"/>
  <c r="Y244" i="2"/>
  <c r="Y248" i="2" s="1"/>
  <c r="P244" i="2"/>
  <c r="X242" i="2"/>
  <c r="X241" i="2"/>
  <c r="BO240" i="2"/>
  <c r="BM240" i="2"/>
  <c r="Y240" i="2"/>
  <c r="P240" i="2"/>
  <c r="BP239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Z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BP219" i="2"/>
  <c r="BO219" i="2"/>
  <c r="BN219" i="2"/>
  <c r="BM219" i="2"/>
  <c r="Z219" i="2"/>
  <c r="Y219" i="2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P198" i="2"/>
  <c r="X196" i="2"/>
  <c r="Y195" i="2"/>
  <c r="X195" i="2"/>
  <c r="BP194" i="2"/>
  <c r="BO194" i="2"/>
  <c r="BN194" i="2"/>
  <c r="BM194" i="2"/>
  <c r="Z194" i="2"/>
  <c r="Z195" i="2" s="1"/>
  <c r="Y194" i="2"/>
  <c r="Y196" i="2" s="1"/>
  <c r="P194" i="2"/>
  <c r="X192" i="2"/>
  <c r="X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P188" i="2"/>
  <c r="X186" i="2"/>
  <c r="X185" i="2"/>
  <c r="BO184" i="2"/>
  <c r="BM184" i="2"/>
  <c r="Y184" i="2"/>
  <c r="Z184" i="2" s="1"/>
  <c r="P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BN170" i="2" s="1"/>
  <c r="P170" i="2"/>
  <c r="BP169" i="2"/>
  <c r="BO169" i="2"/>
  <c r="BN169" i="2"/>
  <c r="BM169" i="2"/>
  <c r="Z169" i="2"/>
  <c r="Y169" i="2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59" i="2" s="1"/>
  <c r="P158" i="2"/>
  <c r="X156" i="2"/>
  <c r="X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P152" i="2"/>
  <c r="BP151" i="2"/>
  <c r="BO151" i="2"/>
  <c r="BN151" i="2"/>
  <c r="BM151" i="2"/>
  <c r="Z151" i="2"/>
  <c r="Y151" i="2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P137" i="2"/>
  <c r="BO136" i="2"/>
  <c r="BM136" i="2"/>
  <c r="Y136" i="2"/>
  <c r="BN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Y131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Y116" i="2"/>
  <c r="P116" i="2"/>
  <c r="X114" i="2"/>
  <c r="X113" i="2"/>
  <c r="BO112" i="2"/>
  <c r="BM112" i="2"/>
  <c r="Y112" i="2"/>
  <c r="P112" i="2"/>
  <c r="BP111" i="2"/>
  <c r="BO111" i="2"/>
  <c r="BM111" i="2"/>
  <c r="Y111" i="2"/>
  <c r="P111" i="2"/>
  <c r="BO110" i="2"/>
  <c r="BM110" i="2"/>
  <c r="Y110" i="2"/>
  <c r="BN110" i="2" s="1"/>
  <c r="P110" i="2"/>
  <c r="BO109" i="2"/>
  <c r="BM109" i="2"/>
  <c r="Z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Z101" i="2"/>
  <c r="Y101" i="2"/>
  <c r="BN101" i="2" s="1"/>
  <c r="P101" i="2"/>
  <c r="BO100" i="2"/>
  <c r="BM100" i="2"/>
  <c r="Y100" i="2"/>
  <c r="BN100" i="2" s="1"/>
  <c r="P100" i="2"/>
  <c r="BO99" i="2"/>
  <c r="BM99" i="2"/>
  <c r="Y99" i="2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P90" i="2"/>
  <c r="BO90" i="2"/>
  <c r="BM90" i="2"/>
  <c r="Y90" i="2"/>
  <c r="Z90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BN83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Y74" i="2" s="1"/>
  <c r="P72" i="2"/>
  <c r="X70" i="2"/>
  <c r="X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Z56" i="2"/>
  <c r="Y56" i="2"/>
  <c r="BP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8" i="2" l="1"/>
  <c r="Y33" i="2"/>
  <c r="BN49" i="2"/>
  <c r="BN58" i="2"/>
  <c r="BP65" i="2"/>
  <c r="Z65" i="2"/>
  <c r="Z69" i="2" s="1"/>
  <c r="BP112" i="2"/>
  <c r="BN112" i="2"/>
  <c r="Z112" i="2"/>
  <c r="BN119" i="2"/>
  <c r="Z119" i="2"/>
  <c r="BP134" i="2"/>
  <c r="BN134" i="2"/>
  <c r="Z134" i="2"/>
  <c r="BN142" i="2"/>
  <c r="Z142" i="2"/>
  <c r="Z144" i="2" s="1"/>
  <c r="BN158" i="2"/>
  <c r="BN174" i="2"/>
  <c r="Z174" i="2"/>
  <c r="BP180" i="2"/>
  <c r="BN180" i="2"/>
  <c r="Z180" i="2"/>
  <c r="BN184" i="2"/>
  <c r="BN224" i="2"/>
  <c r="BN238" i="2"/>
  <c r="BP245" i="2"/>
  <c r="BN245" i="2"/>
  <c r="Z245" i="2"/>
  <c r="BN261" i="2"/>
  <c r="Y313" i="2"/>
  <c r="Z311" i="2"/>
  <c r="Z312" i="2" s="1"/>
  <c r="BP333" i="2"/>
  <c r="BN333" i="2"/>
  <c r="Z333" i="2"/>
  <c r="BN340" i="2"/>
  <c r="Z340" i="2"/>
  <c r="BN60" i="2"/>
  <c r="BN77" i="2"/>
  <c r="Y80" i="2"/>
  <c r="BP91" i="2"/>
  <c r="BN91" i="2"/>
  <c r="Z91" i="2"/>
  <c r="BN99" i="2"/>
  <c r="Z99" i="2"/>
  <c r="BN103" i="2"/>
  <c r="BN111" i="2"/>
  <c r="Z111" i="2"/>
  <c r="BP148" i="2"/>
  <c r="BN148" i="2"/>
  <c r="Z148" i="2"/>
  <c r="BN164" i="2"/>
  <c r="BN190" i="2"/>
  <c r="Z190" i="2"/>
  <c r="Z191" i="2" s="1"/>
  <c r="BN207" i="2"/>
  <c r="BN228" i="2"/>
  <c r="BP276" i="2"/>
  <c r="BN276" i="2"/>
  <c r="Z276" i="2"/>
  <c r="BN281" i="2"/>
  <c r="BN291" i="2"/>
  <c r="BN298" i="2"/>
  <c r="Z298" i="2"/>
  <c r="BN303" i="2"/>
  <c r="BP303" i="2"/>
  <c r="BP311" i="2"/>
  <c r="Y319" i="2"/>
  <c r="BP315" i="2"/>
  <c r="Y334" i="2"/>
  <c r="BN332" i="2"/>
  <c r="Z332" i="2"/>
  <c r="BN362" i="2"/>
  <c r="BP362" i="2"/>
  <c r="Y383" i="2"/>
  <c r="BN381" i="2"/>
  <c r="BN386" i="2"/>
  <c r="Z386" i="2"/>
  <c r="BP399" i="2"/>
  <c r="BN399" i="2"/>
  <c r="Z399" i="2"/>
  <c r="BN432" i="2"/>
  <c r="Z432" i="2"/>
  <c r="BP473" i="2"/>
  <c r="BN473" i="2"/>
  <c r="Z473" i="2"/>
  <c r="BN492" i="2"/>
  <c r="BN504" i="2"/>
  <c r="BP386" i="2"/>
  <c r="Z387" i="2"/>
  <c r="BP387" i="2"/>
  <c r="BN418" i="2"/>
  <c r="Z418" i="2"/>
  <c r="BN428" i="2"/>
  <c r="Z428" i="2"/>
  <c r="BP432" i="2"/>
  <c r="BN444" i="2"/>
  <c r="BN471" i="2"/>
  <c r="Z471" i="2"/>
  <c r="Z563" i="2"/>
  <c r="Z486" i="2"/>
  <c r="Z487" i="2" s="1"/>
  <c r="BN518" i="2"/>
  <c r="BP544" i="2"/>
  <c r="Z544" i="2"/>
  <c r="BN92" i="2"/>
  <c r="BP101" i="2"/>
  <c r="BP117" i="2"/>
  <c r="BN130" i="2"/>
  <c r="Y138" i="2"/>
  <c r="BN135" i="2"/>
  <c r="Y172" i="2"/>
  <c r="Y171" i="2"/>
  <c r="BN178" i="2"/>
  <c r="BN182" i="2"/>
  <c r="Y192" i="2"/>
  <c r="BN188" i="2"/>
  <c r="BN205" i="2"/>
  <c r="BN208" i="2"/>
  <c r="BN226" i="2"/>
  <c r="BN229" i="2"/>
  <c r="BN246" i="2"/>
  <c r="BN256" i="2"/>
  <c r="BN271" i="2"/>
  <c r="BN278" i="2"/>
  <c r="O563" i="2"/>
  <c r="BN302" i="2"/>
  <c r="BN323" i="2"/>
  <c r="BP370" i="2"/>
  <c r="BN426" i="2"/>
  <c r="BP455" i="2"/>
  <c r="BP505" i="2"/>
  <c r="C563" i="2"/>
  <c r="BP37" i="2"/>
  <c r="BN39" i="2"/>
  <c r="BP49" i="2"/>
  <c r="BN51" i="2"/>
  <c r="Z58" i="2"/>
  <c r="Z68" i="2"/>
  <c r="F563" i="2"/>
  <c r="BP83" i="2"/>
  <c r="BN85" i="2"/>
  <c r="Y87" i="2"/>
  <c r="Z92" i="2"/>
  <c r="BN93" i="2"/>
  <c r="Z100" i="2"/>
  <c r="Z103" i="2"/>
  <c r="BN104" i="2"/>
  <c r="Z110" i="2"/>
  <c r="BP130" i="2"/>
  <c r="Z135" i="2"/>
  <c r="BP135" i="2"/>
  <c r="BP143" i="2"/>
  <c r="Z153" i="2"/>
  <c r="BP158" i="2"/>
  <c r="Z158" i="2"/>
  <c r="Z159" i="2" s="1"/>
  <c r="Y160" i="2"/>
  <c r="Z178" i="2"/>
  <c r="Y199" i="2"/>
  <c r="Y200" i="2"/>
  <c r="BP208" i="2"/>
  <c r="L563" i="2"/>
  <c r="Y216" i="2"/>
  <c r="BN215" i="2"/>
  <c r="BP215" i="2"/>
  <c r="BN221" i="2"/>
  <c r="Z221" i="2"/>
  <c r="Z225" i="2"/>
  <c r="BN227" i="2"/>
  <c r="Y247" i="2"/>
  <c r="BN244" i="2"/>
  <c r="BP244" i="2"/>
  <c r="Z255" i="2"/>
  <c r="BP269" i="2"/>
  <c r="BN269" i="2"/>
  <c r="Y274" i="2"/>
  <c r="Y289" i="2"/>
  <c r="BN280" i="2"/>
  <c r="BN300" i="2"/>
  <c r="Q563" i="2"/>
  <c r="Y335" i="2"/>
  <c r="BN331" i="2"/>
  <c r="BP331" i="2"/>
  <c r="Z339" i="2"/>
  <c r="Z368" i="2"/>
  <c r="Z380" i="2"/>
  <c r="Z393" i="2"/>
  <c r="BP398" i="2"/>
  <c r="BN398" i="2"/>
  <c r="Y401" i="2"/>
  <c r="Z430" i="2"/>
  <c r="Z481" i="2"/>
  <c r="Z499" i="2"/>
  <c r="BN499" i="2"/>
  <c r="Z528" i="2"/>
  <c r="Z529" i="2" s="1"/>
  <c r="BP23" i="2"/>
  <c r="Y25" i="2"/>
  <c r="BN27" i="2"/>
  <c r="BN40" i="2"/>
  <c r="BN59" i="2"/>
  <c r="BP60" i="2"/>
  <c r="BN73" i="2"/>
  <c r="BN86" i="2"/>
  <c r="BP99" i="2"/>
  <c r="BP109" i="2"/>
  <c r="BP119" i="2"/>
  <c r="BN129" i="2"/>
  <c r="Y139" i="2"/>
  <c r="BN154" i="2"/>
  <c r="Z154" i="2"/>
  <c r="BP170" i="2"/>
  <c r="Z170" i="2"/>
  <c r="BN181" i="2"/>
  <c r="Z183" i="2"/>
  <c r="BN183" i="2"/>
  <c r="BP184" i="2"/>
  <c r="Y191" i="2"/>
  <c r="BP188" i="2"/>
  <c r="Z188" i="2"/>
  <c r="BN189" i="2"/>
  <c r="BP190" i="2"/>
  <c r="BN204" i="2"/>
  <c r="Z215" i="2"/>
  <c r="Z216" i="2" s="1"/>
  <c r="BP222" i="2"/>
  <c r="Z224" i="2"/>
  <c r="BN232" i="2"/>
  <c r="Z244" i="2"/>
  <c r="Z278" i="2"/>
  <c r="BN297" i="2"/>
  <c r="BP298" i="2"/>
  <c r="Z331" i="2"/>
  <c r="Z334" i="2" s="1"/>
  <c r="BP428" i="2"/>
  <c r="Z449" i="2"/>
  <c r="BN449" i="2"/>
  <c r="BP459" i="2"/>
  <c r="BN459" i="2"/>
  <c r="Y460" i="2"/>
  <c r="Z519" i="2"/>
  <c r="BN519" i="2"/>
  <c r="Y44" i="2"/>
  <c r="BP66" i="2"/>
  <c r="BP136" i="2"/>
  <c r="Z136" i="2"/>
  <c r="BN176" i="2"/>
  <c r="Z176" i="2"/>
  <c r="BP179" i="2"/>
  <c r="Y212" i="2"/>
  <c r="BN206" i="2"/>
  <c r="BP227" i="2"/>
  <c r="BP236" i="2"/>
  <c r="BN236" i="2"/>
  <c r="Y241" i="2"/>
  <c r="BP237" i="2"/>
  <c r="BP266" i="2"/>
  <c r="BN272" i="2"/>
  <c r="BP272" i="2"/>
  <c r="Y304" i="2"/>
  <c r="Y328" i="2"/>
  <c r="BN324" i="2"/>
  <c r="Z325" i="2"/>
  <c r="BN325" i="2"/>
  <c r="R563" i="2"/>
  <c r="BP338" i="2"/>
  <c r="Z338" i="2"/>
  <c r="BN341" i="2"/>
  <c r="BP341" i="2"/>
  <c r="BP342" i="2"/>
  <c r="Z342" i="2"/>
  <c r="BP378" i="2"/>
  <c r="Z378" i="2"/>
  <c r="BP392" i="2"/>
  <c r="Z392" i="2"/>
  <c r="Z395" i="2" s="1"/>
  <c r="BP419" i="2"/>
  <c r="BP425" i="2"/>
  <c r="BP438" i="2"/>
  <c r="BN438" i="2"/>
  <c r="Y482" i="2"/>
  <c r="BP480" i="2"/>
  <c r="Z480" i="2"/>
  <c r="Y483" i="2"/>
  <c r="Y524" i="2"/>
  <c r="BN516" i="2"/>
  <c r="BP516" i="2"/>
  <c r="Y24" i="2"/>
  <c r="Z59" i="2"/>
  <c r="Z73" i="2"/>
  <c r="BP100" i="2"/>
  <c r="BP110" i="2"/>
  <c r="BP137" i="2"/>
  <c r="BN137" i="2"/>
  <c r="BP153" i="2"/>
  <c r="BN177" i="2"/>
  <c r="BP177" i="2"/>
  <c r="Z179" i="2"/>
  <c r="Z189" i="2"/>
  <c r="Z204" i="2"/>
  <c r="BP223" i="2"/>
  <c r="Z223" i="2"/>
  <c r="BP225" i="2"/>
  <c r="Z232" i="2"/>
  <c r="Z260" i="2"/>
  <c r="Z262" i="2" s="1"/>
  <c r="BN260" i="2"/>
  <c r="BP268" i="2"/>
  <c r="Z268" i="2"/>
  <c r="BP277" i="2"/>
  <c r="Z277" i="2"/>
  <c r="Y288" i="2"/>
  <c r="Z285" i="2"/>
  <c r="Z286" i="2"/>
  <c r="BN286" i="2"/>
  <c r="BP287" i="2"/>
  <c r="Z287" i="2"/>
  <c r="BN292" i="2"/>
  <c r="BP292" i="2"/>
  <c r="Y293" i="2"/>
  <c r="BP297" i="2"/>
  <c r="P563" i="2"/>
  <c r="BN322" i="2"/>
  <c r="BP322" i="2"/>
  <c r="BP339" i="2"/>
  <c r="BP368" i="2"/>
  <c r="BP380" i="2"/>
  <c r="BP393" i="2"/>
  <c r="BP400" i="2"/>
  <c r="Z400" i="2"/>
  <c r="Z425" i="2"/>
  <c r="BP430" i="2"/>
  <c r="Z474" i="2"/>
  <c r="BN474" i="2"/>
  <c r="BP481" i="2"/>
  <c r="BP498" i="2"/>
  <c r="Z498" i="2"/>
  <c r="BP528" i="2"/>
  <c r="Y534" i="2"/>
  <c r="Y533" i="2"/>
  <c r="BP532" i="2"/>
  <c r="BP142" i="2"/>
  <c r="BP164" i="2"/>
  <c r="BP182" i="2"/>
  <c r="BP229" i="2"/>
  <c r="Y294" i="2"/>
  <c r="Y305" i="2"/>
  <c r="BN311" i="2"/>
  <c r="Y312" i="2"/>
  <c r="BP340" i="2"/>
  <c r="Y389" i="2"/>
  <c r="BP429" i="2"/>
  <c r="Y450" i="2"/>
  <c r="X563" i="2"/>
  <c r="BN486" i="2"/>
  <c r="Y487" i="2"/>
  <c r="Z348" i="2"/>
  <c r="Y376" i="2"/>
  <c r="Y408" i="2"/>
  <c r="Y421" i="2"/>
  <c r="BP418" i="2"/>
  <c r="Z450" i="2"/>
  <c r="Y563" i="2"/>
  <c r="Y477" i="2"/>
  <c r="Y523" i="2"/>
  <c r="BP518" i="2"/>
  <c r="BP540" i="2"/>
  <c r="Y552" i="2"/>
  <c r="BN387" i="2"/>
  <c r="Z394" i="2"/>
  <c r="BN266" i="2"/>
  <c r="BP265" i="2"/>
  <c r="Y273" i="2"/>
  <c r="U563" i="2"/>
  <c r="Y414" i="2"/>
  <c r="Y95" i="2"/>
  <c r="BN90" i="2"/>
  <c r="Y94" i="2"/>
  <c r="BP463" i="2"/>
  <c r="Z417" i="2"/>
  <c r="BP417" i="2"/>
  <c r="Y186" i="2"/>
  <c r="Z177" i="2"/>
  <c r="BN371" i="2"/>
  <c r="BN361" i="2"/>
  <c r="Y356" i="2"/>
  <c r="Z426" i="2"/>
  <c r="BP360" i="2"/>
  <c r="BN360" i="2"/>
  <c r="T563" i="2"/>
  <c r="BN57" i="2"/>
  <c r="Z57" i="2"/>
  <c r="Y327" i="2"/>
  <c r="BP326" i="2"/>
  <c r="Z429" i="2"/>
  <c r="AA563" i="2"/>
  <c r="Y507" i="2"/>
  <c r="BN48" i="2"/>
  <c r="Z48" i="2"/>
  <c r="Y53" i="2"/>
  <c r="D563" i="2"/>
  <c r="Y69" i="2"/>
  <c r="Y70" i="2"/>
  <c r="BP68" i="2"/>
  <c r="BP436" i="2"/>
  <c r="BN436" i="2"/>
  <c r="Z436" i="2"/>
  <c r="Z438" i="2"/>
  <c r="W563" i="2"/>
  <c r="BP174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Z74" i="2" s="1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13" i="2" s="1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94" i="2" s="1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Z247" i="2" s="1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Z32" i="2" s="1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04" i="2" s="1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388" i="2" s="1"/>
  <c r="Z419" i="2"/>
  <c r="Z431" i="2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Z546" i="2" s="1"/>
  <c r="Y551" i="2"/>
  <c r="E563" i="2"/>
  <c r="Z256" i="2"/>
  <c r="Z257" i="2" s="1"/>
  <c r="Z398" i="2"/>
  <c r="Z401" i="2" s="1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Z166" i="2" s="1"/>
  <c r="BN417" i="2"/>
  <c r="Y420" i="2"/>
  <c r="BP476" i="2"/>
  <c r="Y488" i="2"/>
  <c r="BN545" i="2"/>
  <c r="AB563" i="2"/>
  <c r="Z343" i="2" l="1"/>
  <c r="Z288" i="2"/>
  <c r="Z382" i="2"/>
  <c r="Z241" i="2"/>
  <c r="Z138" i="2"/>
  <c r="Z482" i="2"/>
  <c r="Z375" i="2"/>
  <c r="Z211" i="2"/>
  <c r="Z439" i="2"/>
  <c r="Z407" i="2"/>
  <c r="Z523" i="2"/>
  <c r="Z477" i="2"/>
  <c r="Z105" i="2"/>
  <c r="Z445" i="2"/>
  <c r="Z493" i="2"/>
  <c r="Z513" i="2"/>
  <c r="Z233" i="2"/>
  <c r="Z185" i="2"/>
  <c r="Z24" i="2"/>
  <c r="Z420" i="2"/>
  <c r="Z62" i="2"/>
  <c r="Z327" i="2"/>
  <c r="Z433" i="2"/>
  <c r="Z507" i="2"/>
  <c r="Z52" i="2"/>
  <c r="Y553" i="2"/>
  <c r="Y557" i="2"/>
  <c r="Y554" i="2"/>
  <c r="X556" i="2"/>
  <c r="Z365" i="2"/>
  <c r="Z79" i="2"/>
  <c r="Z273" i="2"/>
  <c r="Z155" i="2"/>
  <c r="Z466" i="2"/>
  <c r="Z87" i="2"/>
  <c r="Z318" i="2"/>
  <c r="Z43" i="2"/>
  <c r="Y555" i="2"/>
  <c r="Z558" i="2" l="1"/>
  <c r="Y556" i="2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<sst xmlns="http://schemas.openxmlformats.org/spreadsheetml/2006/main" count="4217" uniqueCount="894">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</sst>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893</v>
      </c>
      <c r="I5" s="645"/>
      <c r="J5" s="645"/>
      <c r="K5" s="645"/>
      <c r="L5" s="645"/>
      <c r="M5" s="645"/>
      <c r="N5" s="72"/>
      <c r="P5" s="27" t="s">
        <v>4</v>
      </c>
      <c r="Q5" s="647">
        <v>46261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876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Четверг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3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0.45833333333333331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200</v>
      </c>
      <c r="Y50" s="55">
        <f>IFERROR(IF(X50="",0,CEILING((X50/$H50),1)*$H50),"")</f>
        <v>200</v>
      </c>
      <c r="Z50" s="41">
        <f>IFERROR(IF(Y50=0,"",ROUNDUP(Y50/H50,0)*0.00902),"")</f>
        <v>0.45100000000000001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209.50000000000003</v>
      </c>
      <c r="BN50" s="78">
        <f>IFERROR(Y50*I50/H50,"0")</f>
        <v>209.50000000000003</v>
      </c>
      <c r="BO50" s="78">
        <f>IFERROR(1/J50*(X50/H50),"0")</f>
        <v>0.37878787878787878</v>
      </c>
      <c r="BP50" s="78">
        <f>IFERROR(1/J50*(Y50/H50),"0")</f>
        <v>0.37878787878787878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50</v>
      </c>
      <c r="Y52" s="43">
        <f>IFERROR(Y48/H48,"0")+IFERROR(Y49/H49,"0")+IFERROR(Y50/H50,"0")+IFERROR(Y51/H51,"0")</f>
        <v>50</v>
      </c>
      <c r="Z52" s="43">
        <f>IFERROR(IF(Z48="",0,Z48),"0")+IFERROR(IF(Z49="",0,Z49),"0")+IFERROR(IF(Z50="",0,Z50),"0")+IFERROR(IF(Z51="",0,Z51),"0")</f>
        <v>0.45100000000000001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200</v>
      </c>
      <c r="Y53" s="43">
        <f>IFERROR(SUM(Y48:Y51),"0")</f>
        <v>200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1200</v>
      </c>
      <c r="Y57" s="55">
        <f t="shared" si="6"/>
        <v>1209.6000000000001</v>
      </c>
      <c r="Z57" s="41">
        <f>IFERROR(IF(Y57=0,"",ROUNDUP(Y57/H57,0)*0.01898),"")</f>
        <v>2.1257600000000001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1245.5555555555557</v>
      </c>
      <c r="BN57" s="78">
        <f t="shared" si="8"/>
        <v>1255.52</v>
      </c>
      <c r="BO57" s="78">
        <f t="shared" si="9"/>
        <v>1.7361111111111109</v>
      </c>
      <c r="BP57" s="78">
        <f t="shared" si="10"/>
        <v>1.75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540</v>
      </c>
      <c r="Y61" s="55">
        <f t="shared" si="6"/>
        <v>540</v>
      </c>
      <c r="Z61" s="41">
        <f>IFERROR(IF(Y61=0,"",ROUNDUP(Y61/H61,0)*0.00902),"")</f>
        <v>1.0824</v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562.80000000000007</v>
      </c>
      <c r="BN61" s="78">
        <f t="shared" si="8"/>
        <v>562.80000000000007</v>
      </c>
      <c r="BO61" s="78">
        <f t="shared" si="9"/>
        <v>0.90909090909090917</v>
      </c>
      <c r="BP61" s="78">
        <f t="shared" si="10"/>
        <v>0.90909090909090917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231.11111111111109</v>
      </c>
      <c r="Y62" s="43">
        <f>IFERROR(Y56/H56,"0")+IFERROR(Y57/H57,"0")+IFERROR(Y58/H58,"0")+IFERROR(Y59/H59,"0")+IFERROR(Y60/H60,"0")+IFERROR(Y61/H61,"0")</f>
        <v>232</v>
      </c>
      <c r="Z62" s="43">
        <f>IFERROR(IF(Z56="",0,Z56),"0")+IFERROR(IF(Z57="",0,Z57),"0")+IFERROR(IF(Z58="",0,Z58),"0")+IFERROR(IF(Z59="",0,Z59),"0")+IFERROR(IF(Z60="",0,Z60),"0")+IFERROR(IF(Z61="",0,Z61),"0")</f>
        <v>3.2081600000000003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1740</v>
      </c>
      <c r="Y63" s="43">
        <f>IFERROR(SUM(Y56:Y61),"0")</f>
        <v>1749.6000000000001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1200</v>
      </c>
      <c r="Y65" s="55">
        <f>IFERROR(IF(X65="",0,CEILING((X65/$H65),1)*$H65),"")</f>
        <v>1209.6000000000001</v>
      </c>
      <c r="Z65" s="41">
        <f>IFERROR(IF(Y65=0,"",ROUNDUP(Y65/H65,0)*0.01898),"")</f>
        <v>2.1257600000000001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1245.5555555555557</v>
      </c>
      <c r="BN65" s="78">
        <f>IFERROR(Y65*I65/H65,"0")</f>
        <v>1255.52</v>
      </c>
      <c r="BO65" s="78">
        <f>IFERROR(1/J65*(X65/H65),"0")</f>
        <v>1.7361111111111109</v>
      </c>
      <c r="BP65" s="78">
        <f>IFERROR(1/J65*(Y65/H65),"0")</f>
        <v>1.75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819</v>
      </c>
      <c r="Y68" s="55">
        <f>IFERROR(IF(X68="",0,CEILING((X68/$H68),1)*$H68),"")</f>
        <v>820.80000000000007</v>
      </c>
      <c r="Z68" s="41">
        <f>IFERROR(IF(Y68=0,"",ROUNDUP(Y68/H68,0)*0.00651),"")</f>
        <v>1.9790400000000001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873.59999999999991</v>
      </c>
      <c r="BN68" s="78">
        <f>IFERROR(Y68*I68/H68,"0")</f>
        <v>875.52</v>
      </c>
      <c r="BO68" s="78">
        <f>IFERROR(1/J68*(X68/H68),"0")</f>
        <v>1.6666666666666667</v>
      </c>
      <c r="BP68" s="78">
        <f>IFERROR(1/J68*(Y68/H68),"0")</f>
        <v>1.6703296703296704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414.4444444444444</v>
      </c>
      <c r="Y69" s="43">
        <f>IFERROR(Y65/H65,"0")+IFERROR(Y66/H66,"0")+IFERROR(Y67/H67,"0")+IFERROR(Y68/H68,"0")</f>
        <v>416</v>
      </c>
      <c r="Z69" s="43">
        <f>IFERROR(IF(Z65="",0,Z65),"0")+IFERROR(IF(Z66="",0,Z66),"0")+IFERROR(IF(Z67="",0,Z67),"0")+IFERROR(IF(Z68="",0,Z68),"0")</f>
        <v>4.1048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2019</v>
      </c>
      <c r="Y70" s="43">
        <f>IFERROR(SUM(Y65:Y68),"0")</f>
        <v>2030.4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150</v>
      </c>
      <c r="Y90" s="55">
        <f>IFERROR(IF(X90="",0,CEILING((X90/$H90),1)*$H90),"")</f>
        <v>153.9</v>
      </c>
      <c r="Z90" s="41">
        <f>IFERROR(IF(Y90=0,"",ROUNDUP(Y90/H90,0)*0.01898),"")</f>
        <v>0.36062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159.14814814814815</v>
      </c>
      <c r="BN90" s="78">
        <f>IFERROR(Y90*I90/H90,"0")</f>
        <v>163.286</v>
      </c>
      <c r="BO90" s="78">
        <f>IFERROR(1/J90*(X90/H90),"0")</f>
        <v>0.28935185185185186</v>
      </c>
      <c r="BP90" s="78">
        <f>IFERROR(1/J90*(Y90/H90),"0")</f>
        <v>0.296875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18.518518518518519</v>
      </c>
      <c r="Y94" s="43">
        <f>IFERROR(Y90/H90,"0")+IFERROR(Y91/H91,"0")+IFERROR(Y92/H92,"0")+IFERROR(Y93/H93,"0")</f>
        <v>19</v>
      </c>
      <c r="Z94" s="43">
        <f>IFERROR(IF(Z90="",0,Z90),"0")+IFERROR(IF(Z91="",0,Z91),"0")+IFERROR(IF(Z92="",0,Z92),"0")+IFERROR(IF(Z93="",0,Z93),"0")</f>
        <v>0.36062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150</v>
      </c>
      <c r="Y95" s="43">
        <f>IFERROR(SUM(Y90:Y93),"0")</f>
        <v>153.9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30</v>
      </c>
      <c r="Y174" s="55">
        <f t="shared" ref="Y174:Y184" si="22">IFERROR(IF(X174="",0,CEILING((X174/$H174),1)*$H174),"")</f>
        <v>31.5</v>
      </c>
      <c r="Z174" s="41">
        <f>IFERROR(IF(Y174=0,"",ROUNDUP(Y174/H174,0)*0.00902),"")</f>
        <v>8.1180000000000002E-2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31.62857142857143</v>
      </c>
      <c r="BN174" s="78">
        <f t="shared" ref="BN174:BN184" si="24">IFERROR(Y174*I174/H174,"0")</f>
        <v>33.21</v>
      </c>
      <c r="BO174" s="78">
        <f t="shared" ref="BO174:BO184" si="25">IFERROR(1/J174*(X174/H174),"0")</f>
        <v>6.4935064935064929E-2</v>
      </c>
      <c r="BP174" s="78">
        <f t="shared" ref="BP174:BP184" si="26">IFERROR(1/J174*(Y174/H174),"0")</f>
        <v>6.8181818181818177E-2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100</v>
      </c>
      <c r="Y175" s="55">
        <f t="shared" si="22"/>
        <v>101.5</v>
      </c>
      <c r="Z175" s="41">
        <f>IFERROR(IF(Y175=0,"",ROUNDUP(Y175/H175,0)*0.00902),"")</f>
        <v>0.26158000000000003</v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107.57142857142857</v>
      </c>
      <c r="BN175" s="78">
        <f t="shared" si="24"/>
        <v>109.18500000000002</v>
      </c>
      <c r="BO175" s="78">
        <f t="shared" si="25"/>
        <v>0.21645021645021648</v>
      </c>
      <c r="BP175" s="78">
        <f t="shared" si="26"/>
        <v>0.2196969696969697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150</v>
      </c>
      <c r="Y177" s="55">
        <f t="shared" si="22"/>
        <v>150.5</v>
      </c>
      <c r="Z177" s="41">
        <f>IFERROR(IF(Y177=0,"",ROUNDUP(Y177/H177,0)*0.00902),"")</f>
        <v>0.38785999999999998</v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158.14285714285714</v>
      </c>
      <c r="BN177" s="78">
        <f t="shared" si="24"/>
        <v>158.67000000000002</v>
      </c>
      <c r="BO177" s="78">
        <f t="shared" si="25"/>
        <v>0.32467532467532467</v>
      </c>
      <c r="BP177" s="78">
        <f t="shared" si="26"/>
        <v>0.32575757575757575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80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81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0.73062000000000005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280</v>
      </c>
      <c r="Y186" s="43">
        <f>IFERROR(SUM(Y174:Y184),"0")</f>
        <v>283.5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250</v>
      </c>
      <c r="Y265" s="55">
        <f t="shared" ref="Y265:Y272" si="39">IFERROR(IF(X265="",0,CEILING((X265/$H265),1)*$H265),"")</f>
        <v>253.8</v>
      </c>
      <c r="Z265" s="41">
        <f>IFERROR(IF(Y265=0,"",ROUNDUP(Y265/H265,0)*0.00902),"")</f>
        <v>0.42393999999999998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258.7962962962963</v>
      </c>
      <c r="BN265" s="78">
        <f t="shared" ref="BN265:BN272" si="41">IFERROR(Y265*I265/H265,"0")</f>
        <v>262.72999999999996</v>
      </c>
      <c r="BO265" s="78">
        <f t="shared" ref="BO265:BO272" si="42">IFERROR(1/J265*(X265/H265),"0")</f>
        <v>0.35072951739618402</v>
      </c>
      <c r="BP265" s="78">
        <f t="shared" ref="BP265:BP272" si="43">IFERROR(1/J265*(Y265/H265),"0")</f>
        <v>0.35606060606060608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200</v>
      </c>
      <c r="Y266" s="55">
        <f t="shared" si="39"/>
        <v>205.20000000000002</v>
      </c>
      <c r="Z266" s="41">
        <f>IFERROR(IF(Y266=0,"",ROUNDUP(Y266/H266,0)*0.00902),"")</f>
        <v>0.34276000000000001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207.03703703703701</v>
      </c>
      <c r="BN266" s="78">
        <f t="shared" si="41"/>
        <v>212.42</v>
      </c>
      <c r="BO266" s="78">
        <f t="shared" si="42"/>
        <v>0.28058361391694725</v>
      </c>
      <c r="BP266" s="78">
        <f t="shared" si="43"/>
        <v>0.2878787878787879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250</v>
      </c>
      <c r="Y267" s="55">
        <f t="shared" si="39"/>
        <v>253.8</v>
      </c>
      <c r="Z267" s="41">
        <f>IFERROR(IF(Y267=0,"",ROUNDUP(Y267/H267,0)*0.00902),"")</f>
        <v>0.42393999999999998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258.7962962962963</v>
      </c>
      <c r="BN267" s="78">
        <f t="shared" si="41"/>
        <v>262.72999999999996</v>
      </c>
      <c r="BO267" s="78">
        <f t="shared" si="42"/>
        <v>0.35072951739618402</v>
      </c>
      <c r="BP267" s="78">
        <f t="shared" si="43"/>
        <v>0.35606060606060608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129.62962962962962</v>
      </c>
      <c r="Y273" s="43">
        <f>IFERROR(Y265/H265,"0")+IFERROR(Y266/H266,"0")+IFERROR(Y267/H267,"0")+IFERROR(Y268/H268,"0")+IFERROR(Y269/H269,"0")+IFERROR(Y270/H270,"0")+IFERROR(Y271/H271,"0")+IFERROR(Y272/H272,"0")</f>
        <v>132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1.1906399999999999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700</v>
      </c>
      <c r="Y274" s="43">
        <f>IFERROR(SUM(Y265:Y272),"0")</f>
        <v>712.8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60</v>
      </c>
      <c r="Y326" s="55">
        <f>IFERROR(IF(X326="",0,CEILING((X326/$H326),1)*$H326),"")</f>
        <v>60</v>
      </c>
      <c r="Z326" s="41">
        <f>IFERROR(IF(Y326=0,"",ROUNDUP(Y326/H326,0)*0.00902),"")</f>
        <v>0.1353</v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62.850000000000009</v>
      </c>
      <c r="BN326" s="78">
        <f>IFERROR(Y326*I326/H326,"0")</f>
        <v>62.850000000000009</v>
      </c>
      <c r="BO326" s="78">
        <f>IFERROR(1/J326*(X326/H326),"0")</f>
        <v>0.11363636363636365</v>
      </c>
      <c r="BP326" s="78">
        <f>IFERROR(1/J326*(Y326/H326),"0")</f>
        <v>0.11363636363636365</v>
      </c>
    </row>
    <row r="327" spans="1:68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15</v>
      </c>
      <c r="Y327" s="43">
        <f>IFERROR(Y322/H322,"0")+IFERROR(Y323/H323,"0")+IFERROR(Y324/H324,"0")+IFERROR(Y325/H325,"0")+IFERROR(Y326/H326,"0")</f>
        <v>15</v>
      </c>
      <c r="Z327" s="43">
        <f>IFERROR(IF(Z322="",0,Z322),"0")+IFERROR(IF(Z323="",0,Z323),"0")+IFERROR(IF(Z324="",0,Z324),"0")+IFERROR(IF(Z325="",0,Z325),"0")+IFERROR(IF(Z326="",0,Z326),"0")</f>
        <v>0.1353</v>
      </c>
      <c r="AA327" s="67"/>
      <c r="AB327" s="67"/>
      <c r="AC327" s="67"/>
    </row>
    <row r="328" spans="1:68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60</v>
      </c>
      <c r="Y328" s="43">
        <f>IFERROR(SUM(Y322:Y326),"0")</f>
        <v>60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40</v>
      </c>
      <c r="Y352" s="55">
        <f>IFERROR(IF(X352="",0,CEILING((X352/$H352),1)*$H352),"")</f>
        <v>46.8</v>
      </c>
      <c r="Z352" s="41">
        <f>IFERROR(IF(Y352=0,"",ROUNDUP(Y352/H352,0)*0.01898),"")</f>
        <v>0.11388000000000001</v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42.102564102564109</v>
      </c>
      <c r="BN352" s="78">
        <f>IFERROR(Y352*I352/H352,"0")</f>
        <v>49.260000000000005</v>
      </c>
      <c r="BO352" s="78">
        <f>IFERROR(1/J352*(X352/H352),"0")</f>
        <v>8.0128205128205135E-2</v>
      </c>
      <c r="BP352" s="78">
        <f>IFERROR(1/J352*(Y352/H352),"0")</f>
        <v>9.375E-2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5.1282051282051286</v>
      </c>
      <c r="Y355" s="43">
        <f>IFERROR(Y352/H352,"0")+IFERROR(Y353/H353,"0")+IFERROR(Y354/H354,"0")</f>
        <v>6</v>
      </c>
      <c r="Z355" s="43">
        <f>IFERROR(IF(Z352="",0,Z352),"0")+IFERROR(IF(Z353="",0,Z353),"0")+IFERROR(IF(Z354="",0,Z354),"0")</f>
        <v>0.11388000000000001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40</v>
      </c>
      <c r="Y356" s="43">
        <f>IFERROR(SUM(Y352:Y354),"0")</f>
        <v>46.8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1200</v>
      </c>
      <c r="Y359" s="55">
        <f t="shared" ref="Y359:Y364" si="54">IFERROR(IF(X359="",0,CEILING((X359/$H359),1)*$H359),"")</f>
        <v>1209.6000000000001</v>
      </c>
      <c r="Z359" s="41">
        <f>IFERROR(IF(Y359=0,"",ROUNDUP(Y359/H359,0)*0.01898),"")</f>
        <v>2.1257600000000001</v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1245.5555555555557</v>
      </c>
      <c r="BN359" s="78">
        <f t="shared" ref="BN359:BN364" si="56">IFERROR(Y359*I359/H359,"0")</f>
        <v>1255.52</v>
      </c>
      <c r="BO359" s="78">
        <f t="shared" ref="BO359:BO364" si="57">IFERROR(1/J359*(X359/H359),"0")</f>
        <v>1.7361111111111109</v>
      </c>
      <c r="BP359" s="78">
        <f t="shared" ref="BP359:BP364" si="58">IFERROR(1/J359*(Y359/H359),"0")</f>
        <v>1.75</v>
      </c>
    </row>
    <row r="360" spans="1:68" ht="27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100</v>
      </c>
      <c r="Y360" s="55">
        <f t="shared" si="54"/>
        <v>108</v>
      </c>
      <c r="Z360" s="41">
        <f>IFERROR(IF(Y360=0,"",ROUNDUP(Y360/H360,0)*0.01898),"")</f>
        <v>0.1898</v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103.79629629629629</v>
      </c>
      <c r="BN360" s="78">
        <f t="shared" si="56"/>
        <v>112.1</v>
      </c>
      <c r="BO360" s="78">
        <f t="shared" si="57"/>
        <v>0.14467592592592593</v>
      </c>
      <c r="BP360" s="78">
        <f t="shared" si="58"/>
        <v>0.15625</v>
      </c>
    </row>
    <row r="361" spans="1:68" ht="37.5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200</v>
      </c>
      <c r="Y361" s="55">
        <f t="shared" si="54"/>
        <v>205.20000000000002</v>
      </c>
      <c r="Z361" s="41">
        <f>IFERROR(IF(Y361=0,"",ROUNDUP(Y361/H361,0)*0.01898),"")</f>
        <v>0.36062</v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207.59259259259258</v>
      </c>
      <c r="BN361" s="78">
        <f t="shared" si="56"/>
        <v>212.99</v>
      </c>
      <c r="BO361" s="78">
        <f t="shared" si="57"/>
        <v>0.28935185185185186</v>
      </c>
      <c r="BP361" s="78">
        <f t="shared" si="58"/>
        <v>0.296875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60</v>
      </c>
      <c r="Y363" s="55">
        <f t="shared" si="54"/>
        <v>60</v>
      </c>
      <c r="Z363" s="41">
        <f>IFERROR(IF(Y363=0,"",ROUNDUP(Y363/H363,0)*0.00902),"")</f>
        <v>0.1353</v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62.850000000000009</v>
      </c>
      <c r="BN363" s="78">
        <f t="shared" si="56"/>
        <v>62.850000000000009</v>
      </c>
      <c r="BO363" s="78">
        <f t="shared" si="57"/>
        <v>0.11363636363636365</v>
      </c>
      <c r="BP363" s="78">
        <f t="shared" si="58"/>
        <v>0.11363636363636365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153.88888888888886</v>
      </c>
      <c r="Y365" s="43">
        <f>IFERROR(Y359/H359,"0")+IFERROR(Y360/H360,"0")+IFERROR(Y361/H361,"0")+IFERROR(Y362/H362,"0")+IFERROR(Y363/H363,"0")+IFERROR(Y364/H364,"0")</f>
        <v>156</v>
      </c>
      <c r="Z365" s="43">
        <f>IFERROR(IF(Z359="",0,Z359),"0")+IFERROR(IF(Z360="",0,Z360),"0")+IFERROR(IF(Z361="",0,Z361),"0")+IFERROR(IF(Z362="",0,Z362),"0")+IFERROR(IF(Z363="",0,Z363),"0")+IFERROR(IF(Z364="",0,Z364),"0")</f>
        <v>2.81148</v>
      </c>
      <c r="AA365" s="67"/>
      <c r="AB365" s="67"/>
      <c r="AC365" s="67"/>
    </row>
    <row r="366" spans="1:68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1560</v>
      </c>
      <c r="Y366" s="43">
        <f>IFERROR(SUM(Y359:Y364),"0")</f>
        <v>1582.8000000000002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500</v>
      </c>
      <c r="Y368" s="55">
        <f t="shared" ref="Y368:Y374" si="59">IFERROR(IF(X368="",0,CEILING((X368/$H368),1)*$H368),"")</f>
        <v>504</v>
      </c>
      <c r="Z368" s="41">
        <f>IFERROR(IF(Y368=0,"",ROUNDUP(Y368/H368,0)*0.00902),"")</f>
        <v>1.0824</v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529.7619047619047</v>
      </c>
      <c r="BN368" s="78">
        <f t="shared" ref="BN368:BN374" si="61">IFERROR(Y368*I368/H368,"0")</f>
        <v>534</v>
      </c>
      <c r="BO368" s="78">
        <f t="shared" ref="BO368:BO374" si="62">IFERROR(1/J368*(X368/H368),"0")</f>
        <v>0.90187590187590183</v>
      </c>
      <c r="BP368" s="78">
        <f t="shared" ref="BP368:BP374" si="63">IFERROR(1/J368*(Y368/H368),"0")</f>
        <v>0.90909090909090917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70</v>
      </c>
      <c r="Y371" s="55">
        <f t="shared" si="59"/>
        <v>71.400000000000006</v>
      </c>
      <c r="Z371" s="41">
        <f>IFERROR(IF(Y371=0,"",ROUNDUP(Y371/H371,0)*0.00502),"")</f>
        <v>0.17068</v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74.333333333333329</v>
      </c>
      <c r="BN371" s="78">
        <f t="shared" si="61"/>
        <v>75.820000000000007</v>
      </c>
      <c r="BO371" s="78">
        <f t="shared" si="62"/>
        <v>0.14245014245014245</v>
      </c>
      <c r="BP371" s="78">
        <f t="shared" si="63"/>
        <v>0.14529914529914531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152.38095238095235</v>
      </c>
      <c r="Y375" s="43">
        <f>IFERROR(Y368/H368,"0")+IFERROR(Y369/H369,"0")+IFERROR(Y370/H370,"0")+IFERROR(Y371/H371,"0")+IFERROR(Y372/H372,"0")+IFERROR(Y373/H373,"0")+IFERROR(Y374/H374,"0")</f>
        <v>154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1.25308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570</v>
      </c>
      <c r="Y376" s="43">
        <f>IFERROR(SUM(Y368:Y374),"0")</f>
        <v>575.4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400</v>
      </c>
      <c r="Y386" s="55">
        <f>IFERROR(IF(X386="",0,CEILING((X386/$H386),1)*$H386),"")</f>
        <v>405.59999999999997</v>
      </c>
      <c r="Z386" s="41">
        <f>IFERROR(IF(Y386=0,"",ROUNDUP(Y386/H386,0)*0.01898),"")</f>
        <v>0.98696000000000006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425.33333333333337</v>
      </c>
      <c r="BN386" s="78">
        <f>IFERROR(Y386*I386/H386,"0")</f>
        <v>431.28799999999995</v>
      </c>
      <c r="BO386" s="78">
        <f>IFERROR(1/J386*(X386/H386),"0")</f>
        <v>0.80128205128205132</v>
      </c>
      <c r="BP386" s="78">
        <f>IFERROR(1/J386*(Y386/H386),"0")</f>
        <v>0.8125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250</v>
      </c>
      <c r="Y387" s="55">
        <f>IFERROR(IF(X387="",0,CEILING((X387/$H387),1)*$H387),"")</f>
        <v>252</v>
      </c>
      <c r="Z387" s="41">
        <f>IFERROR(IF(Y387=0,"",ROUNDUP(Y387/H387,0)*0.01898),"")</f>
        <v>0.56940000000000002</v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264.70238095238096</v>
      </c>
      <c r="BN387" s="78">
        <f>IFERROR(Y387*I387/H387,"0")</f>
        <v>266.82</v>
      </c>
      <c r="BO387" s="78">
        <f>IFERROR(1/J387*(X387/H387),"0")</f>
        <v>0.46502976190476186</v>
      </c>
      <c r="BP387" s="78">
        <f>IFERROR(1/J387*(Y387/H387),"0")</f>
        <v>0.46875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81.043956043956044</v>
      </c>
      <c r="Y388" s="43">
        <f>IFERROR(Y385/H385,"0")+IFERROR(Y386/H386,"0")+IFERROR(Y387/H387,"0")</f>
        <v>82</v>
      </c>
      <c r="Z388" s="43">
        <f>IFERROR(IF(Z385="",0,Z385),"0")+IFERROR(IF(Z386="",0,Z386),"0")+IFERROR(IF(Z387="",0,Z387),"0")</f>
        <v>1.5563600000000002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650</v>
      </c>
      <c r="Y389" s="43">
        <f>IFERROR(SUM(Y385:Y387),"0")</f>
        <v>657.59999999999991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12</v>
      </c>
      <c r="Y394" s="55">
        <f>IFERROR(IF(X394="",0,CEILING((X394/$H394),1)*$H394),"")</f>
        <v>12.75</v>
      </c>
      <c r="Z394" s="41">
        <f>IFERROR(IF(Y394=0,"",ROUNDUP(Y394/H394,0)*0.00651),"")</f>
        <v>3.2550000000000003E-2</v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13.55294117647059</v>
      </c>
      <c r="BN394" s="78">
        <f>IFERROR(Y394*I394/H394,"0")</f>
        <v>14.4</v>
      </c>
      <c r="BO394" s="78">
        <f>IFERROR(1/J394*(X394/H394),"0")</f>
        <v>2.5856496444731741E-2</v>
      </c>
      <c r="BP394" s="78">
        <f>IFERROR(1/J394*(Y394/H394),"0")</f>
        <v>2.7472527472527476E-2</v>
      </c>
    </row>
    <row r="395" spans="1:68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4.7058823529411766</v>
      </c>
      <c r="Y395" s="43">
        <f>IFERROR(Y391/H391,"0")+IFERROR(Y392/H392,"0")+IFERROR(Y393/H393,"0")+IFERROR(Y394/H394,"0")</f>
        <v>5</v>
      </c>
      <c r="Z395" s="43">
        <f>IFERROR(IF(Z391="",0,Z391),"0")+IFERROR(IF(Z392="",0,Z392),"0")+IFERROR(IF(Z393="",0,Z393),"0")+IFERROR(IF(Z394="",0,Z394),"0")</f>
        <v>3.2550000000000003E-2</v>
      </c>
      <c r="AA395" s="67"/>
      <c r="AB395" s="67"/>
      <c r="AC395" s="67"/>
    </row>
    <row r="396" spans="1:68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12</v>
      </c>
      <c r="Y396" s="43">
        <f>IFERROR(SUM(Y391:Y394),"0")</f>
        <v>12.75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300</v>
      </c>
      <c r="Y411" s="55">
        <f>IFERROR(IF(X411="",0,CEILING((X411/$H411),1)*$H411),"")</f>
        <v>304.2</v>
      </c>
      <c r="Z411" s="41">
        <f>IFERROR(IF(Y411=0,"",ROUNDUP(Y411/H411,0)*0.01898),"")</f>
        <v>0.74021999999999999</v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315.76923076923083</v>
      </c>
      <c r="BN411" s="78">
        <f>IFERROR(Y411*I411/H411,"0")</f>
        <v>320.19</v>
      </c>
      <c r="BO411" s="78">
        <f>IFERROR(1/J411*(X411/H411),"0")</f>
        <v>0.60096153846153844</v>
      </c>
      <c r="BP411" s="78">
        <f>IFERROR(1/J411*(Y411/H411),"0")</f>
        <v>0.609375</v>
      </c>
    </row>
    <row r="412" spans="1:68" ht="16.5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300</v>
      </c>
      <c r="Y412" s="55">
        <f>IFERROR(IF(X412="",0,CEILING((X412/$H412),1)*$H412),"")</f>
        <v>304.2</v>
      </c>
      <c r="Z412" s="41">
        <f>IFERROR(IF(Y412=0,"",ROUNDUP(Y412/H412,0)*0.01898),"")</f>
        <v>0.74021999999999999</v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315.76923076923083</v>
      </c>
      <c r="BN412" s="78">
        <f>IFERROR(Y412*I412/H412,"0")</f>
        <v>320.19</v>
      </c>
      <c r="BO412" s="78">
        <f>IFERROR(1/J412*(X412/H412),"0")</f>
        <v>0.60096153846153844</v>
      </c>
      <c r="BP412" s="78">
        <f>IFERROR(1/J412*(Y412/H412),"0")</f>
        <v>0.609375</v>
      </c>
    </row>
    <row r="413" spans="1:68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76.92307692307692</v>
      </c>
      <c r="Y413" s="43">
        <f>IFERROR(Y411/H411,"0")+IFERROR(Y412/H412,"0")</f>
        <v>78</v>
      </c>
      <c r="Z413" s="43">
        <f>IFERROR(IF(Z411="",0,Z411),"0")+IFERROR(IF(Z412="",0,Z412),"0")</f>
        <v>1.48044</v>
      </c>
      <c r="AA413" s="67"/>
      <c r="AB413" s="67"/>
      <c r="AC413" s="67"/>
    </row>
    <row r="414" spans="1:68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600</v>
      </c>
      <c r="Y414" s="43">
        <f>IFERROR(SUM(Y411:Y412),"0")</f>
        <v>608.4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900</v>
      </c>
      <c r="Y417" s="55">
        <f>IFERROR(IF(X417="",0,CEILING((X417/$H417),1)*$H417),"")</f>
        <v>907.19999999999993</v>
      </c>
      <c r="Z417" s="41">
        <f>IFERROR(IF(Y417=0,"",ROUNDUP(Y417/H417,0)*0.01898),"")</f>
        <v>2.1257600000000001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954.88888888888891</v>
      </c>
      <c r="BN417" s="78">
        <f>IFERROR(Y417*I417/H417,"0")</f>
        <v>962.52799999999991</v>
      </c>
      <c r="BO417" s="78">
        <f>IFERROR(1/J417*(X417/H417),"0")</f>
        <v>1.7361111111111112</v>
      </c>
      <c r="BP417" s="78">
        <f>IFERROR(1/J417*(Y417/H417),"0")</f>
        <v>1.75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111.11111111111111</v>
      </c>
      <c r="Y420" s="43">
        <f>IFERROR(Y417/H417,"0")+IFERROR(Y418/H418,"0")+IFERROR(Y419/H419,"0")</f>
        <v>112</v>
      </c>
      <c r="Z420" s="43">
        <f>IFERROR(IF(Z417="",0,Z417),"0")+IFERROR(IF(Z418="",0,Z418),"0")+IFERROR(IF(Z419="",0,Z419),"0")</f>
        <v>2.1257600000000001</v>
      </c>
      <c r="AA420" s="67"/>
      <c r="AB420" s="67"/>
      <c r="AC420" s="67"/>
    </row>
    <row r="421" spans="1:68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900</v>
      </c>
      <c r="Y421" s="43">
        <f>IFERROR(SUM(Y417:Y419),"0")</f>
        <v>907.19999999999993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750</v>
      </c>
      <c r="Y426" s="55">
        <f t="shared" si="64"/>
        <v>750</v>
      </c>
      <c r="Z426" s="41">
        <f>IFERROR(IF(Y426=0,"",ROUNDUP(Y426/H426,0)*0.02175),"")</f>
        <v>1.0874999999999999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773.5</v>
      </c>
      <c r="BN426" s="78">
        <f t="shared" si="66"/>
        <v>773.5</v>
      </c>
      <c r="BO426" s="78">
        <f t="shared" si="67"/>
        <v>1.0416666666666665</v>
      </c>
      <c r="BP426" s="78">
        <f t="shared" si="68"/>
        <v>1.0416666666666665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50</v>
      </c>
      <c r="Y433" s="43">
        <f>IFERROR(Y425/H425,"0")+IFERROR(Y426/H426,"0")+IFERROR(Y427/H427,"0")+IFERROR(Y428/H428,"0")+IFERROR(Y429/H429,"0")+IFERROR(Y430/H430,"0")+IFERROR(Y431/H431,"0")+IFERROR(Y432/H432,"0")</f>
        <v>50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1.0874999999999999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750</v>
      </c>
      <c r="Y434" s="43">
        <f>IFERROR(SUM(Y425:Y432),"0")</f>
        <v>750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2950</v>
      </c>
      <c r="Y436" s="55">
        <f>IFERROR(IF(X436="",0,CEILING((X436/$H436),1)*$H436),"")</f>
        <v>2955</v>
      </c>
      <c r="Z436" s="41">
        <f>IFERROR(IF(Y436=0,"",ROUNDUP(Y436/H436,0)*0.02175),"")</f>
        <v>4.2847499999999998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3042.4333333333334</v>
      </c>
      <c r="BN436" s="78">
        <f>IFERROR(Y436*I436/H436,"0")</f>
        <v>3047.5899999999997</v>
      </c>
      <c r="BO436" s="78">
        <f>IFERROR(1/J436*(X436/H436),"0")</f>
        <v>4.0972222222222214</v>
      </c>
      <c r="BP436" s="78">
        <f>IFERROR(1/J436*(Y436/H436),"0")</f>
        <v>4.1041666666666661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40</v>
      </c>
      <c r="Y438" s="55">
        <f>IFERROR(IF(X438="",0,CEILING((X438/$H438),1)*$H438),"")</f>
        <v>40</v>
      </c>
      <c r="Z438" s="41">
        <f>IFERROR(IF(Y438=0,"",ROUNDUP(Y438/H438,0)*0.00902),"")</f>
        <v>9.0200000000000002E-2</v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41.900000000000006</v>
      </c>
      <c r="BN438" s="78">
        <f>IFERROR(Y438*I438/H438,"0")</f>
        <v>41.900000000000006</v>
      </c>
      <c r="BO438" s="78">
        <f>IFERROR(1/J438*(X438/H438),"0")</f>
        <v>7.575757575757576E-2</v>
      </c>
      <c r="BP438" s="78">
        <f>IFERROR(1/J438*(Y438/H438),"0")</f>
        <v>7.575757575757576E-2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206.66666666666666</v>
      </c>
      <c r="Y439" s="43">
        <f>IFERROR(Y436/H436,"0")+IFERROR(Y437/H437,"0")+IFERROR(Y438/H438,"0")</f>
        <v>207</v>
      </c>
      <c r="Z439" s="43">
        <f>IFERROR(IF(Z436="",0,Z436),"0")+IFERROR(IF(Z437="",0,Z437),"0")+IFERROR(IF(Z438="",0,Z438),"0")</f>
        <v>4.3749500000000001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2990</v>
      </c>
      <c r="Y440" s="43">
        <f>IFERROR(SUM(Y436:Y438),"0")</f>
        <v>2995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900</v>
      </c>
      <c r="Y442" s="55">
        <f>IFERROR(IF(X442="",0,CEILING((X442/$H442),1)*$H442),"")</f>
        <v>900</v>
      </c>
      <c r="Z442" s="41">
        <f>IFERROR(IF(Y442=0,"",ROUNDUP(Y442/H442,0)*0.01898),"")</f>
        <v>1.8980000000000001</v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950</v>
      </c>
      <c r="BN442" s="78">
        <f>IFERROR(Y442*I442/H442,"0")</f>
        <v>950</v>
      </c>
      <c r="BO442" s="78">
        <f>IFERROR(1/J442*(X442/H442),"0")</f>
        <v>1.5625</v>
      </c>
      <c r="BP442" s="78">
        <f>IFERROR(1/J442*(Y442/H442),"0")</f>
        <v>1.5625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180</v>
      </c>
      <c r="Y443" s="55">
        <f>IFERROR(IF(X443="",0,CEILING((X443/$H443),1)*$H443),"")</f>
        <v>180</v>
      </c>
      <c r="Z443" s="41">
        <f>IFERROR(IF(Y443=0,"",ROUNDUP(Y443/H443,0)*0.01898),"")</f>
        <v>0.37959999999999999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189.88</v>
      </c>
      <c r="BN443" s="78">
        <f>IFERROR(Y443*I443/H443,"0")</f>
        <v>189.88</v>
      </c>
      <c r="BO443" s="78">
        <f>IFERROR(1/J443*(X443/H443),"0")</f>
        <v>0.3125</v>
      </c>
      <c r="BP443" s="78">
        <f>IFERROR(1/J443*(Y443/H443),"0")</f>
        <v>0.3125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120</v>
      </c>
      <c r="Y445" s="43">
        <f>IFERROR(Y442/H442,"0")+IFERROR(Y443/H443,"0")+IFERROR(Y444/H444,"0")</f>
        <v>120</v>
      </c>
      <c r="Z445" s="43">
        <f>IFERROR(IF(Z442="",0,Z442),"0")+IFERROR(IF(Z443="",0,Z443),"0")+IFERROR(IF(Z444="",0,Z444),"0")</f>
        <v>2.2776000000000001</v>
      </c>
      <c r="AA445" s="67"/>
      <c r="AB445" s="67"/>
      <c r="AC445" s="67"/>
    </row>
    <row r="446" spans="1:68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1080</v>
      </c>
      <c r="Y446" s="43">
        <f>IFERROR(SUM(Y442:Y444),"0")</f>
        <v>1080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90</v>
      </c>
      <c r="Y463" s="55">
        <f>IFERROR(IF(X463="",0,CEILING((X463/$H463),1)*$H463),"")</f>
        <v>90</v>
      </c>
      <c r="Z463" s="41">
        <f>IFERROR(IF(Y463=0,"",ROUNDUP(Y463/H463,0)*0.01898),"")</f>
        <v>0.1898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94.94</v>
      </c>
      <c r="BN463" s="78">
        <f>IFERROR(Y463*I463/H463,"0")</f>
        <v>94.94</v>
      </c>
      <c r="BO463" s="78">
        <f>IFERROR(1/J463*(X463/H463),"0")</f>
        <v>0.15625</v>
      </c>
      <c r="BP463" s="78">
        <f>IFERROR(1/J463*(Y463/H463),"0")</f>
        <v>0.15625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10</v>
      </c>
      <c r="Y466" s="43">
        <f>IFERROR(Y463/H463,"0")+IFERROR(Y464/H464,"0")+IFERROR(Y465/H465,"0")</f>
        <v>10</v>
      </c>
      <c r="Z466" s="43">
        <f>IFERROR(IF(Z463="",0,Z463),"0")+IFERROR(IF(Z464="",0,Z464),"0")+IFERROR(IF(Z465="",0,Z465),"0")</f>
        <v>0.1898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90</v>
      </c>
      <c r="Y467" s="43">
        <f>IFERROR(SUM(Y463:Y465),"0")</f>
        <v>90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550</v>
      </c>
      <c r="Y501" s="55">
        <f t="shared" si="74"/>
        <v>554.4</v>
      </c>
      <c r="Z501" s="41">
        <f t="shared" si="75"/>
        <v>1.2558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586.45833333333326</v>
      </c>
      <c r="BN501" s="78">
        <f t="shared" si="77"/>
        <v>591.15</v>
      </c>
      <c r="BO501" s="78">
        <f t="shared" si="78"/>
        <v>1.0016025641025641</v>
      </c>
      <c r="BP501" s="78">
        <f t="shared" si="79"/>
        <v>1.0096153846153846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1100</v>
      </c>
      <c r="Y503" s="55">
        <f t="shared" si="74"/>
        <v>1103.52</v>
      </c>
      <c r="Z503" s="41">
        <f t="shared" si="75"/>
        <v>2.4996399999999999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1172.9166666666665</v>
      </c>
      <c r="BN503" s="78">
        <f t="shared" si="77"/>
        <v>1176.6699999999998</v>
      </c>
      <c r="BO503" s="78">
        <f t="shared" si="78"/>
        <v>2.0032051282051282</v>
      </c>
      <c r="BP503" s="78">
        <f t="shared" si="79"/>
        <v>2.0096153846153846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312.5</v>
      </c>
      <c r="Y507" s="43">
        <f>IFERROR(Y498/H498,"0")+IFERROR(Y499/H499,"0")+IFERROR(Y500/H500,"0")+IFERROR(Y501/H501,"0")+IFERROR(Y502/H502,"0")+IFERROR(Y503/H503,"0")+IFERROR(Y504/H504,"0")+IFERROR(Y505/H505,"0")+IFERROR(Y506/H506,"0")</f>
        <v>314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3.7554400000000001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1650</v>
      </c>
      <c r="Y508" s="43">
        <f>IFERROR(SUM(Y498:Y506),"0")</f>
        <v>1657.92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550</v>
      </c>
      <c r="Y510" s="55">
        <f>IFERROR(IF(X510="",0,CEILING((X510/$H510),1)*$H510),"")</f>
        <v>554.4</v>
      </c>
      <c r="Z510" s="41">
        <f>IFERROR(IF(Y510=0,"",ROUNDUP(Y510/H510,0)*0.01196),"")</f>
        <v>1.2558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586.45833333333326</v>
      </c>
      <c r="BN510" s="78">
        <f>IFERROR(Y510*I510/H510,"0")</f>
        <v>591.15</v>
      </c>
      <c r="BO510" s="78">
        <f>IFERROR(1/J510*(X510/H510),"0")</f>
        <v>1.0016025641025641</v>
      </c>
      <c r="BP510" s="78">
        <f>IFERROR(1/J510*(Y510/H510),"0")</f>
        <v>1.0096153846153846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104.16666666666666</v>
      </c>
      <c r="Y513" s="43">
        <f>IFERROR(Y510/H510,"0")+IFERROR(Y511/H511,"0")+IFERROR(Y512/H512,"0")</f>
        <v>104.99999999999999</v>
      </c>
      <c r="Z513" s="43">
        <f>IFERROR(IF(Z510="",0,Z510),"0")+IFERROR(IF(Z511="",0,Z511),"0")+IFERROR(IF(Z512="",0,Z512),"0")</f>
        <v>1.2558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550</v>
      </c>
      <c r="Y514" s="43">
        <f>IFERROR(SUM(Y510:Y512),"0")</f>
        <v>554.4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150</v>
      </c>
      <c r="Y516" s="55">
        <f t="shared" ref="Y516:Y522" si="80">IFERROR(IF(X516="",0,CEILING((X516/$H516),1)*$H516),"")</f>
        <v>153.12</v>
      </c>
      <c r="Z516" s="41">
        <f>IFERROR(IF(Y516=0,"",ROUNDUP(Y516/H516,0)*0.01196),"")</f>
        <v>0.34683999999999998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159.94318181818181</v>
      </c>
      <c r="BN516" s="78">
        <f t="shared" ref="BN516:BN522" si="82">IFERROR(Y516*I516/H516,"0")</f>
        <v>163.26999999999998</v>
      </c>
      <c r="BO516" s="78">
        <f t="shared" ref="BO516:BO522" si="83">IFERROR(1/J516*(X516/H516),"0")</f>
        <v>0.27316433566433568</v>
      </c>
      <c r="BP516" s="78">
        <f t="shared" ref="BP516:BP522" si="84">IFERROR(1/J516*(Y516/H516),"0")</f>
        <v>0.27884615384615385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28.409090909090907</v>
      </c>
      <c r="Y523" s="43">
        <f>IFERROR(Y516/H516,"0")+IFERROR(Y517/H517,"0")+IFERROR(Y518/H518,"0")+IFERROR(Y519/H519,"0")+IFERROR(Y520/H520,"0")+IFERROR(Y521/H521,"0")+IFERROR(Y522/H522,"0")</f>
        <v>29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0.34683999999999998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150</v>
      </c>
      <c r="Y524" s="43">
        <f>IFERROR(SUM(Y516:Y522),"0")</f>
        <v>153.12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1300</v>
      </c>
      <c r="Y536" s="55">
        <f>IFERROR(IF(X536="",0,CEILING((X536/$H536),1)*$H536),"")</f>
        <v>1302</v>
      </c>
      <c r="Z536" s="41">
        <f>IFERROR(IF(Y536=0,"",ROUNDUP(Y536/H536,0)*0.00902),"")</f>
        <v>2.7962000000000002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1377.3809523809523</v>
      </c>
      <c r="BN536" s="78">
        <f>IFERROR(Y536*I536/H536,"0")</f>
        <v>1379.5</v>
      </c>
      <c r="BO536" s="78">
        <f>IFERROR(1/J536*(X536/H536),"0")</f>
        <v>2.3448773448773448</v>
      </c>
      <c r="BP536" s="78">
        <f>IFERROR(1/J536*(Y536/H536),"0")</f>
        <v>2.3484848484848486</v>
      </c>
    </row>
    <row r="537" spans="1:68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309.52380952380952</v>
      </c>
      <c r="Y537" s="43">
        <f>IFERROR(Y536/H536,"0")</f>
        <v>310</v>
      </c>
      <c r="Z537" s="43">
        <f>IFERROR(IF(Z536="",0,Z536),"0")</f>
        <v>2.7962000000000002</v>
      </c>
      <c r="AA537" s="67"/>
      <c r="AB537" s="67"/>
      <c r="AC537" s="67"/>
    </row>
    <row r="538" spans="1:68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1300</v>
      </c>
      <c r="Y538" s="43">
        <f>IFERROR(SUM(Y536:Y536),"0")</f>
        <v>1302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18041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18163.59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18912.800799429329</v>
      </c>
      <c r="Y554" s="43">
        <f>IFERROR(SUM(BN22:BN550),"0")</f>
        <v>19041.447000000004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30</v>
      </c>
      <c r="Y555" s="44">
        <f>ROUNDUP(SUM(BP22:BP550),0)</f>
        <v>31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19662.800799429329</v>
      </c>
      <c r="Y556" s="43">
        <f>GrossWeightTotalR+PalletQtyTotalR*25</f>
        <v>19816.447000000004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2665.1520102990689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2683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35.638820000000003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200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3780.0000000000005</v>
      </c>
      <c r="F563" s="52">
        <f>IFERROR(Y83*1,"0")+IFERROR(Y84*1,"0")+IFERROR(Y85*1,"0")+IFERROR(Y86*1,"0")+IFERROR(Y90*1,"0")+IFERROR(Y91*1,"0")+IFERROR(Y92*1,"0")+IFERROR(Y93*1,"0")</f>
        <v>153.9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283.5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712.8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60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46.8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2828.55</v>
      </c>
      <c r="U563" s="52">
        <f>IFERROR(Y411*1,"0")+IFERROR(Y412*1,"0")</f>
        <v>608.4</v>
      </c>
      <c r="V563" s="52">
        <f>IFERROR(Y417*1,"0")+IFERROR(Y418*1,"0")+IFERROR(Y419*1,"0")</f>
        <v>907.19999999999993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4825</v>
      </c>
      <c r="X563" s="52">
        <f>IFERROR(Y454*1,"0")+IFERROR(Y455*1,"0")+IFERROR(Y459*1,"0")+IFERROR(Y463*1,"0")+IFERROR(Y464*1,"0")+IFERROR(Y465*1,"0")</f>
        <v>90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2365.44</v>
      </c>
      <c r="AB563" s="52">
        <f>IFERROR(Y528*1,"0")+IFERROR(Y532*1,"0")+IFERROR(Y536*1,"0")+IFERROR(Y540*1,"0")+IFERROR(Y544*1,"0")+IFERROR(Y545*1,"0")</f>
        <v>1302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100,00"/>
        <filter val="1 200,00"/>
        <filter val="1 300,00"/>
        <filter val="1 560,00"/>
        <filter val="1 650,00"/>
        <filter val="1 740,00"/>
        <filter val="10,00"/>
        <filter val="100,00"/>
        <filter val="104,17"/>
        <filter val="111,11"/>
        <filter val="12,00"/>
        <filter val="120,00"/>
        <filter val="129,63"/>
        <filter val="15,00"/>
        <filter val="150,00"/>
        <filter val="152,38"/>
        <filter val="153,89"/>
        <filter val="18 041,00"/>
        <filter val="18 912,80"/>
        <filter val="18,52"/>
        <filter val="180,00"/>
        <filter val="19 662,80"/>
        <filter val="2 019,00"/>
        <filter val="2 665,15"/>
        <filter val="2 950,00"/>
        <filter val="2 990,00"/>
        <filter val="200,00"/>
        <filter val="206,67"/>
        <filter val="231,11"/>
        <filter val="250,00"/>
        <filter val="28,41"/>
        <filter val="280,00"/>
        <filter val="30"/>
        <filter val="30,00"/>
        <filter val="300,00"/>
        <filter val="309,52"/>
        <filter val="312,50"/>
        <filter val="4,71"/>
        <filter val="40,00"/>
        <filter val="400,00"/>
        <filter val="414,44"/>
        <filter val="5,13"/>
        <filter val="50,00"/>
        <filter val="500,00"/>
        <filter val="540,00"/>
        <filter val="550,00"/>
        <filter val="570,00"/>
        <filter val="60,00"/>
        <filter val="600,00"/>
        <filter val="650,00"/>
        <filter val="70,00"/>
        <filter val="700,00"/>
        <filter val="750,00"/>
        <filter val="76,92"/>
        <filter val="80,00"/>
        <filter val="81,04"/>
        <filter val="819,00"/>
        <filter val="90,00"/>
        <filter val="900,00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2026-08-25T09:59:35Z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