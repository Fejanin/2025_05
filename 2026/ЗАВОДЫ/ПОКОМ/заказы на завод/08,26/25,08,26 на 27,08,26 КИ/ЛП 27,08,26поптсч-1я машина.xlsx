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4DB7B4F-C145-469A-A6A6-CB1DEB67D82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Y533" i="2"/>
  <c r="X533" i="2"/>
  <c r="BO532" i="2"/>
  <c r="BM532" i="2"/>
  <c r="Z532" i="2"/>
  <c r="Z533" i="2" s="1"/>
  <c r="Y532" i="2"/>
  <c r="Y534" i="2" s="1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P506" i="2"/>
  <c r="BP505" i="2"/>
  <c r="BO505" i="2"/>
  <c r="BN505" i="2"/>
  <c r="BM505" i="2"/>
  <c r="Z505" i="2"/>
  <c r="Y505" i="2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N481" i="2" s="1"/>
  <c r="P481" i="2"/>
  <c r="BP480" i="2"/>
  <c r="BO480" i="2"/>
  <c r="BN480" i="2"/>
  <c r="BM480" i="2"/>
  <c r="Z480" i="2"/>
  <c r="Y480" i="2"/>
  <c r="P480" i="2"/>
  <c r="X478" i="2"/>
  <c r="X477" i="2"/>
  <c r="BO476" i="2"/>
  <c r="BM476" i="2"/>
  <c r="Y476" i="2"/>
  <c r="P476" i="2"/>
  <c r="BO475" i="2"/>
  <c r="BM475" i="2"/>
  <c r="Y475" i="2"/>
  <c r="P475" i="2"/>
  <c r="BO474" i="2"/>
  <c r="BM474" i="2"/>
  <c r="Y474" i="2"/>
  <c r="Z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Y467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P454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BN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P425" i="2"/>
  <c r="X421" i="2"/>
  <c r="X420" i="2"/>
  <c r="BP419" i="2"/>
  <c r="BO419" i="2"/>
  <c r="BM419" i="2"/>
  <c r="Y419" i="2"/>
  <c r="BN419" i="2" s="1"/>
  <c r="P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P412" i="2"/>
  <c r="BO411" i="2"/>
  <c r="BM411" i="2"/>
  <c r="Y411" i="2"/>
  <c r="U563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BP404" i="2" s="1"/>
  <c r="P404" i="2"/>
  <c r="X402" i="2"/>
  <c r="X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P394" i="2"/>
  <c r="BO393" i="2"/>
  <c r="BM393" i="2"/>
  <c r="Z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P362" i="2"/>
  <c r="BO362" i="2"/>
  <c r="BM362" i="2"/>
  <c r="Y362" i="2"/>
  <c r="BN362" i="2" s="1"/>
  <c r="P362" i="2"/>
  <c r="BO361" i="2"/>
  <c r="BM361" i="2"/>
  <c r="Y361" i="2"/>
  <c r="Z361" i="2" s="1"/>
  <c r="P361" i="2"/>
  <c r="BO360" i="2"/>
  <c r="BN360" i="2"/>
  <c r="BM360" i="2"/>
  <c r="Z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BN342" i="2" s="1"/>
  <c r="P342" i="2"/>
  <c r="BP341" i="2"/>
  <c r="BO341" i="2"/>
  <c r="BM341" i="2"/>
  <c r="Y341" i="2"/>
  <c r="BN341" i="2" s="1"/>
  <c r="P341" i="2"/>
  <c r="BO340" i="2"/>
  <c r="BM340" i="2"/>
  <c r="Y340" i="2"/>
  <c r="P340" i="2"/>
  <c r="BO339" i="2"/>
  <c r="BM339" i="2"/>
  <c r="Z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P332" i="2"/>
  <c r="BP331" i="2"/>
  <c r="BO331" i="2"/>
  <c r="BN331" i="2"/>
  <c r="BM331" i="2"/>
  <c r="Z331" i="2"/>
  <c r="Y331" i="2"/>
  <c r="P331" i="2"/>
  <c r="X328" i="2"/>
  <c r="X327" i="2"/>
  <c r="BO326" i="2"/>
  <c r="BM326" i="2"/>
  <c r="Y326" i="2"/>
  <c r="BN326" i="2" s="1"/>
  <c r="P326" i="2"/>
  <c r="BO325" i="2"/>
  <c r="BM325" i="2"/>
  <c r="Y325" i="2"/>
  <c r="Z325" i="2" s="1"/>
  <c r="P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P315" i="2"/>
  <c r="BO315" i="2"/>
  <c r="BM315" i="2"/>
  <c r="Y315" i="2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BN301" i="2" s="1"/>
  <c r="P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P282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P277" i="2"/>
  <c r="BO276" i="2"/>
  <c r="BM276" i="2"/>
  <c r="Y276" i="2"/>
  <c r="BN276" i="2" s="1"/>
  <c r="P276" i="2"/>
  <c r="X274" i="2"/>
  <c r="X273" i="2"/>
  <c r="BP272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BN224" i="2" s="1"/>
  <c r="P224" i="2"/>
  <c r="BP223" i="2"/>
  <c r="BO223" i="2"/>
  <c r="BN223" i="2"/>
  <c r="BM223" i="2"/>
  <c r="Z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P220" i="2"/>
  <c r="BP219" i="2"/>
  <c r="BO219" i="2"/>
  <c r="BM219" i="2"/>
  <c r="Y219" i="2"/>
  <c r="BN219" i="2" s="1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BP204" i="2"/>
  <c r="BO204" i="2"/>
  <c r="BN204" i="2"/>
  <c r="BM204" i="2"/>
  <c r="Z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Z194" i="2"/>
  <c r="Z195" i="2" s="1"/>
  <c r="Y194" i="2"/>
  <c r="Y196" i="2" s="1"/>
  <c r="P194" i="2"/>
  <c r="X192" i="2"/>
  <c r="X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Z180" i="2"/>
  <c r="Y180" i="2"/>
  <c r="BN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Z177" i="2"/>
  <c r="Y177" i="2"/>
  <c r="BN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N174" i="2" s="1"/>
  <c r="P174" i="2"/>
  <c r="X172" i="2"/>
  <c r="X171" i="2"/>
  <c r="BO170" i="2"/>
  <c r="BM170" i="2"/>
  <c r="Y170" i="2"/>
  <c r="BN170" i="2" s="1"/>
  <c r="P170" i="2"/>
  <c r="BP169" i="2"/>
  <c r="BO169" i="2"/>
  <c r="BM169" i="2"/>
  <c r="Y169" i="2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Z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P142" i="2"/>
  <c r="BO141" i="2"/>
  <c r="BM141" i="2"/>
  <c r="Z141" i="2"/>
  <c r="Y141" i="2"/>
  <c r="P141" i="2"/>
  <c r="X139" i="2"/>
  <c r="X138" i="2"/>
  <c r="BO137" i="2"/>
  <c r="BM137" i="2"/>
  <c r="Y137" i="2"/>
  <c r="P137" i="2"/>
  <c r="BO136" i="2"/>
  <c r="BM136" i="2"/>
  <c r="Y136" i="2"/>
  <c r="BP136" i="2" s="1"/>
  <c r="P136" i="2"/>
  <c r="BO135" i="2"/>
  <c r="BM135" i="2"/>
  <c r="Y135" i="2"/>
  <c r="BP135" i="2" s="1"/>
  <c r="P135" i="2"/>
  <c r="BP134" i="2"/>
  <c r="BO134" i="2"/>
  <c r="BN134" i="2"/>
  <c r="BM134" i="2"/>
  <c r="Z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Z118" i="2"/>
  <c r="Y118" i="2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Z112" i="2"/>
  <c r="Y112" i="2"/>
  <c r="BN112" i="2" s="1"/>
  <c r="P112" i="2"/>
  <c r="BO111" i="2"/>
  <c r="BM111" i="2"/>
  <c r="Y111" i="2"/>
  <c r="P111" i="2"/>
  <c r="BO110" i="2"/>
  <c r="BM110" i="2"/>
  <c r="Y110" i="2"/>
  <c r="P110" i="2"/>
  <c r="BP109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P103" i="2"/>
  <c r="BO103" i="2"/>
  <c r="BN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Y101" i="2"/>
  <c r="P101" i="2"/>
  <c r="BO100" i="2"/>
  <c r="BM100" i="2"/>
  <c r="Y100" i="2"/>
  <c r="P100" i="2"/>
  <c r="BP99" i="2"/>
  <c r="BO99" i="2"/>
  <c r="BM99" i="2"/>
  <c r="Y99" i="2"/>
  <c r="P99" i="2"/>
  <c r="BO98" i="2"/>
  <c r="BM98" i="2"/>
  <c r="Y98" i="2"/>
  <c r="P98" i="2"/>
  <c r="X95" i="2"/>
  <c r="X94" i="2"/>
  <c r="BO93" i="2"/>
  <c r="BM93" i="2"/>
  <c r="Y93" i="2"/>
  <c r="BP93" i="2" s="1"/>
  <c r="P93" i="2"/>
  <c r="BP92" i="2"/>
  <c r="BO92" i="2"/>
  <c r="BN92" i="2"/>
  <c r="BM92" i="2"/>
  <c r="Z92" i="2"/>
  <c r="Y92" i="2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Z84" i="2" s="1"/>
  <c r="P84" i="2"/>
  <c r="BO83" i="2"/>
  <c r="BM83" i="2"/>
  <c r="Y83" i="2"/>
  <c r="BN83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Z73" i="2"/>
  <c r="Y73" i="2"/>
  <c r="BN73" i="2" s="1"/>
  <c r="P73" i="2"/>
  <c r="BO72" i="2"/>
  <c r="BM72" i="2"/>
  <c r="Y72" i="2"/>
  <c r="Y74" i="2" s="1"/>
  <c r="P72" i="2"/>
  <c r="X70" i="2"/>
  <c r="X69" i="2"/>
  <c r="BO68" i="2"/>
  <c r="BM68" i="2"/>
  <c r="Z68" i="2"/>
  <c r="Y68" i="2"/>
  <c r="BN68" i="2" s="1"/>
  <c r="P68" i="2"/>
  <c r="BO67" i="2"/>
  <c r="BM67" i="2"/>
  <c r="Y67" i="2"/>
  <c r="P67" i="2"/>
  <c r="BO66" i="2"/>
  <c r="BM66" i="2"/>
  <c r="Y66" i="2"/>
  <c r="Z66" i="2" s="1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P60" i="2"/>
  <c r="BO60" i="2"/>
  <c r="BM60" i="2"/>
  <c r="Y60" i="2"/>
  <c r="P60" i="2"/>
  <c r="BO59" i="2"/>
  <c r="BM59" i="2"/>
  <c r="Y59" i="2"/>
  <c r="BP59" i="2" s="1"/>
  <c r="P59" i="2"/>
  <c r="BP58" i="2"/>
  <c r="BO58" i="2"/>
  <c r="BN58" i="2"/>
  <c r="BM58" i="2"/>
  <c r="Z58" i="2"/>
  <c r="Y58" i="2"/>
  <c r="P58" i="2"/>
  <c r="BO57" i="2"/>
  <c r="BM57" i="2"/>
  <c r="Y57" i="2"/>
  <c r="BP57" i="2" s="1"/>
  <c r="P57" i="2"/>
  <c r="BO56" i="2"/>
  <c r="BM56" i="2"/>
  <c r="Y56" i="2"/>
  <c r="Z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Y25" i="2"/>
  <c r="X25" i="2"/>
  <c r="Y24" i="2"/>
  <c r="X24" i="2"/>
  <c r="BP23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8" i="2" l="1"/>
  <c r="BN49" i="2"/>
  <c r="BN59" i="2"/>
  <c r="BN67" i="2"/>
  <c r="Z67" i="2"/>
  <c r="BN91" i="2"/>
  <c r="Z91" i="2"/>
  <c r="BN176" i="2"/>
  <c r="Z176" i="2"/>
  <c r="BN189" i="2"/>
  <c r="BP225" i="2"/>
  <c r="BN225" i="2"/>
  <c r="Z225" i="2"/>
  <c r="BN236" i="2"/>
  <c r="Z268" i="2"/>
  <c r="BP268" i="2"/>
  <c r="BN271" i="2"/>
  <c r="BP277" i="2"/>
  <c r="BN277" i="2"/>
  <c r="Z277" i="2"/>
  <c r="BN281" i="2"/>
  <c r="BP287" i="2"/>
  <c r="BN287" i="2"/>
  <c r="Z287" i="2"/>
  <c r="BN292" i="2"/>
  <c r="BP292" i="2"/>
  <c r="BP298" i="2"/>
  <c r="BN298" i="2"/>
  <c r="Z298" i="2"/>
  <c r="BN302" i="2"/>
  <c r="BN323" i="2"/>
  <c r="BP333" i="2"/>
  <c r="BN333" i="2"/>
  <c r="Z333" i="2"/>
  <c r="BP346" i="2"/>
  <c r="BN346" i="2"/>
  <c r="Z346" i="2"/>
  <c r="Z348" i="2" s="1"/>
  <c r="BP380" i="2"/>
  <c r="BN380" i="2"/>
  <c r="Z380" i="2"/>
  <c r="BP428" i="2"/>
  <c r="BN428" i="2"/>
  <c r="Z428" i="2"/>
  <c r="BN519" i="2"/>
  <c r="BN93" i="2"/>
  <c r="BN100" i="2"/>
  <c r="Z100" i="2"/>
  <c r="BN104" i="2"/>
  <c r="BN110" i="2"/>
  <c r="Z110" i="2"/>
  <c r="BN130" i="2"/>
  <c r="BN136" i="2"/>
  <c r="BN148" i="2"/>
  <c r="Y159" i="2"/>
  <c r="Y160" i="2"/>
  <c r="BN169" i="2"/>
  <c r="Z169" i="2"/>
  <c r="BN178" i="2"/>
  <c r="BN183" i="2"/>
  <c r="BN207" i="2"/>
  <c r="BN222" i="2"/>
  <c r="Z222" i="2"/>
  <c r="BP244" i="2"/>
  <c r="BN244" i="2"/>
  <c r="Z244" i="2"/>
  <c r="BN256" i="2"/>
  <c r="BN340" i="2"/>
  <c r="Z340" i="2"/>
  <c r="BP370" i="2"/>
  <c r="BN370" i="2"/>
  <c r="Z370" i="2"/>
  <c r="BN394" i="2"/>
  <c r="Z394" i="2"/>
  <c r="BP400" i="2"/>
  <c r="BN400" i="2"/>
  <c r="Z400" i="2"/>
  <c r="BP459" i="2"/>
  <c r="BN459" i="2"/>
  <c r="Z459" i="2"/>
  <c r="Z460" i="2" s="1"/>
  <c r="Y460" i="2"/>
  <c r="Y487" i="2"/>
  <c r="BP486" i="2"/>
  <c r="BN486" i="2"/>
  <c r="Z486" i="2"/>
  <c r="Z487" i="2" s="1"/>
  <c r="BP498" i="2"/>
  <c r="BN498" i="2"/>
  <c r="Z498" i="2"/>
  <c r="BN500" i="2"/>
  <c r="BP500" i="2"/>
  <c r="BP68" i="2"/>
  <c r="BP102" i="2"/>
  <c r="BP112" i="2"/>
  <c r="BN151" i="2"/>
  <c r="BP180" i="2"/>
  <c r="BN181" i="2"/>
  <c r="BN184" i="2"/>
  <c r="BP194" i="2"/>
  <c r="BN228" i="2"/>
  <c r="BN246" i="2"/>
  <c r="Z262" i="2"/>
  <c r="BN260" i="2"/>
  <c r="BN291" i="2"/>
  <c r="Y293" i="2"/>
  <c r="R563" i="2"/>
  <c r="BN381" i="2"/>
  <c r="BN398" i="2"/>
  <c r="Y401" i="2"/>
  <c r="Y563" i="2"/>
  <c r="Y482" i="2"/>
  <c r="BN499" i="2"/>
  <c r="C563" i="2"/>
  <c r="BP37" i="2"/>
  <c r="BN39" i="2"/>
  <c r="BP49" i="2"/>
  <c r="BN51" i="2"/>
  <c r="BP56" i="2"/>
  <c r="BP65" i="2"/>
  <c r="BP73" i="2"/>
  <c r="BP91" i="2"/>
  <c r="BN99" i="2"/>
  <c r="Z99" i="2"/>
  <c r="BP111" i="2"/>
  <c r="Z111" i="2"/>
  <c r="BN111" i="2"/>
  <c r="BP117" i="2"/>
  <c r="Z117" i="2"/>
  <c r="BN117" i="2"/>
  <c r="BN142" i="2"/>
  <c r="Z142" i="2"/>
  <c r="BN153" i="2"/>
  <c r="Z153" i="2"/>
  <c r="Y192" i="2"/>
  <c r="BP205" i="2"/>
  <c r="BN205" i="2"/>
  <c r="Y217" i="2"/>
  <c r="BP215" i="2"/>
  <c r="Z215" i="2"/>
  <c r="Z216" i="2" s="1"/>
  <c r="Y216" i="2"/>
  <c r="BN215" i="2"/>
  <c r="BN303" i="2"/>
  <c r="BP303" i="2"/>
  <c r="BP378" i="2"/>
  <c r="Z378" i="2"/>
  <c r="BN378" i="2"/>
  <c r="BP425" i="2"/>
  <c r="Z425" i="2"/>
  <c r="BN425" i="2"/>
  <c r="BP455" i="2"/>
  <c r="Z455" i="2"/>
  <c r="BN455" i="2"/>
  <c r="BP506" i="2"/>
  <c r="Z506" i="2"/>
  <c r="BN506" i="2"/>
  <c r="BN27" i="2"/>
  <c r="BN40" i="2"/>
  <c r="BN119" i="2"/>
  <c r="Z119" i="2"/>
  <c r="BP137" i="2"/>
  <c r="BN137" i="2"/>
  <c r="BP179" i="2"/>
  <c r="Z179" i="2"/>
  <c r="BN179" i="2"/>
  <c r="BP190" i="2"/>
  <c r="Z190" i="2"/>
  <c r="BN190" i="2"/>
  <c r="Z208" i="2"/>
  <c r="BN208" i="2"/>
  <c r="Y248" i="2"/>
  <c r="BP245" i="2"/>
  <c r="Z245" i="2"/>
  <c r="BN245" i="2"/>
  <c r="Z286" i="2"/>
  <c r="BN286" i="2"/>
  <c r="BP322" i="2"/>
  <c r="Z322" i="2"/>
  <c r="BN322" i="2"/>
  <c r="Z371" i="2"/>
  <c r="BN371" i="2"/>
  <c r="BP392" i="2"/>
  <c r="Z392" i="2"/>
  <c r="Z395" i="2" s="1"/>
  <c r="BN392" i="2"/>
  <c r="BN418" i="2"/>
  <c r="BP418" i="2"/>
  <c r="BP473" i="2"/>
  <c r="Z473" i="2"/>
  <c r="BN473" i="2"/>
  <c r="BN475" i="2"/>
  <c r="BP475" i="2"/>
  <c r="BP504" i="2"/>
  <c r="BN504" i="2"/>
  <c r="Y33" i="2"/>
  <c r="Y44" i="2"/>
  <c r="Z60" i="2"/>
  <c r="BN60" i="2"/>
  <c r="BP67" i="2"/>
  <c r="Z85" i="2"/>
  <c r="BN85" i="2"/>
  <c r="BP101" i="2"/>
  <c r="Z101" i="2"/>
  <c r="BN101" i="2"/>
  <c r="BN109" i="2"/>
  <c r="Z109" i="2"/>
  <c r="BP226" i="2"/>
  <c r="BN226" i="2"/>
  <c r="Y247" i="2"/>
  <c r="BP269" i="2"/>
  <c r="BN269" i="2"/>
  <c r="Y309" i="2"/>
  <c r="BP307" i="2"/>
  <c r="Z307" i="2"/>
  <c r="Z308" i="2" s="1"/>
  <c r="Y308" i="2"/>
  <c r="BN307" i="2"/>
  <c r="BP368" i="2"/>
  <c r="BN368" i="2"/>
  <c r="BP492" i="2"/>
  <c r="BN492" i="2"/>
  <c r="BN221" i="2"/>
  <c r="BP221" i="2"/>
  <c r="Z229" i="2"/>
  <c r="BN229" i="2"/>
  <c r="O563" i="2"/>
  <c r="Y304" i="2"/>
  <c r="BP297" i="2"/>
  <c r="Z297" i="2"/>
  <c r="BN297" i="2"/>
  <c r="Y334" i="2"/>
  <c r="BP332" i="2"/>
  <c r="Z332" i="2"/>
  <c r="Z334" i="2" s="1"/>
  <c r="BN332" i="2"/>
  <c r="Y335" i="2"/>
  <c r="BP352" i="2"/>
  <c r="Y356" i="2"/>
  <c r="BP432" i="2"/>
  <c r="Z432" i="2"/>
  <c r="BN432" i="2"/>
  <c r="Z158" i="2"/>
  <c r="Z159" i="2" s="1"/>
  <c r="BP158" i="2"/>
  <c r="BP164" i="2"/>
  <c r="Z170" i="2"/>
  <c r="BP170" i="2"/>
  <c r="Y172" i="2"/>
  <c r="BP177" i="2"/>
  <c r="BP182" i="2"/>
  <c r="Z188" i="2"/>
  <c r="BP188" i="2"/>
  <c r="Y191" i="2"/>
  <c r="Y200" i="2"/>
  <c r="Z224" i="2"/>
  <c r="BP224" i="2"/>
  <c r="BN227" i="2"/>
  <c r="Z232" i="2"/>
  <c r="Y241" i="2"/>
  <c r="BP237" i="2"/>
  <c r="BN238" i="2"/>
  <c r="Z267" i="2"/>
  <c r="Z276" i="2"/>
  <c r="BP276" i="2"/>
  <c r="Z299" i="2"/>
  <c r="BP299" i="2"/>
  <c r="BN300" i="2"/>
  <c r="BN325" i="2"/>
  <c r="Z338" i="2"/>
  <c r="BP338" i="2"/>
  <c r="BP340" i="2"/>
  <c r="Z342" i="2"/>
  <c r="BP342" i="2"/>
  <c r="Y383" i="2"/>
  <c r="BP393" i="2"/>
  <c r="Z399" i="2"/>
  <c r="BP399" i="2"/>
  <c r="Y408" i="2"/>
  <c r="Z411" i="2"/>
  <c r="BP411" i="2"/>
  <c r="Z430" i="2"/>
  <c r="Z448" i="2"/>
  <c r="Z450" i="2" s="1"/>
  <c r="BP448" i="2"/>
  <c r="Z481" i="2"/>
  <c r="Z482" i="2" s="1"/>
  <c r="BP481" i="2"/>
  <c r="Y483" i="2"/>
  <c r="BP532" i="2"/>
  <c r="Z540" i="2"/>
  <c r="Z541" i="2" s="1"/>
  <c r="Z544" i="2"/>
  <c r="BP66" i="2"/>
  <c r="BP143" i="2"/>
  <c r="BN158" i="2"/>
  <c r="BN164" i="2"/>
  <c r="Y171" i="2"/>
  <c r="BP176" i="2"/>
  <c r="BN182" i="2"/>
  <c r="BN188" i="2"/>
  <c r="Y212" i="2"/>
  <c r="BP206" i="2"/>
  <c r="BP222" i="2"/>
  <c r="BP227" i="2"/>
  <c r="BN232" i="2"/>
  <c r="BP239" i="2"/>
  <c r="BP260" i="2"/>
  <c r="BN261" i="2"/>
  <c r="Y319" i="2"/>
  <c r="BP326" i="2"/>
  <c r="Q563" i="2"/>
  <c r="BN338" i="2"/>
  <c r="BP339" i="2"/>
  <c r="BP394" i="2"/>
  <c r="BN411" i="2"/>
  <c r="Y413" i="2"/>
  <c r="BN444" i="2"/>
  <c r="BN474" i="2"/>
  <c r="Z59" i="2"/>
  <c r="BP100" i="2"/>
  <c r="BP110" i="2"/>
  <c r="BP130" i="2"/>
  <c r="Z136" i="2"/>
  <c r="Z143" i="2"/>
  <c r="Z148" i="2"/>
  <c r="Z151" i="2"/>
  <c r="BP154" i="2"/>
  <c r="Z178" i="2"/>
  <c r="BP184" i="2"/>
  <c r="Z189" i="2"/>
  <c r="BN194" i="2"/>
  <c r="Y195" i="2"/>
  <c r="Y294" i="2"/>
  <c r="Y305" i="2"/>
  <c r="Y414" i="2"/>
  <c r="BP430" i="2"/>
  <c r="BP540" i="2"/>
  <c r="Y552" i="2"/>
  <c r="BN361" i="2"/>
  <c r="BN90" i="2"/>
  <c r="Y95" i="2"/>
  <c r="Z368" i="2"/>
  <c r="Y376" i="2"/>
  <c r="BN518" i="2"/>
  <c r="BN57" i="2"/>
  <c r="BN48" i="2"/>
  <c r="Z48" i="2"/>
  <c r="Z65" i="2"/>
  <c r="Z69" i="2" s="1"/>
  <c r="Y70" i="2"/>
  <c r="Z174" i="2"/>
  <c r="BN135" i="2"/>
  <c r="Y139" i="2"/>
  <c r="Z135" i="2"/>
  <c r="Y138" i="2"/>
  <c r="Y131" i="2"/>
  <c r="BN129" i="2"/>
  <c r="BP142" i="2"/>
  <c r="Z144" i="2"/>
  <c r="Y421" i="2"/>
  <c r="Z418" i="2"/>
  <c r="Z90" i="2"/>
  <c r="Y94" i="2"/>
  <c r="F563" i="2"/>
  <c r="Z386" i="2"/>
  <c r="Z219" i="2"/>
  <c r="L563" i="2"/>
  <c r="Z221" i="2"/>
  <c r="Z471" i="2"/>
  <c r="BP266" i="2"/>
  <c r="Z528" i="2"/>
  <c r="Z529" i="2" s="1"/>
  <c r="Z429" i="2"/>
  <c r="P563" i="2"/>
  <c r="Y328" i="2"/>
  <c r="Y327" i="2"/>
  <c r="Z255" i="2"/>
  <c r="BP463" i="2"/>
  <c r="Z417" i="2"/>
  <c r="BP417" i="2"/>
  <c r="D563" i="2"/>
  <c r="Y53" i="2"/>
  <c r="Y186" i="2"/>
  <c r="Z57" i="2"/>
  <c r="BN86" i="2"/>
  <c r="BP83" i="2"/>
  <c r="Y87" i="2"/>
  <c r="BP431" i="2"/>
  <c r="Y440" i="2"/>
  <c r="BN438" i="2"/>
  <c r="Z438" i="2"/>
  <c r="BP518" i="2"/>
  <c r="BN516" i="2"/>
  <c r="Z516" i="2"/>
  <c r="Y523" i="2"/>
  <c r="BP174" i="2"/>
  <c r="BP387" i="2"/>
  <c r="BN387" i="2"/>
  <c r="Y389" i="2"/>
  <c r="BN268" i="2"/>
  <c r="BN266" i="2"/>
  <c r="BP265" i="2"/>
  <c r="Y274" i="2"/>
  <c r="BP267" i="2"/>
  <c r="Y273" i="2"/>
  <c r="Z285" i="2"/>
  <c r="Z278" i="2"/>
  <c r="Y288" i="2"/>
  <c r="BP278" i="2"/>
  <c r="Y289" i="2"/>
  <c r="X563" i="2"/>
  <c r="Y80" i="2"/>
  <c r="BN77" i="2"/>
  <c r="BN449" i="2"/>
  <c r="Y451" i="2"/>
  <c r="Y450" i="2"/>
  <c r="T563" i="2"/>
  <c r="BN386" i="2"/>
  <c r="BP471" i="2"/>
  <c r="Y477" i="2"/>
  <c r="BN471" i="2"/>
  <c r="Y524" i="2"/>
  <c r="BP528" i="2"/>
  <c r="BP426" i="2"/>
  <c r="BN426" i="2"/>
  <c r="BP429" i="2"/>
  <c r="AA563" i="2"/>
  <c r="Y507" i="2"/>
  <c r="Z436" i="2"/>
  <c r="W563" i="2"/>
  <c r="BN436" i="2"/>
  <c r="Z563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Z74" i="2" s="1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13" i="2" s="1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94" i="2" s="1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388" i="2" s="1"/>
  <c r="Z419" i="2"/>
  <c r="Z431" i="2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Z546" i="2" s="1"/>
  <c r="Y551" i="2"/>
  <c r="E563" i="2"/>
  <c r="Z256" i="2"/>
  <c r="Z398" i="2"/>
  <c r="Z401" i="2" s="1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191" i="2" l="1"/>
  <c r="Z343" i="2"/>
  <c r="Z493" i="2"/>
  <c r="Z513" i="2"/>
  <c r="Z413" i="2"/>
  <c r="Z382" i="2"/>
  <c r="Z247" i="2"/>
  <c r="Z233" i="2"/>
  <c r="Z304" i="2"/>
  <c r="Z24" i="2"/>
  <c r="Z445" i="2"/>
  <c r="Z32" i="2"/>
  <c r="Z375" i="2"/>
  <c r="Z241" i="2"/>
  <c r="Z211" i="2"/>
  <c r="Z138" i="2"/>
  <c r="Z120" i="2"/>
  <c r="Z439" i="2"/>
  <c r="Z355" i="2"/>
  <c r="Z420" i="2"/>
  <c r="Z166" i="2"/>
  <c r="Z407" i="2"/>
  <c r="Z523" i="2"/>
  <c r="Z105" i="2"/>
  <c r="Z52" i="2"/>
  <c r="Z185" i="2"/>
  <c r="Z477" i="2"/>
  <c r="Z433" i="2"/>
  <c r="Z327" i="2"/>
  <c r="Z257" i="2"/>
  <c r="Z62" i="2"/>
  <c r="Z288" i="2"/>
  <c r="Z507" i="2"/>
  <c r="X556" i="2"/>
  <c r="Y554" i="2"/>
  <c r="Y553" i="2"/>
  <c r="Y557" i="2"/>
  <c r="Z365" i="2"/>
  <c r="Z79" i="2"/>
  <c r="Z273" i="2"/>
  <c r="Z155" i="2"/>
  <c r="Z466" i="2"/>
  <c r="Z87" i="2"/>
  <c r="Z318" i="2"/>
  <c r="Z43" i="2"/>
  <c r="Y555" i="2"/>
  <c r="Z558" i="2" l="1"/>
  <c r="Y556" i="2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<sst xmlns="http://schemas.openxmlformats.org/spreadsheetml/2006/main" count="4217" uniqueCount="894">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</sst>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893</v>
      </c>
      <c r="I5" s="645"/>
      <c r="J5" s="645"/>
      <c r="K5" s="645"/>
      <c r="L5" s="645"/>
      <c r="M5" s="645"/>
      <c r="N5" s="72"/>
      <c r="P5" s="27" t="s">
        <v>4</v>
      </c>
      <c r="Q5" s="647">
        <v>46261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876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Четверг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3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0.41666666666666669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30</v>
      </c>
      <c r="Y48" s="55">
        <f>IFERROR(IF(X48="",0,CEILING((X48/$H48),1)*$H48),"")</f>
        <v>32.400000000000006</v>
      </c>
      <c r="Z48" s="41">
        <f>IFERROR(IF(Y48=0,"",ROUNDUP(Y48/H48,0)*0.01898),"")</f>
        <v>5.6940000000000004E-2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31.138888888888889</v>
      </c>
      <c r="BN48" s="78">
        <f>IFERROR(Y48*I48/H48,"0")</f>
        <v>33.630000000000003</v>
      </c>
      <c r="BO48" s="78">
        <f>IFERROR(1/J48*(X48/H48),"0")</f>
        <v>4.3402777777777776E-2</v>
      </c>
      <c r="BP48" s="78">
        <f>IFERROR(1/J48*(Y48/H48),"0")</f>
        <v>4.6875000000000007E-2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4</v>
      </c>
      <c r="Y50" s="55">
        <f>IFERROR(IF(X50="",0,CEILING((X50/$H50),1)*$H50),"")</f>
        <v>4</v>
      </c>
      <c r="Z50" s="41">
        <f>IFERROR(IF(Y50=0,"",ROUNDUP(Y50/H50,0)*0.00902),"")</f>
        <v>9.0200000000000002E-3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4.1900000000000004</v>
      </c>
      <c r="BN50" s="78">
        <f>IFERROR(Y50*I50/H50,"0")</f>
        <v>4.1900000000000004</v>
      </c>
      <c r="BO50" s="78">
        <f>IFERROR(1/J50*(X50/H50),"0")</f>
        <v>7.575757575757576E-3</v>
      </c>
      <c r="BP50" s="78">
        <f>IFERROR(1/J50*(Y50/H50),"0")</f>
        <v>7.575757575757576E-3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3.7777777777777777</v>
      </c>
      <c r="Y52" s="43">
        <f>IFERROR(Y48/H48,"0")+IFERROR(Y49/H49,"0")+IFERROR(Y50/H50,"0")+IFERROR(Y51/H51,"0")</f>
        <v>4</v>
      </c>
      <c r="Z52" s="43">
        <f>IFERROR(IF(Z48="",0,Z48),"0")+IFERROR(IF(Z49="",0,Z49),"0")+IFERROR(IF(Z50="",0,Z50),"0")+IFERROR(IF(Z51="",0,Z51),"0")</f>
        <v>6.5960000000000005E-2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34</v>
      </c>
      <c r="Y53" s="43">
        <f>IFERROR(SUM(Y48:Y51),"0")</f>
        <v>36.400000000000006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200</v>
      </c>
      <c r="Y57" s="55">
        <f t="shared" si="6"/>
        <v>205.20000000000002</v>
      </c>
      <c r="Z57" s="41">
        <f>IFERROR(IF(Y57=0,"",ROUNDUP(Y57/H57,0)*0.01898),"")</f>
        <v>0.36062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207.59259259259258</v>
      </c>
      <c r="BN57" s="78">
        <f t="shared" si="8"/>
        <v>212.99</v>
      </c>
      <c r="BO57" s="78">
        <f t="shared" si="9"/>
        <v>0.28935185185185186</v>
      </c>
      <c r="BP57" s="78">
        <f t="shared" si="10"/>
        <v>0.296875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6"/>
        <v>54</v>
      </c>
      <c r="Z61" s="41">
        <f>IFERROR(IF(Y61=0,"",ROUNDUP(Y61/H61,0)*0.00902),"")</f>
        <v>0.10824</v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52.111111111111114</v>
      </c>
      <c r="BN61" s="78">
        <f t="shared" si="8"/>
        <v>56.28</v>
      </c>
      <c r="BO61" s="78">
        <f t="shared" si="9"/>
        <v>8.4175084175084181E-2</v>
      </c>
      <c r="BP61" s="78">
        <f t="shared" si="10"/>
        <v>9.0909090909090912E-2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29.62962962962963</v>
      </c>
      <c r="Y62" s="43">
        <f>IFERROR(Y56/H56,"0")+IFERROR(Y57/H57,"0")+IFERROR(Y58/H58,"0")+IFERROR(Y59/H59,"0")+IFERROR(Y60/H60,"0")+IFERROR(Y61/H61,"0")</f>
        <v>31</v>
      </c>
      <c r="Z62" s="43">
        <f>IFERROR(IF(Z56="",0,Z56),"0")+IFERROR(IF(Z57="",0,Z57),"0")+IFERROR(IF(Z58="",0,Z58),"0")+IFERROR(IF(Z59="",0,Z59),"0")+IFERROR(IF(Z60="",0,Z60),"0")+IFERROR(IF(Z61="",0,Z61),"0")</f>
        <v>0.46886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250</v>
      </c>
      <c r="Y63" s="43">
        <f>IFERROR(SUM(Y56:Y61),"0")</f>
        <v>259.20000000000005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150</v>
      </c>
      <c r="Y65" s="55">
        <f>IFERROR(IF(X65="",0,CEILING((X65/$H65),1)*$H65),"")</f>
        <v>151.20000000000002</v>
      </c>
      <c r="Z65" s="41">
        <f>IFERROR(IF(Y65=0,"",ROUNDUP(Y65/H65,0)*0.01898),"")</f>
        <v>0.26572000000000001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155.69444444444446</v>
      </c>
      <c r="BN65" s="78">
        <f>IFERROR(Y65*I65/H65,"0")</f>
        <v>156.94</v>
      </c>
      <c r="BO65" s="78">
        <f>IFERROR(1/J65*(X65/H65),"0")</f>
        <v>0.21701388888888887</v>
      </c>
      <c r="BP65" s="78">
        <f>IFERROR(1/J65*(Y65/H65),"0")</f>
        <v>0.21875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13.888888888888888</v>
      </c>
      <c r="Y69" s="43">
        <f>IFERROR(Y65/H65,"0")+IFERROR(Y66/H66,"0")+IFERROR(Y67/H67,"0")+IFERROR(Y68/H68,"0")</f>
        <v>14</v>
      </c>
      <c r="Z69" s="43">
        <f>IFERROR(IF(Z65="",0,Z65),"0")+IFERROR(IF(Z66="",0,Z66),"0")+IFERROR(IF(Z67="",0,Z67),"0")+IFERROR(IF(Z68="",0,Z68),"0")</f>
        <v>0.26572000000000001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150</v>
      </c>
      <c r="Y70" s="43">
        <f>IFERROR(SUM(Y65:Y68),"0")</f>
        <v>151.20000000000002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60</v>
      </c>
      <c r="Y77" s="55">
        <f>IFERROR(IF(X77="",0,CEILING((X77/$H77),1)*$H77),"")</f>
        <v>62.4</v>
      </c>
      <c r="Z77" s="41">
        <f>IFERROR(IF(Y77=0,"",ROUNDUP(Y77/H77,0)*0.01898),"")</f>
        <v>0.15184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63.15384615384616</v>
      </c>
      <c r="BN77" s="78">
        <f>IFERROR(Y77*I77/H77,"0")</f>
        <v>65.680000000000007</v>
      </c>
      <c r="BO77" s="78">
        <f>IFERROR(1/J77*(X77/H77),"0")</f>
        <v>0.1201923076923077</v>
      </c>
      <c r="BP77" s="78">
        <f>IFERROR(1/J77*(Y77/H77),"0")</f>
        <v>0.125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7.6923076923076925</v>
      </c>
      <c r="Y79" s="43">
        <f>IFERROR(Y77/H77,"0")+IFERROR(Y78/H78,"0")</f>
        <v>8</v>
      </c>
      <c r="Z79" s="43">
        <f>IFERROR(IF(Z77="",0,Z77),"0")+IFERROR(IF(Z78="",0,Z78),"0")</f>
        <v>0.15184</v>
      </c>
      <c r="AA79" s="67"/>
      <c r="AB79" s="67"/>
      <c r="AC79" s="67"/>
    </row>
    <row r="80" spans="1:68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60</v>
      </c>
      <c r="Y80" s="43">
        <f>IFERROR(SUM(Y77:Y78),"0")</f>
        <v>62.4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60</v>
      </c>
      <c r="Y83" s="55">
        <f>IFERROR(IF(X83="",0,CEILING((X83/$H83),1)*$H83),"")</f>
        <v>64.800000000000011</v>
      </c>
      <c r="Z83" s="41">
        <f>IFERROR(IF(Y83=0,"",ROUNDUP(Y83/H83,0)*0.01898),"")</f>
        <v>0.11388000000000001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62.277777777777779</v>
      </c>
      <c r="BN83" s="78">
        <f>IFERROR(Y83*I83/H83,"0")</f>
        <v>67.260000000000005</v>
      </c>
      <c r="BO83" s="78">
        <f>IFERROR(1/J83*(X83/H83),"0")</f>
        <v>8.6805555555555552E-2</v>
      </c>
      <c r="BP83" s="78">
        <f>IFERROR(1/J83*(Y83/H83),"0")</f>
        <v>9.3750000000000014E-2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50</v>
      </c>
      <c r="Y86" s="55">
        <f>IFERROR(IF(X86="",0,CEILING((X86/$H86),1)*$H86),"")</f>
        <v>54</v>
      </c>
      <c r="Z86" s="41">
        <f>IFERROR(IF(Y86=0,"",ROUNDUP(Y86/H86,0)*0.00902),"")</f>
        <v>0.10824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52.111111111111114</v>
      </c>
      <c r="BN86" s="78">
        <f>IFERROR(Y86*I86/H86,"0")</f>
        <v>56.28</v>
      </c>
      <c r="BO86" s="78">
        <f>IFERROR(1/J86*(X86/H86),"0")</f>
        <v>8.4175084175084181E-2</v>
      </c>
      <c r="BP86" s="78">
        <f>IFERROR(1/J86*(Y86/H86),"0")</f>
        <v>9.0909090909090912E-2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16.666666666666664</v>
      </c>
      <c r="Y87" s="43">
        <f>IFERROR(Y83/H83,"0")+IFERROR(Y84/H84,"0")+IFERROR(Y85/H85,"0")+IFERROR(Y86/H86,"0")</f>
        <v>18</v>
      </c>
      <c r="Z87" s="43">
        <f>IFERROR(IF(Z83="",0,Z83),"0")+IFERROR(IF(Z84="",0,Z84),"0")+IFERROR(IF(Z85="",0,Z85),"0")+IFERROR(IF(Z86="",0,Z86),"0")</f>
        <v>0.22212000000000001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110</v>
      </c>
      <c r="Y88" s="43">
        <f>IFERROR(SUM(Y83:Y86),"0")</f>
        <v>118.80000000000001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320</v>
      </c>
      <c r="Y90" s="55">
        <f>IFERROR(IF(X90="",0,CEILING((X90/$H90),1)*$H90),"")</f>
        <v>324</v>
      </c>
      <c r="Z90" s="41">
        <f>IFERROR(IF(Y90=0,"",ROUNDUP(Y90/H90,0)*0.01898),"")</f>
        <v>0.75919999999999999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339.51604938271606</v>
      </c>
      <c r="BN90" s="78">
        <f>IFERROR(Y90*I90/H90,"0")</f>
        <v>343.76</v>
      </c>
      <c r="BO90" s="78">
        <f>IFERROR(1/J90*(X90/H90),"0")</f>
        <v>0.61728395061728403</v>
      </c>
      <c r="BP90" s="78">
        <f>IFERROR(1/J90*(Y90/H90),"0")</f>
        <v>0.625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39.506172839506178</v>
      </c>
      <c r="Y94" s="43">
        <f>IFERROR(Y90/H90,"0")+IFERROR(Y91/H91,"0")+IFERROR(Y92/H92,"0")+IFERROR(Y93/H93,"0")</f>
        <v>40</v>
      </c>
      <c r="Z94" s="43">
        <f>IFERROR(IF(Z90="",0,Z90),"0")+IFERROR(IF(Z91="",0,Z91),"0")+IFERROR(IF(Z92="",0,Z92),"0")+IFERROR(IF(Z93="",0,Z93),"0")</f>
        <v>0.75919999999999999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320</v>
      </c>
      <c r="Y95" s="43">
        <f>IFERROR(SUM(Y90:Y93),"0")</f>
        <v>324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30</v>
      </c>
      <c r="Y98" s="55">
        <f t="shared" ref="Y98:Y104" si="11">IFERROR(IF(X98="",0,CEILING((X98/$H98),1)*$H98),"")</f>
        <v>32.400000000000006</v>
      </c>
      <c r="Z98" s="41">
        <f>IFERROR(IF(Y98=0,"",ROUNDUP(Y98/H98,0)*0.01898),"")</f>
        <v>5.6940000000000004E-2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31.138888888888889</v>
      </c>
      <c r="BN98" s="78">
        <f t="shared" ref="BN98:BN104" si="13">IFERROR(Y98*I98/H98,"0")</f>
        <v>33.630000000000003</v>
      </c>
      <c r="BO98" s="78">
        <f t="shared" ref="BO98:BO104" si="14">IFERROR(1/J98*(X98/H98),"0")</f>
        <v>4.3402777777777776E-2</v>
      </c>
      <c r="BP98" s="78">
        <f t="shared" ref="BP98:BP104" si="15">IFERROR(1/J98*(Y98/H98),"0")</f>
        <v>4.6875000000000007E-2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2.7777777777777777</v>
      </c>
      <c r="Y105" s="43">
        <f>IFERROR(Y98/H98,"0")+IFERROR(Y99/H99,"0")+IFERROR(Y100/H100,"0")+IFERROR(Y101/H101,"0")+IFERROR(Y102/H102,"0")+IFERROR(Y103/H103,"0")+IFERROR(Y104/H104,"0")</f>
        <v>3.0000000000000004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5.6940000000000004E-2</v>
      </c>
      <c r="AA105" s="67"/>
      <c r="AB105" s="67"/>
      <c r="AC105" s="67"/>
    </row>
    <row r="106" spans="1:68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30</v>
      </c>
      <c r="Y106" s="43">
        <f>IFERROR(SUM(Y98:Y104),"0")</f>
        <v>32.400000000000006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850</v>
      </c>
      <c r="Y116" s="55">
        <f>IFERROR(IF(X116="",0,CEILING((X116/$H116),1)*$H116),"")</f>
        <v>850.5</v>
      </c>
      <c r="Z116" s="41">
        <f>IFERROR(IF(Y116=0,"",ROUNDUP(Y116/H116,0)*0.01898),"")</f>
        <v>1.9929000000000001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901.20987654320982</v>
      </c>
      <c r="BN116" s="78">
        <f>IFERROR(Y116*I116/H116,"0")</f>
        <v>901.7399999999999</v>
      </c>
      <c r="BO116" s="78">
        <f>IFERROR(1/J116*(X116/H116),"0")</f>
        <v>1.6396604938271606</v>
      </c>
      <c r="BP116" s="78">
        <f>IFERROR(1/J116*(Y116/H116),"0")</f>
        <v>1.640625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104.93827160493828</v>
      </c>
      <c r="Y120" s="43">
        <f>IFERROR(Y116/H116,"0")+IFERROR(Y117/H117,"0")+IFERROR(Y118/H118,"0")+IFERROR(Y119/H119,"0")</f>
        <v>105</v>
      </c>
      <c r="Z120" s="43">
        <f>IFERROR(IF(Z116="",0,Z116),"0")+IFERROR(IF(Z117="",0,Z117),"0")+IFERROR(IF(Z118="",0,Z118),"0")+IFERROR(IF(Z119="",0,Z119),"0")</f>
        <v>1.9929000000000001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850</v>
      </c>
      <c r="Y121" s="43">
        <f>IFERROR(SUM(Y116:Y119),"0")</f>
        <v>850.5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9</v>
      </c>
      <c r="Y129" s="55">
        <f>IFERROR(IF(X129="",0,CEILING((X129/$H129),1)*$H129),"")</f>
        <v>9.6000000000000014</v>
      </c>
      <c r="Z129" s="41">
        <f>IFERROR(IF(Y129=0,"",ROUNDUP(Y129/H129,0)*0.00651),"")</f>
        <v>1.9529999999999999E-2</v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9.5062499999999996</v>
      </c>
      <c r="BN129" s="78">
        <f>IFERROR(Y129*I129/H129,"0")</f>
        <v>10.139999999999999</v>
      </c>
      <c r="BO129" s="78">
        <f>IFERROR(1/J129*(X129/H129),"0")</f>
        <v>1.5453296703296704E-2</v>
      </c>
      <c r="BP129" s="78">
        <f>IFERROR(1/J129*(Y129/H129),"0")</f>
        <v>1.6483516483516487E-2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2.8125</v>
      </c>
      <c r="Y131" s="43">
        <f>IFERROR(Y128/H128,"0")+IFERROR(Y129/H129,"0")+IFERROR(Y130/H130,"0")</f>
        <v>3.0000000000000004</v>
      </c>
      <c r="Z131" s="43">
        <f>IFERROR(IF(Z128="",0,Z128),"0")+IFERROR(IF(Z129="",0,Z129),"0")+IFERROR(IF(Z130="",0,Z130),"0")</f>
        <v>1.9529999999999999E-2</v>
      </c>
      <c r="AA131" s="67"/>
      <c r="AB131" s="67"/>
      <c r="AC131" s="67"/>
    </row>
    <row r="132" spans="1:68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9</v>
      </c>
      <c r="Y132" s="43">
        <f>IFERROR(SUM(Y128:Y130),"0")</f>
        <v>9.6000000000000014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8</v>
      </c>
      <c r="Y135" s="55">
        <f>IFERROR(IF(X135="",0,CEILING((X135/$H135),1)*$H135),"")</f>
        <v>8.3999999999999986</v>
      </c>
      <c r="Z135" s="41">
        <f>IFERROR(IF(Y135=0,"",ROUNDUP(Y135/H135,0)*0.00651),"")</f>
        <v>1.9529999999999999E-2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8.7657142857142869</v>
      </c>
      <c r="BN135" s="78">
        <f>IFERROR(Y135*I135/H135,"0")</f>
        <v>9.2039999999999988</v>
      </c>
      <c r="BO135" s="78">
        <f>IFERROR(1/J135*(X135/H135),"0")</f>
        <v>1.5698587127158558E-2</v>
      </c>
      <c r="BP135" s="78">
        <f>IFERROR(1/J135*(Y135/H135),"0")</f>
        <v>1.6483516483516484E-2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2.8571428571428572</v>
      </c>
      <c r="Y138" s="43">
        <f>IFERROR(Y134/H134,"0")+IFERROR(Y135/H135,"0")+IFERROR(Y136/H136,"0")+IFERROR(Y137/H137,"0")</f>
        <v>2.9999999999999996</v>
      </c>
      <c r="Z138" s="43">
        <f>IFERROR(IF(Z134="",0,Z134),"0")+IFERROR(IF(Z135="",0,Z135),"0")+IFERROR(IF(Z136="",0,Z136),"0")+IFERROR(IF(Z137="",0,Z137),"0")</f>
        <v>1.9529999999999999E-2</v>
      </c>
      <c r="AA138" s="67"/>
      <c r="AB138" s="67"/>
      <c r="AC138" s="67"/>
    </row>
    <row r="139" spans="1:68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8</v>
      </c>
      <c r="Y139" s="43">
        <f>IFERROR(SUM(Y134:Y137),"0")</f>
        <v>8.3999999999999986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10</v>
      </c>
      <c r="Y142" s="55">
        <f>IFERROR(IF(X142="",0,CEILING((X142/$H142),1)*$H142),"")</f>
        <v>10.56</v>
      </c>
      <c r="Z142" s="41">
        <f>IFERROR(IF(Y142=0,"",ROUNDUP(Y142/H142,0)*0.00651),"")</f>
        <v>2.6040000000000001E-2</v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11.015151515151514</v>
      </c>
      <c r="BN142" s="78">
        <f>IFERROR(Y142*I142/H142,"0")</f>
        <v>11.632</v>
      </c>
      <c r="BO142" s="78">
        <f>IFERROR(1/J142*(X142/H142),"0")</f>
        <v>2.0812520812520812E-2</v>
      </c>
      <c r="BP142" s="78">
        <f>IFERROR(1/J142*(Y142/H142),"0")</f>
        <v>2.197802197802198E-2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3.7878787878787876</v>
      </c>
      <c r="Y144" s="43">
        <f>IFERROR(Y141/H141,"0")+IFERROR(Y142/H142,"0")+IFERROR(Y143/H143,"0")</f>
        <v>4</v>
      </c>
      <c r="Z144" s="43">
        <f>IFERROR(IF(Z141="",0,Z141),"0")+IFERROR(IF(Z142="",0,Z142),"0")+IFERROR(IF(Z143="",0,Z143),"0")</f>
        <v>2.6040000000000001E-2</v>
      </c>
      <c r="AA144" s="67"/>
      <c r="AB144" s="67"/>
      <c r="AC144" s="67"/>
    </row>
    <row r="145" spans="1:68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10</v>
      </c>
      <c r="Y145" s="43">
        <f>IFERROR(SUM(Y141:Y143),"0")</f>
        <v>10.56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100</v>
      </c>
      <c r="Y174" s="55">
        <f t="shared" ref="Y174:Y184" si="22">IFERROR(IF(X174="",0,CEILING((X174/$H174),1)*$H174),"")</f>
        <v>101.5</v>
      </c>
      <c r="Z174" s="41">
        <f>IFERROR(IF(Y174=0,"",ROUNDUP(Y174/H174,0)*0.00902),"")</f>
        <v>0.26158000000000003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105.42857142857143</v>
      </c>
      <c r="BN174" s="78">
        <f t="shared" ref="BN174:BN184" si="24">IFERROR(Y174*I174/H174,"0")</f>
        <v>107.00999999999999</v>
      </c>
      <c r="BO174" s="78">
        <f t="shared" ref="BO174:BO184" si="25">IFERROR(1/J174*(X174/H174),"0")</f>
        <v>0.21645021645021648</v>
      </c>
      <c r="BP174" s="78">
        <f t="shared" ref="BP174:BP184" si="26">IFERROR(1/J174*(Y174/H174),"0")</f>
        <v>0.2196969696969697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10</v>
      </c>
      <c r="Y177" s="55">
        <f t="shared" si="22"/>
        <v>10.5</v>
      </c>
      <c r="Z177" s="41">
        <f>IFERROR(IF(Y177=0,"",ROUNDUP(Y177/H177,0)*0.00902),"")</f>
        <v>2.7060000000000001E-2</v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10.542857142857143</v>
      </c>
      <c r="BN177" s="78">
        <f t="shared" si="24"/>
        <v>11.069999999999999</v>
      </c>
      <c r="BO177" s="78">
        <f t="shared" si="25"/>
        <v>2.1645021645021648E-2</v>
      </c>
      <c r="BP177" s="78">
        <f t="shared" si="26"/>
        <v>2.2727272727272728E-2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31.428571428571431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32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0.28864000000000001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110</v>
      </c>
      <c r="Y186" s="43">
        <f>IFERROR(SUM(Y174:Y184),"0")</f>
        <v>112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20</v>
      </c>
      <c r="Y219" s="55">
        <f t="shared" ref="Y219:Y232" si="33">IFERROR(IF(X219="",0,CEILING((X219/$H219),1)*$H219),"")</f>
        <v>21</v>
      </c>
      <c r="Z219" s="41">
        <f>IFERROR(IF(Y219=0,"",ROUNDUP(Y219/H219,0)*0.00902),"")</f>
        <v>4.5100000000000001E-2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21.19047619047619</v>
      </c>
      <c r="BN219" s="78">
        <f t="shared" ref="BN219:BN232" si="35">IFERROR(Y219*I219/H219,"0")</f>
        <v>22.25</v>
      </c>
      <c r="BO219" s="78">
        <f t="shared" ref="BO219:BO232" si="36">IFERROR(1/J219*(X219/H219),"0")</f>
        <v>3.6075036075036072E-2</v>
      </c>
      <c r="BP219" s="78">
        <f t="shared" ref="BP219:BP232" si="37">IFERROR(1/J219*(Y219/H219),"0")</f>
        <v>3.787878787878788E-2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110</v>
      </c>
      <c r="Y221" s="55">
        <f t="shared" si="33"/>
        <v>113.4</v>
      </c>
      <c r="Z221" s="41">
        <f>IFERROR(IF(Y221=0,"",ROUNDUP(Y221/H221,0)*0.00902),"")</f>
        <v>0.24354000000000001</v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114.97619047619047</v>
      </c>
      <c r="BN221" s="78">
        <f t="shared" si="35"/>
        <v>118.52999999999999</v>
      </c>
      <c r="BO221" s="78">
        <f t="shared" si="36"/>
        <v>0.1984126984126984</v>
      </c>
      <c r="BP221" s="78">
        <f t="shared" si="37"/>
        <v>0.20454545454545456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30.952380952380953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32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0.28864000000000001</v>
      </c>
      <c r="AA233" s="67"/>
      <c r="AB233" s="67"/>
      <c r="AC233" s="67"/>
    </row>
    <row r="234" spans="1:68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130</v>
      </c>
      <c r="Y234" s="43">
        <f>IFERROR(SUM(Y219:Y232),"0")</f>
        <v>134.4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30</v>
      </c>
      <c r="Y255" s="55">
        <f>IFERROR(IF(X255="",0,CEILING((X255/$H255),1)*$H255),"")</f>
        <v>32.400000000000006</v>
      </c>
      <c r="Z255" s="41">
        <f>IFERROR(IF(Y255=0,"",ROUNDUP(Y255/H255,0)*0.01898),"")</f>
        <v>5.6940000000000004E-2</v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31.138888888888889</v>
      </c>
      <c r="BN255" s="78">
        <f>IFERROR(Y255*I255/H255,"0")</f>
        <v>33.630000000000003</v>
      </c>
      <c r="BO255" s="78">
        <f>IFERROR(1/J255*(X255/H255),"0")</f>
        <v>4.3402777777777776E-2</v>
      </c>
      <c r="BP255" s="78">
        <f>IFERROR(1/J255*(Y255/H255),"0")</f>
        <v>4.6875000000000007E-2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2.7777777777777777</v>
      </c>
      <c r="Y257" s="43">
        <f>IFERROR(Y255/H255,"0")+IFERROR(Y256/H256,"0")</f>
        <v>3.0000000000000004</v>
      </c>
      <c r="Z257" s="43">
        <f>IFERROR(IF(Z255="",0,Z255),"0")+IFERROR(IF(Z256="",0,Z256),"0")</f>
        <v>5.6940000000000004E-2</v>
      </c>
      <c r="AA257" s="67"/>
      <c r="AB257" s="67"/>
      <c r="AC257" s="67"/>
    </row>
    <row r="258" spans="1:68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30</v>
      </c>
      <c r="Y258" s="43">
        <f>IFERROR(SUM(Y255:Y256),"0")</f>
        <v>32.400000000000006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240</v>
      </c>
      <c r="Y265" s="55">
        <f t="shared" ref="Y265:Y272" si="39">IFERROR(IF(X265="",0,CEILING((X265/$H265),1)*$H265),"")</f>
        <v>243.00000000000003</v>
      </c>
      <c r="Z265" s="41">
        <f>IFERROR(IF(Y265=0,"",ROUNDUP(Y265/H265,0)*0.00902),"")</f>
        <v>0.40590000000000004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248.4444444444444</v>
      </c>
      <c r="BN265" s="78">
        <f t="shared" ref="BN265:BN272" si="41">IFERROR(Y265*I265/H265,"0")</f>
        <v>251.55</v>
      </c>
      <c r="BO265" s="78">
        <f t="shared" ref="BO265:BO272" si="42">IFERROR(1/J265*(X265/H265),"0")</f>
        <v>0.33670033670033672</v>
      </c>
      <c r="BP265" s="78">
        <f t="shared" ref="BP265:BP272" si="43">IFERROR(1/J265*(Y265/H265),"0")</f>
        <v>0.34090909090909094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250</v>
      </c>
      <c r="Y266" s="55">
        <f t="shared" si="39"/>
        <v>253.8</v>
      </c>
      <c r="Z266" s="41">
        <f>IFERROR(IF(Y266=0,"",ROUNDUP(Y266/H266,0)*0.00902),"")</f>
        <v>0.42393999999999998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258.7962962962963</v>
      </c>
      <c r="BN266" s="78">
        <f t="shared" si="41"/>
        <v>262.72999999999996</v>
      </c>
      <c r="BO266" s="78">
        <f t="shared" si="42"/>
        <v>0.35072951739618402</v>
      </c>
      <c r="BP266" s="78">
        <f t="shared" si="43"/>
        <v>0.35606060606060608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270</v>
      </c>
      <c r="Y267" s="55">
        <f t="shared" si="39"/>
        <v>270</v>
      </c>
      <c r="Z267" s="41">
        <f>IFERROR(IF(Y267=0,"",ROUNDUP(Y267/H267,0)*0.00902),"")</f>
        <v>0.45100000000000001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279.5</v>
      </c>
      <c r="BN267" s="78">
        <f t="shared" si="41"/>
        <v>279.5</v>
      </c>
      <c r="BO267" s="78">
        <f t="shared" si="42"/>
        <v>0.37878787878787878</v>
      </c>
      <c r="BP267" s="78">
        <f t="shared" si="43"/>
        <v>0.37878787878787878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700</v>
      </c>
      <c r="Y268" s="55">
        <f t="shared" si="39"/>
        <v>702</v>
      </c>
      <c r="Z268" s="41">
        <f>IFERROR(IF(Y268=0,"",ROUNDUP(Y268/H268,0)*0.00902),"")</f>
        <v>1.1726000000000001</v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724.62962962962956</v>
      </c>
      <c r="BN268" s="78">
        <f t="shared" si="41"/>
        <v>726.69999999999993</v>
      </c>
      <c r="BO268" s="78">
        <f t="shared" si="42"/>
        <v>0.98204264870931535</v>
      </c>
      <c r="BP268" s="78">
        <f t="shared" si="43"/>
        <v>0.98484848484848486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270.37037037037032</v>
      </c>
      <c r="Y273" s="43">
        <f>IFERROR(Y265/H265,"0")+IFERROR(Y266/H266,"0")+IFERROR(Y267/H267,"0")+IFERROR(Y268/H268,"0")+IFERROR(Y269/H269,"0")+IFERROR(Y270/H270,"0")+IFERROR(Y271/H271,"0")+IFERROR(Y272/H272,"0")</f>
        <v>272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2.4534400000000001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1460</v>
      </c>
      <c r="Y274" s="43">
        <f>IFERROR(SUM(Y265:Y272),"0")</f>
        <v>1468.8000000000002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150</v>
      </c>
      <c r="Y278" s="55">
        <f t="shared" si="44"/>
        <v>156.6</v>
      </c>
      <c r="Z278" s="41">
        <f>IFERROR(IF(Y278=0,"",ROUNDUP(Y278/H278,0)*0.01898),"")</f>
        <v>0.34164</v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158.51724137931038</v>
      </c>
      <c r="BN278" s="78">
        <f t="shared" si="46"/>
        <v>165.49200000000002</v>
      </c>
      <c r="BO278" s="78">
        <f t="shared" si="47"/>
        <v>0.26939655172413796</v>
      </c>
      <c r="BP278" s="78">
        <f t="shared" si="48"/>
        <v>0.28125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72</v>
      </c>
      <c r="Y282" s="55">
        <f t="shared" si="44"/>
        <v>72</v>
      </c>
      <c r="Z282" s="41">
        <f>IFERROR(IF(Y282=0,"",ROUNDUP(Y282/H282,0)*0.00651),"")</f>
        <v>0.1953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79.560000000000016</v>
      </c>
      <c r="BN282" s="78">
        <f t="shared" si="46"/>
        <v>79.560000000000016</v>
      </c>
      <c r="BO282" s="78">
        <f t="shared" si="47"/>
        <v>0.16483516483516486</v>
      </c>
      <c r="BP282" s="78">
        <f t="shared" si="48"/>
        <v>0.16483516483516486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84</v>
      </c>
      <c r="Y285" s="55">
        <f t="shared" si="44"/>
        <v>84</v>
      </c>
      <c r="Z285" s="41">
        <f>IFERROR(IF(Y285=0,"",ROUNDUP(Y285/H285,0)*0.00651),"")</f>
        <v>0.22785</v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92.820000000000007</v>
      </c>
      <c r="BN285" s="78">
        <f t="shared" si="46"/>
        <v>92.820000000000007</v>
      </c>
      <c r="BO285" s="78">
        <f t="shared" si="47"/>
        <v>0.19230769230769232</v>
      </c>
      <c r="BP285" s="78">
        <f t="shared" si="48"/>
        <v>0.19230769230769232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12</v>
      </c>
      <c r="Y286" s="55">
        <f t="shared" si="44"/>
        <v>12</v>
      </c>
      <c r="Z286" s="41">
        <f>IFERROR(IF(Y286=0,"",ROUNDUP(Y286/H286,0)*0.00651),"")</f>
        <v>3.2550000000000003E-2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13.290000000000001</v>
      </c>
      <c r="BN286" s="78">
        <f t="shared" si="46"/>
        <v>13.290000000000001</v>
      </c>
      <c r="BO286" s="78">
        <f t="shared" si="47"/>
        <v>2.7472527472527476E-2</v>
      </c>
      <c r="BP286" s="78">
        <f t="shared" si="48"/>
        <v>2.7472527472527476E-2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87.241379310344826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88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0.79733999999999994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318</v>
      </c>
      <c r="Y289" s="43">
        <f>IFERROR(SUM(Y276:Y287),"0")</f>
        <v>324.60000000000002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230</v>
      </c>
      <c r="Y324" s="55">
        <f>IFERROR(IF(X324="",0,CEILING((X324/$H324),1)*$H324),"")</f>
        <v>237.60000000000002</v>
      </c>
      <c r="Z324" s="41">
        <f>IFERROR(IF(Y324=0,"",ROUNDUP(Y324/H324,0)*0.01898),"")</f>
        <v>0.41755999999999999</v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238.7314814814815</v>
      </c>
      <c r="BN324" s="78">
        <f>IFERROR(Y324*I324/H324,"0")</f>
        <v>246.62000000000003</v>
      </c>
      <c r="BO324" s="78">
        <f>IFERROR(1/J324*(X324/H324),"0")</f>
        <v>0.33275462962962959</v>
      </c>
      <c r="BP324" s="78">
        <f>IFERROR(1/J324*(Y324/H324),"0")</f>
        <v>0.34375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10</v>
      </c>
      <c r="Y326" s="55">
        <f>IFERROR(IF(X326="",0,CEILING((X326/$H326),1)*$H326),"")</f>
        <v>12</v>
      </c>
      <c r="Z326" s="41">
        <f>IFERROR(IF(Y326=0,"",ROUNDUP(Y326/H326,0)*0.00902),"")</f>
        <v>2.7060000000000001E-2</v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10.475000000000001</v>
      </c>
      <c r="BN326" s="78">
        <f>IFERROR(Y326*I326/H326,"0")</f>
        <v>12.57</v>
      </c>
      <c r="BO326" s="78">
        <f>IFERROR(1/J326*(X326/H326),"0")</f>
        <v>1.893939393939394E-2</v>
      </c>
      <c r="BP326" s="78">
        <f>IFERROR(1/J326*(Y326/H326),"0")</f>
        <v>2.2727272727272728E-2</v>
      </c>
    </row>
    <row r="327" spans="1:68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23.796296296296294</v>
      </c>
      <c r="Y327" s="43">
        <f>IFERROR(Y322/H322,"0")+IFERROR(Y323/H323,"0")+IFERROR(Y324/H324,"0")+IFERROR(Y325/H325,"0")+IFERROR(Y326/H326,"0")</f>
        <v>25</v>
      </c>
      <c r="Z327" s="43">
        <f>IFERROR(IF(Z322="",0,Z322),"0")+IFERROR(IF(Z323="",0,Z323),"0")+IFERROR(IF(Z324="",0,Z324),"0")+IFERROR(IF(Z325="",0,Z325),"0")+IFERROR(IF(Z326="",0,Z326),"0")</f>
        <v>0.44462000000000002</v>
      </c>
      <c r="AA327" s="67"/>
      <c r="AB327" s="67"/>
      <c r="AC327" s="67"/>
    </row>
    <row r="328" spans="1:68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240</v>
      </c>
      <c r="Y328" s="43">
        <f>IFERROR(SUM(Y322:Y326),"0")</f>
        <v>249.60000000000002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10</v>
      </c>
      <c r="Y360" s="55">
        <f t="shared" si="54"/>
        <v>10.8</v>
      </c>
      <c r="Z360" s="41">
        <f>IFERROR(IF(Y360=0,"",ROUNDUP(Y360/H360,0)*0.01898),"")</f>
        <v>1.898E-2</v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10.37962962962963</v>
      </c>
      <c r="BN360" s="78">
        <f t="shared" si="56"/>
        <v>11.21</v>
      </c>
      <c r="BO360" s="78">
        <f t="shared" si="57"/>
        <v>1.4467592592592591E-2</v>
      </c>
      <c r="BP360" s="78">
        <f t="shared" si="58"/>
        <v>1.5625E-2</v>
      </c>
    </row>
    <row r="361" spans="1:68" ht="37.5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30</v>
      </c>
      <c r="Y361" s="55">
        <f t="shared" si="54"/>
        <v>32.400000000000006</v>
      </c>
      <c r="Z361" s="41">
        <f>IFERROR(IF(Y361=0,"",ROUNDUP(Y361/H361,0)*0.01898),"")</f>
        <v>5.6940000000000004E-2</v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31.138888888888889</v>
      </c>
      <c r="BN361" s="78">
        <f t="shared" si="56"/>
        <v>33.630000000000003</v>
      </c>
      <c r="BO361" s="78">
        <f t="shared" si="57"/>
        <v>4.3402777777777776E-2</v>
      </c>
      <c r="BP361" s="78">
        <f t="shared" si="58"/>
        <v>4.6875000000000007E-2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8</v>
      </c>
      <c r="Y364" s="55">
        <f t="shared" si="54"/>
        <v>8</v>
      </c>
      <c r="Z364" s="41">
        <f>IFERROR(IF(Y364=0,"",ROUNDUP(Y364/H364,0)*0.00902),"")</f>
        <v>1.804E-2</v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8.3800000000000008</v>
      </c>
      <c r="BN364" s="78">
        <f t="shared" si="56"/>
        <v>8.3800000000000008</v>
      </c>
      <c r="BO364" s="78">
        <f t="shared" si="57"/>
        <v>1.5151515151515152E-2</v>
      </c>
      <c r="BP364" s="78">
        <f t="shared" si="58"/>
        <v>1.5151515151515152E-2</v>
      </c>
    </row>
    <row r="365" spans="1:68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5.7037037037037033</v>
      </c>
      <c r="Y365" s="43">
        <f>IFERROR(Y359/H359,"0")+IFERROR(Y360/H360,"0")+IFERROR(Y361/H361,"0")+IFERROR(Y362/H362,"0")+IFERROR(Y363/H363,"0")+IFERROR(Y364/H364,"0")</f>
        <v>6</v>
      </c>
      <c r="Z365" s="43">
        <f>IFERROR(IF(Z359="",0,Z359),"0")+IFERROR(IF(Z360="",0,Z360),"0")+IFERROR(IF(Z361="",0,Z361),"0")+IFERROR(IF(Z362="",0,Z362),"0")+IFERROR(IF(Z363="",0,Z363),"0")+IFERROR(IF(Z364="",0,Z364),"0")</f>
        <v>9.3960000000000002E-2</v>
      </c>
      <c r="AA365" s="67"/>
      <c r="AB365" s="67"/>
      <c r="AC365" s="67"/>
    </row>
    <row r="366" spans="1:68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48</v>
      </c>
      <c r="Y366" s="43">
        <f>IFERROR(SUM(Y359:Y364),"0")</f>
        <v>51.2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20</v>
      </c>
      <c r="Y368" s="55">
        <f t="shared" ref="Y368:Y374" si="59">IFERROR(IF(X368="",0,CEILING((X368/$H368),1)*$H368),"")</f>
        <v>21</v>
      </c>
      <c r="Z368" s="41">
        <f>IFERROR(IF(Y368=0,"",ROUNDUP(Y368/H368,0)*0.00902),"")</f>
        <v>4.5100000000000001E-2</v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21.19047619047619</v>
      </c>
      <c r="BN368" s="78">
        <f t="shared" ref="BN368:BN374" si="61">IFERROR(Y368*I368/H368,"0")</f>
        <v>22.25</v>
      </c>
      <c r="BO368" s="78">
        <f t="shared" ref="BO368:BO374" si="62">IFERROR(1/J368*(X368/H368),"0")</f>
        <v>3.6075036075036072E-2</v>
      </c>
      <c r="BP368" s="78">
        <f t="shared" ref="BP368:BP374" si="63">IFERROR(1/J368*(Y368/H368),"0")</f>
        <v>3.787878787878788E-2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90</v>
      </c>
      <c r="Y369" s="55">
        <f t="shared" si="59"/>
        <v>92.4</v>
      </c>
      <c r="Z369" s="41">
        <f>IFERROR(IF(Y369=0,"",ROUNDUP(Y369/H369,0)*0.00902),"")</f>
        <v>0.19844000000000001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95.357142857142847</v>
      </c>
      <c r="BN369" s="78">
        <f t="shared" si="61"/>
        <v>97.9</v>
      </c>
      <c r="BO369" s="78">
        <f t="shared" si="62"/>
        <v>0.16233766233766234</v>
      </c>
      <c r="BP369" s="78">
        <f t="shared" si="63"/>
        <v>0.16666666666666669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26.19047619047619</v>
      </c>
      <c r="Y375" s="43">
        <f>IFERROR(Y368/H368,"0")+IFERROR(Y369/H369,"0")+IFERROR(Y370/H370,"0")+IFERROR(Y371/H371,"0")+IFERROR(Y372/H372,"0")+IFERROR(Y373/H373,"0")+IFERROR(Y374/H374,"0")</f>
        <v>27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0.24354000000000001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110</v>
      </c>
      <c r="Y376" s="43">
        <f>IFERROR(SUM(Y368:Y374),"0")</f>
        <v>113.4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100</v>
      </c>
      <c r="Y385" s="55">
        <f>IFERROR(IF(X385="",0,CEILING((X385/$H385),1)*$H385),"")</f>
        <v>100.80000000000001</v>
      </c>
      <c r="Z385" s="41">
        <f>IFERROR(IF(Y385=0,"",ROUNDUP(Y385/H385,0)*0.01898),"")</f>
        <v>0.22776000000000002</v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105.88095238095238</v>
      </c>
      <c r="BN385" s="78">
        <f>IFERROR(Y385*I385/H385,"0")</f>
        <v>106.72800000000001</v>
      </c>
      <c r="BO385" s="78">
        <f>IFERROR(1/J385*(X385/H385),"0")</f>
        <v>0.18601190476190477</v>
      </c>
      <c r="BP385" s="78">
        <f>IFERROR(1/J385*(Y385/H385),"0")</f>
        <v>0.1875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400</v>
      </c>
      <c r="Y386" s="55">
        <f>IFERROR(IF(X386="",0,CEILING((X386/$H386),1)*$H386),"")</f>
        <v>405.59999999999997</v>
      </c>
      <c r="Z386" s="41">
        <f>IFERROR(IF(Y386=0,"",ROUNDUP(Y386/H386,0)*0.01898),"")</f>
        <v>0.98696000000000006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425.33333333333337</v>
      </c>
      <c r="BN386" s="78">
        <f>IFERROR(Y386*I386/H386,"0")</f>
        <v>431.28799999999995</v>
      </c>
      <c r="BO386" s="78">
        <f>IFERROR(1/J386*(X386/H386),"0")</f>
        <v>0.80128205128205132</v>
      </c>
      <c r="BP386" s="78">
        <f>IFERROR(1/J386*(Y386/H386),"0")</f>
        <v>0.8125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120</v>
      </c>
      <c r="Y387" s="55">
        <f>IFERROR(IF(X387="",0,CEILING((X387/$H387),1)*$H387),"")</f>
        <v>126</v>
      </c>
      <c r="Z387" s="41">
        <f>IFERROR(IF(Y387=0,"",ROUNDUP(Y387/H387,0)*0.01898),"")</f>
        <v>0.28470000000000001</v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127.05714285714285</v>
      </c>
      <c r="BN387" s="78">
        <f>IFERROR(Y387*I387/H387,"0")</f>
        <v>133.41</v>
      </c>
      <c r="BO387" s="78">
        <f>IFERROR(1/J387*(X387/H387),"0")</f>
        <v>0.2232142857142857</v>
      </c>
      <c r="BP387" s="78">
        <f>IFERROR(1/J387*(Y387/H387),"0")</f>
        <v>0.234375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77.472527472527474</v>
      </c>
      <c r="Y388" s="43">
        <f>IFERROR(Y385/H385,"0")+IFERROR(Y386/H386,"0")+IFERROR(Y387/H387,"0")</f>
        <v>79</v>
      </c>
      <c r="Z388" s="43">
        <f>IFERROR(IF(Z385="",0,Z385),"0")+IFERROR(IF(Z386="",0,Z386),"0")+IFERROR(IF(Z387="",0,Z387),"0")</f>
        <v>1.49942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620</v>
      </c>
      <c r="Y389" s="43">
        <f>IFERROR(SUM(Y385:Y387),"0")</f>
        <v>632.4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270</v>
      </c>
      <c r="Y417" s="55">
        <f>IFERROR(IF(X417="",0,CEILING((X417/$H417),1)*$H417),"")</f>
        <v>275.39999999999998</v>
      </c>
      <c r="Z417" s="41">
        <f>IFERROR(IF(Y417=0,"",ROUNDUP(Y417/H417,0)*0.01898),"")</f>
        <v>0.64532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286.46666666666664</v>
      </c>
      <c r="BN417" s="78">
        <f>IFERROR(Y417*I417/H417,"0")</f>
        <v>292.19599999999997</v>
      </c>
      <c r="BO417" s="78">
        <f>IFERROR(1/J417*(X417/H417),"0")</f>
        <v>0.52083333333333337</v>
      </c>
      <c r="BP417" s="78">
        <f>IFERROR(1/J417*(Y417/H417),"0")</f>
        <v>0.53125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8</v>
      </c>
      <c r="Y418" s="55">
        <f>IFERROR(IF(X418="",0,CEILING((X418/$H418),1)*$H418),"")</f>
        <v>8.4</v>
      </c>
      <c r="Z418" s="41">
        <f>IFERROR(IF(Y418=0,"",ROUNDUP(Y418/H418,0)*0.00651),"")</f>
        <v>2.6040000000000001E-2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8.9599999999999991</v>
      </c>
      <c r="BN418" s="78">
        <f>IFERROR(Y418*I418/H418,"0")</f>
        <v>9.4079999999999995</v>
      </c>
      <c r="BO418" s="78">
        <f>IFERROR(1/J418*(X418/H418),"0")</f>
        <v>2.0931449502878074E-2</v>
      </c>
      <c r="BP418" s="78">
        <f>IFERROR(1/J418*(Y418/H418),"0")</f>
        <v>2.197802197802198E-2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37.142857142857146</v>
      </c>
      <c r="Y420" s="43">
        <f>IFERROR(Y417/H417,"0")+IFERROR(Y418/H418,"0")+IFERROR(Y419/H419,"0")</f>
        <v>38</v>
      </c>
      <c r="Z420" s="43">
        <f>IFERROR(IF(Z417="",0,Z417),"0")+IFERROR(IF(Z418="",0,Z418),"0")+IFERROR(IF(Z419="",0,Z419),"0")</f>
        <v>0.67135999999999996</v>
      </c>
      <c r="AA420" s="67"/>
      <c r="AB420" s="67"/>
      <c r="AC420" s="67"/>
    </row>
    <row r="421" spans="1:68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278</v>
      </c>
      <c r="Y421" s="43">
        <f>IFERROR(SUM(Y417:Y419),"0")</f>
        <v>283.79999999999995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2250</v>
      </c>
      <c r="Y426" s="55">
        <f t="shared" si="64"/>
        <v>2250</v>
      </c>
      <c r="Z426" s="41">
        <f>IFERROR(IF(Y426=0,"",ROUNDUP(Y426/H426,0)*0.02175),"")</f>
        <v>3.2624999999999997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2320.5</v>
      </c>
      <c r="BN426" s="78">
        <f t="shared" si="66"/>
        <v>2320.5</v>
      </c>
      <c r="BO426" s="78">
        <f t="shared" si="67"/>
        <v>3.125</v>
      </c>
      <c r="BP426" s="78">
        <f t="shared" si="68"/>
        <v>3.125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2250</v>
      </c>
      <c r="Y427" s="55">
        <f t="shared" si="64"/>
        <v>2250</v>
      </c>
      <c r="Z427" s="41">
        <f>IFERROR(IF(Y427=0,"",ROUNDUP(Y427/H427,0)*0.02175),"")</f>
        <v>3.2624999999999997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2320.5</v>
      </c>
      <c r="BN427" s="78">
        <f t="shared" si="66"/>
        <v>2320.5</v>
      </c>
      <c r="BO427" s="78">
        <f t="shared" si="67"/>
        <v>3.125</v>
      </c>
      <c r="BP427" s="78">
        <f t="shared" si="68"/>
        <v>3.125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2800</v>
      </c>
      <c r="Y429" s="55">
        <f t="shared" si="64"/>
        <v>2805</v>
      </c>
      <c r="Z429" s="41">
        <f>IFERROR(IF(Y429=0,"",ROUNDUP(Y429/H429,0)*0.02175),"")</f>
        <v>4.0672499999999996</v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2887.7333333333331</v>
      </c>
      <c r="BN429" s="78">
        <f t="shared" si="66"/>
        <v>2892.89</v>
      </c>
      <c r="BO429" s="78">
        <f t="shared" si="67"/>
        <v>3.8888888888888884</v>
      </c>
      <c r="BP429" s="78">
        <f t="shared" si="68"/>
        <v>3.895833333333333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10</v>
      </c>
      <c r="Y431" s="55">
        <f t="shared" si="64"/>
        <v>10</v>
      </c>
      <c r="Z431" s="41">
        <f>IFERROR(IF(Y431=0,"",ROUNDUP(Y431/H431,0)*0.00902),"")</f>
        <v>1.804E-2</v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10.38</v>
      </c>
      <c r="BN431" s="78">
        <f t="shared" si="66"/>
        <v>10.38</v>
      </c>
      <c r="BO431" s="78">
        <f t="shared" si="67"/>
        <v>1.5151515151515152E-2</v>
      </c>
      <c r="BP431" s="78">
        <f t="shared" si="68"/>
        <v>1.5151515151515152E-2</v>
      </c>
    </row>
    <row r="432" spans="1:68" ht="37.5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10</v>
      </c>
      <c r="Y432" s="55">
        <f t="shared" si="64"/>
        <v>10</v>
      </c>
      <c r="Z432" s="41">
        <f>IFERROR(IF(Y432=0,"",ROUNDUP(Y432/H432,0)*0.00902),"")</f>
        <v>1.804E-2</v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10.38</v>
      </c>
      <c r="BN432" s="78">
        <f t="shared" si="66"/>
        <v>10.38</v>
      </c>
      <c r="BO432" s="78">
        <f t="shared" si="67"/>
        <v>1.5151515151515152E-2</v>
      </c>
      <c r="BP432" s="78">
        <f t="shared" si="68"/>
        <v>1.5151515151515152E-2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490.66666666666663</v>
      </c>
      <c r="Y433" s="43">
        <f>IFERROR(Y425/H425,"0")+IFERROR(Y426/H426,"0")+IFERROR(Y427/H427,"0")+IFERROR(Y428/H428,"0")+IFERROR(Y429/H429,"0")+IFERROR(Y430/H430,"0")+IFERROR(Y431/H431,"0")+IFERROR(Y432/H432,"0")</f>
        <v>491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10.628329999999998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7320</v>
      </c>
      <c r="Y434" s="43">
        <f>IFERROR(SUM(Y425:Y432),"0")</f>
        <v>7325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2300</v>
      </c>
      <c r="Y436" s="55">
        <f>IFERROR(IF(X436="",0,CEILING((X436/$H436),1)*$H436),"")</f>
        <v>2310</v>
      </c>
      <c r="Z436" s="41">
        <f>IFERROR(IF(Y436=0,"",ROUNDUP(Y436/H436,0)*0.02175),"")</f>
        <v>3.3494999999999999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2372.0666666666666</v>
      </c>
      <c r="BN436" s="78">
        <f>IFERROR(Y436*I436/H436,"0")</f>
        <v>2382.38</v>
      </c>
      <c r="BO436" s="78">
        <f>IFERROR(1/J436*(X436/H436),"0")</f>
        <v>3.1944444444444446</v>
      </c>
      <c r="BP436" s="78">
        <f>IFERROR(1/J436*(Y436/H436),"0")</f>
        <v>3.208333333333333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8</v>
      </c>
      <c r="Y438" s="55">
        <f>IFERROR(IF(X438="",0,CEILING((X438/$H438),1)*$H438),"")</f>
        <v>8</v>
      </c>
      <c r="Z438" s="41">
        <f>IFERROR(IF(Y438=0,"",ROUNDUP(Y438/H438,0)*0.00902),"")</f>
        <v>1.804E-2</v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8.3800000000000008</v>
      </c>
      <c r="BN438" s="78">
        <f>IFERROR(Y438*I438/H438,"0")</f>
        <v>8.3800000000000008</v>
      </c>
      <c r="BO438" s="78">
        <f>IFERROR(1/J438*(X438/H438),"0")</f>
        <v>1.5151515151515152E-2</v>
      </c>
      <c r="BP438" s="78">
        <f>IFERROR(1/J438*(Y438/H438),"0")</f>
        <v>1.5151515151515152E-2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155.33333333333334</v>
      </c>
      <c r="Y439" s="43">
        <f>IFERROR(Y436/H436,"0")+IFERROR(Y437/H437,"0")+IFERROR(Y438/H438,"0")</f>
        <v>156</v>
      </c>
      <c r="Z439" s="43">
        <f>IFERROR(IF(Z436="",0,Z436),"0")+IFERROR(IF(Z437="",0,Z437),"0")+IFERROR(IF(Z438="",0,Z438),"0")</f>
        <v>3.36754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2308</v>
      </c>
      <c r="Y440" s="43">
        <f>IFERROR(SUM(Y436:Y438),"0")</f>
        <v>2318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1000</v>
      </c>
      <c r="Y442" s="55">
        <f>IFERROR(IF(X442="",0,CEILING((X442/$H442),1)*$H442),"")</f>
        <v>1008</v>
      </c>
      <c r="Z442" s="41">
        <f>IFERROR(IF(Y442=0,"",ROUNDUP(Y442/H442,0)*0.01898),"")</f>
        <v>2.1257600000000001</v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1055.5555555555557</v>
      </c>
      <c r="BN442" s="78">
        <f>IFERROR(Y442*I442/H442,"0")</f>
        <v>1064</v>
      </c>
      <c r="BO442" s="78">
        <f>IFERROR(1/J442*(X442/H442),"0")</f>
        <v>1.7361111111111112</v>
      </c>
      <c r="BP442" s="78">
        <f>IFERROR(1/J442*(Y442/H442),"0")</f>
        <v>1.75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250</v>
      </c>
      <c r="Y443" s="55">
        <f>IFERROR(IF(X443="",0,CEILING((X443/$H443),1)*$H443),"")</f>
        <v>252</v>
      </c>
      <c r="Z443" s="41">
        <f>IFERROR(IF(Y443=0,"",ROUNDUP(Y443/H443,0)*0.01898),"")</f>
        <v>0.53144000000000002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263.72222222222223</v>
      </c>
      <c r="BN443" s="78">
        <f>IFERROR(Y443*I443/H443,"0")</f>
        <v>265.83199999999999</v>
      </c>
      <c r="BO443" s="78">
        <f>IFERROR(1/J443*(X443/H443),"0")</f>
        <v>0.43402777777777779</v>
      </c>
      <c r="BP443" s="78">
        <f>IFERROR(1/J443*(Y443/H443),"0")</f>
        <v>0.4375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138.88888888888889</v>
      </c>
      <c r="Y445" s="43">
        <f>IFERROR(Y442/H442,"0")+IFERROR(Y443/H443,"0")+IFERROR(Y444/H444,"0")</f>
        <v>140</v>
      </c>
      <c r="Z445" s="43">
        <f>IFERROR(IF(Z442="",0,Z442),"0")+IFERROR(IF(Z443="",0,Z443),"0")+IFERROR(IF(Z444="",0,Z444),"0")</f>
        <v>2.6572</v>
      </c>
      <c r="AA445" s="67"/>
      <c r="AB445" s="67"/>
      <c r="AC445" s="67"/>
    </row>
    <row r="446" spans="1:68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1250</v>
      </c>
      <c r="Y446" s="43">
        <f>IFERROR(SUM(Y442:Y444),"0")</f>
        <v>1260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300</v>
      </c>
      <c r="Y449" s="55">
        <f>IFERROR(IF(X449="",0,CEILING((X449/$H449),1)*$H449),"")</f>
        <v>306</v>
      </c>
      <c r="Z449" s="41">
        <f>IFERROR(IF(Y449=0,"",ROUNDUP(Y449/H449,0)*0.01898),"")</f>
        <v>0.64532</v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316.46666666666664</v>
      </c>
      <c r="BN449" s="78">
        <f>IFERROR(Y449*I449/H449,"0")</f>
        <v>322.79599999999999</v>
      </c>
      <c r="BO449" s="78">
        <f>IFERROR(1/J449*(X449/H449),"0")</f>
        <v>0.52083333333333337</v>
      </c>
      <c r="BP449" s="78">
        <f>IFERROR(1/J449*(Y449/H449),"0")</f>
        <v>0.53125</v>
      </c>
    </row>
    <row r="450" spans="1:68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33.333333333333336</v>
      </c>
      <c r="Y450" s="43">
        <f>IFERROR(Y448/H448,"0")+IFERROR(Y449/H449,"0")</f>
        <v>34</v>
      </c>
      <c r="Z450" s="43">
        <f>IFERROR(IF(Z448="",0,Z448),"0")+IFERROR(IF(Z449="",0,Z449),"0")</f>
        <v>0.64532</v>
      </c>
      <c r="AA450" s="67"/>
      <c r="AB450" s="67"/>
      <c r="AC450" s="67"/>
    </row>
    <row r="451" spans="1:68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300</v>
      </c>
      <c r="Y451" s="43">
        <f>IFERROR(SUM(Y448:Y449),"0")</f>
        <v>306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500</v>
      </c>
      <c r="Y463" s="55">
        <f>IFERROR(IF(X463="",0,CEILING((X463/$H463),1)*$H463),"")</f>
        <v>504</v>
      </c>
      <c r="Z463" s="41">
        <f>IFERROR(IF(Y463=0,"",ROUNDUP(Y463/H463,0)*0.01898),"")</f>
        <v>1.06288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527.44444444444446</v>
      </c>
      <c r="BN463" s="78">
        <f>IFERROR(Y463*I463/H463,"0")</f>
        <v>531.66399999999999</v>
      </c>
      <c r="BO463" s="78">
        <f>IFERROR(1/J463*(X463/H463),"0")</f>
        <v>0.86805555555555558</v>
      </c>
      <c r="BP463" s="78">
        <f>IFERROR(1/J463*(Y463/H463),"0")</f>
        <v>0.875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55.555555555555557</v>
      </c>
      <c r="Y466" s="43">
        <f>IFERROR(Y463/H463,"0")+IFERROR(Y464/H464,"0")+IFERROR(Y465/H465,"0")</f>
        <v>56</v>
      </c>
      <c r="Z466" s="43">
        <f>IFERROR(IF(Z463="",0,Z463),"0")+IFERROR(IF(Z464="",0,Z464),"0")+IFERROR(IF(Z465="",0,Z465),"0")</f>
        <v>1.06288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500</v>
      </c>
      <c r="Y467" s="43">
        <f>IFERROR(SUM(Y463:Y465),"0")</f>
        <v>504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100</v>
      </c>
      <c r="Y471" s="55">
        <f t="shared" ref="Y471:Y476" si="69">IFERROR(IF(X471="",0,CEILING((X471/$H471),1)*$H471),"")</f>
        <v>102.60000000000001</v>
      </c>
      <c r="Z471" s="41">
        <f>IFERROR(IF(Y471=0,"",ROUNDUP(Y471/H471,0)*0.00902),"")</f>
        <v>0.17138</v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103.5185185185185</v>
      </c>
      <c r="BN471" s="78">
        <f t="shared" ref="BN471:BN476" si="71">IFERROR(Y471*I471/H471,"0")</f>
        <v>106.21</v>
      </c>
      <c r="BO471" s="78">
        <f t="shared" ref="BO471:BO476" si="72">IFERROR(1/J471*(X471/H471),"0")</f>
        <v>0.14029180695847362</v>
      </c>
      <c r="BP471" s="78">
        <f t="shared" ref="BP471:BP476" si="73">IFERROR(1/J471*(Y471/H471),"0")</f>
        <v>0.14393939393939395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18.518518518518519</v>
      </c>
      <c r="Y477" s="43">
        <f>IFERROR(Y471/H471,"0")+IFERROR(Y472/H472,"0")+IFERROR(Y473/H473,"0")+IFERROR(Y474/H474,"0")+IFERROR(Y475/H475,"0")+IFERROR(Y476/H476,"0")</f>
        <v>19</v>
      </c>
      <c r="Z477" s="43">
        <f>IFERROR(IF(Z471="",0,Z471),"0")+IFERROR(IF(Z472="",0,Z472),"0")+IFERROR(IF(Z473="",0,Z473),"0")+IFERROR(IF(Z474="",0,Z474),"0")+IFERROR(IF(Z475="",0,Z475),"0")+IFERROR(IF(Z476="",0,Z476),"0")</f>
        <v>0.17138</v>
      </c>
      <c r="AA477" s="67"/>
      <c r="AB477" s="67"/>
      <c r="AC477" s="67"/>
    </row>
    <row r="478" spans="1:68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100</v>
      </c>
      <c r="Y478" s="43">
        <f>IFERROR(SUM(Y471:Y476),"0")</f>
        <v>102.60000000000001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200</v>
      </c>
      <c r="Y490" s="55">
        <f>IFERROR(IF(X490="",0,CEILING((X490/$H490),1)*$H490),"")</f>
        <v>205.20000000000002</v>
      </c>
      <c r="Z490" s="41">
        <f>IFERROR(IF(Y490=0,"",ROUNDUP(Y490/H490,0)*0.00902),"")</f>
        <v>0.34276000000000001</v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207.03703703703701</v>
      </c>
      <c r="BN490" s="78">
        <f>IFERROR(Y490*I490/H490,"0")</f>
        <v>212.42</v>
      </c>
      <c r="BO490" s="78">
        <f>IFERROR(1/J490*(X490/H490),"0")</f>
        <v>0.28058361391694725</v>
      </c>
      <c r="BP490" s="78">
        <f>IFERROR(1/J490*(Y490/H490),"0")</f>
        <v>0.2878787878787879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37.037037037037038</v>
      </c>
      <c r="Y493" s="43">
        <f>IFERROR(Y490/H490,"0")+IFERROR(Y491/H491,"0")+IFERROR(Y492/H492,"0")</f>
        <v>38</v>
      </c>
      <c r="Z493" s="43">
        <f>IFERROR(IF(Z490="",0,Z490),"0")+IFERROR(IF(Z491="",0,Z491),"0")+IFERROR(IF(Z492="",0,Z492),"0")</f>
        <v>0.34276000000000001</v>
      </c>
      <c r="AA493" s="67"/>
      <c r="AB493" s="67"/>
      <c r="AC493" s="67"/>
    </row>
    <row r="494" spans="1:68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200</v>
      </c>
      <c r="Y494" s="43">
        <f>IFERROR(SUM(Y490:Y492),"0")</f>
        <v>205.20000000000002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100</v>
      </c>
      <c r="Y501" s="55">
        <f t="shared" si="74"/>
        <v>100.32000000000001</v>
      </c>
      <c r="Z501" s="41">
        <f t="shared" si="75"/>
        <v>0.22724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106.62878787878788</v>
      </c>
      <c r="BN501" s="78">
        <f t="shared" si="77"/>
        <v>106.97</v>
      </c>
      <c r="BO501" s="78">
        <f t="shared" si="78"/>
        <v>0.18210955710955709</v>
      </c>
      <c r="BP501" s="78">
        <f t="shared" si="79"/>
        <v>0.18269230769230771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120</v>
      </c>
      <c r="Y503" s="55">
        <f t="shared" si="74"/>
        <v>121.44000000000001</v>
      </c>
      <c r="Z503" s="41">
        <f t="shared" si="75"/>
        <v>0.27507999999999999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127.95454545454545</v>
      </c>
      <c r="BN503" s="78">
        <f t="shared" si="77"/>
        <v>129.49</v>
      </c>
      <c r="BO503" s="78">
        <f t="shared" si="78"/>
        <v>0.21853146853146854</v>
      </c>
      <c r="BP503" s="78">
        <f t="shared" si="79"/>
        <v>0.22115384615384617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41.666666666666664</v>
      </c>
      <c r="Y507" s="43">
        <f>IFERROR(Y498/H498,"0")+IFERROR(Y499/H499,"0")+IFERROR(Y500/H500,"0")+IFERROR(Y501/H501,"0")+IFERROR(Y502/H502,"0")+IFERROR(Y503/H503,"0")+IFERROR(Y504/H504,"0")+IFERROR(Y505/H505,"0")+IFERROR(Y506/H506,"0")</f>
        <v>42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0.50231999999999999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220</v>
      </c>
      <c r="Y508" s="43">
        <f>IFERROR(SUM(Y498:Y506),"0")</f>
        <v>221.76000000000002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140</v>
      </c>
      <c r="Y510" s="55">
        <f>IFERROR(IF(X510="",0,CEILING((X510/$H510),1)*$H510),"")</f>
        <v>142.56</v>
      </c>
      <c r="Z510" s="41">
        <f>IFERROR(IF(Y510=0,"",ROUNDUP(Y510/H510,0)*0.01196),"")</f>
        <v>0.32291999999999998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149.280303030303</v>
      </c>
      <c r="BN510" s="78">
        <f>IFERROR(Y510*I510/H510,"0")</f>
        <v>152.01</v>
      </c>
      <c r="BO510" s="78">
        <f>IFERROR(1/J510*(X510/H510),"0")</f>
        <v>0.25495337995337997</v>
      </c>
      <c r="BP510" s="78">
        <f>IFERROR(1/J510*(Y510/H510),"0")</f>
        <v>0.25961538461538464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26.515151515151516</v>
      </c>
      <c r="Y513" s="43">
        <f>IFERROR(Y510/H510,"0")+IFERROR(Y511/H511,"0")+IFERROR(Y512/H512,"0")</f>
        <v>27</v>
      </c>
      <c r="Z513" s="43">
        <f>IFERROR(IF(Z510="",0,Z510),"0")+IFERROR(IF(Z511="",0,Z511),"0")+IFERROR(IF(Z512="",0,Z512),"0")</f>
        <v>0.32291999999999998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140</v>
      </c>
      <c r="Y514" s="43">
        <f>IFERROR(SUM(Y510:Y512),"0")</f>
        <v>142.56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100</v>
      </c>
      <c r="Y516" s="55">
        <f t="shared" ref="Y516:Y522" si="80">IFERROR(IF(X516="",0,CEILING((X516/$H516),1)*$H516),"")</f>
        <v>100.32000000000001</v>
      </c>
      <c r="Z516" s="41">
        <f>IFERROR(IF(Y516=0,"",ROUNDUP(Y516/H516,0)*0.01196),"")</f>
        <v>0.22724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106.62878787878788</v>
      </c>
      <c r="BN516" s="78">
        <f t="shared" ref="BN516:BN522" si="82">IFERROR(Y516*I516/H516,"0")</f>
        <v>106.97</v>
      </c>
      <c r="BO516" s="78">
        <f t="shared" ref="BO516:BO522" si="83">IFERROR(1/J516*(X516/H516),"0")</f>
        <v>0.18210955710955709</v>
      </c>
      <c r="BP516" s="78">
        <f t="shared" ref="BP516:BP522" si="84">IFERROR(1/J516*(Y516/H516),"0")</f>
        <v>0.18269230769230771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90</v>
      </c>
      <c r="Y517" s="55">
        <f t="shared" si="80"/>
        <v>95.04</v>
      </c>
      <c r="Z517" s="41">
        <f>IFERROR(IF(Y517=0,"",ROUNDUP(Y517/H517,0)*0.01196),"")</f>
        <v>0.21528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95.965909090909079</v>
      </c>
      <c r="BN517" s="78">
        <f t="shared" si="82"/>
        <v>101.33999999999999</v>
      </c>
      <c r="BO517" s="78">
        <f t="shared" si="83"/>
        <v>0.16389860139860138</v>
      </c>
      <c r="BP517" s="78">
        <f t="shared" si="84"/>
        <v>0.17307692307692307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170</v>
      </c>
      <c r="Y518" s="55">
        <f t="shared" si="80"/>
        <v>174.24</v>
      </c>
      <c r="Z518" s="41">
        <f>IFERROR(IF(Y518=0,"",ROUNDUP(Y518/H518,0)*0.01196),"")</f>
        <v>0.39468000000000003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181.26893939393938</v>
      </c>
      <c r="BN518" s="78">
        <f t="shared" si="82"/>
        <v>185.79</v>
      </c>
      <c r="BO518" s="78">
        <f t="shared" si="83"/>
        <v>0.3095862470862471</v>
      </c>
      <c r="BP518" s="78">
        <f t="shared" si="84"/>
        <v>0.31730769230769235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68.181818181818187</v>
      </c>
      <c r="Y523" s="43">
        <f>IFERROR(Y516/H516,"0")+IFERROR(Y517/H517,"0")+IFERROR(Y518/H518,"0")+IFERROR(Y519/H519,"0")+IFERROR(Y520/H520,"0")+IFERROR(Y521/H521,"0")+IFERROR(Y522/H522,"0")</f>
        <v>70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0.83720000000000006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360</v>
      </c>
      <c r="Y524" s="43">
        <f>IFERROR(SUM(Y516:Y522),"0")</f>
        <v>369.6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240</v>
      </c>
      <c r="Y528" s="55">
        <f>IFERROR(IF(X528="",0,CEILING((X528/$H528),1)*$H528),"")</f>
        <v>240</v>
      </c>
      <c r="Z528" s="41">
        <f>IFERROR(IF(Y528=0,"",ROUNDUP(Y528/H528,0)*0.01898),"")</f>
        <v>0.37959999999999999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248.20000000000002</v>
      </c>
      <c r="BN528" s="78">
        <f>IFERROR(Y528*I528/H528,"0")</f>
        <v>248.20000000000002</v>
      </c>
      <c r="BO528" s="78">
        <f>IFERROR(1/J528*(X528/H528),"0")</f>
        <v>0.3125</v>
      </c>
      <c r="BP528" s="78">
        <f>IFERROR(1/J528*(Y528/H528),"0")</f>
        <v>0.3125</v>
      </c>
    </row>
    <row r="529" spans="1:68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20</v>
      </c>
      <c r="Y529" s="43">
        <f>IFERROR(Y528/H528,"0")</f>
        <v>20</v>
      </c>
      <c r="Z529" s="43">
        <f>IFERROR(IF(Z528="",0,Z528),"0")</f>
        <v>0.37959999999999999</v>
      </c>
      <c r="AA529" s="67"/>
      <c r="AB529" s="67"/>
      <c r="AC529" s="67"/>
    </row>
    <row r="530" spans="1:68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240</v>
      </c>
      <c r="Y530" s="43">
        <f>IFERROR(SUM(Y528:Y528),"0")</f>
        <v>240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90</v>
      </c>
      <c r="Y536" s="55">
        <f>IFERROR(IF(X536="",0,CEILING((X536/$H536),1)*$H536),"")</f>
        <v>92.4</v>
      </c>
      <c r="Z536" s="41">
        <f>IFERROR(IF(Y536=0,"",ROUNDUP(Y536/H536,0)*0.00902),"")</f>
        <v>0.19844000000000001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95.357142857142847</v>
      </c>
      <c r="BN536" s="78">
        <f>IFERROR(Y536*I536/H536,"0")</f>
        <v>97.9</v>
      </c>
      <c r="BO536" s="78">
        <f>IFERROR(1/J536*(X536/H536),"0")</f>
        <v>0.16233766233766234</v>
      </c>
      <c r="BP536" s="78">
        <f>IFERROR(1/J536*(Y536/H536),"0")</f>
        <v>0.16666666666666669</v>
      </c>
    </row>
    <row r="537" spans="1:68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21.428571428571427</v>
      </c>
      <c r="Y537" s="43">
        <f>IFERROR(Y536/H536,"0")</f>
        <v>22</v>
      </c>
      <c r="Z537" s="43">
        <f>IFERROR(IF(Z536="",0,Z536),"0")</f>
        <v>0.19844000000000001</v>
      </c>
      <c r="AA537" s="67"/>
      <c r="AB537" s="67"/>
      <c r="AC537" s="67"/>
    </row>
    <row r="538" spans="1:68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90</v>
      </c>
      <c r="Y538" s="43">
        <f>IFERROR(SUM(Y536:Y536),"0")</f>
        <v>92.4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18203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18353.179999999997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18952.575872886689</v>
      </c>
      <c r="Y554" s="43">
        <f>IFERROR(SUM(BN22:BN550),"0")</f>
        <v>19110.079999999998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29</v>
      </c>
      <c r="Y555" s="44">
        <f>ROUNDUP(SUM(BP22:BP550),0)</f>
        <v>29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19677.575872886689</v>
      </c>
      <c r="Y556" s="43">
        <f>GrossWeightTotalR+PalletQtyTotalR*25</f>
        <v>19835.079999999998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1928.5368962933615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1950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32.002429999999997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36.400000000000006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472.80000000000007</v>
      </c>
      <c r="F563" s="52">
        <f>IFERROR(Y83*1,"0")+IFERROR(Y84*1,"0")+IFERROR(Y85*1,"0")+IFERROR(Y86*1,"0")+IFERROR(Y90*1,"0")+IFERROR(Y91*1,"0")+IFERROR(Y92*1,"0")+IFERROR(Y93*1,"0")</f>
        <v>442.8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882.9</v>
      </c>
      <c r="H563" s="52">
        <f>IFERROR(Y128*1,"0")+IFERROR(Y129*1,"0")+IFERROR(Y130*1,"0")+IFERROR(Y134*1,"0")+IFERROR(Y135*1,"0")+IFERROR(Y136*1,"0")+IFERROR(Y137*1,"0")+IFERROR(Y141*1,"0")+IFERROR(Y142*1,"0")+IFERROR(Y143*1,"0")</f>
        <v>28.560000000000002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112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134.4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1825.8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249.60000000000002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797</v>
      </c>
      <c r="U563" s="52">
        <f>IFERROR(Y411*1,"0")+IFERROR(Y412*1,"0")</f>
        <v>0</v>
      </c>
      <c r="V563" s="52">
        <f>IFERROR(Y417*1,"0")+IFERROR(Y418*1,"0")+IFERROR(Y419*1,"0")</f>
        <v>283.79999999999995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11209</v>
      </c>
      <c r="X563" s="52">
        <f>IFERROR(Y454*1,"0")+IFERROR(Y455*1,"0")+IFERROR(Y459*1,"0")+IFERROR(Y463*1,"0")+IFERROR(Y464*1,"0")+IFERROR(Y465*1,"0")</f>
        <v>504</v>
      </c>
      <c r="Y563" s="52">
        <f>IFERROR(Y471*1,"0")+IFERROR(Y472*1,"0")+IFERROR(Y473*1,"0")+IFERROR(Y474*1,"0")+IFERROR(Y475*1,"0")+IFERROR(Y476*1,"0")+IFERROR(Y480*1,"0")+IFERROR(Y481*1,"0")</f>
        <v>102.60000000000001</v>
      </c>
      <c r="Z563" s="52">
        <f>IFERROR(Y486*1,"0")+IFERROR(Y490*1,"0")+IFERROR(Y491*1,"0")+IFERROR(Y492*1,"0")</f>
        <v>205.20000000000002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733.92000000000007</v>
      </c>
      <c r="AB563" s="52">
        <f>IFERROR(Y528*1,"0")+IFERROR(Y532*1,"0")+IFERROR(Y536*1,"0")+IFERROR(Y540*1,"0")+IFERROR(Y544*1,"0")+IFERROR(Y545*1,"0")</f>
        <v>332.4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50,00"/>
        <filter val="1 460,00"/>
        <filter val="1 928,54"/>
        <filter val="10,00"/>
        <filter val="100,00"/>
        <filter val="104,94"/>
        <filter val="110,00"/>
        <filter val="12,00"/>
        <filter val="120,00"/>
        <filter val="13,89"/>
        <filter val="130,00"/>
        <filter val="138,89"/>
        <filter val="140,00"/>
        <filter val="150,00"/>
        <filter val="155,33"/>
        <filter val="16,67"/>
        <filter val="170,00"/>
        <filter val="18 203,00"/>
        <filter val="18 952,58"/>
        <filter val="18,52"/>
        <filter val="19 677,58"/>
        <filter val="2 250,00"/>
        <filter val="2 300,00"/>
        <filter val="2 308,00"/>
        <filter val="2 800,00"/>
        <filter val="2,78"/>
        <filter val="2,81"/>
        <filter val="2,86"/>
        <filter val="20,00"/>
        <filter val="200,00"/>
        <filter val="21,43"/>
        <filter val="220,00"/>
        <filter val="23,80"/>
        <filter val="230,00"/>
        <filter val="240,00"/>
        <filter val="250,00"/>
        <filter val="26,19"/>
        <filter val="26,52"/>
        <filter val="270,00"/>
        <filter val="270,37"/>
        <filter val="278,00"/>
        <filter val="29"/>
        <filter val="29,63"/>
        <filter val="3,78"/>
        <filter val="3,79"/>
        <filter val="30,00"/>
        <filter val="30,95"/>
        <filter val="300,00"/>
        <filter val="31,43"/>
        <filter val="318,00"/>
        <filter val="320,00"/>
        <filter val="33,33"/>
        <filter val="34,00"/>
        <filter val="360,00"/>
        <filter val="37,04"/>
        <filter val="37,14"/>
        <filter val="39,51"/>
        <filter val="4,00"/>
        <filter val="400,00"/>
        <filter val="41,67"/>
        <filter val="48,00"/>
        <filter val="490,67"/>
        <filter val="5,70"/>
        <filter val="50,00"/>
        <filter val="500,00"/>
        <filter val="55,56"/>
        <filter val="60,00"/>
        <filter val="620,00"/>
        <filter val="68,18"/>
        <filter val="7 320,00"/>
        <filter val="7,69"/>
        <filter val="700,00"/>
        <filter val="72,00"/>
        <filter val="77,47"/>
        <filter val="8,00"/>
        <filter val="84,00"/>
        <filter val="850,00"/>
        <filter val="87,24"/>
        <filter val="9,00"/>
        <filter val="90,00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2026-08-25T09:55:35Z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