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99ED7B0-63C4-4801-955B-B525D8FD07A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Z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Z47" i="2" s="1"/>
  <c r="X43" i="2"/>
  <c r="X42" i="2"/>
  <c r="BO41" i="2"/>
  <c r="BM41" i="2"/>
  <c r="Y41" i="2"/>
  <c r="Y43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Z33" i="2"/>
  <c r="Y33" i="2"/>
  <c r="BN33" i="2" s="1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Y51" i="2" l="1"/>
  <c r="BN286" i="2"/>
  <c r="BN300" i="2"/>
  <c r="BN347" i="2"/>
  <c r="BN23" i="2"/>
  <c r="Z31" i="2"/>
  <c r="BP34" i="2"/>
  <c r="BN36" i="2"/>
  <c r="Z41" i="2"/>
  <c r="Z42" i="2" s="1"/>
  <c r="BN41" i="2"/>
  <c r="BP41" i="2"/>
  <c r="Y42" i="2"/>
  <c r="Z48" i="2"/>
  <c r="BP101" i="2"/>
  <c r="BN137" i="2"/>
  <c r="Z141" i="2"/>
  <c r="BN141" i="2"/>
  <c r="Z142" i="2"/>
  <c r="Z143" i="2" s="1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11" i="2"/>
  <c r="BP325" i="2"/>
  <c r="BN327" i="2"/>
  <c r="Y334" i="2"/>
  <c r="Y342" i="2"/>
  <c r="Y519" i="2"/>
  <c r="Y78" i="2"/>
  <c r="BN308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Z156" i="2" s="1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Z313" i="2" s="1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O535" i="2"/>
  <c r="Y288" i="2"/>
  <c r="BP284" i="2"/>
  <c r="BN284" i="2"/>
  <c r="Z33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Z485" i="2" s="1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BP324" i="2"/>
  <c r="Z333" i="2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18" i="2"/>
  <c r="Z241" i="2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243" i="2" l="1"/>
  <c r="Z201" i="2"/>
  <c r="Z320" i="2"/>
  <c r="Z288" i="2"/>
  <c r="Z87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<sst xmlns="http://schemas.openxmlformats.org/spreadsheetml/2006/main" count="3933" uniqueCount="845">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</sst>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 t="s">
        <v>844</v>
      </c>
      <c r="I5" s="598"/>
      <c r="J5" s="598"/>
      <c r="K5" s="598"/>
      <c r="L5" s="598"/>
      <c r="M5" s="598"/>
      <c r="N5" s="69"/>
      <c r="P5" s="26" t="s">
        <v>4</v>
      </c>
      <c r="Q5" s="600">
        <v>46261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>
        <v>0.54166666666666663</v>
      </c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hidden="1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/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/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/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/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/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hidden="1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hidden="1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hidden="1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hidden="1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>
        <v>270</v>
      </c>
      <c r="Y56" s="53">
        <f>IFERROR(IF(X56="",0,CEILING((X56/$H56),1)*$H56),"")</f>
        <v>270</v>
      </c>
      <c r="Z56" s="39">
        <f>IFERROR(IF(Y56=0,"",ROUNDUP(Y56/H56,0)*0.01898),"")</f>
        <v>0.47450000000000003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280.25</v>
      </c>
      <c r="BN56" s="75">
        <f>IFERROR(Y56*I56/H56,"0")</f>
        <v>280.25</v>
      </c>
      <c r="BO56" s="75">
        <f>IFERROR(1/J56*(X56/H56),"0")</f>
        <v>0.390625</v>
      </c>
      <c r="BP56" s="75">
        <f>IFERROR(1/J56*(Y56/H56),"0")</f>
        <v>0.390625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>
        <v>24</v>
      </c>
      <c r="Y58" s="53">
        <f>IFERROR(IF(X58="",0,CEILING((X58/$H58),1)*$H58),"")</f>
        <v>24</v>
      </c>
      <c r="Z58" s="39">
        <f>IFERROR(IF(Y58=0,"",ROUNDUP(Y58/H58,0)*0.00902),"")</f>
        <v>5.4120000000000001E-2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25.14</v>
      </c>
      <c r="BN58" s="75">
        <f>IFERROR(Y58*I58/H58,"0")</f>
        <v>25.14</v>
      </c>
      <c r="BO58" s="75">
        <f>IFERROR(1/J58*(X58/H58),"0")</f>
        <v>4.5454545454545456E-2</v>
      </c>
      <c r="BP58" s="75">
        <f>IFERROR(1/J58*(Y58/H58),"0")</f>
        <v>4.5454545454545456E-2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31</v>
      </c>
      <c r="Y60" s="41">
        <f>IFERROR(Y56/H56,"0")+IFERROR(Y57/H57,"0")+IFERROR(Y58/H58,"0")+IFERROR(Y59/H59,"0")</f>
        <v>31</v>
      </c>
      <c r="Z60" s="41">
        <f>IFERROR(IF(Z56="",0,Z56),"0")+IFERROR(IF(Z57="",0,Z57),"0")+IFERROR(IF(Z58="",0,Z58),"0")+IFERROR(IF(Z59="",0,Z59),"0")</f>
        <v>0.52862000000000009</v>
      </c>
      <c r="AA60" s="64"/>
      <c r="AB60" s="64"/>
      <c r="AC60" s="64"/>
    </row>
    <row r="61" spans="1:68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294</v>
      </c>
      <c r="Y61" s="41">
        <f>IFERROR(SUM(Y56:Y59),"0")</f>
        <v>294</v>
      </c>
      <c r="Z61" s="40"/>
      <c r="AA61" s="64"/>
      <c r="AB61" s="64"/>
      <c r="AC61" s="64"/>
    </row>
    <row r="62" spans="1:68" ht="16.5" hidden="1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hidden="1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hidden="1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hidden="1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/>
      <c r="Y65" s="53">
        <f t="shared" si="6"/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hidden="1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0</v>
      </c>
      <c r="Y70" s="41">
        <f>IFERROR(Y64/H64,"0")+IFERROR(Y65/H65,"0")+IFERROR(Y66/H66,"0")+IFERROR(Y67/H67,"0")+IFERROR(Y68/H68,"0")+IFERROR(Y69/H69,"0")</f>
        <v>0</v>
      </c>
      <c r="Z70" s="41">
        <f>IFERROR(IF(Z64="",0,Z64),"0")+IFERROR(IF(Z65="",0,Z65),"0")+IFERROR(IF(Z66="",0,Z66),"0")+IFERROR(IF(Z67="",0,Z67),"0")+IFERROR(IF(Z68="",0,Z68),"0")+IFERROR(IF(Z69="",0,Z69),"0")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0</v>
      </c>
      <c r="Y71" s="41">
        <f>IFERROR(SUM(Y64:Y69),"0")</f>
        <v>0</v>
      </c>
      <c r="Z71" s="40"/>
      <c r="AA71" s="64"/>
      <c r="AB71" s="64"/>
      <c r="AC71" s="64"/>
    </row>
    <row r="72" spans="1:68" ht="14.25" hidden="1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>
        <v>50</v>
      </c>
      <c r="Y73" s="53">
        <f>IFERROR(IF(X73="",0,CEILING((X73/$H73),1)*$H73),"")</f>
        <v>54</v>
      </c>
      <c r="Z73" s="39">
        <f>IFERROR(IF(Y73=0,"",ROUNDUP(Y73/H73,0)*0.01898),"")</f>
        <v>9.4899999999999998E-2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51.898148148148145</v>
      </c>
      <c r="BN73" s="75">
        <f>IFERROR(Y73*I73/H73,"0")</f>
        <v>56.05</v>
      </c>
      <c r="BO73" s="75">
        <f>IFERROR(1/J73*(X73/H73),"0")</f>
        <v>7.2337962962962965E-2</v>
      </c>
      <c r="BP73" s="75">
        <f>IFERROR(1/J73*(Y73/H73),"0")</f>
        <v>7.8125E-2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4.6296296296296298</v>
      </c>
      <c r="Y77" s="41">
        <f>IFERROR(Y73/H73,"0")+IFERROR(Y74/H74,"0")+IFERROR(Y75/H75,"0")+IFERROR(Y76/H76,"0")</f>
        <v>5</v>
      </c>
      <c r="Z77" s="41">
        <f>IFERROR(IF(Z73="",0,Z73),"0")+IFERROR(IF(Z74="",0,Z74),"0")+IFERROR(IF(Z75="",0,Z75),"0")+IFERROR(IF(Z76="",0,Z76),"0")</f>
        <v>9.4899999999999998E-2</v>
      </c>
      <c r="AA77" s="64"/>
      <c r="AB77" s="64"/>
      <c r="AC77" s="64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50</v>
      </c>
      <c r="Y78" s="41">
        <f>IFERROR(SUM(Y73:Y76),"0")</f>
        <v>54</v>
      </c>
      <c r="Z78" s="40"/>
      <c r="AA78" s="64"/>
      <c r="AB78" s="64"/>
      <c r="AC78" s="64"/>
    </row>
    <row r="79" spans="1:68" ht="14.25" hidden="1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100</v>
      </c>
      <c r="Y85" s="53">
        <f>IFERROR(IF(X85="",0,CEILING((X85/$H85),1)*$H85),"")</f>
        <v>101.39999999999999</v>
      </c>
      <c r="Z85" s="39">
        <f>IFERROR(IF(Y85=0,"",ROUNDUP(Y85/H85,0)*0.01898),"")</f>
        <v>0.24674000000000001</v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105.25641025641028</v>
      </c>
      <c r="BN85" s="75">
        <f>IFERROR(Y85*I85/H85,"0")</f>
        <v>106.73</v>
      </c>
      <c r="BO85" s="75">
        <f>IFERROR(1/J85*(X85/H85),"0")</f>
        <v>0.20032051282051283</v>
      </c>
      <c r="BP85" s="75">
        <f>IFERROR(1/J85*(Y85/H85),"0")</f>
        <v>0.203125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12.820512820512821</v>
      </c>
      <c r="Y87" s="41">
        <f>IFERROR(Y85/H85,"0")+IFERROR(Y86/H86,"0")</f>
        <v>13</v>
      </c>
      <c r="Z87" s="41">
        <f>IFERROR(IF(Z85="",0,Z85),"0")+IFERROR(IF(Z86="",0,Z86),"0")</f>
        <v>0.24674000000000001</v>
      </c>
      <c r="AA87" s="64"/>
      <c r="AB87" s="64"/>
      <c r="AC87" s="64"/>
    </row>
    <row r="88" spans="1:68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100</v>
      </c>
      <c r="Y88" s="41">
        <f>IFERROR(SUM(Y85:Y86),"0")</f>
        <v>101.39999999999999</v>
      </c>
      <c r="Z88" s="40"/>
      <c r="AA88" s="64"/>
      <c r="AB88" s="64"/>
      <c r="AC88" s="64"/>
    </row>
    <row r="89" spans="1:68" ht="16.5" hidden="1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hidden="1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180</v>
      </c>
      <c r="Y91" s="53">
        <f>IFERROR(IF(X91="",0,CEILING((X91/$H91),1)*$H91),"")</f>
        <v>183.60000000000002</v>
      </c>
      <c r="Z91" s="39">
        <f>IFERROR(IF(Y91=0,"",ROUNDUP(Y91/H91,0)*0.01898),"")</f>
        <v>0.32266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186.83333333333334</v>
      </c>
      <c r="BN91" s="75">
        <f>IFERROR(Y91*I91/H91,"0")</f>
        <v>190.57000000000002</v>
      </c>
      <c r="BO91" s="75">
        <f>IFERROR(1/J91*(X91/H91),"0")</f>
        <v>0.26041666666666663</v>
      </c>
      <c r="BP91" s="75">
        <f>IFERROR(1/J91*(Y91/H91),"0")</f>
        <v>0.265625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>
        <v>40.5</v>
      </c>
      <c r="Y94" s="53">
        <f>IFERROR(IF(X94="",0,CEILING((X94/$H94),1)*$H94),"")</f>
        <v>40.5</v>
      </c>
      <c r="Z94" s="39">
        <f>IFERROR(IF(Y94=0,"",ROUNDUP(Y94/H94,0)*0.00902),"")</f>
        <v>8.1180000000000002E-2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42.210000000000008</v>
      </c>
      <c r="BN94" s="75">
        <f>IFERROR(Y94*I94/H94,"0")</f>
        <v>42.210000000000008</v>
      </c>
      <c r="BO94" s="75">
        <f>IFERROR(1/J94*(X94/H94),"0")</f>
        <v>6.8181818181818177E-2</v>
      </c>
      <c r="BP94" s="75">
        <f>IFERROR(1/J94*(Y94/H94),"0")</f>
        <v>6.8181818181818177E-2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25.666666666666664</v>
      </c>
      <c r="Y95" s="41">
        <f>IFERROR(Y91/H91,"0")+IFERROR(Y92/H92,"0")+IFERROR(Y93/H93,"0")+IFERROR(Y94/H94,"0")</f>
        <v>26</v>
      </c>
      <c r="Z95" s="41">
        <f>IFERROR(IF(Z91="",0,Z91),"0")+IFERROR(IF(Z92="",0,Z92),"0")+IFERROR(IF(Z93="",0,Z93),"0")+IFERROR(IF(Z94="",0,Z94),"0")</f>
        <v>0.40383999999999998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220.5</v>
      </c>
      <c r="Y96" s="41">
        <f>IFERROR(SUM(Y91:Y94),"0")</f>
        <v>224.10000000000002</v>
      </c>
      <c r="Z96" s="40"/>
      <c r="AA96" s="64"/>
      <c r="AB96" s="64"/>
      <c r="AC96" s="64"/>
    </row>
    <row r="97" spans="1:68" ht="14.25" hidden="1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1130</v>
      </c>
      <c r="Y98" s="53">
        <f>IFERROR(IF(X98="",0,CEILING((X98/$H98),1)*$H98),"")</f>
        <v>1134</v>
      </c>
      <c r="Z98" s="39">
        <f>IFERROR(IF(Y98=0,"",ROUNDUP(Y98/H98,0)*0.01898),"")</f>
        <v>2.6572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1198.916049382716</v>
      </c>
      <c r="BN98" s="75">
        <f>IFERROR(Y98*I98/H98,"0")</f>
        <v>1203.1600000000001</v>
      </c>
      <c r="BO98" s="75">
        <f>IFERROR(1/J98*(X98/H98),"0")</f>
        <v>2.179783950617284</v>
      </c>
      <c r="BP98" s="75">
        <f>IFERROR(1/J98*(Y98/H98),"0")</f>
        <v>2.1875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>
        <v>54</v>
      </c>
      <c r="Y100" s="53">
        <f>IFERROR(IF(X100="",0,CEILING((X100/$H100),1)*$H100),"")</f>
        <v>54</v>
      </c>
      <c r="Z100" s="39">
        <f>IFERROR(IF(Y100=0,"",ROUNDUP(Y100/H100,0)*0.00651),"")</f>
        <v>0.13020000000000001</v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59.039999999999992</v>
      </c>
      <c r="BN100" s="75">
        <f>IFERROR(Y100*I100/H100,"0")</f>
        <v>59.039999999999992</v>
      </c>
      <c r="BO100" s="75">
        <f>IFERROR(1/J100*(X100/H100),"0")</f>
        <v>0.1098901098901099</v>
      </c>
      <c r="BP100" s="75">
        <f>IFERROR(1/J100*(Y100/H100),"0")</f>
        <v>0.1098901098901099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159.50617283950618</v>
      </c>
      <c r="Y102" s="41">
        <f>IFERROR(Y98/H98,"0")+IFERROR(Y99/H99,"0")+IFERROR(Y100/H100,"0")+IFERROR(Y101/H101,"0")</f>
        <v>160</v>
      </c>
      <c r="Z102" s="41">
        <f>IFERROR(IF(Z98="",0,Z98),"0")+IFERROR(IF(Z99="",0,Z99),"0")+IFERROR(IF(Z100="",0,Z100),"0")+IFERROR(IF(Z101="",0,Z101),"0")</f>
        <v>2.7873999999999999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1184</v>
      </c>
      <c r="Y103" s="41">
        <f>IFERROR(SUM(Y98:Y101),"0")</f>
        <v>1188</v>
      </c>
      <c r="Z103" s="40"/>
      <c r="AA103" s="64"/>
      <c r="AB103" s="64"/>
      <c r="AC103" s="64"/>
    </row>
    <row r="104" spans="1:68" ht="16.5" hidden="1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hidden="1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>
        <v>250</v>
      </c>
      <c r="Y106" s="53">
        <f t="shared" ref="Y106:Y112" si="11">IFERROR(IF(X106="",0,CEILING((X106/$H106),1)*$H106),"")</f>
        <v>259.20000000000005</v>
      </c>
      <c r="Z106" s="39">
        <f>IFERROR(IF(Y106=0,"",ROUNDUP(Y106/H106,0)*0.01898),"")</f>
        <v>0.45552000000000004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259.4907407407407</v>
      </c>
      <c r="BN106" s="75">
        <f t="shared" ref="BN106:BN112" si="13">IFERROR(Y106*I106/H106,"0")</f>
        <v>269.04000000000002</v>
      </c>
      <c r="BO106" s="75">
        <f t="shared" ref="BO106:BO112" si="14">IFERROR(1/J106*(X106/H106),"0")</f>
        <v>0.36168981481481477</v>
      </c>
      <c r="BP106" s="75">
        <f t="shared" ref="BP106:BP112" si="15">IFERROR(1/J106*(Y106/H106),"0")</f>
        <v>0.37500000000000006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>
        <v>27</v>
      </c>
      <c r="Y111" s="53">
        <f t="shared" si="11"/>
        <v>27</v>
      </c>
      <c r="Z111" s="39">
        <f>IFERROR(IF(Y111=0,"",ROUNDUP(Y111/H111,0)*0.00902),"")</f>
        <v>5.4120000000000001E-2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28.14</v>
      </c>
      <c r="BN111" s="75">
        <f t="shared" si="13"/>
        <v>28.14</v>
      </c>
      <c r="BO111" s="75">
        <f t="shared" si="14"/>
        <v>4.5454545454545456E-2</v>
      </c>
      <c r="BP111" s="75">
        <f t="shared" si="15"/>
        <v>4.5454545454545456E-2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29.148148148148145</v>
      </c>
      <c r="Y113" s="41">
        <f>IFERROR(Y106/H106,"0")+IFERROR(Y107/H107,"0")+IFERROR(Y108/H108,"0")+IFERROR(Y109/H109,"0")+IFERROR(Y110/H110,"0")+IFERROR(Y111/H111,"0")+IFERROR(Y112/H112,"0")</f>
        <v>30.000000000000004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0.50964000000000009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277</v>
      </c>
      <c r="Y114" s="41">
        <f>IFERROR(SUM(Y106:Y112),"0")</f>
        <v>286.20000000000005</v>
      </c>
      <c r="Z114" s="40"/>
      <c r="AA114" s="64"/>
      <c r="AB114" s="64"/>
      <c r="AC114" s="64"/>
    </row>
    <row r="115" spans="1:68" ht="14.25" hidden="1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1450</v>
      </c>
      <c r="Y124" s="53">
        <f>IFERROR(IF(X124="",0,CEILING((X124/$H124),1)*$H124),"")</f>
        <v>1458</v>
      </c>
      <c r="Z124" s="39">
        <f>IFERROR(IF(Y124=0,"",ROUNDUP(Y124/H124,0)*0.01898),"")</f>
        <v>3.4163999999999999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1537.358024691358</v>
      </c>
      <c r="BN124" s="75">
        <f>IFERROR(Y124*I124/H124,"0")</f>
        <v>1545.84</v>
      </c>
      <c r="BO124" s="75">
        <f>IFERROR(1/J124*(X124/H124),"0")</f>
        <v>2.7970679012345681</v>
      </c>
      <c r="BP124" s="75">
        <f>IFERROR(1/J124*(Y124/H124),"0")</f>
        <v>2.8125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>
        <v>54</v>
      </c>
      <c r="Y126" s="53">
        <f>IFERROR(IF(X126="",0,CEILING((X126/$H126),1)*$H126),"")</f>
        <v>54</v>
      </c>
      <c r="Z126" s="39">
        <f>IFERROR(IF(Y126=0,"",ROUNDUP(Y126/H126,0)*0.00651),"")</f>
        <v>0.13020000000000001</v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59.039999999999992</v>
      </c>
      <c r="BN126" s="75">
        <f>IFERROR(Y126*I126/H126,"0")</f>
        <v>59.039999999999992</v>
      </c>
      <c r="BO126" s="75">
        <f>IFERROR(1/J126*(X126/H126),"0")</f>
        <v>0.1098901098901099</v>
      </c>
      <c r="BP126" s="75">
        <f>IFERROR(1/J126*(Y126/H126),"0")</f>
        <v>0.1098901098901099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199.01234567901236</v>
      </c>
      <c r="Y128" s="41">
        <f>IFERROR(Y124/H124,"0")+IFERROR(Y125/H125,"0")+IFERROR(Y126/H126,"0")+IFERROR(Y127/H127,"0")</f>
        <v>200</v>
      </c>
      <c r="Z128" s="41">
        <f>IFERROR(IF(Z124="",0,Z124),"0")+IFERROR(IF(Z125="",0,Z125),"0")+IFERROR(IF(Z126="",0,Z126),"0")+IFERROR(IF(Z127="",0,Z127),"0")</f>
        <v>3.5465999999999998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1504</v>
      </c>
      <c r="Y129" s="41">
        <f>IFERROR(SUM(Y124:Y127),"0")</f>
        <v>1512</v>
      </c>
      <c r="Z129" s="40"/>
      <c r="AA129" s="64"/>
      <c r="AB129" s="64"/>
      <c r="AC129" s="64"/>
    </row>
    <row r="130" spans="1:68" ht="14.25" hidden="1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hidden="1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hidden="1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hidden="1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hidden="1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idden="1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hidden="1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hidden="1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hidden="1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hidden="1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150</v>
      </c>
      <c r="Y209" s="53">
        <f t="shared" ref="Y209:Y222" si="21">IFERROR(IF(X209="",0,CEILING((X209/$H209),1)*$H209),"")</f>
        <v>151.20000000000002</v>
      </c>
      <c r="Z209" s="39">
        <f>IFERROR(IF(Y209=0,"",ROUNDUP(Y209/H209,0)*0.00902),"")</f>
        <v>0.32472000000000001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158.92857142857142</v>
      </c>
      <c r="BN209" s="75">
        <f t="shared" ref="BN209:BN222" si="23">IFERROR(Y209*I209/H209,"0")</f>
        <v>160.20000000000002</v>
      </c>
      <c r="BO209" s="75">
        <f t="shared" ref="BO209:BO222" si="24">IFERROR(1/J209*(X209/H209),"0")</f>
        <v>0.27056277056277056</v>
      </c>
      <c r="BP209" s="75">
        <f t="shared" ref="BP209:BP222" si="25">IFERROR(1/J209*(Y209/H209),"0")</f>
        <v>0.27272727272727271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>
        <v>100</v>
      </c>
      <c r="Y211" s="53">
        <f t="shared" si="21"/>
        <v>100.80000000000001</v>
      </c>
      <c r="Z211" s="39">
        <f>IFERROR(IF(Y211=0,"",ROUNDUP(Y211/H211,0)*0.00902),"")</f>
        <v>0.21648000000000001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104.5238095238095</v>
      </c>
      <c r="BN211" s="75">
        <f t="shared" si="23"/>
        <v>105.36</v>
      </c>
      <c r="BO211" s="75">
        <f t="shared" si="24"/>
        <v>0.18037518037518038</v>
      </c>
      <c r="BP211" s="75">
        <f t="shared" si="25"/>
        <v>0.18181818181818182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hidden="1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>
        <v>12.6</v>
      </c>
      <c r="Y215" s="53">
        <f t="shared" si="21"/>
        <v>12.600000000000001</v>
      </c>
      <c r="Z215" s="39">
        <f t="shared" si="26"/>
        <v>3.0120000000000001E-2</v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13.379999999999999</v>
      </c>
      <c r="BN215" s="75">
        <f t="shared" si="23"/>
        <v>13.38</v>
      </c>
      <c r="BO215" s="75">
        <f t="shared" si="24"/>
        <v>2.5641025641025644E-2</v>
      </c>
      <c r="BP215" s="75">
        <f t="shared" si="25"/>
        <v>2.5641025641025644E-2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>
        <v>12.6</v>
      </c>
      <c r="Y217" s="53">
        <f t="shared" si="21"/>
        <v>12.600000000000001</v>
      </c>
      <c r="Z217" s="39">
        <f t="shared" si="26"/>
        <v>3.0120000000000001E-2</v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13.200000000000001</v>
      </c>
      <c r="BN217" s="75">
        <f t="shared" si="23"/>
        <v>13.200000000000003</v>
      </c>
      <c r="BO217" s="75">
        <f t="shared" si="24"/>
        <v>2.5641025641025644E-2</v>
      </c>
      <c r="BP217" s="75">
        <f t="shared" si="25"/>
        <v>2.5641025641025644E-2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71.523809523809518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72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0.60144000000000009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275.20000000000005</v>
      </c>
      <c r="Y224" s="41">
        <f>IFERROR(SUM(Y209:Y222),"0")</f>
        <v>277.20000000000005</v>
      </c>
      <c r="Z224" s="40"/>
      <c r="AA224" s="64"/>
      <c r="AB224" s="64"/>
      <c r="AC224" s="64"/>
    </row>
    <row r="225" spans="1:68" ht="14.25" hidden="1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hidden="1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>
        <v>200</v>
      </c>
      <c r="Y251" s="53">
        <f t="shared" ref="Y251:Y258" si="27">IFERROR(IF(X251="",0,CEILING((X251/$H251),1)*$H251),"")</f>
        <v>205.20000000000002</v>
      </c>
      <c r="Z251" s="39">
        <f>IFERROR(IF(Y251=0,"",ROUNDUP(Y251/H251,0)*0.00902),"")</f>
        <v>0.34276000000000001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207.03703703703701</v>
      </c>
      <c r="BN251" s="75">
        <f t="shared" ref="BN251:BN258" si="29">IFERROR(Y251*I251/H251,"0")</f>
        <v>212.42</v>
      </c>
      <c r="BO251" s="75">
        <f t="shared" ref="BO251:BO258" si="30">IFERROR(1/J251*(X251/H251),"0")</f>
        <v>0.28058361391694725</v>
      </c>
      <c r="BP251" s="75">
        <f t="shared" ref="BP251:BP258" si="31">IFERROR(1/J251*(Y251/H251),"0")</f>
        <v>0.2878787878787879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>
        <v>200</v>
      </c>
      <c r="Y252" s="53">
        <f t="shared" si="27"/>
        <v>205.20000000000002</v>
      </c>
      <c r="Z252" s="39">
        <f>IFERROR(IF(Y252=0,"",ROUNDUP(Y252/H252,0)*0.00902),"")</f>
        <v>0.34276000000000001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207.03703703703701</v>
      </c>
      <c r="BN252" s="75">
        <f t="shared" si="29"/>
        <v>212.42</v>
      </c>
      <c r="BO252" s="75">
        <f t="shared" si="30"/>
        <v>0.28058361391694725</v>
      </c>
      <c r="BP252" s="75">
        <f t="shared" si="31"/>
        <v>0.2878787878787879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>
        <v>250</v>
      </c>
      <c r="Y253" s="53">
        <f t="shared" si="27"/>
        <v>253.8</v>
      </c>
      <c r="Z253" s="39">
        <f>IFERROR(IF(Y253=0,"",ROUNDUP(Y253/H253,0)*0.00902),"")</f>
        <v>0.42393999999999998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258.7962962962963</v>
      </c>
      <c r="BN253" s="75">
        <f t="shared" si="29"/>
        <v>262.72999999999996</v>
      </c>
      <c r="BO253" s="75">
        <f t="shared" si="30"/>
        <v>0.35072951739618402</v>
      </c>
      <c r="BP253" s="75">
        <f t="shared" si="31"/>
        <v>0.35606060606060608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>
        <v>330</v>
      </c>
      <c r="Y254" s="53">
        <f t="shared" si="27"/>
        <v>334.8</v>
      </c>
      <c r="Z254" s="39">
        <f>IFERROR(IF(Y254=0,"",ROUNDUP(Y254/H254,0)*0.00902),"")</f>
        <v>0.55923999999999996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341.61111111111109</v>
      </c>
      <c r="BN254" s="75">
        <f t="shared" si="29"/>
        <v>346.58</v>
      </c>
      <c r="BO254" s="75">
        <f t="shared" si="30"/>
        <v>0.46296296296296297</v>
      </c>
      <c r="BP254" s="75">
        <f t="shared" si="31"/>
        <v>0.46969696969696972</v>
      </c>
    </row>
    <row r="255" spans="1:68" ht="27" hidden="1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hidden="1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hidden="1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hidden="1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181.48148148148147</v>
      </c>
      <c r="Y259" s="41">
        <f>IFERROR(Y251/H251,"0")+IFERROR(Y252/H252,"0")+IFERROR(Y253/H253,"0")+IFERROR(Y254/H254,"0")+IFERROR(Y255/H255,"0")+IFERROR(Y256/H256,"0")+IFERROR(Y257/H257,"0")+IFERROR(Y258/H258,"0")</f>
        <v>185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1.6686999999999999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980</v>
      </c>
      <c r="Y260" s="41">
        <f>IFERROR(SUM(Y251:Y258),"0")</f>
        <v>999</v>
      </c>
      <c r="Z260" s="40"/>
      <c r="AA260" s="64"/>
      <c r="AB260" s="64"/>
      <c r="AC260" s="64"/>
    </row>
    <row r="261" spans="1:68" ht="14.25" hidden="1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hidden="1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/>
      <c r="Y262" s="53">
        <f t="shared" ref="Y262:Y271" si="32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0</v>
      </c>
      <c r="BN262" s="75">
        <f t="shared" ref="BN262:BN271" si="34">IFERROR(Y262*I262/H262,"0")</f>
        <v>0</v>
      </c>
      <c r="BO262" s="75">
        <f t="shared" ref="BO262:BO271" si="35">IFERROR(1/J262*(X262/H262),"0")</f>
        <v>0</v>
      </c>
      <c r="BP262" s="75">
        <f t="shared" ref="BP262:BP271" si="36">IFERROR(1/J262*(Y262/H262),"0")</f>
        <v>0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>
        <v>100</v>
      </c>
      <c r="Y263" s="53">
        <f t="shared" si="32"/>
        <v>105.3</v>
      </c>
      <c r="Z263" s="39">
        <f>IFERROR(IF(Y263=0,"",ROUNDUP(Y263/H263,0)*0.01898),"")</f>
        <v>0.24674000000000001</v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105.87654320987654</v>
      </c>
      <c r="BN263" s="75">
        <f t="shared" si="34"/>
        <v>111.48800000000001</v>
      </c>
      <c r="BO263" s="75">
        <f t="shared" si="35"/>
        <v>0.19290123456790123</v>
      </c>
      <c r="BP263" s="75">
        <f t="shared" si="36"/>
        <v>0.203125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/>
      <c r="Y264" s="53">
        <f t="shared" si="32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>
        <v>48</v>
      </c>
      <c r="Y265" s="53">
        <f t="shared" si="32"/>
        <v>48</v>
      </c>
      <c r="Z265" s="39">
        <f t="shared" ref="Z265:Z271" si="37">IFERROR(IF(Y265=0,"",ROUNDUP(Y265/H265,0)*0.00651),"")</f>
        <v>0.13020000000000001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53.4</v>
      </c>
      <c r="BN265" s="75">
        <f t="shared" si="34"/>
        <v>53.4</v>
      </c>
      <c r="BO265" s="75">
        <f t="shared" si="35"/>
        <v>0.1098901098901099</v>
      </c>
      <c r="BP265" s="75">
        <f t="shared" si="36"/>
        <v>0.1098901098901099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>
        <v>240</v>
      </c>
      <c r="Y267" s="53">
        <f t="shared" si="32"/>
        <v>240</v>
      </c>
      <c r="Z267" s="39">
        <f t="shared" si="37"/>
        <v>0.65100000000000002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265.20000000000005</v>
      </c>
      <c r="BN267" s="75">
        <f t="shared" si="34"/>
        <v>265.20000000000005</v>
      </c>
      <c r="BO267" s="75">
        <f t="shared" si="35"/>
        <v>0.5494505494505495</v>
      </c>
      <c r="BP267" s="75">
        <f t="shared" si="36"/>
        <v>0.5494505494505495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>
        <v>48</v>
      </c>
      <c r="Y268" s="53">
        <f t="shared" si="32"/>
        <v>48</v>
      </c>
      <c r="Z268" s="39">
        <f t="shared" si="37"/>
        <v>0.13020000000000001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53.040000000000006</v>
      </c>
      <c r="BN268" s="75">
        <f t="shared" si="34"/>
        <v>53.040000000000006</v>
      </c>
      <c r="BO268" s="75">
        <f t="shared" si="35"/>
        <v>0.1098901098901099</v>
      </c>
      <c r="BP268" s="75">
        <f t="shared" si="36"/>
        <v>0.1098901098901099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>
        <v>240</v>
      </c>
      <c r="Y269" s="53">
        <f t="shared" si="32"/>
        <v>240</v>
      </c>
      <c r="Z269" s="39">
        <f t="shared" si="37"/>
        <v>0.65100000000000002</v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265.20000000000005</v>
      </c>
      <c r="BN269" s="75">
        <f t="shared" si="34"/>
        <v>265.20000000000005</v>
      </c>
      <c r="BO269" s="75">
        <f t="shared" si="35"/>
        <v>0.5494505494505495</v>
      </c>
      <c r="BP269" s="75">
        <f t="shared" si="36"/>
        <v>0.5494505494505495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>
        <v>48</v>
      </c>
      <c r="Y270" s="53">
        <f t="shared" si="32"/>
        <v>48</v>
      </c>
      <c r="Z270" s="39">
        <f t="shared" si="37"/>
        <v>0.13020000000000001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53.160000000000004</v>
      </c>
      <c r="BN270" s="75">
        <f t="shared" si="34"/>
        <v>53.160000000000004</v>
      </c>
      <c r="BO270" s="75">
        <f t="shared" si="35"/>
        <v>0.1098901098901099</v>
      </c>
      <c r="BP270" s="75">
        <f t="shared" si="36"/>
        <v>0.1098901098901099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272.34567901234567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273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1.9393400000000003</v>
      </c>
      <c r="AA272" s="64"/>
      <c r="AB272" s="64"/>
      <c r="AC272" s="64"/>
    </row>
    <row r="273" spans="1:68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724</v>
      </c>
      <c r="Y273" s="41">
        <f>IFERROR(SUM(Y262:Y271),"0")</f>
        <v>729.3</v>
      </c>
      <c r="Z273" s="40"/>
      <c r="AA273" s="64"/>
      <c r="AB273" s="64"/>
      <c r="AC273" s="64"/>
    </row>
    <row r="274" spans="1:68" ht="14.25" hidden="1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hidden="1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hidden="1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hidden="1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hidden="1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hidden="1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hidden="1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>
        <v>100</v>
      </c>
      <c r="Y354" s="53">
        <f t="shared" ref="Y354:Y360" si="48">IFERROR(IF(X354="",0,CEILING((X354/$H354),1)*$H354),"")</f>
        <v>100.80000000000001</v>
      </c>
      <c r="Z354" s="39">
        <f>IFERROR(IF(Y354=0,"",ROUNDUP(Y354/H354,0)*0.00902),"")</f>
        <v>0.21648000000000001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105.95238095238095</v>
      </c>
      <c r="BN354" s="75">
        <f t="shared" ref="BN354:BN360" si="50">IFERROR(Y354*I354/H354,"0")</f>
        <v>106.80000000000001</v>
      </c>
      <c r="BO354" s="75">
        <f t="shared" ref="BO354:BO360" si="51">IFERROR(1/J354*(X354/H354),"0")</f>
        <v>0.18037518037518038</v>
      </c>
      <c r="BP354" s="75">
        <f t="shared" ref="BP354:BP360" si="52">IFERROR(1/J354*(Y354/H354),"0")</f>
        <v>0.18181818181818182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/>
      <c r="Y355" s="53">
        <f t="shared" si="48"/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0</v>
      </c>
      <c r="BN355" s="75">
        <f t="shared" si="50"/>
        <v>0</v>
      </c>
      <c r="BO355" s="75">
        <f t="shared" si="51"/>
        <v>0</v>
      </c>
      <c r="BP355" s="75">
        <f t="shared" si="52"/>
        <v>0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23.80952380952381</v>
      </c>
      <c r="Y361" s="41">
        <f>IFERROR(Y354/H354,"0")+IFERROR(Y355/H355,"0")+IFERROR(Y356/H356,"0")+IFERROR(Y357/H357,"0")+IFERROR(Y358/H358,"0")+IFERROR(Y359/H359,"0")+IFERROR(Y360/H360,"0")</f>
        <v>24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0.21648000000000001</v>
      </c>
      <c r="AA361" s="64"/>
      <c r="AB361" s="64"/>
      <c r="AC361" s="64"/>
    </row>
    <row r="362" spans="1:68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100</v>
      </c>
      <c r="Y362" s="41">
        <f>IFERROR(SUM(Y354:Y360),"0")</f>
        <v>100.80000000000001</v>
      </c>
      <c r="Z362" s="40"/>
      <c r="AA362" s="64"/>
      <c r="AB362" s="64"/>
      <c r="AC362" s="64"/>
    </row>
    <row r="363" spans="1:68" ht="14.25" hidden="1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300</v>
      </c>
      <c r="Y371" s="53">
        <f>IFERROR(IF(X371="",0,CEILING((X371/$H371),1)*$H371),"")</f>
        <v>302.40000000000003</v>
      </c>
      <c r="Z371" s="39">
        <f>IFERROR(IF(Y371=0,"",ROUNDUP(Y371/H371,0)*0.01898),"")</f>
        <v>0.68328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317.64285714285711</v>
      </c>
      <c r="BN371" s="75">
        <f>IFERROR(Y371*I371/H371,"0")</f>
        <v>320.18400000000003</v>
      </c>
      <c r="BO371" s="75">
        <f>IFERROR(1/J371*(X371/H371),"0")</f>
        <v>0.5580357142857143</v>
      </c>
      <c r="BP371" s="75">
        <f>IFERROR(1/J371*(Y371/H371),"0")</f>
        <v>0.5625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200</v>
      </c>
      <c r="Y372" s="53">
        <f>IFERROR(IF(X372="",0,CEILING((X372/$H372),1)*$H372),"")</f>
        <v>202.79999999999998</v>
      </c>
      <c r="Z372" s="39">
        <f>IFERROR(IF(Y372=0,"",ROUNDUP(Y372/H372,0)*0.01898),"")</f>
        <v>0.49348000000000003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212.66666666666669</v>
      </c>
      <c r="BN372" s="75">
        <f>IFERROR(Y372*I372/H372,"0")</f>
        <v>215.64399999999998</v>
      </c>
      <c r="BO372" s="75">
        <f>IFERROR(1/J372*(X372/H372),"0")</f>
        <v>0.40064102564102566</v>
      </c>
      <c r="BP372" s="75">
        <f>IFERROR(1/J372*(Y372/H372),"0")</f>
        <v>0.40625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50</v>
      </c>
      <c r="Y373" s="53">
        <f>IFERROR(IF(X373="",0,CEILING((X373/$H373),1)*$H373),"")</f>
        <v>50.400000000000006</v>
      </c>
      <c r="Z373" s="39">
        <f>IFERROR(IF(Y373=0,"",ROUNDUP(Y373/H373,0)*0.01898),"")</f>
        <v>0.11388000000000001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52.94047619047619</v>
      </c>
      <c r="BN373" s="75">
        <f>IFERROR(Y373*I373/H373,"0")</f>
        <v>53.364000000000004</v>
      </c>
      <c r="BO373" s="75">
        <f>IFERROR(1/J373*(X373/H373),"0")</f>
        <v>9.3005952380952384E-2</v>
      </c>
      <c r="BP373" s="75">
        <f>IFERROR(1/J373*(Y373/H373),"0")</f>
        <v>9.375E-2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67.307692307692307</v>
      </c>
      <c r="Y374" s="41">
        <f>IFERROR(Y371/H371,"0")+IFERROR(Y372/H372,"0")+IFERROR(Y373/H373,"0")</f>
        <v>68</v>
      </c>
      <c r="Z374" s="41">
        <f>IFERROR(IF(Z371="",0,Z371),"0")+IFERROR(IF(Z372="",0,Z372),"0")+IFERROR(IF(Z373="",0,Z373),"0")</f>
        <v>1.29064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550</v>
      </c>
      <c r="Y375" s="41">
        <f>IFERROR(SUM(Y371:Y373),"0")</f>
        <v>555.6</v>
      </c>
      <c r="Z375" s="40"/>
      <c r="AA375" s="64"/>
      <c r="AB375" s="64"/>
      <c r="AC375" s="64"/>
    </row>
    <row r="376" spans="1:68" ht="14.25" hidden="1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hidden="1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hidden="1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/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hidden="1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hidden="1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hidden="1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3500</v>
      </c>
      <c r="Y400" s="53">
        <f t="shared" si="53"/>
        <v>3510</v>
      </c>
      <c r="Z400" s="39">
        <f>IFERROR(IF(Y400=0,"",ROUNDUP(Y400/H400,0)*0.02175),"")</f>
        <v>5.0894999999999992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3609.6666666666665</v>
      </c>
      <c r="BN400" s="75">
        <f t="shared" si="55"/>
        <v>3619.9800000000005</v>
      </c>
      <c r="BO400" s="75">
        <f t="shared" si="56"/>
        <v>4.8611111111111107</v>
      </c>
      <c r="BP400" s="75">
        <f t="shared" si="57"/>
        <v>4.875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2000</v>
      </c>
      <c r="Y401" s="53">
        <f t="shared" si="53"/>
        <v>2010</v>
      </c>
      <c r="Z401" s="39">
        <f>IFERROR(IF(Y401=0,"",ROUNDUP(Y401/H401,0)*0.02175),"")</f>
        <v>2.9144999999999999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2062.6666666666665</v>
      </c>
      <c r="BN401" s="75">
        <f t="shared" si="55"/>
        <v>2072.98</v>
      </c>
      <c r="BO401" s="75">
        <f t="shared" si="56"/>
        <v>2.7777777777777777</v>
      </c>
      <c r="BP401" s="75">
        <f t="shared" si="57"/>
        <v>2.7916666666666665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2225</v>
      </c>
      <c r="Y402" s="53">
        <f t="shared" si="53"/>
        <v>2235</v>
      </c>
      <c r="Z402" s="39">
        <f>IFERROR(IF(Y402=0,"",ROUNDUP(Y402/H402,0)*0.02175),"")</f>
        <v>3.2407499999999998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2294.7166666666667</v>
      </c>
      <c r="BN402" s="75">
        <f t="shared" si="55"/>
        <v>2305.0300000000002</v>
      </c>
      <c r="BO402" s="75">
        <f t="shared" si="56"/>
        <v>3.0902777777777777</v>
      </c>
      <c r="BP402" s="75">
        <f t="shared" si="57"/>
        <v>3.1041666666666665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515</v>
      </c>
      <c r="Y407" s="41">
        <f>IFERROR(Y399/H399,"0")+IFERROR(Y400/H400,"0")+IFERROR(Y401/H401,"0")+IFERROR(Y402/H402,"0")+IFERROR(Y403/H403,"0")+IFERROR(Y404/H404,"0")+IFERROR(Y405/H405,"0")+IFERROR(Y406/H406,"0")</f>
        <v>517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11.24475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7725</v>
      </c>
      <c r="Y408" s="41">
        <f>IFERROR(SUM(Y399:Y406),"0")</f>
        <v>7755</v>
      </c>
      <c r="Z408" s="40"/>
      <c r="AA408" s="64"/>
      <c r="AB408" s="64"/>
      <c r="AC408" s="64"/>
    </row>
    <row r="409" spans="1:68" ht="14.25" hidden="1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>
        <v>225</v>
      </c>
      <c r="Y410" s="53">
        <f>IFERROR(IF(X410="",0,CEILING((X410/$H410),1)*$H410),"")</f>
        <v>225</v>
      </c>
      <c r="Z410" s="39">
        <f>IFERROR(IF(Y410=0,"",ROUNDUP(Y410/H410,0)*0.02175),"")</f>
        <v>0.32624999999999998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232.05</v>
      </c>
      <c r="BN410" s="75">
        <f>IFERROR(Y410*I410/H410,"0")</f>
        <v>232.05</v>
      </c>
      <c r="BO410" s="75">
        <f>IFERROR(1/J410*(X410/H410),"0")</f>
        <v>0.3125</v>
      </c>
      <c r="BP410" s="75">
        <f>IFERROR(1/J410*(Y410/H410),"0")</f>
        <v>0.3125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15</v>
      </c>
      <c r="Y413" s="41">
        <f>IFERROR(Y410/H410,"0")+IFERROR(Y411/H411,"0")+IFERROR(Y412/H412,"0")</f>
        <v>15</v>
      </c>
      <c r="Z413" s="41">
        <f>IFERROR(IF(Z410="",0,Z410),"0")+IFERROR(IF(Z411="",0,Z411),"0")+IFERROR(IF(Z412="",0,Z412),"0")</f>
        <v>0.32624999999999998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225</v>
      </c>
      <c r="Y414" s="41">
        <f>IFERROR(SUM(Y410:Y412),"0")</f>
        <v>225</v>
      </c>
      <c r="Z414" s="40"/>
      <c r="AA414" s="64"/>
      <c r="AB414" s="64"/>
      <c r="AC414" s="64"/>
    </row>
    <row r="415" spans="1:68" ht="14.25" hidden="1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hidden="1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/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150</v>
      </c>
      <c r="Y417" s="53">
        <f>IFERROR(IF(X417="",0,CEILING((X417/$H417),1)*$H417),"")</f>
        <v>153</v>
      </c>
      <c r="Z417" s="39">
        <f>IFERROR(IF(Y417=0,"",ROUNDUP(Y417/H417,0)*0.01898),"")</f>
        <v>0.32266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158.23333333333332</v>
      </c>
      <c r="BN417" s="75">
        <f>IFERROR(Y417*I417/H417,"0")</f>
        <v>161.398</v>
      </c>
      <c r="BO417" s="75">
        <f>IFERROR(1/J417*(X417/H417),"0")</f>
        <v>0.26041666666666669</v>
      </c>
      <c r="BP417" s="75">
        <f>IFERROR(1/J417*(Y417/H417),"0")</f>
        <v>0.265625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16.666666666666668</v>
      </c>
      <c r="Y418" s="41">
        <f>IFERROR(Y416/H416,"0")+IFERROR(Y417/H417,"0")</f>
        <v>17</v>
      </c>
      <c r="Z418" s="41">
        <f>IFERROR(IF(Z416="",0,Z416),"0")+IFERROR(IF(Z417="",0,Z417),"0")</f>
        <v>0.32266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150</v>
      </c>
      <c r="Y419" s="41">
        <f>IFERROR(SUM(Y416:Y417),"0")</f>
        <v>153</v>
      </c>
      <c r="Z419" s="40"/>
      <c r="AA419" s="64"/>
      <c r="AB419" s="64"/>
      <c r="AC419" s="64"/>
    </row>
    <row r="420" spans="1:68" ht="14.25" hidden="1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600</v>
      </c>
      <c r="Y421" s="53">
        <f>IFERROR(IF(X421="",0,CEILING((X421/$H421),1)*$H421),"")</f>
        <v>603</v>
      </c>
      <c r="Z421" s="39">
        <f>IFERROR(IF(Y421=0,"",ROUNDUP(Y421/H421,0)*0.01898),"")</f>
        <v>1.27166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632.93333333333328</v>
      </c>
      <c r="BN421" s="75">
        <f>IFERROR(Y421*I421/H421,"0")</f>
        <v>636.09799999999996</v>
      </c>
      <c r="BO421" s="75">
        <f>IFERROR(1/J421*(X421/H421),"0")</f>
        <v>1.0416666666666667</v>
      </c>
      <c r="BP421" s="75">
        <f>IFERROR(1/J421*(Y421/H421),"0")</f>
        <v>1.046875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66.666666666666671</v>
      </c>
      <c r="Y422" s="41">
        <f>IFERROR(Y421/H421,"0")</f>
        <v>67</v>
      </c>
      <c r="Z422" s="41">
        <f>IFERROR(IF(Z421="",0,Z421),"0")</f>
        <v>1.27166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600</v>
      </c>
      <c r="Y423" s="41">
        <f>IFERROR(SUM(Y421:Y421),"0")</f>
        <v>603</v>
      </c>
      <c r="Z423" s="40"/>
      <c r="AA423" s="64"/>
      <c r="AB423" s="64"/>
      <c r="AC423" s="64"/>
    </row>
    <row r="424" spans="1:68" ht="16.5" hidden="1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hidden="1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>
        <v>120</v>
      </c>
      <c r="Y431" s="53">
        <f>IFERROR(IF(X431="",0,CEILING((X431/$H431),1)*$H431),"")</f>
        <v>121.80000000000001</v>
      </c>
      <c r="Z431" s="39">
        <f>IFERROR(IF(Y431=0,"",ROUNDUP(Y431/H431,0)*0.00902),"")</f>
        <v>0.26158000000000003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127.14285714285714</v>
      </c>
      <c r="BN431" s="75">
        <f>IFERROR(Y431*I431/H431,"0")</f>
        <v>129.05000000000001</v>
      </c>
      <c r="BO431" s="75">
        <f>IFERROR(1/J431*(X431/H431),"0")</f>
        <v>0.21645021645021645</v>
      </c>
      <c r="BP431" s="75">
        <f>IFERROR(1/J431*(Y431/H431),"0")</f>
        <v>0.2196969696969697</v>
      </c>
    </row>
    <row r="432" spans="1:68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28.571428571428569</v>
      </c>
      <c r="Y432" s="41">
        <f>IFERROR(Y431/H431,"0")</f>
        <v>29</v>
      </c>
      <c r="Z432" s="41">
        <f>IFERROR(IF(Z431="",0,Z431),"0")</f>
        <v>0.26158000000000003</v>
      </c>
      <c r="AA432" s="64"/>
      <c r="AB432" s="64"/>
      <c r="AC432" s="64"/>
    </row>
    <row r="433" spans="1:68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120</v>
      </c>
      <c r="Y433" s="41">
        <f>IFERROR(SUM(Y431:Y431),"0")</f>
        <v>121.80000000000001</v>
      </c>
      <c r="Z433" s="40"/>
      <c r="AA433" s="64"/>
      <c r="AB433" s="64"/>
      <c r="AC433" s="64"/>
    </row>
    <row r="434" spans="1:68" ht="14.25" hidden="1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300</v>
      </c>
      <c r="Y435" s="53">
        <f>IFERROR(IF(X435="",0,CEILING((X435/$H435),1)*$H435),"")</f>
        <v>306</v>
      </c>
      <c r="Z435" s="39">
        <f>IFERROR(IF(Y435=0,"",ROUNDUP(Y435/H435,0)*0.01898),"")</f>
        <v>0.64532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316.46666666666664</v>
      </c>
      <c r="BN435" s="75">
        <f>IFERROR(Y435*I435/H435,"0")</f>
        <v>322.79599999999999</v>
      </c>
      <c r="BO435" s="75">
        <f>IFERROR(1/J435*(X435/H435),"0")</f>
        <v>0.52083333333333337</v>
      </c>
      <c r="BP435" s="75">
        <f>IFERROR(1/J435*(Y435/H435),"0")</f>
        <v>0.53125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33.333333333333336</v>
      </c>
      <c r="Y438" s="41">
        <f>IFERROR(Y435/H435,"0")+IFERROR(Y436/H436,"0")+IFERROR(Y437/H437,"0")</f>
        <v>34</v>
      </c>
      <c r="Z438" s="41">
        <f>IFERROR(IF(Z435="",0,Z435),"0")+IFERROR(IF(Z436="",0,Z436),"0")+IFERROR(IF(Z437="",0,Z437),"0")</f>
        <v>0.64532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300</v>
      </c>
      <c r="Y439" s="41">
        <f>IFERROR(SUM(Y435:Y437),"0")</f>
        <v>306</v>
      </c>
      <c r="Z439" s="40"/>
      <c r="AA439" s="64"/>
      <c r="AB439" s="64"/>
      <c r="AC439" s="64"/>
    </row>
    <row r="440" spans="1:68" ht="27.75" hidden="1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hidden="1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hidden="1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140</v>
      </c>
      <c r="Y443" s="53">
        <f t="shared" ref="Y443:Y448" si="58">IFERROR(IF(X443="",0,CEILING((X443/$H443),1)*$H443),"")</f>
        <v>140.4</v>
      </c>
      <c r="Z443" s="39">
        <f>IFERROR(IF(Y443=0,"",ROUNDUP(Y443/H443,0)*0.00902),"")</f>
        <v>0.23452000000000001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144.92592592592592</v>
      </c>
      <c r="BN443" s="75">
        <f t="shared" ref="BN443:BN448" si="60">IFERROR(Y443*I443/H443,"0")</f>
        <v>145.34</v>
      </c>
      <c r="BO443" s="75">
        <f t="shared" ref="BO443:BO448" si="61">IFERROR(1/J443*(X443/H443),"0")</f>
        <v>0.19640852974186307</v>
      </c>
      <c r="BP443" s="75">
        <f t="shared" ref="BP443:BP448" si="62">IFERROR(1/J443*(Y443/H443),"0")</f>
        <v>0.19696969696969696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>
        <v>290</v>
      </c>
      <c r="Y444" s="53">
        <f t="shared" si="58"/>
        <v>291.60000000000002</v>
      </c>
      <c r="Z444" s="39">
        <f>IFERROR(IF(Y444=0,"",ROUNDUP(Y444/H444,0)*0.00902),"")</f>
        <v>0.48708000000000001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300.2037037037037</v>
      </c>
      <c r="BN444" s="75">
        <f t="shared" si="60"/>
        <v>301.86</v>
      </c>
      <c r="BO444" s="75">
        <f t="shared" si="61"/>
        <v>0.40684624017957349</v>
      </c>
      <c r="BP444" s="75">
        <f t="shared" si="62"/>
        <v>0.40909090909090912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hidden="1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>
        <v>16.8</v>
      </c>
      <c r="Y448" s="53">
        <f t="shared" si="58"/>
        <v>16.8</v>
      </c>
      <c r="Z448" s="39">
        <f>IFERROR(IF(Y448=0,"",ROUNDUP(Y448/H448,0)*0.00502),"")</f>
        <v>4.0160000000000001E-2</v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17.84</v>
      </c>
      <c r="BN448" s="75">
        <f t="shared" si="60"/>
        <v>17.84</v>
      </c>
      <c r="BO448" s="75">
        <f t="shared" si="61"/>
        <v>3.4188034188034191E-2</v>
      </c>
      <c r="BP448" s="75">
        <f t="shared" si="62"/>
        <v>3.4188034188034191E-2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87.629629629629619</v>
      </c>
      <c r="Y449" s="41">
        <f>IFERROR(Y443/H443,"0")+IFERROR(Y444/H444,"0")+IFERROR(Y445/H445,"0")+IFERROR(Y446/H446,"0")+IFERROR(Y447/H447,"0")+IFERROR(Y448/H448,"0")</f>
        <v>88</v>
      </c>
      <c r="Z449" s="41">
        <f>IFERROR(IF(Z443="",0,Z443),"0")+IFERROR(IF(Z444="",0,Z444),"0")+IFERROR(IF(Z445="",0,Z445),"0")+IFERROR(IF(Z446="",0,Z446),"0")+IFERROR(IF(Z447="",0,Z447),"0")+IFERROR(IF(Z448="",0,Z448),"0")</f>
        <v>0.76175999999999999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446.8</v>
      </c>
      <c r="Y450" s="41">
        <f>IFERROR(SUM(Y443:Y448),"0")</f>
        <v>448.8</v>
      </c>
      <c r="Z450" s="40"/>
      <c r="AA450" s="64"/>
      <c r="AB450" s="64"/>
      <c r="AC450" s="64"/>
    </row>
    <row r="451" spans="1:68" ht="14.25" hidden="1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hidden="1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460</v>
      </c>
      <c r="Y462" s="53">
        <f>IFERROR(IF(X462="",0,CEILING((X462/$H462),1)*$H462),"")</f>
        <v>464.40000000000003</v>
      </c>
      <c r="Z462" s="39">
        <f>IFERROR(IF(Y462=0,"",ROUNDUP(Y462/H462,0)*0.00902),"")</f>
        <v>0.77571999999999997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476.18518518518516</v>
      </c>
      <c r="BN462" s="75">
        <f>IFERROR(Y462*I462/H462,"0")</f>
        <v>480.74</v>
      </c>
      <c r="BO462" s="75">
        <f>IFERROR(1/J462*(X462/H462),"0")</f>
        <v>0.64534231200897862</v>
      </c>
      <c r="BP462" s="75">
        <f>IFERROR(1/J462*(Y462/H462),"0")</f>
        <v>0.65151515151515149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>
        <v>33.6</v>
      </c>
      <c r="Y464" s="53">
        <f>IFERROR(IF(X464="",0,CEILING((X464/$H464),1)*$H464),"")</f>
        <v>33.6</v>
      </c>
      <c r="Z464" s="39">
        <f>IFERROR(IF(Y464=0,"",ROUNDUP(Y464/H464,0)*0.00502),"")</f>
        <v>8.0320000000000003E-2</v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35.68</v>
      </c>
      <c r="BN464" s="75">
        <f>IFERROR(Y464*I464/H464,"0")</f>
        <v>35.68</v>
      </c>
      <c r="BO464" s="75">
        <f>IFERROR(1/J464*(X464/H464),"0")</f>
        <v>6.8376068376068383E-2</v>
      </c>
      <c r="BP464" s="75">
        <f>IFERROR(1/J464*(Y464/H464),"0")</f>
        <v>6.8376068376068383E-2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101.18518518518518</v>
      </c>
      <c r="Y465" s="41">
        <f>IFERROR(Y462/H462,"0")+IFERROR(Y463/H463,"0")+IFERROR(Y464/H464,"0")</f>
        <v>102</v>
      </c>
      <c r="Z465" s="41">
        <f>IFERROR(IF(Z462="",0,Z462),"0")+IFERROR(IF(Z463="",0,Z463),"0")+IFERROR(IF(Z464="",0,Z464),"0")</f>
        <v>0.85603999999999991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493.6</v>
      </c>
      <c r="Y466" s="41">
        <f>IFERROR(SUM(Y462:Y464),"0")</f>
        <v>498.00000000000006</v>
      </c>
      <c r="Z466" s="40"/>
      <c r="AA466" s="64"/>
      <c r="AB466" s="64"/>
      <c r="AC466" s="64"/>
    </row>
    <row r="467" spans="1:68" ht="27.75" hidden="1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hidden="1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hidden="1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/>
      <c r="Y472" s="53">
        <f t="shared" si="63"/>
        <v>0</v>
      </c>
      <c r="Z472" s="39" t="str">
        <f t="shared" si="64"/>
        <v/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250</v>
      </c>
      <c r="Y473" s="53">
        <f t="shared" si="63"/>
        <v>253.44</v>
      </c>
      <c r="Z473" s="39">
        <f t="shared" si="64"/>
        <v>0.57408000000000003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266.57196969696969</v>
      </c>
      <c r="BN473" s="75">
        <f t="shared" si="66"/>
        <v>270.23999999999995</v>
      </c>
      <c r="BO473" s="75">
        <f t="shared" si="67"/>
        <v>0.45527389277389274</v>
      </c>
      <c r="BP473" s="75">
        <f t="shared" si="68"/>
        <v>0.46153846153846156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500</v>
      </c>
      <c r="Y475" s="53">
        <f t="shared" si="63"/>
        <v>501.6</v>
      </c>
      <c r="Z475" s="39">
        <f t="shared" si="64"/>
        <v>1.1362000000000001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533.14393939393938</v>
      </c>
      <c r="BN475" s="75">
        <f t="shared" si="66"/>
        <v>534.85</v>
      </c>
      <c r="BO475" s="75">
        <f t="shared" si="67"/>
        <v>0.91054778554778548</v>
      </c>
      <c r="BP475" s="75">
        <f t="shared" si="68"/>
        <v>0.91346153846153855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142.04545454545453</v>
      </c>
      <c r="Y479" s="41">
        <f>IFERROR(Y470/H470,"0")+IFERROR(Y471/H471,"0")+IFERROR(Y472/H472,"0")+IFERROR(Y473/H473,"0")+IFERROR(Y474/H474,"0")+IFERROR(Y475/H475,"0")+IFERROR(Y476/H476,"0")+IFERROR(Y477/H477,"0")+IFERROR(Y478/H478,"0")</f>
        <v>143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1.71028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750</v>
      </c>
      <c r="Y480" s="41">
        <f>IFERROR(SUM(Y470:Y478),"0")</f>
        <v>755.04</v>
      </c>
      <c r="Z480" s="40"/>
      <c r="AA480" s="64"/>
      <c r="AB480" s="64"/>
      <c r="AC480" s="64"/>
    </row>
    <row r="481" spans="1:68" ht="14.25" hidden="1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470</v>
      </c>
      <c r="Y482" s="53">
        <f>IFERROR(IF(X482="",0,CEILING((X482/$H482),1)*$H482),"")</f>
        <v>475.20000000000005</v>
      </c>
      <c r="Z482" s="39">
        <f>IFERROR(IF(Y482=0,"",ROUNDUP(Y482/H482,0)*0.01196),"")</f>
        <v>1.0764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501.155303030303</v>
      </c>
      <c r="BN482" s="75">
        <f>IFERROR(Y482*I482/H482,"0")</f>
        <v>506.7</v>
      </c>
      <c r="BO482" s="75">
        <f>IFERROR(1/J482*(X482/H482),"0")</f>
        <v>0.85591491841491851</v>
      </c>
      <c r="BP482" s="75">
        <f>IFERROR(1/J482*(Y482/H482),"0")</f>
        <v>0.86538461538461542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89.015151515151516</v>
      </c>
      <c r="Y485" s="41">
        <f>IFERROR(Y482/H482,"0")+IFERROR(Y483/H483,"0")+IFERROR(Y484/H484,"0")</f>
        <v>90</v>
      </c>
      <c r="Z485" s="41">
        <f>IFERROR(IF(Z482="",0,Z482),"0")+IFERROR(IF(Z483="",0,Z483),"0")+IFERROR(IF(Z484="",0,Z484),"0")</f>
        <v>1.0764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470</v>
      </c>
      <c r="Y486" s="41">
        <f>IFERROR(SUM(Y482:Y484),"0")</f>
        <v>475.20000000000005</v>
      </c>
      <c r="Z486" s="40"/>
      <c r="AA486" s="64"/>
      <c r="AB486" s="64"/>
      <c r="AC486" s="64"/>
    </row>
    <row r="487" spans="1:68" ht="14.25" hidden="1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210</v>
      </c>
      <c r="Y488" s="53">
        <f t="shared" ref="Y488:Y494" si="69">IFERROR(IF(X488="",0,CEILING((X488/$H488),1)*$H488),"")</f>
        <v>211.20000000000002</v>
      </c>
      <c r="Z488" s="39">
        <f>IFERROR(IF(Y488=0,"",ROUNDUP(Y488/H488,0)*0.01196),"")</f>
        <v>0.47839999999999999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223.92045454545453</v>
      </c>
      <c r="BN488" s="75">
        <f t="shared" ref="BN488:BN494" si="71">IFERROR(Y488*I488/H488,"0")</f>
        <v>225.2</v>
      </c>
      <c r="BO488" s="75">
        <f t="shared" ref="BO488:BO494" si="72">IFERROR(1/J488*(X488/H488),"0")</f>
        <v>0.38243006993006995</v>
      </c>
      <c r="BP488" s="75">
        <f t="shared" ref="BP488:BP494" si="73">IFERROR(1/J488*(Y488/H488),"0")</f>
        <v>0.38461538461538464</v>
      </c>
    </row>
    <row r="489" spans="1:68" ht="27" hidden="1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/>
      <c r="Y489" s="53">
        <f t="shared" si="69"/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180</v>
      </c>
      <c r="Y490" s="53">
        <f t="shared" si="69"/>
        <v>184.8</v>
      </c>
      <c r="Z490" s="39">
        <f>IFERROR(IF(Y490=0,"",ROUNDUP(Y490/H490,0)*0.01196),"")</f>
        <v>0.41860000000000003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191.93181818181816</v>
      </c>
      <c r="BN490" s="75">
        <f t="shared" si="71"/>
        <v>197.04999999999998</v>
      </c>
      <c r="BO490" s="75">
        <f t="shared" si="72"/>
        <v>0.32779720279720276</v>
      </c>
      <c r="BP490" s="75">
        <f t="shared" si="73"/>
        <v>0.33653846153846156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73.86363636363636</v>
      </c>
      <c r="Y495" s="41">
        <f>IFERROR(Y488/H488,"0")+IFERROR(Y489/H489,"0")+IFERROR(Y490/H490,"0")+IFERROR(Y491/H491,"0")+IFERROR(Y492/H492,"0")+IFERROR(Y493/H493,"0")+IFERROR(Y494/H494,"0")</f>
        <v>75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0.89700000000000002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390</v>
      </c>
      <c r="Y496" s="41">
        <f>IFERROR(SUM(Y488:Y494),"0")</f>
        <v>396</v>
      </c>
      <c r="Z496" s="40"/>
      <c r="AA496" s="64"/>
      <c r="AB496" s="64"/>
      <c r="AC496" s="64"/>
    </row>
    <row r="497" spans="1:68" ht="27.75" hidden="1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hidden="1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hidden="1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/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150</v>
      </c>
      <c r="Y508" s="53">
        <f>IFERROR(IF(X508="",0,CEILING((X508/$H508),1)*$H508),"")</f>
        <v>153.6</v>
      </c>
      <c r="Z508" s="39">
        <f>IFERROR(IF(Y508=0,"",ROUNDUP(Y508/H508,0)*0.00902),"")</f>
        <v>0.28864000000000001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157.8125</v>
      </c>
      <c r="BN508" s="75">
        <f>IFERROR(Y508*I508/H508,"0")</f>
        <v>161.6</v>
      </c>
      <c r="BO508" s="75">
        <f>IFERROR(1/J508*(X508/H508),"0")</f>
        <v>0.23674242424242425</v>
      </c>
      <c r="BP508" s="75">
        <f>IFERROR(1/J508*(Y508/H508),"0")</f>
        <v>0.24242424242424243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31.25</v>
      </c>
      <c r="Y509" s="41">
        <f>IFERROR(Y508/H508,"0")</f>
        <v>32</v>
      </c>
      <c r="Z509" s="41">
        <f>IFERROR(IF(Z508="",0,Z508),"0")</f>
        <v>0.28864000000000001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150</v>
      </c>
      <c r="Y510" s="41">
        <f>IFERROR(SUM(Y508:Y508),"0")</f>
        <v>153.6</v>
      </c>
      <c r="Z510" s="40"/>
      <c r="AA510" s="64"/>
      <c r="AB510" s="64"/>
      <c r="AC510" s="64"/>
    </row>
    <row r="511" spans="1:68" ht="14.25" hidden="1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hidden="1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18079.099999999999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18212.04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18906.412483288317</v>
      </c>
      <c r="Y526" s="41">
        <f>IFERROR(SUM(BN22:BN522),"0")</f>
        <v>19045.462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29</v>
      </c>
      <c r="Y527" s="42">
        <f>ROUNDUP(SUM(BP22:BP522),0)</f>
        <v>30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19631.412483288317</v>
      </c>
      <c r="Y528" s="41">
        <f>GrossWeightTotalR+PalletQtyTotalR*25</f>
        <v>19795.462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2278.4788143954815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2296</v>
      </c>
      <c r="Z529" s="40"/>
      <c r="AA529" s="64"/>
      <c r="AB529" s="64"/>
      <c r="AC529" s="64"/>
    </row>
    <row r="530" spans="1:32" ht="14.25" hidden="1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33.496680000000005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294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155.39999999999998</v>
      </c>
      <c r="F535" s="50">
        <f>IFERROR(Y91*1,"0")+IFERROR(Y92*1,"0")+IFERROR(Y93*1,"0")+IFERROR(Y94*1,"0")+IFERROR(Y98*1,"0")+IFERROR(Y99*1,"0")+IFERROR(Y100*1,"0")+IFERROR(Y101*1,"0")</f>
        <v>1412.1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1798.2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277.20000000000005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1728.3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656.4</v>
      </c>
      <c r="U535" s="50">
        <f>IFERROR(Y391*1,"0")+IFERROR(Y392*1,"0")+IFERROR(Y393*1,"0")</f>
        <v>0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8736</v>
      </c>
      <c r="W535" s="50">
        <f>IFERROR(Y426*1,"0")+IFERROR(Y427*1,"0")+IFERROR(Y431*1,"0")+IFERROR(Y435*1,"0")+IFERROR(Y436*1,"0")+IFERROR(Y437*1,"0")</f>
        <v>427.8</v>
      </c>
      <c r="X535" s="50">
        <f>IFERROR(Y443*1,"0")+IFERROR(Y444*1,"0")+IFERROR(Y445*1,"0")+IFERROR(Y446*1,"0")+IFERROR(Y447*1,"0")+IFERROR(Y448*1,"0")+IFERROR(Y452*1,"0")+IFERROR(Y453*1,"0")</f>
        <v>448.8</v>
      </c>
      <c r="Y535" s="50">
        <f>IFERROR(Y458*1,"0")+IFERROR(Y462*1,"0")+IFERROR(Y463*1,"0")+IFERROR(Y464*1,"0")</f>
        <v>498.00000000000006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1626.24</v>
      </c>
      <c r="AA535" s="50">
        <f>IFERROR(Y500*1,"0")+IFERROR(Y504*1,"0")+IFERROR(Y508*1,"0")+IFERROR(Y512*1,"0")+IFERROR(Y516*1,"0")+IFERROR(Y517*1,"0")</f>
        <v>153.6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30,00"/>
        <filter val="1 184,00"/>
        <filter val="1 450,00"/>
        <filter val="1 504,00"/>
        <filter val="100,00"/>
        <filter val="101,19"/>
        <filter val="12,60"/>
        <filter val="12,82"/>
        <filter val="120,00"/>
        <filter val="140,00"/>
        <filter val="142,05"/>
        <filter val="15,00"/>
        <filter val="150,00"/>
        <filter val="159,51"/>
        <filter val="16,67"/>
        <filter val="16,80"/>
        <filter val="18 079,10"/>
        <filter val="18 906,41"/>
        <filter val="180,00"/>
        <filter val="181,48"/>
        <filter val="19 631,41"/>
        <filter val="199,01"/>
        <filter val="2 000,00"/>
        <filter val="2 225,00"/>
        <filter val="2 278,48"/>
        <filter val="200,00"/>
        <filter val="210,00"/>
        <filter val="220,50"/>
        <filter val="225,00"/>
        <filter val="23,81"/>
        <filter val="24,00"/>
        <filter val="240,00"/>
        <filter val="25,67"/>
        <filter val="250,00"/>
        <filter val="27,00"/>
        <filter val="270,00"/>
        <filter val="272,35"/>
        <filter val="275,20"/>
        <filter val="277,00"/>
        <filter val="28,57"/>
        <filter val="29"/>
        <filter val="29,15"/>
        <filter val="290,00"/>
        <filter val="294,00"/>
        <filter val="3 500,00"/>
        <filter val="300,00"/>
        <filter val="31,00"/>
        <filter val="31,25"/>
        <filter val="33,33"/>
        <filter val="33,60"/>
        <filter val="330,00"/>
        <filter val="390,00"/>
        <filter val="4,63"/>
        <filter val="40,50"/>
        <filter val="446,80"/>
        <filter val="460,00"/>
        <filter val="470,00"/>
        <filter val="48,00"/>
        <filter val="493,60"/>
        <filter val="50,00"/>
        <filter val="500,00"/>
        <filter val="515,00"/>
        <filter val="54,00"/>
        <filter val="550,00"/>
        <filter val="600,00"/>
        <filter val="66,67"/>
        <filter val="67,31"/>
        <filter val="7 725,00"/>
        <filter val="71,52"/>
        <filter val="724,00"/>
        <filter val="73,86"/>
        <filter val="750,00"/>
        <filter val="87,63"/>
        <filter val="89,02"/>
        <filter val="980,00"/>
      </filters>
    </filterColumn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2026-08-25T11:07:42Z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