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629D545-AF4F-467F-97AB-024905B98ED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P544" i="2"/>
  <c r="X542" i="2"/>
  <c r="X541" i="2"/>
  <c r="BO540" i="2"/>
  <c r="BM540" i="2"/>
  <c r="Z540" i="2"/>
  <c r="Z541" i="2" s="1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P532" i="2"/>
  <c r="X530" i="2"/>
  <c r="X529" i="2"/>
  <c r="BO528" i="2"/>
  <c r="BM528" i="2"/>
  <c r="Y528" i="2"/>
  <c r="BP528" i="2" s="1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P517" i="2"/>
  <c r="BO516" i="2"/>
  <c r="BM516" i="2"/>
  <c r="Y516" i="2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Y514" i="2" s="1"/>
  <c r="P510" i="2"/>
  <c r="X508" i="2"/>
  <c r="X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Z490" i="2" s="1"/>
  <c r="P490" i="2"/>
  <c r="X488" i="2"/>
  <c r="Y487" i="2"/>
  <c r="X487" i="2"/>
  <c r="BO486" i="2"/>
  <c r="BM486" i="2"/>
  <c r="Y486" i="2"/>
  <c r="BN486" i="2" s="1"/>
  <c r="P486" i="2"/>
  <c r="X483" i="2"/>
  <c r="X482" i="2"/>
  <c r="BO481" i="2"/>
  <c r="BM481" i="2"/>
  <c r="Y481" i="2"/>
  <c r="P481" i="2"/>
  <c r="BO480" i="2"/>
  <c r="BM480" i="2"/>
  <c r="Y480" i="2"/>
  <c r="P480" i="2"/>
  <c r="X478" i="2"/>
  <c r="X477" i="2"/>
  <c r="BO476" i="2"/>
  <c r="BM476" i="2"/>
  <c r="Y476" i="2"/>
  <c r="P476" i="2"/>
  <c r="BP475" i="2"/>
  <c r="BO475" i="2"/>
  <c r="BM475" i="2"/>
  <c r="Y475" i="2"/>
  <c r="BN475" i="2" s="1"/>
  <c r="P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BN471" i="2" s="1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P459" i="2"/>
  <c r="X457" i="2"/>
  <c r="X456" i="2"/>
  <c r="BO455" i="2"/>
  <c r="BM455" i="2"/>
  <c r="Y455" i="2"/>
  <c r="BP455" i="2" s="1"/>
  <c r="P455" i="2"/>
  <c r="BO454" i="2"/>
  <c r="BM454" i="2"/>
  <c r="Y454" i="2"/>
  <c r="P454" i="2"/>
  <c r="X451" i="2"/>
  <c r="X450" i="2"/>
  <c r="BO449" i="2"/>
  <c r="BM449" i="2"/>
  <c r="Y449" i="2"/>
  <c r="Z449" i="2" s="1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Z442" i="2" s="1"/>
  <c r="P442" i="2"/>
  <c r="X440" i="2"/>
  <c r="X439" i="2"/>
  <c r="BO438" i="2"/>
  <c r="BM438" i="2"/>
  <c r="Y438" i="2"/>
  <c r="P438" i="2"/>
  <c r="BO437" i="2"/>
  <c r="BM437" i="2"/>
  <c r="Y437" i="2"/>
  <c r="Z437" i="2" s="1"/>
  <c r="P437" i="2"/>
  <c r="BO436" i="2"/>
  <c r="BM436" i="2"/>
  <c r="Y436" i="2"/>
  <c r="BN436" i="2" s="1"/>
  <c r="P436" i="2"/>
  <c r="X434" i="2"/>
  <c r="X433" i="2"/>
  <c r="BO432" i="2"/>
  <c r="BM432" i="2"/>
  <c r="Y432" i="2"/>
  <c r="P432" i="2"/>
  <c r="BO431" i="2"/>
  <c r="BM431" i="2"/>
  <c r="Y431" i="2"/>
  <c r="P431" i="2"/>
  <c r="BO430" i="2"/>
  <c r="BM430" i="2"/>
  <c r="Y430" i="2"/>
  <c r="BN430" i="2" s="1"/>
  <c r="P430" i="2"/>
  <c r="BO429" i="2"/>
  <c r="BM429" i="2"/>
  <c r="Z429" i="2"/>
  <c r="Y429" i="2"/>
  <c r="BN429" i="2" s="1"/>
  <c r="P429" i="2"/>
  <c r="BO428" i="2"/>
  <c r="BM428" i="2"/>
  <c r="Y428" i="2"/>
  <c r="P428" i="2"/>
  <c r="BO427" i="2"/>
  <c r="BM427" i="2"/>
  <c r="Y427" i="2"/>
  <c r="Z427" i="2" s="1"/>
  <c r="P427" i="2"/>
  <c r="BO426" i="2"/>
  <c r="BM426" i="2"/>
  <c r="Y426" i="2"/>
  <c r="BP426" i="2" s="1"/>
  <c r="P426" i="2"/>
  <c r="BO425" i="2"/>
  <c r="BM425" i="2"/>
  <c r="Y425" i="2"/>
  <c r="BP425" i="2" s="1"/>
  <c r="P425" i="2"/>
  <c r="X421" i="2"/>
  <c r="X420" i="2"/>
  <c r="BO419" i="2"/>
  <c r="BM419" i="2"/>
  <c r="Y419" i="2"/>
  <c r="P419" i="2"/>
  <c r="BO418" i="2"/>
  <c r="BM418" i="2"/>
  <c r="Y418" i="2"/>
  <c r="BN418" i="2" s="1"/>
  <c r="P418" i="2"/>
  <c r="BO417" i="2"/>
  <c r="BM417" i="2"/>
  <c r="Z417" i="2"/>
  <c r="Y417" i="2"/>
  <c r="P417" i="2"/>
  <c r="X414" i="2"/>
  <c r="X413" i="2"/>
  <c r="BO412" i="2"/>
  <c r="BM412" i="2"/>
  <c r="Y412" i="2"/>
  <c r="P412" i="2"/>
  <c r="BO411" i="2"/>
  <c r="BM411" i="2"/>
  <c r="Y411" i="2"/>
  <c r="BN411" i="2" s="1"/>
  <c r="P411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P404" i="2"/>
  <c r="BO404" i="2"/>
  <c r="BM404" i="2"/>
  <c r="Y404" i="2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P398" i="2"/>
  <c r="X396" i="2"/>
  <c r="X395" i="2"/>
  <c r="BO394" i="2"/>
  <c r="BM394" i="2"/>
  <c r="Y394" i="2"/>
  <c r="BP394" i="2" s="1"/>
  <c r="P394" i="2"/>
  <c r="BO393" i="2"/>
  <c r="BM393" i="2"/>
  <c r="Z393" i="2"/>
  <c r="Y393" i="2"/>
  <c r="BN393" i="2" s="1"/>
  <c r="P393" i="2"/>
  <c r="BO392" i="2"/>
  <c r="BM392" i="2"/>
  <c r="Z392" i="2"/>
  <c r="Y392" i="2"/>
  <c r="BN392" i="2" s="1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P386" i="2"/>
  <c r="BO386" i="2"/>
  <c r="BM386" i="2"/>
  <c r="Y386" i="2"/>
  <c r="P386" i="2"/>
  <c r="BP385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BO378" i="2"/>
  <c r="BM378" i="2"/>
  <c r="Y378" i="2"/>
  <c r="BN378" i="2" s="1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P372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P370" i="2" s="1"/>
  <c r="P370" i="2"/>
  <c r="BO369" i="2"/>
  <c r="BM369" i="2"/>
  <c r="Y369" i="2"/>
  <c r="P369" i="2"/>
  <c r="BO368" i="2"/>
  <c r="BM368" i="2"/>
  <c r="Y368" i="2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BN362" i="2" s="1"/>
  <c r="P362" i="2"/>
  <c r="BO361" i="2"/>
  <c r="BM361" i="2"/>
  <c r="Y361" i="2"/>
  <c r="Z361" i="2" s="1"/>
  <c r="P361" i="2"/>
  <c r="BO360" i="2"/>
  <c r="BM360" i="2"/>
  <c r="Z360" i="2"/>
  <c r="Y360" i="2"/>
  <c r="BN360" i="2" s="1"/>
  <c r="P360" i="2"/>
  <c r="BO359" i="2"/>
  <c r="BM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Z347" i="2" s="1"/>
  <c r="P347" i="2"/>
  <c r="BO346" i="2"/>
  <c r="BM346" i="2"/>
  <c r="Z346" i="2"/>
  <c r="Z348" i="2" s="1"/>
  <c r="Y346" i="2"/>
  <c r="BN346" i="2" s="1"/>
  <c r="P346" i="2"/>
  <c r="X344" i="2"/>
  <c r="X343" i="2"/>
  <c r="BO342" i="2"/>
  <c r="BM342" i="2"/>
  <c r="Y342" i="2"/>
  <c r="P342" i="2"/>
  <c r="BP341" i="2"/>
  <c r="BO341" i="2"/>
  <c r="BM341" i="2"/>
  <c r="Y341" i="2"/>
  <c r="BN341" i="2" s="1"/>
  <c r="P341" i="2"/>
  <c r="BO340" i="2"/>
  <c r="BM340" i="2"/>
  <c r="Y340" i="2"/>
  <c r="P340" i="2"/>
  <c r="BO339" i="2"/>
  <c r="BM339" i="2"/>
  <c r="Y339" i="2"/>
  <c r="BN339" i="2" s="1"/>
  <c r="P339" i="2"/>
  <c r="BO338" i="2"/>
  <c r="BM338" i="2"/>
  <c r="Y338" i="2"/>
  <c r="BN338" i="2" s="1"/>
  <c r="P338" i="2"/>
  <c r="X335" i="2"/>
  <c r="X334" i="2"/>
  <c r="BO333" i="2"/>
  <c r="BM333" i="2"/>
  <c r="Z333" i="2"/>
  <c r="Y333" i="2"/>
  <c r="BN333" i="2" s="1"/>
  <c r="P333" i="2"/>
  <c r="BO332" i="2"/>
  <c r="BM332" i="2"/>
  <c r="Y332" i="2"/>
  <c r="P332" i="2"/>
  <c r="BO331" i="2"/>
  <c r="BM331" i="2"/>
  <c r="Y331" i="2"/>
  <c r="BN331" i="2" s="1"/>
  <c r="P331" i="2"/>
  <c r="X328" i="2"/>
  <c r="X327" i="2"/>
  <c r="BP326" i="2"/>
  <c r="BO326" i="2"/>
  <c r="BM326" i="2"/>
  <c r="Y326" i="2"/>
  <c r="BN326" i="2" s="1"/>
  <c r="P326" i="2"/>
  <c r="BO325" i="2"/>
  <c r="BM325" i="2"/>
  <c r="Y325" i="2"/>
  <c r="P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Z322" i="2"/>
  <c r="Y322" i="2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P311" i="2"/>
  <c r="Y309" i="2"/>
  <c r="X309" i="2"/>
  <c r="X308" i="2"/>
  <c r="BO307" i="2"/>
  <c r="BM307" i="2"/>
  <c r="Z307" i="2"/>
  <c r="Z308" i="2" s="1"/>
  <c r="Y307" i="2"/>
  <c r="Y308" i="2" s="1"/>
  <c r="P307" i="2"/>
  <c r="X305" i="2"/>
  <c r="X304" i="2"/>
  <c r="BO303" i="2"/>
  <c r="BM303" i="2"/>
  <c r="Y303" i="2"/>
  <c r="BN303" i="2" s="1"/>
  <c r="P303" i="2"/>
  <c r="BO302" i="2"/>
  <c r="BM302" i="2"/>
  <c r="Y302" i="2"/>
  <c r="Z302" i="2" s="1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BP299" i="2" s="1"/>
  <c r="P299" i="2"/>
  <c r="BO298" i="2"/>
  <c r="BM298" i="2"/>
  <c r="Y298" i="2"/>
  <c r="P298" i="2"/>
  <c r="BO297" i="2"/>
  <c r="BM297" i="2"/>
  <c r="Y297" i="2"/>
  <c r="P297" i="2"/>
  <c r="X294" i="2"/>
  <c r="X293" i="2"/>
  <c r="BP292" i="2"/>
  <c r="BO292" i="2"/>
  <c r="BM292" i="2"/>
  <c r="Y292" i="2"/>
  <c r="BN292" i="2" s="1"/>
  <c r="P292" i="2"/>
  <c r="BO291" i="2"/>
  <c r="BM291" i="2"/>
  <c r="Y291" i="2"/>
  <c r="Z291" i="2" s="1"/>
  <c r="P291" i="2"/>
  <c r="X289" i="2"/>
  <c r="X288" i="2"/>
  <c r="BO287" i="2"/>
  <c r="BM287" i="2"/>
  <c r="Y287" i="2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P282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BN279" i="2" s="1"/>
  <c r="P279" i="2"/>
  <c r="BO278" i="2"/>
  <c r="BM278" i="2"/>
  <c r="Y278" i="2"/>
  <c r="P278" i="2"/>
  <c r="BO277" i="2"/>
  <c r="BM277" i="2"/>
  <c r="Y277" i="2"/>
  <c r="P277" i="2"/>
  <c r="BO276" i="2"/>
  <c r="BM276" i="2"/>
  <c r="Y276" i="2"/>
  <c r="BP276" i="2" s="1"/>
  <c r="P276" i="2"/>
  <c r="X274" i="2"/>
  <c r="X273" i="2"/>
  <c r="BO272" i="2"/>
  <c r="BM272" i="2"/>
  <c r="Y272" i="2"/>
  <c r="P272" i="2"/>
  <c r="BO271" i="2"/>
  <c r="BM271" i="2"/>
  <c r="Y271" i="2"/>
  <c r="P271" i="2"/>
  <c r="BO270" i="2"/>
  <c r="BM270" i="2"/>
  <c r="Y270" i="2"/>
  <c r="BN270" i="2" s="1"/>
  <c r="P270" i="2"/>
  <c r="BO269" i="2"/>
  <c r="BM269" i="2"/>
  <c r="Y269" i="2"/>
  <c r="BP269" i="2" s="1"/>
  <c r="P269" i="2"/>
  <c r="BP268" i="2"/>
  <c r="BO268" i="2"/>
  <c r="BN268" i="2"/>
  <c r="BM268" i="2"/>
  <c r="Z268" i="2"/>
  <c r="Y268" i="2"/>
  <c r="P268" i="2"/>
  <c r="BO267" i="2"/>
  <c r="BM267" i="2"/>
  <c r="Y267" i="2"/>
  <c r="P267" i="2"/>
  <c r="BO266" i="2"/>
  <c r="BM266" i="2"/>
  <c r="Y266" i="2"/>
  <c r="BP266" i="2" s="1"/>
  <c r="P266" i="2"/>
  <c r="BO265" i="2"/>
  <c r="BM265" i="2"/>
  <c r="Y265" i="2"/>
  <c r="P265" i="2"/>
  <c r="X263" i="2"/>
  <c r="X262" i="2"/>
  <c r="BO261" i="2"/>
  <c r="BM261" i="2"/>
  <c r="Y261" i="2"/>
  <c r="Z261" i="2" s="1"/>
  <c r="P261" i="2"/>
  <c r="BO260" i="2"/>
  <c r="BM260" i="2"/>
  <c r="Y260" i="2"/>
  <c r="Z260" i="2" s="1"/>
  <c r="P260" i="2"/>
  <c r="X258" i="2"/>
  <c r="X257" i="2"/>
  <c r="BO256" i="2"/>
  <c r="BM256" i="2"/>
  <c r="Y256" i="2"/>
  <c r="P256" i="2"/>
  <c r="BO255" i="2"/>
  <c r="BM255" i="2"/>
  <c r="Y255" i="2"/>
  <c r="P255" i="2"/>
  <c r="X252" i="2"/>
  <c r="X251" i="2"/>
  <c r="BO250" i="2"/>
  <c r="BM250" i="2"/>
  <c r="Y250" i="2"/>
  <c r="P250" i="2"/>
  <c r="X248" i="2"/>
  <c r="X247" i="2"/>
  <c r="BO246" i="2"/>
  <c r="BM246" i="2"/>
  <c r="Y246" i="2"/>
  <c r="P246" i="2"/>
  <c r="BO245" i="2"/>
  <c r="BM245" i="2"/>
  <c r="Y245" i="2"/>
  <c r="BP245" i="2" s="1"/>
  <c r="P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BN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X234" i="2"/>
  <c r="X233" i="2"/>
  <c r="BO232" i="2"/>
  <c r="BM232" i="2"/>
  <c r="Z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Z227" i="2" s="1"/>
  <c r="P227" i="2"/>
  <c r="BO226" i="2"/>
  <c r="BM226" i="2"/>
  <c r="Y226" i="2"/>
  <c r="BP226" i="2" s="1"/>
  <c r="P226" i="2"/>
  <c r="BP225" i="2"/>
  <c r="BO225" i="2"/>
  <c r="BN225" i="2"/>
  <c r="BM225" i="2"/>
  <c r="Z225" i="2"/>
  <c r="Y225" i="2"/>
  <c r="P225" i="2"/>
  <c r="BO224" i="2"/>
  <c r="BM224" i="2"/>
  <c r="Z224" i="2"/>
  <c r="Y224" i="2"/>
  <c r="BN224" i="2" s="1"/>
  <c r="P224" i="2"/>
  <c r="BO223" i="2"/>
  <c r="BM223" i="2"/>
  <c r="Y223" i="2"/>
  <c r="BN223" i="2" s="1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N219" i="2" s="1"/>
  <c r="P219" i="2"/>
  <c r="Y217" i="2"/>
  <c r="X217" i="2"/>
  <c r="Y216" i="2"/>
  <c r="X216" i="2"/>
  <c r="BP215" i="2"/>
  <c r="BO215" i="2"/>
  <c r="BN215" i="2"/>
  <c r="BM215" i="2"/>
  <c r="Z215" i="2"/>
  <c r="Z216" i="2" s="1"/>
  <c r="Y215" i="2"/>
  <c r="P215" i="2"/>
  <c r="X212" i="2"/>
  <c r="X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Z208" i="2" s="1"/>
  <c r="P208" i="2"/>
  <c r="BO207" i="2"/>
  <c r="BM207" i="2"/>
  <c r="Y207" i="2"/>
  <c r="P207" i="2"/>
  <c r="BO206" i="2"/>
  <c r="BM206" i="2"/>
  <c r="Y206" i="2"/>
  <c r="BN206" i="2" s="1"/>
  <c r="P206" i="2"/>
  <c r="BO205" i="2"/>
  <c r="BM205" i="2"/>
  <c r="Y205" i="2"/>
  <c r="BP205" i="2" s="1"/>
  <c r="P205" i="2"/>
  <c r="BO204" i="2"/>
  <c r="BM204" i="2"/>
  <c r="Y204" i="2"/>
  <c r="P204" i="2"/>
  <c r="Y200" i="2"/>
  <c r="X200" i="2"/>
  <c r="X199" i="2"/>
  <c r="BO198" i="2"/>
  <c r="BM198" i="2"/>
  <c r="Y198" i="2"/>
  <c r="Y199" i="2" s="1"/>
  <c r="P198" i="2"/>
  <c r="X196" i="2"/>
  <c r="Y195" i="2"/>
  <c r="X195" i="2"/>
  <c r="BO194" i="2"/>
  <c r="BM194" i="2"/>
  <c r="Y194" i="2"/>
  <c r="BN194" i="2" s="1"/>
  <c r="P194" i="2"/>
  <c r="X192" i="2"/>
  <c r="X191" i="2"/>
  <c r="BO190" i="2"/>
  <c r="BM190" i="2"/>
  <c r="Y190" i="2"/>
  <c r="P190" i="2"/>
  <c r="BP189" i="2"/>
  <c r="BO189" i="2"/>
  <c r="BM189" i="2"/>
  <c r="Y189" i="2"/>
  <c r="P189" i="2"/>
  <c r="BO188" i="2"/>
  <c r="BM188" i="2"/>
  <c r="Y188" i="2"/>
  <c r="P188" i="2"/>
  <c r="X186" i="2"/>
  <c r="X185" i="2"/>
  <c r="BP184" i="2"/>
  <c r="BO184" i="2"/>
  <c r="BM184" i="2"/>
  <c r="Y184" i="2"/>
  <c r="P184" i="2"/>
  <c r="BO183" i="2"/>
  <c r="BM183" i="2"/>
  <c r="Y183" i="2"/>
  <c r="Z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Z176" i="2"/>
  <c r="Y176" i="2"/>
  <c r="BN176" i="2" s="1"/>
  <c r="P176" i="2"/>
  <c r="BO175" i="2"/>
  <c r="BM175" i="2"/>
  <c r="Y175" i="2"/>
  <c r="P175" i="2"/>
  <c r="BO174" i="2"/>
  <c r="BM174" i="2"/>
  <c r="Y174" i="2"/>
  <c r="P174" i="2"/>
  <c r="X172" i="2"/>
  <c r="X171" i="2"/>
  <c r="BO170" i="2"/>
  <c r="BM170" i="2"/>
  <c r="Y170" i="2"/>
  <c r="BN170" i="2" s="1"/>
  <c r="P170" i="2"/>
  <c r="BO169" i="2"/>
  <c r="BM169" i="2"/>
  <c r="Y169" i="2"/>
  <c r="Y172" i="2" s="1"/>
  <c r="P169" i="2"/>
  <c r="X167" i="2"/>
  <c r="X166" i="2"/>
  <c r="BO165" i="2"/>
  <c r="BM165" i="2"/>
  <c r="Y165" i="2"/>
  <c r="P165" i="2"/>
  <c r="BO164" i="2"/>
  <c r="BM164" i="2"/>
  <c r="Y164" i="2"/>
  <c r="Z164" i="2" s="1"/>
  <c r="P164" i="2"/>
  <c r="BO163" i="2"/>
  <c r="BM163" i="2"/>
  <c r="Y163" i="2"/>
  <c r="BN163" i="2" s="1"/>
  <c r="P163" i="2"/>
  <c r="X160" i="2"/>
  <c r="Y159" i="2"/>
  <c r="X159" i="2"/>
  <c r="BP158" i="2"/>
  <c r="BO158" i="2"/>
  <c r="BN158" i="2"/>
  <c r="BM158" i="2"/>
  <c r="Z158" i="2"/>
  <c r="Z159" i="2" s="1"/>
  <c r="Y158" i="2"/>
  <c r="Y160" i="2" s="1"/>
  <c r="P158" i="2"/>
  <c r="X156" i="2"/>
  <c r="X155" i="2"/>
  <c r="BO154" i="2"/>
  <c r="BM154" i="2"/>
  <c r="Y154" i="2"/>
  <c r="P154" i="2"/>
  <c r="BO153" i="2"/>
  <c r="BM153" i="2"/>
  <c r="Z153" i="2"/>
  <c r="Y153" i="2"/>
  <c r="BN153" i="2" s="1"/>
  <c r="P153" i="2"/>
  <c r="BO152" i="2"/>
  <c r="BM152" i="2"/>
  <c r="Y152" i="2"/>
  <c r="P152" i="2"/>
  <c r="BO151" i="2"/>
  <c r="BM151" i="2"/>
  <c r="Y151" i="2"/>
  <c r="BN151" i="2" s="1"/>
  <c r="P151" i="2"/>
  <c r="BO150" i="2"/>
  <c r="BM150" i="2"/>
  <c r="Y150" i="2"/>
  <c r="P150" i="2"/>
  <c r="BO149" i="2"/>
  <c r="BM149" i="2"/>
  <c r="Y149" i="2"/>
  <c r="BN149" i="2" s="1"/>
  <c r="P149" i="2"/>
  <c r="BO148" i="2"/>
  <c r="BM148" i="2"/>
  <c r="Y148" i="2"/>
  <c r="BN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BN142" i="2" s="1"/>
  <c r="P142" i="2"/>
  <c r="BO141" i="2"/>
  <c r="BM141" i="2"/>
  <c r="Y141" i="2"/>
  <c r="Z141" i="2" s="1"/>
  <c r="P141" i="2"/>
  <c r="X139" i="2"/>
  <c r="X138" i="2"/>
  <c r="BO137" i="2"/>
  <c r="BM137" i="2"/>
  <c r="Y137" i="2"/>
  <c r="BP137" i="2" s="1"/>
  <c r="P137" i="2"/>
  <c r="BP136" i="2"/>
  <c r="BO136" i="2"/>
  <c r="BN136" i="2"/>
  <c r="BM136" i="2"/>
  <c r="Z136" i="2"/>
  <c r="Y136" i="2"/>
  <c r="P136" i="2"/>
  <c r="BO135" i="2"/>
  <c r="BM135" i="2"/>
  <c r="Y135" i="2"/>
  <c r="BP135" i="2" s="1"/>
  <c r="P135" i="2"/>
  <c r="BO134" i="2"/>
  <c r="BM134" i="2"/>
  <c r="Y134" i="2"/>
  <c r="P134" i="2"/>
  <c r="X132" i="2"/>
  <c r="X131" i="2"/>
  <c r="BO130" i="2"/>
  <c r="BM130" i="2"/>
  <c r="Y130" i="2"/>
  <c r="Z130" i="2" s="1"/>
  <c r="P130" i="2"/>
  <c r="BO129" i="2"/>
  <c r="BM129" i="2"/>
  <c r="Y129" i="2"/>
  <c r="Z129" i="2" s="1"/>
  <c r="P129" i="2"/>
  <c r="BO128" i="2"/>
  <c r="BM128" i="2"/>
  <c r="Y128" i="2"/>
  <c r="Y131" i="2" s="1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BN119" i="2" s="1"/>
  <c r="P119" i="2"/>
  <c r="BO118" i="2"/>
  <c r="BM118" i="2"/>
  <c r="Z118" i="2"/>
  <c r="Y118" i="2"/>
  <c r="P118" i="2"/>
  <c r="BO117" i="2"/>
  <c r="BM117" i="2"/>
  <c r="Y117" i="2"/>
  <c r="BN117" i="2" s="1"/>
  <c r="P117" i="2"/>
  <c r="BO116" i="2"/>
  <c r="BM116" i="2"/>
  <c r="Y116" i="2"/>
  <c r="P116" i="2"/>
  <c r="X114" i="2"/>
  <c r="X113" i="2"/>
  <c r="BO112" i="2"/>
  <c r="BM112" i="2"/>
  <c r="Y112" i="2"/>
  <c r="P112" i="2"/>
  <c r="BO111" i="2"/>
  <c r="BM111" i="2"/>
  <c r="Y111" i="2"/>
  <c r="BN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O103" i="2"/>
  <c r="BM103" i="2"/>
  <c r="Y103" i="2"/>
  <c r="BP103" i="2" s="1"/>
  <c r="P103" i="2"/>
  <c r="BP102" i="2"/>
  <c r="BO102" i="2"/>
  <c r="BN102" i="2"/>
  <c r="BM102" i="2"/>
  <c r="Z102" i="2"/>
  <c r="Y102" i="2"/>
  <c r="P102" i="2"/>
  <c r="BO101" i="2"/>
  <c r="BM101" i="2"/>
  <c r="Y101" i="2"/>
  <c r="BN101" i="2" s="1"/>
  <c r="P101" i="2"/>
  <c r="BO100" i="2"/>
  <c r="BM100" i="2"/>
  <c r="Y100" i="2"/>
  <c r="BN100" i="2" s="1"/>
  <c r="P100" i="2"/>
  <c r="BO99" i="2"/>
  <c r="BM99" i="2"/>
  <c r="Y99" i="2"/>
  <c r="BN99" i="2" s="1"/>
  <c r="P99" i="2"/>
  <c r="BO98" i="2"/>
  <c r="BM98" i="2"/>
  <c r="Y98" i="2"/>
  <c r="P98" i="2"/>
  <c r="X95" i="2"/>
  <c r="X94" i="2"/>
  <c r="BO93" i="2"/>
  <c r="BM93" i="2"/>
  <c r="Y93" i="2"/>
  <c r="BP93" i="2" s="1"/>
  <c r="P93" i="2"/>
  <c r="BO92" i="2"/>
  <c r="BM92" i="2"/>
  <c r="Y92" i="2"/>
  <c r="BP92" i="2" s="1"/>
  <c r="P92" i="2"/>
  <c r="BP91" i="2"/>
  <c r="BO91" i="2"/>
  <c r="BN91" i="2"/>
  <c r="BM91" i="2"/>
  <c r="Z91" i="2"/>
  <c r="Y91" i="2"/>
  <c r="P91" i="2"/>
  <c r="BO90" i="2"/>
  <c r="BM90" i="2"/>
  <c r="Y90" i="2"/>
  <c r="P90" i="2"/>
  <c r="X88" i="2"/>
  <c r="X87" i="2"/>
  <c r="BO86" i="2"/>
  <c r="BM86" i="2"/>
  <c r="Y86" i="2"/>
  <c r="BP86" i="2" s="1"/>
  <c r="P86" i="2"/>
  <c r="BO85" i="2"/>
  <c r="BM85" i="2"/>
  <c r="Y85" i="2"/>
  <c r="Z85" i="2" s="1"/>
  <c r="P85" i="2"/>
  <c r="BO84" i="2"/>
  <c r="BM84" i="2"/>
  <c r="Y84" i="2"/>
  <c r="Z84" i="2" s="1"/>
  <c r="P84" i="2"/>
  <c r="BO83" i="2"/>
  <c r="BM83" i="2"/>
  <c r="Y83" i="2"/>
  <c r="BN83" i="2" s="1"/>
  <c r="P83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Y74" i="2" s="1"/>
  <c r="P72" i="2"/>
  <c r="X70" i="2"/>
  <c r="X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Y70" i="2" s="1"/>
  <c r="P66" i="2"/>
  <c r="BO65" i="2"/>
  <c r="BM65" i="2"/>
  <c r="Z65" i="2"/>
  <c r="Y65" i="2"/>
  <c r="P65" i="2"/>
  <c r="X63" i="2"/>
  <c r="X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Z56" i="2" s="1"/>
  <c r="P56" i="2"/>
  <c r="X53" i="2"/>
  <c r="X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X44" i="2"/>
  <c r="X43" i="2"/>
  <c r="BO42" i="2"/>
  <c r="BM42" i="2"/>
  <c r="Y42" i="2"/>
  <c r="BP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BN57" i="2" l="1"/>
  <c r="BN60" i="2"/>
  <c r="BN85" i="2"/>
  <c r="BN92" i="2"/>
  <c r="BN104" i="2"/>
  <c r="Y139" i="2"/>
  <c r="BP134" i="2"/>
  <c r="BN134" i="2"/>
  <c r="Z134" i="2"/>
  <c r="BN154" i="2"/>
  <c r="Z154" i="2"/>
  <c r="BN164" i="2"/>
  <c r="BN178" i="2"/>
  <c r="Z178" i="2"/>
  <c r="BP190" i="2"/>
  <c r="BN190" i="2"/>
  <c r="Z190" i="2"/>
  <c r="BN204" i="2"/>
  <c r="Z204" i="2"/>
  <c r="BN208" i="2"/>
  <c r="BN222" i="2"/>
  <c r="Z222" i="2"/>
  <c r="BN227" i="2"/>
  <c r="BN236" i="2"/>
  <c r="BN272" i="2"/>
  <c r="BP272" i="2"/>
  <c r="BP278" i="2"/>
  <c r="BN278" i="2"/>
  <c r="Z278" i="2"/>
  <c r="BN286" i="2"/>
  <c r="BN297" i="2"/>
  <c r="Z297" i="2"/>
  <c r="Y313" i="2"/>
  <c r="BN311" i="2"/>
  <c r="Z311" i="2"/>
  <c r="Z312" i="2" s="1"/>
  <c r="Y312" i="2"/>
  <c r="BN340" i="2"/>
  <c r="Z340" i="2"/>
  <c r="BP387" i="2"/>
  <c r="BN387" i="2"/>
  <c r="Z387" i="2"/>
  <c r="BN399" i="2"/>
  <c r="BN419" i="2"/>
  <c r="BP419" i="2"/>
  <c r="BN426" i="2"/>
  <c r="BN431" i="2"/>
  <c r="BP431" i="2"/>
  <c r="BN449" i="2"/>
  <c r="BN473" i="2"/>
  <c r="BP481" i="2"/>
  <c r="BN481" i="2"/>
  <c r="Z481" i="2"/>
  <c r="BN518" i="2"/>
  <c r="BP544" i="2"/>
  <c r="Z544" i="2"/>
  <c r="BN28" i="2"/>
  <c r="Y33" i="2"/>
  <c r="BN48" i="2"/>
  <c r="BN58" i="2"/>
  <c r="Z67" i="2"/>
  <c r="BN67" i="2"/>
  <c r="BN68" i="2"/>
  <c r="Z73" i="2"/>
  <c r="BN73" i="2"/>
  <c r="Y94" i="2"/>
  <c r="BP112" i="2"/>
  <c r="BN112" i="2"/>
  <c r="Z112" i="2"/>
  <c r="BN174" i="2"/>
  <c r="Z174" i="2"/>
  <c r="BP178" i="2"/>
  <c r="BP179" i="2"/>
  <c r="BN179" i="2"/>
  <c r="Z179" i="2"/>
  <c r="BN183" i="2"/>
  <c r="Y191" i="2"/>
  <c r="BN189" i="2"/>
  <c r="Z189" i="2"/>
  <c r="BP204" i="2"/>
  <c r="BN205" i="2"/>
  <c r="Y248" i="2"/>
  <c r="BP244" i="2"/>
  <c r="BN244" i="2"/>
  <c r="Z244" i="2"/>
  <c r="BP255" i="2"/>
  <c r="Z255" i="2"/>
  <c r="BN266" i="2"/>
  <c r="BN269" i="2"/>
  <c r="BP297" i="2"/>
  <c r="BP298" i="2"/>
  <c r="BN298" i="2"/>
  <c r="Z298" i="2"/>
  <c r="BN302" i="2"/>
  <c r="BP342" i="2"/>
  <c r="BN342" i="2"/>
  <c r="Z342" i="2"/>
  <c r="BP368" i="2"/>
  <c r="BN368" i="2"/>
  <c r="Z368" i="2"/>
  <c r="BN370" i="2"/>
  <c r="BN381" i="2"/>
  <c r="BN386" i="2"/>
  <c r="Z386" i="2"/>
  <c r="BP459" i="2"/>
  <c r="Y460" i="2"/>
  <c r="BN459" i="2"/>
  <c r="BN505" i="2"/>
  <c r="BP224" i="2"/>
  <c r="BN238" i="2"/>
  <c r="BN245" i="2"/>
  <c r="BN260" i="2"/>
  <c r="BN276" i="2"/>
  <c r="BN299" i="2"/>
  <c r="BP307" i="2"/>
  <c r="Y327" i="2"/>
  <c r="BP322" i="2"/>
  <c r="BN323" i="2"/>
  <c r="Y335" i="2"/>
  <c r="BP333" i="2"/>
  <c r="BP346" i="2"/>
  <c r="BP360" i="2"/>
  <c r="BN361" i="2"/>
  <c r="Y389" i="2"/>
  <c r="BP392" i="2"/>
  <c r="Y408" i="2"/>
  <c r="Y413" i="2"/>
  <c r="BN425" i="2"/>
  <c r="BN455" i="2"/>
  <c r="BN499" i="2"/>
  <c r="BN506" i="2"/>
  <c r="BP23" i="2"/>
  <c r="Y25" i="2"/>
  <c r="BN27" i="2"/>
  <c r="BN40" i="2"/>
  <c r="Z48" i="2"/>
  <c r="BN49" i="2"/>
  <c r="Z57" i="2"/>
  <c r="Z62" i="2" s="1"/>
  <c r="BN59" i="2"/>
  <c r="BP60" i="2"/>
  <c r="Y69" i="2"/>
  <c r="BP65" i="2"/>
  <c r="Z68" i="2"/>
  <c r="BN77" i="2"/>
  <c r="Y80" i="2"/>
  <c r="BN90" i="2"/>
  <c r="Z92" i="2"/>
  <c r="BN93" i="2"/>
  <c r="Z99" i="2"/>
  <c r="Z101" i="2"/>
  <c r="BP101" i="2"/>
  <c r="BN103" i="2"/>
  <c r="Z109" i="2"/>
  <c r="Z111" i="2"/>
  <c r="BP111" i="2"/>
  <c r="Z117" i="2"/>
  <c r="BP117" i="2"/>
  <c r="Z119" i="2"/>
  <c r="BN130" i="2"/>
  <c r="BN135" i="2"/>
  <c r="Y138" i="2"/>
  <c r="Z143" i="2"/>
  <c r="Z148" i="2"/>
  <c r="BP148" i="2"/>
  <c r="Z151" i="2"/>
  <c r="BP151" i="2"/>
  <c r="BP154" i="2"/>
  <c r="BN169" i="2"/>
  <c r="BP170" i="2"/>
  <c r="Z170" i="2"/>
  <c r="BP174" i="2"/>
  <c r="Z184" i="2"/>
  <c r="BN184" i="2"/>
  <c r="Z188" i="2"/>
  <c r="Z191" i="2" s="1"/>
  <c r="BP221" i="2"/>
  <c r="Z223" i="2"/>
  <c r="BP256" i="2"/>
  <c r="BN256" i="2"/>
  <c r="Z281" i="2"/>
  <c r="BN281" i="2"/>
  <c r="Z371" i="2"/>
  <c r="BN371" i="2"/>
  <c r="BP398" i="2"/>
  <c r="Y401" i="2"/>
  <c r="BN398" i="2"/>
  <c r="BN438" i="2"/>
  <c r="BP438" i="2"/>
  <c r="Z438" i="2"/>
  <c r="BN448" i="2"/>
  <c r="Y451" i="2"/>
  <c r="BP448" i="2"/>
  <c r="Z448" i="2"/>
  <c r="Z450" i="2" s="1"/>
  <c r="X563" i="2"/>
  <c r="BP454" i="2"/>
  <c r="Z474" i="2"/>
  <c r="BN474" i="2"/>
  <c r="BN500" i="2"/>
  <c r="BP500" i="2"/>
  <c r="Y534" i="2"/>
  <c r="Y533" i="2"/>
  <c r="Z532" i="2"/>
  <c r="Z533" i="2" s="1"/>
  <c r="Y44" i="2"/>
  <c r="BP56" i="2"/>
  <c r="Y95" i="2"/>
  <c r="BP100" i="2"/>
  <c r="BP110" i="2"/>
  <c r="BN137" i="2"/>
  <c r="BP142" i="2"/>
  <c r="BP164" i="2"/>
  <c r="Y171" i="2"/>
  <c r="BP180" i="2"/>
  <c r="Z180" i="2"/>
  <c r="Y196" i="2"/>
  <c r="BP194" i="2"/>
  <c r="Z194" i="2"/>
  <c r="Z195" i="2" s="1"/>
  <c r="Z207" i="2"/>
  <c r="BN207" i="2"/>
  <c r="Z221" i="2"/>
  <c r="BN265" i="2"/>
  <c r="BP265" i="2"/>
  <c r="Y273" i="2"/>
  <c r="BP300" i="2"/>
  <c r="BN300" i="2"/>
  <c r="Z325" i="2"/>
  <c r="BN325" i="2"/>
  <c r="BN332" i="2"/>
  <c r="BP332" i="2"/>
  <c r="Z332" i="2"/>
  <c r="BN394" i="2"/>
  <c r="Z394" i="2"/>
  <c r="Z395" i="2" s="1"/>
  <c r="BN400" i="2"/>
  <c r="BP400" i="2"/>
  <c r="Z400" i="2"/>
  <c r="BN432" i="2"/>
  <c r="BP432" i="2"/>
  <c r="Z432" i="2"/>
  <c r="Y450" i="2"/>
  <c r="Y529" i="2"/>
  <c r="Z528" i="2"/>
  <c r="Z529" i="2" s="1"/>
  <c r="Y24" i="2"/>
  <c r="BP49" i="2"/>
  <c r="Z59" i="2"/>
  <c r="BP66" i="2"/>
  <c r="F563" i="2"/>
  <c r="BP83" i="2"/>
  <c r="Y87" i="2"/>
  <c r="Z90" i="2"/>
  <c r="BP90" i="2"/>
  <c r="Z100" i="2"/>
  <c r="Z103" i="2"/>
  <c r="Z110" i="2"/>
  <c r="BP130" i="2"/>
  <c r="Z135" i="2"/>
  <c r="Z142" i="2"/>
  <c r="Z144" i="2" s="1"/>
  <c r="BP153" i="2"/>
  <c r="Z169" i="2"/>
  <c r="BP169" i="2"/>
  <c r="BP181" i="2"/>
  <c r="BN181" i="2"/>
  <c r="Z182" i="2"/>
  <c r="BN182" i="2"/>
  <c r="BN267" i="2"/>
  <c r="BP267" i="2"/>
  <c r="Z267" i="2"/>
  <c r="BN287" i="2"/>
  <c r="BP287" i="2"/>
  <c r="Z287" i="2"/>
  <c r="Y304" i="2"/>
  <c r="BP352" i="2"/>
  <c r="Y356" i="2"/>
  <c r="Y524" i="2"/>
  <c r="BN516" i="2"/>
  <c r="BP516" i="2"/>
  <c r="Z516" i="2"/>
  <c r="C563" i="2"/>
  <c r="BP37" i="2"/>
  <c r="BN39" i="2"/>
  <c r="D563" i="2"/>
  <c r="BN51" i="2"/>
  <c r="Y53" i="2"/>
  <c r="Z58" i="2"/>
  <c r="Z66" i="2"/>
  <c r="Z69" i="2" s="1"/>
  <c r="BN86" i="2"/>
  <c r="BP99" i="2"/>
  <c r="BP109" i="2"/>
  <c r="BP119" i="2"/>
  <c r="BN129" i="2"/>
  <c r="BP143" i="2"/>
  <c r="BN177" i="2"/>
  <c r="Z177" i="2"/>
  <c r="Y192" i="2"/>
  <c r="BN188" i="2"/>
  <c r="BP188" i="2"/>
  <c r="BP219" i="2"/>
  <c r="Z219" i="2"/>
  <c r="BP223" i="2"/>
  <c r="Z228" i="2"/>
  <c r="BN228" i="2"/>
  <c r="Y241" i="2"/>
  <c r="BN237" i="2"/>
  <c r="BP246" i="2"/>
  <c r="BN246" i="2"/>
  <c r="Z271" i="2"/>
  <c r="BN271" i="2"/>
  <c r="BN277" i="2"/>
  <c r="BP277" i="2"/>
  <c r="Z277" i="2"/>
  <c r="Y319" i="2"/>
  <c r="BP315" i="2"/>
  <c r="BN380" i="2"/>
  <c r="BP380" i="2"/>
  <c r="Z380" i="2"/>
  <c r="BN428" i="2"/>
  <c r="BP428" i="2"/>
  <c r="Z428" i="2"/>
  <c r="BN480" i="2"/>
  <c r="Y482" i="2"/>
  <c r="BP480" i="2"/>
  <c r="Z480" i="2"/>
  <c r="Z482" i="2" s="1"/>
  <c r="Y483" i="2"/>
  <c r="AA563" i="2"/>
  <c r="Y507" i="2"/>
  <c r="BN498" i="2"/>
  <c r="BP498" i="2"/>
  <c r="Z498" i="2"/>
  <c r="BP532" i="2"/>
  <c r="BP229" i="2"/>
  <c r="Y247" i="2"/>
  <c r="Y294" i="2"/>
  <c r="Y305" i="2"/>
  <c r="Q563" i="2"/>
  <c r="BP339" i="2"/>
  <c r="Y376" i="2"/>
  <c r="U563" i="2"/>
  <c r="Y414" i="2"/>
  <c r="BP418" i="2"/>
  <c r="BP430" i="2"/>
  <c r="Y440" i="2"/>
  <c r="BP208" i="2"/>
  <c r="L563" i="2"/>
  <c r="BP222" i="2"/>
  <c r="BP227" i="2"/>
  <c r="BN232" i="2"/>
  <c r="BP239" i="2"/>
  <c r="Z245" i="2"/>
  <c r="Z266" i="2"/>
  <c r="Z276" i="2"/>
  <c r="Y288" i="2"/>
  <c r="Z299" i="2"/>
  <c r="BP303" i="2"/>
  <c r="BN307" i="2"/>
  <c r="BN322" i="2"/>
  <c r="Z331" i="2"/>
  <c r="BP331" i="2"/>
  <c r="Y334" i="2"/>
  <c r="R563" i="2"/>
  <c r="Z339" i="2"/>
  <c r="BP362" i="2"/>
  <c r="Z370" i="2"/>
  <c r="BP393" i="2"/>
  <c r="Z399" i="2"/>
  <c r="Z411" i="2"/>
  <c r="BP411" i="2"/>
  <c r="Z418" i="2"/>
  <c r="Z426" i="2"/>
  <c r="Z430" i="2"/>
  <c r="Z436" i="2"/>
  <c r="BP436" i="2"/>
  <c r="Z455" i="2"/>
  <c r="Y563" i="2"/>
  <c r="Z473" i="2"/>
  <c r="Y477" i="2"/>
  <c r="Z563" i="2"/>
  <c r="Z506" i="2"/>
  <c r="Y186" i="2"/>
  <c r="BP176" i="2"/>
  <c r="Y212" i="2"/>
  <c r="BP206" i="2"/>
  <c r="BN226" i="2"/>
  <c r="BN229" i="2"/>
  <c r="Z262" i="2"/>
  <c r="BP260" i="2"/>
  <c r="BN261" i="2"/>
  <c r="Y274" i="2"/>
  <c r="Y289" i="2"/>
  <c r="Z285" i="2"/>
  <c r="BN291" i="2"/>
  <c r="Y293" i="2"/>
  <c r="O563" i="2"/>
  <c r="BN301" i="2"/>
  <c r="BP311" i="2"/>
  <c r="P563" i="2"/>
  <c r="Y328" i="2"/>
  <c r="Z338" i="2"/>
  <c r="BP338" i="2"/>
  <c r="BP340" i="2"/>
  <c r="Y421" i="2"/>
  <c r="BP417" i="2"/>
  <c r="Z425" i="2"/>
  <c r="BP429" i="2"/>
  <c r="BN444" i="2"/>
  <c r="Z459" i="2"/>
  <c r="Z460" i="2" s="1"/>
  <c r="Y467" i="2"/>
  <c r="Z471" i="2"/>
  <c r="BP471" i="2"/>
  <c r="Z486" i="2"/>
  <c r="Z487" i="2" s="1"/>
  <c r="BP486" i="2"/>
  <c r="BN492" i="2"/>
  <c r="BN504" i="2"/>
  <c r="Z505" i="2"/>
  <c r="Y523" i="2"/>
  <c r="BP518" i="2"/>
  <c r="BN519" i="2"/>
  <c r="BP540" i="2"/>
  <c r="Y552" i="2"/>
  <c r="W563" i="2"/>
  <c r="Z378" i="2"/>
  <c r="Y383" i="2"/>
  <c r="BP378" i="2"/>
  <c r="T563" i="2"/>
  <c r="F9" i="2"/>
  <c r="A10" i="2"/>
  <c r="H9" i="2"/>
  <c r="F10" i="2"/>
  <c r="BP220" i="2"/>
  <c r="BN220" i="2"/>
  <c r="Y233" i="2"/>
  <c r="Z220" i="2"/>
  <c r="BP250" i="2"/>
  <c r="BN250" i="2"/>
  <c r="Z250" i="2"/>
  <c r="Z251" i="2" s="1"/>
  <c r="Y252" i="2"/>
  <c r="Y251" i="2"/>
  <c r="Z150" i="2"/>
  <c r="BP150" i="2"/>
  <c r="BN150" i="2"/>
  <c r="Y166" i="2"/>
  <c r="BP165" i="2"/>
  <c r="Z165" i="2"/>
  <c r="Y234" i="2"/>
  <c r="BP98" i="2"/>
  <c r="G563" i="2"/>
  <c r="BN98" i="2"/>
  <c r="X553" i="2"/>
  <c r="BP41" i="2"/>
  <c r="Z41" i="2"/>
  <c r="Z98" i="2"/>
  <c r="BN165" i="2"/>
  <c r="Y185" i="2"/>
  <c r="BP118" i="2"/>
  <c r="BN118" i="2"/>
  <c r="BP141" i="2"/>
  <c r="Y144" i="2"/>
  <c r="BN141" i="2"/>
  <c r="Y145" i="2"/>
  <c r="BP230" i="2"/>
  <c r="BN230" i="2"/>
  <c r="Z230" i="2"/>
  <c r="BP29" i="2"/>
  <c r="Z29" i="2"/>
  <c r="Z72" i="2"/>
  <c r="Z74" i="2" s="1"/>
  <c r="Y75" i="2"/>
  <c r="BP72" i="2"/>
  <c r="BN72" i="2"/>
  <c r="Y88" i="2"/>
  <c r="I563" i="2"/>
  <c r="BP240" i="2"/>
  <c r="BN240" i="2"/>
  <c r="Z240" i="2"/>
  <c r="BP209" i="2"/>
  <c r="BN209" i="2"/>
  <c r="Z209" i="2"/>
  <c r="J563" i="2"/>
  <c r="BN61" i="2"/>
  <c r="H563" i="2"/>
  <c r="Z128" i="2"/>
  <c r="Z131" i="2" s="1"/>
  <c r="Y62" i="2"/>
  <c r="Y132" i="2"/>
  <c r="Z78" i="2"/>
  <c r="Y105" i="2"/>
  <c r="BN128" i="2"/>
  <c r="Z171" i="2"/>
  <c r="BP175" i="2"/>
  <c r="BN175" i="2"/>
  <c r="BP84" i="2"/>
  <c r="Y63" i="2"/>
  <c r="Z61" i="2"/>
  <c r="BN38" i="2"/>
  <c r="Z31" i="2"/>
  <c r="BN84" i="2"/>
  <c r="BN78" i="2"/>
  <c r="Y106" i="2"/>
  <c r="Y121" i="2"/>
  <c r="Y120" i="2"/>
  <c r="BP116" i="2"/>
  <c r="BN116" i="2"/>
  <c r="Z116" i="2"/>
  <c r="Z120" i="2" s="1"/>
  <c r="BP128" i="2"/>
  <c r="Z175" i="2"/>
  <c r="Z123" i="2"/>
  <c r="Z124" i="2" s="1"/>
  <c r="Y125" i="2"/>
  <c r="Y124" i="2"/>
  <c r="BP123" i="2"/>
  <c r="BP38" i="2"/>
  <c r="X554" i="2"/>
  <c r="X556" i="2" s="1"/>
  <c r="X555" i="2"/>
  <c r="Y43" i="2"/>
  <c r="Z50" i="2"/>
  <c r="Y52" i="2"/>
  <c r="BP152" i="2"/>
  <c r="BN152" i="2"/>
  <c r="X557" i="2"/>
  <c r="BN31" i="2"/>
  <c r="BP108" i="2"/>
  <c r="BN108" i="2"/>
  <c r="Y114" i="2"/>
  <c r="Y113" i="2"/>
  <c r="BP149" i="2"/>
  <c r="Y156" i="2"/>
  <c r="Z152" i="2"/>
  <c r="BN29" i="2"/>
  <c r="Z22" i="2"/>
  <c r="B563" i="2"/>
  <c r="BP22" i="2"/>
  <c r="Y32" i="2"/>
  <c r="BN50" i="2"/>
  <c r="Y79" i="2"/>
  <c r="Z108" i="2"/>
  <c r="Z149" i="2"/>
  <c r="K563" i="2"/>
  <c r="Z30" i="2"/>
  <c r="Z42" i="2"/>
  <c r="Z77" i="2"/>
  <c r="Z198" i="2"/>
  <c r="Z199" i="2" s="1"/>
  <c r="Z210" i="2"/>
  <c r="Z231" i="2"/>
  <c r="Z284" i="2"/>
  <c r="BP286" i="2"/>
  <c r="Z317" i="2"/>
  <c r="BP27" i="2"/>
  <c r="Z37" i="2"/>
  <c r="BP39" i="2"/>
  <c r="BP51" i="2"/>
  <c r="Z83" i="2"/>
  <c r="BP85" i="2"/>
  <c r="Z93" i="2"/>
  <c r="Z94" i="2" s="1"/>
  <c r="Z104" i="2"/>
  <c r="BP129" i="2"/>
  <c r="Z137" i="2"/>
  <c r="Z138" i="2" s="1"/>
  <c r="BP163" i="2"/>
  <c r="Z181" i="2"/>
  <c r="BP183" i="2"/>
  <c r="Z205" i="2"/>
  <c r="BP207" i="2"/>
  <c r="Z226" i="2"/>
  <c r="BP228" i="2"/>
  <c r="Z236" i="2"/>
  <c r="BP238" i="2"/>
  <c r="Z246" i="2"/>
  <c r="Z247" i="2" s="1"/>
  <c r="BP261" i="2"/>
  <c r="Z269" i="2"/>
  <c r="BP271" i="2"/>
  <c r="Z279" i="2"/>
  <c r="BP281" i="2"/>
  <c r="BP291" i="2"/>
  <c r="Z300" i="2"/>
  <c r="BP302" i="2"/>
  <c r="Z323" i="2"/>
  <c r="BP325" i="2"/>
  <c r="BN347" i="2"/>
  <c r="Z359" i="2"/>
  <c r="BP361" i="2"/>
  <c r="Z369" i="2"/>
  <c r="BP371" i="2"/>
  <c r="Z379" i="2"/>
  <c r="Z382" i="2" s="1"/>
  <c r="BP381" i="2"/>
  <c r="BN391" i="2"/>
  <c r="Y402" i="2"/>
  <c r="Z412" i="2"/>
  <c r="Z413" i="2" s="1"/>
  <c r="BN427" i="2"/>
  <c r="BN437" i="2"/>
  <c r="BP449" i="2"/>
  <c r="Y461" i="2"/>
  <c r="Z472" i="2"/>
  <c r="BP474" i="2"/>
  <c r="BP499" i="2"/>
  <c r="Y508" i="2"/>
  <c r="Z517" i="2"/>
  <c r="BP519" i="2"/>
  <c r="Y546" i="2"/>
  <c r="Y167" i="2"/>
  <c r="BN198" i="2"/>
  <c r="BN210" i="2"/>
  <c r="BN231" i="2"/>
  <c r="Y242" i="2"/>
  <c r="Y257" i="2"/>
  <c r="BN284" i="2"/>
  <c r="BN317" i="2"/>
  <c r="BN353" i="2"/>
  <c r="BN364" i="2"/>
  <c r="BN374" i="2"/>
  <c r="BN406" i="2"/>
  <c r="BN442" i="2"/>
  <c r="Y445" i="2"/>
  <c r="BN465" i="2"/>
  <c r="Y478" i="2"/>
  <c r="BN490" i="2"/>
  <c r="Y493" i="2"/>
  <c r="BN502" i="2"/>
  <c r="BN512" i="2"/>
  <c r="BN522" i="2"/>
  <c r="BN536" i="2"/>
  <c r="BN42" i="2"/>
  <c r="Y262" i="2"/>
  <c r="BP347" i="2"/>
  <c r="BN359" i="2"/>
  <c r="BN369" i="2"/>
  <c r="BN379" i="2"/>
  <c r="Y382" i="2"/>
  <c r="BP391" i="2"/>
  <c r="BN412" i="2"/>
  <c r="BP427" i="2"/>
  <c r="BP437" i="2"/>
  <c r="BN472" i="2"/>
  <c r="BN517" i="2"/>
  <c r="Y530" i="2"/>
  <c r="Y542" i="2"/>
  <c r="M563" i="2"/>
  <c r="Z28" i="2"/>
  <c r="Z32" i="2" s="1"/>
  <c r="BP30" i="2"/>
  <c r="Z40" i="2"/>
  <c r="BN65" i="2"/>
  <c r="Z86" i="2"/>
  <c r="BP198" i="2"/>
  <c r="Z239" i="2"/>
  <c r="Z272" i="2"/>
  <c r="Z282" i="2"/>
  <c r="Z292" i="2"/>
  <c r="Z293" i="2" s="1"/>
  <c r="Z303" i="2"/>
  <c r="Z315" i="2"/>
  <c r="Z326" i="2"/>
  <c r="Y343" i="2"/>
  <c r="BP353" i="2"/>
  <c r="Z362" i="2"/>
  <c r="BP364" i="2"/>
  <c r="Z372" i="2"/>
  <c r="BP374" i="2"/>
  <c r="Z404" i="2"/>
  <c r="BP406" i="2"/>
  <c r="Y433" i="2"/>
  <c r="BP442" i="2"/>
  <c r="Y456" i="2"/>
  <c r="Z463" i="2"/>
  <c r="BP465" i="2"/>
  <c r="Z475" i="2"/>
  <c r="BP490" i="2"/>
  <c r="Z500" i="2"/>
  <c r="BP502" i="2"/>
  <c r="Z510" i="2"/>
  <c r="BP512" i="2"/>
  <c r="Z520" i="2"/>
  <c r="BP522" i="2"/>
  <c r="BP536" i="2"/>
  <c r="Y547" i="2"/>
  <c r="Z23" i="2"/>
  <c r="Y258" i="2"/>
  <c r="BP279" i="2"/>
  <c r="Y348" i="2"/>
  <c r="BP359" i="2"/>
  <c r="BP369" i="2"/>
  <c r="BP379" i="2"/>
  <c r="BP412" i="2"/>
  <c r="Y446" i="2"/>
  <c r="Y494" i="2"/>
  <c r="BP517" i="2"/>
  <c r="Y211" i="2"/>
  <c r="Y263" i="2"/>
  <c r="BN315" i="2"/>
  <c r="Y318" i="2"/>
  <c r="Y365" i="2"/>
  <c r="Y375" i="2"/>
  <c r="BN404" i="2"/>
  <c r="Y407" i="2"/>
  <c r="BN463" i="2"/>
  <c r="Y466" i="2"/>
  <c r="BN510" i="2"/>
  <c r="Y513" i="2"/>
  <c r="BN520" i="2"/>
  <c r="Y537" i="2"/>
  <c r="Y344" i="2"/>
  <c r="Z354" i="2"/>
  <c r="Y434" i="2"/>
  <c r="Z443" i="2"/>
  <c r="Y457" i="2"/>
  <c r="Z491" i="2"/>
  <c r="Z503" i="2"/>
  <c r="Z550" i="2"/>
  <c r="Z551" i="2" s="1"/>
  <c r="Z206" i="2"/>
  <c r="Z237" i="2"/>
  <c r="Z270" i="2"/>
  <c r="Z280" i="2"/>
  <c r="Z301" i="2"/>
  <c r="Z324" i="2"/>
  <c r="Y349" i="2"/>
  <c r="Y395" i="2"/>
  <c r="BP510" i="2"/>
  <c r="BN532" i="2"/>
  <c r="BN544" i="2"/>
  <c r="S563" i="2"/>
  <c r="BN255" i="2"/>
  <c r="Z265" i="2"/>
  <c r="BN285" i="2"/>
  <c r="Z341" i="2"/>
  <c r="Z343" i="2" s="1"/>
  <c r="BN354" i="2"/>
  <c r="Y366" i="2"/>
  <c r="Z385" i="2"/>
  <c r="Z419" i="2"/>
  <c r="Z420" i="2" s="1"/>
  <c r="Z431" i="2"/>
  <c r="BN443" i="2"/>
  <c r="Z454" i="2"/>
  <c r="Z456" i="2" s="1"/>
  <c r="BN491" i="2"/>
  <c r="BN503" i="2"/>
  <c r="Y538" i="2"/>
  <c r="BN550" i="2"/>
  <c r="BN56" i="2"/>
  <c r="BN66" i="2"/>
  <c r="Z283" i="2"/>
  <c r="Z316" i="2"/>
  <c r="Z352" i="2"/>
  <c r="Z355" i="2" s="1"/>
  <c r="Z363" i="2"/>
  <c r="Z373" i="2"/>
  <c r="BN385" i="2"/>
  <c r="Y388" i="2"/>
  <c r="Y396" i="2"/>
  <c r="Z405" i="2"/>
  <c r="BN454" i="2"/>
  <c r="Z464" i="2"/>
  <c r="Z476" i="2"/>
  <c r="Z501" i="2"/>
  <c r="Z511" i="2"/>
  <c r="Z521" i="2"/>
  <c r="BP550" i="2"/>
  <c r="V563" i="2"/>
  <c r="BP270" i="2"/>
  <c r="BP280" i="2"/>
  <c r="BP301" i="2"/>
  <c r="BP324" i="2"/>
  <c r="Y439" i="2"/>
  <c r="BN283" i="2"/>
  <c r="BN363" i="2"/>
  <c r="BN464" i="2"/>
  <c r="BN476" i="2"/>
  <c r="BN501" i="2"/>
  <c r="BN511" i="2"/>
  <c r="BN521" i="2"/>
  <c r="Z545" i="2"/>
  <c r="Y551" i="2"/>
  <c r="E563" i="2"/>
  <c r="Z256" i="2"/>
  <c r="Z257" i="2" s="1"/>
  <c r="Z398" i="2"/>
  <c r="Z401" i="2" s="1"/>
  <c r="Z444" i="2"/>
  <c r="Z492" i="2"/>
  <c r="Z504" i="2"/>
  <c r="BN528" i="2"/>
  <c r="BN540" i="2"/>
  <c r="BN316" i="2"/>
  <c r="BN352" i="2"/>
  <c r="Y355" i="2"/>
  <c r="BN373" i="2"/>
  <c r="BN405" i="2"/>
  <c r="Y155" i="2"/>
  <c r="Z163" i="2"/>
  <c r="BN417" i="2"/>
  <c r="Y420" i="2"/>
  <c r="BP476" i="2"/>
  <c r="Y488" i="2"/>
  <c r="BN545" i="2"/>
  <c r="AB563" i="2"/>
  <c r="Z288" i="2" l="1"/>
  <c r="Z507" i="2"/>
  <c r="Z241" i="2"/>
  <c r="Z166" i="2"/>
  <c r="Z546" i="2"/>
  <c r="Z433" i="2"/>
  <c r="Z388" i="2"/>
  <c r="Z304" i="2"/>
  <c r="Z407" i="2"/>
  <c r="Z113" i="2"/>
  <c r="Z52" i="2"/>
  <c r="Z439" i="2"/>
  <c r="Z334" i="2"/>
  <c r="Z493" i="2"/>
  <c r="Z513" i="2"/>
  <c r="Z233" i="2"/>
  <c r="Z185" i="2"/>
  <c r="Z24" i="2"/>
  <c r="Z105" i="2"/>
  <c r="Z445" i="2"/>
  <c r="Z375" i="2"/>
  <c r="Z211" i="2"/>
  <c r="Y554" i="2"/>
  <c r="Z523" i="2"/>
  <c r="Z477" i="2"/>
  <c r="Z327" i="2"/>
  <c r="Y553" i="2"/>
  <c r="Y557" i="2"/>
  <c r="Z365" i="2"/>
  <c r="Z79" i="2"/>
  <c r="Z273" i="2"/>
  <c r="Z155" i="2"/>
  <c r="Z466" i="2"/>
  <c r="Z87" i="2"/>
  <c r="Z318" i="2"/>
  <c r="Z43" i="2"/>
  <c r="Y555" i="2"/>
  <c r="Z558" i="2" l="1"/>
  <c r="Y556" i="2"/>
</calcChain>
</file>

<file path=xl/sharedStrings.xml><?xml version="1.0" encoding="utf-8"?>
<sst xmlns="http://schemas.openxmlformats.org/spreadsheetml/2006/main" count="4217" uniqueCount="894">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</sst>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1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378" sqref="AA37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5" t="s">
        <v>8</v>
      </c>
      <c r="B5" s="975"/>
      <c r="C5" s="975"/>
      <c r="D5" s="997"/>
      <c r="E5" s="997"/>
      <c r="F5" s="998" t="s">
        <v>14</v>
      </c>
      <c r="G5" s="998"/>
      <c r="H5" s="997" t="s">
        <v>893</v>
      </c>
      <c r="I5" s="997"/>
      <c r="J5" s="997"/>
      <c r="K5" s="997"/>
      <c r="L5" s="997"/>
      <c r="M5" s="997"/>
      <c r="N5" s="72"/>
      <c r="P5" s="27" t="s">
        <v>4</v>
      </c>
      <c r="Q5" s="999">
        <v>46261</v>
      </c>
      <c r="R5" s="999"/>
      <c r="T5" s="1000" t="s">
        <v>3</v>
      </c>
      <c r="U5" s="1001"/>
      <c r="V5" s="1002" t="s">
        <v>869</v>
      </c>
      <c r="W5" s="1003"/>
      <c r="AB5" s="59"/>
      <c r="AC5" s="59"/>
      <c r="AD5" s="59"/>
      <c r="AE5" s="59"/>
    </row>
    <row r="6" spans="1:32" s="17" customFormat="1" ht="24" customHeight="1" x14ac:dyDescent="0.2">
      <c r="A6" s="975" t="s">
        <v>1</v>
      </c>
      <c r="B6" s="975"/>
      <c r="C6" s="975"/>
      <c r="D6" s="976" t="s">
        <v>876</v>
      </c>
      <c r="E6" s="976"/>
      <c r="F6" s="976"/>
      <c r="G6" s="976"/>
      <c r="H6" s="976"/>
      <c r="I6" s="976"/>
      <c r="J6" s="976"/>
      <c r="K6" s="976"/>
      <c r="L6" s="976"/>
      <c r="M6" s="976"/>
      <c r="N6" s="73"/>
      <c r="P6" s="27" t="s">
        <v>27</v>
      </c>
      <c r="Q6" s="977" t="str">
        <f>IF(Q5=0," ",CHOOSE(WEEKDAY(Q5,2),"Понедельник","Вторник","Среда","Четверг","Пятница","Суббота","Воскресенье"))</f>
        <v>Четверг</v>
      </c>
      <c r="R6" s="977"/>
      <c r="T6" s="978" t="s">
        <v>5</v>
      </c>
      <c r="U6" s="979"/>
      <c r="V6" s="980" t="s">
        <v>69</v>
      </c>
      <c r="W6" s="98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6" t="str">
        <f>IFERROR(VLOOKUP(DeliveryAddress,Table,3,0),1)</f>
        <v>3</v>
      </c>
      <c r="E7" s="987"/>
      <c r="F7" s="987"/>
      <c r="G7" s="987"/>
      <c r="H7" s="987"/>
      <c r="I7" s="987"/>
      <c r="J7" s="987"/>
      <c r="K7" s="987"/>
      <c r="L7" s="987"/>
      <c r="M7" s="988"/>
      <c r="N7" s="74"/>
      <c r="P7" s="29"/>
      <c r="Q7" s="48"/>
      <c r="R7" s="48"/>
      <c r="T7" s="978"/>
      <c r="U7" s="979"/>
      <c r="V7" s="982"/>
      <c r="W7" s="983"/>
      <c r="AB7" s="59"/>
      <c r="AC7" s="59"/>
      <c r="AD7" s="59"/>
      <c r="AE7" s="59"/>
    </row>
    <row r="8" spans="1:32" s="17" customFormat="1" ht="25.5" customHeight="1" x14ac:dyDescent="0.2">
      <c r="A8" s="989" t="s">
        <v>58</v>
      </c>
      <c r="B8" s="989"/>
      <c r="C8" s="989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75"/>
      <c r="P8" s="27" t="s">
        <v>11</v>
      </c>
      <c r="Q8" s="973">
        <v>0.5</v>
      </c>
      <c r="R8" s="973"/>
      <c r="T8" s="978"/>
      <c r="U8" s="979"/>
      <c r="V8" s="982"/>
      <c r="W8" s="983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991" t="str">
        <f>IF(AND($A$9="Тип доверенности/получателя при получении в адресе перегруза:",$D$9="Разовая доверенность"),"Введите ФИО","")</f>
        <v/>
      </c>
      <c r="I9" s="991"/>
      <c r="J9" s="9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1"/>
      <c r="L9" s="991"/>
      <c r="M9" s="991"/>
      <c r="N9" s="70"/>
      <c r="P9" s="31" t="s">
        <v>15</v>
      </c>
      <c r="Q9" s="992"/>
      <c r="R9" s="992"/>
      <c r="T9" s="978"/>
      <c r="U9" s="979"/>
      <c r="V9" s="984"/>
      <c r="W9" s="98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70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51" t="s">
        <v>55</v>
      </c>
      <c r="W11" s="95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0" t="s">
        <v>71</v>
      </c>
      <c r="B12" s="950"/>
      <c r="C12" s="950"/>
      <c r="D12" s="950"/>
      <c r="E12" s="950"/>
      <c r="F12" s="950"/>
      <c r="G12" s="950"/>
      <c r="H12" s="950"/>
      <c r="I12" s="950"/>
      <c r="J12" s="950"/>
      <c r="K12" s="950"/>
      <c r="L12" s="950"/>
      <c r="M12" s="950"/>
      <c r="N12" s="76"/>
      <c r="P12" s="27" t="s">
        <v>30</v>
      </c>
      <c r="Q12" s="973"/>
      <c r="R12" s="973"/>
      <c r="S12" s="28"/>
      <c r="T12"/>
      <c r="U12" s="29" t="s">
        <v>46</v>
      </c>
      <c r="V12" s="974"/>
      <c r="W12" s="974"/>
      <c r="X12"/>
      <c r="AB12" s="59"/>
      <c r="AC12" s="59"/>
      <c r="AD12" s="59"/>
      <c r="AE12" s="59"/>
    </row>
    <row r="13" spans="1:32" s="17" customFormat="1" ht="23.25" customHeight="1" x14ac:dyDescent="0.2">
      <c r="A13" s="950" t="s">
        <v>72</v>
      </c>
      <c r="B13" s="950"/>
      <c r="C13" s="950"/>
      <c r="D13" s="950"/>
      <c r="E13" s="950"/>
      <c r="F13" s="950"/>
      <c r="G13" s="950"/>
      <c r="H13" s="950"/>
      <c r="I13" s="950"/>
      <c r="J13" s="950"/>
      <c r="K13" s="950"/>
      <c r="L13" s="950"/>
      <c r="M13" s="950"/>
      <c r="N13" s="76"/>
      <c r="O13" s="31"/>
      <c r="P13" s="31" t="s">
        <v>31</v>
      </c>
      <c r="Q13" s="951"/>
      <c r="R13" s="95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0" t="s">
        <v>73</v>
      </c>
      <c r="B14" s="950"/>
      <c r="C14" s="950"/>
      <c r="D14" s="950"/>
      <c r="E14" s="950"/>
      <c r="F14" s="950"/>
      <c r="G14" s="950"/>
      <c r="H14" s="950"/>
      <c r="I14" s="950"/>
      <c r="J14" s="950"/>
      <c r="K14" s="950"/>
      <c r="L14" s="950"/>
      <c r="M14" s="95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2" t="s">
        <v>74</v>
      </c>
      <c r="B15" s="952"/>
      <c r="C15" s="952"/>
      <c r="D15" s="952"/>
      <c r="E15" s="952"/>
      <c r="F15" s="952"/>
      <c r="G15" s="952"/>
      <c r="H15" s="952"/>
      <c r="I15" s="952"/>
      <c r="J15" s="952"/>
      <c r="K15" s="952"/>
      <c r="L15" s="952"/>
      <c r="M15" s="952"/>
      <c r="N15" s="77"/>
      <c r="O15"/>
      <c r="P15" s="953" t="s">
        <v>61</v>
      </c>
      <c r="Q15" s="953"/>
      <c r="R15" s="953"/>
      <c r="S15" s="953"/>
      <c r="T15" s="95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4"/>
      <c r="Q16" s="954"/>
      <c r="R16" s="954"/>
      <c r="S16" s="954"/>
      <c r="T16" s="95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6" t="s">
        <v>59</v>
      </c>
      <c r="B17" s="936" t="s">
        <v>49</v>
      </c>
      <c r="C17" s="957" t="s">
        <v>48</v>
      </c>
      <c r="D17" s="959" t="s">
        <v>50</v>
      </c>
      <c r="E17" s="960"/>
      <c r="F17" s="936" t="s">
        <v>21</v>
      </c>
      <c r="G17" s="936" t="s">
        <v>24</v>
      </c>
      <c r="H17" s="936" t="s">
        <v>22</v>
      </c>
      <c r="I17" s="936" t="s">
        <v>23</v>
      </c>
      <c r="J17" s="936" t="s">
        <v>16</v>
      </c>
      <c r="K17" s="936" t="s">
        <v>66</v>
      </c>
      <c r="L17" s="936" t="s">
        <v>64</v>
      </c>
      <c r="M17" s="936" t="s">
        <v>2</v>
      </c>
      <c r="N17" s="936" t="s">
        <v>63</v>
      </c>
      <c r="O17" s="936" t="s">
        <v>25</v>
      </c>
      <c r="P17" s="959" t="s">
        <v>17</v>
      </c>
      <c r="Q17" s="963"/>
      <c r="R17" s="963"/>
      <c r="S17" s="963"/>
      <c r="T17" s="960"/>
      <c r="U17" s="955" t="s">
        <v>56</v>
      </c>
      <c r="V17" s="956"/>
      <c r="W17" s="936" t="s">
        <v>6</v>
      </c>
      <c r="X17" s="936" t="s">
        <v>41</v>
      </c>
      <c r="Y17" s="938" t="s">
        <v>54</v>
      </c>
      <c r="Z17" s="940" t="s">
        <v>18</v>
      </c>
      <c r="AA17" s="942" t="s">
        <v>60</v>
      </c>
      <c r="AB17" s="942" t="s">
        <v>19</v>
      </c>
      <c r="AC17" s="942" t="s">
        <v>65</v>
      </c>
      <c r="AD17" s="944" t="s">
        <v>57</v>
      </c>
      <c r="AE17" s="945"/>
      <c r="AF17" s="946"/>
      <c r="AG17" s="82"/>
      <c r="BD17" s="81" t="s">
        <v>62</v>
      </c>
    </row>
    <row r="18" spans="1:68" ht="14.25" customHeight="1" x14ac:dyDescent="0.2">
      <c r="A18" s="937"/>
      <c r="B18" s="937"/>
      <c r="C18" s="958"/>
      <c r="D18" s="961"/>
      <c r="E18" s="962"/>
      <c r="F18" s="937"/>
      <c r="G18" s="937"/>
      <c r="H18" s="937"/>
      <c r="I18" s="937"/>
      <c r="J18" s="937"/>
      <c r="K18" s="937"/>
      <c r="L18" s="937"/>
      <c r="M18" s="937"/>
      <c r="N18" s="937"/>
      <c r="O18" s="937"/>
      <c r="P18" s="961"/>
      <c r="Q18" s="964"/>
      <c r="R18" s="964"/>
      <c r="S18" s="964"/>
      <c r="T18" s="962"/>
      <c r="U18" s="83" t="s">
        <v>44</v>
      </c>
      <c r="V18" s="83" t="s">
        <v>43</v>
      </c>
      <c r="W18" s="937"/>
      <c r="X18" s="937"/>
      <c r="Y18" s="939"/>
      <c r="Z18" s="941"/>
      <c r="AA18" s="943"/>
      <c r="AB18" s="943"/>
      <c r="AC18" s="943"/>
      <c r="AD18" s="947"/>
      <c r="AE18" s="948"/>
      <c r="AF18" s="949"/>
      <c r="AG18" s="82"/>
      <c r="BD18" s="81"/>
    </row>
    <row r="19" spans="1:68" ht="27.75" hidden="1" customHeight="1" x14ac:dyDescent="0.2">
      <c r="A19" s="664" t="s">
        <v>75</v>
      </c>
      <c r="B19" s="664"/>
      <c r="C19" s="664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54"/>
      <c r="AB19" s="54"/>
      <c r="AC19" s="54"/>
    </row>
    <row r="20" spans="1:68" ht="16.5" hidden="1" customHeight="1" x14ac:dyDescent="0.25">
      <c r="A20" s="657" t="s">
        <v>75</v>
      </c>
      <c r="B20" s="657"/>
      <c r="C20" s="657"/>
      <c r="D20" s="657"/>
      <c r="E20" s="657"/>
      <c r="F20" s="657"/>
      <c r="G20" s="657"/>
      <c r="H20" s="657"/>
      <c r="I20" s="657"/>
      <c r="J20" s="657"/>
      <c r="K20" s="657"/>
      <c r="L20" s="657"/>
      <c r="M20" s="657"/>
      <c r="N20" s="657"/>
      <c r="O20" s="657"/>
      <c r="P20" s="657"/>
      <c r="Q20" s="657"/>
      <c r="R20" s="657"/>
      <c r="S20" s="657"/>
      <c r="T20" s="657"/>
      <c r="U20" s="657"/>
      <c r="V20" s="657"/>
      <c r="W20" s="657"/>
      <c r="X20" s="657"/>
      <c r="Y20" s="657"/>
      <c r="Z20" s="657"/>
      <c r="AA20" s="65"/>
      <c r="AB20" s="65"/>
      <c r="AC20" s="79"/>
    </row>
    <row r="21" spans="1:68" ht="14.25" hidden="1" customHeight="1" x14ac:dyDescent="0.25">
      <c r="A21" s="658" t="s">
        <v>76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48"/>
      <c r="P24" s="644" t="s">
        <v>40</v>
      </c>
      <c r="Q24" s="645"/>
      <c r="R24" s="645"/>
      <c r="S24" s="645"/>
      <c r="T24" s="645"/>
      <c r="U24" s="645"/>
      <c r="V24" s="64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7"/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8"/>
      <c r="P25" s="644" t="s">
        <v>40</v>
      </c>
      <c r="Q25" s="645"/>
      <c r="R25" s="645"/>
      <c r="S25" s="645"/>
      <c r="T25" s="645"/>
      <c r="U25" s="645"/>
      <c r="V25" s="64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8" t="s">
        <v>85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8"/>
      <c r="P32" s="644" t="s">
        <v>40</v>
      </c>
      <c r="Q32" s="645"/>
      <c r="R32" s="645"/>
      <c r="S32" s="645"/>
      <c r="T32" s="645"/>
      <c r="U32" s="645"/>
      <c r="V32" s="64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7"/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8"/>
      <c r="P33" s="644" t="s">
        <v>40</v>
      </c>
      <c r="Q33" s="645"/>
      <c r="R33" s="645"/>
      <c r="S33" s="645"/>
      <c r="T33" s="645"/>
      <c r="U33" s="645"/>
      <c r="V33" s="64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4" t="s">
        <v>45</v>
      </c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  <c r="AA34" s="54"/>
      <c r="AB34" s="54"/>
      <c r="AC34" s="54"/>
    </row>
    <row r="35" spans="1:68" ht="16.5" hidden="1" customHeight="1" x14ac:dyDescent="0.25">
      <c r="A35" s="657" t="s">
        <v>103</v>
      </c>
      <c r="B35" s="657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7"/>
      <c r="V35" s="657"/>
      <c r="W35" s="657"/>
      <c r="X35" s="657"/>
      <c r="Y35" s="657"/>
      <c r="Z35" s="657"/>
      <c r="AA35" s="65"/>
      <c r="AB35" s="65"/>
      <c r="AC35" s="79"/>
    </row>
    <row r="36" spans="1:68" ht="14.25" hidden="1" customHeight="1" x14ac:dyDescent="0.25">
      <c r="A36" s="658" t="s">
        <v>85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653">
        <v>4680115888494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653">
        <v>4680115888272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653">
        <v>4680115888364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647"/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8"/>
      <c r="P43" s="644" t="s">
        <v>40</v>
      </c>
      <c r="Q43" s="645"/>
      <c r="R43" s="645"/>
      <c r="S43" s="645"/>
      <c r="T43" s="645"/>
      <c r="U43" s="645"/>
      <c r="V43" s="64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647"/>
      <c r="B44" s="647"/>
      <c r="C44" s="647"/>
      <c r="D44" s="647"/>
      <c r="E44" s="647"/>
      <c r="F44" s="647"/>
      <c r="G44" s="647"/>
      <c r="H44" s="647"/>
      <c r="I44" s="647"/>
      <c r="J44" s="647"/>
      <c r="K44" s="647"/>
      <c r="L44" s="647"/>
      <c r="M44" s="647"/>
      <c r="N44" s="647"/>
      <c r="O44" s="648"/>
      <c r="P44" s="644" t="s">
        <v>40</v>
      </c>
      <c r="Q44" s="645"/>
      <c r="R44" s="645"/>
      <c r="S44" s="645"/>
      <c r="T44" s="645"/>
      <c r="U44" s="645"/>
      <c r="V44" s="64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664" t="s">
        <v>121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54"/>
      <c r="AB45" s="54"/>
      <c r="AC45" s="54"/>
    </row>
    <row r="46" spans="1:68" ht="16.5" hidden="1" customHeight="1" x14ac:dyDescent="0.25">
      <c r="A46" s="657" t="s">
        <v>122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5"/>
      <c r="AB46" s="65"/>
      <c r="AC46" s="79"/>
    </row>
    <row r="47" spans="1:68" ht="14.25" hidden="1" customHeight="1" x14ac:dyDescent="0.25">
      <c r="A47" s="658" t="s">
        <v>123</v>
      </c>
      <c r="B47" s="658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6"/>
      <c r="AB47" s="66"/>
      <c r="AC47" s="80"/>
    </row>
    <row r="48" spans="1:68" ht="16.5" hidden="1" customHeight="1" x14ac:dyDescent="0.25">
      <c r="A48" s="63" t="s">
        <v>124</v>
      </c>
      <c r="B48" s="63" t="s">
        <v>125</v>
      </c>
      <c r="C48" s="36">
        <v>4301011380</v>
      </c>
      <c r="D48" s="653">
        <v>4607091385670</v>
      </c>
      <c r="E48" s="653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653">
        <v>4680115887725</v>
      </c>
      <c r="E49" s="653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133</v>
      </c>
      <c r="B50" s="63" t="s">
        <v>134</v>
      </c>
      <c r="C50" s="36">
        <v>4301011382</v>
      </c>
      <c r="D50" s="653">
        <v>4607091385687</v>
      </c>
      <c r="E50" s="653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9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653">
        <v>4680115882539</v>
      </c>
      <c r="E51" s="653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idden="1" x14ac:dyDescent="0.2">
      <c r="A52" s="647"/>
      <c r="B52" s="647"/>
      <c r="C52" s="647"/>
      <c r="D52" s="647"/>
      <c r="E52" s="647"/>
      <c r="F52" s="647"/>
      <c r="G52" s="647"/>
      <c r="H52" s="647"/>
      <c r="I52" s="647"/>
      <c r="J52" s="647"/>
      <c r="K52" s="647"/>
      <c r="L52" s="647"/>
      <c r="M52" s="647"/>
      <c r="N52" s="647"/>
      <c r="O52" s="648"/>
      <c r="P52" s="644" t="s">
        <v>40</v>
      </c>
      <c r="Q52" s="645"/>
      <c r="R52" s="645"/>
      <c r="S52" s="645"/>
      <c r="T52" s="645"/>
      <c r="U52" s="645"/>
      <c r="V52" s="646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hidden="1" x14ac:dyDescent="0.2">
      <c r="A53" s="647"/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8"/>
      <c r="P53" s="644" t="s">
        <v>40</v>
      </c>
      <c r="Q53" s="645"/>
      <c r="R53" s="645"/>
      <c r="S53" s="645"/>
      <c r="T53" s="645"/>
      <c r="U53" s="645"/>
      <c r="V53" s="646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hidden="1" customHeight="1" x14ac:dyDescent="0.25">
      <c r="A54" s="657" t="s">
        <v>138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5"/>
      <c r="AB54" s="65"/>
      <c r="AC54" s="79"/>
    </row>
    <row r="55" spans="1:68" ht="14.25" hidden="1" customHeight="1" x14ac:dyDescent="0.25">
      <c r="A55" s="658" t="s">
        <v>123</v>
      </c>
      <c r="B55" s="658"/>
      <c r="C55" s="658"/>
      <c r="D55" s="658"/>
      <c r="E55" s="658"/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  <c r="Z55" s="658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653">
        <v>4680115885882</v>
      </c>
      <c r="E56" s="65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653">
        <v>4680115881426</v>
      </c>
      <c r="E57" s="65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9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53">
        <v>4680115880283</v>
      </c>
      <c r="E58" s="65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9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153</v>
      </c>
      <c r="B61" s="63" t="s">
        <v>154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9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idden="1" x14ac:dyDescent="0.2">
      <c r="A62" s="647"/>
      <c r="B62" s="647"/>
      <c r="C62" s="647"/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8"/>
      <c r="P62" s="644" t="s">
        <v>40</v>
      </c>
      <c r="Q62" s="645"/>
      <c r="R62" s="645"/>
      <c r="S62" s="645"/>
      <c r="T62" s="645"/>
      <c r="U62" s="645"/>
      <c r="V62" s="646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47"/>
      <c r="B63" s="647"/>
      <c r="C63" s="647"/>
      <c r="D63" s="647"/>
      <c r="E63" s="647"/>
      <c r="F63" s="647"/>
      <c r="G63" s="647"/>
      <c r="H63" s="647"/>
      <c r="I63" s="647"/>
      <c r="J63" s="647"/>
      <c r="K63" s="647"/>
      <c r="L63" s="647"/>
      <c r="M63" s="647"/>
      <c r="N63" s="647"/>
      <c r="O63" s="648"/>
      <c r="P63" s="644" t="s">
        <v>40</v>
      </c>
      <c r="Q63" s="645"/>
      <c r="R63" s="645"/>
      <c r="S63" s="645"/>
      <c r="T63" s="645"/>
      <c r="U63" s="645"/>
      <c r="V63" s="646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hidden="1" customHeight="1" x14ac:dyDescent="0.25">
      <c r="A64" s="658" t="s">
        <v>156</v>
      </c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8"/>
      <c r="P64" s="658"/>
      <c r="Q64" s="658"/>
      <c r="R64" s="658"/>
      <c r="S64" s="658"/>
      <c r="T64" s="658"/>
      <c r="U64" s="658"/>
      <c r="V64" s="658"/>
      <c r="W64" s="658"/>
      <c r="X64" s="658"/>
      <c r="Y64" s="658"/>
      <c r="Z64" s="658"/>
      <c r="AA64" s="66"/>
      <c r="AB64" s="66"/>
      <c r="AC64" s="80"/>
    </row>
    <row r="65" spans="1:68" ht="16.5" hidden="1" customHeight="1" x14ac:dyDescent="0.25">
      <c r="A65" s="63" t="s">
        <v>157</v>
      </c>
      <c r="B65" s="63" t="s">
        <v>158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91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90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165</v>
      </c>
      <c r="B68" s="63" t="s">
        <v>166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9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47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8"/>
      <c r="P69" s="644" t="s">
        <v>40</v>
      </c>
      <c r="Q69" s="645"/>
      <c r="R69" s="645"/>
      <c r="S69" s="645"/>
      <c r="T69" s="645"/>
      <c r="U69" s="645"/>
      <c r="V69" s="64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47"/>
      <c r="B70" s="647"/>
      <c r="C70" s="647"/>
      <c r="D70" s="647"/>
      <c r="E70" s="647"/>
      <c r="F70" s="647"/>
      <c r="G70" s="647"/>
      <c r="H70" s="647"/>
      <c r="I70" s="647"/>
      <c r="J70" s="647"/>
      <c r="K70" s="647"/>
      <c r="L70" s="647"/>
      <c r="M70" s="647"/>
      <c r="N70" s="647"/>
      <c r="O70" s="648"/>
      <c r="P70" s="644" t="s">
        <v>40</v>
      </c>
      <c r="Q70" s="645"/>
      <c r="R70" s="645"/>
      <c r="S70" s="645"/>
      <c r="T70" s="645"/>
      <c r="U70" s="645"/>
      <c r="V70" s="64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58" t="s">
        <v>85</v>
      </c>
      <c r="B71" s="658"/>
      <c r="C71" s="658"/>
      <c r="D71" s="658"/>
      <c r="E71" s="658"/>
      <c r="F71" s="658"/>
      <c r="G71" s="658"/>
      <c r="H71" s="658"/>
      <c r="I71" s="658"/>
      <c r="J71" s="658"/>
      <c r="K71" s="658"/>
      <c r="L71" s="658"/>
      <c r="M71" s="658"/>
      <c r="N71" s="658"/>
      <c r="O71" s="658"/>
      <c r="P71" s="658"/>
      <c r="Q71" s="658"/>
      <c r="R71" s="658"/>
      <c r="S71" s="658"/>
      <c r="T71" s="658"/>
      <c r="U71" s="658"/>
      <c r="V71" s="658"/>
      <c r="W71" s="658"/>
      <c r="X71" s="658"/>
      <c r="Y71" s="658"/>
      <c r="Z71" s="658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7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8"/>
      <c r="P74" s="644" t="s">
        <v>40</v>
      </c>
      <c r="Q74" s="645"/>
      <c r="R74" s="645"/>
      <c r="S74" s="645"/>
      <c r="T74" s="645"/>
      <c r="U74" s="645"/>
      <c r="V74" s="64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8"/>
      <c r="P75" s="644" t="s">
        <v>40</v>
      </c>
      <c r="Q75" s="645"/>
      <c r="R75" s="645"/>
      <c r="S75" s="645"/>
      <c r="T75" s="645"/>
      <c r="U75" s="645"/>
      <c r="V75" s="64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58" t="s">
        <v>173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53">
        <v>4680115881532</v>
      </c>
      <c r="E77" s="65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653">
        <v>4680115881464</v>
      </c>
      <c r="E78" s="653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9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7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48"/>
      <c r="P79" s="644" t="s">
        <v>40</v>
      </c>
      <c r="Q79" s="645"/>
      <c r="R79" s="645"/>
      <c r="S79" s="645"/>
      <c r="T79" s="645"/>
      <c r="U79" s="645"/>
      <c r="V79" s="64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48"/>
      <c r="P80" s="644" t="s">
        <v>40</v>
      </c>
      <c r="Q80" s="645"/>
      <c r="R80" s="645"/>
      <c r="S80" s="645"/>
      <c r="T80" s="645"/>
      <c r="U80" s="645"/>
      <c r="V80" s="64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657" t="s">
        <v>180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5"/>
      <c r="AB81" s="65"/>
      <c r="AC81" s="79"/>
    </row>
    <row r="82" spans="1:68" ht="14.25" hidden="1" customHeight="1" x14ac:dyDescent="0.25">
      <c r="A82" s="658" t="s">
        <v>123</v>
      </c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58"/>
      <c r="P82" s="658"/>
      <c r="Q82" s="658"/>
      <c r="R82" s="658"/>
      <c r="S82" s="658"/>
      <c r="T82" s="658"/>
      <c r="U82" s="658"/>
      <c r="V82" s="658"/>
      <c r="W82" s="658"/>
      <c r="X82" s="658"/>
      <c r="Y82" s="658"/>
      <c r="Z82" s="658"/>
      <c r="AA82" s="66"/>
      <c r="AB82" s="66"/>
      <c r="AC82" s="80"/>
    </row>
    <row r="83" spans="1:68" ht="27" hidden="1" customHeight="1" x14ac:dyDescent="0.25">
      <c r="A83" s="63" t="s">
        <v>181</v>
      </c>
      <c r="B83" s="63" t="s">
        <v>182</v>
      </c>
      <c r="C83" s="36">
        <v>4301011468</v>
      </c>
      <c r="D83" s="653">
        <v>4680115881327</v>
      </c>
      <c r="E83" s="653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653">
        <v>4680115887732</v>
      </c>
      <c r="E84" s="653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653">
        <v>4680115881518</v>
      </c>
      <c r="E85" s="653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9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4301011443</v>
      </c>
      <c r="D86" s="653">
        <v>4680115881303</v>
      </c>
      <c r="E86" s="653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9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idden="1" x14ac:dyDescent="0.2">
      <c r="A87" s="647"/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8"/>
      <c r="P87" s="644" t="s">
        <v>40</v>
      </c>
      <c r="Q87" s="645"/>
      <c r="R87" s="645"/>
      <c r="S87" s="645"/>
      <c r="T87" s="645"/>
      <c r="U87" s="645"/>
      <c r="V87" s="646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hidden="1" x14ac:dyDescent="0.2">
      <c r="A88" s="647"/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8"/>
      <c r="P88" s="644" t="s">
        <v>40</v>
      </c>
      <c r="Q88" s="645"/>
      <c r="R88" s="645"/>
      <c r="S88" s="645"/>
      <c r="T88" s="645"/>
      <c r="U88" s="645"/>
      <c r="V88" s="646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hidden="1" customHeight="1" x14ac:dyDescent="0.25">
      <c r="A89" s="658" t="s">
        <v>85</v>
      </c>
      <c r="B89" s="658"/>
      <c r="C89" s="658"/>
      <c r="D89" s="658"/>
      <c r="E89" s="658"/>
      <c r="F89" s="658"/>
      <c r="G89" s="658"/>
      <c r="H89" s="658"/>
      <c r="I89" s="658"/>
      <c r="J89" s="658"/>
      <c r="K89" s="658"/>
      <c r="L89" s="658"/>
      <c r="M89" s="658"/>
      <c r="N89" s="658"/>
      <c r="O89" s="658"/>
      <c r="P89" s="658"/>
      <c r="Q89" s="658"/>
      <c r="R89" s="658"/>
      <c r="S89" s="658"/>
      <c r="T89" s="658"/>
      <c r="U89" s="658"/>
      <c r="V89" s="658"/>
      <c r="W89" s="658"/>
      <c r="X89" s="658"/>
      <c r="Y89" s="658"/>
      <c r="Z89" s="658"/>
      <c r="AA89" s="66"/>
      <c r="AB89" s="66"/>
      <c r="AC89" s="80"/>
    </row>
    <row r="90" spans="1:68" ht="27" hidden="1" customHeight="1" x14ac:dyDescent="0.25">
      <c r="A90" s="63" t="s">
        <v>191</v>
      </c>
      <c r="B90" s="63" t="s">
        <v>192</v>
      </c>
      <c r="C90" s="36">
        <v>4301051712</v>
      </c>
      <c r="D90" s="653">
        <v>4607091386967</v>
      </c>
      <c r="E90" s="653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653">
        <v>4680115884953</v>
      </c>
      <c r="E91" s="653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8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4301051718</v>
      </c>
      <c r="D92" s="653">
        <v>4607091385731</v>
      </c>
      <c r="E92" s="653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89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653">
        <v>4680115880894</v>
      </c>
      <c r="E93" s="653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idden="1" x14ac:dyDescent="0.2">
      <c r="A94" s="647"/>
      <c r="B94" s="647"/>
      <c r="C94" s="647"/>
      <c r="D94" s="647"/>
      <c r="E94" s="647"/>
      <c r="F94" s="647"/>
      <c r="G94" s="647"/>
      <c r="H94" s="647"/>
      <c r="I94" s="647"/>
      <c r="J94" s="647"/>
      <c r="K94" s="647"/>
      <c r="L94" s="647"/>
      <c r="M94" s="647"/>
      <c r="N94" s="647"/>
      <c r="O94" s="648"/>
      <c r="P94" s="644" t="s">
        <v>40</v>
      </c>
      <c r="Q94" s="645"/>
      <c r="R94" s="645"/>
      <c r="S94" s="645"/>
      <c r="T94" s="645"/>
      <c r="U94" s="645"/>
      <c r="V94" s="646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hidden="1" x14ac:dyDescent="0.2">
      <c r="A95" s="647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48"/>
      <c r="P95" s="644" t="s">
        <v>40</v>
      </c>
      <c r="Q95" s="645"/>
      <c r="R95" s="645"/>
      <c r="S95" s="645"/>
      <c r="T95" s="645"/>
      <c r="U95" s="645"/>
      <c r="V95" s="646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hidden="1" customHeight="1" x14ac:dyDescent="0.25">
      <c r="A96" s="657" t="s">
        <v>201</v>
      </c>
      <c r="B96" s="657"/>
      <c r="C96" s="657"/>
      <c r="D96" s="657"/>
      <c r="E96" s="657"/>
      <c r="F96" s="657"/>
      <c r="G96" s="657"/>
      <c r="H96" s="657"/>
      <c r="I96" s="657"/>
      <c r="J96" s="657"/>
      <c r="K96" s="657"/>
      <c r="L96" s="657"/>
      <c r="M96" s="657"/>
      <c r="N96" s="657"/>
      <c r="O96" s="657"/>
      <c r="P96" s="657"/>
      <c r="Q96" s="657"/>
      <c r="R96" s="657"/>
      <c r="S96" s="657"/>
      <c r="T96" s="657"/>
      <c r="U96" s="657"/>
      <c r="V96" s="657"/>
      <c r="W96" s="657"/>
      <c r="X96" s="657"/>
      <c r="Y96" s="657"/>
      <c r="Z96" s="657"/>
      <c r="AA96" s="65"/>
      <c r="AB96" s="65"/>
      <c r="AC96" s="79"/>
    </row>
    <row r="97" spans="1:68" ht="14.25" hidden="1" customHeight="1" x14ac:dyDescent="0.25">
      <c r="A97" s="658" t="s">
        <v>123</v>
      </c>
      <c r="B97" s="658"/>
      <c r="C97" s="658"/>
      <c r="D97" s="658"/>
      <c r="E97" s="658"/>
      <c r="F97" s="658"/>
      <c r="G97" s="658"/>
      <c r="H97" s="658"/>
      <c r="I97" s="658"/>
      <c r="J97" s="658"/>
      <c r="K97" s="658"/>
      <c r="L97" s="658"/>
      <c r="M97" s="658"/>
      <c r="N97" s="658"/>
      <c r="O97" s="658"/>
      <c r="P97" s="658"/>
      <c r="Q97" s="658"/>
      <c r="R97" s="658"/>
      <c r="S97" s="658"/>
      <c r="T97" s="658"/>
      <c r="U97" s="658"/>
      <c r="V97" s="658"/>
      <c r="W97" s="658"/>
      <c r="X97" s="658"/>
      <c r="Y97" s="658"/>
      <c r="Z97" s="658"/>
      <c r="AA97" s="66"/>
      <c r="AB97" s="66"/>
      <c r="AC97" s="80"/>
    </row>
    <row r="98" spans="1:68" ht="37.5" hidden="1" customHeight="1" x14ac:dyDescent="0.25">
      <c r="A98" s="63" t="s">
        <v>202</v>
      </c>
      <c r="B98" s="63" t="s">
        <v>203</v>
      </c>
      <c r="C98" s="36">
        <v>4301011514</v>
      </c>
      <c r="D98" s="653">
        <v>4680115882133</v>
      </c>
      <c r="E98" s="653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653">
        <v>4680115887718</v>
      </c>
      <c r="E99" s="653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89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653">
        <v>4680115887718</v>
      </c>
      <c r="E100" s="653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653">
        <v>4680115887718</v>
      </c>
      <c r="E101" s="653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653">
        <v>4680115880269</v>
      </c>
      <c r="E102" s="65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8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4301011415</v>
      </c>
      <c r="D103" s="653">
        <v>4680115880429</v>
      </c>
      <c r="E103" s="65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8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653">
        <v>4680115881457</v>
      </c>
      <c r="E104" s="65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8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idden="1" x14ac:dyDescent="0.2">
      <c r="A105" s="647"/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8"/>
      <c r="P105" s="644" t="s">
        <v>40</v>
      </c>
      <c r="Q105" s="645"/>
      <c r="R105" s="645"/>
      <c r="S105" s="645"/>
      <c r="T105" s="645"/>
      <c r="U105" s="645"/>
      <c r="V105" s="646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hidden="1" x14ac:dyDescent="0.2">
      <c r="A106" s="647"/>
      <c r="B106" s="647"/>
      <c r="C106" s="647"/>
      <c r="D106" s="647"/>
      <c r="E106" s="647"/>
      <c r="F106" s="647"/>
      <c r="G106" s="647"/>
      <c r="H106" s="647"/>
      <c r="I106" s="647"/>
      <c r="J106" s="647"/>
      <c r="K106" s="647"/>
      <c r="L106" s="647"/>
      <c r="M106" s="647"/>
      <c r="N106" s="647"/>
      <c r="O106" s="648"/>
      <c r="P106" s="644" t="s">
        <v>40</v>
      </c>
      <c r="Q106" s="645"/>
      <c r="R106" s="645"/>
      <c r="S106" s="645"/>
      <c r="T106" s="645"/>
      <c r="U106" s="645"/>
      <c r="V106" s="646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hidden="1" customHeight="1" x14ac:dyDescent="0.25">
      <c r="A107" s="658" t="s">
        <v>156</v>
      </c>
      <c r="B107" s="658"/>
      <c r="C107" s="658"/>
      <c r="D107" s="658"/>
      <c r="E107" s="658"/>
      <c r="F107" s="658"/>
      <c r="G107" s="658"/>
      <c r="H107" s="658"/>
      <c r="I107" s="658"/>
      <c r="J107" s="658"/>
      <c r="K107" s="658"/>
      <c r="L107" s="658"/>
      <c r="M107" s="658"/>
      <c r="N107" s="658"/>
      <c r="O107" s="658"/>
      <c r="P107" s="658"/>
      <c r="Q107" s="658"/>
      <c r="R107" s="658"/>
      <c r="S107" s="658"/>
      <c r="T107" s="658"/>
      <c r="U107" s="658"/>
      <c r="V107" s="658"/>
      <c r="W107" s="658"/>
      <c r="X107" s="658"/>
      <c r="Y107" s="658"/>
      <c r="Z107" s="658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653">
        <v>4680115881488</v>
      </c>
      <c r="E108" s="65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88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653">
        <v>4680115887664</v>
      </c>
      <c r="E109" s="65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88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653">
        <v>4680115887664</v>
      </c>
      <c r="E110" s="653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653">
        <v>4680115882775</v>
      </c>
      <c r="E111" s="653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653">
        <v>4680115880658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88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647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48"/>
      <c r="P113" s="644" t="s">
        <v>40</v>
      </c>
      <c r="Q113" s="645"/>
      <c r="R113" s="645"/>
      <c r="S113" s="645"/>
      <c r="T113" s="645"/>
      <c r="U113" s="645"/>
      <c r="V113" s="646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48"/>
      <c r="P114" s="644" t="s">
        <v>40</v>
      </c>
      <c r="Q114" s="645"/>
      <c r="R114" s="645"/>
      <c r="S114" s="645"/>
      <c r="T114" s="645"/>
      <c r="U114" s="645"/>
      <c r="V114" s="646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8" t="s">
        <v>85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6"/>
      <c r="AB115" s="66"/>
      <c r="AC115" s="80"/>
    </row>
    <row r="116" spans="1:68" ht="27" hidden="1" customHeight="1" x14ac:dyDescent="0.25">
      <c r="A116" s="63" t="s">
        <v>228</v>
      </c>
      <c r="B116" s="63" t="s">
        <v>229</v>
      </c>
      <c r="C116" s="36">
        <v>4301051724</v>
      </c>
      <c r="D116" s="653">
        <v>4607091385168</v>
      </c>
      <c r="E116" s="653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8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653">
        <v>4607091383256</v>
      </c>
      <c r="E117" s="653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8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4301051721</v>
      </c>
      <c r="D118" s="653">
        <v>4607091385748</v>
      </c>
      <c r="E118" s="653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653">
        <v>4680115884533</v>
      </c>
      <c r="E119" s="653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8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47"/>
      <c r="B120" s="647"/>
      <c r="C120" s="647"/>
      <c r="D120" s="647"/>
      <c r="E120" s="647"/>
      <c r="F120" s="647"/>
      <c r="G120" s="647"/>
      <c r="H120" s="647"/>
      <c r="I120" s="647"/>
      <c r="J120" s="647"/>
      <c r="K120" s="647"/>
      <c r="L120" s="647"/>
      <c r="M120" s="647"/>
      <c r="N120" s="647"/>
      <c r="O120" s="648"/>
      <c r="P120" s="644" t="s">
        <v>40</v>
      </c>
      <c r="Q120" s="645"/>
      <c r="R120" s="645"/>
      <c r="S120" s="645"/>
      <c r="T120" s="645"/>
      <c r="U120" s="645"/>
      <c r="V120" s="646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47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8"/>
      <c r="P121" s="644" t="s">
        <v>40</v>
      </c>
      <c r="Q121" s="645"/>
      <c r="R121" s="645"/>
      <c r="S121" s="645"/>
      <c r="T121" s="645"/>
      <c r="U121" s="645"/>
      <c r="V121" s="646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58" t="s">
        <v>173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653">
        <v>4680115880238</v>
      </c>
      <c r="E123" s="653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8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7"/>
      <c r="B124" s="647"/>
      <c r="C124" s="647"/>
      <c r="D124" s="647"/>
      <c r="E124" s="647"/>
      <c r="F124" s="647"/>
      <c r="G124" s="647"/>
      <c r="H124" s="647"/>
      <c r="I124" s="647"/>
      <c r="J124" s="647"/>
      <c r="K124" s="647"/>
      <c r="L124" s="647"/>
      <c r="M124" s="647"/>
      <c r="N124" s="647"/>
      <c r="O124" s="648"/>
      <c r="P124" s="644" t="s">
        <v>40</v>
      </c>
      <c r="Q124" s="645"/>
      <c r="R124" s="645"/>
      <c r="S124" s="645"/>
      <c r="T124" s="645"/>
      <c r="U124" s="645"/>
      <c r="V124" s="64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647"/>
      <c r="B125" s="647"/>
      <c r="C125" s="647"/>
      <c r="D125" s="647"/>
      <c r="E125" s="647"/>
      <c r="F125" s="647"/>
      <c r="G125" s="647"/>
      <c r="H125" s="647"/>
      <c r="I125" s="647"/>
      <c r="J125" s="647"/>
      <c r="K125" s="647"/>
      <c r="L125" s="647"/>
      <c r="M125" s="647"/>
      <c r="N125" s="647"/>
      <c r="O125" s="648"/>
      <c r="P125" s="644" t="s">
        <v>40</v>
      </c>
      <c r="Q125" s="645"/>
      <c r="R125" s="645"/>
      <c r="S125" s="645"/>
      <c r="T125" s="645"/>
      <c r="U125" s="645"/>
      <c r="V125" s="64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657" t="s">
        <v>241</v>
      </c>
      <c r="B126" s="657"/>
      <c r="C126" s="657"/>
      <c r="D126" s="657"/>
      <c r="E126" s="657"/>
      <c r="F126" s="657"/>
      <c r="G126" s="657"/>
      <c r="H126" s="657"/>
      <c r="I126" s="657"/>
      <c r="J126" s="657"/>
      <c r="K126" s="657"/>
      <c r="L126" s="657"/>
      <c r="M126" s="657"/>
      <c r="N126" s="657"/>
      <c r="O126" s="657"/>
      <c r="P126" s="657"/>
      <c r="Q126" s="657"/>
      <c r="R126" s="657"/>
      <c r="S126" s="657"/>
      <c r="T126" s="657"/>
      <c r="U126" s="657"/>
      <c r="V126" s="657"/>
      <c r="W126" s="657"/>
      <c r="X126" s="657"/>
      <c r="Y126" s="657"/>
      <c r="Z126" s="657"/>
      <c r="AA126" s="65"/>
      <c r="AB126" s="65"/>
      <c r="AC126" s="79"/>
    </row>
    <row r="127" spans="1:68" ht="14.25" hidden="1" customHeight="1" x14ac:dyDescent="0.25">
      <c r="A127" s="658" t="s">
        <v>123</v>
      </c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8"/>
      <c r="P127" s="658"/>
      <c r="Q127" s="658"/>
      <c r="R127" s="658"/>
      <c r="S127" s="658"/>
      <c r="T127" s="658"/>
      <c r="U127" s="658"/>
      <c r="V127" s="658"/>
      <c r="W127" s="658"/>
      <c r="X127" s="658"/>
      <c r="Y127" s="658"/>
      <c r="Z127" s="658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653">
        <v>4680115888784</v>
      </c>
      <c r="E128" s="653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8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5"/>
      <c r="R128" s="655"/>
      <c r="S128" s="655"/>
      <c r="T128" s="65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653">
        <v>4680115882577</v>
      </c>
      <c r="E129" s="653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5"/>
      <c r="R129" s="655"/>
      <c r="S129" s="655"/>
      <c r="T129" s="65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653">
        <v>4680115882577</v>
      </c>
      <c r="E130" s="65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7"/>
      <c r="B131" s="647"/>
      <c r="C131" s="647"/>
      <c r="D131" s="647"/>
      <c r="E131" s="647"/>
      <c r="F131" s="647"/>
      <c r="G131" s="647"/>
      <c r="H131" s="647"/>
      <c r="I131" s="647"/>
      <c r="J131" s="647"/>
      <c r="K131" s="647"/>
      <c r="L131" s="647"/>
      <c r="M131" s="647"/>
      <c r="N131" s="647"/>
      <c r="O131" s="648"/>
      <c r="P131" s="644" t="s">
        <v>40</v>
      </c>
      <c r="Q131" s="645"/>
      <c r="R131" s="645"/>
      <c r="S131" s="645"/>
      <c r="T131" s="645"/>
      <c r="U131" s="645"/>
      <c r="V131" s="646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47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48"/>
      <c r="P132" s="644" t="s">
        <v>40</v>
      </c>
      <c r="Q132" s="645"/>
      <c r="R132" s="645"/>
      <c r="S132" s="645"/>
      <c r="T132" s="645"/>
      <c r="U132" s="645"/>
      <c r="V132" s="646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58" t="s">
        <v>76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653">
        <v>4680115888913</v>
      </c>
      <c r="E134" s="653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8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5"/>
      <c r="R134" s="655"/>
      <c r="S134" s="655"/>
      <c r="T134" s="65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255</v>
      </c>
      <c r="C135" s="36">
        <v>4301031234</v>
      </c>
      <c r="D135" s="653">
        <v>4680115883444</v>
      </c>
      <c r="E135" s="65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8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653">
        <v>4680115888920</v>
      </c>
      <c r="E137" s="653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873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7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8"/>
      <c r="P138" s="644" t="s">
        <v>40</v>
      </c>
      <c r="Q138" s="645"/>
      <c r="R138" s="645"/>
      <c r="S138" s="645"/>
      <c r="T138" s="645"/>
      <c r="U138" s="645"/>
      <c r="V138" s="646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8"/>
      <c r="P139" s="644" t="s">
        <v>40</v>
      </c>
      <c r="Q139" s="645"/>
      <c r="R139" s="645"/>
      <c r="S139" s="645"/>
      <c r="T139" s="645"/>
      <c r="U139" s="645"/>
      <c r="V139" s="646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8" t="s">
        <v>85</v>
      </c>
      <c r="B140" s="658"/>
      <c r="C140" s="658"/>
      <c r="D140" s="658"/>
      <c r="E140" s="658"/>
      <c r="F140" s="658"/>
      <c r="G140" s="658"/>
      <c r="H140" s="658"/>
      <c r="I140" s="658"/>
      <c r="J140" s="658"/>
      <c r="K140" s="658"/>
      <c r="L140" s="658"/>
      <c r="M140" s="658"/>
      <c r="N140" s="658"/>
      <c r="O140" s="658"/>
      <c r="P140" s="658"/>
      <c r="Q140" s="658"/>
      <c r="R140" s="658"/>
      <c r="S140" s="658"/>
      <c r="T140" s="658"/>
      <c r="U140" s="658"/>
      <c r="V140" s="658"/>
      <c r="W140" s="658"/>
      <c r="X140" s="658"/>
      <c r="Y140" s="658"/>
      <c r="Z140" s="658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653">
        <v>4680115888944</v>
      </c>
      <c r="E141" s="653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874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262</v>
      </c>
      <c r="B142" s="63" t="s">
        <v>263</v>
      </c>
      <c r="C142" s="36">
        <v>4301051476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87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653">
        <v>4680115882584</v>
      </c>
      <c r="E143" s="65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87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5"/>
      <c r="R143" s="655"/>
      <c r="S143" s="655"/>
      <c r="T143" s="65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8"/>
      <c r="P144" s="644" t="s">
        <v>40</v>
      </c>
      <c r="Q144" s="645"/>
      <c r="R144" s="645"/>
      <c r="S144" s="645"/>
      <c r="T144" s="645"/>
      <c r="U144" s="645"/>
      <c r="V144" s="64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647"/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8"/>
      <c r="P145" s="644" t="s">
        <v>40</v>
      </c>
      <c r="Q145" s="645"/>
      <c r="R145" s="645"/>
      <c r="S145" s="645"/>
      <c r="T145" s="645"/>
      <c r="U145" s="645"/>
      <c r="V145" s="64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7" t="s">
        <v>265</v>
      </c>
      <c r="B146" s="657"/>
      <c r="C146" s="657"/>
      <c r="D146" s="657"/>
      <c r="E146" s="657"/>
      <c r="F146" s="657"/>
      <c r="G146" s="657"/>
      <c r="H146" s="657"/>
      <c r="I146" s="657"/>
      <c r="J146" s="657"/>
      <c r="K146" s="657"/>
      <c r="L146" s="657"/>
      <c r="M146" s="657"/>
      <c r="N146" s="657"/>
      <c r="O146" s="657"/>
      <c r="P146" s="657"/>
      <c r="Q146" s="657"/>
      <c r="R146" s="657"/>
      <c r="S146" s="657"/>
      <c r="T146" s="657"/>
      <c r="U146" s="657"/>
      <c r="V146" s="657"/>
      <c r="W146" s="657"/>
      <c r="X146" s="657"/>
      <c r="Y146" s="657"/>
      <c r="Z146" s="657"/>
      <c r="AA146" s="65"/>
      <c r="AB146" s="65"/>
      <c r="AC146" s="79"/>
    </row>
    <row r="147" spans="1:68" ht="14.25" hidden="1" customHeight="1" x14ac:dyDescent="0.25">
      <c r="A147" s="658" t="s">
        <v>85</v>
      </c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8"/>
      <c r="P147" s="658"/>
      <c r="Q147" s="658"/>
      <c r="R147" s="658"/>
      <c r="S147" s="658"/>
      <c r="T147" s="658"/>
      <c r="U147" s="658"/>
      <c r="V147" s="658"/>
      <c r="W147" s="658"/>
      <c r="X147" s="658"/>
      <c r="Y147" s="658"/>
      <c r="Z147" s="658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653">
        <v>4680115888203</v>
      </c>
      <c r="E148" s="653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6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653">
        <v>4680115888180</v>
      </c>
      <c r="E149" s="653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653">
        <v>4680115888180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653">
        <v>4680115888197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6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653">
        <v>4680115888197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653">
        <v>4680115888210</v>
      </c>
      <c r="E153" s="65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6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647"/>
      <c r="B155" s="647"/>
      <c r="C155" s="647"/>
      <c r="D155" s="647"/>
      <c r="E155" s="647"/>
      <c r="F155" s="647"/>
      <c r="G155" s="647"/>
      <c r="H155" s="647"/>
      <c r="I155" s="647"/>
      <c r="J155" s="647"/>
      <c r="K155" s="647"/>
      <c r="L155" s="647"/>
      <c r="M155" s="647"/>
      <c r="N155" s="647"/>
      <c r="O155" s="648"/>
      <c r="P155" s="644" t="s">
        <v>40</v>
      </c>
      <c r="Q155" s="645"/>
      <c r="R155" s="645"/>
      <c r="S155" s="645"/>
      <c r="T155" s="645"/>
      <c r="U155" s="645"/>
      <c r="V155" s="64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7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8"/>
      <c r="P156" s="644" t="s">
        <v>40</v>
      </c>
      <c r="Q156" s="645"/>
      <c r="R156" s="645"/>
      <c r="S156" s="645"/>
      <c r="T156" s="645"/>
      <c r="U156" s="645"/>
      <c r="V156" s="64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8" t="s">
        <v>281</v>
      </c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658"/>
      <c r="Q157" s="658"/>
      <c r="R157" s="658"/>
      <c r="S157" s="658"/>
      <c r="T157" s="658"/>
      <c r="U157" s="658"/>
      <c r="V157" s="658"/>
      <c r="W157" s="658"/>
      <c r="X157" s="658"/>
      <c r="Y157" s="658"/>
      <c r="Z157" s="658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86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7"/>
      <c r="B159" s="647"/>
      <c r="C159" s="647"/>
      <c r="D159" s="647"/>
      <c r="E159" s="647"/>
      <c r="F159" s="647"/>
      <c r="G159" s="647"/>
      <c r="H159" s="647"/>
      <c r="I159" s="647"/>
      <c r="J159" s="647"/>
      <c r="K159" s="647"/>
      <c r="L159" s="647"/>
      <c r="M159" s="647"/>
      <c r="N159" s="647"/>
      <c r="O159" s="648"/>
      <c r="P159" s="644" t="s">
        <v>40</v>
      </c>
      <c r="Q159" s="645"/>
      <c r="R159" s="645"/>
      <c r="S159" s="645"/>
      <c r="T159" s="645"/>
      <c r="U159" s="645"/>
      <c r="V159" s="64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7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8"/>
      <c r="P160" s="644" t="s">
        <v>40</v>
      </c>
      <c r="Q160" s="645"/>
      <c r="R160" s="645"/>
      <c r="S160" s="645"/>
      <c r="T160" s="645"/>
      <c r="U160" s="645"/>
      <c r="V160" s="64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7" t="s">
        <v>121</v>
      </c>
      <c r="B161" s="657"/>
      <c r="C161" s="657"/>
      <c r="D161" s="657"/>
      <c r="E161" s="657"/>
      <c r="F161" s="657"/>
      <c r="G161" s="657"/>
      <c r="H161" s="657"/>
      <c r="I161" s="657"/>
      <c r="J161" s="657"/>
      <c r="K161" s="657"/>
      <c r="L161" s="657"/>
      <c r="M161" s="657"/>
      <c r="N161" s="657"/>
      <c r="O161" s="657"/>
      <c r="P161" s="657"/>
      <c r="Q161" s="657"/>
      <c r="R161" s="657"/>
      <c r="S161" s="657"/>
      <c r="T161" s="657"/>
      <c r="U161" s="657"/>
      <c r="V161" s="657"/>
      <c r="W161" s="657"/>
      <c r="X161" s="657"/>
      <c r="Y161" s="657"/>
      <c r="Z161" s="657"/>
      <c r="AA161" s="65"/>
      <c r="AB161" s="65"/>
      <c r="AC161" s="79"/>
    </row>
    <row r="162" spans="1:68" ht="14.25" hidden="1" customHeight="1" x14ac:dyDescent="0.25">
      <c r="A162" s="658" t="s">
        <v>123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86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8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653">
        <v>4680115888876</v>
      </c>
      <c r="E165" s="653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85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647"/>
      <c r="B166" s="647"/>
      <c r="C166" s="647"/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7"/>
      <c r="O166" s="648"/>
      <c r="P166" s="644" t="s">
        <v>40</v>
      </c>
      <c r="Q166" s="645"/>
      <c r="R166" s="645"/>
      <c r="S166" s="645"/>
      <c r="T166" s="645"/>
      <c r="U166" s="645"/>
      <c r="V166" s="64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647"/>
      <c r="B167" s="647"/>
      <c r="C167" s="647"/>
      <c r="D167" s="647"/>
      <c r="E167" s="647"/>
      <c r="F167" s="647"/>
      <c r="G167" s="647"/>
      <c r="H167" s="647"/>
      <c r="I167" s="647"/>
      <c r="J167" s="647"/>
      <c r="K167" s="647"/>
      <c r="L167" s="647"/>
      <c r="M167" s="647"/>
      <c r="N167" s="647"/>
      <c r="O167" s="648"/>
      <c r="P167" s="644" t="s">
        <v>40</v>
      </c>
      <c r="Q167" s="645"/>
      <c r="R167" s="645"/>
      <c r="S167" s="645"/>
      <c r="T167" s="645"/>
      <c r="U167" s="645"/>
      <c r="V167" s="64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658" t="s">
        <v>156</v>
      </c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8"/>
      <c r="P168" s="658"/>
      <c r="Q168" s="658"/>
      <c r="R168" s="658"/>
      <c r="S168" s="658"/>
      <c r="T168" s="658"/>
      <c r="U168" s="658"/>
      <c r="V168" s="658"/>
      <c r="W168" s="658"/>
      <c r="X168" s="658"/>
      <c r="Y168" s="658"/>
      <c r="Z168" s="658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653">
        <v>4680115887695</v>
      </c>
      <c r="E169" s="653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8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5"/>
      <c r="R169" s="655"/>
      <c r="S169" s="655"/>
      <c r="T169" s="65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653">
        <v>4680115889491</v>
      </c>
      <c r="E170" s="653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85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647"/>
      <c r="B171" s="647"/>
      <c r="C171" s="647"/>
      <c r="D171" s="647"/>
      <c r="E171" s="647"/>
      <c r="F171" s="647"/>
      <c r="G171" s="647"/>
      <c r="H171" s="647"/>
      <c r="I171" s="647"/>
      <c r="J171" s="647"/>
      <c r="K171" s="647"/>
      <c r="L171" s="647"/>
      <c r="M171" s="647"/>
      <c r="N171" s="647"/>
      <c r="O171" s="648"/>
      <c r="P171" s="644" t="s">
        <v>40</v>
      </c>
      <c r="Q171" s="645"/>
      <c r="R171" s="645"/>
      <c r="S171" s="645"/>
      <c r="T171" s="645"/>
      <c r="U171" s="645"/>
      <c r="V171" s="64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647"/>
      <c r="B172" s="647"/>
      <c r="C172" s="647"/>
      <c r="D172" s="647"/>
      <c r="E172" s="647"/>
      <c r="F172" s="647"/>
      <c r="G172" s="647"/>
      <c r="H172" s="647"/>
      <c r="I172" s="647"/>
      <c r="J172" s="647"/>
      <c r="K172" s="647"/>
      <c r="L172" s="647"/>
      <c r="M172" s="647"/>
      <c r="N172" s="647"/>
      <c r="O172" s="648"/>
      <c r="P172" s="644" t="s">
        <v>40</v>
      </c>
      <c r="Q172" s="645"/>
      <c r="R172" s="645"/>
      <c r="S172" s="645"/>
      <c r="T172" s="645"/>
      <c r="U172" s="645"/>
      <c r="V172" s="64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658" t="s">
        <v>76</v>
      </c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658"/>
      <c r="Q173" s="658"/>
      <c r="R173" s="658"/>
      <c r="S173" s="658"/>
      <c r="T173" s="658"/>
      <c r="U173" s="658"/>
      <c r="V173" s="658"/>
      <c r="W173" s="658"/>
      <c r="X173" s="658"/>
      <c r="Y173" s="658"/>
      <c r="Z173" s="658"/>
      <c r="AA173" s="66"/>
      <c r="AB173" s="66"/>
      <c r="AC173" s="80"/>
    </row>
    <row r="174" spans="1:68" ht="27" hidden="1" customHeight="1" x14ac:dyDescent="0.25">
      <c r="A174" s="63" t="s">
        <v>303</v>
      </c>
      <c r="B174" s="63" t="s">
        <v>304</v>
      </c>
      <c r="C174" s="36">
        <v>4301031496</v>
      </c>
      <c r="D174" s="653">
        <v>4680115887428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653">
        <v>4680115889170</v>
      </c>
      <c r="E175" s="653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4301031498</v>
      </c>
      <c r="D176" s="653">
        <v>4680115887398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5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4301031497</v>
      </c>
      <c r="D177" s="653">
        <v>4680115887336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653">
        <v>4680115887763</v>
      </c>
      <c r="E181" s="653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5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4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4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hidden="1" x14ac:dyDescent="0.2">
      <c r="A185" s="647"/>
      <c r="B185" s="647"/>
      <c r="C185" s="647"/>
      <c r="D185" s="647"/>
      <c r="E185" s="647"/>
      <c r="F185" s="647"/>
      <c r="G185" s="647"/>
      <c r="H185" s="647"/>
      <c r="I185" s="647"/>
      <c r="J185" s="647"/>
      <c r="K185" s="647"/>
      <c r="L185" s="647"/>
      <c r="M185" s="647"/>
      <c r="N185" s="647"/>
      <c r="O185" s="648"/>
      <c r="P185" s="644" t="s">
        <v>40</v>
      </c>
      <c r="Q185" s="645"/>
      <c r="R185" s="645"/>
      <c r="S185" s="645"/>
      <c r="T185" s="645"/>
      <c r="U185" s="645"/>
      <c r="V185" s="64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47"/>
      <c r="B186" s="647"/>
      <c r="C186" s="647"/>
      <c r="D186" s="647"/>
      <c r="E186" s="647"/>
      <c r="F186" s="647"/>
      <c r="G186" s="647"/>
      <c r="H186" s="647"/>
      <c r="I186" s="647"/>
      <c r="J186" s="647"/>
      <c r="K186" s="647"/>
      <c r="L186" s="647"/>
      <c r="M186" s="647"/>
      <c r="N186" s="647"/>
      <c r="O186" s="648"/>
      <c r="P186" s="644" t="s">
        <v>40</v>
      </c>
      <c r="Q186" s="645"/>
      <c r="R186" s="645"/>
      <c r="S186" s="645"/>
      <c r="T186" s="645"/>
      <c r="U186" s="645"/>
      <c r="V186" s="646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8" t="s">
        <v>85</v>
      </c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58"/>
      <c r="T187" s="658"/>
      <c r="U187" s="658"/>
      <c r="V187" s="658"/>
      <c r="W187" s="658"/>
      <c r="X187" s="658"/>
      <c r="Y187" s="658"/>
      <c r="Z187" s="658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653">
        <v>4680115887459</v>
      </c>
      <c r="E190" s="653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5"/>
      <c r="R190" s="655"/>
      <c r="S190" s="655"/>
      <c r="T190" s="65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47"/>
      <c r="B191" s="647"/>
      <c r="C191" s="647"/>
      <c r="D191" s="647"/>
      <c r="E191" s="647"/>
      <c r="F191" s="647"/>
      <c r="G191" s="647"/>
      <c r="H191" s="647"/>
      <c r="I191" s="647"/>
      <c r="J191" s="647"/>
      <c r="K191" s="647"/>
      <c r="L191" s="647"/>
      <c r="M191" s="647"/>
      <c r="N191" s="647"/>
      <c r="O191" s="648"/>
      <c r="P191" s="644" t="s">
        <v>40</v>
      </c>
      <c r="Q191" s="645"/>
      <c r="R191" s="645"/>
      <c r="S191" s="645"/>
      <c r="T191" s="645"/>
      <c r="U191" s="645"/>
      <c r="V191" s="64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47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48"/>
      <c r="P192" s="644" t="s">
        <v>40</v>
      </c>
      <c r="Q192" s="645"/>
      <c r="R192" s="645"/>
      <c r="S192" s="645"/>
      <c r="T192" s="645"/>
      <c r="U192" s="645"/>
      <c r="V192" s="64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8" t="s">
        <v>281</v>
      </c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  <c r="Z193" s="658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653">
        <v>4680115889026</v>
      </c>
      <c r="E194" s="653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5"/>
      <c r="R194" s="655"/>
      <c r="S194" s="655"/>
      <c r="T194" s="656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47"/>
      <c r="B195" s="647"/>
      <c r="C195" s="647"/>
      <c r="D195" s="647"/>
      <c r="E195" s="647"/>
      <c r="F195" s="647"/>
      <c r="G195" s="647"/>
      <c r="H195" s="647"/>
      <c r="I195" s="647"/>
      <c r="J195" s="647"/>
      <c r="K195" s="647"/>
      <c r="L195" s="647"/>
      <c r="M195" s="647"/>
      <c r="N195" s="647"/>
      <c r="O195" s="648"/>
      <c r="P195" s="644" t="s">
        <v>40</v>
      </c>
      <c r="Q195" s="645"/>
      <c r="R195" s="645"/>
      <c r="S195" s="645"/>
      <c r="T195" s="645"/>
      <c r="U195" s="645"/>
      <c r="V195" s="64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47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48"/>
      <c r="P196" s="644" t="s">
        <v>40</v>
      </c>
      <c r="Q196" s="645"/>
      <c r="R196" s="645"/>
      <c r="S196" s="645"/>
      <c r="T196" s="645"/>
      <c r="U196" s="645"/>
      <c r="V196" s="64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658" t="s">
        <v>345</v>
      </c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58"/>
      <c r="U197" s="658"/>
      <c r="V197" s="658"/>
      <c r="W197" s="658"/>
      <c r="X197" s="658"/>
      <c r="Y197" s="658"/>
      <c r="Z197" s="658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653">
        <v>4680115889033</v>
      </c>
      <c r="E198" s="653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5"/>
      <c r="R198" s="655"/>
      <c r="S198" s="655"/>
      <c r="T198" s="65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7"/>
      <c r="B199" s="647"/>
      <c r="C199" s="647"/>
      <c r="D199" s="647"/>
      <c r="E199" s="647"/>
      <c r="F199" s="647"/>
      <c r="G199" s="647"/>
      <c r="H199" s="647"/>
      <c r="I199" s="647"/>
      <c r="J199" s="647"/>
      <c r="K199" s="647"/>
      <c r="L199" s="647"/>
      <c r="M199" s="647"/>
      <c r="N199" s="647"/>
      <c r="O199" s="648"/>
      <c r="P199" s="644" t="s">
        <v>40</v>
      </c>
      <c r="Q199" s="645"/>
      <c r="R199" s="645"/>
      <c r="S199" s="645"/>
      <c r="T199" s="645"/>
      <c r="U199" s="645"/>
      <c r="V199" s="64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647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48"/>
      <c r="P200" s="644" t="s">
        <v>40</v>
      </c>
      <c r="Q200" s="645"/>
      <c r="R200" s="645"/>
      <c r="S200" s="645"/>
      <c r="T200" s="645"/>
      <c r="U200" s="645"/>
      <c r="V200" s="64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664" t="s">
        <v>349</v>
      </c>
      <c r="B201" s="664"/>
      <c r="C201" s="664"/>
      <c r="D201" s="664"/>
      <c r="E201" s="664"/>
      <c r="F201" s="664"/>
      <c r="G201" s="664"/>
      <c r="H201" s="664"/>
      <c r="I201" s="664"/>
      <c r="J201" s="664"/>
      <c r="K201" s="664"/>
      <c r="L201" s="664"/>
      <c r="M201" s="664"/>
      <c r="N201" s="664"/>
      <c r="O201" s="664"/>
      <c r="P201" s="664"/>
      <c r="Q201" s="664"/>
      <c r="R201" s="664"/>
      <c r="S201" s="664"/>
      <c r="T201" s="664"/>
      <c r="U201" s="664"/>
      <c r="V201" s="664"/>
      <c r="W201" s="664"/>
      <c r="X201" s="664"/>
      <c r="Y201" s="664"/>
      <c r="Z201" s="664"/>
      <c r="AA201" s="54"/>
      <c r="AB201" s="54"/>
      <c r="AC201" s="54"/>
    </row>
    <row r="202" spans="1:68" ht="16.5" hidden="1" customHeight="1" x14ac:dyDescent="0.25">
      <c r="A202" s="657" t="s">
        <v>350</v>
      </c>
      <c r="B202" s="657"/>
      <c r="C202" s="657"/>
      <c r="D202" s="657"/>
      <c r="E202" s="657"/>
      <c r="F202" s="657"/>
      <c r="G202" s="657"/>
      <c r="H202" s="657"/>
      <c r="I202" s="657"/>
      <c r="J202" s="657"/>
      <c r="K202" s="657"/>
      <c r="L202" s="657"/>
      <c r="M202" s="657"/>
      <c r="N202" s="657"/>
      <c r="O202" s="657"/>
      <c r="P202" s="657"/>
      <c r="Q202" s="657"/>
      <c r="R202" s="657"/>
      <c r="S202" s="657"/>
      <c r="T202" s="657"/>
      <c r="U202" s="657"/>
      <c r="V202" s="657"/>
      <c r="W202" s="657"/>
      <c r="X202" s="657"/>
      <c r="Y202" s="657"/>
      <c r="Z202" s="657"/>
      <c r="AA202" s="65"/>
      <c r="AB202" s="65"/>
      <c r="AC202" s="79"/>
    </row>
    <row r="203" spans="1:68" ht="14.25" hidden="1" customHeight="1" x14ac:dyDescent="0.25">
      <c r="A203" s="658" t="s">
        <v>123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653">
        <v>4607091383423</v>
      </c>
      <c r="E204" s="653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3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653">
        <v>4680115888760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4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653">
        <v>4680115888807</v>
      </c>
      <c r="E206" s="65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653">
        <v>4680115888852</v>
      </c>
      <c r="E207" s="653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653">
        <v>4680115886957</v>
      </c>
      <c r="E208" s="653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653">
        <v>4680115885660</v>
      </c>
      <c r="E209" s="653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653">
        <v>4680115886773</v>
      </c>
      <c r="E210" s="653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5"/>
      <c r="R210" s="655"/>
      <c r="S210" s="655"/>
      <c r="T210" s="65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647"/>
      <c r="B211" s="647"/>
      <c r="C211" s="647"/>
      <c r="D211" s="647"/>
      <c r="E211" s="647"/>
      <c r="F211" s="647"/>
      <c r="G211" s="647"/>
      <c r="H211" s="647"/>
      <c r="I211" s="647"/>
      <c r="J211" s="647"/>
      <c r="K211" s="647"/>
      <c r="L211" s="647"/>
      <c r="M211" s="647"/>
      <c r="N211" s="647"/>
      <c r="O211" s="648"/>
      <c r="P211" s="644" t="s">
        <v>40</v>
      </c>
      <c r="Q211" s="645"/>
      <c r="R211" s="645"/>
      <c r="S211" s="645"/>
      <c r="T211" s="645"/>
      <c r="U211" s="645"/>
      <c r="V211" s="64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647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48"/>
      <c r="P212" s="644" t="s">
        <v>40</v>
      </c>
      <c r="Q212" s="645"/>
      <c r="R212" s="645"/>
      <c r="S212" s="645"/>
      <c r="T212" s="645"/>
      <c r="U212" s="645"/>
      <c r="V212" s="64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657" t="s">
        <v>371</v>
      </c>
      <c r="B213" s="657"/>
      <c r="C213" s="657"/>
      <c r="D213" s="657"/>
      <c r="E213" s="657"/>
      <c r="F213" s="657"/>
      <c r="G213" s="657"/>
      <c r="H213" s="657"/>
      <c r="I213" s="657"/>
      <c r="J213" s="657"/>
      <c r="K213" s="657"/>
      <c r="L213" s="657"/>
      <c r="M213" s="657"/>
      <c r="N213" s="657"/>
      <c r="O213" s="657"/>
      <c r="P213" s="657"/>
      <c r="Q213" s="657"/>
      <c r="R213" s="657"/>
      <c r="S213" s="657"/>
      <c r="T213" s="657"/>
      <c r="U213" s="657"/>
      <c r="V213" s="657"/>
      <c r="W213" s="657"/>
      <c r="X213" s="657"/>
      <c r="Y213" s="657"/>
      <c r="Z213" s="657"/>
      <c r="AA213" s="65"/>
      <c r="AB213" s="65"/>
      <c r="AC213" s="79"/>
    </row>
    <row r="214" spans="1:68" ht="14.25" hidden="1" customHeight="1" x14ac:dyDescent="0.25">
      <c r="A214" s="658" t="s">
        <v>156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653">
        <v>4680115886223</v>
      </c>
      <c r="E215" s="653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5"/>
      <c r="R215" s="655"/>
      <c r="S215" s="655"/>
      <c r="T215" s="656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647"/>
      <c r="B216" s="647"/>
      <c r="C216" s="647"/>
      <c r="D216" s="647"/>
      <c r="E216" s="647"/>
      <c r="F216" s="647"/>
      <c r="G216" s="647"/>
      <c r="H216" s="647"/>
      <c r="I216" s="647"/>
      <c r="J216" s="647"/>
      <c r="K216" s="647"/>
      <c r="L216" s="647"/>
      <c r="M216" s="647"/>
      <c r="N216" s="647"/>
      <c r="O216" s="648"/>
      <c r="P216" s="644" t="s">
        <v>40</v>
      </c>
      <c r="Q216" s="645"/>
      <c r="R216" s="645"/>
      <c r="S216" s="645"/>
      <c r="T216" s="645"/>
      <c r="U216" s="645"/>
      <c r="V216" s="64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647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48"/>
      <c r="P217" s="644" t="s">
        <v>40</v>
      </c>
      <c r="Q217" s="645"/>
      <c r="R217" s="645"/>
      <c r="S217" s="645"/>
      <c r="T217" s="645"/>
      <c r="U217" s="645"/>
      <c r="V217" s="64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658" t="s">
        <v>76</v>
      </c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58"/>
      <c r="U218" s="658"/>
      <c r="V218" s="658"/>
      <c r="W218" s="658"/>
      <c r="X218" s="658"/>
      <c r="Y218" s="658"/>
      <c r="Z218" s="658"/>
      <c r="AA218" s="66"/>
      <c r="AB218" s="66"/>
      <c r="AC218" s="80"/>
    </row>
    <row r="219" spans="1:68" ht="27" hidden="1" customHeight="1" x14ac:dyDescent="0.25">
      <c r="A219" s="63" t="s">
        <v>375</v>
      </c>
      <c r="B219" s="63" t="s">
        <v>376</v>
      </c>
      <c r="C219" s="36">
        <v>4301031191</v>
      </c>
      <c r="D219" s="653">
        <v>4680115880993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653">
        <v>4680115881761</v>
      </c>
      <c r="E220" s="65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653">
        <v>4680115888104</v>
      </c>
      <c r="E227" s="653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653">
        <v>4680115886537</v>
      </c>
      <c r="E228" s="65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653">
        <v>4680115887596</v>
      </c>
      <c r="E229" s="653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406</v>
      </c>
      <c r="B230" s="63" t="s">
        <v>407</v>
      </c>
      <c r="C230" s="36">
        <v>4301031202</v>
      </c>
      <c r="D230" s="653">
        <v>4680115881679</v>
      </c>
      <c r="E230" s="653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hidden="1" x14ac:dyDescent="0.2">
      <c r="A233" s="647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48"/>
      <c r="P233" s="644" t="s">
        <v>40</v>
      </c>
      <c r="Q233" s="645"/>
      <c r="R233" s="645"/>
      <c r="S233" s="645"/>
      <c r="T233" s="645"/>
      <c r="U233" s="645"/>
      <c r="V233" s="64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48"/>
      <c r="P234" s="644" t="s">
        <v>40</v>
      </c>
      <c r="Q234" s="645"/>
      <c r="R234" s="645"/>
      <c r="S234" s="645"/>
      <c r="T234" s="645"/>
      <c r="U234" s="645"/>
      <c r="V234" s="646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658" t="s">
        <v>85</v>
      </c>
      <c r="B235" s="658"/>
      <c r="C235" s="658"/>
      <c r="D235" s="658"/>
      <c r="E235" s="658"/>
      <c r="F235" s="658"/>
      <c r="G235" s="658"/>
      <c r="H235" s="658"/>
      <c r="I235" s="658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658"/>
      <c r="X235" s="658"/>
      <c r="Y235" s="658"/>
      <c r="Z235" s="658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1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653">
        <v>4680115888722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1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653">
        <v>4680115888951</v>
      </c>
      <c r="E238" s="653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653">
        <v>4680115888975</v>
      </c>
      <c r="E239" s="653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1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653">
        <v>4680115888982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7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48"/>
      <c r="P241" s="644" t="s">
        <v>40</v>
      </c>
      <c r="Q241" s="645"/>
      <c r="R241" s="645"/>
      <c r="S241" s="645"/>
      <c r="T241" s="645"/>
      <c r="U241" s="645"/>
      <c r="V241" s="64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48"/>
      <c r="P242" s="644" t="s">
        <v>40</v>
      </c>
      <c r="Q242" s="645"/>
      <c r="R242" s="645"/>
      <c r="S242" s="645"/>
      <c r="T242" s="645"/>
      <c r="U242" s="645"/>
      <c r="V242" s="64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8" t="s">
        <v>281</v>
      </c>
      <c r="B243" s="658"/>
      <c r="C243" s="658"/>
      <c r="D243" s="658"/>
      <c r="E243" s="658"/>
      <c r="F243" s="658"/>
      <c r="G243" s="658"/>
      <c r="H243" s="658"/>
      <c r="I243" s="658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58"/>
      <c r="U243" s="658"/>
      <c r="V243" s="658"/>
      <c r="W243" s="658"/>
      <c r="X243" s="658"/>
      <c r="Y243" s="658"/>
      <c r="Z243" s="658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653">
        <v>4680115886780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653">
        <v>4680115886742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653">
        <v>4680115886766</v>
      </c>
      <c r="E246" s="65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5"/>
      <c r="R246" s="655"/>
      <c r="S246" s="655"/>
      <c r="T246" s="65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7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8"/>
      <c r="P247" s="644" t="s">
        <v>40</v>
      </c>
      <c r="Q247" s="645"/>
      <c r="R247" s="645"/>
      <c r="S247" s="645"/>
      <c r="T247" s="645"/>
      <c r="U247" s="645"/>
      <c r="V247" s="64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48"/>
      <c r="P248" s="644" t="s">
        <v>40</v>
      </c>
      <c r="Q248" s="645"/>
      <c r="R248" s="645"/>
      <c r="S248" s="645"/>
      <c r="T248" s="645"/>
      <c r="U248" s="645"/>
      <c r="V248" s="64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8" t="s">
        <v>435</v>
      </c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58"/>
      <c r="U249" s="658"/>
      <c r="V249" s="658"/>
      <c r="W249" s="658"/>
      <c r="X249" s="658"/>
      <c r="Y249" s="658"/>
      <c r="Z249" s="658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653">
        <v>4680115886797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7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48"/>
      <c r="P251" s="644" t="s">
        <v>40</v>
      </c>
      <c r="Q251" s="645"/>
      <c r="R251" s="645"/>
      <c r="S251" s="645"/>
      <c r="T251" s="645"/>
      <c r="U251" s="645"/>
      <c r="V251" s="64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48"/>
      <c r="P252" s="644" t="s">
        <v>40</v>
      </c>
      <c r="Q252" s="645"/>
      <c r="R252" s="645"/>
      <c r="S252" s="645"/>
      <c r="T252" s="645"/>
      <c r="U252" s="645"/>
      <c r="V252" s="64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57" t="s">
        <v>438</v>
      </c>
      <c r="B253" s="657"/>
      <c r="C253" s="657"/>
      <c r="D253" s="657"/>
      <c r="E253" s="657"/>
      <c r="F253" s="657"/>
      <c r="G253" s="657"/>
      <c r="H253" s="657"/>
      <c r="I253" s="657"/>
      <c r="J253" s="657"/>
      <c r="K253" s="657"/>
      <c r="L253" s="657"/>
      <c r="M253" s="657"/>
      <c r="N253" s="657"/>
      <c r="O253" s="657"/>
      <c r="P253" s="657"/>
      <c r="Q253" s="657"/>
      <c r="R253" s="657"/>
      <c r="S253" s="657"/>
      <c r="T253" s="657"/>
      <c r="U253" s="657"/>
      <c r="V253" s="657"/>
      <c r="W253" s="657"/>
      <c r="X253" s="657"/>
      <c r="Y253" s="657"/>
      <c r="Z253" s="657"/>
      <c r="AA253" s="65"/>
      <c r="AB253" s="65"/>
      <c r="AC253" s="79"/>
    </row>
    <row r="254" spans="1:68" ht="14.25" hidden="1" customHeight="1" x14ac:dyDescent="0.25">
      <c r="A254" s="658" t="s">
        <v>123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653">
        <v>4680115881402</v>
      </c>
      <c r="E255" s="65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0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653">
        <v>4680115881396</v>
      </c>
      <c r="E256" s="653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5"/>
      <c r="R256" s="655"/>
      <c r="S256" s="655"/>
      <c r="T256" s="65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7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48"/>
      <c r="P257" s="644" t="s">
        <v>40</v>
      </c>
      <c r="Q257" s="645"/>
      <c r="R257" s="645"/>
      <c r="S257" s="645"/>
      <c r="T257" s="645"/>
      <c r="U257" s="645"/>
      <c r="V257" s="64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48"/>
      <c r="P258" s="644" t="s">
        <v>40</v>
      </c>
      <c r="Q258" s="645"/>
      <c r="R258" s="645"/>
      <c r="S258" s="645"/>
      <c r="T258" s="645"/>
      <c r="U258" s="645"/>
      <c r="V258" s="64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8" t="s">
        <v>156</v>
      </c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8"/>
      <c r="P259" s="658"/>
      <c r="Q259" s="658"/>
      <c r="R259" s="658"/>
      <c r="S259" s="658"/>
      <c r="T259" s="658"/>
      <c r="U259" s="658"/>
      <c r="V259" s="658"/>
      <c r="W259" s="658"/>
      <c r="X259" s="658"/>
      <c r="Y259" s="658"/>
      <c r="Z259" s="658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653">
        <v>4680115882935</v>
      </c>
      <c r="E260" s="653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653">
        <v>4680115880764</v>
      </c>
      <c r="E261" s="653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5"/>
      <c r="R261" s="655"/>
      <c r="S261" s="655"/>
      <c r="T261" s="65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7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48"/>
      <c r="P262" s="644" t="s">
        <v>40</v>
      </c>
      <c r="Q262" s="645"/>
      <c r="R262" s="645"/>
      <c r="S262" s="645"/>
      <c r="T262" s="645"/>
      <c r="U262" s="645"/>
      <c r="V262" s="64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48"/>
      <c r="P263" s="644" t="s">
        <v>40</v>
      </c>
      <c r="Q263" s="645"/>
      <c r="R263" s="645"/>
      <c r="S263" s="645"/>
      <c r="T263" s="645"/>
      <c r="U263" s="645"/>
      <c r="V263" s="64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8" t="s">
        <v>76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6"/>
      <c r="AB264" s="66"/>
      <c r="AC264" s="80"/>
    </row>
    <row r="265" spans="1:68" ht="27" hidden="1" customHeight="1" x14ac:dyDescent="0.25">
      <c r="A265" s="63" t="s">
        <v>449</v>
      </c>
      <c r="B265" s="63" t="s">
        <v>450</v>
      </c>
      <c r="C265" s="36">
        <v>4301031224</v>
      </c>
      <c r="D265" s="653">
        <v>4680115882683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4301031230</v>
      </c>
      <c r="D266" s="653">
        <v>4680115882690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hidden="1" customHeight="1" x14ac:dyDescent="0.25">
      <c r="A267" s="63" t="s">
        <v>455</v>
      </c>
      <c r="B267" s="63" t="s">
        <v>456</v>
      </c>
      <c r="C267" s="36">
        <v>4301031220</v>
      </c>
      <c r="D267" s="653">
        <v>4680115882669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hidden="1" customHeight="1" x14ac:dyDescent="0.25">
      <c r="A268" s="63" t="s">
        <v>458</v>
      </c>
      <c r="B268" s="63" t="s">
        <v>459</v>
      </c>
      <c r="C268" s="36">
        <v>4301031221</v>
      </c>
      <c r="D268" s="653">
        <v>4680115882676</v>
      </c>
      <c r="E268" s="65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0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hidden="1" customHeight="1" x14ac:dyDescent="0.25">
      <c r="A269" s="63" t="s">
        <v>461</v>
      </c>
      <c r="B269" s="63" t="s">
        <v>462</v>
      </c>
      <c r="C269" s="36">
        <v>4301031223</v>
      </c>
      <c r="D269" s="653">
        <v>4680115884014</v>
      </c>
      <c r="E269" s="653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4301031222</v>
      </c>
      <c r="D270" s="653">
        <v>4680115884007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4301031229</v>
      </c>
      <c r="D271" s="653">
        <v>4680115884038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4301031225</v>
      </c>
      <c r="D272" s="653">
        <v>4680115884021</v>
      </c>
      <c r="E272" s="65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hidden="1" x14ac:dyDescent="0.2">
      <c r="A273" s="647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48"/>
      <c r="P273" s="644" t="s">
        <v>40</v>
      </c>
      <c r="Q273" s="645"/>
      <c r="R273" s="645"/>
      <c r="S273" s="645"/>
      <c r="T273" s="645"/>
      <c r="U273" s="645"/>
      <c r="V273" s="64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48"/>
      <c r="P274" s="644" t="s">
        <v>40</v>
      </c>
      <c r="Q274" s="645"/>
      <c r="R274" s="645"/>
      <c r="S274" s="645"/>
      <c r="T274" s="645"/>
      <c r="U274" s="645"/>
      <c r="V274" s="646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58" t="s">
        <v>85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653">
        <v>4680115881594</v>
      </c>
      <c r="E276" s="653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653">
        <v>4680115881617</v>
      </c>
      <c r="E277" s="653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4301051656</v>
      </c>
      <c r="D278" s="653">
        <v>4680115880573</v>
      </c>
      <c r="E278" s="653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4301051407</v>
      </c>
      <c r="D279" s="653">
        <v>4680115882195</v>
      </c>
      <c r="E279" s="653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653">
        <v>4680115882607</v>
      </c>
      <c r="E280" s="653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7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653">
        <v>4680115882607</v>
      </c>
      <c r="E281" s="653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7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hidden="1" customHeight="1" x14ac:dyDescent="0.25">
      <c r="A282" s="63" t="s">
        <v>485</v>
      </c>
      <c r="B282" s="63" t="s">
        <v>486</v>
      </c>
      <c r="C282" s="36">
        <v>4301051666</v>
      </c>
      <c r="D282" s="653">
        <v>4680115880092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653">
        <v>4680115889064</v>
      </c>
      <c r="E283" s="653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653">
        <v>4680115880221</v>
      </c>
      <c r="E284" s="65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4301051945</v>
      </c>
      <c r="D285" s="653">
        <v>4680115880504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4301051410</v>
      </c>
      <c r="D286" s="653">
        <v>4680115882164</v>
      </c>
      <c r="E286" s="653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653">
        <v>4680115888340</v>
      </c>
      <c r="E287" s="65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hidden="1" x14ac:dyDescent="0.2">
      <c r="A288" s="647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48"/>
      <c r="P288" s="644" t="s">
        <v>40</v>
      </c>
      <c r="Q288" s="645"/>
      <c r="R288" s="645"/>
      <c r="S288" s="645"/>
      <c r="T288" s="645"/>
      <c r="U288" s="645"/>
      <c r="V288" s="64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48"/>
      <c r="P289" s="644" t="s">
        <v>40</v>
      </c>
      <c r="Q289" s="645"/>
      <c r="R289" s="645"/>
      <c r="S289" s="645"/>
      <c r="T289" s="645"/>
      <c r="U289" s="645"/>
      <c r="V289" s="646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58" t="s">
        <v>173</v>
      </c>
      <c r="B290" s="658"/>
      <c r="C290" s="658"/>
      <c r="D290" s="658"/>
      <c r="E290" s="658"/>
      <c r="F290" s="658"/>
      <c r="G290" s="658"/>
      <c r="H290" s="658"/>
      <c r="I290" s="658"/>
      <c r="J290" s="658"/>
      <c r="K290" s="658"/>
      <c r="L290" s="658"/>
      <c r="M290" s="658"/>
      <c r="N290" s="658"/>
      <c r="O290" s="658"/>
      <c r="P290" s="658"/>
      <c r="Q290" s="658"/>
      <c r="R290" s="658"/>
      <c r="S290" s="658"/>
      <c r="T290" s="658"/>
      <c r="U290" s="658"/>
      <c r="V290" s="658"/>
      <c r="W290" s="658"/>
      <c r="X290" s="658"/>
      <c r="Y290" s="658"/>
      <c r="Z290" s="658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653">
        <v>4680115880818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7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653">
        <v>4680115880801</v>
      </c>
      <c r="E292" s="65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5"/>
      <c r="R292" s="655"/>
      <c r="S292" s="655"/>
      <c r="T292" s="65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7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48"/>
      <c r="P293" s="644" t="s">
        <v>40</v>
      </c>
      <c r="Q293" s="645"/>
      <c r="R293" s="645"/>
      <c r="S293" s="645"/>
      <c r="T293" s="645"/>
      <c r="U293" s="645"/>
      <c r="V293" s="64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48"/>
      <c r="P294" s="644" t="s">
        <v>40</v>
      </c>
      <c r="Q294" s="645"/>
      <c r="R294" s="645"/>
      <c r="S294" s="645"/>
      <c r="T294" s="645"/>
      <c r="U294" s="645"/>
      <c r="V294" s="64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57" t="s">
        <v>506</v>
      </c>
      <c r="B295" s="657"/>
      <c r="C295" s="657"/>
      <c r="D295" s="657"/>
      <c r="E295" s="657"/>
      <c r="F295" s="657"/>
      <c r="G295" s="657"/>
      <c r="H295" s="657"/>
      <c r="I295" s="657"/>
      <c r="J295" s="657"/>
      <c r="K295" s="657"/>
      <c r="L295" s="657"/>
      <c r="M295" s="657"/>
      <c r="N295" s="657"/>
      <c r="O295" s="657"/>
      <c r="P295" s="657"/>
      <c r="Q295" s="657"/>
      <c r="R295" s="657"/>
      <c r="S295" s="657"/>
      <c r="T295" s="657"/>
      <c r="U295" s="657"/>
      <c r="V295" s="657"/>
      <c r="W295" s="657"/>
      <c r="X295" s="657"/>
      <c r="Y295" s="657"/>
      <c r="Z295" s="657"/>
      <c r="AA295" s="65"/>
      <c r="AB295" s="65"/>
      <c r="AC295" s="79"/>
    </row>
    <row r="296" spans="1:68" ht="14.25" hidden="1" customHeight="1" x14ac:dyDescent="0.25">
      <c r="A296" s="658" t="s">
        <v>123</v>
      </c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8"/>
      <c r="P296" s="658"/>
      <c r="Q296" s="658"/>
      <c r="R296" s="658"/>
      <c r="S296" s="658"/>
      <c r="T296" s="658"/>
      <c r="U296" s="658"/>
      <c r="V296" s="658"/>
      <c r="W296" s="658"/>
      <c r="X296" s="658"/>
      <c r="Y296" s="658"/>
      <c r="Z296" s="658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653">
        <v>4680115884137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7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653">
        <v>4680115884236</v>
      </c>
      <c r="E298" s="653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653">
        <v>4680115884175</v>
      </c>
      <c r="E299" s="65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653">
        <v>4680115884144</v>
      </c>
      <c r="E300" s="65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7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653">
        <v>4680115886551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77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653">
        <v>4680115887282</v>
      </c>
      <c r="E302" s="653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77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653">
        <v>4680115884205</v>
      </c>
      <c r="E303" s="65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77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647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48"/>
      <c r="P304" s="644" t="s">
        <v>40</v>
      </c>
      <c r="Q304" s="645"/>
      <c r="R304" s="645"/>
      <c r="S304" s="645"/>
      <c r="T304" s="645"/>
      <c r="U304" s="645"/>
      <c r="V304" s="64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48"/>
      <c r="P305" s="644" t="s">
        <v>40</v>
      </c>
      <c r="Q305" s="645"/>
      <c r="R305" s="645"/>
      <c r="S305" s="645"/>
      <c r="T305" s="645"/>
      <c r="U305" s="645"/>
      <c r="V305" s="64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8" t="s">
        <v>156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653">
        <v>4680115885981</v>
      </c>
      <c r="E307" s="653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7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7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48"/>
      <c r="P308" s="644" t="s">
        <v>40</v>
      </c>
      <c r="Q308" s="645"/>
      <c r="R308" s="645"/>
      <c r="S308" s="645"/>
      <c r="T308" s="645"/>
      <c r="U308" s="645"/>
      <c r="V308" s="64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48"/>
      <c r="P309" s="644" t="s">
        <v>40</v>
      </c>
      <c r="Q309" s="645"/>
      <c r="R309" s="645"/>
      <c r="S309" s="645"/>
      <c r="T309" s="645"/>
      <c r="U309" s="645"/>
      <c r="V309" s="64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8" t="s">
        <v>528</v>
      </c>
      <c r="B310" s="658"/>
      <c r="C310" s="658"/>
      <c r="D310" s="658"/>
      <c r="E310" s="658"/>
      <c r="F310" s="658"/>
      <c r="G310" s="658"/>
      <c r="H310" s="658"/>
      <c r="I310" s="658"/>
      <c r="J310" s="658"/>
      <c r="K310" s="658"/>
      <c r="L310" s="658"/>
      <c r="M310" s="658"/>
      <c r="N310" s="658"/>
      <c r="O310" s="658"/>
      <c r="P310" s="658"/>
      <c r="Q310" s="658"/>
      <c r="R310" s="658"/>
      <c r="S310" s="658"/>
      <c r="T310" s="658"/>
      <c r="U310" s="658"/>
      <c r="V310" s="658"/>
      <c r="W310" s="658"/>
      <c r="X310" s="658"/>
      <c r="Y310" s="658"/>
      <c r="Z310" s="658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653">
        <v>4680115886803</v>
      </c>
      <c r="E311" s="653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7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7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48"/>
      <c r="P312" s="644" t="s">
        <v>40</v>
      </c>
      <c r="Q312" s="645"/>
      <c r="R312" s="645"/>
      <c r="S312" s="645"/>
      <c r="T312" s="645"/>
      <c r="U312" s="645"/>
      <c r="V312" s="64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48"/>
      <c r="P313" s="644" t="s">
        <v>40</v>
      </c>
      <c r="Q313" s="645"/>
      <c r="R313" s="645"/>
      <c r="S313" s="645"/>
      <c r="T313" s="645"/>
      <c r="U313" s="645"/>
      <c r="V313" s="64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8" t="s">
        <v>345</v>
      </c>
      <c r="B314" s="658"/>
      <c r="C314" s="658"/>
      <c r="D314" s="658"/>
      <c r="E314" s="658"/>
      <c r="F314" s="658"/>
      <c r="G314" s="658"/>
      <c r="H314" s="658"/>
      <c r="I314" s="658"/>
      <c r="J314" s="658"/>
      <c r="K314" s="658"/>
      <c r="L314" s="658"/>
      <c r="M314" s="658"/>
      <c r="N314" s="658"/>
      <c r="O314" s="658"/>
      <c r="P314" s="658"/>
      <c r="Q314" s="658"/>
      <c r="R314" s="658"/>
      <c r="S314" s="658"/>
      <c r="T314" s="658"/>
      <c r="U314" s="658"/>
      <c r="V314" s="658"/>
      <c r="W314" s="658"/>
      <c r="X314" s="658"/>
      <c r="Y314" s="658"/>
      <c r="Z314" s="658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653">
        <v>4680115886704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653">
        <v>4680115886681</v>
      </c>
      <c r="E316" s="653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77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653">
        <v>4680115886735</v>
      </c>
      <c r="E317" s="653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7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5"/>
      <c r="R317" s="655"/>
      <c r="S317" s="655"/>
      <c r="T317" s="65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47"/>
      <c r="B318" s="647"/>
      <c r="C318" s="647"/>
      <c r="D318" s="647"/>
      <c r="E318" s="647"/>
      <c r="F318" s="647"/>
      <c r="G318" s="647"/>
      <c r="H318" s="647"/>
      <c r="I318" s="647"/>
      <c r="J318" s="647"/>
      <c r="K318" s="647"/>
      <c r="L318" s="647"/>
      <c r="M318" s="647"/>
      <c r="N318" s="647"/>
      <c r="O318" s="648"/>
      <c r="P318" s="644" t="s">
        <v>40</v>
      </c>
      <c r="Q318" s="645"/>
      <c r="R318" s="645"/>
      <c r="S318" s="645"/>
      <c r="T318" s="645"/>
      <c r="U318" s="645"/>
      <c r="V318" s="64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647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8"/>
      <c r="P319" s="644" t="s">
        <v>40</v>
      </c>
      <c r="Q319" s="645"/>
      <c r="R319" s="645"/>
      <c r="S319" s="645"/>
      <c r="T319" s="645"/>
      <c r="U319" s="645"/>
      <c r="V319" s="64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657" t="s">
        <v>539</v>
      </c>
      <c r="B320" s="657"/>
      <c r="C320" s="657"/>
      <c r="D320" s="657"/>
      <c r="E320" s="657"/>
      <c r="F320" s="657"/>
      <c r="G320" s="657"/>
      <c r="H320" s="657"/>
      <c r="I320" s="657"/>
      <c r="J320" s="657"/>
      <c r="K320" s="657"/>
      <c r="L320" s="657"/>
      <c r="M320" s="657"/>
      <c r="N320" s="657"/>
      <c r="O320" s="657"/>
      <c r="P320" s="657"/>
      <c r="Q320" s="657"/>
      <c r="R320" s="657"/>
      <c r="S320" s="657"/>
      <c r="T320" s="657"/>
      <c r="U320" s="657"/>
      <c r="V320" s="657"/>
      <c r="W320" s="657"/>
      <c r="X320" s="657"/>
      <c r="Y320" s="657"/>
      <c r="Z320" s="657"/>
      <c r="AA320" s="65"/>
      <c r="AB320" s="65"/>
      <c r="AC320" s="79"/>
    </row>
    <row r="321" spans="1:68" ht="14.25" hidden="1" customHeight="1" x14ac:dyDescent="0.25">
      <c r="A321" s="658" t="s">
        <v>123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653">
        <v>4680115885837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7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653">
        <v>4680115887237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653">
        <v>4680115885806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653">
        <v>4680115885844</v>
      </c>
      <c r="E325" s="653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653">
        <v>4680115885820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647"/>
      <c r="B327" s="647"/>
      <c r="C327" s="647"/>
      <c r="D327" s="647"/>
      <c r="E327" s="647"/>
      <c r="F327" s="647"/>
      <c r="G327" s="647"/>
      <c r="H327" s="647"/>
      <c r="I327" s="647"/>
      <c r="J327" s="647"/>
      <c r="K327" s="647"/>
      <c r="L327" s="647"/>
      <c r="M327" s="647"/>
      <c r="N327" s="647"/>
      <c r="O327" s="648"/>
      <c r="P327" s="644" t="s">
        <v>40</v>
      </c>
      <c r="Q327" s="645"/>
      <c r="R327" s="645"/>
      <c r="S327" s="645"/>
      <c r="T327" s="645"/>
      <c r="U327" s="645"/>
      <c r="V327" s="646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47"/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8"/>
      <c r="P328" s="644" t="s">
        <v>40</v>
      </c>
      <c r="Q328" s="645"/>
      <c r="R328" s="645"/>
      <c r="S328" s="645"/>
      <c r="T328" s="645"/>
      <c r="U328" s="645"/>
      <c r="V328" s="646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7" t="s">
        <v>555</v>
      </c>
      <c r="B329" s="657"/>
      <c r="C329" s="657"/>
      <c r="D329" s="657"/>
      <c r="E329" s="657"/>
      <c r="F329" s="657"/>
      <c r="G329" s="657"/>
      <c r="H329" s="657"/>
      <c r="I329" s="657"/>
      <c r="J329" s="657"/>
      <c r="K329" s="657"/>
      <c r="L329" s="657"/>
      <c r="M329" s="657"/>
      <c r="N329" s="657"/>
      <c r="O329" s="657"/>
      <c r="P329" s="657"/>
      <c r="Q329" s="657"/>
      <c r="R329" s="657"/>
      <c r="S329" s="657"/>
      <c r="T329" s="657"/>
      <c r="U329" s="657"/>
      <c r="V329" s="657"/>
      <c r="W329" s="657"/>
      <c r="X329" s="657"/>
      <c r="Y329" s="657"/>
      <c r="Z329" s="657"/>
      <c r="AA329" s="65"/>
      <c r="AB329" s="65"/>
      <c r="AC329" s="79"/>
    </row>
    <row r="330" spans="1:68" ht="14.25" hidden="1" customHeight="1" x14ac:dyDescent="0.25">
      <c r="A330" s="658" t="s">
        <v>85</v>
      </c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58"/>
      <c r="P330" s="658"/>
      <c r="Q330" s="658"/>
      <c r="R330" s="658"/>
      <c r="S330" s="658"/>
      <c r="T330" s="658"/>
      <c r="U330" s="658"/>
      <c r="V330" s="658"/>
      <c r="W330" s="658"/>
      <c r="X330" s="658"/>
      <c r="Y330" s="658"/>
      <c r="Z330" s="658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653">
        <v>4680115886186</v>
      </c>
      <c r="E331" s="653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76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5"/>
      <c r="R331" s="655"/>
      <c r="S331" s="655"/>
      <c r="T331" s="65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653">
        <v>4680115881228</v>
      </c>
      <c r="E332" s="653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653">
        <v>4680115881211</v>
      </c>
      <c r="E333" s="653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47"/>
      <c r="B334" s="647"/>
      <c r="C334" s="647"/>
      <c r="D334" s="647"/>
      <c r="E334" s="647"/>
      <c r="F334" s="647"/>
      <c r="G334" s="647"/>
      <c r="H334" s="647"/>
      <c r="I334" s="647"/>
      <c r="J334" s="647"/>
      <c r="K334" s="647"/>
      <c r="L334" s="647"/>
      <c r="M334" s="647"/>
      <c r="N334" s="647"/>
      <c r="O334" s="648"/>
      <c r="P334" s="644" t="s">
        <v>40</v>
      </c>
      <c r="Q334" s="645"/>
      <c r="R334" s="645"/>
      <c r="S334" s="645"/>
      <c r="T334" s="645"/>
      <c r="U334" s="645"/>
      <c r="V334" s="64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47"/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8"/>
      <c r="P335" s="644" t="s">
        <v>40</v>
      </c>
      <c r="Q335" s="645"/>
      <c r="R335" s="645"/>
      <c r="S335" s="645"/>
      <c r="T335" s="645"/>
      <c r="U335" s="645"/>
      <c r="V335" s="64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7" t="s">
        <v>564</v>
      </c>
      <c r="B336" s="657"/>
      <c r="C336" s="657"/>
      <c r="D336" s="657"/>
      <c r="E336" s="657"/>
      <c r="F336" s="657"/>
      <c r="G336" s="657"/>
      <c r="H336" s="657"/>
      <c r="I336" s="657"/>
      <c r="J336" s="657"/>
      <c r="K336" s="657"/>
      <c r="L336" s="657"/>
      <c r="M336" s="657"/>
      <c r="N336" s="657"/>
      <c r="O336" s="657"/>
      <c r="P336" s="657"/>
      <c r="Q336" s="657"/>
      <c r="R336" s="657"/>
      <c r="S336" s="657"/>
      <c r="T336" s="657"/>
      <c r="U336" s="657"/>
      <c r="V336" s="657"/>
      <c r="W336" s="657"/>
      <c r="X336" s="657"/>
      <c r="Y336" s="657"/>
      <c r="Z336" s="657"/>
      <c r="AA336" s="65"/>
      <c r="AB336" s="65"/>
      <c r="AC336" s="79"/>
    </row>
    <row r="337" spans="1:68" ht="14.25" hidden="1" customHeight="1" x14ac:dyDescent="0.25">
      <c r="A337" s="658" t="s">
        <v>76</v>
      </c>
      <c r="B337" s="658"/>
      <c r="C337" s="658"/>
      <c r="D337" s="658"/>
      <c r="E337" s="658"/>
      <c r="F337" s="658"/>
      <c r="G337" s="658"/>
      <c r="H337" s="658"/>
      <c r="I337" s="658"/>
      <c r="J337" s="658"/>
      <c r="K337" s="658"/>
      <c r="L337" s="658"/>
      <c r="M337" s="658"/>
      <c r="N337" s="658"/>
      <c r="O337" s="658"/>
      <c r="P337" s="658"/>
      <c r="Q337" s="658"/>
      <c r="R337" s="658"/>
      <c r="S337" s="658"/>
      <c r="T337" s="658"/>
      <c r="U337" s="658"/>
      <c r="V337" s="658"/>
      <c r="W337" s="658"/>
      <c r="X337" s="658"/>
      <c r="Y337" s="658"/>
      <c r="Z337" s="658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653">
        <v>4680115888319</v>
      </c>
      <c r="E338" s="653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76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5"/>
      <c r="R338" s="655"/>
      <c r="S338" s="655"/>
      <c r="T338" s="65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653">
        <v>4680115884700</v>
      </c>
      <c r="E339" s="653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7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653">
        <v>4680115880344</v>
      </c>
      <c r="E340" s="653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653">
        <v>4680115886919</v>
      </c>
      <c r="E341" s="653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653">
        <v>4680115883970</v>
      </c>
      <c r="E342" s="653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7"/>
      <c r="B343" s="647"/>
      <c r="C343" s="647"/>
      <c r="D343" s="647"/>
      <c r="E343" s="647"/>
      <c r="F343" s="647"/>
      <c r="G343" s="647"/>
      <c r="H343" s="647"/>
      <c r="I343" s="647"/>
      <c r="J343" s="647"/>
      <c r="K343" s="647"/>
      <c r="L343" s="647"/>
      <c r="M343" s="647"/>
      <c r="N343" s="647"/>
      <c r="O343" s="648"/>
      <c r="P343" s="644" t="s">
        <v>40</v>
      </c>
      <c r="Q343" s="645"/>
      <c r="R343" s="645"/>
      <c r="S343" s="645"/>
      <c r="T343" s="645"/>
      <c r="U343" s="645"/>
      <c r="V343" s="64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7"/>
      <c r="B344" s="647"/>
      <c r="C344" s="647"/>
      <c r="D344" s="647"/>
      <c r="E344" s="647"/>
      <c r="F344" s="647"/>
      <c r="G344" s="647"/>
      <c r="H344" s="647"/>
      <c r="I344" s="647"/>
      <c r="J344" s="647"/>
      <c r="K344" s="647"/>
      <c r="L344" s="647"/>
      <c r="M344" s="647"/>
      <c r="N344" s="647"/>
      <c r="O344" s="648"/>
      <c r="P344" s="644" t="s">
        <v>40</v>
      </c>
      <c r="Q344" s="645"/>
      <c r="R344" s="645"/>
      <c r="S344" s="645"/>
      <c r="T344" s="645"/>
      <c r="U344" s="645"/>
      <c r="V344" s="64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8" t="s">
        <v>85</v>
      </c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58"/>
      <c r="P345" s="658"/>
      <c r="Q345" s="658"/>
      <c r="R345" s="658"/>
      <c r="S345" s="658"/>
      <c r="T345" s="658"/>
      <c r="U345" s="658"/>
      <c r="V345" s="658"/>
      <c r="W345" s="658"/>
      <c r="X345" s="658"/>
      <c r="Y345" s="658"/>
      <c r="Z345" s="658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47"/>
      <c r="B348" s="647"/>
      <c r="C348" s="647"/>
      <c r="D348" s="647"/>
      <c r="E348" s="647"/>
      <c r="F348" s="647"/>
      <c r="G348" s="647"/>
      <c r="H348" s="647"/>
      <c r="I348" s="647"/>
      <c r="J348" s="647"/>
      <c r="K348" s="647"/>
      <c r="L348" s="647"/>
      <c r="M348" s="647"/>
      <c r="N348" s="647"/>
      <c r="O348" s="648"/>
      <c r="P348" s="644" t="s">
        <v>40</v>
      </c>
      <c r="Q348" s="645"/>
      <c r="R348" s="645"/>
      <c r="S348" s="645"/>
      <c r="T348" s="645"/>
      <c r="U348" s="645"/>
      <c r="V348" s="64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47"/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8"/>
      <c r="P349" s="644" t="s">
        <v>40</v>
      </c>
      <c r="Q349" s="645"/>
      <c r="R349" s="645"/>
      <c r="S349" s="645"/>
      <c r="T349" s="645"/>
      <c r="U349" s="645"/>
      <c r="V349" s="64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7" t="s">
        <v>585</v>
      </c>
      <c r="B350" s="657"/>
      <c r="C350" s="657"/>
      <c r="D350" s="657"/>
      <c r="E350" s="657"/>
      <c r="F350" s="657"/>
      <c r="G350" s="657"/>
      <c r="H350" s="657"/>
      <c r="I350" s="657"/>
      <c r="J350" s="657"/>
      <c r="K350" s="657"/>
      <c r="L350" s="657"/>
      <c r="M350" s="657"/>
      <c r="N350" s="657"/>
      <c r="O350" s="657"/>
      <c r="P350" s="657"/>
      <c r="Q350" s="657"/>
      <c r="R350" s="657"/>
      <c r="S350" s="657"/>
      <c r="T350" s="657"/>
      <c r="U350" s="657"/>
      <c r="V350" s="657"/>
      <c r="W350" s="657"/>
      <c r="X350" s="657"/>
      <c r="Y350" s="657"/>
      <c r="Z350" s="657"/>
      <c r="AA350" s="65"/>
      <c r="AB350" s="65"/>
      <c r="AC350" s="79"/>
    </row>
    <row r="351" spans="1:68" ht="14.25" hidden="1" customHeight="1" x14ac:dyDescent="0.25">
      <c r="A351" s="658" t="s">
        <v>123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6"/>
      <c r="AB351" s="66"/>
      <c r="AC351" s="80"/>
    </row>
    <row r="352" spans="1:68" ht="27" hidden="1" customHeight="1" x14ac:dyDescent="0.25">
      <c r="A352" s="63" t="s">
        <v>586</v>
      </c>
      <c r="B352" s="63" t="s">
        <v>587</v>
      </c>
      <c r="C352" s="36">
        <v>4301012324</v>
      </c>
      <c r="D352" s="653">
        <v>4680115887947</v>
      </c>
      <c r="E352" s="653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5"/>
      <c r="R352" s="655"/>
      <c r="S352" s="655"/>
      <c r="T352" s="65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588</v>
      </c>
      <c r="B353" s="63" t="s">
        <v>589</v>
      </c>
      <c r="C353" s="36">
        <v>4301012325</v>
      </c>
      <c r="D353" s="653">
        <v>4680115887978</v>
      </c>
      <c r="E353" s="653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75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653">
        <v>4680115887992</v>
      </c>
      <c r="E354" s="65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7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5"/>
      <c r="R354" s="655"/>
      <c r="S354" s="655"/>
      <c r="T354" s="65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47"/>
      <c r="B355" s="647"/>
      <c r="C355" s="647"/>
      <c r="D355" s="647"/>
      <c r="E355" s="647"/>
      <c r="F355" s="647"/>
      <c r="G355" s="647"/>
      <c r="H355" s="647"/>
      <c r="I355" s="647"/>
      <c r="J355" s="647"/>
      <c r="K355" s="647"/>
      <c r="L355" s="647"/>
      <c r="M355" s="647"/>
      <c r="N355" s="647"/>
      <c r="O355" s="648"/>
      <c r="P355" s="644" t="s">
        <v>40</v>
      </c>
      <c r="Q355" s="645"/>
      <c r="R355" s="645"/>
      <c r="S355" s="645"/>
      <c r="T355" s="645"/>
      <c r="U355" s="645"/>
      <c r="V355" s="64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47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48"/>
      <c r="P356" s="644" t="s">
        <v>40</v>
      </c>
      <c r="Q356" s="645"/>
      <c r="R356" s="645"/>
      <c r="S356" s="645"/>
      <c r="T356" s="645"/>
      <c r="U356" s="645"/>
      <c r="V356" s="64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7" t="s">
        <v>594</v>
      </c>
      <c r="B357" s="657"/>
      <c r="C357" s="657"/>
      <c r="D357" s="657"/>
      <c r="E357" s="657"/>
      <c r="F357" s="657"/>
      <c r="G357" s="657"/>
      <c r="H357" s="657"/>
      <c r="I357" s="657"/>
      <c r="J357" s="657"/>
      <c r="K357" s="657"/>
      <c r="L357" s="657"/>
      <c r="M357" s="657"/>
      <c r="N357" s="657"/>
      <c r="O357" s="657"/>
      <c r="P357" s="657"/>
      <c r="Q357" s="657"/>
      <c r="R357" s="657"/>
      <c r="S357" s="657"/>
      <c r="T357" s="657"/>
      <c r="U357" s="657"/>
      <c r="V357" s="657"/>
      <c r="W357" s="657"/>
      <c r="X357" s="657"/>
      <c r="Y357" s="657"/>
      <c r="Z357" s="657"/>
      <c r="AA357" s="65"/>
      <c r="AB357" s="65"/>
      <c r="AC357" s="79"/>
    </row>
    <row r="358" spans="1:68" ht="14.25" hidden="1" customHeight="1" x14ac:dyDescent="0.25">
      <c r="A358" s="658" t="s">
        <v>123</v>
      </c>
      <c r="B358" s="658"/>
      <c r="C358" s="658"/>
      <c r="D358" s="658"/>
      <c r="E358" s="658"/>
      <c r="F358" s="658"/>
      <c r="G358" s="658"/>
      <c r="H358" s="658"/>
      <c r="I358" s="658"/>
      <c r="J358" s="658"/>
      <c r="K358" s="658"/>
      <c r="L358" s="658"/>
      <c r="M358" s="658"/>
      <c r="N358" s="658"/>
      <c r="O358" s="658"/>
      <c r="P358" s="658"/>
      <c r="Q358" s="658"/>
      <c r="R358" s="658"/>
      <c r="S358" s="658"/>
      <c r="T358" s="658"/>
      <c r="U358" s="658"/>
      <c r="V358" s="658"/>
      <c r="W358" s="658"/>
      <c r="X358" s="658"/>
      <c r="Y358" s="658"/>
      <c r="Z358" s="658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4301012126</v>
      </c>
      <c r="D359" s="653">
        <v>4607091386004</v>
      </c>
      <c r="E359" s="653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7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655"/>
      <c r="R359" s="655"/>
      <c r="S359" s="655"/>
      <c r="T359" s="656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4301012235</v>
      </c>
      <c r="D360" s="653">
        <v>4680115887190</v>
      </c>
      <c r="E360" s="653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7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655"/>
      <c r="R360" s="655"/>
      <c r="S360" s="655"/>
      <c r="T360" s="656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653">
        <v>4680115887138</v>
      </c>
      <c r="E361" s="65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74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655"/>
      <c r="R361" s="655"/>
      <c r="S361" s="655"/>
      <c r="T361" s="656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653">
        <v>4680115885554</v>
      </c>
      <c r="E362" s="65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75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653">
        <v>4680115887220</v>
      </c>
      <c r="E363" s="653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75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4301011859</v>
      </c>
      <c r="D364" s="653">
        <v>4680115885608</v>
      </c>
      <c r="E364" s="65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hidden="1" x14ac:dyDescent="0.2">
      <c r="A365" s="647"/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8"/>
      <c r="P365" s="644" t="s">
        <v>40</v>
      </c>
      <c r="Q365" s="645"/>
      <c r="R365" s="645"/>
      <c r="S365" s="645"/>
      <c r="T365" s="645"/>
      <c r="U365" s="645"/>
      <c r="V365" s="646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47"/>
      <c r="B366" s="647"/>
      <c r="C366" s="647"/>
      <c r="D366" s="647"/>
      <c r="E366" s="647"/>
      <c r="F366" s="647"/>
      <c r="G366" s="647"/>
      <c r="H366" s="647"/>
      <c r="I366" s="647"/>
      <c r="J366" s="647"/>
      <c r="K366" s="647"/>
      <c r="L366" s="647"/>
      <c r="M366" s="647"/>
      <c r="N366" s="647"/>
      <c r="O366" s="648"/>
      <c r="P366" s="644" t="s">
        <v>40</v>
      </c>
      <c r="Q366" s="645"/>
      <c r="R366" s="645"/>
      <c r="S366" s="645"/>
      <c r="T366" s="645"/>
      <c r="U366" s="645"/>
      <c r="V366" s="646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658" t="s">
        <v>76</v>
      </c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58"/>
      <c r="P367" s="658"/>
      <c r="Q367" s="658"/>
      <c r="R367" s="658"/>
      <c r="S367" s="658"/>
      <c r="T367" s="658"/>
      <c r="U367" s="658"/>
      <c r="V367" s="658"/>
      <c r="W367" s="658"/>
      <c r="X367" s="658"/>
      <c r="Y367" s="658"/>
      <c r="Z367" s="658"/>
      <c r="AA367" s="66"/>
      <c r="AB367" s="66"/>
      <c r="AC367" s="80"/>
    </row>
    <row r="368" spans="1:68" ht="27" hidden="1" customHeight="1" x14ac:dyDescent="0.25">
      <c r="A368" s="63" t="s">
        <v>612</v>
      </c>
      <c r="B368" s="63" t="s">
        <v>613</v>
      </c>
      <c r="C368" s="36">
        <v>4301030878</v>
      </c>
      <c r="D368" s="653">
        <v>4607091387193</v>
      </c>
      <c r="E368" s="653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7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4301031153</v>
      </c>
      <c r="D369" s="653">
        <v>4607091387230</v>
      </c>
      <c r="E369" s="65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653">
        <v>4607091387292</v>
      </c>
      <c r="E370" s="653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621</v>
      </c>
      <c r="B371" s="63" t="s">
        <v>622</v>
      </c>
      <c r="C371" s="36">
        <v>4301031152</v>
      </c>
      <c r="D371" s="653">
        <v>4607091387285</v>
      </c>
      <c r="E371" s="653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hidden="1" customHeight="1" x14ac:dyDescent="0.25">
      <c r="A372" s="63" t="s">
        <v>623</v>
      </c>
      <c r="B372" s="63" t="s">
        <v>624</v>
      </c>
      <c r="C372" s="36">
        <v>4301031305</v>
      </c>
      <c r="D372" s="653">
        <v>4607091389845</v>
      </c>
      <c r="E372" s="653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653">
        <v>4680115887442</v>
      </c>
      <c r="E373" s="653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74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4301031066</v>
      </c>
      <c r="D374" s="653">
        <v>4607091383836</v>
      </c>
      <c r="E374" s="653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7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hidden="1" x14ac:dyDescent="0.2">
      <c r="A375" s="647"/>
      <c r="B375" s="647"/>
      <c r="C375" s="647"/>
      <c r="D375" s="647"/>
      <c r="E375" s="647"/>
      <c r="F375" s="647"/>
      <c r="G375" s="647"/>
      <c r="H375" s="647"/>
      <c r="I375" s="647"/>
      <c r="J375" s="647"/>
      <c r="K375" s="647"/>
      <c r="L375" s="647"/>
      <c r="M375" s="647"/>
      <c r="N375" s="647"/>
      <c r="O375" s="648"/>
      <c r="P375" s="644" t="s">
        <v>40</v>
      </c>
      <c r="Q375" s="645"/>
      <c r="R375" s="645"/>
      <c r="S375" s="645"/>
      <c r="T375" s="645"/>
      <c r="U375" s="645"/>
      <c r="V375" s="646"/>
      <c r="W375" s="42" t="s">
        <v>39</v>
      </c>
      <c r="X375" s="43">
        <f>IFERROR(X368/H368,"0")+IFERROR(X369/H369,"0")+IFERROR(X370/H370,"0")+IFERROR(X371/H371,"0")+IFERROR(X372/H372,"0")+IFERROR(X373/H373,"0")+IFERROR(X374/H374,"0")</f>
        <v>0</v>
      </c>
      <c r="Y375" s="43">
        <f>IFERROR(Y368/H368,"0")+IFERROR(Y369/H369,"0")+IFERROR(Y370/H370,"0")+IFERROR(Y371/H371,"0")+IFERROR(Y372/H372,"0")+IFERROR(Y373/H373,"0")+IFERROR(Y374/H374,"0")</f>
        <v>0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hidden="1" x14ac:dyDescent="0.2">
      <c r="A376" s="647"/>
      <c r="B376" s="647"/>
      <c r="C376" s="647"/>
      <c r="D376" s="647"/>
      <c r="E376" s="647"/>
      <c r="F376" s="647"/>
      <c r="G376" s="647"/>
      <c r="H376" s="647"/>
      <c r="I376" s="647"/>
      <c r="J376" s="647"/>
      <c r="K376" s="647"/>
      <c r="L376" s="647"/>
      <c r="M376" s="647"/>
      <c r="N376" s="647"/>
      <c r="O376" s="648"/>
      <c r="P376" s="644" t="s">
        <v>40</v>
      </c>
      <c r="Q376" s="645"/>
      <c r="R376" s="645"/>
      <c r="S376" s="645"/>
      <c r="T376" s="645"/>
      <c r="U376" s="645"/>
      <c r="V376" s="646"/>
      <c r="W376" s="42" t="s">
        <v>0</v>
      </c>
      <c r="X376" s="43">
        <f>IFERROR(SUM(X368:X374),"0")</f>
        <v>0</v>
      </c>
      <c r="Y376" s="43">
        <f>IFERROR(SUM(Y368:Y374),"0")</f>
        <v>0</v>
      </c>
      <c r="Z376" s="42"/>
      <c r="AA376" s="67"/>
      <c r="AB376" s="67"/>
      <c r="AC376" s="67"/>
    </row>
    <row r="377" spans="1:68" ht="14.25" hidden="1" customHeight="1" x14ac:dyDescent="0.25">
      <c r="A377" s="658" t="s">
        <v>85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6"/>
      <c r="AB377" s="66"/>
      <c r="AC377" s="80"/>
    </row>
    <row r="378" spans="1:68" ht="27" customHeight="1" x14ac:dyDescent="0.25">
      <c r="A378" s="63" t="s">
        <v>631</v>
      </c>
      <c r="B378" s="63" t="s">
        <v>632</v>
      </c>
      <c r="C378" s="36">
        <v>4301051100</v>
      </c>
      <c r="D378" s="653">
        <v>4607091387766</v>
      </c>
      <c r="E378" s="653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73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14800</v>
      </c>
      <c r="Y378" s="55">
        <f>IFERROR(IF(X378="",0,CEILING((X378/$H378),1)*$H378),"")</f>
        <v>14804.4</v>
      </c>
      <c r="Z378" s="41">
        <f>IFERROR(IF(Y378=0,"",ROUNDUP(Y378/H378,0)*0.01898),"")</f>
        <v>36.024039999999999</v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15725.948717948719</v>
      </c>
      <c r="BN378" s="78">
        <f>IFERROR(Y378*I378/H378,"0")</f>
        <v>15730.624000000002</v>
      </c>
      <c r="BO378" s="78">
        <f>IFERROR(1/J378*(X378/H378),"0")</f>
        <v>29.647435897435898</v>
      </c>
      <c r="BP378" s="78">
        <f>IFERROR(1/J378*(Y378/H378),"0")</f>
        <v>29.65625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653">
        <v>4607091387957</v>
      </c>
      <c r="E379" s="653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7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653">
        <v>4607091387964</v>
      </c>
      <c r="E380" s="653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73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640</v>
      </c>
      <c r="B381" s="63" t="s">
        <v>641</v>
      </c>
      <c r="C381" s="36">
        <v>4301051734</v>
      </c>
      <c r="D381" s="653">
        <v>4680115884588</v>
      </c>
      <c r="E381" s="653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7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47"/>
      <c r="B382" s="647"/>
      <c r="C382" s="647"/>
      <c r="D382" s="647"/>
      <c r="E382" s="647"/>
      <c r="F382" s="647"/>
      <c r="G382" s="647"/>
      <c r="H382" s="647"/>
      <c r="I382" s="647"/>
      <c r="J382" s="647"/>
      <c r="K382" s="647"/>
      <c r="L382" s="647"/>
      <c r="M382" s="647"/>
      <c r="N382" s="647"/>
      <c r="O382" s="648"/>
      <c r="P382" s="644" t="s">
        <v>40</v>
      </c>
      <c r="Q382" s="645"/>
      <c r="R382" s="645"/>
      <c r="S382" s="645"/>
      <c r="T382" s="645"/>
      <c r="U382" s="645"/>
      <c r="V382" s="646"/>
      <c r="W382" s="42" t="s">
        <v>39</v>
      </c>
      <c r="X382" s="43">
        <f>IFERROR(X378/H378,"0")+IFERROR(X379/H379,"0")+IFERROR(X380/H380,"0")+IFERROR(X381/H381,"0")</f>
        <v>1897.4358974358975</v>
      </c>
      <c r="Y382" s="43">
        <f>IFERROR(Y378/H378,"0")+IFERROR(Y379/H379,"0")+IFERROR(Y380/H380,"0")+IFERROR(Y381/H381,"0")</f>
        <v>1898</v>
      </c>
      <c r="Z382" s="43">
        <f>IFERROR(IF(Z378="",0,Z378),"0")+IFERROR(IF(Z379="",0,Z379),"0")+IFERROR(IF(Z380="",0,Z380),"0")+IFERROR(IF(Z381="",0,Z381),"0")</f>
        <v>36.024039999999999</v>
      </c>
      <c r="AA382" s="67"/>
      <c r="AB382" s="67"/>
      <c r="AC382" s="67"/>
    </row>
    <row r="383" spans="1:68" x14ac:dyDescent="0.2">
      <c r="A383" s="647"/>
      <c r="B383" s="647"/>
      <c r="C383" s="647"/>
      <c r="D383" s="647"/>
      <c r="E383" s="647"/>
      <c r="F383" s="647"/>
      <c r="G383" s="647"/>
      <c r="H383" s="647"/>
      <c r="I383" s="647"/>
      <c r="J383" s="647"/>
      <c r="K383" s="647"/>
      <c r="L383" s="647"/>
      <c r="M383" s="647"/>
      <c r="N383" s="647"/>
      <c r="O383" s="648"/>
      <c r="P383" s="644" t="s">
        <v>40</v>
      </c>
      <c r="Q383" s="645"/>
      <c r="R383" s="645"/>
      <c r="S383" s="645"/>
      <c r="T383" s="645"/>
      <c r="U383" s="645"/>
      <c r="V383" s="646"/>
      <c r="W383" s="42" t="s">
        <v>0</v>
      </c>
      <c r="X383" s="43">
        <f>IFERROR(SUM(X378:X381),"0")</f>
        <v>14800</v>
      </c>
      <c r="Y383" s="43">
        <f>IFERROR(SUM(Y378:Y381),"0")</f>
        <v>14804.4</v>
      </c>
      <c r="Z383" s="42"/>
      <c r="AA383" s="67"/>
      <c r="AB383" s="67"/>
      <c r="AC383" s="67"/>
    </row>
    <row r="384" spans="1:68" ht="14.25" hidden="1" customHeight="1" x14ac:dyDescent="0.25">
      <c r="A384" s="658" t="s">
        <v>173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4301060387</v>
      </c>
      <c r="D385" s="653">
        <v>4607091380880</v>
      </c>
      <c r="E385" s="653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4301060406</v>
      </c>
      <c r="D386" s="653">
        <v>4607091384482</v>
      </c>
      <c r="E386" s="65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655"/>
      <c r="R386" s="655"/>
      <c r="S386" s="655"/>
      <c r="T386" s="65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4301060484</v>
      </c>
      <c r="D387" s="653">
        <v>4607091380897</v>
      </c>
      <c r="E387" s="653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655"/>
      <c r="R387" s="655"/>
      <c r="S387" s="655"/>
      <c r="T387" s="65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647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48"/>
      <c r="P388" s="644" t="s">
        <v>40</v>
      </c>
      <c r="Q388" s="645"/>
      <c r="R388" s="645"/>
      <c r="S388" s="645"/>
      <c r="T388" s="645"/>
      <c r="U388" s="645"/>
      <c r="V388" s="646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48"/>
      <c r="P389" s="644" t="s">
        <v>40</v>
      </c>
      <c r="Q389" s="645"/>
      <c r="R389" s="645"/>
      <c r="S389" s="645"/>
      <c r="T389" s="645"/>
      <c r="U389" s="645"/>
      <c r="V389" s="646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58" t="s">
        <v>281</v>
      </c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8"/>
      <c r="P390" s="658"/>
      <c r="Q390" s="658"/>
      <c r="R390" s="658"/>
      <c r="S390" s="658"/>
      <c r="T390" s="658"/>
      <c r="U390" s="658"/>
      <c r="V390" s="658"/>
      <c r="W390" s="658"/>
      <c r="X390" s="658"/>
      <c r="Y390" s="658"/>
      <c r="Z390" s="658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653">
        <v>4607091388381</v>
      </c>
      <c r="E391" s="653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653">
        <v>4607091388374</v>
      </c>
      <c r="E392" s="653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653">
        <v>4607091383102</v>
      </c>
      <c r="E393" s="653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655"/>
      <c r="R393" s="655"/>
      <c r="S393" s="655"/>
      <c r="T393" s="65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4301030233</v>
      </c>
      <c r="D394" s="653">
        <v>4607091388404</v>
      </c>
      <c r="E394" s="653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655"/>
      <c r="R394" s="655"/>
      <c r="S394" s="655"/>
      <c r="T394" s="65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47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48"/>
      <c r="P395" s="644" t="s">
        <v>40</v>
      </c>
      <c r="Q395" s="645"/>
      <c r="R395" s="645"/>
      <c r="S395" s="645"/>
      <c r="T395" s="645"/>
      <c r="U395" s="645"/>
      <c r="V395" s="646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48"/>
      <c r="P396" s="644" t="s">
        <v>40</v>
      </c>
      <c r="Q396" s="645"/>
      <c r="R396" s="645"/>
      <c r="S396" s="645"/>
      <c r="T396" s="645"/>
      <c r="U396" s="645"/>
      <c r="V396" s="646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58" t="s">
        <v>660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653">
        <v>4680115881808</v>
      </c>
      <c r="E398" s="653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653">
        <v>4680115881822</v>
      </c>
      <c r="E399" s="65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7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655"/>
      <c r="R399" s="655"/>
      <c r="S399" s="655"/>
      <c r="T399" s="65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653">
        <v>4680115880016</v>
      </c>
      <c r="E400" s="65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7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655"/>
      <c r="R400" s="655"/>
      <c r="S400" s="655"/>
      <c r="T400" s="65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7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48"/>
      <c r="P401" s="644" t="s">
        <v>40</v>
      </c>
      <c r="Q401" s="645"/>
      <c r="R401" s="645"/>
      <c r="S401" s="645"/>
      <c r="T401" s="645"/>
      <c r="U401" s="645"/>
      <c r="V401" s="646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48"/>
      <c r="P402" s="644" t="s">
        <v>40</v>
      </c>
      <c r="Q402" s="645"/>
      <c r="R402" s="645"/>
      <c r="S402" s="645"/>
      <c r="T402" s="645"/>
      <c r="U402" s="645"/>
      <c r="V402" s="646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8" t="s">
        <v>669</v>
      </c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8"/>
      <c r="P403" s="658"/>
      <c r="Q403" s="658"/>
      <c r="R403" s="658"/>
      <c r="S403" s="658"/>
      <c r="T403" s="658"/>
      <c r="U403" s="658"/>
      <c r="V403" s="658"/>
      <c r="W403" s="658"/>
      <c r="X403" s="658"/>
      <c r="Y403" s="658"/>
      <c r="Z403" s="658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653">
        <v>4680115888678</v>
      </c>
      <c r="E404" s="653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653">
        <v>4680115888654</v>
      </c>
      <c r="E405" s="653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653">
        <v>4680115888753</v>
      </c>
      <c r="E406" s="653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655"/>
      <c r="R406" s="655"/>
      <c r="S406" s="655"/>
      <c r="T406" s="65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47"/>
      <c r="B407" s="647"/>
      <c r="C407" s="647"/>
      <c r="D407" s="647"/>
      <c r="E407" s="647"/>
      <c r="F407" s="647"/>
      <c r="G407" s="647"/>
      <c r="H407" s="647"/>
      <c r="I407" s="647"/>
      <c r="J407" s="647"/>
      <c r="K407" s="647"/>
      <c r="L407" s="647"/>
      <c r="M407" s="647"/>
      <c r="N407" s="647"/>
      <c r="O407" s="648"/>
      <c r="P407" s="644" t="s">
        <v>40</v>
      </c>
      <c r="Q407" s="645"/>
      <c r="R407" s="645"/>
      <c r="S407" s="645"/>
      <c r="T407" s="645"/>
      <c r="U407" s="645"/>
      <c r="V407" s="646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47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48"/>
      <c r="P408" s="644" t="s">
        <v>40</v>
      </c>
      <c r="Q408" s="645"/>
      <c r="R408" s="645"/>
      <c r="S408" s="645"/>
      <c r="T408" s="645"/>
      <c r="U408" s="645"/>
      <c r="V408" s="646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657" t="s">
        <v>678</v>
      </c>
      <c r="B409" s="657"/>
      <c r="C409" s="657"/>
      <c r="D409" s="657"/>
      <c r="E409" s="657"/>
      <c r="F409" s="657"/>
      <c r="G409" s="657"/>
      <c r="H409" s="657"/>
      <c r="I409" s="657"/>
      <c r="J409" s="657"/>
      <c r="K409" s="657"/>
      <c r="L409" s="657"/>
      <c r="M409" s="657"/>
      <c r="N409" s="657"/>
      <c r="O409" s="657"/>
      <c r="P409" s="657"/>
      <c r="Q409" s="657"/>
      <c r="R409" s="657"/>
      <c r="S409" s="657"/>
      <c r="T409" s="657"/>
      <c r="U409" s="657"/>
      <c r="V409" s="657"/>
      <c r="W409" s="657"/>
      <c r="X409" s="657"/>
      <c r="Y409" s="657"/>
      <c r="Z409" s="657"/>
      <c r="AA409" s="65"/>
      <c r="AB409" s="65"/>
      <c r="AC409" s="79"/>
    </row>
    <row r="410" spans="1:68" ht="14.25" hidden="1" customHeight="1" x14ac:dyDescent="0.25">
      <c r="A410" s="658" t="s">
        <v>85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653">
        <v>4680115889415</v>
      </c>
      <c r="E411" s="653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72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653">
        <v>4680115889422</v>
      </c>
      <c r="E412" s="65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72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655"/>
      <c r="R412" s="655"/>
      <c r="S412" s="655"/>
      <c r="T412" s="65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47"/>
      <c r="B413" s="647"/>
      <c r="C413" s="647"/>
      <c r="D413" s="647"/>
      <c r="E413" s="647"/>
      <c r="F413" s="647"/>
      <c r="G413" s="647"/>
      <c r="H413" s="647"/>
      <c r="I413" s="647"/>
      <c r="J413" s="647"/>
      <c r="K413" s="647"/>
      <c r="L413" s="647"/>
      <c r="M413" s="647"/>
      <c r="N413" s="647"/>
      <c r="O413" s="648"/>
      <c r="P413" s="644" t="s">
        <v>40</v>
      </c>
      <c r="Q413" s="645"/>
      <c r="R413" s="645"/>
      <c r="S413" s="645"/>
      <c r="T413" s="645"/>
      <c r="U413" s="645"/>
      <c r="V413" s="646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647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48"/>
      <c r="P414" s="644" t="s">
        <v>40</v>
      </c>
      <c r="Q414" s="645"/>
      <c r="R414" s="645"/>
      <c r="S414" s="645"/>
      <c r="T414" s="645"/>
      <c r="U414" s="645"/>
      <c r="V414" s="646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57" t="s">
        <v>685</v>
      </c>
      <c r="B415" s="657"/>
      <c r="C415" s="657"/>
      <c r="D415" s="657"/>
      <c r="E415" s="657"/>
      <c r="F415" s="657"/>
      <c r="G415" s="657"/>
      <c r="H415" s="657"/>
      <c r="I415" s="657"/>
      <c r="J415" s="657"/>
      <c r="K415" s="657"/>
      <c r="L415" s="657"/>
      <c r="M415" s="657"/>
      <c r="N415" s="657"/>
      <c r="O415" s="657"/>
      <c r="P415" s="657"/>
      <c r="Q415" s="657"/>
      <c r="R415" s="657"/>
      <c r="S415" s="657"/>
      <c r="T415" s="657"/>
      <c r="U415" s="657"/>
      <c r="V415" s="657"/>
      <c r="W415" s="657"/>
      <c r="X415" s="657"/>
      <c r="Y415" s="657"/>
      <c r="Z415" s="657"/>
      <c r="AA415" s="65"/>
      <c r="AB415" s="65"/>
      <c r="AC415" s="79"/>
    </row>
    <row r="416" spans="1:68" ht="14.25" hidden="1" customHeight="1" x14ac:dyDescent="0.25">
      <c r="A416" s="658" t="s">
        <v>85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6"/>
      <c r="AB416" s="66"/>
      <c r="AC416" s="80"/>
    </row>
    <row r="417" spans="1:68" ht="27" hidden="1" customHeight="1" x14ac:dyDescent="0.25">
      <c r="A417" s="63" t="s">
        <v>686</v>
      </c>
      <c r="B417" s="63" t="s">
        <v>687</v>
      </c>
      <c r="C417" s="36">
        <v>4301051489</v>
      </c>
      <c r="D417" s="653">
        <v>4607091387919</v>
      </c>
      <c r="E417" s="653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689</v>
      </c>
      <c r="B418" s="63" t="s">
        <v>690</v>
      </c>
      <c r="C418" s="36">
        <v>4301051461</v>
      </c>
      <c r="D418" s="653">
        <v>4680115883604</v>
      </c>
      <c r="E418" s="653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7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655"/>
      <c r="R418" s="655"/>
      <c r="S418" s="655"/>
      <c r="T418" s="65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692</v>
      </c>
      <c r="B419" s="63" t="s">
        <v>693</v>
      </c>
      <c r="C419" s="36">
        <v>4301051864</v>
      </c>
      <c r="D419" s="653">
        <v>4680115883567</v>
      </c>
      <c r="E419" s="653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655"/>
      <c r="R419" s="655"/>
      <c r="S419" s="655"/>
      <c r="T419" s="656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47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48"/>
      <c r="P420" s="644" t="s">
        <v>40</v>
      </c>
      <c r="Q420" s="645"/>
      <c r="R420" s="645"/>
      <c r="S420" s="645"/>
      <c r="T420" s="645"/>
      <c r="U420" s="645"/>
      <c r="V420" s="646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48"/>
      <c r="P421" s="644" t="s">
        <v>40</v>
      </c>
      <c r="Q421" s="645"/>
      <c r="R421" s="645"/>
      <c r="S421" s="645"/>
      <c r="T421" s="645"/>
      <c r="U421" s="645"/>
      <c r="V421" s="646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27.75" hidden="1" customHeight="1" x14ac:dyDescent="0.2">
      <c r="A422" s="664" t="s">
        <v>695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54"/>
      <c r="AB422" s="54"/>
      <c r="AC422" s="54"/>
    </row>
    <row r="423" spans="1:68" ht="16.5" hidden="1" customHeight="1" x14ac:dyDescent="0.25">
      <c r="A423" s="657" t="s">
        <v>696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5"/>
      <c r="AB423" s="65"/>
      <c r="AC423" s="79"/>
    </row>
    <row r="424" spans="1:68" ht="14.25" hidden="1" customHeight="1" x14ac:dyDescent="0.25">
      <c r="A424" s="658" t="s">
        <v>123</v>
      </c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58"/>
      <c r="P424" s="658"/>
      <c r="Q424" s="658"/>
      <c r="R424" s="658"/>
      <c r="S424" s="658"/>
      <c r="T424" s="658"/>
      <c r="U424" s="658"/>
      <c r="V424" s="658"/>
      <c r="W424" s="658"/>
      <c r="X424" s="658"/>
      <c r="Y424" s="658"/>
      <c r="Z424" s="658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653">
        <v>4680115888401</v>
      </c>
      <c r="E425" s="653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7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hidden="1" customHeight="1" x14ac:dyDescent="0.25">
      <c r="A426" s="63" t="s">
        <v>700</v>
      </c>
      <c r="B426" s="63" t="s">
        <v>701</v>
      </c>
      <c r="C426" s="36">
        <v>4301011869</v>
      </c>
      <c r="D426" s="653">
        <v>4680115884847</v>
      </c>
      <c r="E426" s="65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655"/>
      <c r="R426" s="655"/>
      <c r="S426" s="655"/>
      <c r="T426" s="656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4301012083</v>
      </c>
      <c r="D427" s="653">
        <v>4680115884854</v>
      </c>
      <c r="E427" s="65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7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655"/>
      <c r="R427" s="655"/>
      <c r="S427" s="655"/>
      <c r="T427" s="656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4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0</v>
      </c>
      <c r="BN427" s="78">
        <f t="shared" si="66"/>
        <v>0</v>
      </c>
      <c r="BO427" s="78">
        <f t="shared" si="67"/>
        <v>0</v>
      </c>
      <c r="BP427" s="78">
        <f t="shared" si="68"/>
        <v>0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4301011867</v>
      </c>
      <c r="D428" s="653">
        <v>4680115884830</v>
      </c>
      <c r="E428" s="65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655"/>
      <c r="R428" s="655"/>
      <c r="S428" s="655"/>
      <c r="T428" s="656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4301012356</v>
      </c>
      <c r="D429" s="653">
        <v>4680115889231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71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653">
        <v>4680115882638</v>
      </c>
      <c r="E430" s="653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71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653">
        <v>4680115884922</v>
      </c>
      <c r="E431" s="653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7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653">
        <v>4680115884861</v>
      </c>
      <c r="E432" s="65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71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hidden="1" x14ac:dyDescent="0.2">
      <c r="A433" s="647"/>
      <c r="B433" s="647"/>
      <c r="C433" s="647"/>
      <c r="D433" s="647"/>
      <c r="E433" s="647"/>
      <c r="F433" s="647"/>
      <c r="G433" s="647"/>
      <c r="H433" s="647"/>
      <c r="I433" s="647"/>
      <c r="J433" s="647"/>
      <c r="K433" s="647"/>
      <c r="L433" s="647"/>
      <c r="M433" s="647"/>
      <c r="N433" s="647"/>
      <c r="O433" s="648"/>
      <c r="P433" s="644" t="s">
        <v>40</v>
      </c>
      <c r="Q433" s="645"/>
      <c r="R433" s="645"/>
      <c r="S433" s="645"/>
      <c r="T433" s="645"/>
      <c r="U433" s="645"/>
      <c r="V433" s="646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0</v>
      </c>
      <c r="Y433" s="43">
        <f>IFERROR(Y425/H425,"0")+IFERROR(Y426/H426,"0")+IFERROR(Y427/H427,"0")+IFERROR(Y428/H428,"0")+IFERROR(Y429/H429,"0")+IFERROR(Y430/H430,"0")+IFERROR(Y431/H431,"0")+IFERROR(Y432/H432,"0")</f>
        <v>0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647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8"/>
      <c r="P434" s="644" t="s">
        <v>40</v>
      </c>
      <c r="Q434" s="645"/>
      <c r="R434" s="645"/>
      <c r="S434" s="645"/>
      <c r="T434" s="645"/>
      <c r="U434" s="645"/>
      <c r="V434" s="646"/>
      <c r="W434" s="42" t="s">
        <v>0</v>
      </c>
      <c r="X434" s="43">
        <f>IFERROR(SUM(X425:X432),"0")</f>
        <v>0</v>
      </c>
      <c r="Y434" s="43">
        <f>IFERROR(SUM(Y425:Y432),"0")</f>
        <v>0</v>
      </c>
      <c r="Z434" s="42"/>
      <c r="AA434" s="67"/>
      <c r="AB434" s="67"/>
      <c r="AC434" s="67"/>
    </row>
    <row r="435" spans="1:68" ht="14.25" hidden="1" customHeight="1" x14ac:dyDescent="0.25">
      <c r="A435" s="658" t="s">
        <v>156</v>
      </c>
      <c r="B435" s="658"/>
      <c r="C435" s="658"/>
      <c r="D435" s="658"/>
      <c r="E435" s="658"/>
      <c r="F435" s="658"/>
      <c r="G435" s="658"/>
      <c r="H435" s="658"/>
      <c r="I435" s="658"/>
      <c r="J435" s="658"/>
      <c r="K435" s="658"/>
      <c r="L435" s="658"/>
      <c r="M435" s="658"/>
      <c r="N435" s="658"/>
      <c r="O435" s="658"/>
      <c r="P435" s="658"/>
      <c r="Q435" s="658"/>
      <c r="R435" s="658"/>
      <c r="S435" s="658"/>
      <c r="T435" s="658"/>
      <c r="U435" s="658"/>
      <c r="V435" s="658"/>
      <c r="W435" s="658"/>
      <c r="X435" s="658"/>
      <c r="Y435" s="658"/>
      <c r="Z435" s="658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4301020178</v>
      </c>
      <c r="D436" s="653">
        <v>4607091383980</v>
      </c>
      <c r="E436" s="65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7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4301020355</v>
      </c>
      <c r="D437" s="653">
        <v>4680115888425</v>
      </c>
      <c r="E437" s="65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655"/>
      <c r="R437" s="655"/>
      <c r="S437" s="655"/>
      <c r="T437" s="65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653">
        <v>4607091384178</v>
      </c>
      <c r="E438" s="653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7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idden="1" x14ac:dyDescent="0.2">
      <c r="A439" s="647"/>
      <c r="B439" s="647"/>
      <c r="C439" s="647"/>
      <c r="D439" s="647"/>
      <c r="E439" s="647"/>
      <c r="F439" s="647"/>
      <c r="G439" s="647"/>
      <c r="H439" s="647"/>
      <c r="I439" s="647"/>
      <c r="J439" s="647"/>
      <c r="K439" s="647"/>
      <c r="L439" s="647"/>
      <c r="M439" s="647"/>
      <c r="N439" s="647"/>
      <c r="O439" s="648"/>
      <c r="P439" s="644" t="s">
        <v>40</v>
      </c>
      <c r="Q439" s="645"/>
      <c r="R439" s="645"/>
      <c r="S439" s="645"/>
      <c r="T439" s="645"/>
      <c r="U439" s="645"/>
      <c r="V439" s="646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hidden="1" x14ac:dyDescent="0.2">
      <c r="A440" s="647"/>
      <c r="B440" s="647"/>
      <c r="C440" s="647"/>
      <c r="D440" s="647"/>
      <c r="E440" s="647"/>
      <c r="F440" s="647"/>
      <c r="G440" s="647"/>
      <c r="H440" s="647"/>
      <c r="I440" s="647"/>
      <c r="J440" s="647"/>
      <c r="K440" s="647"/>
      <c r="L440" s="647"/>
      <c r="M440" s="647"/>
      <c r="N440" s="647"/>
      <c r="O440" s="648"/>
      <c r="P440" s="644" t="s">
        <v>40</v>
      </c>
      <c r="Q440" s="645"/>
      <c r="R440" s="645"/>
      <c r="S440" s="645"/>
      <c r="T440" s="645"/>
      <c r="U440" s="645"/>
      <c r="V440" s="646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hidden="1" customHeight="1" x14ac:dyDescent="0.25">
      <c r="A441" s="658" t="s">
        <v>85</v>
      </c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8"/>
      <c r="P441" s="658"/>
      <c r="Q441" s="658"/>
      <c r="R441" s="658"/>
      <c r="S441" s="658"/>
      <c r="T441" s="658"/>
      <c r="U441" s="658"/>
      <c r="V441" s="658"/>
      <c r="W441" s="658"/>
      <c r="X441" s="658"/>
      <c r="Y441" s="658"/>
      <c r="Z441" s="658"/>
      <c r="AA441" s="66"/>
      <c r="AB441" s="66"/>
      <c r="AC441" s="80"/>
    </row>
    <row r="442" spans="1:68" ht="27" customHeight="1" x14ac:dyDescent="0.25">
      <c r="A442" s="63" t="s">
        <v>730</v>
      </c>
      <c r="B442" s="63" t="s">
        <v>731</v>
      </c>
      <c r="C442" s="36">
        <v>4301051903</v>
      </c>
      <c r="D442" s="653">
        <v>4607091383928</v>
      </c>
      <c r="E442" s="653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3000</v>
      </c>
      <c r="Y442" s="55">
        <f>IFERROR(IF(X442="",0,CEILING((X442/$H442),1)*$H442),"")</f>
        <v>3006</v>
      </c>
      <c r="Z442" s="41">
        <f>IFERROR(IF(Y442=0,"",ROUNDUP(Y442/H442,0)*0.01898),"")</f>
        <v>6.3393199999999998</v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3166.6666666666665</v>
      </c>
      <c r="BN442" s="78">
        <f>IFERROR(Y442*I442/H442,"0")</f>
        <v>3173</v>
      </c>
      <c r="BO442" s="78">
        <f>IFERROR(1/J442*(X442/H442),"0")</f>
        <v>5.208333333333333</v>
      </c>
      <c r="BP442" s="78">
        <f>IFERROR(1/J442*(Y442/H442),"0")</f>
        <v>5.21875</v>
      </c>
    </row>
    <row r="443" spans="1:68" ht="27" hidden="1" customHeight="1" x14ac:dyDescent="0.25">
      <c r="A443" s="63" t="s">
        <v>733</v>
      </c>
      <c r="B443" s="63" t="s">
        <v>734</v>
      </c>
      <c r="C443" s="36">
        <v>4301051897</v>
      </c>
      <c r="D443" s="653">
        <v>4607091384260</v>
      </c>
      <c r="E443" s="653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653">
        <v>4680115889538</v>
      </c>
      <c r="E444" s="653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47"/>
      <c r="B445" s="647"/>
      <c r="C445" s="647"/>
      <c r="D445" s="647"/>
      <c r="E445" s="647"/>
      <c r="F445" s="647"/>
      <c r="G445" s="647"/>
      <c r="H445" s="647"/>
      <c r="I445" s="647"/>
      <c r="J445" s="647"/>
      <c r="K445" s="647"/>
      <c r="L445" s="647"/>
      <c r="M445" s="647"/>
      <c r="N445" s="647"/>
      <c r="O445" s="648"/>
      <c r="P445" s="644" t="s">
        <v>40</v>
      </c>
      <c r="Q445" s="645"/>
      <c r="R445" s="645"/>
      <c r="S445" s="645"/>
      <c r="T445" s="645"/>
      <c r="U445" s="645"/>
      <c r="V445" s="646"/>
      <c r="W445" s="42" t="s">
        <v>39</v>
      </c>
      <c r="X445" s="43">
        <f>IFERROR(X442/H442,"0")+IFERROR(X443/H443,"0")+IFERROR(X444/H444,"0")</f>
        <v>333.33333333333331</v>
      </c>
      <c r="Y445" s="43">
        <f>IFERROR(Y442/H442,"0")+IFERROR(Y443/H443,"0")+IFERROR(Y444/H444,"0")</f>
        <v>334</v>
      </c>
      <c r="Z445" s="43">
        <f>IFERROR(IF(Z442="",0,Z442),"0")+IFERROR(IF(Z443="",0,Z443),"0")+IFERROR(IF(Z444="",0,Z444),"0")</f>
        <v>6.3393199999999998</v>
      </c>
      <c r="AA445" s="67"/>
      <c r="AB445" s="67"/>
      <c r="AC445" s="67"/>
    </row>
    <row r="446" spans="1:68" x14ac:dyDescent="0.2">
      <c r="A446" s="647"/>
      <c r="B446" s="647"/>
      <c r="C446" s="647"/>
      <c r="D446" s="647"/>
      <c r="E446" s="647"/>
      <c r="F446" s="647"/>
      <c r="G446" s="647"/>
      <c r="H446" s="647"/>
      <c r="I446" s="647"/>
      <c r="J446" s="647"/>
      <c r="K446" s="647"/>
      <c r="L446" s="647"/>
      <c r="M446" s="647"/>
      <c r="N446" s="647"/>
      <c r="O446" s="648"/>
      <c r="P446" s="644" t="s">
        <v>40</v>
      </c>
      <c r="Q446" s="645"/>
      <c r="R446" s="645"/>
      <c r="S446" s="645"/>
      <c r="T446" s="645"/>
      <c r="U446" s="645"/>
      <c r="V446" s="646"/>
      <c r="W446" s="42" t="s">
        <v>0</v>
      </c>
      <c r="X446" s="43">
        <f>IFERROR(SUM(X442:X444),"0")</f>
        <v>3000</v>
      </c>
      <c r="Y446" s="43">
        <f>IFERROR(SUM(Y442:Y444),"0")</f>
        <v>3006</v>
      </c>
      <c r="Z446" s="42"/>
      <c r="AA446" s="67"/>
      <c r="AB446" s="67"/>
      <c r="AC446" s="67"/>
    </row>
    <row r="447" spans="1:68" ht="14.25" hidden="1" customHeight="1" x14ac:dyDescent="0.25">
      <c r="A447" s="658" t="s">
        <v>173</v>
      </c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8"/>
      <c r="P447" s="658"/>
      <c r="Q447" s="658"/>
      <c r="R447" s="658"/>
      <c r="S447" s="658"/>
      <c r="T447" s="658"/>
      <c r="U447" s="658"/>
      <c r="V447" s="658"/>
      <c r="W447" s="658"/>
      <c r="X447" s="658"/>
      <c r="Y447" s="658"/>
      <c r="Z447" s="658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653">
        <v>4680115889545</v>
      </c>
      <c r="E448" s="653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742</v>
      </c>
      <c r="B449" s="63" t="s">
        <v>743</v>
      </c>
      <c r="C449" s="36">
        <v>4301060524</v>
      </c>
      <c r="D449" s="653">
        <v>4607091384673</v>
      </c>
      <c r="E449" s="65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47"/>
      <c r="B450" s="647"/>
      <c r="C450" s="647"/>
      <c r="D450" s="647"/>
      <c r="E450" s="647"/>
      <c r="F450" s="647"/>
      <c r="G450" s="647"/>
      <c r="H450" s="647"/>
      <c r="I450" s="647"/>
      <c r="J450" s="647"/>
      <c r="K450" s="647"/>
      <c r="L450" s="647"/>
      <c r="M450" s="647"/>
      <c r="N450" s="647"/>
      <c r="O450" s="648"/>
      <c r="P450" s="644" t="s">
        <v>40</v>
      </c>
      <c r="Q450" s="645"/>
      <c r="R450" s="645"/>
      <c r="S450" s="645"/>
      <c r="T450" s="645"/>
      <c r="U450" s="645"/>
      <c r="V450" s="646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647"/>
      <c r="B451" s="647"/>
      <c r="C451" s="647"/>
      <c r="D451" s="647"/>
      <c r="E451" s="647"/>
      <c r="F451" s="647"/>
      <c r="G451" s="647"/>
      <c r="H451" s="647"/>
      <c r="I451" s="647"/>
      <c r="J451" s="647"/>
      <c r="K451" s="647"/>
      <c r="L451" s="647"/>
      <c r="M451" s="647"/>
      <c r="N451" s="647"/>
      <c r="O451" s="648"/>
      <c r="P451" s="644" t="s">
        <v>40</v>
      </c>
      <c r="Q451" s="645"/>
      <c r="R451" s="645"/>
      <c r="S451" s="645"/>
      <c r="T451" s="645"/>
      <c r="U451" s="645"/>
      <c r="V451" s="646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657" t="s">
        <v>745</v>
      </c>
      <c r="B452" s="657"/>
      <c r="C452" s="657"/>
      <c r="D452" s="657"/>
      <c r="E452" s="657"/>
      <c r="F452" s="657"/>
      <c r="G452" s="657"/>
      <c r="H452" s="657"/>
      <c r="I452" s="657"/>
      <c r="J452" s="657"/>
      <c r="K452" s="657"/>
      <c r="L452" s="657"/>
      <c r="M452" s="657"/>
      <c r="N452" s="657"/>
      <c r="O452" s="657"/>
      <c r="P452" s="657"/>
      <c r="Q452" s="657"/>
      <c r="R452" s="657"/>
      <c r="S452" s="657"/>
      <c r="T452" s="657"/>
      <c r="U452" s="657"/>
      <c r="V452" s="657"/>
      <c r="W452" s="657"/>
      <c r="X452" s="657"/>
      <c r="Y452" s="657"/>
      <c r="Z452" s="657"/>
      <c r="AA452" s="65"/>
      <c r="AB452" s="65"/>
      <c r="AC452" s="79"/>
    </row>
    <row r="453" spans="1:68" ht="14.25" hidden="1" customHeight="1" x14ac:dyDescent="0.25">
      <c r="A453" s="658" t="s">
        <v>123</v>
      </c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8"/>
      <c r="P453" s="658"/>
      <c r="Q453" s="658"/>
      <c r="R453" s="658"/>
      <c r="S453" s="658"/>
      <c r="T453" s="658"/>
      <c r="U453" s="658"/>
      <c r="V453" s="658"/>
      <c r="W453" s="658"/>
      <c r="X453" s="658"/>
      <c r="Y453" s="658"/>
      <c r="Z453" s="658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653">
        <v>4680115884885</v>
      </c>
      <c r="E454" s="653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655"/>
      <c r="R454" s="655"/>
      <c r="S454" s="655"/>
      <c r="T454" s="65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653">
        <v>4680115884908</v>
      </c>
      <c r="E455" s="653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47"/>
      <c r="B456" s="647"/>
      <c r="C456" s="647"/>
      <c r="D456" s="647"/>
      <c r="E456" s="647"/>
      <c r="F456" s="647"/>
      <c r="G456" s="647"/>
      <c r="H456" s="647"/>
      <c r="I456" s="647"/>
      <c r="J456" s="647"/>
      <c r="K456" s="647"/>
      <c r="L456" s="647"/>
      <c r="M456" s="647"/>
      <c r="N456" s="647"/>
      <c r="O456" s="648"/>
      <c r="P456" s="644" t="s">
        <v>40</v>
      </c>
      <c r="Q456" s="645"/>
      <c r="R456" s="645"/>
      <c r="S456" s="645"/>
      <c r="T456" s="645"/>
      <c r="U456" s="645"/>
      <c r="V456" s="646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47"/>
      <c r="B457" s="647"/>
      <c r="C457" s="647"/>
      <c r="D457" s="647"/>
      <c r="E457" s="647"/>
      <c r="F457" s="647"/>
      <c r="G457" s="647"/>
      <c r="H457" s="647"/>
      <c r="I457" s="647"/>
      <c r="J457" s="647"/>
      <c r="K457" s="647"/>
      <c r="L457" s="647"/>
      <c r="M457" s="647"/>
      <c r="N457" s="647"/>
      <c r="O457" s="648"/>
      <c r="P457" s="644" t="s">
        <v>40</v>
      </c>
      <c r="Q457" s="645"/>
      <c r="R457" s="645"/>
      <c r="S457" s="645"/>
      <c r="T457" s="645"/>
      <c r="U457" s="645"/>
      <c r="V457" s="646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58" t="s">
        <v>76</v>
      </c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8"/>
      <c r="P458" s="658"/>
      <c r="Q458" s="658"/>
      <c r="R458" s="658"/>
      <c r="S458" s="658"/>
      <c r="T458" s="658"/>
      <c r="U458" s="658"/>
      <c r="V458" s="658"/>
      <c r="W458" s="658"/>
      <c r="X458" s="658"/>
      <c r="Y458" s="658"/>
      <c r="Z458" s="658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653">
        <v>4607091384802</v>
      </c>
      <c r="E459" s="653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48"/>
      <c r="P460" s="644" t="s">
        <v>40</v>
      </c>
      <c r="Q460" s="645"/>
      <c r="R460" s="645"/>
      <c r="S460" s="645"/>
      <c r="T460" s="645"/>
      <c r="U460" s="645"/>
      <c r="V460" s="646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647"/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8"/>
      <c r="P461" s="644" t="s">
        <v>40</v>
      </c>
      <c r="Q461" s="645"/>
      <c r="R461" s="645"/>
      <c r="S461" s="645"/>
      <c r="T461" s="645"/>
      <c r="U461" s="645"/>
      <c r="V461" s="646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58" t="s">
        <v>85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6"/>
      <c r="AB462" s="66"/>
      <c r="AC462" s="80"/>
    </row>
    <row r="463" spans="1:68" ht="27" hidden="1" customHeight="1" x14ac:dyDescent="0.25">
      <c r="A463" s="63" t="s">
        <v>754</v>
      </c>
      <c r="B463" s="63" t="s">
        <v>755</v>
      </c>
      <c r="C463" s="36">
        <v>4301051899</v>
      </c>
      <c r="D463" s="653">
        <v>4607091384246</v>
      </c>
      <c r="E463" s="653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653">
        <v>4607091384253</v>
      </c>
      <c r="E464" s="653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655"/>
      <c r="R464" s="655"/>
      <c r="S464" s="655"/>
      <c r="T464" s="65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653">
        <v>4607091384253</v>
      </c>
      <c r="E465" s="65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6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655"/>
      <c r="R465" s="655"/>
      <c r="S465" s="655"/>
      <c r="T465" s="65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47"/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8"/>
      <c r="P466" s="644" t="s">
        <v>40</v>
      </c>
      <c r="Q466" s="645"/>
      <c r="R466" s="645"/>
      <c r="S466" s="645"/>
      <c r="T466" s="645"/>
      <c r="U466" s="645"/>
      <c r="V466" s="646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hidden="1" x14ac:dyDescent="0.2">
      <c r="A467" s="647"/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8"/>
      <c r="P467" s="644" t="s">
        <v>40</v>
      </c>
      <c r="Q467" s="645"/>
      <c r="R467" s="645"/>
      <c r="S467" s="645"/>
      <c r="T467" s="645"/>
      <c r="U467" s="645"/>
      <c r="V467" s="646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hidden="1" customHeight="1" x14ac:dyDescent="0.2">
      <c r="A468" s="664" t="s">
        <v>761</v>
      </c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4"/>
      <c r="P468" s="664"/>
      <c r="Q468" s="664"/>
      <c r="R468" s="664"/>
      <c r="S468" s="664"/>
      <c r="T468" s="664"/>
      <c r="U468" s="664"/>
      <c r="V468" s="664"/>
      <c r="W468" s="664"/>
      <c r="X468" s="664"/>
      <c r="Y468" s="664"/>
      <c r="Z468" s="664"/>
      <c r="AA468" s="54"/>
      <c r="AB468" s="54"/>
      <c r="AC468" s="54"/>
    </row>
    <row r="469" spans="1:68" ht="16.5" hidden="1" customHeight="1" x14ac:dyDescent="0.25">
      <c r="A469" s="657" t="s">
        <v>762</v>
      </c>
      <c r="B469" s="657"/>
      <c r="C469" s="657"/>
      <c r="D469" s="657"/>
      <c r="E469" s="657"/>
      <c r="F469" s="657"/>
      <c r="G469" s="657"/>
      <c r="H469" s="657"/>
      <c r="I469" s="657"/>
      <c r="J469" s="657"/>
      <c r="K469" s="657"/>
      <c r="L469" s="657"/>
      <c r="M469" s="657"/>
      <c r="N469" s="657"/>
      <c r="O469" s="657"/>
      <c r="P469" s="657"/>
      <c r="Q469" s="657"/>
      <c r="R469" s="657"/>
      <c r="S469" s="657"/>
      <c r="T469" s="657"/>
      <c r="U469" s="657"/>
      <c r="V469" s="657"/>
      <c r="W469" s="657"/>
      <c r="X469" s="657"/>
      <c r="Y469" s="657"/>
      <c r="Z469" s="657"/>
      <c r="AA469" s="65"/>
      <c r="AB469" s="65"/>
      <c r="AC469" s="79"/>
    </row>
    <row r="470" spans="1:68" ht="14.25" hidden="1" customHeight="1" x14ac:dyDescent="0.25">
      <c r="A470" s="658" t="s">
        <v>76</v>
      </c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58"/>
      <c r="P470" s="658"/>
      <c r="Q470" s="658"/>
      <c r="R470" s="658"/>
      <c r="S470" s="658"/>
      <c r="T470" s="658"/>
      <c r="U470" s="658"/>
      <c r="V470" s="658"/>
      <c r="W470" s="658"/>
      <c r="X470" s="658"/>
      <c r="Y470" s="658"/>
      <c r="Z470" s="658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653">
        <v>4680115886100</v>
      </c>
      <c r="E471" s="653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6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655"/>
      <c r="R471" s="655"/>
      <c r="S471" s="655"/>
      <c r="T471" s="656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653">
        <v>4680115886124</v>
      </c>
      <c r="E472" s="65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653">
        <v>4607091384338</v>
      </c>
      <c r="E473" s="653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655"/>
      <c r="R473" s="655"/>
      <c r="S473" s="655"/>
      <c r="T473" s="65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653">
        <v>4680115883161</v>
      </c>
      <c r="E474" s="653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655"/>
      <c r="R474" s="655"/>
      <c r="S474" s="655"/>
      <c r="T474" s="65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653">
        <v>4607091389531</v>
      </c>
      <c r="E475" s="653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653">
        <v>4607091384345</v>
      </c>
      <c r="E476" s="65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647"/>
      <c r="B477" s="647"/>
      <c r="C477" s="647"/>
      <c r="D477" s="647"/>
      <c r="E477" s="647"/>
      <c r="F477" s="647"/>
      <c r="G477" s="647"/>
      <c r="H477" s="647"/>
      <c r="I477" s="647"/>
      <c r="J477" s="647"/>
      <c r="K477" s="647"/>
      <c r="L477" s="647"/>
      <c r="M477" s="647"/>
      <c r="N477" s="647"/>
      <c r="O477" s="648"/>
      <c r="P477" s="644" t="s">
        <v>40</v>
      </c>
      <c r="Q477" s="645"/>
      <c r="R477" s="645"/>
      <c r="S477" s="645"/>
      <c r="T477" s="645"/>
      <c r="U477" s="645"/>
      <c r="V477" s="646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47"/>
      <c r="B478" s="647"/>
      <c r="C478" s="647"/>
      <c r="D478" s="647"/>
      <c r="E478" s="647"/>
      <c r="F478" s="647"/>
      <c r="G478" s="647"/>
      <c r="H478" s="647"/>
      <c r="I478" s="647"/>
      <c r="J478" s="647"/>
      <c r="K478" s="647"/>
      <c r="L478" s="647"/>
      <c r="M478" s="647"/>
      <c r="N478" s="647"/>
      <c r="O478" s="648"/>
      <c r="P478" s="644" t="s">
        <v>40</v>
      </c>
      <c r="Q478" s="645"/>
      <c r="R478" s="645"/>
      <c r="S478" s="645"/>
      <c r="T478" s="645"/>
      <c r="U478" s="645"/>
      <c r="V478" s="646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658" t="s">
        <v>85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653">
        <v>4607091384352</v>
      </c>
      <c r="E480" s="653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653">
        <v>4607091389654</v>
      </c>
      <c r="E481" s="653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69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655"/>
      <c r="R481" s="655"/>
      <c r="S481" s="655"/>
      <c r="T481" s="65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647"/>
      <c r="B482" s="647"/>
      <c r="C482" s="647"/>
      <c r="D482" s="647"/>
      <c r="E482" s="647"/>
      <c r="F482" s="647"/>
      <c r="G482" s="647"/>
      <c r="H482" s="647"/>
      <c r="I482" s="647"/>
      <c r="J482" s="647"/>
      <c r="K482" s="647"/>
      <c r="L482" s="647"/>
      <c r="M482" s="647"/>
      <c r="N482" s="647"/>
      <c r="O482" s="648"/>
      <c r="P482" s="644" t="s">
        <v>40</v>
      </c>
      <c r="Q482" s="645"/>
      <c r="R482" s="645"/>
      <c r="S482" s="645"/>
      <c r="T482" s="645"/>
      <c r="U482" s="645"/>
      <c r="V482" s="646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647"/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8"/>
      <c r="P483" s="644" t="s">
        <v>40</v>
      </c>
      <c r="Q483" s="645"/>
      <c r="R483" s="645"/>
      <c r="S483" s="645"/>
      <c r="T483" s="645"/>
      <c r="U483" s="645"/>
      <c r="V483" s="646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657" t="s">
        <v>785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5"/>
      <c r="AB484" s="65"/>
      <c r="AC484" s="79"/>
    </row>
    <row r="485" spans="1:68" ht="14.25" hidden="1" customHeight="1" x14ac:dyDescent="0.25">
      <c r="A485" s="658" t="s">
        <v>156</v>
      </c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8"/>
      <c r="P485" s="658"/>
      <c r="Q485" s="658"/>
      <c r="R485" s="658"/>
      <c r="S485" s="658"/>
      <c r="T485" s="658"/>
      <c r="U485" s="658"/>
      <c r="V485" s="658"/>
      <c r="W485" s="658"/>
      <c r="X485" s="658"/>
      <c r="Y485" s="658"/>
      <c r="Z485" s="658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653">
        <v>4680115885240</v>
      </c>
      <c r="E486" s="653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6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47"/>
      <c r="B487" s="647"/>
      <c r="C487" s="647"/>
      <c r="D487" s="647"/>
      <c r="E487" s="647"/>
      <c r="F487" s="647"/>
      <c r="G487" s="647"/>
      <c r="H487" s="647"/>
      <c r="I487" s="647"/>
      <c r="J487" s="647"/>
      <c r="K487" s="647"/>
      <c r="L487" s="647"/>
      <c r="M487" s="647"/>
      <c r="N487" s="647"/>
      <c r="O487" s="648"/>
      <c r="P487" s="644" t="s">
        <v>40</v>
      </c>
      <c r="Q487" s="645"/>
      <c r="R487" s="645"/>
      <c r="S487" s="645"/>
      <c r="T487" s="645"/>
      <c r="U487" s="645"/>
      <c r="V487" s="646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647"/>
      <c r="B488" s="647"/>
      <c r="C488" s="647"/>
      <c r="D488" s="647"/>
      <c r="E488" s="647"/>
      <c r="F488" s="647"/>
      <c r="G488" s="647"/>
      <c r="H488" s="647"/>
      <c r="I488" s="647"/>
      <c r="J488" s="647"/>
      <c r="K488" s="647"/>
      <c r="L488" s="647"/>
      <c r="M488" s="647"/>
      <c r="N488" s="647"/>
      <c r="O488" s="648"/>
      <c r="P488" s="644" t="s">
        <v>40</v>
      </c>
      <c r="Q488" s="645"/>
      <c r="R488" s="645"/>
      <c r="S488" s="645"/>
      <c r="T488" s="645"/>
      <c r="U488" s="645"/>
      <c r="V488" s="646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58" t="s">
        <v>76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6"/>
      <c r="AB489" s="66"/>
      <c r="AC489" s="80"/>
    </row>
    <row r="490" spans="1:68" ht="27" hidden="1" customHeight="1" x14ac:dyDescent="0.25">
      <c r="A490" s="63" t="s">
        <v>789</v>
      </c>
      <c r="B490" s="63" t="s">
        <v>790</v>
      </c>
      <c r="C490" s="36">
        <v>4301031407</v>
      </c>
      <c r="D490" s="653">
        <v>4680115886094</v>
      </c>
      <c r="E490" s="653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653">
        <v>4680115880771</v>
      </c>
      <c r="E491" s="653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6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655"/>
      <c r="R491" s="655"/>
      <c r="S491" s="655"/>
      <c r="T491" s="65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653">
        <v>4607091389500</v>
      </c>
      <c r="E492" s="653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655"/>
      <c r="R492" s="655"/>
      <c r="S492" s="655"/>
      <c r="T492" s="65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47"/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8"/>
      <c r="P493" s="644" t="s">
        <v>40</v>
      </c>
      <c r="Q493" s="645"/>
      <c r="R493" s="645"/>
      <c r="S493" s="645"/>
      <c r="T493" s="645"/>
      <c r="U493" s="645"/>
      <c r="V493" s="646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647"/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8"/>
      <c r="P494" s="644" t="s">
        <v>40</v>
      </c>
      <c r="Q494" s="645"/>
      <c r="R494" s="645"/>
      <c r="S494" s="645"/>
      <c r="T494" s="645"/>
      <c r="U494" s="645"/>
      <c r="V494" s="646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hidden="1" customHeight="1" x14ac:dyDescent="0.2">
      <c r="A495" s="664" t="s">
        <v>797</v>
      </c>
      <c r="B495" s="664"/>
      <c r="C495" s="664"/>
      <c r="D495" s="664"/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4"/>
      <c r="P495" s="664"/>
      <c r="Q495" s="664"/>
      <c r="R495" s="664"/>
      <c r="S495" s="664"/>
      <c r="T495" s="664"/>
      <c r="U495" s="664"/>
      <c r="V495" s="664"/>
      <c r="W495" s="664"/>
      <c r="X495" s="664"/>
      <c r="Y495" s="664"/>
      <c r="Z495" s="664"/>
      <c r="AA495" s="54"/>
      <c r="AB495" s="54"/>
      <c r="AC495" s="54"/>
    </row>
    <row r="496" spans="1:68" ht="16.5" hidden="1" customHeight="1" x14ac:dyDescent="0.25">
      <c r="A496" s="657" t="s">
        <v>797</v>
      </c>
      <c r="B496" s="657"/>
      <c r="C496" s="657"/>
      <c r="D496" s="657"/>
      <c r="E496" s="657"/>
      <c r="F496" s="657"/>
      <c r="G496" s="657"/>
      <c r="H496" s="657"/>
      <c r="I496" s="657"/>
      <c r="J496" s="657"/>
      <c r="K496" s="657"/>
      <c r="L496" s="657"/>
      <c r="M496" s="657"/>
      <c r="N496" s="657"/>
      <c r="O496" s="657"/>
      <c r="P496" s="657"/>
      <c r="Q496" s="657"/>
      <c r="R496" s="657"/>
      <c r="S496" s="657"/>
      <c r="T496" s="657"/>
      <c r="U496" s="657"/>
      <c r="V496" s="657"/>
      <c r="W496" s="657"/>
      <c r="X496" s="657"/>
      <c r="Y496" s="657"/>
      <c r="Z496" s="657"/>
      <c r="AA496" s="65"/>
      <c r="AB496" s="65"/>
      <c r="AC496" s="79"/>
    </row>
    <row r="497" spans="1:68" ht="14.25" hidden="1" customHeight="1" x14ac:dyDescent="0.25">
      <c r="A497" s="658" t="s">
        <v>123</v>
      </c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58"/>
      <c r="P497" s="658"/>
      <c r="Q497" s="658"/>
      <c r="R497" s="658"/>
      <c r="S497" s="658"/>
      <c r="T497" s="658"/>
      <c r="U497" s="658"/>
      <c r="V497" s="658"/>
      <c r="W497" s="658"/>
      <c r="X497" s="658"/>
      <c r="Y497" s="658"/>
      <c r="Z497" s="658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4301011769</v>
      </c>
      <c r="D498" s="653">
        <v>4607091389067</v>
      </c>
      <c r="E498" s="653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653">
        <v>4680115889576</v>
      </c>
      <c r="E499" s="65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655"/>
      <c r="R499" s="655"/>
      <c r="S499" s="655"/>
      <c r="T499" s="65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653">
        <v>4680115885271</v>
      </c>
      <c r="E500" s="65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655"/>
      <c r="R500" s="655"/>
      <c r="S500" s="655"/>
      <c r="T500" s="656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4301011369</v>
      </c>
      <c r="D501" s="653">
        <v>4680115885226</v>
      </c>
      <c r="E501" s="65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655"/>
      <c r="R501" s="655"/>
      <c r="S501" s="655"/>
      <c r="T501" s="656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4"/>
        <v>0</v>
      </c>
      <c r="Z501" s="41" t="str">
        <f t="shared" si="75"/>
        <v/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0</v>
      </c>
      <c r="BN501" s="78">
        <f t="shared" si="77"/>
        <v>0</v>
      </c>
      <c r="BO501" s="78">
        <f t="shared" si="78"/>
        <v>0</v>
      </c>
      <c r="BP501" s="78">
        <f t="shared" si="79"/>
        <v>0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653">
        <v>4680115884502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hidden="1" customHeight="1" x14ac:dyDescent="0.25">
      <c r="A503" s="63" t="s">
        <v>812</v>
      </c>
      <c r="B503" s="63" t="s">
        <v>813</v>
      </c>
      <c r="C503" s="36">
        <v>4301011771</v>
      </c>
      <c r="D503" s="653">
        <v>4607091389104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4"/>
        <v>0</v>
      </c>
      <c r="Z503" s="41" t="str">
        <f t="shared" si="75"/>
        <v/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0</v>
      </c>
      <c r="BN503" s="78">
        <f t="shared" si="77"/>
        <v>0</v>
      </c>
      <c r="BO503" s="78">
        <f t="shared" si="78"/>
        <v>0</v>
      </c>
      <c r="BP503" s="78">
        <f t="shared" si="79"/>
        <v>0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653">
        <v>4680115886391</v>
      </c>
      <c r="E504" s="653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817</v>
      </c>
      <c r="B505" s="63" t="s">
        <v>818</v>
      </c>
      <c r="C505" s="36">
        <v>4301012048</v>
      </c>
      <c r="D505" s="653">
        <v>4680115880603</v>
      </c>
      <c r="E505" s="653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819</v>
      </c>
      <c r="B506" s="63" t="s">
        <v>820</v>
      </c>
      <c r="C506" s="36">
        <v>4301012034</v>
      </c>
      <c r="D506" s="653">
        <v>4607091389982</v>
      </c>
      <c r="E506" s="65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hidden="1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48"/>
      <c r="P507" s="644" t="s">
        <v>40</v>
      </c>
      <c r="Q507" s="645"/>
      <c r="R507" s="645"/>
      <c r="S507" s="645"/>
      <c r="T507" s="645"/>
      <c r="U507" s="645"/>
      <c r="V507" s="646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0</v>
      </c>
      <c r="Y507" s="43">
        <f>IFERROR(Y498/H498,"0")+IFERROR(Y499/H499,"0")+IFERROR(Y500/H500,"0")+IFERROR(Y501/H501,"0")+IFERROR(Y502/H502,"0")+IFERROR(Y503/H503,"0")+IFERROR(Y504/H504,"0")+IFERROR(Y505/H505,"0")+IFERROR(Y506/H506,"0")</f>
        <v>0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</v>
      </c>
      <c r="AA507" s="67"/>
      <c r="AB507" s="67"/>
      <c r="AC507" s="67"/>
    </row>
    <row r="508" spans="1:68" hidden="1" x14ac:dyDescent="0.2">
      <c r="A508" s="647"/>
      <c r="B508" s="647"/>
      <c r="C508" s="647"/>
      <c r="D508" s="647"/>
      <c r="E508" s="647"/>
      <c r="F508" s="647"/>
      <c r="G508" s="647"/>
      <c r="H508" s="647"/>
      <c r="I508" s="647"/>
      <c r="J508" s="647"/>
      <c r="K508" s="647"/>
      <c r="L508" s="647"/>
      <c r="M508" s="647"/>
      <c r="N508" s="647"/>
      <c r="O508" s="648"/>
      <c r="P508" s="644" t="s">
        <v>40</v>
      </c>
      <c r="Q508" s="645"/>
      <c r="R508" s="645"/>
      <c r="S508" s="645"/>
      <c r="T508" s="645"/>
      <c r="U508" s="645"/>
      <c r="V508" s="646"/>
      <c r="W508" s="42" t="s">
        <v>0</v>
      </c>
      <c r="X508" s="43">
        <f>IFERROR(SUM(X498:X506),"0")</f>
        <v>0</v>
      </c>
      <c r="Y508" s="43">
        <f>IFERROR(SUM(Y498:Y506),"0")</f>
        <v>0</v>
      </c>
      <c r="Z508" s="42"/>
      <c r="AA508" s="67"/>
      <c r="AB508" s="67"/>
      <c r="AC508" s="67"/>
    </row>
    <row r="509" spans="1:68" ht="14.25" hidden="1" customHeight="1" x14ac:dyDescent="0.25">
      <c r="A509" s="658" t="s">
        <v>156</v>
      </c>
      <c r="B509" s="658"/>
      <c r="C509" s="658"/>
      <c r="D509" s="658"/>
      <c r="E509" s="658"/>
      <c r="F509" s="658"/>
      <c r="G509" s="658"/>
      <c r="H509" s="658"/>
      <c r="I509" s="658"/>
      <c r="J509" s="658"/>
      <c r="K509" s="658"/>
      <c r="L509" s="658"/>
      <c r="M509" s="658"/>
      <c r="N509" s="658"/>
      <c r="O509" s="658"/>
      <c r="P509" s="658"/>
      <c r="Q509" s="658"/>
      <c r="R509" s="658"/>
      <c r="S509" s="658"/>
      <c r="T509" s="658"/>
      <c r="U509" s="658"/>
      <c r="V509" s="658"/>
      <c r="W509" s="658"/>
      <c r="X509" s="658"/>
      <c r="Y509" s="658"/>
      <c r="Z509" s="658"/>
      <c r="AA509" s="66"/>
      <c r="AB509" s="66"/>
      <c r="AC509" s="80"/>
    </row>
    <row r="510" spans="1:68" ht="16.5" hidden="1" customHeight="1" x14ac:dyDescent="0.25">
      <c r="A510" s="63" t="s">
        <v>821</v>
      </c>
      <c r="B510" s="63" t="s">
        <v>822</v>
      </c>
      <c r="C510" s="36">
        <v>4301020334</v>
      </c>
      <c r="D510" s="653">
        <v>4607091388930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653">
        <v>4680115886407</v>
      </c>
      <c r="E511" s="65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6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4301020385</v>
      </c>
      <c r="D512" s="653">
        <v>4680115880054</v>
      </c>
      <c r="E512" s="65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6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47"/>
      <c r="B513" s="647"/>
      <c r="C513" s="647"/>
      <c r="D513" s="647"/>
      <c r="E513" s="647"/>
      <c r="F513" s="647"/>
      <c r="G513" s="647"/>
      <c r="H513" s="647"/>
      <c r="I513" s="647"/>
      <c r="J513" s="647"/>
      <c r="K513" s="647"/>
      <c r="L513" s="647"/>
      <c r="M513" s="647"/>
      <c r="N513" s="647"/>
      <c r="O513" s="648"/>
      <c r="P513" s="644" t="s">
        <v>40</v>
      </c>
      <c r="Q513" s="645"/>
      <c r="R513" s="645"/>
      <c r="S513" s="645"/>
      <c r="T513" s="645"/>
      <c r="U513" s="645"/>
      <c r="V513" s="646"/>
      <c r="W513" s="42" t="s">
        <v>39</v>
      </c>
      <c r="X513" s="43">
        <f>IFERROR(X510/H510,"0")+IFERROR(X511/H511,"0")+IFERROR(X512/H512,"0")</f>
        <v>0</v>
      </c>
      <c r="Y513" s="43">
        <f>IFERROR(Y510/H510,"0")+IFERROR(Y511/H511,"0")+IFERROR(Y512/H512,"0")</f>
        <v>0</v>
      </c>
      <c r="Z513" s="43">
        <f>IFERROR(IF(Z510="",0,Z510),"0")+IFERROR(IF(Z511="",0,Z511),"0")+IFERROR(IF(Z512="",0,Z512),"0")</f>
        <v>0</v>
      </c>
      <c r="AA513" s="67"/>
      <c r="AB513" s="67"/>
      <c r="AC513" s="67"/>
    </row>
    <row r="514" spans="1:68" hidden="1" x14ac:dyDescent="0.2">
      <c r="A514" s="647"/>
      <c r="B514" s="647"/>
      <c r="C514" s="647"/>
      <c r="D514" s="647"/>
      <c r="E514" s="647"/>
      <c r="F514" s="647"/>
      <c r="G514" s="647"/>
      <c r="H514" s="647"/>
      <c r="I514" s="647"/>
      <c r="J514" s="647"/>
      <c r="K514" s="647"/>
      <c r="L514" s="647"/>
      <c r="M514" s="647"/>
      <c r="N514" s="647"/>
      <c r="O514" s="648"/>
      <c r="P514" s="644" t="s">
        <v>40</v>
      </c>
      <c r="Q514" s="645"/>
      <c r="R514" s="645"/>
      <c r="S514" s="645"/>
      <c r="T514" s="645"/>
      <c r="U514" s="645"/>
      <c r="V514" s="646"/>
      <c r="W514" s="42" t="s">
        <v>0</v>
      </c>
      <c r="X514" s="43">
        <f>IFERROR(SUM(X510:X512),"0")</f>
        <v>0</v>
      </c>
      <c r="Y514" s="43">
        <f>IFERROR(SUM(Y510:Y512),"0")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58" t="s">
        <v>76</v>
      </c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8"/>
      <c r="P515" s="658"/>
      <c r="Q515" s="658"/>
      <c r="R515" s="658"/>
      <c r="S515" s="658"/>
      <c r="T515" s="658"/>
      <c r="U515" s="658"/>
      <c r="V515" s="658"/>
      <c r="W515" s="658"/>
      <c r="X515" s="658"/>
      <c r="Y515" s="658"/>
      <c r="Z515" s="658"/>
      <c r="AA515" s="66"/>
      <c r="AB515" s="66"/>
      <c r="AC515" s="80"/>
    </row>
    <row r="516" spans="1:68" ht="27" hidden="1" customHeight="1" x14ac:dyDescent="0.25">
      <c r="A516" s="63" t="s">
        <v>828</v>
      </c>
      <c r="B516" s="63" t="s">
        <v>829</v>
      </c>
      <c r="C516" s="36">
        <v>4301031349</v>
      </c>
      <c r="D516" s="653">
        <v>4680115883116</v>
      </c>
      <c r="E516" s="65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ref="Y516:Y522" si="80"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0</v>
      </c>
      <c r="BN516" s="78">
        <f t="shared" ref="BN516:BN522" si="82">IFERROR(Y516*I516/H516,"0")</f>
        <v>0</v>
      </c>
      <c r="BO516" s="78">
        <f t="shared" ref="BO516:BO522" si="83">IFERROR(1/J516*(X516/H516),"0")</f>
        <v>0</v>
      </c>
      <c r="BP516" s="78">
        <f t="shared" ref="BP516:BP522" si="84">IFERROR(1/J516*(Y516/H516),"0")</f>
        <v>0</v>
      </c>
    </row>
    <row r="517" spans="1:68" ht="27" hidden="1" customHeight="1" x14ac:dyDescent="0.25">
      <c r="A517" s="63" t="s">
        <v>831</v>
      </c>
      <c r="B517" s="63" t="s">
        <v>832</v>
      </c>
      <c r="C517" s="36">
        <v>4301031350</v>
      </c>
      <c r="D517" s="653">
        <v>4680115883093</v>
      </c>
      <c r="E517" s="65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0</v>
      </c>
      <c r="BN517" s="78">
        <f t="shared" si="82"/>
        <v>0</v>
      </c>
      <c r="BO517" s="78">
        <f t="shared" si="83"/>
        <v>0</v>
      </c>
      <c r="BP517" s="78">
        <f t="shared" si="84"/>
        <v>0</v>
      </c>
    </row>
    <row r="518" spans="1:68" ht="27" hidden="1" customHeight="1" x14ac:dyDescent="0.25">
      <c r="A518" s="63" t="s">
        <v>834</v>
      </c>
      <c r="B518" s="63" t="s">
        <v>835</v>
      </c>
      <c r="C518" s="36">
        <v>4301031353</v>
      </c>
      <c r="D518" s="653">
        <v>4680115883109</v>
      </c>
      <c r="E518" s="65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655"/>
      <c r="R518" s="655"/>
      <c r="S518" s="655"/>
      <c r="T518" s="656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0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0</v>
      </c>
      <c r="BN518" s="78">
        <f t="shared" si="82"/>
        <v>0</v>
      </c>
      <c r="BO518" s="78">
        <f t="shared" si="83"/>
        <v>0</v>
      </c>
      <c r="BP518" s="78">
        <f t="shared" si="84"/>
        <v>0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653">
        <v>4680115882072</v>
      </c>
      <c r="E519" s="65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6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655"/>
      <c r="R519" s="655"/>
      <c r="S519" s="655"/>
      <c r="T519" s="656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653">
        <v>4680115882102</v>
      </c>
      <c r="E520" s="653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653">
        <v>4680115882102</v>
      </c>
      <c r="E521" s="653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66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842</v>
      </c>
      <c r="B522" s="63" t="s">
        <v>843</v>
      </c>
      <c r="C522" s="36">
        <v>4301031417</v>
      </c>
      <c r="D522" s="653">
        <v>4680115882096</v>
      </c>
      <c r="E522" s="65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66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hidden="1" x14ac:dyDescent="0.2">
      <c r="A523" s="647"/>
      <c r="B523" s="647"/>
      <c r="C523" s="647"/>
      <c r="D523" s="647"/>
      <c r="E523" s="647"/>
      <c r="F523" s="647"/>
      <c r="G523" s="647"/>
      <c r="H523" s="647"/>
      <c r="I523" s="647"/>
      <c r="J523" s="647"/>
      <c r="K523" s="647"/>
      <c r="L523" s="647"/>
      <c r="M523" s="647"/>
      <c r="N523" s="647"/>
      <c r="O523" s="648"/>
      <c r="P523" s="644" t="s">
        <v>40</v>
      </c>
      <c r="Q523" s="645"/>
      <c r="R523" s="645"/>
      <c r="S523" s="645"/>
      <c r="T523" s="645"/>
      <c r="U523" s="645"/>
      <c r="V523" s="646"/>
      <c r="W523" s="42" t="s">
        <v>39</v>
      </c>
      <c r="X523" s="43">
        <f>IFERROR(X516/H516,"0")+IFERROR(X517/H517,"0")+IFERROR(X518/H518,"0")+IFERROR(X519/H519,"0")+IFERROR(X520/H520,"0")+IFERROR(X521/H521,"0")+IFERROR(X522/H522,"0")</f>
        <v>0</v>
      </c>
      <c r="Y523" s="43">
        <f>IFERROR(Y516/H516,"0")+IFERROR(Y517/H517,"0")+IFERROR(Y518/H518,"0")+IFERROR(Y519/H519,"0")+IFERROR(Y520/H520,"0")+IFERROR(Y521/H521,"0")+IFERROR(Y522/H522,"0")</f>
        <v>0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"/>
      <c r="AB523" s="67"/>
      <c r="AC523" s="67"/>
    </row>
    <row r="524" spans="1:68" hidden="1" x14ac:dyDescent="0.2">
      <c r="A524" s="647"/>
      <c r="B524" s="647"/>
      <c r="C524" s="647"/>
      <c r="D524" s="647"/>
      <c r="E524" s="647"/>
      <c r="F524" s="647"/>
      <c r="G524" s="647"/>
      <c r="H524" s="647"/>
      <c r="I524" s="647"/>
      <c r="J524" s="647"/>
      <c r="K524" s="647"/>
      <c r="L524" s="647"/>
      <c r="M524" s="647"/>
      <c r="N524" s="647"/>
      <c r="O524" s="648"/>
      <c r="P524" s="644" t="s">
        <v>40</v>
      </c>
      <c r="Q524" s="645"/>
      <c r="R524" s="645"/>
      <c r="S524" s="645"/>
      <c r="T524" s="645"/>
      <c r="U524" s="645"/>
      <c r="V524" s="646"/>
      <c r="W524" s="42" t="s">
        <v>0</v>
      </c>
      <c r="X524" s="43">
        <f>IFERROR(SUM(X516:X522),"0")</f>
        <v>0</v>
      </c>
      <c r="Y524" s="43">
        <f>IFERROR(SUM(Y516:Y522),"0")</f>
        <v>0</v>
      </c>
      <c r="Z524" s="42"/>
      <c r="AA524" s="67"/>
      <c r="AB524" s="67"/>
      <c r="AC524" s="67"/>
    </row>
    <row r="525" spans="1:68" ht="27.75" hidden="1" customHeight="1" x14ac:dyDescent="0.2">
      <c r="A525" s="664" t="s">
        <v>844</v>
      </c>
      <c r="B525" s="664"/>
      <c r="C525" s="664"/>
      <c r="D525" s="664"/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4"/>
      <c r="P525" s="664"/>
      <c r="Q525" s="664"/>
      <c r="R525" s="664"/>
      <c r="S525" s="664"/>
      <c r="T525" s="664"/>
      <c r="U525" s="664"/>
      <c r="V525" s="664"/>
      <c r="W525" s="664"/>
      <c r="X525" s="664"/>
      <c r="Y525" s="664"/>
      <c r="Z525" s="664"/>
      <c r="AA525" s="54"/>
      <c r="AB525" s="54"/>
      <c r="AC525" s="54"/>
    </row>
    <row r="526" spans="1:68" ht="16.5" hidden="1" customHeight="1" x14ac:dyDescent="0.25">
      <c r="A526" s="657" t="s">
        <v>844</v>
      </c>
      <c r="B526" s="657"/>
      <c r="C526" s="657"/>
      <c r="D526" s="657"/>
      <c r="E526" s="657"/>
      <c r="F526" s="657"/>
      <c r="G526" s="657"/>
      <c r="H526" s="657"/>
      <c r="I526" s="657"/>
      <c r="J526" s="657"/>
      <c r="K526" s="657"/>
      <c r="L526" s="657"/>
      <c r="M526" s="657"/>
      <c r="N526" s="657"/>
      <c r="O526" s="657"/>
      <c r="P526" s="657"/>
      <c r="Q526" s="657"/>
      <c r="R526" s="657"/>
      <c r="S526" s="657"/>
      <c r="T526" s="657"/>
      <c r="U526" s="657"/>
      <c r="V526" s="657"/>
      <c r="W526" s="657"/>
      <c r="X526" s="657"/>
      <c r="Y526" s="657"/>
      <c r="Z526" s="657"/>
      <c r="AA526" s="65"/>
      <c r="AB526" s="65"/>
      <c r="AC526" s="79"/>
    </row>
    <row r="527" spans="1:68" ht="14.25" hidden="1" customHeight="1" x14ac:dyDescent="0.25">
      <c r="A527" s="658" t="s">
        <v>123</v>
      </c>
      <c r="B527" s="658"/>
      <c r="C527" s="658"/>
      <c r="D527" s="658"/>
      <c r="E527" s="658"/>
      <c r="F527" s="658"/>
      <c r="G527" s="658"/>
      <c r="H527" s="658"/>
      <c r="I527" s="658"/>
      <c r="J527" s="658"/>
      <c r="K527" s="658"/>
      <c r="L527" s="658"/>
      <c r="M527" s="658"/>
      <c r="N527" s="658"/>
      <c r="O527" s="658"/>
      <c r="P527" s="658"/>
      <c r="Q527" s="658"/>
      <c r="R527" s="658"/>
      <c r="S527" s="658"/>
      <c r="T527" s="658"/>
      <c r="U527" s="658"/>
      <c r="V527" s="658"/>
      <c r="W527" s="658"/>
      <c r="X527" s="658"/>
      <c r="Y527" s="658"/>
      <c r="Z527" s="658"/>
      <c r="AA527" s="66"/>
      <c r="AB527" s="66"/>
      <c r="AC527" s="80"/>
    </row>
    <row r="528" spans="1:68" ht="27" hidden="1" customHeight="1" x14ac:dyDescent="0.25">
      <c r="A528" s="63" t="s">
        <v>845</v>
      </c>
      <c r="B528" s="63" t="s">
        <v>846</v>
      </c>
      <c r="C528" s="36">
        <v>4301011584</v>
      </c>
      <c r="D528" s="653">
        <v>4640242180564</v>
      </c>
      <c r="E528" s="653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647"/>
      <c r="B529" s="647"/>
      <c r="C529" s="647"/>
      <c r="D529" s="647"/>
      <c r="E529" s="647"/>
      <c r="F529" s="647"/>
      <c r="G529" s="647"/>
      <c r="H529" s="647"/>
      <c r="I529" s="647"/>
      <c r="J529" s="647"/>
      <c r="K529" s="647"/>
      <c r="L529" s="647"/>
      <c r="M529" s="647"/>
      <c r="N529" s="647"/>
      <c r="O529" s="648"/>
      <c r="P529" s="644" t="s">
        <v>40</v>
      </c>
      <c r="Q529" s="645"/>
      <c r="R529" s="645"/>
      <c r="S529" s="645"/>
      <c r="T529" s="645"/>
      <c r="U529" s="645"/>
      <c r="V529" s="646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hidden="1" x14ac:dyDescent="0.2">
      <c r="A530" s="647"/>
      <c r="B530" s="647"/>
      <c r="C530" s="647"/>
      <c r="D530" s="647"/>
      <c r="E530" s="647"/>
      <c r="F530" s="647"/>
      <c r="G530" s="647"/>
      <c r="H530" s="647"/>
      <c r="I530" s="647"/>
      <c r="J530" s="647"/>
      <c r="K530" s="647"/>
      <c r="L530" s="647"/>
      <c r="M530" s="647"/>
      <c r="N530" s="647"/>
      <c r="O530" s="648"/>
      <c r="P530" s="644" t="s">
        <v>40</v>
      </c>
      <c r="Q530" s="645"/>
      <c r="R530" s="645"/>
      <c r="S530" s="645"/>
      <c r="T530" s="645"/>
      <c r="U530" s="645"/>
      <c r="V530" s="646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hidden="1" customHeight="1" x14ac:dyDescent="0.25">
      <c r="A531" s="658" t="s">
        <v>156</v>
      </c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8"/>
      <c r="P531" s="658"/>
      <c r="Q531" s="658"/>
      <c r="R531" s="658"/>
      <c r="S531" s="658"/>
      <c r="T531" s="658"/>
      <c r="U531" s="658"/>
      <c r="V531" s="658"/>
      <c r="W531" s="658"/>
      <c r="X531" s="658"/>
      <c r="Y531" s="658"/>
      <c r="Z531" s="658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653">
        <v>4640242180519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6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47"/>
      <c r="B533" s="647"/>
      <c r="C533" s="647"/>
      <c r="D533" s="647"/>
      <c r="E533" s="647"/>
      <c r="F533" s="647"/>
      <c r="G533" s="647"/>
      <c r="H533" s="647"/>
      <c r="I533" s="647"/>
      <c r="J533" s="647"/>
      <c r="K533" s="647"/>
      <c r="L533" s="647"/>
      <c r="M533" s="647"/>
      <c r="N533" s="647"/>
      <c r="O533" s="648"/>
      <c r="P533" s="644" t="s">
        <v>40</v>
      </c>
      <c r="Q533" s="645"/>
      <c r="R533" s="645"/>
      <c r="S533" s="645"/>
      <c r="T533" s="645"/>
      <c r="U533" s="645"/>
      <c r="V533" s="646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47"/>
      <c r="B534" s="647"/>
      <c r="C534" s="647"/>
      <c r="D534" s="647"/>
      <c r="E534" s="647"/>
      <c r="F534" s="647"/>
      <c r="G534" s="647"/>
      <c r="H534" s="647"/>
      <c r="I534" s="647"/>
      <c r="J534" s="647"/>
      <c r="K534" s="647"/>
      <c r="L534" s="647"/>
      <c r="M534" s="647"/>
      <c r="N534" s="647"/>
      <c r="O534" s="648"/>
      <c r="P534" s="644" t="s">
        <v>40</v>
      </c>
      <c r="Q534" s="645"/>
      <c r="R534" s="645"/>
      <c r="S534" s="645"/>
      <c r="T534" s="645"/>
      <c r="U534" s="645"/>
      <c r="V534" s="646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58" t="s">
        <v>76</v>
      </c>
      <c r="B535" s="658"/>
      <c r="C535" s="658"/>
      <c r="D535" s="658"/>
      <c r="E535" s="658"/>
      <c r="F535" s="658"/>
      <c r="G535" s="658"/>
      <c r="H535" s="658"/>
      <c r="I535" s="658"/>
      <c r="J535" s="658"/>
      <c r="K535" s="658"/>
      <c r="L535" s="658"/>
      <c r="M535" s="658"/>
      <c r="N535" s="658"/>
      <c r="O535" s="658"/>
      <c r="P535" s="658"/>
      <c r="Q535" s="658"/>
      <c r="R535" s="658"/>
      <c r="S535" s="658"/>
      <c r="T535" s="658"/>
      <c r="U535" s="658"/>
      <c r="V535" s="658"/>
      <c r="W535" s="658"/>
      <c r="X535" s="658"/>
      <c r="Y535" s="658"/>
      <c r="Z535" s="658"/>
      <c r="AA535" s="66"/>
      <c r="AB535" s="66"/>
      <c r="AC535" s="80"/>
    </row>
    <row r="536" spans="1:68" ht="27" hidden="1" customHeight="1" x14ac:dyDescent="0.25">
      <c r="A536" s="63" t="s">
        <v>851</v>
      </c>
      <c r="B536" s="63" t="s">
        <v>852</v>
      </c>
      <c r="C536" s="36">
        <v>4301031500</v>
      </c>
      <c r="D536" s="653">
        <v>4640242180595</v>
      </c>
      <c r="E536" s="653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6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47"/>
      <c r="B537" s="647"/>
      <c r="C537" s="647"/>
      <c r="D537" s="647"/>
      <c r="E537" s="647"/>
      <c r="F537" s="647"/>
      <c r="G537" s="647"/>
      <c r="H537" s="647"/>
      <c r="I537" s="647"/>
      <c r="J537" s="647"/>
      <c r="K537" s="647"/>
      <c r="L537" s="647"/>
      <c r="M537" s="647"/>
      <c r="N537" s="647"/>
      <c r="O537" s="648"/>
      <c r="P537" s="644" t="s">
        <v>40</v>
      </c>
      <c r="Q537" s="645"/>
      <c r="R537" s="645"/>
      <c r="S537" s="645"/>
      <c r="T537" s="645"/>
      <c r="U537" s="645"/>
      <c r="V537" s="646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47"/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8"/>
      <c r="P538" s="644" t="s">
        <v>40</v>
      </c>
      <c r="Q538" s="645"/>
      <c r="R538" s="645"/>
      <c r="S538" s="645"/>
      <c r="T538" s="645"/>
      <c r="U538" s="645"/>
      <c r="V538" s="646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58" t="s">
        <v>85</v>
      </c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58"/>
      <c r="P539" s="658"/>
      <c r="Q539" s="658"/>
      <c r="R539" s="658"/>
      <c r="S539" s="658"/>
      <c r="T539" s="658"/>
      <c r="U539" s="658"/>
      <c r="V539" s="658"/>
      <c r="W539" s="658"/>
      <c r="X539" s="658"/>
      <c r="Y539" s="658"/>
      <c r="Z539" s="658"/>
      <c r="AA539" s="66"/>
      <c r="AB539" s="66"/>
      <c r="AC539" s="80"/>
    </row>
    <row r="540" spans="1:68" ht="27" hidden="1" customHeight="1" x14ac:dyDescent="0.25">
      <c r="A540" s="63" t="s">
        <v>854</v>
      </c>
      <c r="B540" s="63" t="s">
        <v>855</v>
      </c>
      <c r="C540" s="36">
        <v>4301052043</v>
      </c>
      <c r="D540" s="653">
        <v>4640242180533</v>
      </c>
      <c r="E540" s="653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6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47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48"/>
      <c r="P541" s="644" t="s">
        <v>40</v>
      </c>
      <c r="Q541" s="645"/>
      <c r="R541" s="645"/>
      <c r="S541" s="645"/>
      <c r="T541" s="645"/>
      <c r="U541" s="645"/>
      <c r="V541" s="646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48"/>
      <c r="P542" s="644" t="s">
        <v>40</v>
      </c>
      <c r="Q542" s="645"/>
      <c r="R542" s="645"/>
      <c r="S542" s="645"/>
      <c r="T542" s="645"/>
      <c r="U542" s="645"/>
      <c r="V542" s="646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58" t="s">
        <v>173</v>
      </c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58"/>
      <c r="P543" s="658"/>
      <c r="Q543" s="658"/>
      <c r="R543" s="658"/>
      <c r="S543" s="658"/>
      <c r="T543" s="658"/>
      <c r="U543" s="658"/>
      <c r="V543" s="658"/>
      <c r="W543" s="658"/>
      <c r="X543" s="658"/>
      <c r="Y543" s="658"/>
      <c r="Z543" s="658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653">
        <v>4640242180120</v>
      </c>
      <c r="E544" s="653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66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653">
        <v>4640242180137</v>
      </c>
      <c r="E545" s="65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65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655"/>
      <c r="R545" s="655"/>
      <c r="S545" s="655"/>
      <c r="T545" s="65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48"/>
      <c r="P546" s="644" t="s">
        <v>40</v>
      </c>
      <c r="Q546" s="645"/>
      <c r="R546" s="645"/>
      <c r="S546" s="645"/>
      <c r="T546" s="645"/>
      <c r="U546" s="645"/>
      <c r="V546" s="646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647"/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8"/>
      <c r="P547" s="644" t="s">
        <v>40</v>
      </c>
      <c r="Q547" s="645"/>
      <c r="R547" s="645"/>
      <c r="S547" s="645"/>
      <c r="T547" s="645"/>
      <c r="U547" s="645"/>
      <c r="V547" s="646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657" t="s">
        <v>863</v>
      </c>
      <c r="B548" s="657"/>
      <c r="C548" s="657"/>
      <c r="D548" s="657"/>
      <c r="E548" s="657"/>
      <c r="F548" s="657"/>
      <c r="G548" s="657"/>
      <c r="H548" s="657"/>
      <c r="I548" s="657"/>
      <c r="J548" s="657"/>
      <c r="K548" s="657"/>
      <c r="L548" s="657"/>
      <c r="M548" s="657"/>
      <c r="N548" s="657"/>
      <c r="O548" s="657"/>
      <c r="P548" s="657"/>
      <c r="Q548" s="657"/>
      <c r="R548" s="657"/>
      <c r="S548" s="657"/>
      <c r="T548" s="657"/>
      <c r="U548" s="657"/>
      <c r="V548" s="657"/>
      <c r="W548" s="657"/>
      <c r="X548" s="657"/>
      <c r="Y548" s="657"/>
      <c r="Z548" s="657"/>
      <c r="AA548" s="65"/>
      <c r="AB548" s="65"/>
      <c r="AC548" s="79"/>
    </row>
    <row r="549" spans="1:68" ht="14.25" hidden="1" customHeight="1" x14ac:dyDescent="0.25">
      <c r="A549" s="658" t="s">
        <v>156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653">
        <v>4640242180090</v>
      </c>
      <c r="E550" s="653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6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655"/>
      <c r="R550" s="655"/>
      <c r="S550" s="655"/>
      <c r="T550" s="65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647"/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8"/>
      <c r="P551" s="644" t="s">
        <v>40</v>
      </c>
      <c r="Q551" s="645"/>
      <c r="R551" s="645"/>
      <c r="S551" s="645"/>
      <c r="T551" s="645"/>
      <c r="U551" s="645"/>
      <c r="V551" s="64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647"/>
      <c r="B552" s="647"/>
      <c r="C552" s="647"/>
      <c r="D552" s="647"/>
      <c r="E552" s="647"/>
      <c r="F552" s="647"/>
      <c r="G552" s="647"/>
      <c r="H552" s="647"/>
      <c r="I552" s="647"/>
      <c r="J552" s="647"/>
      <c r="K552" s="647"/>
      <c r="L552" s="647"/>
      <c r="M552" s="647"/>
      <c r="N552" s="647"/>
      <c r="O552" s="648"/>
      <c r="P552" s="644" t="s">
        <v>40</v>
      </c>
      <c r="Q552" s="645"/>
      <c r="R552" s="645"/>
      <c r="S552" s="645"/>
      <c r="T552" s="645"/>
      <c r="U552" s="645"/>
      <c r="V552" s="64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647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2"/>
      <c r="P553" s="649" t="s">
        <v>33</v>
      </c>
      <c r="Q553" s="650"/>
      <c r="R553" s="650"/>
      <c r="S553" s="650"/>
      <c r="T553" s="650"/>
      <c r="U553" s="650"/>
      <c r="V553" s="651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17800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17810.400000000001</v>
      </c>
      <c r="Z553" s="42"/>
      <c r="AA553" s="67"/>
      <c r="AB553" s="67"/>
      <c r="AC553" s="67"/>
    </row>
    <row r="554" spans="1:68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2"/>
      <c r="P554" s="649" t="s">
        <v>34</v>
      </c>
      <c r="Q554" s="650"/>
      <c r="R554" s="650"/>
      <c r="S554" s="650"/>
      <c r="T554" s="650"/>
      <c r="U554" s="650"/>
      <c r="V554" s="651"/>
      <c r="W554" s="42" t="s">
        <v>0</v>
      </c>
      <c r="X554" s="43">
        <f>IFERROR(SUM(BM22:BM550),"0")</f>
        <v>18892.615384615387</v>
      </c>
      <c r="Y554" s="43">
        <f>IFERROR(SUM(BN22:BN550),"0")</f>
        <v>18903.624000000003</v>
      </c>
      <c r="Z554" s="42"/>
      <c r="AA554" s="67"/>
      <c r="AB554" s="67"/>
      <c r="AC554" s="67"/>
    </row>
    <row r="555" spans="1:68" x14ac:dyDescent="0.2">
      <c r="A555" s="647"/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52"/>
      <c r="P555" s="649" t="s">
        <v>35</v>
      </c>
      <c r="Q555" s="650"/>
      <c r="R555" s="650"/>
      <c r="S555" s="650"/>
      <c r="T555" s="650"/>
      <c r="U555" s="650"/>
      <c r="V555" s="651"/>
      <c r="W555" s="42" t="s">
        <v>20</v>
      </c>
      <c r="X555" s="44">
        <f>ROUNDUP(SUM(BO22:BO550),0)</f>
        <v>35</v>
      </c>
      <c r="Y555" s="44">
        <f>ROUNDUP(SUM(BP22:BP550),0)</f>
        <v>35</v>
      </c>
      <c r="Z555" s="42"/>
      <c r="AA555" s="67"/>
      <c r="AB555" s="67"/>
      <c r="AC555" s="67"/>
    </row>
    <row r="556" spans="1:68" x14ac:dyDescent="0.2">
      <c r="A556" s="647"/>
      <c r="B556" s="647"/>
      <c r="C556" s="647"/>
      <c r="D556" s="647"/>
      <c r="E556" s="647"/>
      <c r="F556" s="647"/>
      <c r="G556" s="647"/>
      <c r="H556" s="647"/>
      <c r="I556" s="647"/>
      <c r="J556" s="647"/>
      <c r="K556" s="647"/>
      <c r="L556" s="647"/>
      <c r="M556" s="647"/>
      <c r="N556" s="647"/>
      <c r="O556" s="652"/>
      <c r="P556" s="649" t="s">
        <v>36</v>
      </c>
      <c r="Q556" s="650"/>
      <c r="R556" s="650"/>
      <c r="S556" s="650"/>
      <c r="T556" s="650"/>
      <c r="U556" s="650"/>
      <c r="V556" s="651"/>
      <c r="W556" s="42" t="s">
        <v>0</v>
      </c>
      <c r="X556" s="43">
        <f>GrossWeightTotal+PalletQtyTotal*25</f>
        <v>19767.615384615387</v>
      </c>
      <c r="Y556" s="43">
        <f>GrossWeightTotalR+PalletQtyTotalR*25</f>
        <v>19778.624000000003</v>
      </c>
      <c r="Z556" s="42"/>
      <c r="AA556" s="67"/>
      <c r="AB556" s="67"/>
      <c r="AC556" s="67"/>
    </row>
    <row r="557" spans="1:68" x14ac:dyDescent="0.2">
      <c r="A557" s="647"/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52"/>
      <c r="P557" s="649" t="s">
        <v>37</v>
      </c>
      <c r="Q557" s="650"/>
      <c r="R557" s="650"/>
      <c r="S557" s="650"/>
      <c r="T557" s="650"/>
      <c r="U557" s="650"/>
      <c r="V557" s="651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2230.7692307692309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2232</v>
      </c>
      <c r="Z557" s="42"/>
      <c r="AA557" s="67"/>
      <c r="AB557" s="67"/>
      <c r="AC557" s="67"/>
    </row>
    <row r="558" spans="1:68" ht="14.25" hidden="1" x14ac:dyDescent="0.2">
      <c r="A558" s="647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2"/>
      <c r="P558" s="649" t="s">
        <v>38</v>
      </c>
      <c r="Q558" s="650"/>
      <c r="R558" s="650"/>
      <c r="S558" s="650"/>
      <c r="T558" s="650"/>
      <c r="U558" s="650"/>
      <c r="V558" s="651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42.36336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640" t="s">
        <v>121</v>
      </c>
      <c r="E560" s="640" t="s">
        <v>121</v>
      </c>
      <c r="F560" s="640" t="s">
        <v>121</v>
      </c>
      <c r="G560" s="640" t="s">
        <v>121</v>
      </c>
      <c r="H560" s="640" t="s">
        <v>121</v>
      </c>
      <c r="I560" s="640" t="s">
        <v>121</v>
      </c>
      <c r="J560" s="640" t="s">
        <v>121</v>
      </c>
      <c r="K560" s="640" t="s">
        <v>349</v>
      </c>
      <c r="L560" s="640" t="s">
        <v>349</v>
      </c>
      <c r="M560" s="640" t="s">
        <v>349</v>
      </c>
      <c r="N560" s="641"/>
      <c r="O560" s="640" t="s">
        <v>349</v>
      </c>
      <c r="P560" s="640" t="s">
        <v>349</v>
      </c>
      <c r="Q560" s="640" t="s">
        <v>349</v>
      </c>
      <c r="R560" s="640" t="s">
        <v>349</v>
      </c>
      <c r="S560" s="640" t="s">
        <v>349</v>
      </c>
      <c r="T560" s="640" t="s">
        <v>349</v>
      </c>
      <c r="U560" s="640" t="s">
        <v>349</v>
      </c>
      <c r="V560" s="640" t="s">
        <v>349</v>
      </c>
      <c r="W560" s="640" t="s">
        <v>695</v>
      </c>
      <c r="X560" s="640" t="s">
        <v>695</v>
      </c>
      <c r="Y560" s="640" t="s">
        <v>761</v>
      </c>
      <c r="Z560" s="640" t="s">
        <v>761</v>
      </c>
      <c r="AA560" s="85" t="s">
        <v>797</v>
      </c>
      <c r="AB560" s="640" t="s">
        <v>844</v>
      </c>
      <c r="AC560" s="640" t="s">
        <v>844</v>
      </c>
      <c r="AF560" s="1"/>
    </row>
    <row r="561" spans="1:32" ht="14.25" customHeight="1" thickTop="1" x14ac:dyDescent="0.2">
      <c r="A561" s="642" t="s">
        <v>10</v>
      </c>
      <c r="B561" s="640" t="s">
        <v>75</v>
      </c>
      <c r="C561" s="640" t="s">
        <v>103</v>
      </c>
      <c r="D561" s="640" t="s">
        <v>122</v>
      </c>
      <c r="E561" s="640" t="s">
        <v>138</v>
      </c>
      <c r="F561" s="640" t="s">
        <v>180</v>
      </c>
      <c r="G561" s="640" t="s">
        <v>201</v>
      </c>
      <c r="H561" s="640" t="s">
        <v>241</v>
      </c>
      <c r="I561" s="640" t="s">
        <v>265</v>
      </c>
      <c r="J561" s="640" t="s">
        <v>121</v>
      </c>
      <c r="K561" s="640" t="s">
        <v>350</v>
      </c>
      <c r="L561" s="640" t="s">
        <v>371</v>
      </c>
      <c r="M561" s="640" t="s">
        <v>438</v>
      </c>
      <c r="N561" s="1"/>
      <c r="O561" s="640" t="s">
        <v>506</v>
      </c>
      <c r="P561" s="640" t="s">
        <v>539</v>
      </c>
      <c r="Q561" s="640" t="s">
        <v>555</v>
      </c>
      <c r="R561" s="640" t="s">
        <v>564</v>
      </c>
      <c r="S561" s="640" t="s">
        <v>585</v>
      </c>
      <c r="T561" s="640" t="s">
        <v>594</v>
      </c>
      <c r="U561" s="640" t="s">
        <v>678</v>
      </c>
      <c r="V561" s="640" t="s">
        <v>685</v>
      </c>
      <c r="W561" s="640" t="s">
        <v>696</v>
      </c>
      <c r="X561" s="640" t="s">
        <v>745</v>
      </c>
      <c r="Y561" s="640" t="s">
        <v>762</v>
      </c>
      <c r="Z561" s="640" t="s">
        <v>785</v>
      </c>
      <c r="AA561" s="640" t="s">
        <v>797</v>
      </c>
      <c r="AB561" s="640" t="s">
        <v>844</v>
      </c>
      <c r="AC561" s="640" t="s">
        <v>863</v>
      </c>
      <c r="AF561" s="1"/>
    </row>
    <row r="562" spans="1:32" ht="13.5" thickBot="1" x14ac:dyDescent="0.25">
      <c r="A562" s="643"/>
      <c r="B562" s="640"/>
      <c r="C562" s="640"/>
      <c r="D562" s="640"/>
      <c r="E562" s="640"/>
      <c r="F562" s="640"/>
      <c r="G562" s="640"/>
      <c r="H562" s="640"/>
      <c r="I562" s="640"/>
      <c r="J562" s="640"/>
      <c r="K562" s="640"/>
      <c r="L562" s="640"/>
      <c r="M562" s="640"/>
      <c r="N562" s="1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  <c r="AA562" s="640"/>
      <c r="AB562" s="640"/>
      <c r="AC562" s="64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0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3" s="52">
        <f>IFERROR(Y83*1,"0")+IFERROR(Y84*1,"0")+IFERROR(Y85*1,"0")+IFERROR(Y86*1,"0")+IFERROR(Y90*1,"0")+IFERROR(Y91*1,"0")+IFERROR(Y92*1,"0")+IFERROR(Y93*1,"0")</f>
        <v>0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14804.4</v>
      </c>
      <c r="U563" s="52">
        <f>IFERROR(Y411*1,"0")+IFERROR(Y412*1,"0")</f>
        <v>0</v>
      </c>
      <c r="V563" s="52">
        <f>IFERROR(Y417*1,"0")+IFERROR(Y418*1,"0")+IFERROR(Y419*1,"0")</f>
        <v>0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3006</v>
      </c>
      <c r="X563" s="52">
        <f>IFERROR(Y454*1,"0")+IFERROR(Y455*1,"0")+IFERROR(Y459*1,"0")+IFERROR(Y463*1,"0")+IFERROR(Y464*1,"0")+IFERROR(Y465*1,"0")</f>
        <v>0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0</v>
      </c>
      <c r="AB563" s="52">
        <f>IFERROR(Y528*1,"0")+IFERROR(Y532*1,"0")+IFERROR(Y536*1,"0")+IFERROR(Y540*1,"0")+IFERROR(Y544*1,"0")+IFERROR(Y545*1,"0")</f>
        <v>0</v>
      </c>
      <c r="AC563" s="52">
        <f>IFERROR(Y550*1,"0")</f>
        <v>0</v>
      </c>
      <c r="AF563" s="1"/>
    </row>
  </sheetData>
  <sheetProtection algorithmName="SHA-512" hashValue="hC/1kZGNG1TuZhyKCxLqpINZdci5C0goywzMhccEjfP+f6IKuXh0TPT/wWyLrYE3+/1M2LvDYuhePHXG52RrNw==" saltValue="Jq3xjDbsxQo//9dpdTll0w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97,44"/>
        <filter val="14 800,00"/>
        <filter val="17 800,00"/>
        <filter val="18 892,62"/>
        <filter val="19 767,62"/>
        <filter val="2 230,77"/>
        <filter val="3 000,00"/>
        <filter val="333,33"/>
        <filter val="35"/>
      </filters>
    </filterColumn>
    <filterColumn colId="29" showButton="0"/>
    <filterColumn colId="30" showButton="0"/>
  </autoFilter>
  <dataConsolidate/>
  <mergeCells count="99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8" spans="2:8" x14ac:dyDescent="0.2">
      <c r="B8" s="53" t="s">
        <v>876</v>
      </c>
      <c r="C8" s="53" t="s">
        <v>877</v>
      </c>
      <c r="D8" s="53" t="s">
        <v>878</v>
      </c>
      <c r="E8" s="53" t="s">
        <v>46</v>
      </c>
    </row>
    <row r="10" spans="2:8" x14ac:dyDescent="0.2">
      <c r="B10" s="53" t="s">
        <v>879</v>
      </c>
      <c r="C10" s="53" t="s">
        <v>871</v>
      </c>
      <c r="D10" s="53" t="s">
        <v>46</v>
      </c>
      <c r="E10" s="53" t="s">
        <v>46</v>
      </c>
    </row>
    <row r="12" spans="2:8" x14ac:dyDescent="0.2">
      <c r="B12" s="53" t="s">
        <v>880</v>
      </c>
      <c r="C12" s="53" t="s">
        <v>874</v>
      </c>
      <c r="D12" s="53" t="s">
        <v>46</v>
      </c>
      <c r="E12" s="53" t="s">
        <v>46</v>
      </c>
    </row>
    <row r="14" spans="2:8" x14ac:dyDescent="0.2">
      <c r="B14" s="53" t="s">
        <v>881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890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891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892</v>
      </c>
      <c r="C26" s="53" t="s">
        <v>46</v>
      </c>
      <c r="D26" s="53" t="s">
        <v>46</v>
      </c>
      <c r="E26" s="53" t="s">
        <v>46</v>
      </c>
    </row>
  </sheetData>
  <sheetProtection algorithmName="SHA-512" hashValue="uAhoEGo4WeQlnT2OLE1FTkimMusf0MFTTN88pva84qL5wrRkXUCxUC+QUXtYBxDiKDwtqTGMrDT5s0z0tTtE9A==" saltValue="aBB6tnLUPmzJXzcNCUO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2026-08-25T10:00:33Z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