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84DAC0D-91D3-4C50-8D47-FEB86E51646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Y552" i="1"/>
  <c r="X552" i="1"/>
  <c r="BO551" i="1"/>
  <c r="BM551" i="1"/>
  <c r="Y551" i="1"/>
  <c r="AC564" i="1" s="1"/>
  <c r="P551" i="1"/>
  <c r="X548" i="1"/>
  <c r="X547" i="1"/>
  <c r="BO546" i="1"/>
  <c r="BM546" i="1"/>
  <c r="Y546" i="1"/>
  <c r="BN546" i="1" s="1"/>
  <c r="P546" i="1"/>
  <c r="BO545" i="1"/>
  <c r="BM545" i="1"/>
  <c r="Y545" i="1"/>
  <c r="Y547" i="1" s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AB564" i="1" s="1"/>
  <c r="P529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BO520" i="1"/>
  <c r="BM520" i="1"/>
  <c r="Y520" i="1"/>
  <c r="BN520" i="1" s="1"/>
  <c r="P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O504" i="1"/>
  <c r="BM504" i="1"/>
  <c r="Y504" i="1"/>
  <c r="BN504" i="1" s="1"/>
  <c r="P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BP481" i="1" s="1"/>
  <c r="P481" i="1"/>
  <c r="X479" i="1"/>
  <c r="X478" i="1"/>
  <c r="BO477" i="1"/>
  <c r="BM477" i="1"/>
  <c r="Y477" i="1"/>
  <c r="P477" i="1"/>
  <c r="BO476" i="1"/>
  <c r="BM476" i="1"/>
  <c r="Y476" i="1"/>
  <c r="P476" i="1"/>
  <c r="BO475" i="1"/>
  <c r="BM475" i="1"/>
  <c r="Y475" i="1"/>
  <c r="BP475" i="1" s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O465" i="1"/>
  <c r="BM465" i="1"/>
  <c r="Y465" i="1"/>
  <c r="BP465" i="1" s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O450" i="1"/>
  <c r="BM450" i="1"/>
  <c r="Y450" i="1"/>
  <c r="BN450" i="1" s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BN428" i="1" s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BN420" i="1" s="1"/>
  <c r="P420" i="1"/>
  <c r="BO419" i="1"/>
  <c r="BM419" i="1"/>
  <c r="Y419" i="1"/>
  <c r="P419" i="1"/>
  <c r="BO418" i="1"/>
  <c r="BM418" i="1"/>
  <c r="Y418" i="1"/>
  <c r="BN418" i="1" s="1"/>
  <c r="P418" i="1"/>
  <c r="X415" i="1"/>
  <c r="X414" i="1"/>
  <c r="BP413" i="1"/>
  <c r="BO413" i="1"/>
  <c r="BN413" i="1"/>
  <c r="BM413" i="1"/>
  <c r="Z413" i="1"/>
  <c r="Y413" i="1"/>
  <c r="BO412" i="1"/>
  <c r="BM412" i="1"/>
  <c r="Y412" i="1"/>
  <c r="BN412" i="1" s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BN400" i="1" s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P387" i="1"/>
  <c r="BO386" i="1"/>
  <c r="BM386" i="1"/>
  <c r="Z386" i="1"/>
  <c r="Y386" i="1"/>
  <c r="BN386" i="1" s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Z380" i="1"/>
  <c r="Y380" i="1"/>
  <c r="BN380" i="1" s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BN372" i="1" s="1"/>
  <c r="P372" i="1"/>
  <c r="BO371" i="1"/>
  <c r="BM371" i="1"/>
  <c r="Y371" i="1"/>
  <c r="P371" i="1"/>
  <c r="BO370" i="1"/>
  <c r="BM370" i="1"/>
  <c r="Y370" i="1"/>
  <c r="BP370" i="1" s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BN364" i="1" s="1"/>
  <c r="P364" i="1"/>
  <c r="BO363" i="1"/>
  <c r="BM363" i="1"/>
  <c r="Y363" i="1"/>
  <c r="P363" i="1"/>
  <c r="BO362" i="1"/>
  <c r="BM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O355" i="1"/>
  <c r="BM355" i="1"/>
  <c r="Z355" i="1"/>
  <c r="Y355" i="1"/>
  <c r="BN355" i="1" s="1"/>
  <c r="P355" i="1"/>
  <c r="BO354" i="1"/>
  <c r="BM354" i="1"/>
  <c r="Y354" i="1"/>
  <c r="P354" i="1"/>
  <c r="X351" i="1"/>
  <c r="X350" i="1"/>
  <c r="BO349" i="1"/>
  <c r="BM349" i="1"/>
  <c r="Y349" i="1"/>
  <c r="P349" i="1"/>
  <c r="BO348" i="1"/>
  <c r="BM348" i="1"/>
  <c r="Y348" i="1"/>
  <c r="P348" i="1"/>
  <c r="X346" i="1"/>
  <c r="X345" i="1"/>
  <c r="BO344" i="1"/>
  <c r="BM344" i="1"/>
  <c r="Y344" i="1"/>
  <c r="BN344" i="1" s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BO340" i="1"/>
  <c r="BM340" i="1"/>
  <c r="Y340" i="1"/>
  <c r="BN340" i="1" s="1"/>
  <c r="P340" i="1"/>
  <c r="X337" i="1"/>
  <c r="X336" i="1"/>
  <c r="BO335" i="1"/>
  <c r="BM335" i="1"/>
  <c r="Y335" i="1"/>
  <c r="BN335" i="1" s="1"/>
  <c r="P335" i="1"/>
  <c r="BO334" i="1"/>
  <c r="BM334" i="1"/>
  <c r="Y334" i="1"/>
  <c r="Y336" i="1" s="1"/>
  <c r="P334" i="1"/>
  <c r="BP333" i="1"/>
  <c r="BO333" i="1"/>
  <c r="BN333" i="1"/>
  <c r="BM333" i="1"/>
  <c r="Z333" i="1"/>
  <c r="Y333" i="1"/>
  <c r="P333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Z324" i="1"/>
  <c r="Y324" i="1"/>
  <c r="P324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Z317" i="1"/>
  <c r="Y317" i="1"/>
  <c r="BN317" i="1" s="1"/>
  <c r="P317" i="1"/>
  <c r="X315" i="1"/>
  <c r="X314" i="1"/>
  <c r="BO313" i="1"/>
  <c r="BM313" i="1"/>
  <c r="Y313" i="1"/>
  <c r="Y314" i="1" s="1"/>
  <c r="P313" i="1"/>
  <c r="X311" i="1"/>
  <c r="X310" i="1"/>
  <c r="BO309" i="1"/>
  <c r="BM309" i="1"/>
  <c r="Z309" i="1"/>
  <c r="Z310" i="1" s="1"/>
  <c r="Y309" i="1"/>
  <c r="P309" i="1"/>
  <c r="X307" i="1"/>
  <c r="X306" i="1"/>
  <c r="BO305" i="1"/>
  <c r="BM305" i="1"/>
  <c r="Y305" i="1"/>
  <c r="P305" i="1"/>
  <c r="BO304" i="1"/>
  <c r="BM304" i="1"/>
  <c r="Y304" i="1"/>
  <c r="P304" i="1"/>
  <c r="BO303" i="1"/>
  <c r="BM303" i="1"/>
  <c r="Y303" i="1"/>
  <c r="BN303" i="1" s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X296" i="1"/>
  <c r="X295" i="1"/>
  <c r="BO294" i="1"/>
  <c r="BM294" i="1"/>
  <c r="Z294" i="1"/>
  <c r="Y294" i="1"/>
  <c r="BN294" i="1" s="1"/>
  <c r="P294" i="1"/>
  <c r="BO293" i="1"/>
  <c r="BM293" i="1"/>
  <c r="Y293" i="1"/>
  <c r="P293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Z278" i="1" s="1"/>
  <c r="P278" i="1"/>
  <c r="X276" i="1"/>
  <c r="X275" i="1"/>
  <c r="BO274" i="1"/>
  <c r="BM274" i="1"/>
  <c r="Z274" i="1"/>
  <c r="Y274" i="1"/>
  <c r="BN274" i="1" s="1"/>
  <c r="P274" i="1"/>
  <c r="BO273" i="1"/>
  <c r="BM273" i="1"/>
  <c r="Y273" i="1"/>
  <c r="Z273" i="1" s="1"/>
  <c r="P273" i="1"/>
  <c r="BO272" i="1"/>
  <c r="BM272" i="1"/>
  <c r="Y272" i="1"/>
  <c r="P272" i="1"/>
  <c r="BO271" i="1"/>
  <c r="BM271" i="1"/>
  <c r="Y271" i="1"/>
  <c r="BN271" i="1" s="1"/>
  <c r="P271" i="1"/>
  <c r="BO270" i="1"/>
  <c r="BM270" i="1"/>
  <c r="Y270" i="1"/>
  <c r="P270" i="1"/>
  <c r="BO269" i="1"/>
  <c r="BM269" i="1"/>
  <c r="Y269" i="1"/>
  <c r="BP269" i="1" s="1"/>
  <c r="P269" i="1"/>
  <c r="BO268" i="1"/>
  <c r="BM268" i="1"/>
  <c r="Y268" i="1"/>
  <c r="P268" i="1"/>
  <c r="BO267" i="1"/>
  <c r="BM267" i="1"/>
  <c r="Y267" i="1"/>
  <c r="P267" i="1"/>
  <c r="X265" i="1"/>
  <c r="X264" i="1"/>
  <c r="BO263" i="1"/>
  <c r="BM263" i="1"/>
  <c r="Y263" i="1"/>
  <c r="BN263" i="1" s="1"/>
  <c r="P263" i="1"/>
  <c r="BO262" i="1"/>
  <c r="BM262" i="1"/>
  <c r="Y262" i="1"/>
  <c r="Y264" i="1" s="1"/>
  <c r="P262" i="1"/>
  <c r="X260" i="1"/>
  <c r="X259" i="1"/>
  <c r="BO258" i="1"/>
  <c r="BM258" i="1"/>
  <c r="Y258" i="1"/>
  <c r="P258" i="1"/>
  <c r="BO257" i="1"/>
  <c r="BM257" i="1"/>
  <c r="Y257" i="1"/>
  <c r="P257" i="1"/>
  <c r="X254" i="1"/>
  <c r="X253" i="1"/>
  <c r="BO252" i="1"/>
  <c r="BM252" i="1"/>
  <c r="Y252" i="1"/>
  <c r="P252" i="1"/>
  <c r="X250" i="1"/>
  <c r="X249" i="1"/>
  <c r="BO248" i="1"/>
  <c r="BM248" i="1"/>
  <c r="Y248" i="1"/>
  <c r="BN248" i="1" s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BN238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N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P184" i="1"/>
  <c r="BO183" i="1"/>
  <c r="BM183" i="1"/>
  <c r="Y183" i="1"/>
  <c r="BN183" i="1" s="1"/>
  <c r="P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Z179" i="1"/>
  <c r="Y179" i="1"/>
  <c r="BN179" i="1" s="1"/>
  <c r="P179" i="1"/>
  <c r="BO178" i="1"/>
  <c r="BM178" i="1"/>
  <c r="Y178" i="1"/>
  <c r="P178" i="1"/>
  <c r="BO177" i="1"/>
  <c r="BM177" i="1"/>
  <c r="Y177" i="1"/>
  <c r="BN177" i="1" s="1"/>
  <c r="P177" i="1"/>
  <c r="BO176" i="1"/>
  <c r="BM176" i="1"/>
  <c r="Y176" i="1"/>
  <c r="P176" i="1"/>
  <c r="BO175" i="1"/>
  <c r="BM175" i="1"/>
  <c r="Y175" i="1"/>
  <c r="BN175" i="1" s="1"/>
  <c r="P175" i="1"/>
  <c r="X173" i="1"/>
  <c r="X172" i="1"/>
  <c r="BO171" i="1"/>
  <c r="BM171" i="1"/>
  <c r="Y171" i="1"/>
  <c r="P171" i="1"/>
  <c r="BO170" i="1"/>
  <c r="BM170" i="1"/>
  <c r="Y170" i="1"/>
  <c r="Y172" i="1" s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Z155" i="1" s="1"/>
  <c r="P155" i="1"/>
  <c r="BO154" i="1"/>
  <c r="BM154" i="1"/>
  <c r="Y154" i="1"/>
  <c r="BP154" i="1" s="1"/>
  <c r="P154" i="1"/>
  <c r="BO153" i="1"/>
  <c r="BM153" i="1"/>
  <c r="Y153" i="1"/>
  <c r="P153" i="1"/>
  <c r="BO152" i="1"/>
  <c r="BM152" i="1"/>
  <c r="Y152" i="1"/>
  <c r="BP152" i="1" s="1"/>
  <c r="P152" i="1"/>
  <c r="BO151" i="1"/>
  <c r="BM151" i="1"/>
  <c r="Z151" i="1"/>
  <c r="Y151" i="1"/>
  <c r="BN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X146" i="1"/>
  <c r="X145" i="1"/>
  <c r="BO144" i="1"/>
  <c r="BM144" i="1"/>
  <c r="Y144" i="1"/>
  <c r="BN144" i="1" s="1"/>
  <c r="P144" i="1"/>
  <c r="BO143" i="1"/>
  <c r="BM143" i="1"/>
  <c r="Y143" i="1"/>
  <c r="BP143" i="1" s="1"/>
  <c r="P143" i="1"/>
  <c r="BO142" i="1"/>
  <c r="BM142" i="1"/>
  <c r="Y142" i="1"/>
  <c r="BN142" i="1" s="1"/>
  <c r="P142" i="1"/>
  <c r="X140" i="1"/>
  <c r="X139" i="1"/>
  <c r="BO138" i="1"/>
  <c r="BM138" i="1"/>
  <c r="Y138" i="1"/>
  <c r="BN138" i="1" s="1"/>
  <c r="P138" i="1"/>
  <c r="BO137" i="1"/>
  <c r="BM137" i="1"/>
  <c r="Y137" i="1"/>
  <c r="BP137" i="1" s="1"/>
  <c r="P137" i="1"/>
  <c r="BO136" i="1"/>
  <c r="BM136" i="1"/>
  <c r="Y136" i="1"/>
  <c r="BP136" i="1" s="1"/>
  <c r="P136" i="1"/>
  <c r="BO135" i="1"/>
  <c r="BM135" i="1"/>
  <c r="Y135" i="1"/>
  <c r="P135" i="1"/>
  <c r="X133" i="1"/>
  <c r="X132" i="1"/>
  <c r="BO131" i="1"/>
  <c r="BM131" i="1"/>
  <c r="Y131" i="1"/>
  <c r="BP131" i="1" s="1"/>
  <c r="P131" i="1"/>
  <c r="BO130" i="1"/>
  <c r="BM130" i="1"/>
  <c r="Y130" i="1"/>
  <c r="BN130" i="1" s="1"/>
  <c r="P130" i="1"/>
  <c r="BO129" i="1"/>
  <c r="BM129" i="1"/>
  <c r="Y129" i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O119" i="1"/>
  <c r="BM119" i="1"/>
  <c r="Y119" i="1"/>
  <c r="P119" i="1"/>
  <c r="BO118" i="1"/>
  <c r="BM118" i="1"/>
  <c r="Y118" i="1"/>
  <c r="BP118" i="1" s="1"/>
  <c r="P118" i="1"/>
  <c r="BO117" i="1"/>
  <c r="BM117" i="1"/>
  <c r="Y117" i="1"/>
  <c r="BN117" i="1" s="1"/>
  <c r="P117" i="1"/>
  <c r="X115" i="1"/>
  <c r="X114" i="1"/>
  <c r="BO113" i="1"/>
  <c r="BM113" i="1"/>
  <c r="Y113" i="1"/>
  <c r="P113" i="1"/>
  <c r="BO112" i="1"/>
  <c r="BM112" i="1"/>
  <c r="Y112" i="1"/>
  <c r="BP112" i="1" s="1"/>
  <c r="P112" i="1"/>
  <c r="BO111" i="1"/>
  <c r="BM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X107" i="1"/>
  <c r="X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BN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N94" i="1" s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N86" i="1" s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O79" i="1"/>
  <c r="BM79" i="1"/>
  <c r="Y79" i="1"/>
  <c r="BN79" i="1" s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Y73" i="1"/>
  <c r="BN73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58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N22" i="1" l="1"/>
  <c r="BN30" i="1"/>
  <c r="BN40" i="1"/>
  <c r="BN50" i="1"/>
  <c r="BP57" i="1"/>
  <c r="BN57" i="1"/>
  <c r="BN59" i="1"/>
  <c r="BP103" i="1"/>
  <c r="BN103" i="1"/>
  <c r="Z103" i="1"/>
  <c r="BN171" i="1"/>
  <c r="Z171" i="1"/>
  <c r="BP195" i="1"/>
  <c r="BN195" i="1"/>
  <c r="Z195" i="1"/>
  <c r="BN209" i="1"/>
  <c r="Z209" i="1"/>
  <c r="BN228" i="1"/>
  <c r="Z228" i="1"/>
  <c r="BN240" i="1"/>
  <c r="Z240" i="1"/>
  <c r="Y254" i="1"/>
  <c r="Y253" i="1"/>
  <c r="BN252" i="1"/>
  <c r="BN288" i="1"/>
  <c r="Z288" i="1"/>
  <c r="BP319" i="1"/>
  <c r="BN319" i="1"/>
  <c r="Z319" i="1"/>
  <c r="BP342" i="1"/>
  <c r="BN342" i="1"/>
  <c r="Z342" i="1"/>
  <c r="BP348" i="1"/>
  <c r="BN348" i="1"/>
  <c r="Z348" i="1"/>
  <c r="BP382" i="1"/>
  <c r="BN382" i="1"/>
  <c r="Z382" i="1"/>
  <c r="BN500" i="1"/>
  <c r="BP522" i="1"/>
  <c r="BN522" i="1"/>
  <c r="Z522" i="1"/>
  <c r="BP92" i="1"/>
  <c r="BN92" i="1"/>
  <c r="Z92" i="1"/>
  <c r="BP113" i="1"/>
  <c r="BN113" i="1"/>
  <c r="Z113" i="1"/>
  <c r="BP119" i="1"/>
  <c r="BN119" i="1"/>
  <c r="Z119" i="1"/>
  <c r="BP153" i="1"/>
  <c r="BN153" i="1"/>
  <c r="Z153" i="1"/>
  <c r="BP181" i="1"/>
  <c r="BN181" i="1"/>
  <c r="Z181" i="1"/>
  <c r="BP185" i="1"/>
  <c r="BN185" i="1"/>
  <c r="Z185" i="1"/>
  <c r="BP209" i="1"/>
  <c r="BN211" i="1"/>
  <c r="Z211" i="1"/>
  <c r="BN234" i="1"/>
  <c r="BP240" i="1"/>
  <c r="BN242" i="1"/>
  <c r="Z242" i="1"/>
  <c r="BP257" i="1"/>
  <c r="BN257" i="1"/>
  <c r="Z257" i="1"/>
  <c r="BP278" i="1"/>
  <c r="BN280" i="1"/>
  <c r="Z280" i="1"/>
  <c r="BP305" i="1"/>
  <c r="BN305" i="1"/>
  <c r="Z305" i="1"/>
  <c r="BP326" i="1"/>
  <c r="BN326" i="1"/>
  <c r="Z326" i="1"/>
  <c r="BP362" i="1"/>
  <c r="BN362" i="1"/>
  <c r="Z362" i="1"/>
  <c r="BP374" i="1"/>
  <c r="BN374" i="1"/>
  <c r="Z374" i="1"/>
  <c r="BP388" i="1"/>
  <c r="BN388" i="1"/>
  <c r="Z388" i="1"/>
  <c r="BN432" i="1"/>
  <c r="BN444" i="1"/>
  <c r="Z444" i="1"/>
  <c r="BN465" i="1"/>
  <c r="BN475" i="1"/>
  <c r="BN67" i="1"/>
  <c r="BN136" i="1"/>
  <c r="BN269" i="1"/>
  <c r="BP294" i="1"/>
  <c r="BN301" i="1"/>
  <c r="BN370" i="1"/>
  <c r="BN481" i="1"/>
  <c r="BN551" i="1"/>
  <c r="F10" i="1"/>
  <c r="Z22" i="1"/>
  <c r="Y32" i="1"/>
  <c r="Z30" i="1"/>
  <c r="C564" i="1"/>
  <c r="Z40" i="1"/>
  <c r="D564" i="1"/>
  <c r="Z50" i="1"/>
  <c r="Z57" i="1"/>
  <c r="BN61" i="1"/>
  <c r="BN69" i="1"/>
  <c r="Z79" i="1"/>
  <c r="BP79" i="1"/>
  <c r="Z86" i="1"/>
  <c r="BP86" i="1"/>
  <c r="Y96" i="1"/>
  <c r="Z94" i="1"/>
  <c r="BP94" i="1"/>
  <c r="Z101" i="1"/>
  <c r="BP101" i="1"/>
  <c r="BN105" i="1"/>
  <c r="Z130" i="1"/>
  <c r="Z136" i="1"/>
  <c r="BN149" i="1"/>
  <c r="BP151" i="1"/>
  <c r="Z177" i="1"/>
  <c r="BP177" i="1"/>
  <c r="BP224" i="1"/>
  <c r="Z224" i="1"/>
  <c r="BN226" i="1"/>
  <c r="BP228" i="1"/>
  <c r="BP274" i="1"/>
  <c r="Y290" i="1"/>
  <c r="BP284" i="1"/>
  <c r="Z284" i="1"/>
  <c r="BN286" i="1"/>
  <c r="BP288" i="1"/>
  <c r="Y311" i="1"/>
  <c r="Y310" i="1"/>
  <c r="BN309" i="1"/>
  <c r="BP309" i="1"/>
  <c r="Y315" i="1"/>
  <c r="BP313" i="1"/>
  <c r="Z313" i="1"/>
  <c r="Z314" i="1" s="1"/>
  <c r="BP317" i="1"/>
  <c r="BP328" i="1"/>
  <c r="Z328" i="1"/>
  <c r="BP380" i="1"/>
  <c r="BP418" i="1"/>
  <c r="Z418" i="1"/>
  <c r="BP111" i="1"/>
  <c r="Z111" i="1"/>
  <c r="BP144" i="1"/>
  <c r="Y193" i="1"/>
  <c r="BP189" i="1"/>
  <c r="Z189" i="1"/>
  <c r="Y192" i="1"/>
  <c r="BP232" i="1"/>
  <c r="Z232" i="1"/>
  <c r="BP263" i="1"/>
  <c r="BP267" i="1"/>
  <c r="Z267" i="1"/>
  <c r="BP271" i="1"/>
  <c r="BP299" i="1"/>
  <c r="Z299" i="1"/>
  <c r="BP303" i="1"/>
  <c r="BP372" i="1"/>
  <c r="BP400" i="1"/>
  <c r="BP406" i="1"/>
  <c r="Z406" i="1"/>
  <c r="BP420" i="1"/>
  <c r="BP426" i="1"/>
  <c r="Z426" i="1"/>
  <c r="BP477" i="1"/>
  <c r="Z477" i="1"/>
  <c r="BP492" i="1"/>
  <c r="Z492" i="1"/>
  <c r="BP502" i="1"/>
  <c r="Z502" i="1"/>
  <c r="BP512" i="1"/>
  <c r="BP518" i="1"/>
  <c r="Z518" i="1"/>
  <c r="BP546" i="1"/>
  <c r="F9" i="1"/>
  <c r="Z61" i="1"/>
  <c r="Y71" i="1"/>
  <c r="Z69" i="1"/>
  <c r="Y75" i="1"/>
  <c r="Z105" i="1"/>
  <c r="BP138" i="1"/>
  <c r="Y146" i="1"/>
  <c r="Z144" i="1"/>
  <c r="Z149" i="1"/>
  <c r="BP171" i="1"/>
  <c r="BP175" i="1"/>
  <c r="Z175" i="1"/>
  <c r="BP179" i="1"/>
  <c r="BN224" i="1"/>
  <c r="Z226" i="1"/>
  <c r="BP248" i="1"/>
  <c r="Z263" i="1"/>
  <c r="Z271" i="1"/>
  <c r="BN284" i="1"/>
  <c r="Z286" i="1"/>
  <c r="Z303" i="1"/>
  <c r="BN313" i="1"/>
  <c r="BN328" i="1"/>
  <c r="BP335" i="1"/>
  <c r="Z335" i="1"/>
  <c r="BP340" i="1"/>
  <c r="BP364" i="1"/>
  <c r="Z372" i="1"/>
  <c r="Y396" i="1"/>
  <c r="BN392" i="1"/>
  <c r="BP392" i="1"/>
  <c r="Z400" i="1"/>
  <c r="Z420" i="1"/>
  <c r="BP428" i="1"/>
  <c r="BP504" i="1"/>
  <c r="Z512" i="1"/>
  <c r="BP520" i="1"/>
  <c r="Z546" i="1"/>
  <c r="J9" i="1"/>
  <c r="Z59" i="1"/>
  <c r="Z67" i="1"/>
  <c r="Z73" i="1"/>
  <c r="BP73" i="1"/>
  <c r="BN111" i="1"/>
  <c r="Y121" i="1"/>
  <c r="BP117" i="1"/>
  <c r="Z117" i="1"/>
  <c r="H564" i="1"/>
  <c r="BP130" i="1"/>
  <c r="Y140" i="1"/>
  <c r="Z138" i="1"/>
  <c r="Z142" i="1"/>
  <c r="BP142" i="1"/>
  <c r="BP183" i="1"/>
  <c r="Z183" i="1"/>
  <c r="BN189" i="1"/>
  <c r="BP207" i="1"/>
  <c r="Z207" i="1"/>
  <c r="BP211" i="1"/>
  <c r="BN232" i="1"/>
  <c r="Z234" i="1"/>
  <c r="BP238" i="1"/>
  <c r="Z238" i="1"/>
  <c r="BP242" i="1"/>
  <c r="Z248" i="1"/>
  <c r="Z252" i="1"/>
  <c r="Z253" i="1" s="1"/>
  <c r="BP252" i="1"/>
  <c r="BN267" i="1"/>
  <c r="Z269" i="1"/>
  <c r="BN278" i="1"/>
  <c r="BP280" i="1"/>
  <c r="BN299" i="1"/>
  <c r="Z301" i="1"/>
  <c r="Y330" i="1"/>
  <c r="BN324" i="1"/>
  <c r="BP324" i="1"/>
  <c r="Z340" i="1"/>
  <c r="BP344" i="1"/>
  <c r="Z344" i="1"/>
  <c r="BP355" i="1"/>
  <c r="Z364" i="1"/>
  <c r="Z370" i="1"/>
  <c r="BP386" i="1"/>
  <c r="Z392" i="1"/>
  <c r="BN406" i="1"/>
  <c r="U564" i="1"/>
  <c r="Y414" i="1"/>
  <c r="BP412" i="1"/>
  <c r="Z412" i="1"/>
  <c r="Z414" i="1" s="1"/>
  <c r="BN426" i="1"/>
  <c r="Z428" i="1"/>
  <c r="BP444" i="1"/>
  <c r="BP450" i="1"/>
  <c r="Z450" i="1"/>
  <c r="BN477" i="1"/>
  <c r="BN492" i="1"/>
  <c r="BN502" i="1"/>
  <c r="Z504" i="1"/>
  <c r="BN518" i="1"/>
  <c r="Z520" i="1"/>
  <c r="Y115" i="1"/>
  <c r="Z432" i="1"/>
  <c r="Z465" i="1"/>
  <c r="Z475" i="1"/>
  <c r="Z481" i="1"/>
  <c r="Z500" i="1"/>
  <c r="Z551" i="1"/>
  <c r="Z552" i="1" s="1"/>
  <c r="BP551" i="1"/>
  <c r="Y25" i="1"/>
  <c r="Y33" i="1"/>
  <c r="Y43" i="1"/>
  <c r="Y51" i="1"/>
  <c r="Y80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BP180" i="1"/>
  <c r="BN180" i="1"/>
  <c r="Z180" i="1"/>
  <c r="BP184" i="1"/>
  <c r="BN184" i="1"/>
  <c r="Z184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BP268" i="1"/>
  <c r="BN268" i="1"/>
  <c r="Z268" i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Y421" i="1"/>
  <c r="P564" i="1"/>
  <c r="Y64" i="1"/>
  <c r="Y70" i="1"/>
  <c r="Y76" i="1"/>
  <c r="Y89" i="1"/>
  <c r="Y95" i="1"/>
  <c r="H9" i="1"/>
  <c r="B564" i="1"/>
  <c r="X555" i="1"/>
  <c r="X556" i="1"/>
  <c r="Z23" i="1"/>
  <c r="Z24" i="1" s="1"/>
  <c r="BN23" i="1"/>
  <c r="Y24" i="1"/>
  <c r="X554" i="1"/>
  <c r="Z27" i="1"/>
  <c r="BN27" i="1"/>
  <c r="BP27" i="1"/>
  <c r="Z29" i="1"/>
  <c r="BN29" i="1"/>
  <c r="Z31" i="1"/>
  <c r="BN31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Z70" i="1" s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BN85" i="1"/>
  <c r="Z87" i="1"/>
  <c r="BN87" i="1"/>
  <c r="Y88" i="1"/>
  <c r="Z91" i="1"/>
  <c r="Z95" i="1" s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Z118" i="1"/>
  <c r="BN118" i="1"/>
  <c r="Z120" i="1"/>
  <c r="BN120" i="1"/>
  <c r="Z124" i="1"/>
  <c r="Z125" i="1" s="1"/>
  <c r="BN124" i="1"/>
  <c r="BP124" i="1"/>
  <c r="Z129" i="1"/>
  <c r="Z132" i="1" s="1"/>
  <c r="BN129" i="1"/>
  <c r="BP129" i="1"/>
  <c r="Z131" i="1"/>
  <c r="BN131" i="1"/>
  <c r="Y132" i="1"/>
  <c r="Z135" i="1"/>
  <c r="BN135" i="1"/>
  <c r="BP135" i="1"/>
  <c r="Z137" i="1"/>
  <c r="BN137" i="1"/>
  <c r="Z143" i="1"/>
  <c r="Z145" i="1" s="1"/>
  <c r="BN143" i="1"/>
  <c r="I564" i="1"/>
  <c r="Y156" i="1"/>
  <c r="Z150" i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BP190" i="1"/>
  <c r="BN190" i="1"/>
  <c r="Z190" i="1"/>
  <c r="Z192" i="1" s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Y250" i="1"/>
  <c r="Y249" i="1"/>
  <c r="BP258" i="1"/>
  <c r="BN258" i="1"/>
  <c r="Z258" i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BP318" i="1"/>
  <c r="BN318" i="1"/>
  <c r="Z318" i="1"/>
  <c r="Z320" i="1" s="1"/>
  <c r="Y320" i="1"/>
  <c r="BP341" i="1"/>
  <c r="BN341" i="1"/>
  <c r="Z341" i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Z389" i="1" s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21" i="1"/>
  <c r="BP325" i="1"/>
  <c r="BN325" i="1"/>
  <c r="Z325" i="1"/>
  <c r="Y329" i="1"/>
  <c r="BP334" i="1"/>
  <c r="BN334" i="1"/>
  <c r="Z334" i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Z408" i="1" s="1"/>
  <c r="BP427" i="1"/>
  <c r="BN427" i="1"/>
  <c r="Z427" i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Z440" i="1" s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Z478" i="1" s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345" i="1" l="1"/>
  <c r="Z396" i="1"/>
  <c r="Z336" i="1"/>
  <c r="Z329" i="1"/>
  <c r="Z306" i="1"/>
  <c r="Z259" i="1"/>
  <c r="Z156" i="1"/>
  <c r="Z114" i="1"/>
  <c r="Z88" i="1"/>
  <c r="Z63" i="1"/>
  <c r="Z421" i="1"/>
  <c r="Z249" i="1"/>
  <c r="Z243" i="1"/>
  <c r="Z376" i="1"/>
  <c r="Z366" i="1"/>
  <c r="Z121" i="1"/>
  <c r="Z167" i="1"/>
  <c r="Z446" i="1"/>
  <c r="Z434" i="1"/>
  <c r="Z275" i="1"/>
  <c r="Z186" i="1"/>
  <c r="Y556" i="1"/>
  <c r="Z467" i="1"/>
  <c r="Z139" i="1"/>
  <c r="Z106" i="1"/>
  <c r="Y555" i="1"/>
  <c r="Y557" i="1" s="1"/>
  <c r="Z508" i="1"/>
  <c r="Z524" i="1"/>
  <c r="Z383" i="1"/>
  <c r="Z235" i="1"/>
  <c r="Z213" i="1"/>
  <c r="Y554" i="1"/>
  <c r="Z494" i="1"/>
  <c r="Z290" i="1"/>
  <c r="Z357" i="1"/>
  <c r="Z32" i="1"/>
  <c r="Y558" i="1"/>
  <c r="X557" i="1"/>
  <c r="Z402" i="1"/>
  <c r="Z559" i="1" l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<sst xmlns="http://schemas.openxmlformats.org/spreadsheetml/2006/main" count="2517" uniqueCount="913">
  <si>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</si>
  <si>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</si>
  <si>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</si>
  <si>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</si>
  <si>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</si>
  <si>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</si>
  <si>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</si>
  <si>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</si>
  <si>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</si>
  <si>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</si>
  <si>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</si>
  <si>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</si>
  <si>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</si>
  <si>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</si>
  <si>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</si>
  <si>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</si>
  <si>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</si>
  <si>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</si>
  <si>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</si>
  <si>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</si>
  <si>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</si>
  <si>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</si>
  <si>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</si>
  <si>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</si>
  <si>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</si>
  <si>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</si>
  <si>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</si>
  <si>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</si>
  <si>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</si>
  <si>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</si>
  <si>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</si>
  <si>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</si>
  <si>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</si>
  <si>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</si>
  <si>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</si>
  <si>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</si>
  <si>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</si>
  <si>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</si>
  <si>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</si>
  <si>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</si>
  <si>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</si>
  <si>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</si>
  <si>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</si>
  <si>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</si>
  <si>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</si>
  <si>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</si>
  <si>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</si>
  <si>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</si>
  <si>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</si>
  <si>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</si>
  <si>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</si>
  <si>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</si>
  <si>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</si>
  <si>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</si>
  <si>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</si>
  <si>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</si>
  <si>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</si>
  <si>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</si>
  <si>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</si>
  <si>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</si>
  <si>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</si>
  <si>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</si>
  <si>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</si>
  <si>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</si>
  <si>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</si>
  <si>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</si>
  <si>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</si>
  <si>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</si>
  <si>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</si>
  <si>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</si>
  <si>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</si>
  <si>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</si>
  <si>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</si>
  <si>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</si>
  <si>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</si>
  <si>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</si>
  <si>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</si>
  <si>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</si>
  <si>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</si>
  <si>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</si>
  <si>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</si>
  <si>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</si>
  <si>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</si>
  <si>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</si>
  <si>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</si>
  <si>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</si>
  <si>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</si>
  <si>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</si>
  <si>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</si>
  <si>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</si>
  <si>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</si>
  <si>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</si>
  <si>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</si>
  <si>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</si>
  <si>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</si>
  <si>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</si>
  <si>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</si>
  <si>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</si>
  <si>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</si>
  <si>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</si>
  <si>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</si>
  <si>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</si>
  <si>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</si>
  <si>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</si>
  <si>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</si>
  <si>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</si>
  <si>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</si>
  <si>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</si>
  <si>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</si>
  <si>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</si>
  <si>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</si>
  <si>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</si>
  <si>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</si>
  <si>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</si>
  <si>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</si>
  <si>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</si>
  <si>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</si>
  <si>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</si>
  <si>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</si>
  <si>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</si>
  <si>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</si>
  <si>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</si>
  <si>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</si>
  <si>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</si>
  <si>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</si>
  <si>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</si>
  <si>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</si>
  <si>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</si>
  <si>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</si>
  <si>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</si>
  <si>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</si>
  <si>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</si>
  <si>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</si>
  <si>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</si>
  <si>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</si>
  <si>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</si>
  <si>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</si>
  <si>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</si>
  <si>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</si>
  <si>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</si>
  <si>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</si>
  <si>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</si>
  <si>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</si>
  <si>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</si>
  <si>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</si>
  <si>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</si>
  <si>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</si>
  <si>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</si>
  <si>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</si>
  <si>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</si>
  <si>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</si>
  <si>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</si>
  <si>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</si>
  <si>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</si>
  <si>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</si>
  <si>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</si>
  <si>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</si>
  <si>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</si>
  <si>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</si>
  <si>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</si>
  <si>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</si>
  <si>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</si>
  <si>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</si>
  <si>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</si>
  <si>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</si>
  <si>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</si>
  <si>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</si>
  <si>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</si>
  <si>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</si>
  <si>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</si>
  <si>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</si>
  <si>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</si>
  <si>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</si>
  <si>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</si>
  <si>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</si>
  <si>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</si>
  <si>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</si>
  <si>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</si>
  <si>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</si>
  <si>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</si>
  <si>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</si>
  <si>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</si>
  <si>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</si>
  <si>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</si>
  <si>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</si>
  <si>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</si>
  <si>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</si>
  <si>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</si>
  <si>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</si>
  <si>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</si>
  <si>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</si>
  <si>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</si>
  <si>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</si>
  <si>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</si>
  <si>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</si>
  <si>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</si>
  <si>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</si>
  <si>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</si>
  <si>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</si>
  <si>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</si>
  <si>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</si>
  <si>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</si>
  <si>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</si>
  <si>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</si>
  <si>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</si>
  <si>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</si>
  <si>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</si>
  <si>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</si>
  <si>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</si>
  <si>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</si>
  <si>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</si>
  <si>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</si>
  <si>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</si>
  <si>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</si>
  <si>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</si>
  <si>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</si>
  <si>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</si>
  <si>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</si>
  <si>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</si>
  <si>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</si>
  <si>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</si>
  <si>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</si>
  <si>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</si>
  <si>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</si>
  <si>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</si>
  <si>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</si>
  <si>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</si>
  <si>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</si>
  <si>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</si>
  <si>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</si>
  <si>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</si>
  <si>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</si>
  <si>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</si>
  <si>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</si>
  <si>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</si>
  <si>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</si>
  <si>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</si>
  <si>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</si>
  <si>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</si>
  <si>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</si>
  <si>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</si>
  <si>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</si>
  <si>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</si>
  <si>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</si>
  <si>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</si>
  <si>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</si>
  <si>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</si>
  <si>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</si>
  <si>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</si>
  <si>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</si>
  <si>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</si>
  <si>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</si>
  <si>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</si>
  <si>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</si>
  <si>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</si>
  <si>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</si>
  <si>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</si>
  <si>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</si>
  <si>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</si>
  <si>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</si>
  <si>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</si>
  <si>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</si>
  <si>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</si>
  <si>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</si>
  <si>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</si>
  <si>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</si>
  <si>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</si>
  <si>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</si>
  <si>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</si>
  <si>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</si>
  <si>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</si>
  <si>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</si>
  <si>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</si>
  <si>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</si>
  <si>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</si>
  <si>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</si>
  <si>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</si>
  <si>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</si>
  <si>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</si>
  <si>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</si>
  <si>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</si>
  <si>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</si>
  <si>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</si>
  <si>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</si>
  <si>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</si>
  <si>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</si>
  <si>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</si>
  <si>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</si>
  <si>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</si>
  <si>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</si>
  <si>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</si>
  <si>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</si>
  <si>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</si>
  <si>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</si>
  <si>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</si>
  <si>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</si>
  <si>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</si>
  <si>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</si>
  <si>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</si>
  <si>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</si>
  <si>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</si>
  <si>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</si>
  <si>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</si>
  <si>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</si>
  <si>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</si>
  <si>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</si>
  <si>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</si>
  <si>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</si>
  <si>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</si>
  <si>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</si>
  <si>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</si>
  <si>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</si>
  <si>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</si>
  <si>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</si>
  <si>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</si>
  <si>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</si>
  <si>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</si>
  <si>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</si>
  <si>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</si>
  <si>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</si>
  <si>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</si>
  <si>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</si>
  <si>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</si>
  <si>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</si>
  <si>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</si>
  <si>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</si>
  <si>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</si>
  <si>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</si>
  <si>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</si>
  <si>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</si>
  <si>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</si>
  <si>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</si>
  <si>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</si>
  <si>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</si>
  <si>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</si>
  <si>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</si>
  <si>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</si>
  <si>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</si>
  <si>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</si>
  <si>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</si>
  <si>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</si>
  <si>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</si>
  <si>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</si>
  <si>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</si>
  <si>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</si>
  <si>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</si>
  <si>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</si>
  <si>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</si>
  <si>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</si>
  <si>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</si>
  <si>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</si>
  <si>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</si>
  <si>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</si>
  <si>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</si>
  <si>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</si>
  <si>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</si>
  <si>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</si>
  <si>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</si>
  <si>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</si>
  <si>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</si>
  <si>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</si>
  <si>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</si>
  <si>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</si>
  <si>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</si>
  <si>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</si>
  <si>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</si>
  <si>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</si>
  <si>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</si>
  <si>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</si>
  <si>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</si>
  <si>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</si>
  <si>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</si>
  <si>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</si>
  <si>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</si>
  <si>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</si>
  <si>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</si>
  <si>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</si>
  <si>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</si>
  <si>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</si>
  <si>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</si>
  <si>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</si>
  <si>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</si>
  <si>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</si>
  <si>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</si>
  <si>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</si>
  <si>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</si>
  <si>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</si>
  <si>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</si>
  <si>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</si>
  <si>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</si>
  <si>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</si>
  <si>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</si>
  <si>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</si>
  <si>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</si>
  <si>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</si>
  <si>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</si>
  <si>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</si>
  <si>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</si>
  <si>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</si>
  <si>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</si>
  <si>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</si>
  <si>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</si>
  <si>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</si>
  <si>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</si>
  <si>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</si>
  <si>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</si>
  <si>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</si>
  <si>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</si>
  <si>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</si>
  <si>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</si>
  <si>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</si>
  <si>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</si>
  <si>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</si>
  <si>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</si>
  <si>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</si>
  <si>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</si>
  <si>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</si>
  <si>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</si>
  <si>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</si>
  <si>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</si>
  <si>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</si>
  <si>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</si>
  <si>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</si>
  <si>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</si>
  <si>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</si>
  <si>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</si>
  <si>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</si>
  <si>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</si>
  <si>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</si>
  <si>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</si>
  <si>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</si>
  <si>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</si>
  <si>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</si>
  <si>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</si>
  <si>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</si>
  <si>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</si>
  <si>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</si>
  <si>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</si>
  <si>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</si>
  <si>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</si>
  <si>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</si>
  <si>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</si>
  <si>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</si>
  <si>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</si>
  <si>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</si>
  <si>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</si>
  <si>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</si>
  <si>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</si>
  <si>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</si>
  <si>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</si>
  <si>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</si>
  <si>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</si>
  <si>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</si>
  <si>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</si>
  <si>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</si>
  <si>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</si>
  <si>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</si>
  <si>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</si>
  <si>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</si>
  <si>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</si>
  <si>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</si>
  <si>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</si>
  <si>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</si>
  <si>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</si>
  <si>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</si>
  <si>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</si>
  <si>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</si>
  <si>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</si>
  <si>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</si>
  <si>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</si>
  <si>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</si>
  <si>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</si>
  <si>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</si>
  <si>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</si>
  <si>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</si>
  <si>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</si>
  <si>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</si>
  <si>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</si>
  <si>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</si>
  <si>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</si>
  <si>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</si>
  <si>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</si>
  <si>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</si>
  <si>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</si>
  <si>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</si>
  <si>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</si>
  <si>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</si>
  <si>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</si>
  <si>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</si>
  <si>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</si>
  <si>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</si>
  <si>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</si>
  <si>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</si>
  <si>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</si>
  <si>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</si>
  <si>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</si>
  <si>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</si>
  <si>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</si>
  <si>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</si>
  <si>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</si>
  <si>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</si>
  <si>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</si>
  <si>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</si>
  <si>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</si>
  <si>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</si>
  <si>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</si>
  <si>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</si>
  <si>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</si>
  <si>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</si>
  <si>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</si>
  <si>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</si>
  <si>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</si>
  <si>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</si>
  <si>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</si>
  <si>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</si>
  <si>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</si>
  <si>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</si>
  <si>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</si>
  <si>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</si>
  <si>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</si>
  <si>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</si>
  <si>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</si>
  <si>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</si>
  <si>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</si>
  <si>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</si>
  <si>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</si>
  <si>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</si>
  <si>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</si>
  <si>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</si>
  <si>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</si>
  <si>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</si>
  <si>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</si>
  <si>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</si>
  <si>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</si>
  <si>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</si>
  <si>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</si>
  <si>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</si>
  <si>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</si>
  <si>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</si>
  <si>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</si>
  <si>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</si>
  <si>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</si>
  <si>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</si>
  <si>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</si>
  <si>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</si>
  <si>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</si>
  <si>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</si>
  <si>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</si>
  <si>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</si>
  <si>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</si>
  <si>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</si>
  <si>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</si>
  <si>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</si>
  <si>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</si>
  <si>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</si>
  <si>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</si>
  <si>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</si>
  <si>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</si>
  <si>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</si>
  <si>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</si>
  <si>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</si>
  <si>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</si>
  <si>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</si>
  <si>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</si>
  <si>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</si>
  <si>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</si>
  <si>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</si>
  <si>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</si>
  <si>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</si>
  <si>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</si>
  <si>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</si>
  <si>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</si>
  <si>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</si>
  <si>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</si>
  <si>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</si>
  <si>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</si>
  <si>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</si>
  <si>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</si>
  <si>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</si>
  <si>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</si>
  <si>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</si>
  <si>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</si>
  <si>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</si>
  <si>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</si>
  <si>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</si>
  <si>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</si>
  <si>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</si>
  <si>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</si>
  <si>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</si>
  <si>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</si>
  <si>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</si>
  <si>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</si>
  <si>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</si>
  <si>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</si>
  <si>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</si>
  <si>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</si>
  <si>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</si>
  <si>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</si>
  <si>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</si>
  <si>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</si>
  <si>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</si>
  <si>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</si>
  <si>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</si>
  <si>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</si>
  <si>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</si>
  <si>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</si>
  <si>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</si>
  <si>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</si>
  <si>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</si>
  <si>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</si>
  <si>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</si>
  <si>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</si>
  <si>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</si>
  <si>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</si>
  <si>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</si>
  <si>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</si>
  <si>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</si>
  <si>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</si>
  <si>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</si>
  <si>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</si>
  <si>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</si>
  <si>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</si>
  <si>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</si>
  <si>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</si>
  <si>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</si>
  <si>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</si>
  <si>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</si>
  <si>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</si>
  <si>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</si>
  <si>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</si>
  <si>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</si>
  <si>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</si>
  <si>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</si>
  <si>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</si>
  <si>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</si>
  <si>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</si>
  <si>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</si>
  <si>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</si>
  <si>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</si>
  <si>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</si>
  <si>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</si>
  <si>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</si>
  <si>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</si>
  <si>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</si>
  <si>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</si>
  <si>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</si>
  <si>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</si>
  <si>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</si>
  <si>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</si>
  <si>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</si>
  <si>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</si>
  <si>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</si>
  <si>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</si>
  <si>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</si>
  <si>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</si>
  <si>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</si>
  <si>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</si>
  <si>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</si>
  <si>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</si>
  <si>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</si>
  <si>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</si>
  <si>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</si>
  <si>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</si>
  <si>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</si>
  <si>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</si>
  <si>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</si>
  <si>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</si>
  <si>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</si>
  <si>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</si>
  <si>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</si>
  <si>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</si>
  <si>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</si>
  <si>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</si>
  <si>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</si>
  <si>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</si>
  <si>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</si>
  <si>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</si>
  <si>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</si>
  <si>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</si>
  <si>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</si>
  <si>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</si>
  <si>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</si>
  <si>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</si>
  <si>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</si>
  <si>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</si>
  <si>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</si>
  <si>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</si>
  <si>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</si>
  <si>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</si>
  <si>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</si>
  <si>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</si>
  <si>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</si>
  <si>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</si>
  <si>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</si>
  <si>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</si>
  <si>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</si>
  <si>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</si>
  <si>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</si>
  <si>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</si>
  <si>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</si>
  <si>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</si>
  <si>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</si>
  <si>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</si>
  <si>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</si>
  <si>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</si>
  <si>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</si>
  <si>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</si>
  <si>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</si>
  <si>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</si>
  <si>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</si>
  <si>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</si>
  <si>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</si>
  <si>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</si>
  <si>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</si>
  <si>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</si>
  <si>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</si>
  <si>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</si>
  <si>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</si>
  <si>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</si>
  <si>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</si>
  <si>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</si>
  <si>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</si>
  <si>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</si>
  <si>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</si>
  <si>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</si>
  <si>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</si>
  <si>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</si>
  <si>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</si>
  <si>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</si>
  <si>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</si>
  <si>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</si>
  <si>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</si>
  <si>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</si>
  <si>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</si>
  <si>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</si>
  <si>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</si>
  <si>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</si>
  <si>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</si>
  <si>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</si>
  <si>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</si>
  <si>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</si>
  <si>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</si>
  <si>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</si>
  <si>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</si>
  <si>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</si>
  <si>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</si>
  <si>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</si>
  <si>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</si>
  <si>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</si>
  <si>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</si>
  <si>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</si>
  <si>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</si>
  <si>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</si>
  <si>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</si>
  <si>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</si>
  <si>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</si>
  <si>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</si>
  <si>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</si>
  <si>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</si>
  <si>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</si>
  <si>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</si>
  <si>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</si>
  <si>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</si>
  <si>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</si>
  <si>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</si>
  <si>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</si>
  <si>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</si>
  <si>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</si>
  <si>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</si>
  <si>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</si>
  <si>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</si>
  <si>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</si>
  <si>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</si>
  <si>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</si>
  <si>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</si>
  <si>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</si>
  <si>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</si>
  <si>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</si>
  <si>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</si>
  <si>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</si>
  <si>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</si>
  <si>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</si>
  <si>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</si>
  <si>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</si>
  <si>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</si>
  <si>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</si>
  <si>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</si>
  <si>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</si>
  <si>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</si>
  <si>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</si>
  <si>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</si>
  <si>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</si>
  <si>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</si>
  <si>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</si>
  <si>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</si>
  <si>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</si>
  <si>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</si>
  <si>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</si>
  <si>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</si>
  <si>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</si>
  <si>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</si>
  <si>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</si>
  <si>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</si>
  <si>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</si>
  <si>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</si>
  <si>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</si>
  <si>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</si>
  <si>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</si>
  <si>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</si>
  <si>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</si>
  <si>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</si>
  <si>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</si>
  <si>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</si>
  <si>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</si>
  <si>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</si>
  <si>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</si>
  <si>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</si>
  <si>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</si>
  <si>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</si>
  <si>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</si>
  <si>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</si>
  <si>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</si>
  <si>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</si>
  <si>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</si>
  <si>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</si>
  <si>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</si>
  <si>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</si>
  <si>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</si>
  <si>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</si>
  <si>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</si>
  <si>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</si>
  <si>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</si>
  <si>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</si>
  <si>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</si>
  <si>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</si>
  <si>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</si>
  <si>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</si>
  <si>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</si>
  <si>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</si>
  <si>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</si>
  <si>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</si>
  <si>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</si>
  <si>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</si>
  <si>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</si>
  <si>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</si>
  <si>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</si>
  <si>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</si>
  <si>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</si>
  <si>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</si>
  <si>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</si>
  <si>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</si>
  <si>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</si>
  <si>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</si>
  <si>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</si>
  <si>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</si>
  <si>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</si>
  <si>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</si>
  <si>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</si>
  <si>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</si>
  <si>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</si>
  <si>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</si>
  <si>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</si>
  <si>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</si>
  <si>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</si>
  <si>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</si>
  <si>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</si>
  <si>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</si>
  <si>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</si>
  <si>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</si>
  <si>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</si>
  <si>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</si>
  <si>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</si>
  <si>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</si>
  <si>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</si>
  <si>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</si>
  <si>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</si>
  <si>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</si>
  <si>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</si>
  <si>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</si>
  <si>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</si>
  <si>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</si>
  <si>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</si>
  <si>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</si>
  <si>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</si>
  <si>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</si>
  <si>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</si>
  <si>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</si>
  <si>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</si>
  <si>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</si>
  <si>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</si>
  <si>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</si>
  <si>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</si>
  <si>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</si>
  <si>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</si>
  <si>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</si>
  <si>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</si>
  <si>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</si>
  <si>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</si>
  <si>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</si>
  <si>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</si>
  <si>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</si>
  <si>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</si>
  <si>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</si>
  <si>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</si>
  <si>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</si>
  <si>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</si>
  <si>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</si>
  <si>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</si>
  <si>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</si>
  <si>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</si>
  <si>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</si>
  <si>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</si>
  <si>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31 европалет,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</si>
</sst>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912</v>
      </c>
      <c r="I5" s="909"/>
      <c r="J5" s="909"/>
      <c r="K5" s="909"/>
      <c r="L5" s="909"/>
      <c r="M5" s="728"/>
      <c r="N5" s="58"/>
      <c r="P5" s="24" t="s">
        <v>10</v>
      </c>
      <c r="Q5" s="983">
        <v>46252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885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Вторник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5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0.41666666666666669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26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0" t="s">
        <v>36</v>
      </c>
      <c r="D17" s="692" t="s">
        <v>37</v>
      </c>
      <c r="E17" s="749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48"/>
      <c r="R17" s="748"/>
      <c r="S17" s="748"/>
      <c r="T17" s="749"/>
      <c r="U17" s="974" t="s">
        <v>49</v>
      </c>
      <c r="V17" s="665"/>
      <c r="W17" s="692" t="s">
        <v>50</v>
      </c>
      <c r="X17" s="692" t="s">
        <v>51</v>
      </c>
      <c r="Y17" s="975" t="s">
        <v>52</v>
      </c>
      <c r="Z17" s="907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61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61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62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72</v>
      </c>
      <c r="Q24" s="642"/>
      <c r="R24" s="642"/>
      <c r="S24" s="642"/>
      <c r="T24" s="642"/>
      <c r="U24" s="642"/>
      <c r="V24" s="643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72</v>
      </c>
      <c r="Q25" s="642"/>
      <c r="R25" s="642"/>
      <c r="S25" s="642"/>
      <c r="T25" s="642"/>
      <c r="U25" s="642"/>
      <c r="V25" s="643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74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72</v>
      </c>
      <c r="Q32" s="642"/>
      <c r="R32" s="642"/>
      <c r="S32" s="642"/>
      <c r="T32" s="642"/>
      <c r="U32" s="642"/>
      <c r="V32" s="643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72</v>
      </c>
      <c r="Q33" s="642"/>
      <c r="R33" s="642"/>
      <c r="S33" s="642"/>
      <c r="T33" s="642"/>
      <c r="U33" s="642"/>
      <c r="V33" s="643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18" t="s">
        <v>92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93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74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72</v>
      </c>
      <c r="Q42" s="642"/>
      <c r="R42" s="642"/>
      <c r="S42" s="642"/>
      <c r="T42" s="642"/>
      <c r="U42" s="642"/>
      <c r="V42" s="643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72</v>
      </c>
      <c r="Q43" s="642"/>
      <c r="R43" s="642"/>
      <c r="S43" s="642"/>
      <c r="T43" s="642"/>
      <c r="U43" s="642"/>
      <c r="V43" s="643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109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110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111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3">
        <v>572</v>
      </c>
      <c r="Y47" s="634">
        <f>IFERROR(IF(X47="",0,CEILING((X47/$H47),1)*$H47),"")</f>
        <v>572.40000000000009</v>
      </c>
      <c r="Z47" s="36">
        <f>IFERROR(IF(Y47=0,"",ROUNDUP(Y47/H47,0)*0.01898),"")</f>
        <v>1.0059400000000001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593.71481481481487</v>
      </c>
      <c r="BN47" s="64">
        <f>IFERROR(Y47*I47/H47,"0")</f>
        <v>594.13000000000011</v>
      </c>
      <c r="BO47" s="64">
        <f>IFERROR(1/J47*(X47/H47),"0")</f>
        <v>0.82754629629629628</v>
      </c>
      <c r="BP47" s="64">
        <f>IFERROR(1/J47*(Y47/H47),"0")</f>
        <v>0.82812500000000011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72</v>
      </c>
      <c r="Q51" s="642"/>
      <c r="R51" s="642"/>
      <c r="S51" s="642"/>
      <c r="T51" s="642"/>
      <c r="U51" s="642"/>
      <c r="V51" s="643"/>
      <c r="W51" s="37" t="s">
        <v>73</v>
      </c>
      <c r="X51" s="635">
        <f>IFERROR(X47/H47,"0")+IFERROR(X48/H48,"0")+IFERROR(X49/H49,"0")+IFERROR(X50/H50,"0")</f>
        <v>52.962962962962962</v>
      </c>
      <c r="Y51" s="635">
        <f>IFERROR(Y47/H47,"0")+IFERROR(Y48/H48,"0")+IFERROR(Y49/H49,"0")+IFERROR(Y50/H50,"0")</f>
        <v>53.000000000000007</v>
      </c>
      <c r="Z51" s="635">
        <f>IFERROR(IF(Z47="",0,Z47),"0")+IFERROR(IF(Z48="",0,Z48),"0")+IFERROR(IF(Z49="",0,Z49),"0")+IFERROR(IF(Z50="",0,Z50),"0")</f>
        <v>1.0059400000000001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72</v>
      </c>
      <c r="Q52" s="642"/>
      <c r="R52" s="642"/>
      <c r="S52" s="642"/>
      <c r="T52" s="642"/>
      <c r="U52" s="642"/>
      <c r="V52" s="643"/>
      <c r="W52" s="37" t="s">
        <v>67</v>
      </c>
      <c r="X52" s="635">
        <f>IFERROR(SUM(X47:X50),"0")</f>
        <v>572</v>
      </c>
      <c r="Y52" s="635">
        <f>IFERROR(SUM(Y47:Y50),"0")</f>
        <v>572.40000000000009</v>
      </c>
      <c r="Z52" s="37"/>
      <c r="AA52" s="636"/>
      <c r="AB52" s="636"/>
      <c r="AC52" s="636"/>
    </row>
    <row r="53" spans="1:68" ht="16.5" hidden="1" customHeight="1" x14ac:dyDescent="0.25">
      <c r="A53" s="639" t="s">
        <v>126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111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hidden="1" customHeight="1" x14ac:dyDescent="0.25">
      <c r="A55" s="54" t="s">
        <v>127</v>
      </c>
      <c r="B55" s="54" t="s">
        <v>128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3">
        <v>232</v>
      </c>
      <c r="Y57" s="634">
        <f t="shared" si="0"/>
        <v>237.60000000000002</v>
      </c>
      <c r="Z57" s="36">
        <f>IFERROR(IF(Y57=0,"",ROUNDUP(Y57/H57,0)*0.01898),"")</f>
        <v>0.41755999999999999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240.80740740740742</v>
      </c>
      <c r="BN57" s="64">
        <f t="shared" si="2"/>
        <v>246.62000000000003</v>
      </c>
      <c r="BO57" s="64">
        <f t="shared" si="3"/>
        <v>0.33564814814814814</v>
      </c>
      <c r="BP57" s="64">
        <f t="shared" si="4"/>
        <v>0.34375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67</v>
      </c>
      <c r="X62" s="633">
        <v>56</v>
      </c>
      <c r="Y62" s="634">
        <f t="shared" si="0"/>
        <v>58.5</v>
      </c>
      <c r="Z62" s="36">
        <f>IFERROR(IF(Y62=0,"",ROUNDUP(Y62/H62,0)*0.00902),"")</f>
        <v>0.11726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58.364444444444452</v>
      </c>
      <c r="BN62" s="64">
        <f t="shared" si="2"/>
        <v>60.97</v>
      </c>
      <c r="BO62" s="64">
        <f t="shared" si="3"/>
        <v>9.4276094276094277E-2</v>
      </c>
      <c r="BP62" s="64">
        <f t="shared" si="4"/>
        <v>9.8484848484848481E-2</v>
      </c>
    </row>
    <row r="63" spans="1:68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72</v>
      </c>
      <c r="Q63" s="642"/>
      <c r="R63" s="642"/>
      <c r="S63" s="642"/>
      <c r="T63" s="642"/>
      <c r="U63" s="642"/>
      <c r="V63" s="643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33.925925925925924</v>
      </c>
      <c r="Y63" s="635">
        <f>IFERROR(Y55/H55,"0")+IFERROR(Y56/H56,"0")+IFERROR(Y57/H57,"0")+IFERROR(Y58/H58,"0")+IFERROR(Y59/H59,"0")+IFERROR(Y60/H60,"0")+IFERROR(Y61/H61,"0")+IFERROR(Y62/H62,"0")</f>
        <v>35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0.53481999999999996</v>
      </c>
      <c r="AA63" s="636"/>
      <c r="AB63" s="636"/>
      <c r="AC63" s="636"/>
    </row>
    <row r="64" spans="1:68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72</v>
      </c>
      <c r="Q64" s="642"/>
      <c r="R64" s="642"/>
      <c r="S64" s="642"/>
      <c r="T64" s="642"/>
      <c r="U64" s="642"/>
      <c r="V64" s="643"/>
      <c r="W64" s="37" t="s">
        <v>67</v>
      </c>
      <c r="X64" s="635">
        <f>IFERROR(SUM(X55:X62),"0")</f>
        <v>288</v>
      </c>
      <c r="Y64" s="635">
        <f>IFERROR(SUM(Y55:Y62),"0")</f>
        <v>296.10000000000002</v>
      </c>
      <c r="Z64" s="37"/>
      <c r="AA64" s="636"/>
      <c r="AB64" s="636"/>
      <c r="AC64" s="636"/>
    </row>
    <row r="65" spans="1:68" ht="14.25" hidden="1" customHeight="1" x14ac:dyDescent="0.25">
      <c r="A65" s="644" t="s">
        <v>147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hidden="1" customHeight="1" x14ac:dyDescent="0.25">
      <c r="A66" s="54" t="s">
        <v>148</v>
      </c>
      <c r="B66" s="54" t="s">
        <v>149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72</v>
      </c>
      <c r="Q70" s="642"/>
      <c r="R70" s="642"/>
      <c r="S70" s="642"/>
      <c r="T70" s="642"/>
      <c r="U70" s="642"/>
      <c r="V70" s="643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hidden="1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72</v>
      </c>
      <c r="Q71" s="642"/>
      <c r="R71" s="642"/>
      <c r="S71" s="642"/>
      <c r="T71" s="642"/>
      <c r="U71" s="642"/>
      <c r="V71" s="643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hidden="1" customHeight="1" x14ac:dyDescent="0.25">
      <c r="A72" s="644" t="s">
        <v>74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3">
        <v>62</v>
      </c>
      <c r="Y73" s="634">
        <f>IFERROR(IF(X73="",0,CEILING((X73/$H73),1)*$H73),"")</f>
        <v>63</v>
      </c>
      <c r="Z73" s="36">
        <f>IFERROR(IF(Y73=0,"",ROUNDUP(Y73/H73,0)*0.00651),"")</f>
        <v>0.22785</v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70.473333333333329</v>
      </c>
      <c r="BN73" s="64">
        <f>IFERROR(Y73*I73/H73,"0")</f>
        <v>71.61</v>
      </c>
      <c r="BO73" s="64">
        <f>IFERROR(1/J73*(X73/H73),"0")</f>
        <v>0.18925518925518925</v>
      </c>
      <c r="BP73" s="64">
        <f>IFERROR(1/J73*(Y73/H73),"0")</f>
        <v>0.19230769230769232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72</v>
      </c>
      <c r="Q75" s="642"/>
      <c r="R75" s="642"/>
      <c r="S75" s="642"/>
      <c r="T75" s="642"/>
      <c r="U75" s="642"/>
      <c r="V75" s="643"/>
      <c r="W75" s="37" t="s">
        <v>73</v>
      </c>
      <c r="X75" s="635">
        <f>IFERROR(X73/H73,"0")+IFERROR(X74/H74,"0")</f>
        <v>34.444444444444443</v>
      </c>
      <c r="Y75" s="635">
        <f>IFERROR(Y73/H73,"0")+IFERROR(Y74/H74,"0")</f>
        <v>35</v>
      </c>
      <c r="Z75" s="635">
        <f>IFERROR(IF(Z73="",0,Z73),"0")+IFERROR(IF(Z74="",0,Z74),"0")</f>
        <v>0.22785</v>
      </c>
      <c r="AA75" s="636"/>
      <c r="AB75" s="636"/>
      <c r="AC75" s="636"/>
    </row>
    <row r="76" spans="1:68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72</v>
      </c>
      <c r="Q76" s="642"/>
      <c r="R76" s="642"/>
      <c r="S76" s="642"/>
      <c r="T76" s="642"/>
      <c r="U76" s="642"/>
      <c r="V76" s="643"/>
      <c r="W76" s="37" t="s">
        <v>67</v>
      </c>
      <c r="X76" s="635">
        <f>IFERROR(SUM(X73:X74),"0")</f>
        <v>62</v>
      </c>
      <c r="Y76" s="635">
        <f>IFERROR(SUM(Y73:Y74),"0")</f>
        <v>63</v>
      </c>
      <c r="Z76" s="37"/>
      <c r="AA76" s="636"/>
      <c r="AB76" s="636"/>
      <c r="AC76" s="636"/>
    </row>
    <row r="77" spans="1:68" ht="14.25" hidden="1" customHeight="1" x14ac:dyDescent="0.25">
      <c r="A77" s="644" t="s">
        <v>164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72</v>
      </c>
      <c r="Q80" s="642"/>
      <c r="R80" s="642"/>
      <c r="S80" s="642"/>
      <c r="T80" s="642"/>
      <c r="U80" s="642"/>
      <c r="V80" s="643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72</v>
      </c>
      <c r="Q81" s="642"/>
      <c r="R81" s="642"/>
      <c r="S81" s="642"/>
      <c r="T81" s="642"/>
      <c r="U81" s="642"/>
      <c r="V81" s="643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39" t="s">
        <v>171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111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hidden="1" customHeight="1" x14ac:dyDescent="0.25">
      <c r="A84" s="54" t="s">
        <v>172</v>
      </c>
      <c r="B84" s="54" t="s">
        <v>173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67</v>
      </c>
      <c r="X87" s="633">
        <v>75</v>
      </c>
      <c r="Y87" s="634">
        <f>IFERROR(IF(X87="",0,CEILING((X87/$H87),1)*$H87),"")</f>
        <v>76.5</v>
      </c>
      <c r="Z87" s="36">
        <f>IFERROR(IF(Y87=0,"",ROUNDUP(Y87/H87,0)*0.00902),"")</f>
        <v>0.15334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78.166666666666686</v>
      </c>
      <c r="BN87" s="64">
        <f>IFERROR(Y87*I87/H87,"0")</f>
        <v>79.73</v>
      </c>
      <c r="BO87" s="64">
        <f>IFERROR(1/J87*(X87/H87),"0")</f>
        <v>0.12626262626262627</v>
      </c>
      <c r="BP87" s="64">
        <f>IFERROR(1/J87*(Y87/H87),"0")</f>
        <v>0.12878787878787878</v>
      </c>
    </row>
    <row r="88" spans="1:68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72</v>
      </c>
      <c r="Q88" s="642"/>
      <c r="R88" s="642"/>
      <c r="S88" s="642"/>
      <c r="T88" s="642"/>
      <c r="U88" s="642"/>
      <c r="V88" s="643"/>
      <c r="W88" s="37" t="s">
        <v>73</v>
      </c>
      <c r="X88" s="635">
        <f>IFERROR(X84/H84,"0")+IFERROR(X85/H85,"0")+IFERROR(X86/H86,"0")+IFERROR(X87/H87,"0")</f>
        <v>16.666666666666668</v>
      </c>
      <c r="Y88" s="635">
        <f>IFERROR(Y84/H84,"0")+IFERROR(Y85/H85,"0")+IFERROR(Y86/H86,"0")+IFERROR(Y87/H87,"0")</f>
        <v>17</v>
      </c>
      <c r="Z88" s="635">
        <f>IFERROR(IF(Z84="",0,Z84),"0")+IFERROR(IF(Z85="",0,Z85),"0")+IFERROR(IF(Z86="",0,Z86),"0")+IFERROR(IF(Z87="",0,Z87),"0")</f>
        <v>0.15334</v>
      </c>
      <c r="AA88" s="636"/>
      <c r="AB88" s="636"/>
      <c r="AC88" s="636"/>
    </row>
    <row r="89" spans="1:68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72</v>
      </c>
      <c r="Q89" s="642"/>
      <c r="R89" s="642"/>
      <c r="S89" s="642"/>
      <c r="T89" s="642"/>
      <c r="U89" s="642"/>
      <c r="V89" s="643"/>
      <c r="W89" s="37" t="s">
        <v>67</v>
      </c>
      <c r="X89" s="635">
        <f>IFERROR(SUM(X84:X87),"0")</f>
        <v>75</v>
      </c>
      <c r="Y89" s="635">
        <f>IFERROR(SUM(Y84:Y87),"0")</f>
        <v>76.5</v>
      </c>
      <c r="Z89" s="37"/>
      <c r="AA89" s="636"/>
      <c r="AB89" s="636"/>
      <c r="AC89" s="636"/>
    </row>
    <row r="90" spans="1:68" ht="14.25" hidden="1" customHeight="1" x14ac:dyDescent="0.25">
      <c r="A90" s="644" t="s">
        <v>74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67</v>
      </c>
      <c r="X91" s="633">
        <v>754</v>
      </c>
      <c r="Y91" s="634">
        <f>IFERROR(IF(X91="",0,CEILING((X91/$H91),1)*$H91),"")</f>
        <v>761.4</v>
      </c>
      <c r="Z91" s="36">
        <f>IFERROR(IF(Y91=0,"",ROUNDUP(Y91/H91,0)*0.01898),"")</f>
        <v>1.7841199999999999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799.98469135802463</v>
      </c>
      <c r="BN91" s="64">
        <f>IFERROR(Y91*I91/H91,"0")</f>
        <v>807.8359999999999</v>
      </c>
      <c r="BO91" s="64">
        <f>IFERROR(1/J91*(X91/H91),"0")</f>
        <v>1.4544753086419753</v>
      </c>
      <c r="BP91" s="64">
        <f>IFERROR(1/J91*(Y91/H91),"0")</f>
        <v>1.46875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3">
        <v>408</v>
      </c>
      <c r="Y93" s="634">
        <f>IFERROR(IF(X93="",0,CEILING((X93/$H93),1)*$H93),"")</f>
        <v>410.40000000000003</v>
      </c>
      <c r="Z93" s="36">
        <f>IFERROR(IF(Y93=0,"",ROUNDUP(Y93/H93,0)*0.00651),"")</f>
        <v>0.98952000000000007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446.07999999999993</v>
      </c>
      <c r="BN93" s="64">
        <f>IFERROR(Y93*I93/H93,"0")</f>
        <v>448.70400000000001</v>
      </c>
      <c r="BO93" s="64">
        <f>IFERROR(1/J93*(X93/H93),"0")</f>
        <v>0.83028083028083033</v>
      </c>
      <c r="BP93" s="64">
        <f>IFERROR(1/J93*(Y93/H93),"0")</f>
        <v>0.8351648351648352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72</v>
      </c>
      <c r="Q95" s="642"/>
      <c r="R95" s="642"/>
      <c r="S95" s="642"/>
      <c r="T95" s="642"/>
      <c r="U95" s="642"/>
      <c r="V95" s="643"/>
      <c r="W95" s="37" t="s">
        <v>73</v>
      </c>
      <c r="X95" s="635">
        <f>IFERROR(X91/H91,"0")+IFERROR(X92/H92,"0")+IFERROR(X93/H93,"0")+IFERROR(X94/H94,"0")</f>
        <v>244.19753086419752</v>
      </c>
      <c r="Y95" s="635">
        <f>IFERROR(Y91/H91,"0")+IFERROR(Y92/H92,"0")+IFERROR(Y93/H93,"0")+IFERROR(Y94/H94,"0")</f>
        <v>246</v>
      </c>
      <c r="Z95" s="635">
        <f>IFERROR(IF(Z91="",0,Z91),"0")+IFERROR(IF(Z92="",0,Z92),"0")+IFERROR(IF(Z93="",0,Z93),"0")+IFERROR(IF(Z94="",0,Z94),"0")</f>
        <v>2.7736399999999999</v>
      </c>
      <c r="AA95" s="636"/>
      <c r="AB95" s="636"/>
      <c r="AC95" s="636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72</v>
      </c>
      <c r="Q96" s="642"/>
      <c r="R96" s="642"/>
      <c r="S96" s="642"/>
      <c r="T96" s="642"/>
      <c r="U96" s="642"/>
      <c r="V96" s="643"/>
      <c r="W96" s="37" t="s">
        <v>67</v>
      </c>
      <c r="X96" s="635">
        <f>IFERROR(SUM(X91:X94),"0")</f>
        <v>1162</v>
      </c>
      <c r="Y96" s="635">
        <f>IFERROR(SUM(Y91:Y94),"0")</f>
        <v>1171.8</v>
      </c>
      <c r="Z96" s="37"/>
      <c r="AA96" s="636"/>
      <c r="AB96" s="636"/>
      <c r="AC96" s="636"/>
    </row>
    <row r="97" spans="1:68" ht="16.5" hidden="1" customHeight="1" x14ac:dyDescent="0.25">
      <c r="A97" s="639" t="s">
        <v>192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111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hidden="1" customHeight="1" x14ac:dyDescent="0.25">
      <c r="A99" s="54" t="s">
        <v>193</v>
      </c>
      <c r="B99" s="54" t="s">
        <v>194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idden="1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72</v>
      </c>
      <c r="Q106" s="642"/>
      <c r="R106" s="642"/>
      <c r="S106" s="642"/>
      <c r="T106" s="642"/>
      <c r="U106" s="642"/>
      <c r="V106" s="643"/>
      <c r="W106" s="37" t="s">
        <v>73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hidden="1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72</v>
      </c>
      <c r="Q107" s="642"/>
      <c r="R107" s="642"/>
      <c r="S107" s="642"/>
      <c r="T107" s="642"/>
      <c r="U107" s="642"/>
      <c r="V107" s="643"/>
      <c r="W107" s="37" t="s">
        <v>67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147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hidden="1" customHeight="1" x14ac:dyDescent="0.25">
      <c r="A109" s="54" t="s">
        <v>207</v>
      </c>
      <c r="B109" s="54" t="s">
        <v>208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217</v>
      </c>
      <c r="B113" s="54" t="s">
        <v>218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idden="1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72</v>
      </c>
      <c r="Q114" s="642"/>
      <c r="R114" s="642"/>
      <c r="S114" s="642"/>
      <c r="T114" s="642"/>
      <c r="U114" s="642"/>
      <c r="V114" s="643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hidden="1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72</v>
      </c>
      <c r="Q115" s="642"/>
      <c r="R115" s="642"/>
      <c r="S115" s="642"/>
      <c r="T115" s="642"/>
      <c r="U115" s="642"/>
      <c r="V115" s="643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hidden="1" customHeight="1" x14ac:dyDescent="0.25">
      <c r="A116" s="644" t="s">
        <v>74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67</v>
      </c>
      <c r="X117" s="633">
        <v>977</v>
      </c>
      <c r="Y117" s="634">
        <f>IFERROR(IF(X117="",0,CEILING((X117/$H117),1)*$H117),"")</f>
        <v>980.09999999999991</v>
      </c>
      <c r="Z117" s="36">
        <f>IFERROR(IF(Y117=0,"",ROUNDUP(Y117/H117,0)*0.01898),"")</f>
        <v>2.2965800000000001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1035.8612345679012</v>
      </c>
      <c r="BN117" s="64">
        <f>IFERROR(Y117*I117/H117,"0")</f>
        <v>1039.1479999999997</v>
      </c>
      <c r="BO117" s="64">
        <f>IFERROR(1/J117*(X117/H117),"0")</f>
        <v>1.8846450617283952</v>
      </c>
      <c r="BP117" s="64">
        <f>IFERROR(1/J117*(Y117/H117),"0")</f>
        <v>1.890625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33">
        <v>117</v>
      </c>
      <c r="Y119" s="634">
        <f>IFERROR(IF(X119="",0,CEILING((X119/$H119),1)*$H119),"")</f>
        <v>118.80000000000001</v>
      </c>
      <c r="Z119" s="36">
        <f>IFERROR(IF(Y119=0,"",ROUNDUP(Y119/H119,0)*0.00651),"")</f>
        <v>0.28644000000000003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127.92</v>
      </c>
      <c r="BN119" s="64">
        <f>IFERROR(Y119*I119/H119,"0")</f>
        <v>129.88800000000001</v>
      </c>
      <c r="BO119" s="64">
        <f>IFERROR(1/J119*(X119/H119),"0")</f>
        <v>0.23809523809523808</v>
      </c>
      <c r="BP119" s="64">
        <f>IFERROR(1/J119*(Y119/H119),"0")</f>
        <v>0.24175824175824179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72</v>
      </c>
      <c r="Q121" s="642"/>
      <c r="R121" s="642"/>
      <c r="S121" s="642"/>
      <c r="T121" s="642"/>
      <c r="U121" s="642"/>
      <c r="V121" s="643"/>
      <c r="W121" s="37" t="s">
        <v>73</v>
      </c>
      <c r="X121" s="635">
        <f>IFERROR(X117/H117,"0")+IFERROR(X118/H118,"0")+IFERROR(X119/H119,"0")+IFERROR(X120/H120,"0")</f>
        <v>163.95061728395063</v>
      </c>
      <c r="Y121" s="635">
        <f>IFERROR(Y117/H117,"0")+IFERROR(Y118/H118,"0")+IFERROR(Y119/H119,"0")+IFERROR(Y120/H120,"0")</f>
        <v>165</v>
      </c>
      <c r="Z121" s="635">
        <f>IFERROR(IF(Z117="",0,Z117),"0")+IFERROR(IF(Z118="",0,Z118),"0")+IFERROR(IF(Z119="",0,Z119),"0")+IFERROR(IF(Z120="",0,Z120),"0")</f>
        <v>2.5830200000000003</v>
      </c>
      <c r="AA121" s="636"/>
      <c r="AB121" s="636"/>
      <c r="AC121" s="636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72</v>
      </c>
      <c r="Q122" s="642"/>
      <c r="R122" s="642"/>
      <c r="S122" s="642"/>
      <c r="T122" s="642"/>
      <c r="U122" s="642"/>
      <c r="V122" s="643"/>
      <c r="W122" s="37" t="s">
        <v>67</v>
      </c>
      <c r="X122" s="635">
        <f>IFERROR(SUM(X117:X120),"0")</f>
        <v>1094</v>
      </c>
      <c r="Y122" s="635">
        <f>IFERROR(SUM(Y117:Y120),"0")</f>
        <v>1098.8999999999999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164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67</v>
      </c>
      <c r="X124" s="633">
        <v>48</v>
      </c>
      <c r="Y124" s="634">
        <f>IFERROR(IF(X124="",0,CEILING((X124/$H124),1)*$H124),"")</f>
        <v>49.5</v>
      </c>
      <c r="Z124" s="36">
        <f>IFERROR(IF(Y124=0,"",ROUNDUP(Y124/H124,0)*0.00651),"")</f>
        <v>0.16275000000000001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54.254545454545458</v>
      </c>
      <c r="BN124" s="64">
        <f>IFERROR(Y124*I124/H124,"0")</f>
        <v>55.95</v>
      </c>
      <c r="BO124" s="64">
        <f>IFERROR(1/J124*(X124/H124),"0")</f>
        <v>0.13320013320013321</v>
      </c>
      <c r="BP124" s="64">
        <f>IFERROR(1/J124*(Y124/H124),"0")</f>
        <v>0.13736263736263737</v>
      </c>
    </row>
    <row r="125" spans="1:68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72</v>
      </c>
      <c r="Q125" s="642"/>
      <c r="R125" s="642"/>
      <c r="S125" s="642"/>
      <c r="T125" s="642"/>
      <c r="U125" s="642"/>
      <c r="V125" s="643"/>
      <c r="W125" s="37" t="s">
        <v>73</v>
      </c>
      <c r="X125" s="635">
        <f>IFERROR(X124/H124,"0")</f>
        <v>24.242424242424242</v>
      </c>
      <c r="Y125" s="635">
        <f>IFERROR(Y124/H124,"0")</f>
        <v>25</v>
      </c>
      <c r="Z125" s="635">
        <f>IFERROR(IF(Z124="",0,Z124),"0")</f>
        <v>0.16275000000000001</v>
      </c>
      <c r="AA125" s="636"/>
      <c r="AB125" s="636"/>
      <c r="AC125" s="636"/>
    </row>
    <row r="126" spans="1:68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72</v>
      </c>
      <c r="Q126" s="642"/>
      <c r="R126" s="642"/>
      <c r="S126" s="642"/>
      <c r="T126" s="642"/>
      <c r="U126" s="642"/>
      <c r="V126" s="643"/>
      <c r="W126" s="37" t="s">
        <v>67</v>
      </c>
      <c r="X126" s="635">
        <f>IFERROR(SUM(X124:X124),"0")</f>
        <v>48</v>
      </c>
      <c r="Y126" s="635">
        <f>IFERROR(SUM(Y124:Y124),"0")</f>
        <v>49.5</v>
      </c>
      <c r="Z126" s="37"/>
      <c r="AA126" s="636"/>
      <c r="AB126" s="636"/>
      <c r="AC126" s="636"/>
    </row>
    <row r="127" spans="1:68" ht="16.5" hidden="1" customHeight="1" x14ac:dyDescent="0.25">
      <c r="A127" s="639" t="s">
        <v>232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111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237</v>
      </c>
      <c r="B130" s="54" t="s">
        <v>238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72</v>
      </c>
      <c r="Q132" s="642"/>
      <c r="R132" s="642"/>
      <c r="S132" s="642"/>
      <c r="T132" s="642"/>
      <c r="U132" s="642"/>
      <c r="V132" s="643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72</v>
      </c>
      <c r="Q133" s="642"/>
      <c r="R133" s="642"/>
      <c r="S133" s="642"/>
      <c r="T133" s="642"/>
      <c r="U133" s="642"/>
      <c r="V133" s="643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44" t="s">
        <v>62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245</v>
      </c>
      <c r="B136" s="54" t="s">
        <v>246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72</v>
      </c>
      <c r="Q139" s="642"/>
      <c r="R139" s="642"/>
      <c r="S139" s="642"/>
      <c r="T139" s="642"/>
      <c r="U139" s="642"/>
      <c r="V139" s="643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hidden="1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72</v>
      </c>
      <c r="Q140" s="642"/>
      <c r="R140" s="642"/>
      <c r="S140" s="642"/>
      <c r="T140" s="642"/>
      <c r="U140" s="642"/>
      <c r="V140" s="643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hidden="1" customHeight="1" x14ac:dyDescent="0.25">
      <c r="A141" s="644" t="s">
        <v>74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253</v>
      </c>
      <c r="B143" s="54" t="s">
        <v>254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72</v>
      </c>
      <c r="Q145" s="642"/>
      <c r="R145" s="642"/>
      <c r="S145" s="642"/>
      <c r="T145" s="642"/>
      <c r="U145" s="642"/>
      <c r="V145" s="643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72</v>
      </c>
      <c r="Q146" s="642"/>
      <c r="R146" s="642"/>
      <c r="S146" s="642"/>
      <c r="T146" s="642"/>
      <c r="U146" s="642"/>
      <c r="V146" s="643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39" t="s">
        <v>256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74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72</v>
      </c>
      <c r="Q156" s="642"/>
      <c r="R156" s="642"/>
      <c r="S156" s="642"/>
      <c r="T156" s="642"/>
      <c r="U156" s="642"/>
      <c r="V156" s="643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72</v>
      </c>
      <c r="Q157" s="642"/>
      <c r="R157" s="642"/>
      <c r="S157" s="642"/>
      <c r="T157" s="642"/>
      <c r="U157" s="642"/>
      <c r="V157" s="643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72</v>
      </c>
      <c r="Q160" s="642"/>
      <c r="R160" s="642"/>
      <c r="S160" s="642"/>
      <c r="T160" s="642"/>
      <c r="U160" s="642"/>
      <c r="V160" s="643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72</v>
      </c>
      <c r="Q161" s="642"/>
      <c r="R161" s="642"/>
      <c r="S161" s="642"/>
      <c r="T161" s="642"/>
      <c r="U161" s="642"/>
      <c r="V161" s="643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109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111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279</v>
      </c>
      <c r="B164" s="54" t="s">
        <v>280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72</v>
      </c>
      <c r="Q167" s="642"/>
      <c r="R167" s="642"/>
      <c r="S167" s="642"/>
      <c r="T167" s="642"/>
      <c r="U167" s="642"/>
      <c r="V167" s="643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72</v>
      </c>
      <c r="Q168" s="642"/>
      <c r="R168" s="642"/>
      <c r="S168" s="642"/>
      <c r="T168" s="642"/>
      <c r="U168" s="642"/>
      <c r="V168" s="643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147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72</v>
      </c>
      <c r="Q172" s="642"/>
      <c r="R172" s="642"/>
      <c r="S172" s="642"/>
      <c r="T172" s="642"/>
      <c r="U172" s="642"/>
      <c r="V172" s="643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72</v>
      </c>
      <c r="Q173" s="642"/>
      <c r="R173" s="642"/>
      <c r="S173" s="642"/>
      <c r="T173" s="642"/>
      <c r="U173" s="642"/>
      <c r="V173" s="64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62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3">
        <v>114</v>
      </c>
      <c r="Y175" s="634">
        <f t="shared" ref="Y175:Y185" si="16">IFERROR(IF(X175="",0,CEILING((X175/$H175),1)*$H175),"")</f>
        <v>115.5</v>
      </c>
      <c r="Z175" s="36">
        <f>IFERROR(IF(Y175=0,"",ROUNDUP(Y175/H175,0)*0.00902),"")</f>
        <v>0.29766000000000004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120.18857142857142</v>
      </c>
      <c r="BN175" s="64">
        <f t="shared" ref="BN175:BN185" si="18">IFERROR(Y175*I175/H175,"0")</f>
        <v>121.77</v>
      </c>
      <c r="BO175" s="64">
        <f t="shared" ref="BO175:BO185" si="19">IFERROR(1/J175*(X175/H175),"0")</f>
        <v>0.24675324675324675</v>
      </c>
      <c r="BP175" s="64">
        <f t="shared" ref="BP175:BP185" si="20">IFERROR(1/J175*(Y175/H175),"0")</f>
        <v>0.25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3">
        <v>110</v>
      </c>
      <c r="Y178" s="634">
        <f t="shared" si="16"/>
        <v>112</v>
      </c>
      <c r="Z178" s="36">
        <f>IFERROR(IF(Y178=0,"",ROUNDUP(Y178/H178,0)*0.00902),"")</f>
        <v>0.28864000000000001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115.97142857142856</v>
      </c>
      <c r="BN178" s="64">
        <f t="shared" si="18"/>
        <v>118.08</v>
      </c>
      <c r="BO178" s="64">
        <f t="shared" si="19"/>
        <v>0.23809523809523808</v>
      </c>
      <c r="BP178" s="64">
        <f t="shared" si="20"/>
        <v>0.24242424242424243</v>
      </c>
    </row>
    <row r="179" spans="1:68" ht="16.5" hidden="1" customHeight="1" x14ac:dyDescent="0.25">
      <c r="A179" s="54" t="s">
        <v>306</v>
      </c>
      <c r="B179" s="54" t="s">
        <v>307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311</v>
      </c>
      <c r="B181" s="54" t="s">
        <v>312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3">
        <v>52</v>
      </c>
      <c r="Y183" s="634">
        <f t="shared" si="16"/>
        <v>52.08</v>
      </c>
      <c r="Z183" s="36">
        <f>IFERROR(IF(Y183=0,"",ROUNDUP(Y183/H183,0)*0.00502),"")</f>
        <v>0.15562000000000001</v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55.095238095238102</v>
      </c>
      <c r="BN183" s="64">
        <f t="shared" si="18"/>
        <v>55.18</v>
      </c>
      <c r="BO183" s="64">
        <f t="shared" si="19"/>
        <v>0.1322751322751323</v>
      </c>
      <c r="BP183" s="64">
        <f t="shared" si="20"/>
        <v>0.13247863247863248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67</v>
      </c>
      <c r="X185" s="633">
        <v>36</v>
      </c>
      <c r="Y185" s="634">
        <f t="shared" si="16"/>
        <v>36.96</v>
      </c>
      <c r="Z185" s="36">
        <f>IFERROR(IF(Y185=0,"",ROUNDUP(Y185/H185,0)*0.00502),"")</f>
        <v>0.11044000000000001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38.142857142857146</v>
      </c>
      <c r="BN185" s="64">
        <f t="shared" si="18"/>
        <v>39.160000000000004</v>
      </c>
      <c r="BO185" s="64">
        <f t="shared" si="19"/>
        <v>9.1575091575091597E-2</v>
      </c>
      <c r="BP185" s="64">
        <f t="shared" si="20"/>
        <v>9.401709401709403E-2</v>
      </c>
    </row>
    <row r="186" spans="1:68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72</v>
      </c>
      <c r="Q186" s="642"/>
      <c r="R186" s="642"/>
      <c r="S186" s="642"/>
      <c r="T186" s="642"/>
      <c r="U186" s="642"/>
      <c r="V186" s="643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116.38095238095238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118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0.85236000000000001</v>
      </c>
      <c r="AA186" s="636"/>
      <c r="AB186" s="636"/>
      <c r="AC186" s="636"/>
    </row>
    <row r="187" spans="1:68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72</v>
      </c>
      <c r="Q187" s="642"/>
      <c r="R187" s="642"/>
      <c r="S187" s="642"/>
      <c r="T187" s="642"/>
      <c r="U187" s="642"/>
      <c r="V187" s="643"/>
      <c r="W187" s="37" t="s">
        <v>67</v>
      </c>
      <c r="X187" s="635">
        <f>IFERROR(SUM(X175:X185),"0")</f>
        <v>312</v>
      </c>
      <c r="Y187" s="635">
        <f>IFERROR(SUM(Y175:Y185),"0")</f>
        <v>316.53999999999996</v>
      </c>
      <c r="Z187" s="37"/>
      <c r="AA187" s="636"/>
      <c r="AB187" s="636"/>
      <c r="AC187" s="636"/>
    </row>
    <row r="188" spans="1:68" ht="14.25" hidden="1" customHeight="1" x14ac:dyDescent="0.25">
      <c r="A188" s="644" t="s">
        <v>74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72</v>
      </c>
      <c r="Q192" s="642"/>
      <c r="R192" s="642"/>
      <c r="S192" s="642"/>
      <c r="T192" s="642"/>
      <c r="U192" s="642"/>
      <c r="V192" s="643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72</v>
      </c>
      <c r="Q193" s="642"/>
      <c r="R193" s="642"/>
      <c r="S193" s="642"/>
      <c r="T193" s="642"/>
      <c r="U193" s="642"/>
      <c r="V193" s="643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272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72</v>
      </c>
      <c r="Q197" s="642"/>
      <c r="R197" s="642"/>
      <c r="S197" s="642"/>
      <c r="T197" s="642"/>
      <c r="U197" s="642"/>
      <c r="V197" s="643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72</v>
      </c>
      <c r="Q198" s="642"/>
      <c r="R198" s="642"/>
      <c r="S198" s="642"/>
      <c r="T198" s="642"/>
      <c r="U198" s="642"/>
      <c r="V198" s="643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338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72</v>
      </c>
      <c r="Q201" s="642"/>
      <c r="R201" s="642"/>
      <c r="S201" s="642"/>
      <c r="T201" s="642"/>
      <c r="U201" s="642"/>
      <c r="V201" s="643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72</v>
      </c>
      <c r="Q202" s="642"/>
      <c r="R202" s="642"/>
      <c r="S202" s="642"/>
      <c r="T202" s="642"/>
      <c r="U202" s="642"/>
      <c r="V202" s="643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342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343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111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72</v>
      </c>
      <c r="Q213" s="642"/>
      <c r="R213" s="642"/>
      <c r="S213" s="642"/>
      <c r="T213" s="642"/>
      <c r="U213" s="642"/>
      <c r="V213" s="643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72</v>
      </c>
      <c r="Q214" s="642"/>
      <c r="R214" s="642"/>
      <c r="S214" s="642"/>
      <c r="T214" s="642"/>
      <c r="U214" s="642"/>
      <c r="V214" s="643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364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147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72</v>
      </c>
      <c r="Q218" s="642"/>
      <c r="R218" s="642"/>
      <c r="S218" s="642"/>
      <c r="T218" s="642"/>
      <c r="U218" s="642"/>
      <c r="V218" s="643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72</v>
      </c>
      <c r="Q219" s="642"/>
      <c r="R219" s="642"/>
      <c r="S219" s="642"/>
      <c r="T219" s="642"/>
      <c r="U219" s="642"/>
      <c r="V219" s="643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62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hidden="1" customHeight="1" x14ac:dyDescent="0.25">
      <c r="A221" s="54" t="s">
        <v>368</v>
      </c>
      <c r="B221" s="54" t="s">
        <v>369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hidden="1" customHeight="1" x14ac:dyDescent="0.25">
      <c r="A224" s="54" t="s">
        <v>377</v>
      </c>
      <c r="B224" s="54" t="s">
        <v>378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67</v>
      </c>
      <c r="X225" s="633">
        <v>18</v>
      </c>
      <c r="Y225" s="634">
        <f t="shared" si="27"/>
        <v>18.900000000000002</v>
      </c>
      <c r="Z225" s="36">
        <f t="shared" ref="Z225:Z230" si="32">IFERROR(IF(Y225=0,"",ROUNDUP(Y225/H225,0)*0.00502),"")</f>
        <v>4.5179999999999998E-2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19.114285714285714</v>
      </c>
      <c r="BN225" s="64">
        <f t="shared" si="29"/>
        <v>20.07</v>
      </c>
      <c r="BO225" s="64">
        <f t="shared" si="30"/>
        <v>3.6630036630036632E-2</v>
      </c>
      <c r="BP225" s="64">
        <f t="shared" si="31"/>
        <v>3.8461538461538464E-2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393</v>
      </c>
      <c r="B230" s="54" t="s">
        <v>394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67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396</v>
      </c>
      <c r="B231" s="54" t="s">
        <v>397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67</v>
      </c>
      <c r="X232" s="633">
        <v>56</v>
      </c>
      <c r="Y232" s="634">
        <f t="shared" si="27"/>
        <v>56.7</v>
      </c>
      <c r="Z232" s="36">
        <f>IFERROR(IF(Y232=0,"",ROUNDUP(Y232/H232,0)*0.00502),"")</f>
        <v>0.13553999999999999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58.666666666666671</v>
      </c>
      <c r="BN232" s="64">
        <f t="shared" si="29"/>
        <v>59.400000000000006</v>
      </c>
      <c r="BO232" s="64">
        <f t="shared" si="30"/>
        <v>0.11396011396011396</v>
      </c>
      <c r="BP232" s="64">
        <f t="shared" si="31"/>
        <v>0.11538461538461539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72</v>
      </c>
      <c r="Q235" s="642"/>
      <c r="R235" s="642"/>
      <c r="S235" s="642"/>
      <c r="T235" s="642"/>
      <c r="U235" s="642"/>
      <c r="V235" s="643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35.238095238095234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36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0.18071999999999999</v>
      </c>
      <c r="AA235" s="636"/>
      <c r="AB235" s="636"/>
      <c r="AC235" s="636"/>
    </row>
    <row r="236" spans="1:68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72</v>
      </c>
      <c r="Q236" s="642"/>
      <c r="R236" s="642"/>
      <c r="S236" s="642"/>
      <c r="T236" s="642"/>
      <c r="U236" s="642"/>
      <c r="V236" s="643"/>
      <c r="W236" s="37" t="s">
        <v>67</v>
      </c>
      <c r="X236" s="635">
        <f>IFERROR(SUM(X221:X234),"0")</f>
        <v>74</v>
      </c>
      <c r="Y236" s="635">
        <f>IFERROR(SUM(Y221:Y234),"0")</f>
        <v>75.600000000000009</v>
      </c>
      <c r="Z236" s="37"/>
      <c r="AA236" s="636"/>
      <c r="AB236" s="636"/>
      <c r="AC236" s="636"/>
    </row>
    <row r="237" spans="1:68" ht="14.25" hidden="1" customHeight="1" x14ac:dyDescent="0.25">
      <c r="A237" s="644" t="s">
        <v>74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72</v>
      </c>
      <c r="Q243" s="642"/>
      <c r="R243" s="642"/>
      <c r="S243" s="642"/>
      <c r="T243" s="642"/>
      <c r="U243" s="642"/>
      <c r="V243" s="643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72</v>
      </c>
      <c r="Q244" s="642"/>
      <c r="R244" s="642"/>
      <c r="S244" s="642"/>
      <c r="T244" s="642"/>
      <c r="U244" s="642"/>
      <c r="V244" s="643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272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423</v>
      </c>
      <c r="B247" s="54" t="s">
        <v>424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72</v>
      </c>
      <c r="Q249" s="642"/>
      <c r="R249" s="642"/>
      <c r="S249" s="642"/>
      <c r="T249" s="642"/>
      <c r="U249" s="642"/>
      <c r="V249" s="643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72</v>
      </c>
      <c r="Q250" s="642"/>
      <c r="R250" s="642"/>
      <c r="S250" s="642"/>
      <c r="T250" s="642"/>
      <c r="U250" s="642"/>
      <c r="V250" s="643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428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hidden="1" customHeight="1" x14ac:dyDescent="0.25">
      <c r="A252" s="54" t="s">
        <v>429</v>
      </c>
      <c r="B252" s="54" t="s">
        <v>430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72</v>
      </c>
      <c r="Q253" s="642"/>
      <c r="R253" s="642"/>
      <c r="S253" s="642"/>
      <c r="T253" s="642"/>
      <c r="U253" s="642"/>
      <c r="V253" s="643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72</v>
      </c>
      <c r="Q254" s="642"/>
      <c r="R254" s="642"/>
      <c r="S254" s="642"/>
      <c r="T254" s="642"/>
      <c r="U254" s="642"/>
      <c r="V254" s="643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39" t="s">
        <v>431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111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72</v>
      </c>
      <c r="Q259" s="642"/>
      <c r="R259" s="642"/>
      <c r="S259" s="642"/>
      <c r="T259" s="642"/>
      <c r="U259" s="642"/>
      <c r="V259" s="643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72</v>
      </c>
      <c r="Q260" s="642"/>
      <c r="R260" s="642"/>
      <c r="S260" s="642"/>
      <c r="T260" s="642"/>
      <c r="U260" s="642"/>
      <c r="V260" s="643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147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72</v>
      </c>
      <c r="Q264" s="642"/>
      <c r="R264" s="642"/>
      <c r="S264" s="642"/>
      <c r="T264" s="642"/>
      <c r="U264" s="642"/>
      <c r="V264" s="643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72</v>
      </c>
      <c r="Q265" s="642"/>
      <c r="R265" s="642"/>
      <c r="S265" s="642"/>
      <c r="T265" s="642"/>
      <c r="U265" s="642"/>
      <c r="V265" s="643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62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hidden="1" customHeight="1" x14ac:dyDescent="0.25">
      <c r="A267" s="54" t="s">
        <v>442</v>
      </c>
      <c r="B267" s="54" t="s">
        <v>443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hidden="1" customHeight="1" x14ac:dyDescent="0.25">
      <c r="A268" s="54" t="s">
        <v>445</v>
      </c>
      <c r="B268" s="54" t="s">
        <v>446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hidden="1" customHeight="1" x14ac:dyDescent="0.25">
      <c r="A269" s="54" t="s">
        <v>448</v>
      </c>
      <c r="B269" s="54" t="s">
        <v>449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hidden="1" customHeight="1" x14ac:dyDescent="0.25">
      <c r="A270" s="54" t="s">
        <v>451</v>
      </c>
      <c r="B270" s="54" t="s">
        <v>452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460</v>
      </c>
      <c r="B274" s="54" t="s">
        <v>461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hidden="1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72</v>
      </c>
      <c r="Q275" s="642"/>
      <c r="R275" s="642"/>
      <c r="S275" s="642"/>
      <c r="T275" s="642"/>
      <c r="U275" s="642"/>
      <c r="V275" s="643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hidden="1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72</v>
      </c>
      <c r="Q276" s="642"/>
      <c r="R276" s="642"/>
      <c r="S276" s="642"/>
      <c r="T276" s="642"/>
      <c r="U276" s="642"/>
      <c r="V276" s="643"/>
      <c r="W276" s="37" t="s">
        <v>67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hidden="1" customHeight="1" x14ac:dyDescent="0.25">
      <c r="A277" s="644" t="s">
        <v>74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hidden="1" customHeight="1" x14ac:dyDescent="0.25">
      <c r="A278" s="54" t="s">
        <v>462</v>
      </c>
      <c r="B278" s="54" t="s">
        <v>463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3">
        <v>20</v>
      </c>
      <c r="Y280" s="634">
        <f t="shared" si="38"/>
        <v>26.099999999999998</v>
      </c>
      <c r="Z280" s="36">
        <f>IFERROR(IF(Y280=0,"",ROUNDUP(Y280/H280,0)*0.01898),"")</f>
        <v>5.6940000000000004E-2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21.135632183908051</v>
      </c>
      <c r="BN280" s="64">
        <f t="shared" si="40"/>
        <v>27.582000000000004</v>
      </c>
      <c r="BO280" s="64">
        <f t="shared" si="41"/>
        <v>3.5919540229885062E-2</v>
      </c>
      <c r="BP280" s="64">
        <f t="shared" si="42"/>
        <v>4.6875E-2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3">
        <v>312</v>
      </c>
      <c r="Y284" s="634">
        <f t="shared" si="38"/>
        <v>312</v>
      </c>
      <c r="Z284" s="36">
        <f>IFERROR(IF(Y284=0,"",ROUNDUP(Y284/H284,0)*0.00651),"")</f>
        <v>0.84630000000000005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344.76000000000005</v>
      </c>
      <c r="BN284" s="64">
        <f t="shared" si="40"/>
        <v>344.76000000000005</v>
      </c>
      <c r="BO284" s="64">
        <f t="shared" si="41"/>
        <v>0.7142857142857143</v>
      </c>
      <c r="BP284" s="64">
        <f t="shared" si="42"/>
        <v>0.7142857142857143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33">
        <v>83</v>
      </c>
      <c r="Y286" s="634">
        <f t="shared" si="38"/>
        <v>84</v>
      </c>
      <c r="Z286" s="36">
        <f>IFERROR(IF(Y286=0,"",ROUNDUP(Y286/H286,0)*0.00651),"")</f>
        <v>0.22785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91.715000000000003</v>
      </c>
      <c r="BN286" s="64">
        <f t="shared" si="40"/>
        <v>92.820000000000007</v>
      </c>
      <c r="BO286" s="64">
        <f t="shared" si="41"/>
        <v>0.19001831501831504</v>
      </c>
      <c r="BP286" s="64">
        <f t="shared" si="42"/>
        <v>0.19230769230769232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67</v>
      </c>
      <c r="X287" s="633">
        <v>40</v>
      </c>
      <c r="Y287" s="634">
        <f t="shared" si="38"/>
        <v>40.799999999999997</v>
      </c>
      <c r="Z287" s="36">
        <f>IFERROR(IF(Y287=0,"",ROUNDUP(Y287/H287,0)*0.00651),"")</f>
        <v>0.11067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44.20000000000001</v>
      </c>
      <c r="BN287" s="64">
        <f t="shared" si="40"/>
        <v>45.084000000000003</v>
      </c>
      <c r="BO287" s="64">
        <f t="shared" si="41"/>
        <v>9.1575091575091583E-2</v>
      </c>
      <c r="BP287" s="64">
        <f t="shared" si="42"/>
        <v>9.3406593406593408E-2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3">
        <v>20</v>
      </c>
      <c r="Y288" s="634">
        <f t="shared" si="38"/>
        <v>21.599999999999998</v>
      </c>
      <c r="Z288" s="36">
        <f>IFERROR(IF(Y288=0,"",ROUNDUP(Y288/H288,0)*0.00651),"")</f>
        <v>5.8590000000000003E-2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22.15</v>
      </c>
      <c r="BN288" s="64">
        <f t="shared" si="40"/>
        <v>23.921999999999997</v>
      </c>
      <c r="BO288" s="64">
        <f t="shared" si="41"/>
        <v>4.5787545787545791E-2</v>
      </c>
      <c r="BP288" s="64">
        <f t="shared" si="42"/>
        <v>4.9450549450549455E-2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72</v>
      </c>
      <c r="Q290" s="642"/>
      <c r="R290" s="642"/>
      <c r="S290" s="642"/>
      <c r="T290" s="642"/>
      <c r="U290" s="642"/>
      <c r="V290" s="643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191.88218390804599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194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1.3003499999999999</v>
      </c>
      <c r="AA290" s="636"/>
      <c r="AB290" s="636"/>
      <c r="AC290" s="636"/>
    </row>
    <row r="291" spans="1:68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72</v>
      </c>
      <c r="Q291" s="642"/>
      <c r="R291" s="642"/>
      <c r="S291" s="642"/>
      <c r="T291" s="642"/>
      <c r="U291" s="642"/>
      <c r="V291" s="643"/>
      <c r="W291" s="37" t="s">
        <v>67</v>
      </c>
      <c r="X291" s="635">
        <f>IFERROR(SUM(X278:X289),"0")</f>
        <v>475</v>
      </c>
      <c r="Y291" s="635">
        <f>IFERROR(SUM(Y278:Y289),"0")</f>
        <v>484.50000000000006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164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hidden="1" customHeight="1" x14ac:dyDescent="0.25">
      <c r="A293" s="54" t="s">
        <v>493</v>
      </c>
      <c r="B293" s="54" t="s">
        <v>494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496</v>
      </c>
      <c r="B294" s="54" t="s">
        <v>497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72</v>
      </c>
      <c r="Q295" s="642"/>
      <c r="R295" s="642"/>
      <c r="S295" s="642"/>
      <c r="T295" s="642"/>
      <c r="U295" s="642"/>
      <c r="V295" s="643"/>
      <c r="W295" s="37" t="s">
        <v>73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hidden="1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72</v>
      </c>
      <c r="Q296" s="642"/>
      <c r="R296" s="642"/>
      <c r="S296" s="642"/>
      <c r="T296" s="642"/>
      <c r="U296" s="642"/>
      <c r="V296" s="643"/>
      <c r="W296" s="37" t="s">
        <v>67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hidden="1" customHeight="1" x14ac:dyDescent="0.25">
      <c r="A297" s="639" t="s">
        <v>499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111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500</v>
      </c>
      <c r="B299" s="54" t="s">
        <v>501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516</v>
      </c>
      <c r="B305" s="54" t="s">
        <v>517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72</v>
      </c>
      <c r="Q306" s="642"/>
      <c r="R306" s="642"/>
      <c r="S306" s="642"/>
      <c r="T306" s="642"/>
      <c r="U306" s="642"/>
      <c r="V306" s="643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72</v>
      </c>
      <c r="Q307" s="642"/>
      <c r="R307" s="642"/>
      <c r="S307" s="642"/>
      <c r="T307" s="642"/>
      <c r="U307" s="642"/>
      <c r="V307" s="643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147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72</v>
      </c>
      <c r="Q310" s="642"/>
      <c r="R310" s="642"/>
      <c r="S310" s="642"/>
      <c r="T310" s="642"/>
      <c r="U310" s="642"/>
      <c r="V310" s="643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72</v>
      </c>
      <c r="Q311" s="642"/>
      <c r="R311" s="642"/>
      <c r="S311" s="642"/>
      <c r="T311" s="642"/>
      <c r="U311" s="642"/>
      <c r="V311" s="64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521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hidden="1" customHeight="1" x14ac:dyDescent="0.25">
      <c r="A313" s="54" t="s">
        <v>522</v>
      </c>
      <c r="B313" s="54" t="s">
        <v>523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72</v>
      </c>
      <c r="Q314" s="642"/>
      <c r="R314" s="642"/>
      <c r="S314" s="642"/>
      <c r="T314" s="642"/>
      <c r="U314" s="642"/>
      <c r="V314" s="643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hidden="1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72</v>
      </c>
      <c r="Q315" s="642"/>
      <c r="R315" s="642"/>
      <c r="S315" s="642"/>
      <c r="T315" s="642"/>
      <c r="U315" s="642"/>
      <c r="V315" s="643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338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72</v>
      </c>
      <c r="Q320" s="642"/>
      <c r="R320" s="642"/>
      <c r="S320" s="642"/>
      <c r="T320" s="642"/>
      <c r="U320" s="642"/>
      <c r="V320" s="643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72</v>
      </c>
      <c r="Q321" s="642"/>
      <c r="R321" s="642"/>
      <c r="S321" s="642"/>
      <c r="T321" s="642"/>
      <c r="U321" s="642"/>
      <c r="V321" s="643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532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111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72</v>
      </c>
      <c r="Q329" s="642"/>
      <c r="R329" s="642"/>
      <c r="S329" s="642"/>
      <c r="T329" s="642"/>
      <c r="U329" s="642"/>
      <c r="V329" s="643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72</v>
      </c>
      <c r="Q330" s="642"/>
      <c r="R330" s="642"/>
      <c r="S330" s="642"/>
      <c r="T330" s="642"/>
      <c r="U330" s="642"/>
      <c r="V330" s="643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548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74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552</v>
      </c>
      <c r="B334" s="54" t="s">
        <v>553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67</v>
      </c>
      <c r="X335" s="633">
        <v>20</v>
      </c>
      <c r="Y335" s="634">
        <f>IFERROR(IF(X335="",0,CEILING((X335/$H335),1)*$H335),"")</f>
        <v>21.599999999999998</v>
      </c>
      <c r="Z335" s="36">
        <f>IFERROR(IF(Y335=0,"",ROUNDUP(Y335/H335,0)*0.00651),"")</f>
        <v>5.8590000000000003E-2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21.5</v>
      </c>
      <c r="BN335" s="64">
        <f>IFERROR(Y335*I335/H335,"0")</f>
        <v>23.22</v>
      </c>
      <c r="BO335" s="64">
        <f>IFERROR(1/J335*(X335/H335),"0")</f>
        <v>4.5787545787545791E-2</v>
      </c>
      <c r="BP335" s="64">
        <f>IFERROR(1/J335*(Y335/H335),"0")</f>
        <v>4.9450549450549455E-2</v>
      </c>
    </row>
    <row r="336" spans="1:68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72</v>
      </c>
      <c r="Q336" s="642"/>
      <c r="R336" s="642"/>
      <c r="S336" s="642"/>
      <c r="T336" s="642"/>
      <c r="U336" s="642"/>
      <c r="V336" s="643"/>
      <c r="W336" s="37" t="s">
        <v>73</v>
      </c>
      <c r="X336" s="635">
        <f>IFERROR(X333/H333,"0")+IFERROR(X334/H334,"0")+IFERROR(X335/H335,"0")</f>
        <v>8.3333333333333339</v>
      </c>
      <c r="Y336" s="635">
        <f>IFERROR(Y333/H333,"0")+IFERROR(Y334/H334,"0")+IFERROR(Y335/H335,"0")</f>
        <v>9</v>
      </c>
      <c r="Z336" s="635">
        <f>IFERROR(IF(Z333="",0,Z333),"0")+IFERROR(IF(Z334="",0,Z334),"0")+IFERROR(IF(Z335="",0,Z335),"0")</f>
        <v>5.8590000000000003E-2</v>
      </c>
      <c r="AA336" s="636"/>
      <c r="AB336" s="636"/>
      <c r="AC336" s="636"/>
    </row>
    <row r="337" spans="1:68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72</v>
      </c>
      <c r="Q337" s="642"/>
      <c r="R337" s="642"/>
      <c r="S337" s="642"/>
      <c r="T337" s="642"/>
      <c r="U337" s="642"/>
      <c r="V337" s="643"/>
      <c r="W337" s="37" t="s">
        <v>67</v>
      </c>
      <c r="X337" s="635">
        <f>IFERROR(SUM(X333:X335),"0")</f>
        <v>20</v>
      </c>
      <c r="Y337" s="635">
        <f>IFERROR(SUM(Y333:Y335),"0")</f>
        <v>21.599999999999998</v>
      </c>
      <c r="Z337" s="37"/>
      <c r="AA337" s="636"/>
      <c r="AB337" s="636"/>
      <c r="AC337" s="636"/>
    </row>
    <row r="338" spans="1:68" ht="16.5" hidden="1" customHeight="1" x14ac:dyDescent="0.25">
      <c r="A338" s="639" t="s">
        <v>557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62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72</v>
      </c>
      <c r="Q345" s="642"/>
      <c r="R345" s="642"/>
      <c r="S345" s="642"/>
      <c r="T345" s="642"/>
      <c r="U345" s="642"/>
      <c r="V345" s="643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72</v>
      </c>
      <c r="Q346" s="642"/>
      <c r="R346" s="642"/>
      <c r="S346" s="642"/>
      <c r="T346" s="642"/>
      <c r="U346" s="642"/>
      <c r="V346" s="643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74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72</v>
      </c>
      <c r="Q350" s="642"/>
      <c r="R350" s="642"/>
      <c r="S350" s="642"/>
      <c r="T350" s="642"/>
      <c r="U350" s="642"/>
      <c r="V350" s="643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72</v>
      </c>
      <c r="Q351" s="642"/>
      <c r="R351" s="642"/>
      <c r="S351" s="642"/>
      <c r="T351" s="642"/>
      <c r="U351" s="642"/>
      <c r="V351" s="643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578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111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hidden="1" customHeight="1" x14ac:dyDescent="0.25">
      <c r="A354" s="54" t="s">
        <v>579</v>
      </c>
      <c r="B354" s="54" t="s">
        <v>580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67</v>
      </c>
      <c r="X355" s="633">
        <v>359</v>
      </c>
      <c r="Y355" s="634">
        <f>IFERROR(IF(X355="",0,CEILING((X355/$H355),1)*$H355),"")</f>
        <v>366.59999999999997</v>
      </c>
      <c r="Z355" s="36">
        <f>IFERROR(IF(Y355=0,"",ROUNDUP(Y355/H355,0)*0.01898),"")</f>
        <v>0.89205999999999996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377.87051282051289</v>
      </c>
      <c r="BN355" s="64">
        <f>IFERROR(Y355*I355/H355,"0")</f>
        <v>385.87</v>
      </c>
      <c r="BO355" s="64">
        <f>IFERROR(1/J355*(X355/H355),"0")</f>
        <v>0.71915064102564108</v>
      </c>
      <c r="BP355" s="64">
        <f>IFERROR(1/J355*(Y355/H355),"0")</f>
        <v>0.734375</v>
      </c>
    </row>
    <row r="356" spans="1:68" ht="27" hidden="1" customHeight="1" x14ac:dyDescent="0.25">
      <c r="A356" s="54" t="s">
        <v>584</v>
      </c>
      <c r="B356" s="54" t="s">
        <v>585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72</v>
      </c>
      <c r="Q357" s="642"/>
      <c r="R357" s="642"/>
      <c r="S357" s="642"/>
      <c r="T357" s="642"/>
      <c r="U357" s="642"/>
      <c r="V357" s="643"/>
      <c r="W357" s="37" t="s">
        <v>73</v>
      </c>
      <c r="X357" s="635">
        <f>IFERROR(X354/H354,"0")+IFERROR(X355/H355,"0")+IFERROR(X356/H356,"0")</f>
        <v>46.025641025641029</v>
      </c>
      <c r="Y357" s="635">
        <f>IFERROR(Y354/H354,"0")+IFERROR(Y355/H355,"0")+IFERROR(Y356/H356,"0")</f>
        <v>47</v>
      </c>
      <c r="Z357" s="635">
        <f>IFERROR(IF(Z354="",0,Z354),"0")+IFERROR(IF(Z355="",0,Z355),"0")+IFERROR(IF(Z356="",0,Z356),"0")</f>
        <v>0.89205999999999996</v>
      </c>
      <c r="AA357" s="636"/>
      <c r="AB357" s="636"/>
      <c r="AC357" s="636"/>
    </row>
    <row r="358" spans="1:68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72</v>
      </c>
      <c r="Q358" s="642"/>
      <c r="R358" s="642"/>
      <c r="S358" s="642"/>
      <c r="T358" s="642"/>
      <c r="U358" s="642"/>
      <c r="V358" s="643"/>
      <c r="W358" s="37" t="s">
        <v>67</v>
      </c>
      <c r="X358" s="635">
        <f>IFERROR(SUM(X354:X356),"0")</f>
        <v>359</v>
      </c>
      <c r="Y358" s="635">
        <f>IFERROR(SUM(Y354:Y356),"0")</f>
        <v>366.59999999999997</v>
      </c>
      <c r="Z358" s="37"/>
      <c r="AA358" s="636"/>
      <c r="AB358" s="636"/>
      <c r="AC358" s="636"/>
    </row>
    <row r="359" spans="1:68" ht="16.5" hidden="1" customHeight="1" x14ac:dyDescent="0.25">
      <c r="A359" s="639" t="s">
        <v>587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111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72</v>
      </c>
      <c r="Q366" s="642"/>
      <c r="R366" s="642"/>
      <c r="S366" s="642"/>
      <c r="T366" s="642"/>
      <c r="U366" s="642"/>
      <c r="V366" s="643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72</v>
      </c>
      <c r="Q367" s="642"/>
      <c r="R367" s="642"/>
      <c r="S367" s="642"/>
      <c r="T367" s="642"/>
      <c r="U367" s="642"/>
      <c r="V367" s="643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62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605</v>
      </c>
      <c r="B370" s="54" t="s">
        <v>606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72</v>
      </c>
      <c r="Q376" s="642"/>
      <c r="R376" s="642"/>
      <c r="S376" s="642"/>
      <c r="T376" s="642"/>
      <c r="U376" s="642"/>
      <c r="V376" s="643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72</v>
      </c>
      <c r="Q377" s="642"/>
      <c r="R377" s="642"/>
      <c r="S377" s="642"/>
      <c r="T377" s="642"/>
      <c r="U377" s="642"/>
      <c r="V377" s="64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4" t="s">
        <v>74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72</v>
      </c>
      <c r="Q383" s="642"/>
      <c r="R383" s="642"/>
      <c r="S383" s="642"/>
      <c r="T383" s="642"/>
      <c r="U383" s="642"/>
      <c r="V383" s="643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72</v>
      </c>
      <c r="Q384" s="642"/>
      <c r="R384" s="642"/>
      <c r="S384" s="642"/>
      <c r="T384" s="642"/>
      <c r="U384" s="642"/>
      <c r="V384" s="643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164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632</v>
      </c>
      <c r="B386" s="54" t="s">
        <v>633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3">
        <v>416</v>
      </c>
      <c r="Y387" s="634">
        <f>IFERROR(IF(X387="",0,CEILING((X387/$H387),1)*$H387),"")</f>
        <v>421.2</v>
      </c>
      <c r="Z387" s="36">
        <f>IFERROR(IF(Y387=0,"",ROUNDUP(Y387/H387,0)*0.01898),"")</f>
        <v>1.0249200000000001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442.34666666666669</v>
      </c>
      <c r="BN387" s="64">
        <f>IFERROR(Y387*I387/H387,"0")</f>
        <v>447.87600000000003</v>
      </c>
      <c r="BO387" s="64">
        <f>IFERROR(1/J387*(X387/H387),"0")</f>
        <v>0.83333333333333337</v>
      </c>
      <c r="BP387" s="64">
        <f>IFERROR(1/J387*(Y387/H387),"0")</f>
        <v>0.84375</v>
      </c>
    </row>
    <row r="388" spans="1:68" ht="27" hidden="1" customHeight="1" x14ac:dyDescent="0.25">
      <c r="A388" s="54" t="s">
        <v>638</v>
      </c>
      <c r="B388" s="54" t="s">
        <v>639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72</v>
      </c>
      <c r="Q389" s="642"/>
      <c r="R389" s="642"/>
      <c r="S389" s="642"/>
      <c r="T389" s="642"/>
      <c r="U389" s="642"/>
      <c r="V389" s="643"/>
      <c r="W389" s="37" t="s">
        <v>73</v>
      </c>
      <c r="X389" s="635">
        <f>IFERROR(X386/H386,"0")+IFERROR(X387/H387,"0")+IFERROR(X388/H388,"0")</f>
        <v>53.333333333333336</v>
      </c>
      <c r="Y389" s="635">
        <f>IFERROR(Y386/H386,"0")+IFERROR(Y387/H387,"0")+IFERROR(Y388/H388,"0")</f>
        <v>54</v>
      </c>
      <c r="Z389" s="635">
        <f>IFERROR(IF(Z386="",0,Z386),"0")+IFERROR(IF(Z387="",0,Z387),"0")+IFERROR(IF(Z388="",0,Z388),"0")</f>
        <v>1.0249200000000001</v>
      </c>
      <c r="AA389" s="636"/>
      <c r="AB389" s="636"/>
      <c r="AC389" s="636"/>
    </row>
    <row r="390" spans="1:68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72</v>
      </c>
      <c r="Q390" s="642"/>
      <c r="R390" s="642"/>
      <c r="S390" s="642"/>
      <c r="T390" s="642"/>
      <c r="U390" s="642"/>
      <c r="V390" s="643"/>
      <c r="W390" s="37" t="s">
        <v>67</v>
      </c>
      <c r="X390" s="635">
        <f>IFERROR(SUM(X386:X388),"0")</f>
        <v>416</v>
      </c>
      <c r="Y390" s="635">
        <f>IFERROR(SUM(Y386:Y388),"0")</f>
        <v>421.2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272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641</v>
      </c>
      <c r="B392" s="54" t="s">
        <v>642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646</v>
      </c>
      <c r="B394" s="54" t="s">
        <v>647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72</v>
      </c>
      <c r="Q396" s="642"/>
      <c r="R396" s="642"/>
      <c r="S396" s="642"/>
      <c r="T396" s="642"/>
      <c r="U396" s="642"/>
      <c r="V396" s="643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hidden="1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72</v>
      </c>
      <c r="Q397" s="642"/>
      <c r="R397" s="642"/>
      <c r="S397" s="642"/>
      <c r="T397" s="642"/>
      <c r="U397" s="642"/>
      <c r="V397" s="643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hidden="1" customHeight="1" x14ac:dyDescent="0.25">
      <c r="A398" s="644" t="s">
        <v>650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hidden="1" customHeight="1" x14ac:dyDescent="0.25">
      <c r="A399" s="54" t="s">
        <v>651</v>
      </c>
      <c r="B399" s="54" t="s">
        <v>652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655</v>
      </c>
      <c r="B400" s="54" t="s">
        <v>656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657</v>
      </c>
      <c r="B401" s="54" t="s">
        <v>658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72</v>
      </c>
      <c r="Q402" s="642"/>
      <c r="R402" s="642"/>
      <c r="S402" s="642"/>
      <c r="T402" s="642"/>
      <c r="U402" s="642"/>
      <c r="V402" s="643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hidden="1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72</v>
      </c>
      <c r="Q403" s="642"/>
      <c r="R403" s="642"/>
      <c r="S403" s="642"/>
      <c r="T403" s="642"/>
      <c r="U403" s="642"/>
      <c r="V403" s="643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659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hidden="1" customHeight="1" x14ac:dyDescent="0.25">
      <c r="A405" s="54" t="s">
        <v>660</v>
      </c>
      <c r="B405" s="54" t="s">
        <v>661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663</v>
      </c>
      <c r="B406" s="54" t="s">
        <v>664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666</v>
      </c>
      <c r="B407" s="54" t="s">
        <v>667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72</v>
      </c>
      <c r="Q408" s="642"/>
      <c r="R408" s="642"/>
      <c r="S408" s="642"/>
      <c r="T408" s="642"/>
      <c r="U408" s="642"/>
      <c r="V408" s="643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hidden="1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72</v>
      </c>
      <c r="Q409" s="642"/>
      <c r="R409" s="642"/>
      <c r="S409" s="642"/>
      <c r="T409" s="642"/>
      <c r="U409" s="642"/>
      <c r="V409" s="643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hidden="1" customHeight="1" x14ac:dyDescent="0.25">
      <c r="A410" s="639" t="s">
        <v>668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74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6" t="s">
        <v>671</v>
      </c>
      <c r="Q412" s="646"/>
      <c r="R412" s="646"/>
      <c r="S412" s="646"/>
      <c r="T412" s="647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46"/>
      <c r="R413" s="646"/>
      <c r="S413" s="646"/>
      <c r="T413" s="647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72</v>
      </c>
      <c r="Q414" s="642"/>
      <c r="R414" s="642"/>
      <c r="S414" s="642"/>
      <c r="T414" s="642"/>
      <c r="U414" s="642"/>
      <c r="V414" s="643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72</v>
      </c>
      <c r="Q415" s="642"/>
      <c r="R415" s="642"/>
      <c r="S415" s="642"/>
      <c r="T415" s="642"/>
      <c r="U415" s="642"/>
      <c r="V415" s="643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678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74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3">
        <v>18</v>
      </c>
      <c r="Y419" s="634">
        <f>IFERROR(IF(X419="",0,CEILING((X419/$H419),1)*$H419),"")</f>
        <v>18.900000000000002</v>
      </c>
      <c r="Z419" s="36">
        <f>IFERROR(IF(Y419=0,"",ROUNDUP(Y419/H419,0)*0.00651),"")</f>
        <v>5.8590000000000003E-2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20.16</v>
      </c>
      <c r="BN419" s="64">
        <f>IFERROR(Y419*I419/H419,"0")</f>
        <v>21.167999999999999</v>
      </c>
      <c r="BO419" s="64">
        <f>IFERROR(1/J419*(X419/H419),"0")</f>
        <v>4.709576138147567E-2</v>
      </c>
      <c r="BP419" s="64">
        <f>IFERROR(1/J419*(Y419/H419),"0")</f>
        <v>4.9450549450549455E-2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3">
        <v>18</v>
      </c>
      <c r="Y420" s="634">
        <f>IFERROR(IF(X420="",0,CEILING((X420/$H420),1)*$H420),"")</f>
        <v>18.900000000000002</v>
      </c>
      <c r="Z420" s="36">
        <f>IFERROR(IF(Y420=0,"",ROUNDUP(Y420/H420,0)*0.00651),"")</f>
        <v>5.8590000000000003E-2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20.057142857142853</v>
      </c>
      <c r="BN420" s="64">
        <f>IFERROR(Y420*I420/H420,"0")</f>
        <v>21.06</v>
      </c>
      <c r="BO420" s="64">
        <f>IFERROR(1/J420*(X420/H420),"0")</f>
        <v>4.709576138147567E-2</v>
      </c>
      <c r="BP420" s="64">
        <f>IFERROR(1/J420*(Y420/H420),"0")</f>
        <v>4.9450549450549455E-2</v>
      </c>
    </row>
    <row r="421" spans="1:68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72</v>
      </c>
      <c r="Q421" s="642"/>
      <c r="R421" s="642"/>
      <c r="S421" s="642"/>
      <c r="T421" s="642"/>
      <c r="U421" s="642"/>
      <c r="V421" s="643"/>
      <c r="W421" s="37" t="s">
        <v>73</v>
      </c>
      <c r="X421" s="635">
        <f>IFERROR(X418/H418,"0")+IFERROR(X419/H419,"0")+IFERROR(X420/H420,"0")</f>
        <v>17.142857142857142</v>
      </c>
      <c r="Y421" s="635">
        <f>IFERROR(Y418/H418,"0")+IFERROR(Y419/H419,"0")+IFERROR(Y420/H420,"0")</f>
        <v>18</v>
      </c>
      <c r="Z421" s="635">
        <f>IFERROR(IF(Z418="",0,Z418),"0")+IFERROR(IF(Z419="",0,Z419),"0")+IFERROR(IF(Z420="",0,Z420),"0")</f>
        <v>0.11718000000000001</v>
      </c>
      <c r="AA421" s="636"/>
      <c r="AB421" s="636"/>
      <c r="AC421" s="636"/>
    </row>
    <row r="422" spans="1:68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72</v>
      </c>
      <c r="Q422" s="642"/>
      <c r="R422" s="642"/>
      <c r="S422" s="642"/>
      <c r="T422" s="642"/>
      <c r="U422" s="642"/>
      <c r="V422" s="643"/>
      <c r="W422" s="37" t="s">
        <v>67</v>
      </c>
      <c r="X422" s="635">
        <f>IFERROR(SUM(X418:X420),"0")</f>
        <v>36</v>
      </c>
      <c r="Y422" s="635">
        <f>IFERROR(SUM(Y418:Y420),"0")</f>
        <v>37.800000000000004</v>
      </c>
      <c r="Z422" s="37"/>
      <c r="AA422" s="636"/>
      <c r="AB422" s="636"/>
      <c r="AC422" s="636"/>
    </row>
    <row r="423" spans="1:68" ht="27.75" hidden="1" customHeight="1" x14ac:dyDescent="0.2">
      <c r="A423" s="718" t="s">
        <v>688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689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111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690</v>
      </c>
      <c r="B426" s="54" t="s">
        <v>691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3">
        <v>1318</v>
      </c>
      <c r="Y427" s="634">
        <f t="shared" si="53"/>
        <v>1320</v>
      </c>
      <c r="Z427" s="36">
        <f>IFERROR(IF(Y427=0,"",ROUNDUP(Y427/H427,0)*0.02175),"")</f>
        <v>1.9139999999999999</v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1359.2973333333332</v>
      </c>
      <c r="BN427" s="64">
        <f t="shared" si="55"/>
        <v>1361.3600000000001</v>
      </c>
      <c r="BO427" s="64">
        <f t="shared" si="56"/>
        <v>1.8305555555555553</v>
      </c>
      <c r="BP427" s="64">
        <f t="shared" si="57"/>
        <v>1.8333333333333333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3">
        <v>794</v>
      </c>
      <c r="Y428" s="634">
        <f t="shared" si="53"/>
        <v>795</v>
      </c>
      <c r="Z428" s="36">
        <f>IFERROR(IF(Y428=0,"",ROUNDUP(Y428/H428,0)*0.02175),"")</f>
        <v>1.1527499999999999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818.87866666666673</v>
      </c>
      <c r="BN428" s="64">
        <f t="shared" si="55"/>
        <v>819.91</v>
      </c>
      <c r="BO428" s="64">
        <f t="shared" si="56"/>
        <v>1.1027777777777776</v>
      </c>
      <c r="BP428" s="64">
        <f t="shared" si="57"/>
        <v>1.1041666666666665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3">
        <v>1039</v>
      </c>
      <c r="Y429" s="634">
        <f t="shared" si="53"/>
        <v>1050</v>
      </c>
      <c r="Z429" s="36">
        <f>IFERROR(IF(Y429=0,"",ROUNDUP(Y429/H429,0)*0.02175),"")</f>
        <v>1.5225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1071.5553333333332</v>
      </c>
      <c r="BN429" s="64">
        <f t="shared" si="55"/>
        <v>1082.9000000000001</v>
      </c>
      <c r="BO429" s="64">
        <f t="shared" si="56"/>
        <v>1.4430555555555555</v>
      </c>
      <c r="BP429" s="64">
        <f t="shared" si="57"/>
        <v>1.4583333333333333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3">
        <v>698</v>
      </c>
      <c r="Y430" s="634">
        <f t="shared" si="53"/>
        <v>705</v>
      </c>
      <c r="Z430" s="36">
        <f>IFERROR(IF(Y430=0,"",ROUNDUP(Y430/H430,0)*0.02175),"")</f>
        <v>1.0222499999999999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719.87066666666681</v>
      </c>
      <c r="BN430" s="64">
        <f t="shared" si="55"/>
        <v>727.09</v>
      </c>
      <c r="BO430" s="64">
        <f t="shared" si="56"/>
        <v>0.96944444444444433</v>
      </c>
      <c r="BP430" s="64">
        <f t="shared" si="57"/>
        <v>0.97916666666666663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72</v>
      </c>
      <c r="Q434" s="642"/>
      <c r="R434" s="642"/>
      <c r="S434" s="642"/>
      <c r="T434" s="642"/>
      <c r="U434" s="642"/>
      <c r="V434" s="643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256.60000000000002</v>
      </c>
      <c r="Y434" s="635">
        <f>IFERROR(Y426/H426,"0")+IFERROR(Y427/H427,"0")+IFERROR(Y428/H428,"0")+IFERROR(Y429/H429,"0")+IFERROR(Y430/H430,"0")+IFERROR(Y431/H431,"0")+IFERROR(Y432/H432,"0")+IFERROR(Y433/H433,"0")</f>
        <v>258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5.6114999999999995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72</v>
      </c>
      <c r="Q435" s="642"/>
      <c r="R435" s="642"/>
      <c r="S435" s="642"/>
      <c r="T435" s="642"/>
      <c r="U435" s="642"/>
      <c r="V435" s="643"/>
      <c r="W435" s="37" t="s">
        <v>67</v>
      </c>
      <c r="X435" s="635">
        <f>IFERROR(SUM(X426:X433),"0")</f>
        <v>3849</v>
      </c>
      <c r="Y435" s="635">
        <f>IFERROR(SUM(Y426:Y433),"0")</f>
        <v>3870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147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3">
        <v>270</v>
      </c>
      <c r="Y437" s="634">
        <f>IFERROR(IF(X437="",0,CEILING((X437/$H437),1)*$H437),"")</f>
        <v>270</v>
      </c>
      <c r="Z437" s="36">
        <f>IFERROR(IF(Y437=0,"",ROUNDUP(Y437/H437,0)*0.02175),"")</f>
        <v>0.39149999999999996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278.46000000000004</v>
      </c>
      <c r="BN437" s="64">
        <f>IFERROR(Y437*I437/H437,"0")</f>
        <v>278.46000000000004</v>
      </c>
      <c r="BO437" s="64">
        <f>IFERROR(1/J437*(X437/H437),"0")</f>
        <v>0.375</v>
      </c>
      <c r="BP437" s="64">
        <f>IFERROR(1/J437*(Y437/H437),"0")</f>
        <v>0.375</v>
      </c>
    </row>
    <row r="438" spans="1:68" ht="27" hidden="1" customHeight="1" x14ac:dyDescent="0.25">
      <c r="A438" s="54" t="s">
        <v>717</v>
      </c>
      <c r="B438" s="54" t="s">
        <v>718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72</v>
      </c>
      <c r="Q440" s="642"/>
      <c r="R440" s="642"/>
      <c r="S440" s="642"/>
      <c r="T440" s="642"/>
      <c r="U440" s="642"/>
      <c r="V440" s="643"/>
      <c r="W440" s="37" t="s">
        <v>73</v>
      </c>
      <c r="X440" s="635">
        <f>IFERROR(X437/H437,"0")+IFERROR(X438/H438,"0")+IFERROR(X439/H439,"0")</f>
        <v>18</v>
      </c>
      <c r="Y440" s="635">
        <f>IFERROR(Y437/H437,"0")+IFERROR(Y438/H438,"0")+IFERROR(Y439/H439,"0")</f>
        <v>18</v>
      </c>
      <c r="Z440" s="635">
        <f>IFERROR(IF(Z437="",0,Z437),"0")+IFERROR(IF(Z438="",0,Z438),"0")+IFERROR(IF(Z439="",0,Z439),"0")</f>
        <v>0.39149999999999996</v>
      </c>
      <c r="AA440" s="636"/>
      <c r="AB440" s="636"/>
      <c r="AC440" s="636"/>
    </row>
    <row r="441" spans="1:68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72</v>
      </c>
      <c r="Q441" s="642"/>
      <c r="R441" s="642"/>
      <c r="S441" s="642"/>
      <c r="T441" s="642"/>
      <c r="U441" s="642"/>
      <c r="V441" s="643"/>
      <c r="W441" s="37" t="s">
        <v>67</v>
      </c>
      <c r="X441" s="635">
        <f>IFERROR(SUM(X437:X439),"0")</f>
        <v>270</v>
      </c>
      <c r="Y441" s="635">
        <f>IFERROR(SUM(Y437:Y439),"0")</f>
        <v>270</v>
      </c>
      <c r="Z441" s="37"/>
      <c r="AA441" s="636"/>
      <c r="AB441" s="636"/>
      <c r="AC441" s="636"/>
    </row>
    <row r="442" spans="1:68" ht="14.25" hidden="1" customHeight="1" x14ac:dyDescent="0.25">
      <c r="A442" s="644" t="s">
        <v>74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726</v>
      </c>
      <c r="B444" s="54" t="s">
        <v>727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72</v>
      </c>
      <c r="Q446" s="642"/>
      <c r="R446" s="642"/>
      <c r="S446" s="642"/>
      <c r="T446" s="642"/>
      <c r="U446" s="642"/>
      <c r="V446" s="643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72</v>
      </c>
      <c r="Q447" s="642"/>
      <c r="R447" s="642"/>
      <c r="S447" s="642"/>
      <c r="T447" s="642"/>
      <c r="U447" s="642"/>
      <c r="V447" s="643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164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735</v>
      </c>
      <c r="B450" s="54" t="s">
        <v>736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72</v>
      </c>
      <c r="Q451" s="642"/>
      <c r="R451" s="642"/>
      <c r="S451" s="642"/>
      <c r="T451" s="642"/>
      <c r="U451" s="642"/>
      <c r="V451" s="643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72</v>
      </c>
      <c r="Q452" s="642"/>
      <c r="R452" s="642"/>
      <c r="S452" s="642"/>
      <c r="T452" s="642"/>
      <c r="U452" s="642"/>
      <c r="V452" s="643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39" t="s">
        <v>738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111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72</v>
      </c>
      <c r="Q457" s="642"/>
      <c r="R457" s="642"/>
      <c r="S457" s="642"/>
      <c r="T457" s="642"/>
      <c r="U457" s="642"/>
      <c r="V457" s="643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72</v>
      </c>
      <c r="Q458" s="642"/>
      <c r="R458" s="642"/>
      <c r="S458" s="642"/>
      <c r="T458" s="642"/>
      <c r="U458" s="642"/>
      <c r="V458" s="643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62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72</v>
      </c>
      <c r="Q461" s="642"/>
      <c r="R461" s="642"/>
      <c r="S461" s="642"/>
      <c r="T461" s="642"/>
      <c r="U461" s="642"/>
      <c r="V461" s="643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72</v>
      </c>
      <c r="Q462" s="642"/>
      <c r="R462" s="642"/>
      <c r="S462" s="642"/>
      <c r="T462" s="642"/>
      <c r="U462" s="642"/>
      <c r="V462" s="643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74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3">
        <v>520</v>
      </c>
      <c r="Y464" s="634">
        <f>IFERROR(IF(X464="",0,CEILING((X464/$H464),1)*$H464),"")</f>
        <v>522</v>
      </c>
      <c r="Z464" s="36">
        <f>IFERROR(IF(Y464=0,"",ROUNDUP(Y464/H464,0)*0.01898),"")</f>
        <v>1.10084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548.54222222222222</v>
      </c>
      <c r="BN464" s="64">
        <f>IFERROR(Y464*I464/H464,"0")</f>
        <v>550.65199999999993</v>
      </c>
      <c r="BO464" s="64">
        <f>IFERROR(1/J464*(X464/H464),"0")</f>
        <v>0.90277777777777779</v>
      </c>
      <c r="BP464" s="64">
        <f>IFERROR(1/J464*(Y464/H464),"0")</f>
        <v>0.90625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3">
        <v>40</v>
      </c>
      <c r="Y465" s="634">
        <f>IFERROR(IF(X465="",0,CEILING((X465/$H465),1)*$H465),"")</f>
        <v>40.799999999999997</v>
      </c>
      <c r="Z465" s="36">
        <f>IFERROR(IF(Y465=0,"",ROUNDUP(Y465/H465,0)*0.00651),"")</f>
        <v>0.11067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44.400000000000006</v>
      </c>
      <c r="BN465" s="64">
        <f>IFERROR(Y465*I465/H465,"0")</f>
        <v>45.287999999999997</v>
      </c>
      <c r="BO465" s="64">
        <f>IFERROR(1/J465*(X465/H465),"0")</f>
        <v>9.1575091575091583E-2</v>
      </c>
      <c r="BP465" s="64">
        <f>IFERROR(1/J465*(Y465/H465),"0")</f>
        <v>9.3406593406593408E-2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72</v>
      </c>
      <c r="Q467" s="642"/>
      <c r="R467" s="642"/>
      <c r="S467" s="642"/>
      <c r="T467" s="642"/>
      <c r="U467" s="642"/>
      <c r="V467" s="643"/>
      <c r="W467" s="37" t="s">
        <v>73</v>
      </c>
      <c r="X467" s="635">
        <f>IFERROR(X464/H464,"0")+IFERROR(X465/H465,"0")+IFERROR(X466/H466,"0")</f>
        <v>74.444444444444443</v>
      </c>
      <c r="Y467" s="635">
        <f>IFERROR(Y464/H464,"0")+IFERROR(Y465/H465,"0")+IFERROR(Y466/H466,"0")</f>
        <v>75</v>
      </c>
      <c r="Z467" s="635">
        <f>IFERROR(IF(Z464="",0,Z464),"0")+IFERROR(IF(Z465="",0,Z465),"0")+IFERROR(IF(Z466="",0,Z466),"0")</f>
        <v>1.2115100000000001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72</v>
      </c>
      <c r="Q468" s="642"/>
      <c r="R468" s="642"/>
      <c r="S468" s="642"/>
      <c r="T468" s="642"/>
      <c r="U468" s="642"/>
      <c r="V468" s="643"/>
      <c r="W468" s="37" t="s">
        <v>67</v>
      </c>
      <c r="X468" s="635">
        <f>IFERROR(SUM(X464:X466),"0")</f>
        <v>560</v>
      </c>
      <c r="Y468" s="635">
        <f>IFERROR(SUM(Y464:Y466),"0")</f>
        <v>562.79999999999995</v>
      </c>
      <c r="Z468" s="37"/>
      <c r="AA468" s="636"/>
      <c r="AB468" s="636"/>
      <c r="AC468" s="636"/>
    </row>
    <row r="469" spans="1:68" ht="27.75" hidden="1" customHeight="1" x14ac:dyDescent="0.2">
      <c r="A469" s="718" t="s">
        <v>754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755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62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72</v>
      </c>
      <c r="Q478" s="642"/>
      <c r="R478" s="642"/>
      <c r="S478" s="642"/>
      <c r="T478" s="642"/>
      <c r="U478" s="642"/>
      <c r="V478" s="643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72</v>
      </c>
      <c r="Q479" s="642"/>
      <c r="R479" s="642"/>
      <c r="S479" s="642"/>
      <c r="T479" s="642"/>
      <c r="U479" s="642"/>
      <c r="V479" s="643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74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72</v>
      </c>
      <c r="Q483" s="642"/>
      <c r="R483" s="642"/>
      <c r="S483" s="642"/>
      <c r="T483" s="642"/>
      <c r="U483" s="642"/>
      <c r="V483" s="643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72</v>
      </c>
      <c r="Q484" s="642"/>
      <c r="R484" s="642"/>
      <c r="S484" s="642"/>
      <c r="T484" s="642"/>
      <c r="U484" s="642"/>
      <c r="V484" s="643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778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147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72</v>
      </c>
      <c r="Q488" s="642"/>
      <c r="R488" s="642"/>
      <c r="S488" s="642"/>
      <c r="T488" s="642"/>
      <c r="U488" s="642"/>
      <c r="V488" s="643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72</v>
      </c>
      <c r="Q489" s="642"/>
      <c r="R489" s="642"/>
      <c r="S489" s="642"/>
      <c r="T489" s="642"/>
      <c r="U489" s="642"/>
      <c r="V489" s="643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62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72</v>
      </c>
      <c r="Q494" s="642"/>
      <c r="R494" s="642"/>
      <c r="S494" s="642"/>
      <c r="T494" s="642"/>
      <c r="U494" s="642"/>
      <c r="V494" s="643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72</v>
      </c>
      <c r="Q495" s="642"/>
      <c r="R495" s="642"/>
      <c r="S495" s="642"/>
      <c r="T495" s="642"/>
      <c r="U495" s="642"/>
      <c r="V495" s="643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790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790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111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hidden="1" customHeight="1" x14ac:dyDescent="0.25">
      <c r="A499" s="54" t="s">
        <v>791</v>
      </c>
      <c r="B499" s="54" t="s">
        <v>792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796</v>
      </c>
      <c r="B501" s="54" t="s">
        <v>797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3">
        <v>1377</v>
      </c>
      <c r="Y502" s="634">
        <f t="shared" si="63"/>
        <v>1378.0800000000002</v>
      </c>
      <c r="Z502" s="36">
        <f t="shared" si="64"/>
        <v>3.1215600000000001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1468.278409090909</v>
      </c>
      <c r="BN502" s="64">
        <f t="shared" si="66"/>
        <v>1469.43</v>
      </c>
      <c r="BO502" s="64">
        <f t="shared" si="67"/>
        <v>2.5076486013986017</v>
      </c>
      <c r="BP502" s="64">
        <f t="shared" si="68"/>
        <v>2.5096153846153846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3">
        <v>3489</v>
      </c>
      <c r="Y504" s="634">
        <f t="shared" si="63"/>
        <v>3490.0800000000004</v>
      </c>
      <c r="Z504" s="36">
        <f t="shared" si="64"/>
        <v>7.9055600000000004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3720.278409090909</v>
      </c>
      <c r="BN504" s="64">
        <f t="shared" si="66"/>
        <v>3721.4300000000003</v>
      </c>
      <c r="BO504" s="64">
        <f t="shared" si="67"/>
        <v>6.3538024475524475</v>
      </c>
      <c r="BP504" s="64">
        <f t="shared" si="68"/>
        <v>6.3557692307692308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810</v>
      </c>
      <c r="B506" s="54" t="s">
        <v>811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3">
        <v>209</v>
      </c>
      <c r="Y507" s="634">
        <f t="shared" si="63"/>
        <v>211.2</v>
      </c>
      <c r="Z507" s="36">
        <f>IFERROR(IF(Y507=0,"",ROUNDUP(Y507/H507,0)*0.00902),"")</f>
        <v>0.39688000000000001</v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300.8729166666667</v>
      </c>
      <c r="BN507" s="64">
        <f t="shared" si="66"/>
        <v>304.04000000000002</v>
      </c>
      <c r="BO507" s="64">
        <f t="shared" si="67"/>
        <v>0.32986111111111116</v>
      </c>
      <c r="BP507" s="64">
        <f t="shared" si="68"/>
        <v>0.33333333333333337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72</v>
      </c>
      <c r="Q508" s="642"/>
      <c r="R508" s="642"/>
      <c r="S508" s="642"/>
      <c r="T508" s="642"/>
      <c r="U508" s="642"/>
      <c r="V508" s="643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965.13257575757564</v>
      </c>
      <c r="Y508" s="635">
        <f>IFERROR(Y499/H499,"0")+IFERROR(Y500/H500,"0")+IFERROR(Y501/H501,"0")+IFERROR(Y502/H502,"0")+IFERROR(Y503/H503,"0")+IFERROR(Y504/H504,"0")+IFERROR(Y505/H505,"0")+IFERROR(Y506/H506,"0")+IFERROR(Y507/H507,"0")</f>
        <v>966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11.423999999999999</v>
      </c>
      <c r="AA508" s="636"/>
      <c r="AB508" s="636"/>
      <c r="AC508" s="636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72</v>
      </c>
      <c r="Q509" s="642"/>
      <c r="R509" s="642"/>
      <c r="S509" s="642"/>
      <c r="T509" s="642"/>
      <c r="U509" s="642"/>
      <c r="V509" s="643"/>
      <c r="W509" s="37" t="s">
        <v>67</v>
      </c>
      <c r="X509" s="635">
        <f>IFERROR(SUM(X499:X507),"0")</f>
        <v>5075</v>
      </c>
      <c r="Y509" s="635">
        <f>IFERROR(SUM(Y499:Y507),"0")</f>
        <v>5079.3600000000006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147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3">
        <v>1599</v>
      </c>
      <c r="Y511" s="634">
        <f>IFERROR(IF(X511="",0,CEILING((X511/$H511),1)*$H511),"")</f>
        <v>1599.8400000000001</v>
      </c>
      <c r="Z511" s="36">
        <f>IFERROR(IF(Y511=0,"",ROUNDUP(Y511/H511,0)*0.01196),"")</f>
        <v>3.6238800000000002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1704.994318181818</v>
      </c>
      <c r="BN511" s="64">
        <f>IFERROR(Y511*I511/H511,"0")</f>
        <v>1705.89</v>
      </c>
      <c r="BO511" s="64">
        <f>IFERROR(1/J511*(X511/H511),"0")</f>
        <v>2.9119318181818179</v>
      </c>
      <c r="BP511" s="64">
        <f>IFERROR(1/J511*(Y511/H511),"0")</f>
        <v>2.9134615384615388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819</v>
      </c>
      <c r="B513" s="54" t="s">
        <v>820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72</v>
      </c>
      <c r="Q514" s="642"/>
      <c r="R514" s="642"/>
      <c r="S514" s="642"/>
      <c r="T514" s="642"/>
      <c r="U514" s="642"/>
      <c r="V514" s="643"/>
      <c r="W514" s="37" t="s">
        <v>73</v>
      </c>
      <c r="X514" s="635">
        <f>IFERROR(X511/H511,"0")+IFERROR(X512/H512,"0")+IFERROR(X513/H513,"0")</f>
        <v>302.84090909090907</v>
      </c>
      <c r="Y514" s="635">
        <f>IFERROR(Y511/H511,"0")+IFERROR(Y512/H512,"0")+IFERROR(Y513/H513,"0")</f>
        <v>303</v>
      </c>
      <c r="Z514" s="635">
        <f>IFERROR(IF(Z511="",0,Z511),"0")+IFERROR(IF(Z512="",0,Z512),"0")+IFERROR(IF(Z513="",0,Z513),"0")</f>
        <v>3.6238800000000002</v>
      </c>
      <c r="AA514" s="636"/>
      <c r="AB514" s="636"/>
      <c r="AC514" s="636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72</v>
      </c>
      <c r="Q515" s="642"/>
      <c r="R515" s="642"/>
      <c r="S515" s="642"/>
      <c r="T515" s="642"/>
      <c r="U515" s="642"/>
      <c r="V515" s="643"/>
      <c r="W515" s="37" t="s">
        <v>67</v>
      </c>
      <c r="X515" s="635">
        <f>IFERROR(SUM(X511:X513),"0")</f>
        <v>1599</v>
      </c>
      <c r="Y515" s="635">
        <f>IFERROR(SUM(Y511:Y513),"0")</f>
        <v>1599.8400000000001</v>
      </c>
      <c r="Z515" s="37"/>
      <c r="AA515" s="636"/>
      <c r="AB515" s="636"/>
      <c r="AC515" s="636"/>
    </row>
    <row r="516" spans="1:68" ht="14.25" hidden="1" customHeight="1" x14ac:dyDescent="0.25">
      <c r="A516" s="644" t="s">
        <v>62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hidden="1" customHeight="1" x14ac:dyDescent="0.25">
      <c r="A517" s="54" t="s">
        <v>821</v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3">
        <v>457</v>
      </c>
      <c r="Y518" s="634">
        <f t="shared" si="69"/>
        <v>459.36</v>
      </c>
      <c r="Z518" s="36">
        <f>IFERROR(IF(Y518=0,"",ROUNDUP(Y518/H518,0)*0.01196),"")</f>
        <v>1.0405200000000001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487.29356060606057</v>
      </c>
      <c r="BN518" s="64">
        <f t="shared" si="71"/>
        <v>489.81</v>
      </c>
      <c r="BO518" s="64">
        <f t="shared" si="72"/>
        <v>0.83224067599067597</v>
      </c>
      <c r="BP518" s="64">
        <f t="shared" si="73"/>
        <v>0.83653846153846156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3">
        <v>416</v>
      </c>
      <c r="Y519" s="634">
        <f t="shared" si="69"/>
        <v>417.12</v>
      </c>
      <c r="Z519" s="36">
        <f>IFERROR(IF(Y519=0,"",ROUNDUP(Y519/H519,0)*0.01196),"")</f>
        <v>0.94484000000000001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443.57575757575756</v>
      </c>
      <c r="BN519" s="64">
        <f t="shared" si="71"/>
        <v>444.77</v>
      </c>
      <c r="BO519" s="64">
        <f t="shared" si="72"/>
        <v>0.75757575757575757</v>
      </c>
      <c r="BP519" s="64">
        <f t="shared" si="73"/>
        <v>0.75961538461538469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72</v>
      </c>
      <c r="Q524" s="642"/>
      <c r="R524" s="642"/>
      <c r="S524" s="642"/>
      <c r="T524" s="642"/>
      <c r="U524" s="642"/>
      <c r="V524" s="643"/>
      <c r="W524" s="37" t="s">
        <v>73</v>
      </c>
      <c r="X524" s="635">
        <f>IFERROR(X517/H517,"0")+IFERROR(X518/H518,"0")+IFERROR(X519/H519,"0")+IFERROR(X520/H520,"0")+IFERROR(X521/H521,"0")+IFERROR(X522/H522,"0")+IFERROR(X523/H523,"0")</f>
        <v>165.34090909090907</v>
      </c>
      <c r="Y524" s="635">
        <f>IFERROR(Y517/H517,"0")+IFERROR(Y518/H518,"0")+IFERROR(Y519/H519,"0")+IFERROR(Y520/H520,"0")+IFERROR(Y521/H521,"0")+IFERROR(Y522/H522,"0")+IFERROR(Y523/H523,"0")</f>
        <v>166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1.98536</v>
      </c>
      <c r="AA524" s="636"/>
      <c r="AB524" s="636"/>
      <c r="AC524" s="636"/>
    </row>
    <row r="525" spans="1:68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72</v>
      </c>
      <c r="Q525" s="642"/>
      <c r="R525" s="642"/>
      <c r="S525" s="642"/>
      <c r="T525" s="642"/>
      <c r="U525" s="642"/>
      <c r="V525" s="643"/>
      <c r="W525" s="37" t="s">
        <v>67</v>
      </c>
      <c r="X525" s="635">
        <f>IFERROR(SUM(X517:X523),"0")</f>
        <v>873</v>
      </c>
      <c r="Y525" s="635">
        <f>IFERROR(SUM(Y517:Y523),"0")</f>
        <v>876.48</v>
      </c>
      <c r="Z525" s="37"/>
      <c r="AA525" s="636"/>
      <c r="AB525" s="636"/>
      <c r="AC525" s="636"/>
    </row>
    <row r="526" spans="1:68" ht="27.75" hidden="1" customHeight="1" x14ac:dyDescent="0.2">
      <c r="A526" s="718" t="s">
        <v>837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837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111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72</v>
      </c>
      <c r="Q530" s="642"/>
      <c r="R530" s="642"/>
      <c r="S530" s="642"/>
      <c r="T530" s="642"/>
      <c r="U530" s="642"/>
      <c r="V530" s="643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72</v>
      </c>
      <c r="Q531" s="642"/>
      <c r="R531" s="642"/>
      <c r="S531" s="642"/>
      <c r="T531" s="642"/>
      <c r="U531" s="642"/>
      <c r="V531" s="643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147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72</v>
      </c>
      <c r="Q534" s="642"/>
      <c r="R534" s="642"/>
      <c r="S534" s="642"/>
      <c r="T534" s="642"/>
      <c r="U534" s="642"/>
      <c r="V534" s="643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72</v>
      </c>
      <c r="Q535" s="642"/>
      <c r="R535" s="642"/>
      <c r="S535" s="642"/>
      <c r="T535" s="642"/>
      <c r="U535" s="642"/>
      <c r="V535" s="643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62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72</v>
      </c>
      <c r="Q538" s="642"/>
      <c r="R538" s="642"/>
      <c r="S538" s="642"/>
      <c r="T538" s="642"/>
      <c r="U538" s="642"/>
      <c r="V538" s="643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72</v>
      </c>
      <c r="Q539" s="642"/>
      <c r="R539" s="642"/>
      <c r="S539" s="642"/>
      <c r="T539" s="642"/>
      <c r="U539" s="642"/>
      <c r="V539" s="643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74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hidden="1" customHeight="1" x14ac:dyDescent="0.25">
      <c r="A541" s="54" t="s">
        <v>847</v>
      </c>
      <c r="B541" s="54" t="s">
        <v>848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72</v>
      </c>
      <c r="Q542" s="642"/>
      <c r="R542" s="642"/>
      <c r="S542" s="642"/>
      <c r="T542" s="642"/>
      <c r="U542" s="642"/>
      <c r="V542" s="643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72</v>
      </c>
      <c r="Q543" s="642"/>
      <c r="R543" s="642"/>
      <c r="S543" s="642"/>
      <c r="T543" s="642"/>
      <c r="U543" s="642"/>
      <c r="V543" s="643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164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72</v>
      </c>
      <c r="Q547" s="642"/>
      <c r="R547" s="642"/>
      <c r="S547" s="642"/>
      <c r="T547" s="642"/>
      <c r="U547" s="642"/>
      <c r="V547" s="643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72</v>
      </c>
      <c r="Q548" s="642"/>
      <c r="R548" s="642"/>
      <c r="S548" s="642"/>
      <c r="T548" s="642"/>
      <c r="U548" s="642"/>
      <c r="V548" s="643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856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147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72</v>
      </c>
      <c r="Q552" s="642"/>
      <c r="R552" s="642"/>
      <c r="S552" s="642"/>
      <c r="T552" s="642"/>
      <c r="U552" s="642"/>
      <c r="V552" s="643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72</v>
      </c>
      <c r="Q553" s="642"/>
      <c r="R553" s="642"/>
      <c r="S553" s="642"/>
      <c r="T553" s="642"/>
      <c r="U553" s="642"/>
      <c r="V553" s="64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860</v>
      </c>
      <c r="Q554" s="664"/>
      <c r="R554" s="664"/>
      <c r="S554" s="664"/>
      <c r="T554" s="664"/>
      <c r="U554" s="664"/>
      <c r="V554" s="66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17219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17310.52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861</v>
      </c>
      <c r="Q555" s="664"/>
      <c r="R555" s="664"/>
      <c r="S555" s="664"/>
      <c r="T555" s="664"/>
      <c r="U555" s="664"/>
      <c r="V555" s="665"/>
      <c r="W555" s="37" t="s">
        <v>67</v>
      </c>
      <c r="X555" s="635">
        <f>IFERROR(SUM(BM22:BM551),"0")</f>
        <v>18284.99873362876</v>
      </c>
      <c r="Y555" s="635">
        <f>IFERROR(SUM(BN22:BN551),"0")</f>
        <v>18382.638000000003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862</v>
      </c>
      <c r="Q556" s="664"/>
      <c r="R556" s="664"/>
      <c r="S556" s="664"/>
      <c r="T556" s="664"/>
      <c r="U556" s="664"/>
      <c r="V556" s="665"/>
      <c r="W556" s="37" t="s">
        <v>863</v>
      </c>
      <c r="X556" s="38">
        <f>ROUNDUP(SUM(BO22:BO551),0)</f>
        <v>31</v>
      </c>
      <c r="Y556" s="38">
        <f>ROUNDUP(SUM(BP22:BP551),0)</f>
        <v>31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864</v>
      </c>
      <c r="Q557" s="664"/>
      <c r="R557" s="664"/>
      <c r="S557" s="664"/>
      <c r="T557" s="664"/>
      <c r="U557" s="664"/>
      <c r="V557" s="665"/>
      <c r="W557" s="37" t="s">
        <v>67</v>
      </c>
      <c r="X557" s="635">
        <f>GrossWeightTotal+PalletQtyTotal*25</f>
        <v>19059.99873362876</v>
      </c>
      <c r="Y557" s="635">
        <f>GrossWeightTotalR+PalletQtyTotalR*25</f>
        <v>19157.638000000003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865</v>
      </c>
      <c r="Q558" s="664"/>
      <c r="R558" s="664"/>
      <c r="S558" s="664"/>
      <c r="T558" s="664"/>
      <c r="U558" s="664"/>
      <c r="V558" s="66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2821.0858071366688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2838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866</v>
      </c>
      <c r="Q559" s="664"/>
      <c r="R559" s="664"/>
      <c r="S559" s="664"/>
      <c r="T559" s="664"/>
      <c r="U559" s="664"/>
      <c r="V559" s="66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36.115290000000002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700" t="s">
        <v>109</v>
      </c>
      <c r="E561" s="776"/>
      <c r="F561" s="776"/>
      <c r="G561" s="776"/>
      <c r="H561" s="776"/>
      <c r="I561" s="776"/>
      <c r="J561" s="726"/>
      <c r="K561" s="700" t="s">
        <v>342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688</v>
      </c>
      <c r="X561" s="726"/>
      <c r="Y561" s="700" t="s">
        <v>754</v>
      </c>
      <c r="Z561" s="726"/>
      <c r="AA561" s="630" t="s">
        <v>790</v>
      </c>
      <c r="AB561" s="700" t="s">
        <v>837</v>
      </c>
      <c r="AC561" s="726"/>
      <c r="AF561" s="631"/>
    </row>
    <row r="562" spans="1:32" ht="14.25" customHeight="1" thickTop="1" x14ac:dyDescent="0.2">
      <c r="A562" s="715" t="s">
        <v>869</v>
      </c>
      <c r="B562" s="700" t="s">
        <v>61</v>
      </c>
      <c r="C562" s="700" t="s">
        <v>93</v>
      </c>
      <c r="D562" s="700" t="s">
        <v>110</v>
      </c>
      <c r="E562" s="700" t="s">
        <v>126</v>
      </c>
      <c r="F562" s="700" t="s">
        <v>171</v>
      </c>
      <c r="G562" s="700" t="s">
        <v>192</v>
      </c>
      <c r="H562" s="700" t="s">
        <v>232</v>
      </c>
      <c r="I562" s="700" t="s">
        <v>256</v>
      </c>
      <c r="J562" s="700" t="s">
        <v>109</v>
      </c>
      <c r="K562" s="700" t="s">
        <v>343</v>
      </c>
      <c r="L562" s="700" t="s">
        <v>364</v>
      </c>
      <c r="M562" s="700" t="s">
        <v>431</v>
      </c>
      <c r="N562" s="631"/>
      <c r="O562" s="700" t="s">
        <v>499</v>
      </c>
      <c r="P562" s="700" t="s">
        <v>532</v>
      </c>
      <c r="Q562" s="700" t="s">
        <v>548</v>
      </c>
      <c r="R562" s="700" t="s">
        <v>557</v>
      </c>
      <c r="S562" s="700" t="s">
        <v>578</v>
      </c>
      <c r="T562" s="700" t="s">
        <v>587</v>
      </c>
      <c r="U562" s="700" t="s">
        <v>668</v>
      </c>
      <c r="V562" s="700" t="s">
        <v>678</v>
      </c>
      <c r="W562" s="700" t="s">
        <v>689</v>
      </c>
      <c r="X562" s="700" t="s">
        <v>738</v>
      </c>
      <c r="Y562" s="700" t="s">
        <v>755</v>
      </c>
      <c r="Z562" s="700" t="s">
        <v>778</v>
      </c>
      <c r="AA562" s="700" t="s">
        <v>790</v>
      </c>
      <c r="AB562" s="700" t="s">
        <v>837</v>
      </c>
      <c r="AC562" s="700" t="s">
        <v>856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572.40000000000009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359.1</v>
      </c>
      <c r="F564" s="46">
        <f>IFERROR(Y84*1,"0")+IFERROR(Y85*1,"0")+IFERROR(Y86*1,"0")+IFERROR(Y87*1,"0")+IFERROR(Y91*1,"0")+IFERROR(Y92*1,"0")+IFERROR(Y93*1,"0")+IFERROR(Y94*1,"0")</f>
        <v>1248.3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1148.3999999999999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316.53999999999996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75.600000000000009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484.50000000000006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21.599999999999998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366.59999999999997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421.2</v>
      </c>
      <c r="U564" s="46">
        <f>IFERROR(Y412*1,"0")+IFERROR(Y413*1,"0")</f>
        <v>0</v>
      </c>
      <c r="V564" s="46">
        <f>IFERROR(Y418*1,"0")+IFERROR(Y419*1,"0")+IFERROR(Y420*1,"0")</f>
        <v>37.800000000000004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4140</v>
      </c>
      <c r="X564" s="46">
        <f>IFERROR(Y455*1,"0")+IFERROR(Y456*1,"0")+IFERROR(Y460*1,"0")+IFERROR(Y464*1,"0")+IFERROR(Y465*1,"0")+IFERROR(Y466*1,"0")</f>
        <v>562.79999999999995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7555.68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9,00"/>
        <filter val="1 094,00"/>
        <filter val="1 162,00"/>
        <filter val="1 318,00"/>
        <filter val="1 377,00"/>
        <filter val="1 599,00"/>
        <filter val="110,00"/>
        <filter val="114,00"/>
        <filter val="116,38"/>
        <filter val="117,00"/>
        <filter val="16,67"/>
        <filter val="163,95"/>
        <filter val="165,34"/>
        <filter val="17 219,00"/>
        <filter val="17,14"/>
        <filter val="18 285,00"/>
        <filter val="18,00"/>
        <filter val="19 060,00"/>
        <filter val="191,88"/>
        <filter val="2 821,09"/>
        <filter val="20,00"/>
        <filter val="209,00"/>
        <filter val="232,00"/>
        <filter val="24,24"/>
        <filter val="244,20"/>
        <filter val="256,60"/>
        <filter val="270,00"/>
        <filter val="288,00"/>
        <filter val="3 489,00"/>
        <filter val="3 849,00"/>
        <filter val="302,84"/>
        <filter val="31"/>
        <filter val="312,00"/>
        <filter val="33,93"/>
        <filter val="34,44"/>
        <filter val="35,24"/>
        <filter val="359,00"/>
        <filter val="36,00"/>
        <filter val="40,00"/>
        <filter val="408,00"/>
        <filter val="416,00"/>
        <filter val="457,00"/>
        <filter val="46,03"/>
        <filter val="475,00"/>
        <filter val="48,00"/>
        <filter val="5 075,00"/>
        <filter val="52,00"/>
        <filter val="52,96"/>
        <filter val="520,00"/>
        <filter val="53,33"/>
        <filter val="56,00"/>
        <filter val="560,00"/>
        <filter val="572,00"/>
        <filter val="62,00"/>
        <filter val="698,00"/>
        <filter val="74,00"/>
        <filter val="74,44"/>
        <filter val="75,00"/>
        <filter val="754,00"/>
        <filter val="794,00"/>
        <filter val="8,33"/>
        <filter val="83,00"/>
        <filter val="873,00"/>
        <filter val="965,13"/>
        <filter val="977,0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2026-08-14T12:01:01Z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