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7E61351-C1F7-433C-82D4-8731D4B680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P407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P268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P113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Z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30" i="2" l="1"/>
  <c r="BN58" i="2"/>
  <c r="BN68" i="2"/>
  <c r="BN118" i="2"/>
  <c r="BN212" i="2"/>
  <c r="BN248" i="2"/>
  <c r="BN318" i="2"/>
  <c r="BN406" i="2"/>
  <c r="BN39" i="2"/>
  <c r="BP40" i="2"/>
  <c r="BP136" i="2"/>
  <c r="BN144" i="2"/>
  <c r="Z153" i="2"/>
  <c r="Y198" i="2"/>
  <c r="BN200" i="2"/>
  <c r="BN242" i="2"/>
  <c r="Z343" i="2"/>
  <c r="BN387" i="2"/>
  <c r="Z429" i="2"/>
  <c r="BN440" i="2"/>
  <c r="BP444" i="2"/>
  <c r="Z450" i="2"/>
  <c r="Y452" i="2"/>
  <c r="Y442" i="2"/>
  <c r="BN224" i="2"/>
  <c r="Y250" i="2"/>
  <c r="Z274" i="2"/>
  <c r="Z120" i="2"/>
  <c r="Z294" i="2"/>
  <c r="BN227" i="2"/>
  <c r="Z227" i="2"/>
  <c r="Z223" i="2"/>
  <c r="BN395" i="2"/>
  <c r="Z546" i="2"/>
  <c r="Z534" i="2"/>
  <c r="Z535" i="2" s="1"/>
  <c r="Y535" i="2"/>
  <c r="BP522" i="2"/>
  <c r="Z522" i="2"/>
  <c r="BN521" i="2"/>
  <c r="Z520" i="2"/>
  <c r="BP512" i="2"/>
  <c r="Z512" i="2"/>
  <c r="Z515" i="2" s="1"/>
  <c r="BN507" i="2"/>
  <c r="BN503" i="2"/>
  <c r="BN502" i="2"/>
  <c r="BN478" i="2"/>
  <c r="BP477" i="2"/>
  <c r="Z477" i="2"/>
  <c r="BN476" i="2"/>
  <c r="Z475" i="2"/>
  <c r="Y479" i="2"/>
  <c r="Y469" i="2"/>
  <c r="BN466" i="2"/>
  <c r="BN465" i="2"/>
  <c r="BN451" i="2"/>
  <c r="Y453" i="2"/>
  <c r="BN446" i="2"/>
  <c r="BN431" i="2"/>
  <c r="Y423" i="2"/>
  <c r="BN420" i="2"/>
  <c r="Z420" i="2"/>
  <c r="Y403" i="2"/>
  <c r="BP396" i="2"/>
  <c r="Z396" i="2"/>
  <c r="Z387" i="2"/>
  <c r="Z383" i="2"/>
  <c r="BP376" i="2"/>
  <c r="Z376" i="2"/>
  <c r="Z374" i="2"/>
  <c r="BN374" i="2"/>
  <c r="Y378" i="2"/>
  <c r="Z371" i="2"/>
  <c r="BP371" i="2"/>
  <c r="BN370" i="2"/>
  <c r="Z370" i="2"/>
  <c r="Z363" i="2"/>
  <c r="Y367" i="2"/>
  <c r="BN349" i="2"/>
  <c r="BN343" i="2"/>
  <c r="BP334" i="2"/>
  <c r="BN328" i="2"/>
  <c r="Z325" i="2"/>
  <c r="BP325" i="2"/>
  <c r="BN324" i="2"/>
  <c r="Z324" i="2"/>
  <c r="Z304" i="2"/>
  <c r="BN294" i="2"/>
  <c r="BN286" i="2"/>
  <c r="Z286" i="2"/>
  <c r="Z284" i="2"/>
  <c r="BN284" i="2"/>
  <c r="BN280" i="2"/>
  <c r="BP278" i="2"/>
  <c r="BN274" i="2"/>
  <c r="BN270" i="2"/>
  <c r="BN252" i="2"/>
  <c r="Z247" i="2"/>
  <c r="BN247" i="2"/>
  <c r="Z238" i="2"/>
  <c r="BN233" i="2"/>
  <c r="Z231" i="2"/>
  <c r="BN231" i="2"/>
  <c r="BP225" i="2"/>
  <c r="BP223" i="2"/>
  <c r="Z210" i="2"/>
  <c r="BN210" i="2"/>
  <c r="BN206" i="2"/>
  <c r="Y202" i="2"/>
  <c r="Y201" i="2"/>
  <c r="Z196" i="2"/>
  <c r="Z197" i="2" s="1"/>
  <c r="BN195" i="2"/>
  <c r="Z183" i="2"/>
  <c r="BN178" i="2"/>
  <c r="BP170" i="2"/>
  <c r="Z152" i="2"/>
  <c r="BP152" i="2"/>
  <c r="Z138" i="2"/>
  <c r="BP135" i="2"/>
  <c r="BN112" i="2"/>
  <c r="BP111" i="2"/>
  <c r="Z111" i="2"/>
  <c r="BN101" i="2"/>
  <c r="Y107" i="2"/>
  <c r="Z94" i="2"/>
  <c r="BN94" i="2"/>
  <c r="BP92" i="2"/>
  <c r="Z91" i="2"/>
  <c r="BP91" i="2"/>
  <c r="BP86" i="2"/>
  <c r="BN84" i="2"/>
  <c r="BP79" i="2"/>
  <c r="Z79" i="2"/>
  <c r="Z80" i="2" s="1"/>
  <c r="Y81" i="2"/>
  <c r="Z67" i="2"/>
  <c r="BN67" i="2"/>
  <c r="BN62" i="2"/>
  <c r="Z61" i="2"/>
  <c r="Z58" i="2"/>
  <c r="BN50" i="2"/>
  <c r="Z39" i="2"/>
  <c r="BN38" i="2"/>
  <c r="X559" i="2"/>
  <c r="Z30" i="2"/>
  <c r="X556" i="2"/>
  <c r="BP28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95" i="2" s="1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Z390" i="2" s="1"/>
  <c r="BN401" i="2"/>
  <c r="Y415" i="2"/>
  <c r="Y436" i="2"/>
  <c r="Z445" i="2"/>
  <c r="Z447" i="2" s="1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43" i="2" s="1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25" i="2" s="1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Z357" i="2" s="1"/>
  <c r="BP356" i="2"/>
  <c r="Y390" i="2"/>
  <c r="Z419" i="2"/>
  <c r="Z422" i="2" s="1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479" i="2" l="1"/>
  <c r="Z249" i="2"/>
  <c r="Z132" i="2"/>
  <c r="Z295" i="2"/>
  <c r="Z336" i="2"/>
  <c r="Z377" i="2"/>
  <c r="Z468" i="2"/>
  <c r="Z51" i="2"/>
  <c r="Z509" i="2"/>
  <c r="Z441" i="2"/>
  <c r="Z409" i="2"/>
  <c r="Z397" i="2"/>
  <c r="Z345" i="2"/>
  <c r="Z329" i="2"/>
  <c r="Z213" i="2"/>
  <c r="Z156" i="2"/>
  <c r="Z145" i="2"/>
  <c r="Z121" i="2"/>
  <c r="X558" i="2"/>
  <c r="Z70" i="2"/>
  <c r="Z63" i="2"/>
  <c r="Y556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<sst xmlns="http://schemas.openxmlformats.org/spreadsheetml/2006/main" count="4237" uniqueCount="896">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</sst>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46252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Вторник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25.6</v>
      </c>
      <c r="Y40" s="55">
        <f>IFERROR(IF(X40="",0,CEILING((X40/$H40),1)*$H40),"")</f>
        <v>26.88</v>
      </c>
      <c r="Z40" s="41">
        <f>IFERROR(IF(Y40=0,"",ROUNDUP(Y40/H40,0)*0.00651),"")</f>
        <v>9.1139999999999999E-2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28.000000000000004</v>
      </c>
      <c r="BN40" s="78">
        <f>IFERROR(Y40*I40/H40,"0")</f>
        <v>29.400000000000002</v>
      </c>
      <c r="BO40" s="78">
        <f>IFERROR(1/J40*(X40/H40),"0")</f>
        <v>7.3260073260073263E-2</v>
      </c>
      <c r="BP40" s="78">
        <f>IFERROR(1/J40*(Y40/H40),"0")</f>
        <v>7.6923076923076927E-2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6.4</v>
      </c>
      <c r="Y41" s="55">
        <f>IFERROR(IF(X41="",0,CEILING((X41/$H41),1)*$H41),"")</f>
        <v>7.68</v>
      </c>
      <c r="Z41" s="41">
        <f>IFERROR(IF(Y41=0,"",ROUNDUP(Y41/H41,0)*0.00651),"")</f>
        <v>2.6040000000000001E-2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7.0000000000000009</v>
      </c>
      <c r="BN41" s="78">
        <f>IFERROR(Y41*I41/H41,"0")</f>
        <v>8.4</v>
      </c>
      <c r="BO41" s="78">
        <f>IFERROR(1/J41*(X41/H41),"0")</f>
        <v>1.8315018315018316E-2</v>
      </c>
      <c r="BP41" s="78">
        <f>IFERROR(1/J41*(Y41/H41),"0")</f>
        <v>2.197802197802198E-2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16.666666666666668</v>
      </c>
      <c r="Y42" s="43">
        <f>IFERROR(Y37/H37,"0")+IFERROR(Y38/H38,"0")+IFERROR(Y39/H39,"0")+IFERROR(Y40/H40,"0")+IFERROR(Y41/H41,"0")</f>
        <v>18</v>
      </c>
      <c r="Z42" s="43">
        <f>IFERROR(IF(Z37="",0,Z37),"0")+IFERROR(IF(Z38="",0,Z38),"0")+IFERROR(IF(Z39="",0,Z39),"0")+IFERROR(IF(Z40="",0,Z40),"0")+IFERROR(IF(Z41="",0,Z41),"0")</f>
        <v>0.11718000000000001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32</v>
      </c>
      <c r="Y43" s="43">
        <f>IFERROR(SUM(Y37:Y41),"0")</f>
        <v>34.56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230</v>
      </c>
      <c r="Y47" s="55">
        <f>IFERROR(IF(X47="",0,CEILING((X47/$H47),1)*$H47),"")</f>
        <v>237.60000000000002</v>
      </c>
      <c r="Z47" s="41">
        <f>IFERROR(IF(Y47=0,"",ROUNDUP(Y47/H47,0)*0.01898),"")</f>
        <v>0.41755999999999999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238.7314814814815</v>
      </c>
      <c r="BN47" s="78">
        <f>IFERROR(Y47*I47/H47,"0")</f>
        <v>246.62000000000003</v>
      </c>
      <c r="BO47" s="78">
        <f>IFERROR(1/J47*(X47/H47),"0")</f>
        <v>0.33275462962962959</v>
      </c>
      <c r="BP47" s="78">
        <f>IFERROR(1/J47*(Y47/H47),"0")</f>
        <v>0.34375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320</v>
      </c>
      <c r="Y49" s="55">
        <f>IFERROR(IF(X49="",0,CEILING((X49/$H49),1)*$H49),"")</f>
        <v>320</v>
      </c>
      <c r="Z49" s="41">
        <f>IFERROR(IF(Y49=0,"",ROUNDUP(Y49/H49,0)*0.00902),"")</f>
        <v>0.72160000000000002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335.20000000000005</v>
      </c>
      <c r="BN49" s="78">
        <f>IFERROR(Y49*I49/H49,"0")</f>
        <v>335.20000000000005</v>
      </c>
      <c r="BO49" s="78">
        <f>IFERROR(1/J49*(X49/H49),"0")</f>
        <v>0.60606060606060608</v>
      </c>
      <c r="BP49" s="78">
        <f>IFERROR(1/J49*(Y49/H49),"0")</f>
        <v>0.60606060606060608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101.29629629629629</v>
      </c>
      <c r="Y51" s="43">
        <f>IFERROR(Y47/H47,"0")+IFERROR(Y48/H48,"0")+IFERROR(Y49/H49,"0")+IFERROR(Y50/H50,"0")</f>
        <v>102</v>
      </c>
      <c r="Z51" s="43">
        <f>IFERROR(IF(Z47="",0,Z47),"0")+IFERROR(IF(Z48="",0,Z48),"0")+IFERROR(IF(Z49="",0,Z49),"0")+IFERROR(IF(Z50="",0,Z50),"0")</f>
        <v>1.13916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550</v>
      </c>
      <c r="Y52" s="43">
        <f>IFERROR(SUM(Y47:Y50),"0")</f>
        <v>557.6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150</v>
      </c>
      <c r="Y57" s="55">
        <f t="shared" si="0"/>
        <v>151.20000000000002</v>
      </c>
      <c r="Z57" s="41">
        <f>IFERROR(IF(Y57=0,"",ROUNDUP(Y57/H57,0)*0.01898),"")</f>
        <v>0.26572000000000001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155.69444444444446</v>
      </c>
      <c r="BN57" s="78">
        <f t="shared" si="2"/>
        <v>156.94</v>
      </c>
      <c r="BO57" s="78">
        <f t="shared" si="3"/>
        <v>0.21701388888888887</v>
      </c>
      <c r="BP57" s="78">
        <f t="shared" si="4"/>
        <v>0.21875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540</v>
      </c>
      <c r="Y62" s="55">
        <f t="shared" si="0"/>
        <v>540</v>
      </c>
      <c r="Z62" s="41">
        <f>IFERROR(IF(Y62=0,"",ROUNDUP(Y62/H62,0)*0.00902),"")</f>
        <v>1.0824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562.80000000000007</v>
      </c>
      <c r="BN62" s="78">
        <f t="shared" si="2"/>
        <v>562.80000000000007</v>
      </c>
      <c r="BO62" s="78">
        <f t="shared" si="3"/>
        <v>0.90909090909090917</v>
      </c>
      <c r="BP62" s="78">
        <f t="shared" si="4"/>
        <v>0.90909090909090917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133.88888888888889</v>
      </c>
      <c r="Y63" s="43">
        <f>IFERROR(Y55/H55,"0")+IFERROR(Y56/H56,"0")+IFERROR(Y57/H57,"0")+IFERROR(Y58/H58,"0")+IFERROR(Y59/H59,"0")+IFERROR(Y60/H60,"0")+IFERROR(Y61/H61,"0")+IFERROR(Y62/H62,"0")</f>
        <v>134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1.34812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690</v>
      </c>
      <c r="Y64" s="43">
        <f>IFERROR(SUM(Y55:Y62),"0")</f>
        <v>691.2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180</v>
      </c>
      <c r="Y69" s="55">
        <f>IFERROR(IF(X69="",0,CEILING((X69/$H69),1)*$H69),"")</f>
        <v>180.9</v>
      </c>
      <c r="Z69" s="41">
        <f>IFERROR(IF(Y69=0,"",ROUNDUP(Y69/H69,0)*0.00651),"")</f>
        <v>0.43617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191.99999999999997</v>
      </c>
      <c r="BN69" s="78">
        <f>IFERROR(Y69*I69/H69,"0")</f>
        <v>192.95999999999998</v>
      </c>
      <c r="BO69" s="78">
        <f>IFERROR(1/J69*(X69/H69),"0")</f>
        <v>0.36630036630036628</v>
      </c>
      <c r="BP69" s="78">
        <f>IFERROR(1/J69*(Y69/H69),"0")</f>
        <v>0.36813186813186816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71.296296296296291</v>
      </c>
      <c r="Y70" s="43">
        <f>IFERROR(Y66/H66,"0")+IFERROR(Y67/H67,"0")+IFERROR(Y68/H68,"0")+IFERROR(Y69/H69,"0")</f>
        <v>72</v>
      </c>
      <c r="Z70" s="43">
        <f>IFERROR(IF(Z66="",0,Z66),"0")+IFERROR(IF(Z67="",0,Z67),"0")+IFERROR(IF(Z68="",0,Z68),"0")+IFERROR(IF(Z69="",0,Z69),"0")</f>
        <v>0.53107000000000004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230</v>
      </c>
      <c r="Y71" s="43">
        <f>IFERROR(SUM(Y66:Y69),"0")</f>
        <v>234.9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40</v>
      </c>
      <c r="Y78" s="55">
        <f>IFERROR(IF(X78="",0,CEILING((X78/$H78),1)*$H78),"")</f>
        <v>46.8</v>
      </c>
      <c r="Z78" s="41">
        <f>IFERROR(IF(Y78=0,"",ROUNDUP(Y78/H78,0)*0.01898),"")</f>
        <v>0.11388000000000001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42.102564102564109</v>
      </c>
      <c r="BN78" s="78">
        <f>IFERROR(Y78*I78/H78,"0")</f>
        <v>49.260000000000005</v>
      </c>
      <c r="BO78" s="78">
        <f>IFERROR(1/J78*(X78/H78),"0")</f>
        <v>8.0128205128205135E-2</v>
      </c>
      <c r="BP78" s="78">
        <f>IFERROR(1/J78*(Y78/H78),"0")</f>
        <v>9.375E-2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5.1282051282051286</v>
      </c>
      <c r="Y80" s="43">
        <f>IFERROR(Y78/H78,"0")+IFERROR(Y79/H79,"0")</f>
        <v>6</v>
      </c>
      <c r="Z80" s="43">
        <f>IFERROR(IF(Z78="",0,Z78),"0")+IFERROR(IF(Z79="",0,Z79),"0")</f>
        <v>0.11388000000000001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40</v>
      </c>
      <c r="Y81" s="43">
        <f>IFERROR(SUM(Y78:Y79),"0")</f>
        <v>46.8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150</v>
      </c>
      <c r="Y84" s="55">
        <f>IFERROR(IF(X84="",0,CEILING((X84/$H84),1)*$H84),"")</f>
        <v>151.20000000000002</v>
      </c>
      <c r="Z84" s="41">
        <f>IFERROR(IF(Y84=0,"",ROUNDUP(Y84/H84,0)*0.01898),"")</f>
        <v>0.26572000000000001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155.69444444444446</v>
      </c>
      <c r="BN84" s="78">
        <f>IFERROR(Y84*I84/H84,"0")</f>
        <v>156.94</v>
      </c>
      <c r="BO84" s="78">
        <f>IFERROR(1/J84*(X84/H84),"0")</f>
        <v>0.21701388888888887</v>
      </c>
      <c r="BP84" s="78">
        <f>IFERROR(1/J84*(Y84/H84),"0")</f>
        <v>0.21875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540</v>
      </c>
      <c r="Y87" s="55">
        <f>IFERROR(IF(X87="",0,CEILING((X87/$H87),1)*$H87),"")</f>
        <v>540</v>
      </c>
      <c r="Z87" s="41">
        <f>IFERROR(IF(Y87=0,"",ROUNDUP(Y87/H87,0)*0.00902),"")</f>
        <v>1.0824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562.80000000000007</v>
      </c>
      <c r="BN87" s="78">
        <f>IFERROR(Y87*I87/H87,"0")</f>
        <v>562.80000000000007</v>
      </c>
      <c r="BO87" s="78">
        <f>IFERROR(1/J87*(X87/H87),"0")</f>
        <v>0.90909090909090917</v>
      </c>
      <c r="BP87" s="78">
        <f>IFERROR(1/J87*(Y87/H87),"0")</f>
        <v>0.90909090909090917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133.88888888888889</v>
      </c>
      <c r="Y88" s="43">
        <f>IFERROR(Y84/H84,"0")+IFERROR(Y85/H85,"0")+IFERROR(Y86/H86,"0")+IFERROR(Y87/H87,"0")</f>
        <v>134</v>
      </c>
      <c r="Z88" s="43">
        <f>IFERROR(IF(Z84="",0,Z84),"0")+IFERROR(IF(Z85="",0,Z85),"0")+IFERROR(IF(Z86="",0,Z86),"0")+IFERROR(IF(Z87="",0,Z87),"0")</f>
        <v>1.34812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690</v>
      </c>
      <c r="Y89" s="43">
        <f>IFERROR(SUM(Y84:Y87),"0")</f>
        <v>691.2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450</v>
      </c>
      <c r="Y91" s="55">
        <f>IFERROR(IF(X91="",0,CEILING((X91/$H91),1)*$H91),"")</f>
        <v>453.59999999999997</v>
      </c>
      <c r="Z91" s="41">
        <f>IFERROR(IF(Y91=0,"",ROUNDUP(Y91/H91,0)*0.01898),"")</f>
        <v>1.06288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477.44444444444446</v>
      </c>
      <c r="BN91" s="78">
        <f>IFERROR(Y91*I91/H91,"0")</f>
        <v>481.26399999999995</v>
      </c>
      <c r="BO91" s="78">
        <f>IFERROR(1/J91*(X91/H91),"0")</f>
        <v>0.86805555555555558</v>
      </c>
      <c r="BP91" s="78">
        <f>IFERROR(1/J91*(Y91/H91),"0")</f>
        <v>0.875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630</v>
      </c>
      <c r="Y93" s="55">
        <f>IFERROR(IF(X93="",0,CEILING((X93/$H93),1)*$H93),"")</f>
        <v>631.80000000000007</v>
      </c>
      <c r="Z93" s="41">
        <f>IFERROR(IF(Y93=0,"",ROUNDUP(Y93/H93,0)*0.00651),"")</f>
        <v>1.5233400000000001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688.8</v>
      </c>
      <c r="BN93" s="78">
        <f>IFERROR(Y93*I93/H93,"0")</f>
        <v>690.76800000000003</v>
      </c>
      <c r="BO93" s="78">
        <f>IFERROR(1/J93*(X93/H93),"0")</f>
        <v>1.2820512820512819</v>
      </c>
      <c r="BP93" s="78">
        <f>IFERROR(1/J93*(Y93/H93),"0")</f>
        <v>1.2857142857142858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288.88888888888886</v>
      </c>
      <c r="Y95" s="43">
        <f>IFERROR(Y91/H91,"0")+IFERROR(Y92/H92,"0")+IFERROR(Y93/H93,"0")+IFERROR(Y94/H94,"0")</f>
        <v>290</v>
      </c>
      <c r="Z95" s="43">
        <f>IFERROR(IF(Z91="",0,Z91),"0")+IFERROR(IF(Z92="",0,Z92),"0")+IFERROR(IF(Z93="",0,Z93),"0")+IFERROR(IF(Z94="",0,Z94),"0")</f>
        <v>2.58622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1080</v>
      </c>
      <c r="Y96" s="43">
        <f>IFERROR(SUM(Y91:Y94),"0")</f>
        <v>1085.4000000000001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30</v>
      </c>
      <c r="Y99" s="55">
        <f t="shared" ref="Y99:Y105" si="5">IFERROR(IF(X99="",0,CEILING((X99/$H99),1)*$H99),"")</f>
        <v>32.400000000000006</v>
      </c>
      <c r="Z99" s="41">
        <f>IFERROR(IF(Y99=0,"",ROUNDUP(Y99/H99,0)*0.01898),"")</f>
        <v>5.6940000000000004E-2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31.138888888888889</v>
      </c>
      <c r="BN99" s="78">
        <f t="shared" ref="BN99:BN105" si="7">IFERROR(Y99*I99/H99,"0")</f>
        <v>33.630000000000003</v>
      </c>
      <c r="BO99" s="78">
        <f t="shared" ref="BO99:BO105" si="8">IFERROR(1/J99*(X99/H99),"0")</f>
        <v>4.3402777777777776E-2</v>
      </c>
      <c r="BP99" s="78">
        <f t="shared" ref="BP99:BP105" si="9">IFERROR(1/J99*(Y99/H99),"0")</f>
        <v>4.6875000000000007E-2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540</v>
      </c>
      <c r="Y104" s="55">
        <f t="shared" si="5"/>
        <v>540</v>
      </c>
      <c r="Z104" s="41">
        <f>IFERROR(IF(Y104=0,"",ROUNDUP(Y104/H104,0)*0.00902),"")</f>
        <v>1.0824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562.80000000000007</v>
      </c>
      <c r="BN104" s="78">
        <f t="shared" si="7"/>
        <v>562.80000000000007</v>
      </c>
      <c r="BO104" s="78">
        <f t="shared" si="8"/>
        <v>0.90909090909090917</v>
      </c>
      <c r="BP104" s="78">
        <f t="shared" si="9"/>
        <v>0.90909090909090917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122.77777777777777</v>
      </c>
      <c r="Y106" s="43">
        <f>IFERROR(Y99/H99,"0")+IFERROR(Y100/H100,"0")+IFERROR(Y101/H101,"0")+IFERROR(Y102/H102,"0")+IFERROR(Y103/H103,"0")+IFERROR(Y104/H104,"0")+IFERROR(Y105/H105,"0")</f>
        <v>123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1.13934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570</v>
      </c>
      <c r="Y107" s="43">
        <f>IFERROR(SUM(Y99:Y105),"0")</f>
        <v>572.4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700</v>
      </c>
      <c r="Y117" s="55">
        <f>IFERROR(IF(X117="",0,CEILING((X117/$H117),1)*$H117),"")</f>
        <v>704.69999999999993</v>
      </c>
      <c r="Z117" s="41">
        <f>IFERROR(IF(Y117=0,"",ROUNDUP(Y117/H117,0)*0.01898),"")</f>
        <v>1.65126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742.17283950617275</v>
      </c>
      <c r="BN117" s="78">
        <f>IFERROR(Y117*I117/H117,"0")</f>
        <v>747.15599999999995</v>
      </c>
      <c r="BO117" s="78">
        <f>IFERROR(1/J117*(X117/H117),"0")</f>
        <v>1.3503086419753088</v>
      </c>
      <c r="BP117" s="78">
        <f>IFERROR(1/J117*(Y117/H117),"0")</f>
        <v>1.359375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810</v>
      </c>
      <c r="Y119" s="55">
        <f>IFERROR(IF(X119="",0,CEILING((X119/$H119),1)*$H119),"")</f>
        <v>810</v>
      </c>
      <c r="Z119" s="41">
        <f>IFERROR(IF(Y119=0,"",ROUNDUP(Y119/H119,0)*0.00651),"")</f>
        <v>1.9530000000000001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885.59999999999991</v>
      </c>
      <c r="BN119" s="78">
        <f>IFERROR(Y119*I119/H119,"0")</f>
        <v>885.59999999999991</v>
      </c>
      <c r="BO119" s="78">
        <f>IFERROR(1/J119*(X119/H119),"0")</f>
        <v>1.6483516483516485</v>
      </c>
      <c r="BP119" s="78">
        <f>IFERROR(1/J119*(Y119/H119),"0")</f>
        <v>1.6483516483516485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60</v>
      </c>
      <c r="Y120" s="55">
        <f>IFERROR(IF(X120="",0,CEILING((X120/$H120),1)*$H120),"")</f>
        <v>61.2</v>
      </c>
      <c r="Z120" s="41">
        <f>IFERROR(IF(Y120=0,"",ROUNDUP(Y120/H120,0)*0.00651),"")</f>
        <v>0.22134000000000001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66</v>
      </c>
      <c r="BN120" s="78">
        <f>IFERROR(Y120*I120/H120,"0")</f>
        <v>67.319999999999993</v>
      </c>
      <c r="BO120" s="78">
        <f>IFERROR(1/J120*(X120/H120),"0")</f>
        <v>0.18315018315018317</v>
      </c>
      <c r="BP120" s="78">
        <f>IFERROR(1/J120*(Y120/H120),"0")</f>
        <v>0.18681318681318682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419.75308641975306</v>
      </c>
      <c r="Y121" s="43">
        <f>IFERROR(Y117/H117,"0")+IFERROR(Y118/H118,"0")+IFERROR(Y119/H119,"0")+IFERROR(Y120/H120,"0")</f>
        <v>421</v>
      </c>
      <c r="Z121" s="43">
        <f>IFERROR(IF(Z117="",0,Z117),"0")+IFERROR(IF(Z118="",0,Z118),"0")+IFERROR(IF(Z119="",0,Z119),"0")+IFERROR(IF(Z120="",0,Z120),"0")</f>
        <v>3.8256000000000001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1570</v>
      </c>
      <c r="Y122" s="43">
        <f>IFERROR(SUM(Y117:Y120),"0")</f>
        <v>1575.8999999999999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66</v>
      </c>
      <c r="Y124" s="55">
        <f>IFERROR(IF(X124="",0,CEILING((X124/$H124),1)*$H124),"")</f>
        <v>67.319999999999993</v>
      </c>
      <c r="Z124" s="41">
        <f>IFERROR(IF(Y124=0,"",ROUNDUP(Y124/H124,0)*0.00651),"")</f>
        <v>0.22134000000000001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74.599999999999994</v>
      </c>
      <c r="BN124" s="78">
        <f>IFERROR(Y124*I124/H124,"0")</f>
        <v>76.091999999999985</v>
      </c>
      <c r="BO124" s="78">
        <f>IFERROR(1/J124*(X124/H124),"0")</f>
        <v>0.18315018315018317</v>
      </c>
      <c r="BP124" s="78">
        <f>IFERROR(1/J124*(Y124/H124),"0")</f>
        <v>0.18681318681318682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33.333333333333336</v>
      </c>
      <c r="Y125" s="43">
        <f>IFERROR(Y124/H124,"0")</f>
        <v>34</v>
      </c>
      <c r="Z125" s="43">
        <f>IFERROR(IF(Z124="",0,Z124),"0")</f>
        <v>0.22134000000000001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66</v>
      </c>
      <c r="Y126" s="43">
        <f>IFERROR(SUM(Y124:Y124),"0")</f>
        <v>67.319999999999993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100</v>
      </c>
      <c r="Y131" s="55">
        <f>IFERROR(IF(X131="",0,CEILING((X131/$H131),1)*$H131),"")</f>
        <v>102.4</v>
      </c>
      <c r="Z131" s="41">
        <f>IFERROR(IF(Y131=0,"",ROUNDUP(Y131/H131,0)*0.00651),"")</f>
        <v>0.20832000000000001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105.625</v>
      </c>
      <c r="BN131" s="78">
        <f>IFERROR(Y131*I131/H131,"0")</f>
        <v>108.16</v>
      </c>
      <c r="BO131" s="78">
        <f>IFERROR(1/J131*(X131/H131),"0")</f>
        <v>0.1717032967032967</v>
      </c>
      <c r="BP131" s="78">
        <f>IFERROR(1/J131*(Y131/H131),"0")</f>
        <v>0.17582417582417584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31.25</v>
      </c>
      <c r="Y132" s="43">
        <f>IFERROR(Y129/H129,"0")+IFERROR(Y130/H130,"0")+IFERROR(Y131/H131,"0")</f>
        <v>32</v>
      </c>
      <c r="Z132" s="43">
        <f>IFERROR(IF(Z129="",0,Z129),"0")+IFERROR(IF(Z130="",0,Z130),"0")+IFERROR(IF(Z131="",0,Z131),"0")</f>
        <v>0.20832000000000001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100</v>
      </c>
      <c r="Y133" s="43">
        <f>IFERROR(SUM(Y129:Y131),"0")</f>
        <v>102.4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70</v>
      </c>
      <c r="Y136" s="55">
        <f>IFERROR(IF(X136="",0,CEILING((X136/$H136),1)*$H136),"")</f>
        <v>70</v>
      </c>
      <c r="Z136" s="41">
        <f>IFERROR(IF(Y136=0,"",ROUNDUP(Y136/H136,0)*0.00651),"")</f>
        <v>0.16275000000000001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76.7</v>
      </c>
      <c r="BN136" s="78">
        <f>IFERROR(Y136*I136/H136,"0")</f>
        <v>76.7</v>
      </c>
      <c r="BO136" s="78">
        <f>IFERROR(1/J136*(X136/H136),"0")</f>
        <v>0.13736263736263737</v>
      </c>
      <c r="BP136" s="78">
        <f>IFERROR(1/J136*(Y136/H136),"0")</f>
        <v>0.13736263736263737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25</v>
      </c>
      <c r="Y139" s="43">
        <f>IFERROR(Y135/H135,"0")+IFERROR(Y136/H136,"0")+IFERROR(Y137/H137,"0")+IFERROR(Y138/H138,"0")</f>
        <v>25</v>
      </c>
      <c r="Z139" s="43">
        <f>IFERROR(IF(Z135="",0,Z135),"0")+IFERROR(IF(Z136="",0,Z136),"0")+IFERROR(IF(Z137="",0,Z137),"0")+IFERROR(IF(Z138="",0,Z138),"0")</f>
        <v>0.16275000000000001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70</v>
      </c>
      <c r="Y140" s="43">
        <f>IFERROR(SUM(Y135:Y138),"0")</f>
        <v>70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99</v>
      </c>
      <c r="Y143" s="55">
        <f>IFERROR(IF(X143="",0,CEILING((X143/$H143),1)*$H143),"")</f>
        <v>100.32000000000001</v>
      </c>
      <c r="Z143" s="41">
        <f>IFERROR(IF(Y143=0,"",ROUNDUP(Y143/H143,0)*0.00651),"")</f>
        <v>0.24738000000000002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109.05</v>
      </c>
      <c r="BN143" s="78">
        <f>IFERROR(Y143*I143/H143,"0")</f>
        <v>110.504</v>
      </c>
      <c r="BO143" s="78">
        <f>IFERROR(1/J143*(X143/H143),"0")</f>
        <v>0.20604395604395606</v>
      </c>
      <c r="BP143" s="78">
        <f>IFERROR(1/J143*(Y143/H143),"0")</f>
        <v>0.2087912087912088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37.5</v>
      </c>
      <c r="Y145" s="43">
        <f>IFERROR(Y142/H142,"0")+IFERROR(Y143/H143,"0")+IFERROR(Y144/H144,"0")</f>
        <v>38</v>
      </c>
      <c r="Z145" s="43">
        <f>IFERROR(IF(Z142="",0,Z142),"0")+IFERROR(IF(Z143="",0,Z143),"0")+IFERROR(IF(Z144="",0,Z144),"0")</f>
        <v>0.24738000000000002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99</v>
      </c>
      <c r="Y146" s="43">
        <f>IFERROR(SUM(Y142:Y144),"0")</f>
        <v>100.32000000000001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350</v>
      </c>
      <c r="Y175" s="55">
        <f t="shared" ref="Y175:Y185" si="16">IFERROR(IF(X175="",0,CEILING((X175/$H175),1)*$H175),"")</f>
        <v>350</v>
      </c>
      <c r="Z175" s="41">
        <f>IFERROR(IF(Y175=0,"",ROUNDUP(Y175/H175,0)*0.00902),"")</f>
        <v>0.90200000000000002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369</v>
      </c>
      <c r="BN175" s="78">
        <f t="shared" ref="BN175:BN185" si="18">IFERROR(Y175*I175/H175,"0")</f>
        <v>369</v>
      </c>
      <c r="BO175" s="78">
        <f t="shared" ref="BO175:BO185" si="19">IFERROR(1/J175*(X175/H175),"0")</f>
        <v>0.75757575757575757</v>
      </c>
      <c r="BP175" s="78">
        <f t="shared" ref="BP175:BP185" si="20">IFERROR(1/J175*(Y175/H175),"0")</f>
        <v>0.75757575757575757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280</v>
      </c>
      <c r="Y177" s="55">
        <f t="shared" si="16"/>
        <v>280</v>
      </c>
      <c r="Z177" s="41">
        <f>IFERROR(IF(Y177=0,"",ROUNDUP(Y177/H177,0)*0.00902),"")</f>
        <v>0.72160000000000002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295.2</v>
      </c>
      <c r="BN177" s="78">
        <f t="shared" si="18"/>
        <v>295.2</v>
      </c>
      <c r="BO177" s="78">
        <f t="shared" si="19"/>
        <v>0.60606060606060608</v>
      </c>
      <c r="BP177" s="78">
        <f t="shared" si="20"/>
        <v>0.60606060606060608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300</v>
      </c>
      <c r="Y178" s="55">
        <f t="shared" si="16"/>
        <v>301</v>
      </c>
      <c r="Z178" s="41">
        <f>IFERROR(IF(Y178=0,"",ROUNDUP(Y178/H178,0)*0.00902),"")</f>
        <v>0.77571999999999997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316.28571428571428</v>
      </c>
      <c r="BN178" s="78">
        <f t="shared" si="18"/>
        <v>317.34000000000003</v>
      </c>
      <c r="BO178" s="78">
        <f t="shared" si="19"/>
        <v>0.64935064935064934</v>
      </c>
      <c r="BP178" s="78">
        <f t="shared" si="20"/>
        <v>0.65151515151515149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5.3999999999999995</v>
      </c>
      <c r="Y179" s="55">
        <f t="shared" si="16"/>
        <v>5.4</v>
      </c>
      <c r="Z179" s="41">
        <f>IFERROR(IF(Y179=0,"",ROUNDUP(Y179/H179,0)*0.00417),"")</f>
        <v>2.5020000000000001E-2</v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6.6599999999999993</v>
      </c>
      <c r="BN179" s="78">
        <f t="shared" si="18"/>
        <v>6.66</v>
      </c>
      <c r="BO179" s="78">
        <f t="shared" si="19"/>
        <v>1.7857142857142853E-2</v>
      </c>
      <c r="BP179" s="78">
        <f t="shared" si="20"/>
        <v>1.7857142857142856E-2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224.00000000000003</v>
      </c>
      <c r="Y180" s="55">
        <f t="shared" si="16"/>
        <v>225.12</v>
      </c>
      <c r="Z180" s="41">
        <f>IFERROR(IF(Y180=0,"",ROUNDUP(Y180/H180,0)*0.00502),"")</f>
        <v>0.67268000000000006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237.3333333333334</v>
      </c>
      <c r="BN180" s="78">
        <f t="shared" si="18"/>
        <v>238.52000000000004</v>
      </c>
      <c r="BO180" s="78">
        <f t="shared" si="19"/>
        <v>0.56980056980056992</v>
      </c>
      <c r="BP180" s="78">
        <f t="shared" si="20"/>
        <v>0.57264957264957272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140</v>
      </c>
      <c r="Y183" s="55">
        <f t="shared" si="16"/>
        <v>141.12</v>
      </c>
      <c r="Z183" s="41">
        <f>IFERROR(IF(Y183=0,"",ROUNDUP(Y183/H183,0)*0.00502),"")</f>
        <v>0.42168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148.33333333333334</v>
      </c>
      <c r="BN183" s="78">
        <f t="shared" si="18"/>
        <v>149.52000000000001</v>
      </c>
      <c r="BO183" s="78">
        <f t="shared" si="19"/>
        <v>0.35612535612535623</v>
      </c>
      <c r="BP183" s="78">
        <f t="shared" si="20"/>
        <v>0.35897435897435903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140</v>
      </c>
      <c r="Y185" s="55">
        <f t="shared" si="16"/>
        <v>141.12</v>
      </c>
      <c r="Z185" s="41">
        <f>IFERROR(IF(Y185=0,"",ROUNDUP(Y185/H185,0)*0.00502),"")</f>
        <v>0.42168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148.33333333333334</v>
      </c>
      <c r="BN185" s="78">
        <f t="shared" si="18"/>
        <v>149.52000000000001</v>
      </c>
      <c r="BO185" s="78">
        <f t="shared" si="19"/>
        <v>0.35612535612535623</v>
      </c>
      <c r="BP185" s="78">
        <f t="shared" si="20"/>
        <v>0.35897435897435903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571.71428571428578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574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3.9403800000000002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1439.4</v>
      </c>
      <c r="Y187" s="43">
        <f>IFERROR(SUM(Y175:Y185),"0")</f>
        <v>1443.7599999999998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120</v>
      </c>
      <c r="Y211" s="55">
        <f t="shared" si="21"/>
        <v>129.60000000000002</v>
      </c>
      <c r="Z211" s="41">
        <f t="shared" si="22"/>
        <v>0.22776000000000002</v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124.55555555555556</v>
      </c>
      <c r="BN211" s="78">
        <f t="shared" si="24"/>
        <v>134.52000000000001</v>
      </c>
      <c r="BO211" s="78">
        <f t="shared" si="25"/>
        <v>0.1736111111111111</v>
      </c>
      <c r="BP211" s="78">
        <f t="shared" si="26"/>
        <v>0.18750000000000003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11.111111111111111</v>
      </c>
      <c r="Y213" s="43">
        <f>IFERROR(Y206/H206,"0")+IFERROR(Y207/H207,"0")+IFERROR(Y208/H208,"0")+IFERROR(Y209/H209,"0")+IFERROR(Y210/H210,"0")+IFERROR(Y211/H211,"0")+IFERROR(Y212/H212,"0")</f>
        <v>12.000000000000002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0.22776000000000002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120</v>
      </c>
      <c r="Y214" s="43">
        <f>IFERROR(SUM(Y206:Y212),"0")</f>
        <v>129.60000000000002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ref="Y221:Y234" si="27">IFERROR(IF(X221="",0,CEILING((X221/$H221),1)*$H221),"")</f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52.976190476190474</v>
      </c>
      <c r="BN221" s="78">
        <f t="shared" ref="BN221:BN234" si="29">IFERROR(Y221*I221/H221,"0")</f>
        <v>53.400000000000006</v>
      </c>
      <c r="BO221" s="78">
        <f t="shared" ref="BO221:BO234" si="30">IFERROR(1/J221*(X221/H221),"0")</f>
        <v>9.0187590187590191E-2</v>
      </c>
      <c r="BP221" s="78">
        <f t="shared" ref="BP221:BP234" si="31">IFERROR(1/J221*(Y221/H221),"0")</f>
        <v>9.0909090909090912E-2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20</v>
      </c>
      <c r="Y222" s="55">
        <f t="shared" si="27"/>
        <v>21</v>
      </c>
      <c r="Z222" s="41">
        <f>IFERROR(IF(Y222=0,"",ROUNDUP(Y222/H222,0)*0.00902),"")</f>
        <v>4.5100000000000001E-2</v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21.19047619047619</v>
      </c>
      <c r="BN222" s="78">
        <f t="shared" si="29"/>
        <v>22.25</v>
      </c>
      <c r="BO222" s="78">
        <f t="shared" si="30"/>
        <v>3.6075036075036072E-2</v>
      </c>
      <c r="BP222" s="78">
        <f t="shared" si="31"/>
        <v>3.787878787878788E-2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30</v>
      </c>
      <c r="Y223" s="55">
        <f t="shared" si="27"/>
        <v>33.6</v>
      </c>
      <c r="Z223" s="41">
        <f>IFERROR(IF(Y223=0,"",ROUNDUP(Y223/H223,0)*0.00902),"")</f>
        <v>7.2160000000000002E-2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31.357142857142854</v>
      </c>
      <c r="BN223" s="78">
        <f t="shared" si="29"/>
        <v>35.119999999999997</v>
      </c>
      <c r="BO223" s="78">
        <f t="shared" si="30"/>
        <v>5.4112554112554112E-2</v>
      </c>
      <c r="BP223" s="78">
        <f t="shared" si="31"/>
        <v>6.0606060606060608E-2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27"/>
        <v>8</v>
      </c>
      <c r="Z224" s="41">
        <f>IFERROR(IF(Y224=0,"",ROUNDUP(Y224/H224,0)*0.00556),"")</f>
        <v>5.5599999999999997E-2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9.3000000000000007</v>
      </c>
      <c r="BN224" s="78">
        <f t="shared" si="29"/>
        <v>9.3000000000000007</v>
      </c>
      <c r="BO224" s="78">
        <f t="shared" si="30"/>
        <v>3.968253968253968E-2</v>
      </c>
      <c r="BP224" s="78">
        <f t="shared" si="31"/>
        <v>3.968253968253968E-2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70</v>
      </c>
      <c r="Y225" s="55">
        <f t="shared" si="27"/>
        <v>71.400000000000006</v>
      </c>
      <c r="Z225" s="41">
        <f t="shared" ref="Z225:Z230" si="32">IFERROR(IF(Y225=0,"",ROUNDUP(Y225/H225,0)*0.00502),"")</f>
        <v>0.17068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74.333333333333329</v>
      </c>
      <c r="BN225" s="78">
        <f t="shared" si="29"/>
        <v>75.820000000000007</v>
      </c>
      <c r="BO225" s="78">
        <f t="shared" si="30"/>
        <v>0.14245014245014245</v>
      </c>
      <c r="BP225" s="78">
        <f t="shared" si="31"/>
        <v>0.14529914529914531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140</v>
      </c>
      <c r="Y227" s="55">
        <f t="shared" si="27"/>
        <v>140.70000000000002</v>
      </c>
      <c r="Z227" s="41">
        <f t="shared" si="32"/>
        <v>0.33634000000000003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148.66666666666666</v>
      </c>
      <c r="BN227" s="78">
        <f t="shared" si="29"/>
        <v>149.41</v>
      </c>
      <c r="BO227" s="78">
        <f t="shared" si="30"/>
        <v>0.28490028490028491</v>
      </c>
      <c r="BP227" s="78">
        <f t="shared" si="31"/>
        <v>0.28632478632478636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12</v>
      </c>
      <c r="Y231" s="55">
        <f t="shared" si="27"/>
        <v>12</v>
      </c>
      <c r="Z231" s="41">
        <f>IFERROR(IF(Y231=0,"",ROUNDUP(Y231/H231,0)*0.00417),"")</f>
        <v>6.2549999999999994E-2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15.15</v>
      </c>
      <c r="BN231" s="78">
        <f t="shared" si="29"/>
        <v>15.15</v>
      </c>
      <c r="BO231" s="78">
        <f t="shared" si="30"/>
        <v>4.4642857142857137E-2</v>
      </c>
      <c r="BP231" s="78">
        <f t="shared" si="31"/>
        <v>4.4642857142857137E-2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454.99999999999994</v>
      </c>
      <c r="Y232" s="55">
        <f t="shared" si="27"/>
        <v>455.70000000000005</v>
      </c>
      <c r="Z232" s="41">
        <f>IFERROR(IF(Y232=0,"",ROUNDUP(Y232/H232,0)*0.00502),"")</f>
        <v>1.08934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476.66666666666663</v>
      </c>
      <c r="BN232" s="78">
        <f t="shared" si="29"/>
        <v>477.40000000000009</v>
      </c>
      <c r="BO232" s="78">
        <f t="shared" si="30"/>
        <v>0.92592592592592582</v>
      </c>
      <c r="BP232" s="78">
        <f t="shared" si="31"/>
        <v>0.9273504273504275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365.47619047619042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368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1.94001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785</v>
      </c>
      <c r="Y236" s="43">
        <f>IFERROR(SUM(Y221:Y234),"0")</f>
        <v>792.80000000000007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7.0000000000000009</v>
      </c>
      <c r="Y246" s="55">
        <f>IFERROR(IF(X246="",0,CEILING((X246/$H246),1)*$H246),"")</f>
        <v>7.5600000000000005</v>
      </c>
      <c r="Z246" s="41">
        <f>IFERROR(IF(Y246=0,"",ROUNDUP(Y246/H246,0)*0.0059),"")</f>
        <v>3.5400000000000001E-2</v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8.0555555555555554</v>
      </c>
      <c r="BN246" s="78">
        <f>IFERROR(Y246*I246/H246,"0")</f>
        <v>8.6999999999999993</v>
      </c>
      <c r="BO246" s="78">
        <f>IFERROR(1/J246*(X246/H246),"0")</f>
        <v>2.5720164609053499E-2</v>
      </c>
      <c r="BP246" s="78">
        <f>IFERROR(1/J246*(Y246/H246),"0")</f>
        <v>2.7777777777777776E-2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7.0000000000000009</v>
      </c>
      <c r="Y247" s="55">
        <f>IFERROR(IF(X247="",0,CEILING((X247/$H247),1)*$H247),"")</f>
        <v>7.5600000000000005</v>
      </c>
      <c r="Z247" s="41">
        <f>IFERROR(IF(Y247=0,"",ROUNDUP(Y247/H247,0)*0.0059),"")</f>
        <v>3.5400000000000001E-2</v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8.0555555555555554</v>
      </c>
      <c r="BN247" s="78">
        <f>IFERROR(Y247*I247/H247,"0")</f>
        <v>8.6999999999999993</v>
      </c>
      <c r="BO247" s="78">
        <f>IFERROR(1/J247*(X247/H247),"0")</f>
        <v>2.5720164609053499E-2</v>
      </c>
      <c r="BP247" s="78">
        <f>IFERROR(1/J247*(Y247/H247),"0")</f>
        <v>2.7777777777777776E-2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14.000000000000002</v>
      </c>
      <c r="Y248" s="55">
        <f>IFERROR(IF(X248="",0,CEILING((X248/$H248),1)*$H248),"")</f>
        <v>15.120000000000001</v>
      </c>
      <c r="Z248" s="41">
        <f>IFERROR(IF(Y248=0,"",ROUNDUP(Y248/H248,0)*0.0059),"")</f>
        <v>7.0800000000000002E-2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16.111111111111111</v>
      </c>
      <c r="BN248" s="78">
        <f>IFERROR(Y248*I248/H248,"0")</f>
        <v>17.399999999999999</v>
      </c>
      <c r="BO248" s="78">
        <f>IFERROR(1/J248*(X248/H248),"0")</f>
        <v>5.1440329218106998E-2</v>
      </c>
      <c r="BP248" s="78">
        <f>IFERROR(1/J248*(Y248/H248),"0")</f>
        <v>5.5555555555555552E-2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22.222222222222225</v>
      </c>
      <c r="Y249" s="43">
        <f>IFERROR(Y246/H246,"0")+IFERROR(Y247/H247,"0")+IFERROR(Y248/H248,"0")</f>
        <v>24</v>
      </c>
      <c r="Z249" s="43">
        <f>IFERROR(IF(Z246="",0,Z246),"0")+IFERROR(IF(Z247="",0,Z247),"0")+IFERROR(IF(Z248="",0,Z248),"0")</f>
        <v>0.1416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28.000000000000004</v>
      </c>
      <c r="Y250" s="43">
        <f>IFERROR(SUM(Y246:Y248),"0")</f>
        <v>30.240000000000002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7.0000000000000009</v>
      </c>
      <c r="Y252" s="55">
        <f>IFERROR(IF(X252="",0,CEILING((X252/$H252),1)*$H252),"")</f>
        <v>7.5600000000000005</v>
      </c>
      <c r="Z252" s="41">
        <f>IFERROR(IF(Y252=0,"",ROUNDUP(Y252/H252,0)*0.0059),"")</f>
        <v>3.5400000000000001E-2</v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8.0555555555555554</v>
      </c>
      <c r="BN252" s="78">
        <f>IFERROR(Y252*I252/H252,"0")</f>
        <v>8.6999999999999993</v>
      </c>
      <c r="BO252" s="78">
        <f>IFERROR(1/J252*(X252/H252),"0")</f>
        <v>2.5720164609053499E-2</v>
      </c>
      <c r="BP252" s="78">
        <f>IFERROR(1/J252*(Y252/H252),"0")</f>
        <v>2.7777777777777776E-2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5.5555555555555562</v>
      </c>
      <c r="Y253" s="43">
        <f>IFERROR(Y252/H252,"0")</f>
        <v>6</v>
      </c>
      <c r="Z253" s="43">
        <f>IFERROR(IF(Z252="",0,Z252),"0")</f>
        <v>3.5400000000000001E-2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7.0000000000000009</v>
      </c>
      <c r="Y254" s="43">
        <f>IFERROR(SUM(Y252:Y252),"0")</f>
        <v>7.5600000000000005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200</v>
      </c>
      <c r="Y267" s="55">
        <f t="shared" ref="Y267:Y274" si="33">IFERROR(IF(X267="",0,CEILING((X267/$H267),1)*$H267),"")</f>
        <v>205.20000000000002</v>
      </c>
      <c r="Z267" s="41">
        <f>IFERROR(IF(Y267=0,"",ROUNDUP(Y267/H267,0)*0.00902),"")</f>
        <v>0.34276000000000001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207.03703703703701</v>
      </c>
      <c r="BN267" s="78">
        <f t="shared" ref="BN267:BN274" si="35">IFERROR(Y267*I267/H267,"0")</f>
        <v>212.42</v>
      </c>
      <c r="BO267" s="78">
        <f t="shared" ref="BO267:BO274" si="36">IFERROR(1/J267*(X267/H267),"0")</f>
        <v>0.28058361391694725</v>
      </c>
      <c r="BP267" s="78">
        <f t="shared" ref="BP267:BP274" si="37">IFERROR(1/J267*(Y267/H267),"0")</f>
        <v>0.2878787878787879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50</v>
      </c>
      <c r="Y268" s="55">
        <f t="shared" si="33"/>
        <v>54</v>
      </c>
      <c r="Z268" s="41">
        <f>IFERROR(IF(Y268=0,"",ROUNDUP(Y268/H268,0)*0.00902),"")</f>
        <v>9.0200000000000002E-2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51.759259259259252</v>
      </c>
      <c r="BN268" s="78">
        <f t="shared" si="35"/>
        <v>55.9</v>
      </c>
      <c r="BO268" s="78">
        <f t="shared" si="36"/>
        <v>7.0145903479236812E-2</v>
      </c>
      <c r="BP268" s="78">
        <f t="shared" si="37"/>
        <v>7.575757575757576E-2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150</v>
      </c>
      <c r="Y269" s="55">
        <f t="shared" si="33"/>
        <v>151.20000000000002</v>
      </c>
      <c r="Z269" s="41">
        <f>IFERROR(IF(Y269=0,"",ROUNDUP(Y269/H269,0)*0.00902),"")</f>
        <v>0.25256000000000001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155.27777777777777</v>
      </c>
      <c r="BN269" s="78">
        <f t="shared" si="35"/>
        <v>156.52000000000001</v>
      </c>
      <c r="BO269" s="78">
        <f t="shared" si="36"/>
        <v>0.21043771043771042</v>
      </c>
      <c r="BP269" s="78">
        <f t="shared" si="37"/>
        <v>0.21212121212121213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33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51.759259259259252</v>
      </c>
      <c r="BN270" s="78">
        <f t="shared" si="35"/>
        <v>55.9</v>
      </c>
      <c r="BO270" s="78">
        <f t="shared" si="36"/>
        <v>7.0145903479236812E-2</v>
      </c>
      <c r="BP270" s="78">
        <f t="shared" si="37"/>
        <v>7.575757575757576E-2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90</v>
      </c>
      <c r="Y271" s="55">
        <f t="shared" si="33"/>
        <v>90</v>
      </c>
      <c r="Z271" s="41">
        <f>IFERROR(IF(Y271=0,"",ROUNDUP(Y271/H271,0)*0.00502),"")</f>
        <v>0.251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96.499999999999986</v>
      </c>
      <c r="BN271" s="78">
        <f t="shared" si="35"/>
        <v>96.499999999999986</v>
      </c>
      <c r="BO271" s="78">
        <f t="shared" si="36"/>
        <v>0.21367521367521369</v>
      </c>
      <c r="BP271" s="78">
        <f t="shared" si="37"/>
        <v>0.21367521367521369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45</v>
      </c>
      <c r="Y272" s="55">
        <f t="shared" si="33"/>
        <v>45</v>
      </c>
      <c r="Z272" s="41">
        <f>IFERROR(IF(Y272=0,"",ROUNDUP(Y272/H272,0)*0.00502),"")</f>
        <v>0.1255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47.5</v>
      </c>
      <c r="BN272" s="78">
        <f t="shared" si="35"/>
        <v>47.5</v>
      </c>
      <c r="BO272" s="78">
        <f t="shared" si="36"/>
        <v>0.10683760683760685</v>
      </c>
      <c r="BP272" s="78">
        <f t="shared" si="37"/>
        <v>0.10683760683760685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90</v>
      </c>
      <c r="Y273" s="55">
        <f t="shared" si="33"/>
        <v>90</v>
      </c>
      <c r="Z273" s="41">
        <f>IFERROR(IF(Y273=0,"",ROUNDUP(Y273/H273,0)*0.00502),"")</f>
        <v>0.251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95</v>
      </c>
      <c r="BN273" s="78">
        <f t="shared" si="35"/>
        <v>95</v>
      </c>
      <c r="BO273" s="78">
        <f t="shared" si="36"/>
        <v>0.21367521367521369</v>
      </c>
      <c r="BP273" s="78">
        <f t="shared" si="37"/>
        <v>0.21367521367521369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30</v>
      </c>
      <c r="Y274" s="55">
        <f t="shared" si="33"/>
        <v>30.6</v>
      </c>
      <c r="Z274" s="41">
        <f>IFERROR(IF(Y274=0,"",ROUNDUP(Y274/H274,0)*0.00502),"")</f>
        <v>8.5339999999999999E-2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31.666666666666664</v>
      </c>
      <c r="BN274" s="78">
        <f t="shared" si="35"/>
        <v>32.299999999999997</v>
      </c>
      <c r="BO274" s="78">
        <f t="shared" si="36"/>
        <v>7.122507122507124E-2</v>
      </c>
      <c r="BP274" s="78">
        <f t="shared" si="37"/>
        <v>7.2649572649572655E-2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225</v>
      </c>
      <c r="Y275" s="43">
        <f>IFERROR(Y267/H267,"0")+IFERROR(Y268/H268,"0")+IFERROR(Y269/H269,"0")+IFERROR(Y270/H270,"0")+IFERROR(Y271/H271,"0")+IFERROR(Y272/H272,"0")+IFERROR(Y273/H273,"0")+IFERROR(Y274/H274,"0")</f>
        <v>228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1.4885600000000001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705</v>
      </c>
      <c r="Y276" s="43">
        <f>IFERROR(SUM(Y267:Y274),"0")</f>
        <v>720.00000000000011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8"/>
        <v>200.1</v>
      </c>
      <c r="Z280" s="41">
        <f>IFERROR(IF(Y280=0,"",ROUNDUP(Y280/H280,0)*0.01898),"")</f>
        <v>0.43653999999999998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211.35632183908049</v>
      </c>
      <c r="BN280" s="78">
        <f t="shared" si="40"/>
        <v>211.46200000000005</v>
      </c>
      <c r="BO280" s="78">
        <f t="shared" si="41"/>
        <v>0.35919540229885061</v>
      </c>
      <c r="BP280" s="78">
        <f t="shared" si="42"/>
        <v>0.359375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600</v>
      </c>
      <c r="Y281" s="55">
        <f t="shared" si="38"/>
        <v>600</v>
      </c>
      <c r="Z281" s="41">
        <f>IFERROR(IF(Y281=0,"",ROUNDUP(Y281/H281,0)*0.00651),"")</f>
        <v>1.6274999999999999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667.5</v>
      </c>
      <c r="BN281" s="78">
        <f t="shared" si="40"/>
        <v>667.5</v>
      </c>
      <c r="BO281" s="78">
        <f t="shared" si="41"/>
        <v>1.3736263736263736</v>
      </c>
      <c r="BP281" s="78">
        <f t="shared" si="42"/>
        <v>1.3736263736263736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400</v>
      </c>
      <c r="Y284" s="55">
        <f t="shared" si="38"/>
        <v>400.8</v>
      </c>
      <c r="Z284" s="41">
        <f>IFERROR(IF(Y284=0,"",ROUNDUP(Y284/H284,0)*0.00651),"")</f>
        <v>1.08717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442</v>
      </c>
      <c r="BN284" s="78">
        <f t="shared" si="40"/>
        <v>442.88400000000007</v>
      </c>
      <c r="BO284" s="78">
        <f t="shared" si="41"/>
        <v>0.91575091575091594</v>
      </c>
      <c r="BP284" s="78">
        <f t="shared" si="42"/>
        <v>0.91758241758241765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80</v>
      </c>
      <c r="Y287" s="55">
        <f t="shared" si="38"/>
        <v>81.599999999999994</v>
      </c>
      <c r="Z287" s="41">
        <f>IFERROR(IF(Y287=0,"",ROUNDUP(Y287/H287,0)*0.00651),"")</f>
        <v>0.22134000000000001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88.40000000000002</v>
      </c>
      <c r="BN287" s="78">
        <f t="shared" si="40"/>
        <v>90.168000000000006</v>
      </c>
      <c r="BO287" s="78">
        <f t="shared" si="41"/>
        <v>0.18315018315018317</v>
      </c>
      <c r="BP287" s="78">
        <f t="shared" si="42"/>
        <v>0.18681318681318682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400</v>
      </c>
      <c r="Y288" s="55">
        <f t="shared" si="38"/>
        <v>400.8</v>
      </c>
      <c r="Z288" s="41">
        <f>IFERROR(IF(Y288=0,"",ROUNDUP(Y288/H288,0)*0.00651),"")</f>
        <v>1.08717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443.00000000000006</v>
      </c>
      <c r="BN288" s="78">
        <f t="shared" si="40"/>
        <v>443.88599999999997</v>
      </c>
      <c r="BO288" s="78">
        <f t="shared" si="41"/>
        <v>0.91575091575091594</v>
      </c>
      <c r="BP288" s="78">
        <f t="shared" si="42"/>
        <v>0.91758241758241765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639.65517241379314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641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4.4597199999999999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1680</v>
      </c>
      <c r="Y291" s="43">
        <f>IFERROR(SUM(Y278:Y289),"0")</f>
        <v>1683.3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48</v>
      </c>
      <c r="Y293" s="55">
        <f>IFERROR(IF(X293="",0,CEILING((X293/$H293),1)*$H293),"")</f>
        <v>48</v>
      </c>
      <c r="Z293" s="41">
        <f>IFERROR(IF(Y293=0,"",ROUNDUP(Y293/H293,0)*0.00651),"")</f>
        <v>0.13020000000000001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53.040000000000006</v>
      </c>
      <c r="BN293" s="78">
        <f>IFERROR(Y293*I293/H293,"0")</f>
        <v>53.040000000000006</v>
      </c>
      <c r="BO293" s="78">
        <f>IFERROR(1/J293*(X293/H293),"0")</f>
        <v>0.1098901098901099</v>
      </c>
      <c r="BP293" s="78">
        <f>IFERROR(1/J293*(Y293/H293),"0")</f>
        <v>0.1098901098901099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180</v>
      </c>
      <c r="Y294" s="55">
        <f>IFERROR(IF(X294="",0,CEILING((X294/$H294),1)*$H294),"")</f>
        <v>180</v>
      </c>
      <c r="Z294" s="41">
        <f>IFERROR(IF(Y294=0,"",ROUNDUP(Y294/H294,0)*0.00651),"")</f>
        <v>0.48825000000000002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198.9</v>
      </c>
      <c r="BN294" s="78">
        <f>IFERROR(Y294*I294/H294,"0")</f>
        <v>198.9</v>
      </c>
      <c r="BO294" s="78">
        <f>IFERROR(1/J294*(X294/H294),"0")</f>
        <v>0.41208791208791212</v>
      </c>
      <c r="BP294" s="78">
        <f>IFERROR(1/J294*(Y294/H294),"0")</f>
        <v>0.41208791208791212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95</v>
      </c>
      <c r="Y295" s="43">
        <f>IFERROR(Y293/H293,"0")+IFERROR(Y294/H294,"0")</f>
        <v>95</v>
      </c>
      <c r="Z295" s="43">
        <f>IFERROR(IF(Z293="",0,Z293),"0")+IFERROR(IF(Z294="",0,Z294),"0")</f>
        <v>0.61845000000000006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228</v>
      </c>
      <c r="Y296" s="43">
        <f>IFERROR(SUM(Y293:Y294),"0")</f>
        <v>228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30</v>
      </c>
      <c r="Y301" s="55">
        <f t="shared" si="43"/>
        <v>34.799999999999997</v>
      </c>
      <c r="Z301" s="41">
        <f>IFERROR(IF(Y301=0,"",ROUNDUP(Y301/H301,0)*0.01898),"")</f>
        <v>5.6940000000000004E-2</v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31.06034482758621</v>
      </c>
      <c r="BN301" s="78">
        <f t="shared" si="45"/>
        <v>36.03</v>
      </c>
      <c r="BO301" s="78">
        <f t="shared" si="46"/>
        <v>4.0409482758620691E-2</v>
      </c>
      <c r="BP301" s="78">
        <f t="shared" si="47"/>
        <v>4.6875E-2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24</v>
      </c>
      <c r="Y302" s="55">
        <f t="shared" si="43"/>
        <v>24</v>
      </c>
      <c r="Z302" s="41">
        <f>IFERROR(IF(Y302=0,"",ROUNDUP(Y302/H302,0)*0.00902),"")</f>
        <v>5.4120000000000001E-2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25.14</v>
      </c>
      <c r="BN302" s="78">
        <f t="shared" si="45"/>
        <v>25.14</v>
      </c>
      <c r="BO302" s="78">
        <f t="shared" si="46"/>
        <v>4.5454545454545456E-2</v>
      </c>
      <c r="BP302" s="78">
        <f t="shared" si="47"/>
        <v>4.5454545454545456E-2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48</v>
      </c>
      <c r="Y305" s="55">
        <f t="shared" si="43"/>
        <v>48</v>
      </c>
      <c r="Z305" s="41">
        <f>IFERROR(IF(Y305=0,"",ROUNDUP(Y305/H305,0)*0.00902),"")</f>
        <v>0.10824</v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50.28</v>
      </c>
      <c r="BN305" s="78">
        <f t="shared" si="45"/>
        <v>50.28</v>
      </c>
      <c r="BO305" s="78">
        <f t="shared" si="46"/>
        <v>9.0909090909090912E-2</v>
      </c>
      <c r="BP305" s="78">
        <f t="shared" si="47"/>
        <v>9.0909090909090912E-2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20.586206896551722</v>
      </c>
      <c r="Y306" s="43">
        <f>IFERROR(Y299/H299,"0")+IFERROR(Y300/H300,"0")+IFERROR(Y301/H301,"0")+IFERROR(Y302/H302,"0")+IFERROR(Y303/H303,"0")+IFERROR(Y304/H304,"0")+IFERROR(Y305/H305,"0")</f>
        <v>21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0.21929999999999999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102</v>
      </c>
      <c r="Y307" s="43">
        <f>IFERROR(SUM(Y299:Y305),"0")</f>
        <v>106.8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33</v>
      </c>
      <c r="Y309" s="55">
        <f>IFERROR(IF(X309="",0,CEILING((X309/$H309),1)*$H309),"")</f>
        <v>33.659999999999997</v>
      </c>
      <c r="Z309" s="41">
        <f>IFERROR(IF(Y309=0,"",ROUNDUP(Y309/H309,0)*0.00502),"")</f>
        <v>8.5339999999999999E-2</v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34.666666666666664</v>
      </c>
      <c r="BN309" s="78">
        <f>IFERROR(Y309*I309/H309,"0")</f>
        <v>35.36</v>
      </c>
      <c r="BO309" s="78">
        <f>IFERROR(1/J309*(X309/H309),"0")</f>
        <v>7.122507122507124E-2</v>
      </c>
      <c r="BP309" s="78">
        <f>IFERROR(1/J309*(Y309/H309),"0")</f>
        <v>7.2649572649572655E-2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16.666666666666668</v>
      </c>
      <c r="Y310" s="43">
        <f>IFERROR(Y309/H309,"0")</f>
        <v>17</v>
      </c>
      <c r="Z310" s="43">
        <f>IFERROR(IF(Z309="",0,Z309),"0")</f>
        <v>8.5339999999999999E-2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33</v>
      </c>
      <c r="Y311" s="43">
        <f>IFERROR(SUM(Y309:Y309),"0")</f>
        <v>33.659999999999997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18</v>
      </c>
      <c r="Y318" s="55">
        <f>IFERROR(IF(X318="",0,CEILING((X318/$H318),1)*$H318),"")</f>
        <v>18</v>
      </c>
      <c r="Z318" s="41">
        <f>IFERROR(IF(Y318=0,"",ROUNDUP(Y318/H318,0)*0.0059),"")</f>
        <v>5.8999999999999997E-2</v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19.750000000000004</v>
      </c>
      <c r="BN318" s="78">
        <f>IFERROR(Y318*I318/H318,"0")</f>
        <v>19.750000000000004</v>
      </c>
      <c r="BO318" s="78">
        <f>IFERROR(1/J318*(X318/H318),"0")</f>
        <v>4.6296296296296294E-2</v>
      </c>
      <c r="BP318" s="78">
        <f>IFERROR(1/J318*(Y318/H318),"0")</f>
        <v>4.6296296296296294E-2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10</v>
      </c>
      <c r="Y320" s="43">
        <f>IFERROR(Y317/H317,"0")+IFERROR(Y318/H318,"0")+IFERROR(Y319/H319,"0")</f>
        <v>10</v>
      </c>
      <c r="Z320" s="43">
        <f>IFERROR(IF(Z317="",0,Z317),"0")+IFERROR(IF(Z318="",0,Z318),"0")+IFERROR(IF(Z319="",0,Z319),"0")</f>
        <v>5.8999999999999997E-2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18</v>
      </c>
      <c r="Y321" s="43">
        <f>IFERROR(SUM(Y317:Y319),"0")</f>
        <v>18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60</v>
      </c>
      <c r="Y334" s="55">
        <f>IFERROR(IF(X334="",0,CEILING((X334/$H334),1)*$H334),"")</f>
        <v>60</v>
      </c>
      <c r="Z334" s="41">
        <f>IFERROR(IF(Y334=0,"",ROUNDUP(Y334/H334,0)*0.00651),"")</f>
        <v>0.16275000000000001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66.300000000000011</v>
      </c>
      <c r="BN334" s="78">
        <f>IFERROR(Y334*I334/H334,"0")</f>
        <v>66.300000000000011</v>
      </c>
      <c r="BO334" s="78">
        <f>IFERROR(1/J334*(X334/H334),"0")</f>
        <v>0.13736263736263737</v>
      </c>
      <c r="BP334" s="78">
        <f>IFERROR(1/J334*(Y334/H334),"0")</f>
        <v>0.13736263736263737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400</v>
      </c>
      <c r="Y335" s="55">
        <f>IFERROR(IF(X335="",0,CEILING((X335/$H335),1)*$H335),"")</f>
        <v>400.8</v>
      </c>
      <c r="Z335" s="41">
        <f>IFERROR(IF(Y335=0,"",ROUNDUP(Y335/H335,0)*0.00651),"")</f>
        <v>1.08717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430</v>
      </c>
      <c r="BN335" s="78">
        <f>IFERROR(Y335*I335/H335,"0")</f>
        <v>430.86000000000007</v>
      </c>
      <c r="BO335" s="78">
        <f>IFERROR(1/J335*(X335/H335),"0")</f>
        <v>0.91575091575091594</v>
      </c>
      <c r="BP335" s="78">
        <f>IFERROR(1/J335*(Y335/H335),"0")</f>
        <v>0.91758241758241765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191.66666666666669</v>
      </c>
      <c r="Y336" s="43">
        <f>IFERROR(Y333/H333,"0")+IFERROR(Y334/H334,"0")+IFERROR(Y335/H335,"0")</f>
        <v>192</v>
      </c>
      <c r="Z336" s="43">
        <f>IFERROR(IF(Z333="",0,Z333),"0")+IFERROR(IF(Z334="",0,Z334),"0")+IFERROR(IF(Z335="",0,Z335),"0")</f>
        <v>1.2499199999999999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460</v>
      </c>
      <c r="Y337" s="43">
        <f>IFERROR(SUM(Y333:Y335),"0")</f>
        <v>460.8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200</v>
      </c>
      <c r="Y354" s="55">
        <f>IFERROR(IF(X354="",0,CEILING((X354/$H354),1)*$H354),"")</f>
        <v>202.79999999999998</v>
      </c>
      <c r="Z354" s="41">
        <f>IFERROR(IF(Y354=0,"",ROUNDUP(Y354/H354,0)*0.01898),"")</f>
        <v>0.49348000000000003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210.51282051282055</v>
      </c>
      <c r="BN354" s="78">
        <f>IFERROR(Y354*I354/H354,"0")</f>
        <v>213.46</v>
      </c>
      <c r="BO354" s="78">
        <f>IFERROR(1/J354*(X354/H354),"0")</f>
        <v>0.40064102564102566</v>
      </c>
      <c r="BP354" s="78">
        <f>IFERROR(1/J354*(Y354/H354),"0")</f>
        <v>0.40625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300</v>
      </c>
      <c r="Y355" s="55">
        <f>IFERROR(IF(X355="",0,CEILING((X355/$H355),1)*$H355),"")</f>
        <v>304.2</v>
      </c>
      <c r="Z355" s="41">
        <f>IFERROR(IF(Y355=0,"",ROUNDUP(Y355/H355,0)*0.01898),"")</f>
        <v>0.74021999999999999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315.76923076923083</v>
      </c>
      <c r="BN355" s="78">
        <f>IFERROR(Y355*I355/H355,"0")</f>
        <v>320.19</v>
      </c>
      <c r="BO355" s="78">
        <f>IFERROR(1/J355*(X355/H355),"0")</f>
        <v>0.60096153846153844</v>
      </c>
      <c r="BP355" s="78">
        <f>IFERROR(1/J355*(Y355/H355),"0")</f>
        <v>0.609375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120</v>
      </c>
      <c r="Y356" s="55">
        <f>IFERROR(IF(X356="",0,CEILING((X356/$H356),1)*$H356),"")</f>
        <v>124.8</v>
      </c>
      <c r="Z356" s="41">
        <f>IFERROR(IF(Y356=0,"",ROUNDUP(Y356/H356,0)*0.01898),"")</f>
        <v>0.30368000000000001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126.30769230769232</v>
      </c>
      <c r="BN356" s="78">
        <f>IFERROR(Y356*I356/H356,"0")</f>
        <v>131.36000000000001</v>
      </c>
      <c r="BO356" s="78">
        <f>IFERROR(1/J356*(X356/H356),"0")</f>
        <v>0.24038461538461539</v>
      </c>
      <c r="BP356" s="78">
        <f>IFERROR(1/J356*(Y356/H356),"0")</f>
        <v>0.25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79.487179487179489</v>
      </c>
      <c r="Y357" s="43">
        <f>IFERROR(Y354/H354,"0")+IFERROR(Y355/H355,"0")+IFERROR(Y356/H356,"0")</f>
        <v>81</v>
      </c>
      <c r="Z357" s="43">
        <f>IFERROR(IF(Z354="",0,Z354),"0")+IFERROR(IF(Z355="",0,Z355),"0")+IFERROR(IF(Z356="",0,Z356),"0")</f>
        <v>1.53738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620</v>
      </c>
      <c r="Y358" s="43">
        <f>IFERROR(SUM(Y354:Y356),"0")</f>
        <v>631.79999999999995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350</v>
      </c>
      <c r="Y374" s="55">
        <f t="shared" si="53"/>
        <v>350.7</v>
      </c>
      <c r="Z374" s="41">
        <f>IFERROR(IF(Y374=0,"",ROUNDUP(Y374/H374,0)*0.00502),"")</f>
        <v>0.83833999999999997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366.66666666666669</v>
      </c>
      <c r="BN374" s="78">
        <f t="shared" si="55"/>
        <v>367.40000000000003</v>
      </c>
      <c r="BO374" s="78">
        <f t="shared" si="56"/>
        <v>0.71225071225071224</v>
      </c>
      <c r="BP374" s="78">
        <f t="shared" si="57"/>
        <v>0.71367521367521369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48</v>
      </c>
      <c r="Y376" s="55">
        <f t="shared" si="53"/>
        <v>48.6</v>
      </c>
      <c r="Z376" s="41">
        <f>IFERROR(IF(Y376=0,"",ROUNDUP(Y376/H376,0)*0.00651),"")</f>
        <v>0.17577000000000001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54.08</v>
      </c>
      <c r="BN376" s="78">
        <f t="shared" si="55"/>
        <v>54.756</v>
      </c>
      <c r="BO376" s="78">
        <f t="shared" si="56"/>
        <v>0.14652014652014653</v>
      </c>
      <c r="BP376" s="78">
        <f t="shared" si="57"/>
        <v>0.14835164835164835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193.33333333333331</v>
      </c>
      <c r="Y377" s="43">
        <f>IFERROR(Y370/H370,"0")+IFERROR(Y371/H371,"0")+IFERROR(Y372/H372,"0")+IFERROR(Y373/H373,"0")+IFERROR(Y374/H374,"0")+IFERROR(Y375/H375,"0")+IFERROR(Y376/H376,"0")</f>
        <v>194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1.0141100000000001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398</v>
      </c>
      <c r="Y378" s="43">
        <f>IFERROR(SUM(Y370:Y376),"0")</f>
        <v>399.3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450</v>
      </c>
      <c r="Y387" s="55">
        <f>IFERROR(IF(X387="",0,CEILING((X387/$H387),1)*$H387),"")</f>
        <v>453.6</v>
      </c>
      <c r="Z387" s="41">
        <f>IFERROR(IF(Y387=0,"",ROUNDUP(Y387/H387,0)*0.01898),"")</f>
        <v>1.0249200000000001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476.46428571428572</v>
      </c>
      <c r="BN387" s="78">
        <f>IFERROR(Y387*I387/H387,"0")</f>
        <v>480.27600000000001</v>
      </c>
      <c r="BO387" s="78">
        <f>IFERROR(1/J387*(X387/H387),"0")</f>
        <v>0.8370535714285714</v>
      </c>
      <c r="BP387" s="78">
        <f>IFERROR(1/J387*(Y387/H387),"0")</f>
        <v>0.84375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500</v>
      </c>
      <c r="Y388" s="55">
        <f>IFERROR(IF(X388="",0,CEILING((X388/$H388),1)*$H388),"")</f>
        <v>507</v>
      </c>
      <c r="Z388" s="41">
        <f>IFERROR(IF(Y388=0,"",ROUNDUP(Y388/H388,0)*0.01898),"")</f>
        <v>1.2337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531.66666666666663</v>
      </c>
      <c r="BN388" s="78">
        <f>IFERROR(Y388*I388/H388,"0")</f>
        <v>539.11</v>
      </c>
      <c r="BO388" s="78">
        <f>IFERROR(1/J388*(X388/H388),"0")</f>
        <v>1.0016025641025641</v>
      </c>
      <c r="BP388" s="78">
        <f>IFERROR(1/J388*(Y388/H388),"0")</f>
        <v>1.015625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80</v>
      </c>
      <c r="Y389" s="55">
        <f>IFERROR(IF(X389="",0,CEILING((X389/$H389),1)*$H389),"")</f>
        <v>84</v>
      </c>
      <c r="Z389" s="41">
        <f>IFERROR(IF(Y389=0,"",ROUNDUP(Y389/H389,0)*0.01898),"")</f>
        <v>0.1898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84.704761904761895</v>
      </c>
      <c r="BN389" s="78">
        <f>IFERROR(Y389*I389/H389,"0")</f>
        <v>88.94</v>
      </c>
      <c r="BO389" s="78">
        <f>IFERROR(1/J389*(X389/H389),"0")</f>
        <v>0.14880952380952381</v>
      </c>
      <c r="BP389" s="78">
        <f>IFERROR(1/J389*(Y389/H389),"0")</f>
        <v>0.15625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127.19780219780219</v>
      </c>
      <c r="Y390" s="43">
        <f>IFERROR(Y387/H387,"0")+IFERROR(Y388/H388,"0")+IFERROR(Y389/H389,"0")</f>
        <v>129</v>
      </c>
      <c r="Z390" s="43">
        <f>IFERROR(IF(Z387="",0,Z387),"0")+IFERROR(IF(Z388="",0,Z388),"0")+IFERROR(IF(Z389="",0,Z389),"0")</f>
        <v>2.44842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1030</v>
      </c>
      <c r="Y391" s="43">
        <f>IFERROR(SUM(Y387:Y389),"0")</f>
        <v>1044.5999999999999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51.000000000000007</v>
      </c>
      <c r="Y395" s="55">
        <f>IFERROR(IF(X395="",0,CEILING((X395/$H395),1)*$H395),"")</f>
        <v>51</v>
      </c>
      <c r="Z395" s="41">
        <f>IFERROR(IF(Y395=0,"",ROUNDUP(Y395/H395,0)*0.00651),"")</f>
        <v>0.13020000000000001</v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59.100000000000009</v>
      </c>
      <c r="BN395" s="78">
        <f>IFERROR(Y395*I395/H395,"0")</f>
        <v>59.100000000000009</v>
      </c>
      <c r="BO395" s="78">
        <f>IFERROR(1/J395*(X395/H395),"0")</f>
        <v>0.10989010989010992</v>
      </c>
      <c r="BP395" s="78">
        <f>IFERROR(1/J395*(Y395/H395),"0")</f>
        <v>0.1098901098901099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255.00000000000003</v>
      </c>
      <c r="Y396" s="55">
        <f>IFERROR(IF(X396="",0,CEILING((X396/$H396),1)*$H396),"")</f>
        <v>254.99999999999997</v>
      </c>
      <c r="Z396" s="41">
        <f>IFERROR(IF(Y396=0,"",ROUNDUP(Y396/H396,0)*0.00651),"")</f>
        <v>0.65100000000000002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288.00000000000006</v>
      </c>
      <c r="BN396" s="78">
        <f>IFERROR(Y396*I396/H396,"0")</f>
        <v>287.99999999999994</v>
      </c>
      <c r="BO396" s="78">
        <f>IFERROR(1/J396*(X396/H396),"0")</f>
        <v>0.54945054945054961</v>
      </c>
      <c r="BP396" s="78">
        <f>IFERROR(1/J396*(Y396/H396),"0")</f>
        <v>0.5494505494505495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120.00000000000001</v>
      </c>
      <c r="Y397" s="43">
        <f>IFERROR(Y393/H393,"0")+IFERROR(Y394/H394,"0")+IFERROR(Y395/H395,"0")+IFERROR(Y396/H396,"0")</f>
        <v>120</v>
      </c>
      <c r="Z397" s="43">
        <f>IFERROR(IF(Z393="",0,Z393),"0")+IFERROR(IF(Z394="",0,Z394),"0")+IFERROR(IF(Z395="",0,Z395),"0")+IFERROR(IF(Z396="",0,Z396),"0")</f>
        <v>0.78120000000000001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306.00000000000006</v>
      </c>
      <c r="Y398" s="43">
        <f>IFERROR(SUM(Y393:Y396),"0")</f>
        <v>306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175</v>
      </c>
      <c r="Y420" s="55">
        <f>IFERROR(IF(X420="",0,CEILING((X420/$H420),1)*$H420),"")</f>
        <v>176.4</v>
      </c>
      <c r="Z420" s="41">
        <f>IFERROR(IF(Y420=0,"",ROUNDUP(Y420/H420,0)*0.00651),"")</f>
        <v>0.54683999999999999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195.99999999999997</v>
      </c>
      <c r="BN420" s="78">
        <f>IFERROR(Y420*I420/H420,"0")</f>
        <v>197.56799999999998</v>
      </c>
      <c r="BO420" s="78">
        <f>IFERROR(1/J420*(X420/H420),"0")</f>
        <v>0.45787545787545786</v>
      </c>
      <c r="BP420" s="78">
        <f>IFERROR(1/J420*(Y420/H420),"0")</f>
        <v>0.46153846153846156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525</v>
      </c>
      <c r="Y421" s="55">
        <f>IFERROR(IF(X421="",0,CEILING((X421/$H421),1)*$H421),"")</f>
        <v>525</v>
      </c>
      <c r="Z421" s="41">
        <f>IFERROR(IF(Y421=0,"",ROUNDUP(Y421/H421,0)*0.00651),"")</f>
        <v>1.6274999999999999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585</v>
      </c>
      <c r="BN421" s="78">
        <f>IFERROR(Y421*I421/H421,"0")</f>
        <v>585</v>
      </c>
      <c r="BO421" s="78">
        <f>IFERROR(1/J421*(X421/H421),"0")</f>
        <v>1.3736263736263736</v>
      </c>
      <c r="BP421" s="78">
        <f>IFERROR(1/J421*(Y421/H421),"0")</f>
        <v>1.3736263736263736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333.33333333333331</v>
      </c>
      <c r="Y422" s="43">
        <f>IFERROR(Y419/H419,"0")+IFERROR(Y420/H420,"0")+IFERROR(Y421/H421,"0")</f>
        <v>334</v>
      </c>
      <c r="Z422" s="43">
        <f>IFERROR(IF(Z419="",0,Z419),"0")+IFERROR(IF(Z420="",0,Z420),"0")+IFERROR(IF(Z421="",0,Z421),"0")</f>
        <v>2.1743399999999999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700</v>
      </c>
      <c r="Y423" s="43">
        <f>IFERROR(SUM(Y419:Y421),"0")</f>
        <v>701.4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20</v>
      </c>
      <c r="Y439" s="55">
        <f>IFERROR(IF(X439="",0,CEILING((X439/$H439),1)*$H439),"")</f>
        <v>30</v>
      </c>
      <c r="Z439" s="41">
        <f>IFERROR(IF(Y439=0,"",ROUNDUP(Y439/H439,0)*0.02175),"")</f>
        <v>4.3499999999999997E-2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20.626666666666669</v>
      </c>
      <c r="BN439" s="78">
        <f>IFERROR(Y439*I439/H439,"0")</f>
        <v>30.94</v>
      </c>
      <c r="BO439" s="78">
        <f>IFERROR(1/J439*(X439/H439),"0")</f>
        <v>2.7777777777777776E-2</v>
      </c>
      <c r="BP439" s="78">
        <f>IFERROR(1/J439*(Y439/H439),"0")</f>
        <v>4.1666666666666664E-2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1.3333333333333333</v>
      </c>
      <c r="Y441" s="43">
        <f>IFERROR(Y438/H438,"0")+IFERROR(Y439/H439,"0")+IFERROR(Y440/H440,"0")</f>
        <v>2</v>
      </c>
      <c r="Z441" s="43">
        <f>IFERROR(IF(Z438="",0,Z438),"0")+IFERROR(IF(Z439="",0,Z439),"0")+IFERROR(IF(Z440="",0,Z440),"0")</f>
        <v>4.3499999999999997E-2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20</v>
      </c>
      <c r="Y442" s="43">
        <f>IFERROR(SUM(Y438:Y440),"0")</f>
        <v>30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108</v>
      </c>
      <c r="Z445" s="41">
        <f>IFERROR(IF(Y445=0,"",ROUNDUP(Y445/H445,0)*0.01898),"")</f>
        <v>0.22776000000000002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105.48888888888888</v>
      </c>
      <c r="BN445" s="78">
        <f>IFERROR(Y445*I445/H445,"0")</f>
        <v>113.92799999999998</v>
      </c>
      <c r="BO445" s="78">
        <f>IFERROR(1/J445*(X445/H445),"0")</f>
        <v>0.1736111111111111</v>
      </c>
      <c r="BP445" s="78">
        <f>IFERROR(1/J445*(Y445/H445),"0")</f>
        <v>0.1875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11.111111111111111</v>
      </c>
      <c r="Y447" s="43">
        <f>IFERROR(Y444/H444,"0")+IFERROR(Y445/H445,"0")+IFERROR(Y446/H446,"0")</f>
        <v>12</v>
      </c>
      <c r="Z447" s="43">
        <f>IFERROR(IF(Z444="",0,Z444),"0")+IFERROR(IF(Z445="",0,Z445),"0")+IFERROR(IF(Z446="",0,Z446),"0")</f>
        <v>0.22776000000000002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100</v>
      </c>
      <c r="Y448" s="43">
        <f>IFERROR(SUM(Y444:Y446),"0")</f>
        <v>108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50</v>
      </c>
      <c r="Y451" s="55">
        <f>IFERROR(IF(X451="",0,CEILING((X451/$H451),1)*$H451),"")</f>
        <v>54</v>
      </c>
      <c r="Z451" s="41">
        <f>IFERROR(IF(Y451=0,"",ROUNDUP(Y451/H451,0)*0.01898),"")</f>
        <v>0.11388000000000001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52.74444444444444</v>
      </c>
      <c r="BN451" s="78">
        <f>IFERROR(Y451*I451/H451,"0")</f>
        <v>56.963999999999992</v>
      </c>
      <c r="BO451" s="78">
        <f>IFERROR(1/J451*(X451/H451),"0")</f>
        <v>8.6805555555555552E-2</v>
      </c>
      <c r="BP451" s="78">
        <f>IFERROR(1/J451*(Y451/H451),"0")</f>
        <v>9.375E-2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5.5555555555555554</v>
      </c>
      <c r="Y452" s="43">
        <f>IFERROR(Y450/H450,"0")+IFERROR(Y451/H451,"0")</f>
        <v>6</v>
      </c>
      <c r="Z452" s="43">
        <f>IFERROR(IF(Z450="",0,Z450),"0")+IFERROR(IF(Z451="",0,Z451),"0")</f>
        <v>0.11388000000000001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50</v>
      </c>
      <c r="Y453" s="43">
        <f>IFERROR(SUM(Y450:Y451),"0")</f>
        <v>54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30</v>
      </c>
      <c r="Y456" s="55">
        <f>IFERROR(IF(X456="",0,CEILING((X456/$H456),1)*$H456),"")</f>
        <v>36</v>
      </c>
      <c r="Z456" s="41">
        <f>IFERROR(IF(Y456=0,"",ROUNDUP(Y456/H456,0)*0.01898),"")</f>
        <v>5.6940000000000004E-2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31.025000000000002</v>
      </c>
      <c r="BN456" s="78">
        <f>IFERROR(Y456*I456/H456,"0")</f>
        <v>37.229999999999997</v>
      </c>
      <c r="BO456" s="78">
        <f>IFERROR(1/J456*(X456/H456),"0")</f>
        <v>3.90625E-2</v>
      </c>
      <c r="BP456" s="78">
        <f>IFERROR(1/J456*(Y456/H456),"0")</f>
        <v>4.6875E-2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2.5</v>
      </c>
      <c r="Y458" s="43">
        <f>IFERROR(Y456/H456,"0")+IFERROR(Y457/H457,"0")</f>
        <v>3</v>
      </c>
      <c r="Z458" s="43">
        <f>IFERROR(IF(Z456="",0,Z456),"0")+IFERROR(IF(Z457="",0,Z457),"0")</f>
        <v>5.6940000000000004E-2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30</v>
      </c>
      <c r="Y459" s="43">
        <f>IFERROR(SUM(Y456:Y457),"0")</f>
        <v>36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30</v>
      </c>
      <c r="Y465" s="55">
        <f>IFERROR(IF(X465="",0,CEILING((X465/$H465),1)*$H465),"")</f>
        <v>36</v>
      </c>
      <c r="Z465" s="41">
        <f>IFERROR(IF(Y465=0,"",ROUNDUP(Y465/H465,0)*0.01898),"")</f>
        <v>7.5920000000000001E-2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31.646666666666665</v>
      </c>
      <c r="BN465" s="78">
        <f>IFERROR(Y465*I465/H465,"0")</f>
        <v>37.975999999999999</v>
      </c>
      <c r="BO465" s="78">
        <f>IFERROR(1/J465*(X465/H465),"0")</f>
        <v>5.2083333333333336E-2</v>
      </c>
      <c r="BP465" s="78">
        <f>IFERROR(1/J465*(Y465/H465),"0")</f>
        <v>6.25E-2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3.3333333333333335</v>
      </c>
      <c r="Y468" s="43">
        <f>IFERROR(Y465/H465,"0")+IFERROR(Y466/H466,"0")+IFERROR(Y467/H467,"0")</f>
        <v>4</v>
      </c>
      <c r="Z468" s="43">
        <f>IFERROR(IF(Z465="",0,Z465),"0")+IFERROR(IF(Z466="",0,Z466),"0")+IFERROR(IF(Z467="",0,Z467),"0")</f>
        <v>7.5920000000000001E-2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30</v>
      </c>
      <c r="Y469" s="43">
        <f>IFERROR(SUM(Y465:Y467),"0")</f>
        <v>36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50</v>
      </c>
      <c r="Y500" s="55">
        <f t="shared" ref="Y500:Y508" si="68">IFERROR(IF(X500="",0,CEILING((X500/$H500),1)*$H500),"")</f>
        <v>52.800000000000004</v>
      </c>
      <c r="Z500" s="41">
        <f t="shared" ref="Z500:Z505" si="69">IFERROR(IF(Y500=0,"",ROUNDUP(Y500/H500,0)*0.01196),"")</f>
        <v>0.1196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53.314393939393938</v>
      </c>
      <c r="BN500" s="78">
        <f t="shared" ref="BN500:BN508" si="71">IFERROR(Y500*I500/H500,"0")</f>
        <v>56.3</v>
      </c>
      <c r="BO500" s="78">
        <f t="shared" ref="BO500:BO508" si="72">IFERROR(1/J500*(X500/H500),"0")</f>
        <v>9.1054778554778545E-2</v>
      </c>
      <c r="BP500" s="78">
        <f t="shared" ref="BP500:BP508" si="73">IFERROR(1/J500*(Y500/H500),"0")</f>
        <v>9.6153846153846159E-2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350</v>
      </c>
      <c r="Y505" s="55">
        <f t="shared" si="68"/>
        <v>353.76</v>
      </c>
      <c r="Z505" s="41">
        <f t="shared" si="69"/>
        <v>0.80132000000000003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373.20075757575756</v>
      </c>
      <c r="BN505" s="78">
        <f t="shared" si="71"/>
        <v>377.21</v>
      </c>
      <c r="BO505" s="78">
        <f t="shared" si="72"/>
        <v>0.63738344988344986</v>
      </c>
      <c r="BP505" s="78">
        <f t="shared" si="73"/>
        <v>0.64423076923076927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120</v>
      </c>
      <c r="Y507" s="55">
        <f t="shared" si="68"/>
        <v>120</v>
      </c>
      <c r="Z507" s="41">
        <f>IFERROR(IF(Y507=0,"",ROUNDUP(Y507/H507,0)*0.00902),"")</f>
        <v>0.22550000000000001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172.75000000000003</v>
      </c>
      <c r="BN507" s="78">
        <f t="shared" si="71"/>
        <v>172.75000000000003</v>
      </c>
      <c r="BO507" s="78">
        <f t="shared" si="72"/>
        <v>0.18939393939393939</v>
      </c>
      <c r="BP507" s="78">
        <f t="shared" si="73"/>
        <v>0.18939393939393939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300</v>
      </c>
      <c r="Y508" s="55">
        <f t="shared" si="68"/>
        <v>302.39999999999998</v>
      </c>
      <c r="Z508" s="41">
        <f>IFERROR(IF(Y508=0,"",ROUNDUP(Y508/H508,0)*0.00902),"")</f>
        <v>0.56825999999999999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431.875</v>
      </c>
      <c r="BN508" s="78">
        <f t="shared" si="71"/>
        <v>435.33</v>
      </c>
      <c r="BO508" s="78">
        <f t="shared" si="72"/>
        <v>0.47348484848484851</v>
      </c>
      <c r="BP508" s="78">
        <f t="shared" si="73"/>
        <v>0.47727272727272729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163.25757575757575</v>
      </c>
      <c r="Y509" s="43">
        <f>IFERROR(Y500/H500,"0")+IFERROR(Y501/H501,"0")+IFERROR(Y502/H502,"0")+IFERROR(Y503/H503,"0")+IFERROR(Y504/H504,"0")+IFERROR(Y505/H505,"0")+IFERROR(Y506/H506,"0")+IFERROR(Y507/H507,"0")+IFERROR(Y508/H508,"0")</f>
        <v>165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1.71468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820</v>
      </c>
      <c r="Y510" s="43">
        <f>IFERROR(SUM(Y500:Y508),"0")</f>
        <v>828.95999999999992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350</v>
      </c>
      <c r="Y512" s="55">
        <f>IFERROR(IF(X512="",0,CEILING((X512/$H512),1)*$H512),"")</f>
        <v>353.76</v>
      </c>
      <c r="Z512" s="41">
        <f>IFERROR(IF(Y512=0,"",ROUNDUP(Y512/H512,0)*0.01196),"")</f>
        <v>0.80132000000000003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373.20075757575756</v>
      </c>
      <c r="BN512" s="78">
        <f>IFERROR(Y512*I512/H512,"0")</f>
        <v>377.21</v>
      </c>
      <c r="BO512" s="78">
        <f>IFERROR(1/J512*(X512/H512),"0")</f>
        <v>0.63738344988344986</v>
      </c>
      <c r="BP512" s="78">
        <f>IFERROR(1/J512*(Y512/H512),"0")</f>
        <v>0.64423076923076927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90</v>
      </c>
      <c r="Y514" s="55">
        <f>IFERROR(IF(X514="",0,CEILING((X514/$H514),1)*$H514),"")</f>
        <v>91.2</v>
      </c>
      <c r="Z514" s="41">
        <f>IFERROR(IF(Y514=0,"",ROUNDUP(Y514/H514,0)*0.00902),"")</f>
        <v>0.17138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129.5625</v>
      </c>
      <c r="BN514" s="78">
        <f>IFERROR(Y514*I514/H514,"0")</f>
        <v>131.29000000000002</v>
      </c>
      <c r="BO514" s="78">
        <f>IFERROR(1/J514*(X514/H514),"0")</f>
        <v>0.14204545454545456</v>
      </c>
      <c r="BP514" s="78">
        <f>IFERROR(1/J514*(Y514/H514),"0")</f>
        <v>0.14393939393939395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85.037878787878782</v>
      </c>
      <c r="Y515" s="43">
        <f>IFERROR(Y512/H512,"0")+IFERROR(Y513/H513,"0")+IFERROR(Y514/H514,"0")</f>
        <v>86</v>
      </c>
      <c r="Z515" s="43">
        <f>IFERROR(IF(Z512="",0,Z512),"0")+IFERROR(IF(Z513="",0,Z513),"0")+IFERROR(IF(Z514="",0,Z514),"0")</f>
        <v>0.97270000000000001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440</v>
      </c>
      <c r="Y516" s="43">
        <f>IFERROR(SUM(Y512:Y514),"0")</f>
        <v>444.96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30</v>
      </c>
      <c r="Y518" s="55">
        <f t="shared" ref="Y518:Y524" si="74">IFERROR(IF(X518="",0,CEILING((X518/$H518),1)*$H518),"")</f>
        <v>31.68</v>
      </c>
      <c r="Z518" s="41">
        <f>IFERROR(IF(Y518=0,"",ROUNDUP(Y518/H518,0)*0.01196),"")</f>
        <v>7.1760000000000004E-2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31.988636363636363</v>
      </c>
      <c r="BN518" s="78">
        <f t="shared" ref="BN518:BN524" si="76">IFERROR(Y518*I518/H518,"0")</f>
        <v>33.779999999999994</v>
      </c>
      <c r="BO518" s="78">
        <f t="shared" ref="BO518:BO524" si="77">IFERROR(1/J518*(X518/H518),"0")</f>
        <v>5.4632867132867136E-2</v>
      </c>
      <c r="BP518" s="78">
        <f t="shared" ref="BP518:BP524" si="78">IFERROR(1/J518*(Y518/H518),"0")</f>
        <v>5.7692307692307696E-2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30</v>
      </c>
      <c r="Y519" s="55">
        <f t="shared" si="74"/>
        <v>31.68</v>
      </c>
      <c r="Z519" s="41">
        <f>IFERROR(IF(Y519=0,"",ROUNDUP(Y519/H519,0)*0.01196),"")</f>
        <v>7.1760000000000004E-2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31.988636363636363</v>
      </c>
      <c r="BN519" s="78">
        <f t="shared" si="76"/>
        <v>33.779999999999994</v>
      </c>
      <c r="BO519" s="78">
        <f t="shared" si="77"/>
        <v>5.4632867132867136E-2</v>
      </c>
      <c r="BP519" s="78">
        <f t="shared" si="78"/>
        <v>5.7692307692307696E-2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si="74"/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106.62878787878788</v>
      </c>
      <c r="BN520" s="78">
        <f t="shared" si="76"/>
        <v>106.97</v>
      </c>
      <c r="BO520" s="78">
        <f t="shared" si="77"/>
        <v>0.18210955710955709</v>
      </c>
      <c r="BP520" s="78">
        <f t="shared" si="78"/>
        <v>0.18269230769230771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36</v>
      </c>
      <c r="Y521" s="55">
        <f t="shared" si="74"/>
        <v>38.4</v>
      </c>
      <c r="Z521" s="41">
        <f>IFERROR(IF(Y521=0,"",ROUNDUP(Y521/H521,0)*0.00902),"")</f>
        <v>7.2160000000000002E-2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51.825000000000003</v>
      </c>
      <c r="BN521" s="78">
        <f t="shared" si="76"/>
        <v>55.28</v>
      </c>
      <c r="BO521" s="78">
        <f t="shared" si="77"/>
        <v>5.6818181818181823E-2</v>
      </c>
      <c r="BP521" s="78">
        <f t="shared" si="78"/>
        <v>6.0606060606060608E-2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90</v>
      </c>
      <c r="Y524" s="55">
        <f t="shared" si="74"/>
        <v>91.2</v>
      </c>
      <c r="Z524" s="41">
        <f>IFERROR(IF(Y524=0,"",ROUNDUP(Y524/H524,0)*0.00902),"")</f>
        <v>0.17138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125.0625</v>
      </c>
      <c r="BN524" s="78">
        <f t="shared" si="76"/>
        <v>126.73</v>
      </c>
      <c r="BO524" s="78">
        <f t="shared" si="77"/>
        <v>0.14204545454545456</v>
      </c>
      <c r="BP524" s="78">
        <f t="shared" si="78"/>
        <v>0.14393939393939395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56.553030303030297</v>
      </c>
      <c r="Y525" s="43">
        <f>IFERROR(Y518/H518,"0")+IFERROR(Y519/H519,"0")+IFERROR(Y520/H520,"0")+IFERROR(Y521/H521,"0")+IFERROR(Y522/H522,"0")+IFERROR(Y523/H523,"0")+IFERROR(Y524/H524,"0")</f>
        <v>58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0.61429999999999996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286</v>
      </c>
      <c r="Y526" s="43">
        <f>IFERROR(SUM(Y518:Y524),"0")</f>
        <v>293.28000000000003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150</v>
      </c>
      <c r="Y530" s="55">
        <f>IFERROR(IF(X530="",0,CEILING((X530/$H530),1)*$H530),"")</f>
        <v>156</v>
      </c>
      <c r="Z530" s="41">
        <f>IFERROR(IF(Y530=0,"",ROUNDUP(Y530/H530,0)*0.01898),"")</f>
        <v>0.24674000000000001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155.125</v>
      </c>
      <c r="BN530" s="78">
        <f>IFERROR(Y530*I530/H530,"0")</f>
        <v>161.33000000000001</v>
      </c>
      <c r="BO530" s="78">
        <f>IFERROR(1/J530*(X530/H530),"0")</f>
        <v>0.1953125</v>
      </c>
      <c r="BP530" s="78">
        <f>IFERROR(1/J530*(Y530/H530),"0")</f>
        <v>0.203125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12.5</v>
      </c>
      <c r="Y531" s="43">
        <f>IFERROR(Y530/H530,"0")</f>
        <v>13</v>
      </c>
      <c r="Z531" s="43">
        <f>IFERROR(IF(Z530="",0,Z530),"0")</f>
        <v>0.24674000000000001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150</v>
      </c>
      <c r="Y532" s="43">
        <f>IFERROR(SUM(Y530:Y530),"0")</f>
        <v>156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950</v>
      </c>
      <c r="Y542" s="55">
        <f>IFERROR(IF(X542="",0,CEILING((X542/$H542),1)*$H542),"")</f>
        <v>954</v>
      </c>
      <c r="Z542" s="41">
        <f>IFERROR(IF(Y542=0,"",ROUNDUP(Y542/H542,0)*0.01898),"")</f>
        <v>2.0118800000000001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1002.1444444444444</v>
      </c>
      <c r="BN542" s="78">
        <f>IFERROR(Y542*I542/H542,"0")</f>
        <v>1006.364</v>
      </c>
      <c r="BO542" s="78">
        <f>IFERROR(1/J542*(X542/H542),"0")</f>
        <v>1.6493055555555556</v>
      </c>
      <c r="BP542" s="78">
        <f>IFERROR(1/J542*(Y542/H542),"0")</f>
        <v>1.65625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105.55555555555556</v>
      </c>
      <c r="Y543" s="43">
        <f>IFERROR(Y542/H542,"0")</f>
        <v>106</v>
      </c>
      <c r="Z543" s="43">
        <f>IFERROR(IF(Z542="",0,Z542),"0")</f>
        <v>2.0118800000000001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950</v>
      </c>
      <c r="Y544" s="43">
        <f>IFERROR(SUM(Y542:Y542),"0")</f>
        <v>954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17322.400000000001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17508.819999999992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18739.83531795365</v>
      </c>
      <c r="Y556" s="43">
        <f>IFERROR(SUM(BN22:BN552),"0")</f>
        <v>18939.116000000002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35</v>
      </c>
      <c r="Y557" s="44">
        <f>ROUNDUP(SUM(BP22:BP552),0)</f>
        <v>35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19614.83531795365</v>
      </c>
      <c r="Y558" s="43">
        <f>GrossWeightTotalR+PalletQtyTotalR*25</f>
        <v>19814.116000000002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4895.4114283970603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4930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41.487670000000008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34.56</v>
      </c>
      <c r="D565" s="52">
        <f>IFERROR(Y47*1,"0")+IFERROR(Y48*1,"0")+IFERROR(Y49*1,"0")+IFERROR(Y50*1,"0")</f>
        <v>557.6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972.9</v>
      </c>
      <c r="F565" s="52">
        <f>IFERROR(Y84*1,"0")+IFERROR(Y85*1,"0")+IFERROR(Y86*1,"0")+IFERROR(Y87*1,"0")+IFERROR(Y91*1,"0")+IFERROR(Y92*1,"0")+IFERROR(Y93*1,"0")+IFERROR(Y94*1,"0")</f>
        <v>1776.6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2215.62</v>
      </c>
      <c r="H565" s="52">
        <f>IFERROR(Y129*1,"0")+IFERROR(Y130*1,"0")+IFERROR(Y131*1,"0")+IFERROR(Y135*1,"0")+IFERROR(Y136*1,"0")+IFERROR(Y137*1,"0")+IFERROR(Y138*1,"0")+IFERROR(Y142*1,"0")+IFERROR(Y143*1,"0")+IFERROR(Y144*1,"0")</f>
        <v>272.72000000000003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1443.7599999999998</v>
      </c>
      <c r="K565" s="52">
        <f>IFERROR(Y206*1,"0")+IFERROR(Y207*1,"0")+IFERROR(Y208*1,"0")+IFERROR(Y209*1,"0")+IFERROR(Y210*1,"0")+IFERROR(Y211*1,"0")+IFERROR(Y212*1,"0")</f>
        <v>129.60000000000002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830.59999999999991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2631.3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158.45999999999998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460.8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631.79999999999995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1749.9</v>
      </c>
      <c r="U565" s="52">
        <f>IFERROR(Y413*1,"0")+IFERROR(Y414*1,"0")</f>
        <v>0</v>
      </c>
      <c r="V565" s="52">
        <f>IFERROR(Y419*1,"0")+IFERROR(Y420*1,"0")+IFERROR(Y421*1,"0")</f>
        <v>701.4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192</v>
      </c>
      <c r="X565" s="52">
        <f>IFERROR(Y456*1,"0")+IFERROR(Y457*1,"0")+IFERROR(Y461*1,"0")+IFERROR(Y465*1,"0")+IFERROR(Y466*1,"0")+IFERROR(Y467*1,"0")</f>
        <v>72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1567.2</v>
      </c>
      <c r="AB565" s="52">
        <f>IFERROR(Y530*1,"0")+IFERROR(Y534*1,"0")+IFERROR(Y538*1,"0")+IFERROR(Y542*1,"0")+IFERROR(Y546*1,"0")+IFERROR(Y547*1,"0")</f>
        <v>1110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080,00"/>
        <filter val="1 439,40"/>
        <filter val="1 570,00"/>
        <filter val="1 680,00"/>
        <filter val="1,33"/>
        <filter val="10,00"/>
        <filter val="100,00"/>
        <filter val="101,30"/>
        <filter val="102,00"/>
        <filter val="105,56"/>
        <filter val="11,11"/>
        <filter val="12,00"/>
        <filter val="12,50"/>
        <filter val="120,00"/>
        <filter val="122,78"/>
        <filter val="127,20"/>
        <filter val="133,89"/>
        <filter val="14,00"/>
        <filter val="140,00"/>
        <filter val="150,00"/>
        <filter val="16,67"/>
        <filter val="163,26"/>
        <filter val="17 322,40"/>
        <filter val="175,00"/>
        <filter val="18 739,84"/>
        <filter val="18,00"/>
        <filter val="180,00"/>
        <filter val="19 614,84"/>
        <filter val="191,67"/>
        <filter val="193,33"/>
        <filter val="2,50"/>
        <filter val="20,00"/>
        <filter val="20,59"/>
        <filter val="200,00"/>
        <filter val="22,22"/>
        <filter val="224,00"/>
        <filter val="225,00"/>
        <filter val="228,00"/>
        <filter val="230,00"/>
        <filter val="24,00"/>
        <filter val="25,00"/>
        <filter val="25,60"/>
        <filter val="255,00"/>
        <filter val="28,00"/>
        <filter val="280,00"/>
        <filter val="286,00"/>
        <filter val="288,89"/>
        <filter val="3,33"/>
        <filter val="30,00"/>
        <filter val="300,00"/>
        <filter val="306,00"/>
        <filter val="31,25"/>
        <filter val="32,00"/>
        <filter val="320,00"/>
        <filter val="33,00"/>
        <filter val="33,33"/>
        <filter val="333,33"/>
        <filter val="35"/>
        <filter val="350,00"/>
        <filter val="36,00"/>
        <filter val="365,48"/>
        <filter val="37,50"/>
        <filter val="398,00"/>
        <filter val="4 895,41"/>
        <filter val="40,00"/>
        <filter val="400,00"/>
        <filter val="419,75"/>
        <filter val="440,00"/>
        <filter val="45,00"/>
        <filter val="450,00"/>
        <filter val="455,00"/>
        <filter val="460,00"/>
        <filter val="48,00"/>
        <filter val="5,13"/>
        <filter val="5,40"/>
        <filter val="5,56"/>
        <filter val="50,00"/>
        <filter val="500,00"/>
        <filter val="51,00"/>
        <filter val="525,00"/>
        <filter val="540,00"/>
        <filter val="550,00"/>
        <filter val="56,55"/>
        <filter val="570,00"/>
        <filter val="571,71"/>
        <filter val="6,40"/>
        <filter val="60,00"/>
        <filter val="600,00"/>
        <filter val="620,00"/>
        <filter val="630,00"/>
        <filter val="639,66"/>
        <filter val="66,00"/>
        <filter val="690,00"/>
        <filter val="7,00"/>
        <filter val="70,00"/>
        <filter val="700,00"/>
        <filter val="705,00"/>
        <filter val="71,30"/>
        <filter val="785,00"/>
        <filter val="79,49"/>
        <filter val="8,00"/>
        <filter val="80,00"/>
        <filter val="810,00"/>
        <filter val="820,00"/>
        <filter val="85,04"/>
        <filter val="90,00"/>
        <filter val="95,00"/>
        <filter val="950,00"/>
        <filter val="99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