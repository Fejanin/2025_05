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CF2598-E442-4F37-925D-8388D9D1516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51" i="2" l="1"/>
  <c r="Y412" i="2"/>
  <c r="BN472" i="2"/>
  <c r="Y55" i="2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05" i="2" l="1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<sst xmlns="http://schemas.openxmlformats.org/spreadsheetml/2006/main" count="4194" uniqueCount="891">
  <si>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</si>
  <si>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</si>
  <si>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</si>
  <si>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</si>
  <si>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</si>
  <si>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</si>
  <si>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</si>
  <si>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</si>
  <si>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</si>
  <si>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</si>
  <si>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</si>
  <si>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</si>
  <si>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</si>
  <si>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</si>
  <si>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</si>
  <si>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</si>
  <si>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</si>
  <si>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</si>
  <si>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</si>
  <si>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</si>
  <si>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</si>
  <si>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</si>
  <si>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</si>
  <si>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</si>
  <si>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</si>
  <si>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</si>
  <si>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</si>
  <si>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</si>
  <si>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</si>
  <si>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</si>
  <si>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</si>
  <si>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</si>
  <si>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</si>
  <si>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</si>
  <si>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</si>
  <si>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</si>
  <si>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</si>
  <si>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</si>
  <si>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</si>
  <si>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</si>
  <si>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</si>
  <si>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</si>
  <si>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</si>
  <si>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</si>
  <si>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</si>
  <si>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</si>
  <si>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</si>
  <si>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</si>
  <si>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</si>
  <si>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</si>
  <si>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</si>
  <si>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</si>
  <si>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</si>
  <si>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</si>
  <si>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</si>
  <si>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</si>
  <si>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</si>
  <si>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</si>
  <si>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</si>
  <si>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</si>
  <si>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</si>
  <si>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</si>
  <si>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</si>
  <si>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</si>
  <si>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</si>
  <si>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</si>
  <si>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</si>
  <si>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</si>
  <si>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</si>
  <si>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</si>
  <si>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</si>
  <si>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</si>
  <si>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</si>
  <si>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</si>
  <si>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</si>
  <si>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</si>
  <si>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</si>
  <si>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</si>
  <si>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</si>
  <si>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</si>
  <si>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</si>
  <si>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</si>
  <si>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</si>
  <si>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</si>
  <si>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</si>
  <si>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</si>
  <si>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</si>
  <si>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</si>
  <si>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</si>
  <si>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</si>
  <si>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</si>
  <si>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</si>
  <si>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</si>
  <si>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</si>
  <si>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</si>
  <si>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</si>
  <si>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</si>
  <si>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</si>
  <si>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</si>
  <si>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</si>
  <si>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</si>
  <si>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</si>
  <si>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</si>
  <si>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</si>
  <si>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</si>
  <si>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</si>
  <si>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</si>
  <si>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</si>
  <si>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</si>
  <si>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</si>
  <si>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</si>
  <si>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</si>
  <si>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</si>
  <si>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</si>
  <si>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</si>
  <si>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</si>
  <si>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</si>
  <si>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</si>
  <si>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</si>
  <si>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</si>
  <si>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</si>
  <si>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</si>
  <si>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</si>
  <si>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</si>
  <si>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</si>
  <si>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</si>
  <si>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</si>
  <si>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</si>
  <si>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</si>
  <si>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</si>
  <si>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</si>
  <si>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</si>
  <si>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</si>
  <si>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</si>
  <si>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</si>
  <si>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</si>
  <si>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</si>
  <si>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</si>
  <si>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</si>
  <si>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</si>
  <si>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</si>
  <si>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</si>
  <si>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</si>
  <si>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</si>
  <si>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</si>
  <si>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</si>
  <si>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</si>
  <si>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</si>
  <si>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</si>
  <si>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</si>
  <si>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</si>
  <si>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</si>
  <si>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</si>
  <si>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</si>
  <si>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</si>
  <si>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</si>
  <si>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</si>
  <si>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</si>
  <si>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</si>
  <si>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</si>
  <si>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</si>
  <si>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</si>
  <si>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</si>
  <si>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</si>
  <si>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</si>
  <si>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</si>
  <si>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</si>
  <si>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</si>
  <si>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</si>
  <si>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</si>
  <si>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</si>
  <si>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</si>
  <si>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</si>
  <si>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</si>
  <si>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</si>
  <si>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</si>
  <si>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</si>
  <si>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</si>
  <si>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</si>
  <si>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</si>
  <si>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</si>
  <si>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</si>
  <si>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</si>
  <si>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</si>
  <si>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</si>
  <si>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</si>
  <si>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</si>
  <si>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</si>
  <si>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</si>
  <si>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</si>
  <si>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</si>
  <si>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</si>
  <si>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</si>
  <si>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</si>
  <si>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</si>
  <si>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</si>
  <si>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</si>
  <si>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</si>
  <si>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</si>
  <si>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</si>
  <si>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</si>
  <si>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</si>
  <si>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</si>
  <si>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</si>
  <si>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</si>
  <si>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</si>
  <si>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</si>
  <si>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</si>
  <si>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</si>
  <si>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</si>
  <si>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</si>
  <si>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</si>
  <si>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</si>
  <si>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</si>
  <si>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</si>
  <si>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</si>
  <si>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</si>
  <si>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</si>
  <si>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</si>
  <si>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</si>
  <si>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</si>
  <si>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</si>
  <si>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</si>
  <si>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</si>
  <si>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</si>
  <si>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</si>
  <si>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</si>
  <si>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</si>
  <si>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</si>
  <si>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</si>
  <si>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</si>
  <si>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</si>
  <si>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</si>
  <si>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</si>
  <si>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</si>
  <si>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</si>
  <si>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</si>
  <si>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</si>
  <si>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</si>
  <si>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</si>
  <si>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</si>
  <si>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</si>
  <si>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</si>
  <si>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</si>
  <si>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</si>
  <si>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</si>
  <si>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</si>
  <si>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</si>
  <si>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</si>
  <si>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</si>
  <si>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</si>
  <si>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</si>
  <si>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</si>
  <si>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</si>
  <si>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</si>
  <si>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</si>
  <si>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</si>
  <si>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</si>
  <si>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</si>
  <si>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</si>
  <si>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</si>
  <si>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</si>
  <si>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</si>
  <si>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</si>
  <si>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</si>
  <si>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</si>
  <si>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</si>
  <si>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</si>
  <si>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</si>
  <si>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</si>
  <si>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</si>
  <si>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</si>
  <si>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</si>
  <si>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</si>
  <si>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</si>
  <si>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</si>
  <si>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</si>
  <si>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</si>
  <si>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</si>
  <si>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</si>
  <si>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</si>
  <si>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</si>
  <si>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</si>
  <si>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</si>
  <si>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</si>
  <si>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</si>
  <si>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</si>
  <si>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</si>
  <si>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</si>
  <si>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</si>
  <si>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</si>
  <si>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</si>
  <si>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</si>
  <si>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</si>
  <si>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</si>
  <si>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</si>
  <si>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</si>
  <si>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</si>
  <si>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</si>
  <si>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</si>
  <si>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</si>
  <si>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</si>
  <si>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</si>
  <si>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</si>
  <si>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</si>
  <si>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</si>
  <si>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</si>
  <si>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</si>
  <si>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</si>
  <si>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</si>
  <si>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</si>
  <si>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</si>
  <si>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</si>
  <si>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</si>
  <si>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</si>
  <si>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</si>
  <si>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</si>
  <si>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</si>
  <si>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</si>
  <si>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</si>
  <si>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</si>
  <si>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</si>
  <si>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</si>
  <si>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</si>
  <si>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</si>
  <si>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</si>
  <si>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</si>
  <si>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</si>
  <si>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</si>
  <si>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</si>
  <si>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</si>
  <si>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</si>
  <si>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</si>
  <si>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</si>
  <si>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</si>
  <si>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</si>
  <si>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</si>
  <si>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</si>
  <si>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</si>
  <si>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</si>
  <si>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</si>
  <si>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</si>
  <si>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</si>
  <si>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</si>
  <si>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</si>
  <si>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</si>
  <si>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</si>
  <si>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</si>
  <si>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</si>
  <si>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</si>
  <si>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</si>
  <si>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</si>
  <si>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</si>
  <si>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</si>
  <si>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</si>
  <si>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</si>
  <si>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</si>
  <si>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</si>
  <si>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</si>
  <si>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</si>
  <si>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</si>
  <si>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</si>
  <si>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</si>
  <si>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</si>
  <si>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</si>
  <si>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</si>
  <si>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</si>
  <si>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</si>
  <si>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</si>
  <si>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</si>
  <si>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</si>
  <si>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</si>
  <si>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</si>
  <si>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</si>
  <si>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</si>
  <si>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</si>
  <si>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</si>
  <si>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</si>
  <si>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</si>
  <si>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</si>
  <si>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</si>
  <si>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</si>
  <si>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</si>
  <si>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</si>
  <si>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</si>
  <si>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</si>
  <si>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</si>
  <si>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</si>
  <si>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</si>
  <si>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</si>
  <si>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</si>
  <si>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</si>
  <si>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</si>
  <si>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</si>
  <si>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</si>
  <si>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</si>
  <si>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</si>
  <si>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</si>
  <si>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</si>
  <si>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</si>
  <si>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</si>
  <si>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</si>
  <si>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</si>
  <si>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</si>
  <si>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</si>
  <si>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</si>
  <si>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</si>
  <si>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</si>
  <si>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</si>
  <si>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</si>
  <si>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</si>
  <si>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</si>
  <si>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</si>
  <si>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</si>
  <si>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</si>
  <si>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</si>
  <si>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</si>
  <si>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</si>
  <si>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</si>
  <si>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</si>
  <si>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</si>
  <si>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</si>
  <si>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</si>
  <si>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</si>
  <si>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</si>
  <si>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</si>
  <si>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</si>
  <si>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</si>
  <si>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</si>
  <si>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</si>
  <si>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</si>
  <si>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</si>
  <si>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</si>
  <si>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</si>
  <si>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</si>
  <si>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</si>
  <si>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</si>
  <si>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</si>
  <si>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</si>
  <si>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</si>
  <si>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</si>
  <si>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</si>
  <si>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</si>
  <si>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</si>
  <si>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</si>
  <si>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</si>
  <si>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</si>
  <si>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</si>
  <si>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</si>
  <si>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</si>
  <si>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</si>
  <si>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</si>
  <si>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</si>
  <si>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</si>
  <si>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</si>
  <si>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</si>
  <si>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</si>
  <si>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</si>
  <si>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</si>
  <si>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</si>
  <si>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</si>
  <si>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</si>
  <si>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</si>
  <si>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</si>
  <si>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</si>
  <si>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</si>
  <si>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</si>
  <si>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</si>
  <si>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</si>
  <si>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</si>
  <si>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</si>
  <si>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</si>
  <si>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</si>
  <si>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</si>
  <si>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</si>
  <si>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</si>
  <si>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</si>
  <si>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</si>
  <si>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</si>
  <si>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</si>
  <si>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</si>
  <si>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</si>
  <si>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</si>
  <si>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</si>
  <si>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</si>
  <si>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</si>
  <si>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</si>
  <si>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</si>
  <si>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</si>
  <si>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</si>
  <si>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</si>
  <si>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</si>
  <si>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</si>
  <si>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</si>
  <si>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</si>
  <si>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</si>
  <si>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</si>
  <si>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</si>
  <si>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</si>
  <si>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</si>
  <si>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</si>
  <si>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</si>
  <si>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</si>
  <si>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</si>
  <si>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</si>
  <si>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</si>
  <si>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</si>
  <si>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</si>
  <si>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</si>
  <si>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</si>
  <si>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</si>
  <si>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</si>
  <si>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</si>
  <si>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</si>
  <si>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</si>
  <si>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</si>
  <si>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</si>
  <si>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</si>
  <si>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</si>
  <si>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</si>
  <si>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</si>
  <si>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</si>
  <si>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</si>
  <si>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</si>
  <si>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</si>
  <si>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</si>
  <si>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</si>
  <si>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</si>
  <si>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</si>
  <si>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</si>
  <si>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</si>
  <si>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</si>
  <si>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</si>
  <si>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</si>
  <si>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</si>
  <si>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</si>
  <si>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</si>
  <si>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</si>
  <si>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</si>
  <si>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</si>
  <si>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</si>
  <si>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</si>
  <si>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</si>
  <si>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</si>
  <si>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</si>
  <si>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</si>
  <si>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</si>
  <si>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</si>
  <si>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</si>
  <si>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</si>
  <si>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</si>
  <si>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</si>
  <si>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</si>
  <si>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</si>
  <si>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</si>
  <si>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</si>
  <si>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</si>
  <si>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</si>
  <si>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</si>
  <si>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</si>
  <si>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</si>
  <si>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</si>
  <si>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</si>
  <si>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</si>
  <si>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</si>
  <si>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</si>
  <si>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</si>
  <si>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</si>
  <si>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</si>
  <si>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</si>
  <si>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</si>
  <si>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</si>
  <si>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</si>
  <si>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</si>
  <si>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</si>
  <si>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</si>
  <si>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</si>
  <si>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</si>
  <si>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</si>
  <si>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</si>
  <si>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</si>
  <si>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</si>
  <si>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</si>
  <si>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</si>
  <si>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</si>
  <si>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</si>
  <si>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</si>
  <si>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</si>
  <si>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</si>
  <si>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</si>
  <si>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</si>
  <si>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</si>
  <si>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</si>
  <si>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</si>
  <si>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</si>
  <si>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</si>
  <si>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</si>
  <si>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</si>
  <si>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</si>
  <si>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</si>
  <si>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</si>
  <si>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</si>
  <si>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</si>
  <si>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</si>
  <si>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</si>
  <si>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</si>
  <si>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</si>
  <si>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</si>
  <si>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</si>
  <si>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</si>
  <si>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</si>
  <si>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</si>
  <si>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</si>
  <si>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</si>
  <si>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</si>
  <si>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</si>
  <si>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</si>
  <si>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</si>
  <si>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</si>
  <si>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</si>
  <si>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</si>
  <si>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</si>
  <si>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</si>
  <si>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</si>
  <si>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</si>
  <si>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</si>
  <si>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</si>
  <si>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</si>
  <si>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</si>
  <si>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</si>
  <si>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</si>
  <si>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</si>
  <si>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</si>
  <si>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</si>
  <si>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</si>
  <si>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</si>
  <si>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</si>
  <si>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</si>
  <si>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</si>
  <si>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</si>
  <si>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</si>
  <si>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</si>
  <si>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</si>
  <si>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</si>
  <si>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</si>
  <si>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</si>
  <si>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</si>
  <si>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</si>
  <si>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</si>
  <si>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</si>
  <si>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</si>
  <si>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</si>
  <si>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</si>
  <si>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</si>
  <si>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</si>
  <si>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</si>
  <si>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</si>
  <si>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</si>
  <si>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</si>
  <si>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</si>
  <si>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</si>
  <si>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</si>
  <si>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</si>
  <si>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</si>
  <si>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</si>
  <si>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</si>
  <si>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</si>
  <si>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</si>
  <si>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</si>
  <si>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</si>
  <si>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</si>
  <si>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</si>
  <si>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</si>
  <si>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</si>
  <si>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</si>
  <si>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</si>
  <si>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</si>
  <si>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</si>
  <si>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</si>
  <si>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</si>
  <si>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</si>
  <si>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</si>
  <si>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</si>
  <si>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</si>
  <si>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</si>
  <si>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</si>
  <si>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</si>
  <si>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</si>
  <si>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</si>
  <si>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</si>
  <si>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</si>
  <si>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</si>
  <si>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</si>
  <si>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</si>
  <si>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</si>
  <si>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</si>
  <si>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</si>
  <si>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</si>
  <si>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</si>
  <si>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</si>
  <si>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</si>
  <si>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</si>
  <si>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</si>
  <si>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</si>
  <si>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</si>
  <si>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</si>
  <si>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</si>
  <si>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</si>
  <si>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</si>
  <si>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</si>
  <si>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</si>
  <si>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</si>
  <si>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</si>
  <si>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</si>
  <si>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</si>
  <si>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</si>
  <si>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</si>
  <si>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</si>
  <si>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</si>
  <si>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</si>
  <si>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</si>
  <si>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</si>
  <si>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</si>
  <si>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</si>
  <si>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</si>
  <si>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</si>
  <si>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</si>
  <si>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</si>
  <si>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</si>
  <si>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</si>
  <si>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</si>
  <si>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</si>
  <si>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</si>
  <si>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</si>
  <si>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</si>
  <si>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</si>
  <si>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</si>
  <si>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</si>
  <si>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</si>
  <si>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</si>
  <si>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</si>
  <si>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</si>
  <si>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</si>
  <si>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</si>
  <si>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</si>
  <si>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</si>
  <si>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</si>
  <si>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</si>
  <si>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</si>
  <si>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</si>
  <si>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</si>
  <si>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</si>
  <si>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</si>
  <si>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</si>
  <si>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</si>
  <si>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</si>
  <si>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</si>
  <si>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</si>
  <si>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</si>
  <si>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</si>
  <si>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</si>
  <si>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</si>
  <si>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</si>
  <si>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</si>
  <si>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</si>
  <si>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</si>
  <si>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</si>
  <si>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</si>
  <si>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</si>
  <si>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</si>
  <si>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</si>
  <si>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</si>
  <si>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</si>
  <si>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</si>
  <si>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</si>
  <si>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</si>
  <si>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</si>
  <si>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</si>
  <si>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</si>
  <si>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</si>
  <si>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</si>
  <si>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</si>
  <si>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</si>
  <si>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</si>
  <si>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</si>
  <si>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</si>
  <si>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</si>
  <si>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</si>
  <si>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</si>
  <si>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</si>
  <si>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</si>
  <si>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</si>
  <si>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</si>
  <si>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</si>
  <si>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</si>
  <si>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</si>
  <si>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</si>
  <si>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</si>
  <si>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</si>
  <si>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</si>
  <si>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</si>
  <si>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</si>
  <si>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</si>
  <si>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</si>
  <si>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</si>
  <si>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</si>
  <si>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</si>
  <si>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</si>
  <si>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</si>
  <si>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</si>
  <si>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</si>
  <si>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</si>
  <si>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</si>
  <si>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</si>
  <si>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</si>
  <si>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</si>
  <si>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</si>
  <si>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</si>
  <si>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</si>
  <si>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</si>
  <si>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</si>
  <si>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</si>
  <si>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</si>
  <si>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</si>
  <si>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</si>
  <si>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</si>
  <si>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</si>
  <si>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</si>
  <si>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</si>
  <si>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</si>
  <si>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</si>
  <si>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</si>
  <si>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</si>
  <si>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</si>
  <si>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</si>
  <si>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</si>
  <si>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</si>
  <si>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</si>
  <si>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</si>
  <si>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</si>
  <si>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</si>
  <si>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</si>
  <si>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</si>
  <si>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</si>
  <si>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</si>
  <si>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</si>
  <si>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</si>
  <si>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</si>
  <si>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</si>
  <si>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</si>
  <si>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</si>
  <si>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</si>
  <si>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</si>
  <si>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</si>
  <si>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</si>
  <si>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</si>
  <si>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</si>
  <si>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</si>
  <si>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</si>
  <si>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</si>
  <si>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</si>
  <si>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</si>
  <si>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</si>
  <si>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</si>
  <si>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</si>
  <si>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</si>
  <si>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</si>
  <si>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</si>
  <si>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</si>
  <si>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</si>
  <si>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</si>
  <si>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</si>
  <si>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</si>
  <si>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</si>
  <si>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</si>
  <si>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</si>
  <si>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</si>
  <si>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</si>
  <si>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</si>
  <si>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</si>
  <si>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</si>
  <si>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</si>
  <si>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</si>
  <si>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</si>
  <si>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</si>
  <si>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</si>
  <si>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</si>
  <si>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</si>
  <si>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</si>
  <si>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</si>
  <si>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2й 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</si>
</sst>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46252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Вторник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500</v>
      </c>
      <c r="Y51" s="53">
        <f>IFERROR(IF(X51="",0,CEILING((X51/$H51),1)*$H51),"")</f>
        <v>507.6</v>
      </c>
      <c r="Z51" s="39">
        <f>IFERROR(IF(Y51=0,"",ROUNDUP(Y51/H51,0)*0.01898),"")</f>
        <v>0.89205999999999996</v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518.98148148148141</v>
      </c>
      <c r="BN51" s="75">
        <f>IFERROR(Y51*I51/H51,"0")</f>
        <v>526.87</v>
      </c>
      <c r="BO51" s="75">
        <f>IFERROR(1/J51*(X51/H51),"0")</f>
        <v>0.72337962962962954</v>
      </c>
      <c r="BP51" s="75">
        <f>IFERROR(1/J51*(Y51/H51),"0")</f>
        <v>0.734375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800</v>
      </c>
      <c r="Y53" s="53">
        <f>IFERROR(IF(X53="",0,CEILING((X53/$H53),1)*$H53),"")</f>
        <v>800</v>
      </c>
      <c r="Z53" s="39">
        <f>IFERROR(IF(Y53=0,"",ROUNDUP(Y53/H53,0)*0.00902),"")</f>
        <v>1.804</v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838.00000000000011</v>
      </c>
      <c r="BN53" s="75">
        <f>IFERROR(Y53*I53/H53,"0")</f>
        <v>838.00000000000011</v>
      </c>
      <c r="BO53" s="75">
        <f>IFERROR(1/J53*(X53/H53),"0")</f>
        <v>1.5151515151515151</v>
      </c>
      <c r="BP53" s="75">
        <f>IFERROR(1/J53*(Y53/H53),"0")</f>
        <v>1.5151515151515151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246.2962962962963</v>
      </c>
      <c r="Y55" s="41">
        <f>IFERROR(Y51/H51,"0")+IFERROR(Y52/H52,"0")+IFERROR(Y53/H53,"0")+IFERROR(Y54/H54,"0")</f>
        <v>247</v>
      </c>
      <c r="Z55" s="41">
        <f>IFERROR(IF(Z51="",0,Z51),"0")+IFERROR(IF(Z52="",0,Z52),"0")+IFERROR(IF(Z53="",0,Z53),"0")+IFERROR(IF(Z54="",0,Z54),"0")</f>
        <v>2.6960600000000001</v>
      </c>
      <c r="AA55" s="64"/>
      <c r="AB55" s="64"/>
      <c r="AC55" s="64"/>
    </row>
    <row r="56" spans="1:68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1300</v>
      </c>
      <c r="Y56" s="41">
        <f>IFERROR(SUM(Y51:Y54),"0")</f>
        <v>1307.5999999999999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200</v>
      </c>
      <c r="Y95" s="53">
        <f>IFERROR(IF(X95="",0,CEILING((X95/$H95),1)*$H95),"")</f>
        <v>202.5</v>
      </c>
      <c r="Z95" s="39">
        <f>IFERROR(IF(Y95=0,"",ROUNDUP(Y95/H95,0)*0.01898),"")</f>
        <v>0.47450000000000003</v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212.19753086419755</v>
      </c>
      <c r="BN95" s="75">
        <f>IFERROR(Y95*I95/H95,"0")</f>
        <v>214.85</v>
      </c>
      <c r="BO95" s="75">
        <f>IFERROR(1/J95*(X95/H95),"0")</f>
        <v>0.38580246913580246</v>
      </c>
      <c r="BP95" s="75">
        <f>IFERROR(1/J95*(Y95/H95),"0")</f>
        <v>0.390625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24.691358024691358</v>
      </c>
      <c r="Y99" s="41">
        <f>IFERROR(Y95/H95,"0")+IFERROR(Y96/H96,"0")+IFERROR(Y97/H97,"0")+IFERROR(Y98/H98,"0")</f>
        <v>25</v>
      </c>
      <c r="Z99" s="41">
        <f>IFERROR(IF(Z95="",0,Z95),"0")+IFERROR(IF(Z96="",0,Z96),"0")+IFERROR(IF(Z97="",0,Z97),"0")+IFERROR(IF(Z98="",0,Z98),"0")</f>
        <v>0.47450000000000003</v>
      </c>
      <c r="AA99" s="64"/>
      <c r="AB99" s="64"/>
      <c r="AC99" s="64"/>
    </row>
    <row r="100" spans="1:68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200</v>
      </c>
      <c r="Y100" s="41">
        <f>IFERROR(SUM(Y95:Y98),"0")</f>
        <v>202.5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200</v>
      </c>
      <c r="Y120" s="53">
        <f>IFERROR(IF(X120="",0,CEILING((X120/$H120),1)*$H120),"")</f>
        <v>202.5</v>
      </c>
      <c r="Z120" s="39">
        <f>IFERROR(IF(Y120=0,"",ROUNDUP(Y120/H120,0)*0.01898),"")</f>
        <v>0.47450000000000003</v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212.04938271604939</v>
      </c>
      <c r="BN120" s="75">
        <f>IFERROR(Y120*I120/H120,"0")</f>
        <v>214.7</v>
      </c>
      <c r="BO120" s="75">
        <f>IFERROR(1/J120*(X120/H120),"0")</f>
        <v>0.38580246913580246</v>
      </c>
      <c r="BP120" s="75">
        <f>IFERROR(1/J120*(Y120/H120),"0")</f>
        <v>0.390625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24.691358024691358</v>
      </c>
      <c r="Y124" s="41">
        <f>IFERROR(Y120/H120,"0")+IFERROR(Y121/H121,"0")+IFERROR(Y122/H122,"0")+IFERROR(Y123/H123,"0")</f>
        <v>25</v>
      </c>
      <c r="Z124" s="41">
        <f>IFERROR(IF(Z120="",0,Z120),"0")+IFERROR(IF(Z121="",0,Z121),"0")+IFERROR(IF(Z122="",0,Z122),"0")+IFERROR(IF(Z123="",0,Z123),"0")</f>
        <v>0.47450000000000003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200</v>
      </c>
      <c r="Y125" s="41">
        <f>IFERROR(SUM(Y120:Y123),"0")</f>
        <v>202.5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hidden="1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hidden="1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0</v>
      </c>
      <c r="Y431" s="41">
        <f>IFERROR(Y423/H423,"0")+IFERROR(Y424/H424,"0")+IFERROR(Y425/H425,"0")+IFERROR(Y426/H426,"0")+IFERROR(Y427/H427,"0")+IFERROR(Y428/H428,"0")+IFERROR(Y429/H429,"0")+IFERROR(Y430/H430,"0")</f>
        <v>0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4"/>
      <c r="AB431" s="64"/>
      <c r="AC431" s="64"/>
    </row>
    <row r="432" spans="1:68" hidden="1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0</v>
      </c>
      <c r="Y432" s="41">
        <f>IFERROR(SUM(Y423:Y430),"0")</f>
        <v>0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1712.6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1781.2283950617284</v>
      </c>
      <c r="Y552" s="41">
        <f>IFERROR(SUM(BN22:BN548),"0")</f>
        <v>1794.42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4</v>
      </c>
      <c r="Y553" s="42">
        <f>ROUNDUP(SUM(BP22:BP548),0)</f>
        <v>4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1881.2283950617284</v>
      </c>
      <c r="Y554" s="41">
        <f>GrossWeightTotalR+PalletQtyTotalR*25</f>
        <v>1894.42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295.67901234567898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297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3.64506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1307.5999999999999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202.5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202.5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700,00"/>
        <filter val="1 781,23"/>
        <filter val="1 881,23"/>
        <filter val="200,00"/>
        <filter val="24,69"/>
        <filter val="246,30"/>
        <filter val="295,68"/>
        <filter val="4"/>
        <filter val="500,00"/>
        <filter val="8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2026-08-17T14:55:55Z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