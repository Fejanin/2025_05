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05C142-4B94-4C49-BDA3-8F10D0E5773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72" i="2" l="1"/>
  <c r="Y151" i="2"/>
  <c r="Y55" i="2"/>
  <c r="Y412" i="2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05" i="2" l="1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<sst xmlns="http://schemas.openxmlformats.org/spreadsheetml/2006/main" count="4194" uniqueCount="891">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</sst>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34" sqref="AA4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46252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Вторник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hidden="1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hidden="1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0</v>
      </c>
      <c r="Y431" s="41">
        <f>IFERROR(Y423/H423,"0")+IFERROR(Y424/H424,"0")+IFERROR(Y425/H425,"0")+IFERROR(Y426/H426,"0")+IFERROR(Y427/H427,"0")+IFERROR(Y428/H428,"0")+IFERROR(Y429/H429,"0")+IFERROR(Y430/H430,"0")</f>
        <v>0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4"/>
      <c r="AB431" s="64"/>
      <c r="AC431" s="64"/>
    </row>
    <row r="432" spans="1:68" hidden="1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0</v>
      </c>
      <c r="Y432" s="41">
        <f>IFERROR(SUM(Y423:Y430),"0")</f>
        <v>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3700</v>
      </c>
      <c r="Y434" s="53">
        <f>IFERROR(IF(X434="",0,CEILING((X434/$H434),1)*$H434),"")</f>
        <v>3705</v>
      </c>
      <c r="Z434" s="39">
        <f>IFERROR(IF(Y434=0,"",ROUNDUP(Y434/H434,0)*0.02175),"")</f>
        <v>5.3722499999999993</v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3815.9333333333334</v>
      </c>
      <c r="BN434" s="75">
        <f>IFERROR(Y434*I434/H434,"0")</f>
        <v>3821.0900000000006</v>
      </c>
      <c r="BO434" s="75">
        <f>IFERROR(1/J434*(X434/H434),"0")</f>
        <v>5.1388888888888884</v>
      </c>
      <c r="BP434" s="75">
        <f>IFERROR(1/J434*(Y434/H434),"0")</f>
        <v>5.145833333333333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246.66666666666666</v>
      </c>
      <c r="Y437" s="41">
        <f>IFERROR(Y434/H434,"0")+IFERROR(Y435/H435,"0")+IFERROR(Y436/H436,"0")</f>
        <v>247</v>
      </c>
      <c r="Z437" s="41">
        <f>IFERROR(IF(Z434="",0,Z434),"0")+IFERROR(IF(Z435="",0,Z435),"0")+IFERROR(IF(Z436="",0,Z436),"0")</f>
        <v>5.3722499999999993</v>
      </c>
      <c r="AA437" s="64"/>
      <c r="AB437" s="64"/>
      <c r="AC437" s="64"/>
    </row>
    <row r="438" spans="1:68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3700</v>
      </c>
      <c r="Y438" s="41">
        <f>IFERROR(SUM(Y434:Y436),"0")</f>
        <v>3705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3700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3705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3815.9333333333334</v>
      </c>
      <c r="Y552" s="41">
        <f>IFERROR(SUM(BN22:BN548),"0")</f>
        <v>3821.0900000000006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6</v>
      </c>
      <c r="Y553" s="42">
        <f>ROUNDUP(SUM(BP22:BP548),0)</f>
        <v>6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3965.9333333333334</v>
      </c>
      <c r="Y554" s="41">
        <f>GrossWeightTotalR+PalletQtyTotalR*25</f>
        <v>3971.0900000000006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246.66666666666666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247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5.3722499999999993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3705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46,67"/>
        <filter val="3 700,00"/>
        <filter val="3 815,93"/>
        <filter val="3 965,93"/>
        <filter val="6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2026-08-17T14:53:34Z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