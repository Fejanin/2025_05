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43F7B89-6904-4567-9C09-F68920BC93E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N506" i="2" s="1"/>
  <c r="P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N498" i="2" s="1"/>
  <c r="P498" i="2"/>
  <c r="X494" i="2"/>
  <c r="X493" i="2"/>
  <c r="BO492" i="2"/>
  <c r="BM492" i="2"/>
  <c r="Y492" i="2"/>
  <c r="P492" i="2"/>
  <c r="BO491" i="2"/>
  <c r="BM491" i="2"/>
  <c r="Y491" i="2"/>
  <c r="BN491" i="2" s="1"/>
  <c r="P491" i="2"/>
  <c r="BO490" i="2"/>
  <c r="BM490" i="2"/>
  <c r="Y490" i="2"/>
  <c r="Z490" i="2" s="1"/>
  <c r="P490" i="2"/>
  <c r="X488" i="2"/>
  <c r="X487" i="2"/>
  <c r="BO486" i="2"/>
  <c r="BM486" i="2"/>
  <c r="Y486" i="2"/>
  <c r="BN486" i="2" s="1"/>
  <c r="P486" i="2"/>
  <c r="X483" i="2"/>
  <c r="X482" i="2"/>
  <c r="BO481" i="2"/>
  <c r="BM481" i="2"/>
  <c r="Y481" i="2"/>
  <c r="P481" i="2"/>
  <c r="BO480" i="2"/>
  <c r="BM480" i="2"/>
  <c r="Y480" i="2"/>
  <c r="Z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BN473" i="2" s="1"/>
  <c r="P473" i="2"/>
  <c r="BO472" i="2"/>
  <c r="BM472" i="2"/>
  <c r="Y472" i="2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P454" i="2"/>
  <c r="X451" i="2"/>
  <c r="X450" i="2"/>
  <c r="BO449" i="2"/>
  <c r="BM449" i="2"/>
  <c r="Y449" i="2"/>
  <c r="BN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P436" i="2" s="1"/>
  <c r="P436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N426" i="2"/>
  <c r="BM426" i="2"/>
  <c r="Z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BP399" i="2" s="1"/>
  <c r="P399" i="2"/>
  <c r="BO398" i="2"/>
  <c r="BM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N381" i="2" s="1"/>
  <c r="P381" i="2"/>
  <c r="BO380" i="2"/>
  <c r="BM380" i="2"/>
  <c r="Y380" i="2"/>
  <c r="BN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P368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X328" i="2"/>
  <c r="X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BN300" i="2" s="1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P278" i="2"/>
  <c r="BO277" i="2"/>
  <c r="BM277" i="2"/>
  <c r="Y277" i="2"/>
  <c r="Z277" i="2" s="1"/>
  <c r="P277" i="2"/>
  <c r="BO276" i="2"/>
  <c r="BM276" i="2"/>
  <c r="Y276" i="2"/>
  <c r="BN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BN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N255" i="2" s="1"/>
  <c r="P255" i="2"/>
  <c r="X252" i="2"/>
  <c r="X251" i="2"/>
  <c r="BO250" i="2"/>
  <c r="BM250" i="2"/>
  <c r="Y250" i="2"/>
  <c r="P250" i="2"/>
  <c r="X248" i="2"/>
  <c r="X247" i="2"/>
  <c r="BO246" i="2"/>
  <c r="BM246" i="2"/>
  <c r="Y246" i="2"/>
  <c r="BN246" i="2" s="1"/>
  <c r="P246" i="2"/>
  <c r="BO245" i="2"/>
  <c r="BM245" i="2"/>
  <c r="Y245" i="2"/>
  <c r="P245" i="2"/>
  <c r="BO244" i="2"/>
  <c r="BM244" i="2"/>
  <c r="Y244" i="2"/>
  <c r="Z244" i="2" s="1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N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Z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P206" i="2"/>
  <c r="BO206" i="2"/>
  <c r="BN206" i="2"/>
  <c r="BM206" i="2"/>
  <c r="Z206" i="2"/>
  <c r="Y206" i="2"/>
  <c r="P206" i="2"/>
  <c r="BO205" i="2"/>
  <c r="BM205" i="2"/>
  <c r="Y205" i="2"/>
  <c r="BN205" i="2" s="1"/>
  <c r="P205" i="2"/>
  <c r="BO204" i="2"/>
  <c r="BM204" i="2"/>
  <c r="Y204" i="2"/>
  <c r="BN204" i="2" s="1"/>
  <c r="P204" i="2"/>
  <c r="X200" i="2"/>
  <c r="X199" i="2"/>
  <c r="BO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P190" i="2"/>
  <c r="BO189" i="2"/>
  <c r="BM189" i="2"/>
  <c r="Y189" i="2"/>
  <c r="BP189" i="2" s="1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BO174" i="2"/>
  <c r="BM174" i="2"/>
  <c r="Y174" i="2"/>
  <c r="P174" i="2"/>
  <c r="X172" i="2"/>
  <c r="X171" i="2"/>
  <c r="BO170" i="2"/>
  <c r="BM170" i="2"/>
  <c r="Y170" i="2"/>
  <c r="BP170" i="2" s="1"/>
  <c r="P170" i="2"/>
  <c r="BO169" i="2"/>
  <c r="BM169" i="2"/>
  <c r="Y169" i="2"/>
  <c r="Y171" i="2" s="1"/>
  <c r="P169" i="2"/>
  <c r="X167" i="2"/>
  <c r="X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BN149" i="2" s="1"/>
  <c r="P149" i="2"/>
  <c r="BO148" i="2"/>
  <c r="BM148" i="2"/>
  <c r="Y148" i="2"/>
  <c r="P148" i="2"/>
  <c r="X145" i="2"/>
  <c r="X144" i="2"/>
  <c r="BO143" i="2"/>
  <c r="BM143" i="2"/>
  <c r="Y143" i="2"/>
  <c r="P143" i="2"/>
  <c r="BO142" i="2"/>
  <c r="BM142" i="2"/>
  <c r="Y142" i="2"/>
  <c r="Z142" i="2" s="1"/>
  <c r="P142" i="2"/>
  <c r="BO141" i="2"/>
  <c r="BM141" i="2"/>
  <c r="Z141" i="2"/>
  <c r="Y141" i="2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P134" i="2"/>
  <c r="X132" i="2"/>
  <c r="X131" i="2"/>
  <c r="BO130" i="2"/>
  <c r="BM130" i="2"/>
  <c r="Y130" i="2"/>
  <c r="BP130" i="2" s="1"/>
  <c r="P130" i="2"/>
  <c r="BO129" i="2"/>
  <c r="BM129" i="2"/>
  <c r="Y129" i="2"/>
  <c r="BN129" i="2" s="1"/>
  <c r="P129" i="2"/>
  <c r="BO128" i="2"/>
  <c r="BM128" i="2"/>
  <c r="Y128" i="2"/>
  <c r="BN128" i="2" s="1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BP98" i="2" s="1"/>
  <c r="P98" i="2"/>
  <c r="X95" i="2"/>
  <c r="X94" i="2"/>
  <c r="BO93" i="2"/>
  <c r="BM93" i="2"/>
  <c r="Y93" i="2"/>
  <c r="BN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N90" i="2" s="1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BP84" i="2" s="1"/>
  <c r="P84" i="2"/>
  <c r="BO83" i="2"/>
  <c r="BM83" i="2"/>
  <c r="Y83" i="2"/>
  <c r="BN83" i="2" s="1"/>
  <c r="P83" i="2"/>
  <c r="X80" i="2"/>
  <c r="X79" i="2"/>
  <c r="BO78" i="2"/>
  <c r="BM78" i="2"/>
  <c r="Y78" i="2"/>
  <c r="BN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Z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N61" i="2" s="1"/>
  <c r="P61" i="2"/>
  <c r="BO60" i="2"/>
  <c r="BM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X53" i="2"/>
  <c r="X52" i="2"/>
  <c r="BO51" i="2"/>
  <c r="BM51" i="2"/>
  <c r="Y51" i="2"/>
  <c r="BN51" i="2" s="1"/>
  <c r="P51" i="2"/>
  <c r="BO50" i="2"/>
  <c r="BM50" i="2"/>
  <c r="Y50" i="2"/>
  <c r="BN50" i="2" s="1"/>
  <c r="P50" i="2"/>
  <c r="BO49" i="2"/>
  <c r="BM49" i="2"/>
  <c r="Y49" i="2"/>
  <c r="BP49" i="2" s="1"/>
  <c r="P49" i="2"/>
  <c r="BO48" i="2"/>
  <c r="BM48" i="2"/>
  <c r="Y48" i="2"/>
  <c r="BN48" i="2" s="1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100" i="2" l="1"/>
  <c r="BN198" i="2"/>
  <c r="BN230" i="2"/>
  <c r="BN280" i="2"/>
  <c r="BN364" i="2"/>
  <c r="BN405" i="2"/>
  <c r="BN501" i="2"/>
  <c r="BN511" i="2"/>
  <c r="BN29" i="2"/>
  <c r="Z37" i="2"/>
  <c r="Z61" i="2"/>
  <c r="BP78" i="2"/>
  <c r="BN84" i="2"/>
  <c r="BP207" i="2"/>
  <c r="Z227" i="2"/>
  <c r="BN227" i="2"/>
  <c r="Z301" i="2"/>
  <c r="BN301" i="2"/>
  <c r="BN317" i="2"/>
  <c r="Z323" i="2"/>
  <c r="BN323" i="2"/>
  <c r="BN324" i="2"/>
  <c r="BP325" i="2"/>
  <c r="BN359" i="2"/>
  <c r="BP371" i="2"/>
  <c r="BN398" i="2"/>
  <c r="BN442" i="2"/>
  <c r="BN502" i="2"/>
  <c r="BN209" i="2"/>
  <c r="Z178" i="2"/>
  <c r="Z182" i="2"/>
  <c r="Z246" i="2"/>
  <c r="BN316" i="2"/>
  <c r="Y421" i="2"/>
  <c r="Y514" i="2"/>
  <c r="BN519" i="2"/>
  <c r="BP118" i="2"/>
  <c r="BN517" i="2"/>
  <c r="BP516" i="2"/>
  <c r="BN512" i="2"/>
  <c r="BP506" i="2"/>
  <c r="Z506" i="2"/>
  <c r="BN504" i="2"/>
  <c r="BN490" i="2"/>
  <c r="Z476" i="2"/>
  <c r="BP473" i="2"/>
  <c r="Z473" i="2"/>
  <c r="Y461" i="2"/>
  <c r="BP449" i="2"/>
  <c r="BN448" i="2"/>
  <c r="BN444" i="2"/>
  <c r="BN436" i="2"/>
  <c r="Z429" i="2"/>
  <c r="BN419" i="2"/>
  <c r="Z405" i="2"/>
  <c r="BP400" i="2"/>
  <c r="Z400" i="2"/>
  <c r="Y402" i="2"/>
  <c r="Z386" i="2"/>
  <c r="BP380" i="2"/>
  <c r="Z380" i="2"/>
  <c r="Z373" i="2"/>
  <c r="BN370" i="2"/>
  <c r="BP369" i="2"/>
  <c r="Z369" i="2"/>
  <c r="BN363" i="2"/>
  <c r="BN360" i="2"/>
  <c r="Z359" i="2"/>
  <c r="BP354" i="2"/>
  <c r="Z352" i="2"/>
  <c r="Y356" i="2"/>
  <c r="BN346" i="2"/>
  <c r="Z339" i="2"/>
  <c r="BN338" i="2"/>
  <c r="BP322" i="2"/>
  <c r="Y319" i="2"/>
  <c r="Z300" i="2"/>
  <c r="Z297" i="2"/>
  <c r="BN284" i="2"/>
  <c r="Z279" i="2"/>
  <c r="BP279" i="2"/>
  <c r="Z270" i="2"/>
  <c r="BN268" i="2"/>
  <c r="Z267" i="2"/>
  <c r="Z266" i="2"/>
  <c r="Y257" i="2"/>
  <c r="Z256" i="2"/>
  <c r="BP255" i="2"/>
  <c r="BP246" i="2"/>
  <c r="Z237" i="2"/>
  <c r="BP232" i="2"/>
  <c r="Z230" i="2"/>
  <c r="BP226" i="2"/>
  <c r="Z223" i="2"/>
  <c r="Z220" i="2"/>
  <c r="BN215" i="2"/>
  <c r="Z209" i="2"/>
  <c r="BP205" i="2"/>
  <c r="Z205" i="2"/>
  <c r="BP204" i="2"/>
  <c r="Z189" i="2"/>
  <c r="BN180" i="2"/>
  <c r="Z179" i="2"/>
  <c r="BN177" i="2"/>
  <c r="Y186" i="2"/>
  <c r="Z165" i="2"/>
  <c r="Z152" i="2"/>
  <c r="BN137" i="2"/>
  <c r="Z135" i="2"/>
  <c r="BP129" i="2"/>
  <c r="Z128" i="2"/>
  <c r="BP128" i="2"/>
  <c r="BN123" i="2"/>
  <c r="Z112" i="2"/>
  <c r="BN110" i="2"/>
  <c r="BP108" i="2"/>
  <c r="BN103" i="2"/>
  <c r="Z101" i="2"/>
  <c r="BN92" i="2"/>
  <c r="Z90" i="2"/>
  <c r="Z83" i="2"/>
  <c r="BP83" i="2"/>
  <c r="Y80" i="2"/>
  <c r="BP61" i="2"/>
  <c r="Z57" i="2"/>
  <c r="BN49" i="2"/>
  <c r="Z41" i="2"/>
  <c r="BN41" i="2"/>
  <c r="BP39" i="2"/>
  <c r="Z38" i="2"/>
  <c r="BP38" i="2"/>
  <c r="BP37" i="2"/>
  <c r="BN30" i="2"/>
  <c r="BN22" i="2"/>
  <c r="BP240" i="2"/>
  <c r="BN240" i="2"/>
  <c r="Z245" i="2"/>
  <c r="BN245" i="2"/>
  <c r="Z278" i="2"/>
  <c r="BN278" i="2"/>
  <c r="BN443" i="2"/>
  <c r="BP443" i="2"/>
  <c r="Z465" i="2"/>
  <c r="BN465" i="2"/>
  <c r="BN481" i="2"/>
  <c r="BP481" i="2"/>
  <c r="BN134" i="2"/>
  <c r="Z134" i="2"/>
  <c r="BP154" i="2"/>
  <c r="BN154" i="2"/>
  <c r="BN175" i="2"/>
  <c r="Z175" i="2"/>
  <c r="Z190" i="2"/>
  <c r="BN190" i="2"/>
  <c r="X555" i="2"/>
  <c r="Z50" i="2"/>
  <c r="BP50" i="2"/>
  <c r="Z60" i="2"/>
  <c r="BP60" i="2"/>
  <c r="Y70" i="2"/>
  <c r="Z68" i="2"/>
  <c r="Z93" i="2"/>
  <c r="BP93" i="2"/>
  <c r="G563" i="2"/>
  <c r="Z104" i="2"/>
  <c r="BP104" i="2"/>
  <c r="Y156" i="2"/>
  <c r="BP149" i="2"/>
  <c r="Z169" i="2"/>
  <c r="Z170" i="2"/>
  <c r="BN170" i="2"/>
  <c r="Z210" i="2"/>
  <c r="BN210" i="2"/>
  <c r="Z224" i="2"/>
  <c r="Z225" i="2"/>
  <c r="BN225" i="2"/>
  <c r="BP236" i="2"/>
  <c r="Z236" i="2"/>
  <c r="Z240" i="2"/>
  <c r="BN250" i="2"/>
  <c r="Y251" i="2"/>
  <c r="BP250" i="2"/>
  <c r="BP283" i="2"/>
  <c r="Z283" i="2"/>
  <c r="Y304" i="2"/>
  <c r="Z298" i="2"/>
  <c r="BN307" i="2"/>
  <c r="Y308" i="2"/>
  <c r="BP307" i="2"/>
  <c r="Y313" i="2"/>
  <c r="BP311" i="2"/>
  <c r="Z311" i="2"/>
  <c r="Z312" i="2" s="1"/>
  <c r="BN361" i="2"/>
  <c r="BP361" i="2"/>
  <c r="BN379" i="2"/>
  <c r="BP379" i="2"/>
  <c r="Z379" i="2"/>
  <c r="BP392" i="2"/>
  <c r="BN392" i="2"/>
  <c r="BN412" i="2"/>
  <c r="BP412" i="2"/>
  <c r="Z412" i="2"/>
  <c r="BP438" i="2"/>
  <c r="BN438" i="2"/>
  <c r="BN499" i="2"/>
  <c r="BP499" i="2"/>
  <c r="Y529" i="2"/>
  <c r="BP528" i="2"/>
  <c r="Z22" i="2"/>
  <c r="X557" i="2"/>
  <c r="Z29" i="2"/>
  <c r="BN42" i="2"/>
  <c r="Z49" i="2"/>
  <c r="BP51" i="2"/>
  <c r="E563" i="2"/>
  <c r="Z58" i="2"/>
  <c r="Y63" i="2"/>
  <c r="BP59" i="2"/>
  <c r="Y62" i="2"/>
  <c r="BP67" i="2"/>
  <c r="F563" i="2"/>
  <c r="Z84" i="2"/>
  <c r="Z91" i="2"/>
  <c r="BP92" i="2"/>
  <c r="Z102" i="2"/>
  <c r="BP103" i="2"/>
  <c r="Y114" i="2"/>
  <c r="BP123" i="2"/>
  <c r="Y124" i="2"/>
  <c r="Z123" i="2"/>
  <c r="Z124" i="2" s="1"/>
  <c r="Z136" i="2"/>
  <c r="BN136" i="2"/>
  <c r="Z149" i="2"/>
  <c r="BP178" i="2"/>
  <c r="BP181" i="2"/>
  <c r="Z181" i="2"/>
  <c r="BP228" i="2"/>
  <c r="Z231" i="2"/>
  <c r="BN231" i="2"/>
  <c r="BP237" i="2"/>
  <c r="Z250" i="2"/>
  <c r="Z251" i="2" s="1"/>
  <c r="Y263" i="2"/>
  <c r="BP260" i="2"/>
  <c r="Z260" i="2"/>
  <c r="BP266" i="2"/>
  <c r="BP269" i="2"/>
  <c r="Z269" i="2"/>
  <c r="BP300" i="2"/>
  <c r="Z307" i="2"/>
  <c r="Z308" i="2" s="1"/>
  <c r="Y312" i="2"/>
  <c r="Y334" i="2"/>
  <c r="Z331" i="2"/>
  <c r="BP431" i="2"/>
  <c r="BN431" i="2"/>
  <c r="BN472" i="2"/>
  <c r="BP472" i="2"/>
  <c r="Z472" i="2"/>
  <c r="BP492" i="2"/>
  <c r="BN492" i="2"/>
  <c r="Z492" i="2"/>
  <c r="X554" i="2"/>
  <c r="X553" i="2"/>
  <c r="BP31" i="2"/>
  <c r="C563" i="2"/>
  <c r="D563" i="2"/>
  <c r="BP48" i="2"/>
  <c r="BP57" i="2"/>
  <c r="BN66" i="2"/>
  <c r="BN77" i="2"/>
  <c r="BP85" i="2"/>
  <c r="BP90" i="2"/>
  <c r="BP101" i="2"/>
  <c r="BN111" i="2"/>
  <c r="Z111" i="2"/>
  <c r="BP134" i="2"/>
  <c r="BP143" i="2"/>
  <c r="BN143" i="2"/>
  <c r="BP175" i="2"/>
  <c r="BP182" i="2"/>
  <c r="BP190" i="2"/>
  <c r="BP222" i="2"/>
  <c r="BN222" i="2"/>
  <c r="BN236" i="2"/>
  <c r="Y248" i="2"/>
  <c r="BP245" i="2"/>
  <c r="BN261" i="2"/>
  <c r="BP261" i="2"/>
  <c r="BP270" i="2"/>
  <c r="Y289" i="2"/>
  <c r="BP278" i="2"/>
  <c r="BN283" i="2"/>
  <c r="BN285" i="2"/>
  <c r="BP285" i="2"/>
  <c r="BP286" i="2"/>
  <c r="Z286" i="2"/>
  <c r="BN311" i="2"/>
  <c r="Z374" i="2"/>
  <c r="BN374" i="2"/>
  <c r="BP387" i="2"/>
  <c r="Z387" i="2"/>
  <c r="Z406" i="2"/>
  <c r="BN406" i="2"/>
  <c r="BN503" i="2"/>
  <c r="BP503" i="2"/>
  <c r="BP521" i="2"/>
  <c r="BN521" i="2"/>
  <c r="Z521" i="2"/>
  <c r="BN373" i="2"/>
  <c r="BP381" i="2"/>
  <c r="Y389" i="2"/>
  <c r="Y388" i="2"/>
  <c r="BP393" i="2"/>
  <c r="BP417" i="2"/>
  <c r="BP432" i="2"/>
  <c r="X563" i="2"/>
  <c r="BN459" i="2"/>
  <c r="Y460" i="2"/>
  <c r="BN464" i="2"/>
  <c r="BP474" i="2"/>
  <c r="AA563" i="2"/>
  <c r="BP518" i="2"/>
  <c r="J563" i="2"/>
  <c r="BN165" i="2"/>
  <c r="Y167" i="2"/>
  <c r="BP183" i="2"/>
  <c r="Y191" i="2"/>
  <c r="BP188" i="2"/>
  <c r="BP223" i="2"/>
  <c r="BN256" i="2"/>
  <c r="BP271" i="2"/>
  <c r="BP276" i="2"/>
  <c r="Y305" i="2"/>
  <c r="BP299" i="2"/>
  <c r="Z316" i="2"/>
  <c r="BP333" i="2"/>
  <c r="BP342" i="2"/>
  <c r="BN352" i="2"/>
  <c r="T563" i="2"/>
  <c r="Z360" i="2"/>
  <c r="Z363" i="2"/>
  <c r="BP378" i="2"/>
  <c r="BP386" i="2"/>
  <c r="Z393" i="2"/>
  <c r="Z398" i="2"/>
  <c r="Y401" i="2"/>
  <c r="Y408" i="2"/>
  <c r="BP411" i="2"/>
  <c r="Z417" i="2"/>
  <c r="W563" i="2"/>
  <c r="BP429" i="2"/>
  <c r="Z432" i="2"/>
  <c r="Z436" i="2"/>
  <c r="Z444" i="2"/>
  <c r="Y450" i="2"/>
  <c r="BP455" i="2"/>
  <c r="Y467" i="2"/>
  <c r="BN476" i="2"/>
  <c r="BP491" i="2"/>
  <c r="Y493" i="2"/>
  <c r="Z498" i="2"/>
  <c r="BP498" i="2"/>
  <c r="Z501" i="2"/>
  <c r="Z504" i="2"/>
  <c r="Y507" i="2"/>
  <c r="Z511" i="2"/>
  <c r="H563" i="2"/>
  <c r="Z137" i="2"/>
  <c r="Y145" i="2"/>
  <c r="BP141" i="2"/>
  <c r="BP152" i="2"/>
  <c r="BP180" i="2"/>
  <c r="Z188" i="2"/>
  <c r="Z191" i="2" s="1"/>
  <c r="BP215" i="2"/>
  <c r="Y233" i="2"/>
  <c r="BP220" i="2"/>
  <c r="Y234" i="2"/>
  <c r="Y241" i="2"/>
  <c r="Y258" i="2"/>
  <c r="Y274" i="2"/>
  <c r="BP268" i="2"/>
  <c r="Z276" i="2"/>
  <c r="Z280" i="2"/>
  <c r="BP297" i="2"/>
  <c r="Z324" i="2"/>
  <c r="Z332" i="2"/>
  <c r="BP339" i="2"/>
  <c r="BN341" i="2"/>
  <c r="Z342" i="2"/>
  <c r="Z346" i="2"/>
  <c r="BN353" i="2"/>
  <c r="Z370" i="2"/>
  <c r="BN428" i="2"/>
  <c r="Y445" i="2"/>
  <c r="Z448" i="2"/>
  <c r="BN454" i="2"/>
  <c r="Z455" i="2"/>
  <c r="Z459" i="2"/>
  <c r="Z460" i="2" s="1"/>
  <c r="Z464" i="2"/>
  <c r="Y477" i="2"/>
  <c r="Y482" i="2"/>
  <c r="Z563" i="2"/>
  <c r="BP517" i="2"/>
  <c r="BN518" i="2"/>
  <c r="Z348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01" i="2" s="1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BP317" i="2"/>
  <c r="Z326" i="2"/>
  <c r="BN340" i="2"/>
  <c r="Y343" i="2"/>
  <c r="BP353" i="2"/>
  <c r="Z362" i="2"/>
  <c r="BP364" i="2"/>
  <c r="Z372" i="2"/>
  <c r="BP374" i="2"/>
  <c r="BN394" i="2"/>
  <c r="Z404" i="2"/>
  <c r="Z407" i="2" s="1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Z513" i="2" s="1"/>
  <c r="BP512" i="2"/>
  <c r="Z520" i="2"/>
  <c r="BP522" i="2"/>
  <c r="BP536" i="2"/>
  <c r="Y547" i="2"/>
  <c r="O563" i="2"/>
  <c r="Z119" i="2"/>
  <c r="Z23" i="2"/>
  <c r="Z24" i="2" s="1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BN404" i="2"/>
  <c r="Y407" i="2"/>
  <c r="Z428" i="2"/>
  <c r="Z438" i="2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Z79" i="2" s="1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Z257" i="2" s="1"/>
  <c r="BN267" i="2"/>
  <c r="BN277" i="2"/>
  <c r="Z285" i="2"/>
  <c r="BN298" i="2"/>
  <c r="Y309" i="2"/>
  <c r="BN332" i="2"/>
  <c r="Y344" i="2"/>
  <c r="Z354" i="2"/>
  <c r="BN387" i="2"/>
  <c r="Y413" i="2"/>
  <c r="BP425" i="2"/>
  <c r="Y434" i="2"/>
  <c r="Z443" i="2"/>
  <c r="Z445" i="2" s="1"/>
  <c r="Y457" i="2"/>
  <c r="BN480" i="2"/>
  <c r="Z491" i="2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44" i="2" s="1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Z456" i="2" s="1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22" i="2"/>
  <c r="Z333" i="2"/>
  <c r="Z368" i="2"/>
  <c r="Z378" i="2"/>
  <c r="Z382" i="2" s="1"/>
  <c r="Z411" i="2"/>
  <c r="Y439" i="2"/>
  <c r="Z471" i="2"/>
  <c r="Z481" i="2"/>
  <c r="Z482" i="2" s="1"/>
  <c r="Y487" i="2"/>
  <c r="Z516" i="2"/>
  <c r="Z528" i="2"/>
  <c r="Z529" i="2" s="1"/>
  <c r="Y533" i="2"/>
  <c r="Z540" i="2"/>
  <c r="Z541" i="2" s="1"/>
  <c r="Y32" i="2"/>
  <c r="BP56" i="2"/>
  <c r="Y79" i="2"/>
  <c r="Y88" i="2"/>
  <c r="Z98" i="2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61" i="2"/>
  <c r="Z271" i="2"/>
  <c r="Z281" i="2"/>
  <c r="Z291" i="2"/>
  <c r="Z302" i="2"/>
  <c r="Z325" i="2"/>
  <c r="Z361" i="2"/>
  <c r="Z371" i="2"/>
  <c r="Z381" i="2"/>
  <c r="BN417" i="2"/>
  <c r="Y420" i="2"/>
  <c r="Y440" i="2"/>
  <c r="Z449" i="2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262" i="2" l="1"/>
  <c r="Z493" i="2"/>
  <c r="Z439" i="2"/>
  <c r="Z247" i="2"/>
  <c r="Z355" i="2"/>
  <c r="Z43" i="2"/>
  <c r="Z334" i="2"/>
  <c r="Z388" i="2"/>
  <c r="Z94" i="2"/>
  <c r="Z523" i="2"/>
  <c r="Z433" i="2"/>
  <c r="Z420" i="2"/>
  <c r="Z395" i="2"/>
  <c r="Z365" i="2"/>
  <c r="Z171" i="2"/>
  <c r="Z138" i="2"/>
  <c r="Z105" i="2"/>
  <c r="X556" i="2"/>
  <c r="Z62" i="2"/>
  <c r="Z52" i="2"/>
  <c r="Z120" i="2"/>
  <c r="Y554" i="2"/>
  <c r="Z466" i="2"/>
  <c r="Z87" i="2"/>
  <c r="Z450" i="2"/>
  <c r="Z413" i="2"/>
  <c r="Y555" i="2"/>
  <c r="Z507" i="2"/>
  <c r="Z241" i="2"/>
  <c r="Z304" i="2"/>
  <c r="Z273" i="2"/>
  <c r="Z318" i="2"/>
  <c r="Z288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Z558" i="2" l="1"/>
  <c r="Y556" i="2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<sst xmlns="http://schemas.openxmlformats.org/spreadsheetml/2006/main" count="4209" uniqueCount="889">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</sst>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888</v>
      </c>
      <c r="I5" s="645"/>
      <c r="J5" s="645"/>
      <c r="K5" s="645"/>
      <c r="L5" s="645"/>
      <c r="M5" s="645"/>
      <c r="N5" s="72"/>
      <c r="P5" s="27" t="s">
        <v>4</v>
      </c>
      <c r="Q5" s="647">
        <v>46258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870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Понедельник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0.375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48</v>
      </c>
      <c r="Y41" s="55">
        <f t="shared" si="0"/>
        <v>48</v>
      </c>
      <c r="Z41" s="41">
        <f t="shared" si="1"/>
        <v>0.16275000000000001</v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52.500000000000007</v>
      </c>
      <c r="BN41" s="78">
        <f t="shared" si="3"/>
        <v>52.500000000000007</v>
      </c>
      <c r="BO41" s="78">
        <f t="shared" si="4"/>
        <v>0.13736263736263737</v>
      </c>
      <c r="BP41" s="78">
        <f t="shared" si="5"/>
        <v>0.13736263736263737</v>
      </c>
    </row>
    <row r="42" spans="1:68" ht="27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48</v>
      </c>
      <c r="Y42" s="55">
        <f t="shared" si="0"/>
        <v>48</v>
      </c>
      <c r="Z42" s="41">
        <f t="shared" si="1"/>
        <v>0.16275000000000001</v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52.500000000000007</v>
      </c>
      <c r="BN42" s="78">
        <f t="shared" si="3"/>
        <v>52.500000000000007</v>
      </c>
      <c r="BO42" s="78">
        <f t="shared" si="4"/>
        <v>0.13736263736263737</v>
      </c>
      <c r="BP42" s="78">
        <f t="shared" si="5"/>
        <v>0.13736263736263737</v>
      </c>
    </row>
    <row r="43" spans="1:68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50</v>
      </c>
      <c r="Y43" s="43">
        <f>IFERROR(Y37/H37,"0")+IFERROR(Y38/H38,"0")+IFERROR(Y39/H39,"0")+IFERROR(Y40/H40,"0")+IFERROR(Y41/H41,"0")+IFERROR(Y42/H42,"0")</f>
        <v>50</v>
      </c>
      <c r="Z43" s="43">
        <f>IFERROR(IF(Z37="",0,Z37),"0")+IFERROR(IF(Z38="",0,Z38),"0")+IFERROR(IF(Z39="",0,Z39),"0")+IFERROR(IF(Z40="",0,Z40),"0")+IFERROR(IF(Z41="",0,Z41),"0")+IFERROR(IF(Z42="",0,Z42),"0")</f>
        <v>0.32550000000000001</v>
      </c>
      <c r="AA43" s="67"/>
      <c r="AB43" s="67"/>
      <c r="AC43" s="67"/>
    </row>
    <row r="44" spans="1:68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96</v>
      </c>
      <c r="Y44" s="43">
        <f>IFERROR(SUM(Y37:Y42),"0")</f>
        <v>96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200</v>
      </c>
      <c r="Y48" s="55">
        <f>IFERROR(IF(X48="",0,CEILING((X48/$H48),1)*$H48),"")</f>
        <v>205.20000000000002</v>
      </c>
      <c r="Z48" s="41">
        <f>IFERROR(IF(Y48=0,"",ROUNDUP(Y48/H48,0)*0.01898),"")</f>
        <v>0.36062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207.59259259259258</v>
      </c>
      <c r="BN48" s="78">
        <f>IFERROR(Y48*I48/H48,"0")</f>
        <v>212.99</v>
      </c>
      <c r="BO48" s="78">
        <f>IFERROR(1/J48*(X48/H48),"0")</f>
        <v>0.28935185185185186</v>
      </c>
      <c r="BP48" s="78">
        <f>IFERROR(1/J48*(Y48/H48),"0")</f>
        <v>0.296875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480</v>
      </c>
      <c r="Y50" s="55">
        <f>IFERROR(IF(X50="",0,CEILING((X50/$H50),1)*$H50),"")</f>
        <v>480</v>
      </c>
      <c r="Z50" s="41">
        <f>IFERROR(IF(Y50=0,"",ROUNDUP(Y50/H50,0)*0.00902),"")</f>
        <v>1.0824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502.80000000000007</v>
      </c>
      <c r="BN50" s="78">
        <f>IFERROR(Y50*I50/H50,"0")</f>
        <v>502.80000000000007</v>
      </c>
      <c r="BO50" s="78">
        <f>IFERROR(1/J50*(X50/H50),"0")</f>
        <v>0.90909090909090917</v>
      </c>
      <c r="BP50" s="78">
        <f>IFERROR(1/J50*(Y50/H50),"0")</f>
        <v>0.90909090909090917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138.51851851851853</v>
      </c>
      <c r="Y52" s="43">
        <f>IFERROR(Y48/H48,"0")+IFERROR(Y49/H49,"0")+IFERROR(Y50/H50,"0")+IFERROR(Y51/H51,"0")</f>
        <v>139</v>
      </c>
      <c r="Z52" s="43">
        <f>IFERROR(IF(Z48="",0,Z48),"0")+IFERROR(IF(Z49="",0,Z49),"0")+IFERROR(IF(Z50="",0,Z50),"0")+IFERROR(IF(Z51="",0,Z51),"0")</f>
        <v>1.44302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680</v>
      </c>
      <c r="Y53" s="43">
        <f>IFERROR(SUM(Y48:Y51),"0")</f>
        <v>685.2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120</v>
      </c>
      <c r="Y57" s="55">
        <f t="shared" si="6"/>
        <v>129.60000000000002</v>
      </c>
      <c r="Z57" s="41">
        <f>IFERROR(IF(Y57=0,"",ROUNDUP(Y57/H57,0)*0.01898),"")</f>
        <v>0.22776000000000002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124.55555555555556</v>
      </c>
      <c r="BN57" s="78">
        <f t="shared" si="8"/>
        <v>134.52000000000001</v>
      </c>
      <c r="BO57" s="78">
        <f t="shared" si="9"/>
        <v>0.1736111111111111</v>
      </c>
      <c r="BP57" s="78">
        <f t="shared" si="10"/>
        <v>0.18750000000000003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720</v>
      </c>
      <c r="Y61" s="55">
        <f t="shared" si="6"/>
        <v>720</v>
      </c>
      <c r="Z61" s="41">
        <f>IFERROR(IF(Y61=0,"",ROUNDUP(Y61/H61,0)*0.00902),"")</f>
        <v>1.4432</v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750.40000000000009</v>
      </c>
      <c r="BN61" s="78">
        <f t="shared" si="8"/>
        <v>750.40000000000009</v>
      </c>
      <c r="BO61" s="78">
        <f t="shared" si="9"/>
        <v>1.2121212121212122</v>
      </c>
      <c r="BP61" s="78">
        <f t="shared" si="10"/>
        <v>1.2121212121212122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171.11111111111111</v>
      </c>
      <c r="Y62" s="43">
        <f>IFERROR(Y56/H56,"0")+IFERROR(Y57/H57,"0")+IFERROR(Y58/H58,"0")+IFERROR(Y59/H59,"0")+IFERROR(Y60/H60,"0")+IFERROR(Y61/H61,"0")</f>
        <v>172</v>
      </c>
      <c r="Z62" s="43">
        <f>IFERROR(IF(Z56="",0,Z56),"0")+IFERROR(IF(Z57="",0,Z57),"0")+IFERROR(IF(Z58="",0,Z58),"0")+IFERROR(IF(Z59="",0,Z59),"0")+IFERROR(IF(Z60="",0,Z60),"0")+IFERROR(IF(Z61="",0,Z61),"0")</f>
        <v>1.67096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840</v>
      </c>
      <c r="Y63" s="43">
        <f>IFERROR(SUM(Y56:Y61),"0")</f>
        <v>849.6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50</v>
      </c>
      <c r="Y65" s="55">
        <f>IFERROR(IF(X65="",0,CEILING((X65/$H65),1)*$H65),"")</f>
        <v>54</v>
      </c>
      <c r="Z65" s="41">
        <f>IFERROR(IF(Y65=0,"",ROUNDUP(Y65/H65,0)*0.01898),"")</f>
        <v>9.4899999999999998E-2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51.898148148148145</v>
      </c>
      <c r="BN65" s="78">
        <f>IFERROR(Y65*I65/H65,"0")</f>
        <v>56.05</v>
      </c>
      <c r="BO65" s="78">
        <f>IFERROR(1/J65*(X65/H65),"0")</f>
        <v>7.2337962962962965E-2</v>
      </c>
      <c r="BP65" s="78">
        <f>IFERROR(1/J65*(Y65/H65),"0")</f>
        <v>7.8125E-2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135</v>
      </c>
      <c r="Y68" s="55">
        <f>IFERROR(IF(X68="",0,CEILING((X68/$H68),1)*$H68),"")</f>
        <v>135</v>
      </c>
      <c r="Z68" s="41">
        <f>IFERROR(IF(Y68=0,"",ROUNDUP(Y68/H68,0)*0.00651),"")</f>
        <v>0.32550000000000001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144</v>
      </c>
      <c r="BN68" s="78">
        <f>IFERROR(Y68*I68/H68,"0")</f>
        <v>144</v>
      </c>
      <c r="BO68" s="78">
        <f>IFERROR(1/J68*(X68/H68),"0")</f>
        <v>0.27472527472527475</v>
      </c>
      <c r="BP68" s="78">
        <f>IFERROR(1/J68*(Y68/H68),"0")</f>
        <v>0.27472527472527475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54.629629629629633</v>
      </c>
      <c r="Y69" s="43">
        <f>IFERROR(Y65/H65,"0")+IFERROR(Y66/H66,"0")+IFERROR(Y67/H67,"0")+IFERROR(Y68/H68,"0")</f>
        <v>55</v>
      </c>
      <c r="Z69" s="43">
        <f>IFERROR(IF(Z65="",0,Z65),"0")+IFERROR(IF(Z66="",0,Z66),"0")+IFERROR(IF(Z67="",0,Z67),"0")+IFERROR(IF(Z68="",0,Z68),"0")</f>
        <v>0.4204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185</v>
      </c>
      <c r="Y70" s="43">
        <f>IFERROR(SUM(Y65:Y68),"0")</f>
        <v>189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30</v>
      </c>
      <c r="Y77" s="55">
        <f>IFERROR(IF(X77="",0,CEILING((X77/$H77),1)*$H77),"")</f>
        <v>31.2</v>
      </c>
      <c r="Z77" s="41">
        <f>IFERROR(IF(Y77=0,"",ROUNDUP(Y77/H77,0)*0.01898),"")</f>
        <v>7.5920000000000001E-2</v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31.57692307692308</v>
      </c>
      <c r="BN77" s="78">
        <f>IFERROR(Y77*I77/H77,"0")</f>
        <v>32.840000000000003</v>
      </c>
      <c r="BO77" s="78">
        <f>IFERROR(1/J77*(X77/H77),"0")</f>
        <v>6.0096153846153848E-2</v>
      </c>
      <c r="BP77" s="78">
        <f>IFERROR(1/J77*(Y77/H77),"0")</f>
        <v>6.25E-2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3.8461538461538463</v>
      </c>
      <c r="Y79" s="43">
        <f>IFERROR(Y77/H77,"0")+IFERROR(Y78/H78,"0")</f>
        <v>4</v>
      </c>
      <c r="Z79" s="43">
        <f>IFERROR(IF(Z77="",0,Z77),"0")+IFERROR(IF(Z78="",0,Z78),"0")</f>
        <v>7.5920000000000001E-2</v>
      </c>
      <c r="AA79" s="67"/>
      <c r="AB79" s="67"/>
      <c r="AC79" s="67"/>
    </row>
    <row r="80" spans="1:68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30</v>
      </c>
      <c r="Y80" s="43">
        <f>IFERROR(SUM(Y77:Y78),"0")</f>
        <v>31.2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100</v>
      </c>
      <c r="Y83" s="55">
        <f>IFERROR(IF(X83="",0,CEILING((X83/$H83),1)*$H83),"")</f>
        <v>108</v>
      </c>
      <c r="Z83" s="41">
        <f>IFERROR(IF(Y83=0,"",ROUNDUP(Y83/H83,0)*0.01898),"")</f>
        <v>0.1898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103.79629629629629</v>
      </c>
      <c r="BN83" s="78">
        <f>IFERROR(Y83*I83/H83,"0")</f>
        <v>112.1</v>
      </c>
      <c r="BO83" s="78">
        <f>IFERROR(1/J83*(X83/H83),"0")</f>
        <v>0.14467592592592593</v>
      </c>
      <c r="BP83" s="78">
        <f>IFERROR(1/J83*(Y83/H83),"0")</f>
        <v>0.15625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810</v>
      </c>
      <c r="Y86" s="55">
        <f>IFERROR(IF(X86="",0,CEILING((X86/$H86),1)*$H86),"")</f>
        <v>810</v>
      </c>
      <c r="Z86" s="41">
        <f>IFERROR(IF(Y86=0,"",ROUNDUP(Y86/H86,0)*0.00902),"")</f>
        <v>1.6236000000000002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844.2</v>
      </c>
      <c r="BN86" s="78">
        <f>IFERROR(Y86*I86/H86,"0")</f>
        <v>844.2</v>
      </c>
      <c r="BO86" s="78">
        <f>IFERROR(1/J86*(X86/H86),"0")</f>
        <v>1.3636363636363638</v>
      </c>
      <c r="BP86" s="78">
        <f>IFERROR(1/J86*(Y86/H86),"0")</f>
        <v>1.3636363636363638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189.25925925925927</v>
      </c>
      <c r="Y87" s="43">
        <f>IFERROR(Y83/H83,"0")+IFERROR(Y84/H84,"0")+IFERROR(Y85/H85,"0")+IFERROR(Y86/H86,"0")</f>
        <v>190</v>
      </c>
      <c r="Z87" s="43">
        <f>IFERROR(IF(Z83="",0,Z83),"0")+IFERROR(IF(Z84="",0,Z84),"0")+IFERROR(IF(Z85="",0,Z85),"0")+IFERROR(IF(Z86="",0,Z86),"0")</f>
        <v>1.8134000000000001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910</v>
      </c>
      <c r="Y88" s="43">
        <f>IFERROR(SUM(Y83:Y86),"0")</f>
        <v>918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400</v>
      </c>
      <c r="Y90" s="55">
        <f>IFERROR(IF(X90="",0,CEILING((X90/$H90),1)*$H90),"")</f>
        <v>405</v>
      </c>
      <c r="Z90" s="41">
        <f>IFERROR(IF(Y90=0,"",ROUNDUP(Y90/H90,0)*0.01898),"")</f>
        <v>0.94900000000000007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424.39506172839509</v>
      </c>
      <c r="BN90" s="78">
        <f>IFERROR(Y90*I90/H90,"0")</f>
        <v>429.7</v>
      </c>
      <c r="BO90" s="78">
        <f>IFERROR(1/J90*(X90/H90),"0")</f>
        <v>0.77160493827160492</v>
      </c>
      <c r="BP90" s="78">
        <f>IFERROR(1/J90*(Y90/H90),"0")</f>
        <v>0.78125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720</v>
      </c>
      <c r="Y92" s="55">
        <f>IFERROR(IF(X92="",0,CEILING((X92/$H92),1)*$H92),"")</f>
        <v>720.90000000000009</v>
      </c>
      <c r="Z92" s="41">
        <f>IFERROR(IF(Y92=0,"",ROUNDUP(Y92/H92,0)*0.00651),"")</f>
        <v>1.73817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787.19999999999993</v>
      </c>
      <c r="BN92" s="78">
        <f>IFERROR(Y92*I92/H92,"0")</f>
        <v>788.18400000000008</v>
      </c>
      <c r="BO92" s="78">
        <f>IFERROR(1/J92*(X92/H92),"0")</f>
        <v>1.4652014652014651</v>
      </c>
      <c r="BP92" s="78">
        <f>IFERROR(1/J92*(Y92/H92),"0")</f>
        <v>1.4670329670329672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316.04938271604937</v>
      </c>
      <c r="Y94" s="43">
        <f>IFERROR(Y90/H90,"0")+IFERROR(Y91/H91,"0")+IFERROR(Y92/H92,"0")+IFERROR(Y93/H93,"0")</f>
        <v>317</v>
      </c>
      <c r="Z94" s="43">
        <f>IFERROR(IF(Z90="",0,Z90),"0")+IFERROR(IF(Z91="",0,Z91),"0")+IFERROR(IF(Z92="",0,Z92),"0")+IFERROR(IF(Z93="",0,Z93),"0")</f>
        <v>2.6871700000000001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1120</v>
      </c>
      <c r="Y95" s="43">
        <f>IFERROR(SUM(Y90:Y93),"0")</f>
        <v>1125.9000000000001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630</v>
      </c>
      <c r="Y103" s="55">
        <f t="shared" si="11"/>
        <v>630</v>
      </c>
      <c r="Z103" s="41">
        <f>IFERROR(IF(Y103=0,"",ROUNDUP(Y103/H103,0)*0.00902),"")</f>
        <v>1.2627999999999999</v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656.6</v>
      </c>
      <c r="BN103" s="78">
        <f t="shared" si="13"/>
        <v>656.6</v>
      </c>
      <c r="BO103" s="78">
        <f t="shared" si="14"/>
        <v>1.0606060606060606</v>
      </c>
      <c r="BP103" s="78">
        <f t="shared" si="15"/>
        <v>1.0606060606060606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140</v>
      </c>
      <c r="Y105" s="43">
        <f>IFERROR(Y98/H98,"0")+IFERROR(Y99/H99,"0")+IFERROR(Y100/H100,"0")+IFERROR(Y101/H101,"0")+IFERROR(Y102/H102,"0")+IFERROR(Y103/H103,"0")+IFERROR(Y104/H104,"0")</f>
        <v>140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1.2627999999999999</v>
      </c>
      <c r="AA105" s="67"/>
      <c r="AB105" s="67"/>
      <c r="AC105" s="67"/>
    </row>
    <row r="106" spans="1:68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630</v>
      </c>
      <c r="Y106" s="43">
        <f>IFERROR(SUM(Y98:Y104),"0")</f>
        <v>630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1000</v>
      </c>
      <c r="Y116" s="55">
        <f>IFERROR(IF(X116="",0,CEILING((X116/$H116),1)*$H116),"")</f>
        <v>1004.4</v>
      </c>
      <c r="Z116" s="41">
        <f>IFERROR(IF(Y116=0,"",ROUNDUP(Y116/H116,0)*0.01898),"")</f>
        <v>2.3535200000000001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1060.2469135802469</v>
      </c>
      <c r="BN116" s="78">
        <f>IFERROR(Y116*I116/H116,"0")</f>
        <v>1064.9119999999998</v>
      </c>
      <c r="BO116" s="78">
        <f>IFERROR(1/J116*(X116/H116),"0")</f>
        <v>1.9290123456790125</v>
      </c>
      <c r="BP116" s="78">
        <f>IFERROR(1/J116*(Y116/H116),"0")</f>
        <v>1.9375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720</v>
      </c>
      <c r="Y118" s="55">
        <f>IFERROR(IF(X118="",0,CEILING((X118/$H118),1)*$H118),"")</f>
        <v>720.90000000000009</v>
      </c>
      <c r="Z118" s="41">
        <f>IFERROR(IF(Y118=0,"",ROUNDUP(Y118/H118,0)*0.00651),"")</f>
        <v>1.73817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787.19999999999993</v>
      </c>
      <c r="BN118" s="78">
        <f>IFERROR(Y118*I118/H118,"0")</f>
        <v>788.18400000000008</v>
      </c>
      <c r="BO118" s="78">
        <f>IFERROR(1/J118*(X118/H118),"0")</f>
        <v>1.4652014652014651</v>
      </c>
      <c r="BP118" s="78">
        <f>IFERROR(1/J118*(Y118/H118),"0")</f>
        <v>1.4670329670329672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90</v>
      </c>
      <c r="Y119" s="55">
        <f>IFERROR(IF(X119="",0,CEILING((X119/$H119),1)*$H119),"")</f>
        <v>90</v>
      </c>
      <c r="Z119" s="41">
        <f>IFERROR(IF(Y119=0,"",ROUNDUP(Y119/H119,0)*0.00651),"")</f>
        <v>0.32550000000000001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98.999999999999986</v>
      </c>
      <c r="BN119" s="78">
        <f>IFERROR(Y119*I119/H119,"0")</f>
        <v>98.999999999999986</v>
      </c>
      <c r="BO119" s="78">
        <f>IFERROR(1/J119*(X119/H119),"0")</f>
        <v>0.27472527472527475</v>
      </c>
      <c r="BP119" s="78">
        <f>IFERROR(1/J119*(Y119/H119),"0")</f>
        <v>0.27472527472527475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440.12345679012344</v>
      </c>
      <c r="Y120" s="43">
        <f>IFERROR(Y116/H116,"0")+IFERROR(Y117/H117,"0")+IFERROR(Y118/H118,"0")+IFERROR(Y119/H119,"0")</f>
        <v>441</v>
      </c>
      <c r="Z120" s="43">
        <f>IFERROR(IF(Z116="",0,Z116),"0")+IFERROR(IF(Z117="",0,Z117),"0")+IFERROR(IF(Z118="",0,Z118),"0")+IFERROR(IF(Z119="",0,Z119),"0")</f>
        <v>4.4171899999999997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1810</v>
      </c>
      <c r="Y121" s="43">
        <f>IFERROR(SUM(Y116:Y119),"0")</f>
        <v>1815.3000000000002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66</v>
      </c>
      <c r="Y123" s="55">
        <f>IFERROR(IF(X123="",0,CEILING((X123/$H123),1)*$H123),"")</f>
        <v>67.319999999999993</v>
      </c>
      <c r="Z123" s="41">
        <f>IFERROR(IF(Y123=0,"",ROUNDUP(Y123/H123,0)*0.00651),"")</f>
        <v>0.22134000000000001</v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74.599999999999994</v>
      </c>
      <c r="BN123" s="78">
        <f>IFERROR(Y123*I123/H123,"0")</f>
        <v>76.091999999999985</v>
      </c>
      <c r="BO123" s="78">
        <f>IFERROR(1/J123*(X123/H123),"0")</f>
        <v>0.18315018315018317</v>
      </c>
      <c r="BP123" s="78">
        <f>IFERROR(1/J123*(Y123/H123),"0")</f>
        <v>0.18681318681318682</v>
      </c>
    </row>
    <row r="124" spans="1:68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33.333333333333336</v>
      </c>
      <c r="Y124" s="43">
        <f>IFERROR(Y123/H123,"0")</f>
        <v>34</v>
      </c>
      <c r="Z124" s="43">
        <f>IFERROR(IF(Z123="",0,Z123),"0")</f>
        <v>0.22134000000000001</v>
      </c>
      <c r="AA124" s="67"/>
      <c r="AB124" s="67"/>
      <c r="AC124" s="67"/>
    </row>
    <row r="125" spans="1:68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66</v>
      </c>
      <c r="Y125" s="43">
        <f>IFERROR(SUM(Y123:Y123),"0")</f>
        <v>67.319999999999993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60</v>
      </c>
      <c r="Y130" s="55">
        <f>IFERROR(IF(X130="",0,CEILING((X130/$H130),1)*$H130),"")</f>
        <v>60.800000000000004</v>
      </c>
      <c r="Z130" s="41">
        <f>IFERROR(IF(Y130=0,"",ROUNDUP(Y130/H130,0)*0.00651),"")</f>
        <v>0.12369000000000001</v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63.374999999999993</v>
      </c>
      <c r="BN130" s="78">
        <f>IFERROR(Y130*I130/H130,"0")</f>
        <v>64.22</v>
      </c>
      <c r="BO130" s="78">
        <f>IFERROR(1/J130*(X130/H130),"0")</f>
        <v>0.10302197802197803</v>
      </c>
      <c r="BP130" s="78">
        <f>IFERROR(1/J130*(Y130/H130),"0")</f>
        <v>0.1043956043956044</v>
      </c>
    </row>
    <row r="131" spans="1:68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18.75</v>
      </c>
      <c r="Y131" s="43">
        <f>IFERROR(Y128/H128,"0")+IFERROR(Y129/H129,"0")+IFERROR(Y130/H130,"0")</f>
        <v>19</v>
      </c>
      <c r="Z131" s="43">
        <f>IFERROR(IF(Z128="",0,Z128),"0")+IFERROR(IF(Z129="",0,Z129),"0")+IFERROR(IF(Z130="",0,Z130),"0")</f>
        <v>0.12369000000000001</v>
      </c>
      <c r="AA131" s="67"/>
      <c r="AB131" s="67"/>
      <c r="AC131" s="67"/>
    </row>
    <row r="132" spans="1:68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60</v>
      </c>
      <c r="Y132" s="43">
        <f>IFERROR(SUM(Y128:Y130),"0")</f>
        <v>60.800000000000004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52.5</v>
      </c>
      <c r="Y135" s="55">
        <f>IFERROR(IF(X135="",0,CEILING((X135/$H135),1)*$H135),"")</f>
        <v>53.199999999999996</v>
      </c>
      <c r="Z135" s="41">
        <f>IFERROR(IF(Y135=0,"",ROUNDUP(Y135/H135,0)*0.00651),"")</f>
        <v>0.12369000000000001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57.524999999999999</v>
      </c>
      <c r="BN135" s="78">
        <f>IFERROR(Y135*I135/H135,"0")</f>
        <v>58.291999999999994</v>
      </c>
      <c r="BO135" s="78">
        <f>IFERROR(1/J135*(X135/H135),"0")</f>
        <v>0.10302197802197803</v>
      </c>
      <c r="BP135" s="78">
        <f>IFERROR(1/J135*(Y135/H135),"0")</f>
        <v>0.1043956043956044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18.75</v>
      </c>
      <c r="Y138" s="43">
        <f>IFERROR(Y134/H134,"0")+IFERROR(Y135/H135,"0")+IFERROR(Y136/H136,"0")+IFERROR(Y137/H137,"0")</f>
        <v>19</v>
      </c>
      <c r="Z138" s="43">
        <f>IFERROR(IF(Z134="",0,Z134),"0")+IFERROR(IF(Z135="",0,Z135),"0")+IFERROR(IF(Z136="",0,Z136),"0")+IFERROR(IF(Z137="",0,Z137),"0")</f>
        <v>0.12369000000000001</v>
      </c>
      <c r="AA138" s="67"/>
      <c r="AB138" s="67"/>
      <c r="AC138" s="67"/>
    </row>
    <row r="139" spans="1:68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52.5</v>
      </c>
      <c r="Y139" s="43">
        <f>IFERROR(SUM(Y134:Y137),"0")</f>
        <v>53.199999999999996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66</v>
      </c>
      <c r="Y142" s="55">
        <f>IFERROR(IF(X142="",0,CEILING((X142/$H142),1)*$H142),"")</f>
        <v>66</v>
      </c>
      <c r="Z142" s="41">
        <f>IFERROR(IF(Y142=0,"",ROUNDUP(Y142/H142,0)*0.00651),"")</f>
        <v>0.16275000000000001</v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72.699999999999989</v>
      </c>
      <c r="BN142" s="78">
        <f>IFERROR(Y142*I142/H142,"0")</f>
        <v>72.699999999999989</v>
      </c>
      <c r="BO142" s="78">
        <f>IFERROR(1/J142*(X142/H142),"0")</f>
        <v>0.13736263736263737</v>
      </c>
      <c r="BP142" s="78">
        <f>IFERROR(1/J142*(Y142/H142),"0")</f>
        <v>0.13736263736263737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25</v>
      </c>
      <c r="Y144" s="43">
        <f>IFERROR(Y141/H141,"0")+IFERROR(Y142/H142,"0")+IFERROR(Y143/H143,"0")</f>
        <v>25</v>
      </c>
      <c r="Z144" s="43">
        <f>IFERROR(IF(Z141="",0,Z141),"0")+IFERROR(IF(Z142="",0,Z142),"0")+IFERROR(IF(Z143="",0,Z143),"0")</f>
        <v>0.16275000000000001</v>
      </c>
      <c r="AA144" s="67"/>
      <c r="AB144" s="67"/>
      <c r="AC144" s="67"/>
    </row>
    <row r="145" spans="1:68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66</v>
      </c>
      <c r="Y145" s="43">
        <f>IFERROR(SUM(Y141:Y143),"0")</f>
        <v>66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12</v>
      </c>
      <c r="Y169" s="55">
        <f>IFERROR(IF(X169="",0,CEILING((X169/$H169),1)*$H169),"")</f>
        <v>12.24</v>
      </c>
      <c r="Z169" s="41">
        <f>IFERROR(IF(Y169=0,"",ROUNDUP(Y169/H169,0)*0.00556),"")</f>
        <v>9.4519999999999993E-2</v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14.166666666666666</v>
      </c>
      <c r="BN169" s="78">
        <f>IFERROR(Y169*I169/H169,"0")</f>
        <v>14.450000000000001</v>
      </c>
      <c r="BO169" s="78">
        <f>IFERROR(1/J169*(X169/H169),"0")</f>
        <v>6.6137566137566134E-2</v>
      </c>
      <c r="BP169" s="78">
        <f>IFERROR(1/J169*(Y169/H169),"0")</f>
        <v>6.7460317460317457E-2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16.666666666666668</v>
      </c>
      <c r="Y171" s="43">
        <f>IFERROR(Y169/H169,"0")+IFERROR(Y170/H170,"0")</f>
        <v>17</v>
      </c>
      <c r="Z171" s="43">
        <f>IFERROR(IF(Z169="",0,Z169),"0")+IFERROR(IF(Z170="",0,Z170),"0")</f>
        <v>9.4519999999999993E-2</v>
      </c>
      <c r="AA171" s="67"/>
      <c r="AB171" s="67"/>
      <c r="AC171" s="67"/>
    </row>
    <row r="172" spans="1:68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12</v>
      </c>
      <c r="Y172" s="43">
        <f>IFERROR(SUM(Y169:Y170),"0")</f>
        <v>12.24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300</v>
      </c>
      <c r="Y174" s="55">
        <f t="shared" ref="Y174:Y184" si="22">IFERROR(IF(X174="",0,CEILING((X174/$H174),1)*$H174),"")</f>
        <v>301</v>
      </c>
      <c r="Z174" s="41">
        <f>IFERROR(IF(Y174=0,"",ROUNDUP(Y174/H174,0)*0.00902),"")</f>
        <v>0.77571999999999997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316.28571428571428</v>
      </c>
      <c r="BN174" s="78">
        <f t="shared" ref="BN174:BN184" si="24">IFERROR(Y174*I174/H174,"0")</f>
        <v>317.34000000000003</v>
      </c>
      <c r="BO174" s="78">
        <f t="shared" ref="BO174:BO184" si="25">IFERROR(1/J174*(X174/H174),"0")</f>
        <v>0.64935064935064934</v>
      </c>
      <c r="BP174" s="78">
        <f t="shared" ref="BP174:BP184" si="26">IFERROR(1/J174*(Y174/H174),"0")</f>
        <v>0.65151515151515149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300</v>
      </c>
      <c r="Y176" s="55">
        <f t="shared" si="22"/>
        <v>301</v>
      </c>
      <c r="Z176" s="41">
        <f>IFERROR(IF(Y176=0,"",ROUNDUP(Y176/H176,0)*0.00902),"")</f>
        <v>0.77571999999999997</v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316.28571428571428</v>
      </c>
      <c r="BN176" s="78">
        <f t="shared" si="24"/>
        <v>317.34000000000003</v>
      </c>
      <c r="BO176" s="78">
        <f t="shared" si="25"/>
        <v>0.64935064935064934</v>
      </c>
      <c r="BP176" s="78">
        <f t="shared" si="26"/>
        <v>0.65151515151515149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150</v>
      </c>
      <c r="Y177" s="55">
        <f t="shared" si="22"/>
        <v>150.5</v>
      </c>
      <c r="Z177" s="41">
        <f>IFERROR(IF(Y177=0,"",ROUNDUP(Y177/H177,0)*0.00902),"")</f>
        <v>0.38785999999999998</v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158.14285714285714</v>
      </c>
      <c r="BN177" s="78">
        <f t="shared" si="24"/>
        <v>158.67000000000002</v>
      </c>
      <c r="BO177" s="78">
        <f t="shared" si="25"/>
        <v>0.32467532467532467</v>
      </c>
      <c r="BP177" s="78">
        <f t="shared" si="26"/>
        <v>0.32575757575757575</v>
      </c>
    </row>
    <row r="178" spans="1:68" ht="16.5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9</v>
      </c>
      <c r="Y178" s="55">
        <f t="shared" si="22"/>
        <v>9</v>
      </c>
      <c r="Z178" s="41">
        <f>IFERROR(IF(Y178=0,"",ROUNDUP(Y178/H178,0)*0.00417),"")</f>
        <v>4.1700000000000001E-2</v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11.1</v>
      </c>
      <c r="BN178" s="78">
        <f t="shared" si="24"/>
        <v>11.1</v>
      </c>
      <c r="BO178" s="78">
        <f t="shared" si="25"/>
        <v>2.976190476190476E-2</v>
      </c>
      <c r="BP178" s="78">
        <f t="shared" si="26"/>
        <v>2.976190476190476E-2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112.00000000000001</v>
      </c>
      <c r="Y179" s="55">
        <f t="shared" si="22"/>
        <v>112.56</v>
      </c>
      <c r="Z179" s="41">
        <f>IFERROR(IF(Y179=0,"",ROUNDUP(Y179/H179,0)*0.00502),"")</f>
        <v>0.33634000000000003</v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118.6666666666667</v>
      </c>
      <c r="BN179" s="78">
        <f t="shared" si="24"/>
        <v>119.26000000000002</v>
      </c>
      <c r="BO179" s="78">
        <f t="shared" si="25"/>
        <v>0.28490028490028496</v>
      </c>
      <c r="BP179" s="78">
        <f t="shared" si="26"/>
        <v>0.28632478632478636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112.00000000000001</v>
      </c>
      <c r="Y182" s="55">
        <f t="shared" si="22"/>
        <v>112.56</v>
      </c>
      <c r="Z182" s="41">
        <f>IFERROR(IF(Y182=0,"",ROUNDUP(Y182/H182,0)*0.00502),"")</f>
        <v>0.33634000000000003</v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118.6666666666667</v>
      </c>
      <c r="BN182" s="78">
        <f t="shared" si="24"/>
        <v>119.26000000000002</v>
      </c>
      <c r="BO182" s="78">
        <f t="shared" si="25"/>
        <v>0.28490028490028496</v>
      </c>
      <c r="BP182" s="78">
        <f t="shared" si="26"/>
        <v>0.28632478632478636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84.000000000000014</v>
      </c>
      <c r="Y184" s="55">
        <f t="shared" si="22"/>
        <v>84</v>
      </c>
      <c r="Z184" s="41">
        <f>IFERROR(IF(Y184=0,"",ROUNDUP(Y184/H184,0)*0.00502),"")</f>
        <v>0.251</v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89.000000000000028</v>
      </c>
      <c r="BN184" s="78">
        <f t="shared" si="24"/>
        <v>89.000000000000014</v>
      </c>
      <c r="BO184" s="78">
        <f t="shared" si="25"/>
        <v>0.21367521367521372</v>
      </c>
      <c r="BP184" s="78">
        <f t="shared" si="26"/>
        <v>0.21367521367521369</v>
      </c>
    </row>
    <row r="185" spans="1:68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407.61904761904765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409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2.9046799999999995</v>
      </c>
      <c r="AA185" s="67"/>
      <c r="AB185" s="67"/>
      <c r="AC185" s="67"/>
    </row>
    <row r="186" spans="1:68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1067</v>
      </c>
      <c r="Y186" s="43">
        <f>IFERROR(SUM(Y174:Y184),"0")</f>
        <v>1070.6199999999999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300</v>
      </c>
      <c r="Y209" s="55">
        <f t="shared" si="27"/>
        <v>302.40000000000003</v>
      </c>
      <c r="Z209" s="41">
        <f t="shared" si="28"/>
        <v>0.53144000000000002</v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311.38888888888891</v>
      </c>
      <c r="BN209" s="78">
        <f t="shared" si="30"/>
        <v>313.88</v>
      </c>
      <c r="BO209" s="78">
        <f t="shared" si="31"/>
        <v>0.43402777777777773</v>
      </c>
      <c r="BP209" s="78">
        <f t="shared" si="32"/>
        <v>0.4375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27.777777777777775</v>
      </c>
      <c r="Y211" s="43">
        <f>IFERROR(Y204/H204,"0")+IFERROR(Y205/H205,"0")+IFERROR(Y206/H206,"0")+IFERROR(Y207/H207,"0")+IFERROR(Y208/H208,"0")+IFERROR(Y209/H209,"0")+IFERROR(Y210/H210,"0")</f>
        <v>28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0.53144000000000002</v>
      </c>
      <c r="AA211" s="67"/>
      <c r="AB211" s="67"/>
      <c r="AC211" s="67"/>
    </row>
    <row r="212" spans="1:68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300</v>
      </c>
      <c r="Y212" s="43">
        <f>IFERROR(SUM(Y204:Y210),"0")</f>
        <v>302.40000000000003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100</v>
      </c>
      <c r="Y220" s="55">
        <f t="shared" si="33"/>
        <v>100.80000000000001</v>
      </c>
      <c r="Z220" s="41">
        <f>IFERROR(IF(Y220=0,"",ROUNDUP(Y220/H220,0)*0.00902),"")</f>
        <v>0.21648000000000001</v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105.95238095238095</v>
      </c>
      <c r="BN220" s="78">
        <f t="shared" si="35"/>
        <v>106.80000000000001</v>
      </c>
      <c r="BO220" s="78">
        <f t="shared" si="36"/>
        <v>0.18037518037518038</v>
      </c>
      <c r="BP220" s="78">
        <f t="shared" si="37"/>
        <v>0.18181818181818182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8</v>
      </c>
      <c r="Y222" s="55">
        <f t="shared" si="33"/>
        <v>8</v>
      </c>
      <c r="Z222" s="41">
        <f>IFERROR(IF(Y222=0,"",ROUNDUP(Y222/H222,0)*0.00556),"")</f>
        <v>5.5599999999999997E-2</v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9.3000000000000007</v>
      </c>
      <c r="BN222" s="78">
        <f t="shared" si="35"/>
        <v>9.3000000000000007</v>
      </c>
      <c r="BO222" s="78">
        <f t="shared" si="36"/>
        <v>3.968253968253968E-2</v>
      </c>
      <c r="BP222" s="78">
        <f t="shared" si="37"/>
        <v>3.968253968253968E-2</v>
      </c>
    </row>
    <row r="223" spans="1:68" ht="27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70</v>
      </c>
      <c r="Y223" s="55">
        <f t="shared" si="33"/>
        <v>71.400000000000006</v>
      </c>
      <c r="Z223" s="41">
        <f t="shared" ref="Z223:Z228" si="38">IFERROR(IF(Y223=0,"",ROUNDUP(Y223/H223,0)*0.00502),"")</f>
        <v>0.17068</v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74.333333333333329</v>
      </c>
      <c r="BN223" s="78">
        <f t="shared" si="35"/>
        <v>75.820000000000007</v>
      </c>
      <c r="BO223" s="78">
        <f t="shared" si="36"/>
        <v>0.14245014245014245</v>
      </c>
      <c r="BP223" s="78">
        <f t="shared" si="37"/>
        <v>0.14529914529914531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105</v>
      </c>
      <c r="Y225" s="55">
        <f t="shared" si="33"/>
        <v>105</v>
      </c>
      <c r="Z225" s="41">
        <f t="shared" si="38"/>
        <v>0.251</v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111.5</v>
      </c>
      <c r="BN225" s="78">
        <f t="shared" si="35"/>
        <v>111.5</v>
      </c>
      <c r="BO225" s="78">
        <f t="shared" si="36"/>
        <v>0.21367521367521369</v>
      </c>
      <c r="BP225" s="78">
        <f t="shared" si="37"/>
        <v>0.21367521367521369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4</v>
      </c>
      <c r="Y229" s="55">
        <f t="shared" si="33"/>
        <v>4</v>
      </c>
      <c r="Z229" s="41">
        <f>IFERROR(IF(Y229=0,"",ROUNDUP(Y229/H229,0)*0.00417),"")</f>
        <v>2.085E-2</v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5.05</v>
      </c>
      <c r="BN229" s="78">
        <f t="shared" si="35"/>
        <v>5.05</v>
      </c>
      <c r="BO229" s="78">
        <f t="shared" si="36"/>
        <v>1.488095238095238E-2</v>
      </c>
      <c r="BP229" s="78">
        <f t="shared" si="37"/>
        <v>1.488095238095238E-2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280</v>
      </c>
      <c r="Y230" s="55">
        <f t="shared" si="33"/>
        <v>281.40000000000003</v>
      </c>
      <c r="Z230" s="41">
        <f>IFERROR(IF(Y230=0,"",ROUNDUP(Y230/H230,0)*0.00502),"")</f>
        <v>0.67268000000000006</v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293.33333333333331</v>
      </c>
      <c r="BN230" s="78">
        <f t="shared" si="35"/>
        <v>294.80000000000007</v>
      </c>
      <c r="BO230" s="78">
        <f t="shared" si="36"/>
        <v>0.56980056980056981</v>
      </c>
      <c r="BP230" s="78">
        <f t="shared" si="37"/>
        <v>0.57264957264957272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255.47619047619045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257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1.3872900000000001</v>
      </c>
      <c r="AA233" s="67"/>
      <c r="AB233" s="67"/>
      <c r="AC233" s="67"/>
    </row>
    <row r="234" spans="1:68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567</v>
      </c>
      <c r="Y234" s="43">
        <f>IFERROR(SUM(Y219:Y232),"0")</f>
        <v>570.60000000000014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7.0000000000000009</v>
      </c>
      <c r="Y244" s="55">
        <f>IFERROR(IF(X244="",0,CEILING((X244/$H244),1)*$H244),"")</f>
        <v>7.5600000000000005</v>
      </c>
      <c r="Z244" s="41">
        <f>IFERROR(IF(Y244=0,"",ROUNDUP(Y244/H244,0)*0.0059),"")</f>
        <v>3.5400000000000001E-2</v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8.0555555555555554</v>
      </c>
      <c r="BN244" s="78">
        <f>IFERROR(Y244*I244/H244,"0")</f>
        <v>8.6999999999999993</v>
      </c>
      <c r="BO244" s="78">
        <f>IFERROR(1/J244*(X244/H244),"0")</f>
        <v>2.5720164609053499E-2</v>
      </c>
      <c r="BP244" s="78">
        <f>IFERROR(1/J244*(Y244/H244),"0")</f>
        <v>2.7777777777777776E-2</v>
      </c>
    </row>
    <row r="245" spans="1:68" ht="27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10.500000000000002</v>
      </c>
      <c r="Y245" s="55">
        <f>IFERROR(IF(X245="",0,CEILING((X245/$H245),1)*$H245),"")</f>
        <v>11.34</v>
      </c>
      <c r="Z245" s="41">
        <f>IFERROR(IF(Y245=0,"",ROUNDUP(Y245/H245,0)*0.0059),"")</f>
        <v>5.3100000000000001E-2</v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12.083333333333334</v>
      </c>
      <c r="BN245" s="78">
        <f>IFERROR(Y245*I245/H245,"0")</f>
        <v>13.049999999999999</v>
      </c>
      <c r="BO245" s="78">
        <f>IFERROR(1/J245*(X245/H245),"0")</f>
        <v>3.8580246913580245E-2</v>
      </c>
      <c r="BP245" s="78">
        <f>IFERROR(1/J245*(Y245/H245),"0")</f>
        <v>4.1666666666666664E-2</v>
      </c>
    </row>
    <row r="246" spans="1:68" ht="27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10.500000000000002</v>
      </c>
      <c r="Y246" s="55">
        <f>IFERROR(IF(X246="",0,CEILING((X246/$H246),1)*$H246),"")</f>
        <v>11.34</v>
      </c>
      <c r="Z246" s="41">
        <f>IFERROR(IF(Y246=0,"",ROUNDUP(Y246/H246,0)*0.0059),"")</f>
        <v>5.3100000000000001E-2</v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12.083333333333334</v>
      </c>
      <c r="BN246" s="78">
        <f>IFERROR(Y246*I246/H246,"0")</f>
        <v>13.049999999999999</v>
      </c>
      <c r="BO246" s="78">
        <f>IFERROR(1/J246*(X246/H246),"0")</f>
        <v>3.8580246913580245E-2</v>
      </c>
      <c r="BP246" s="78">
        <f>IFERROR(1/J246*(Y246/H246),"0")</f>
        <v>4.1666666666666664E-2</v>
      </c>
    </row>
    <row r="247" spans="1:68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22.222222222222221</v>
      </c>
      <c r="Y247" s="43">
        <f>IFERROR(Y244/H244,"0")+IFERROR(Y245/H245,"0")+IFERROR(Y246/H246,"0")</f>
        <v>24</v>
      </c>
      <c r="Z247" s="43">
        <f>IFERROR(IF(Z244="",0,Z244),"0")+IFERROR(IF(Z245="",0,Z245),"0")+IFERROR(IF(Z246="",0,Z246),"0")</f>
        <v>0.1416</v>
      </c>
      <c r="AA247" s="67"/>
      <c r="AB247" s="67"/>
      <c r="AC247" s="67"/>
    </row>
    <row r="248" spans="1:68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28.000000000000007</v>
      </c>
      <c r="Y248" s="43">
        <f>IFERROR(SUM(Y244:Y246),"0")</f>
        <v>30.24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7.0000000000000009</v>
      </c>
      <c r="Y250" s="55">
        <f>IFERROR(IF(X250="",0,CEILING((X250/$H250),1)*$H250),"")</f>
        <v>7.5600000000000005</v>
      </c>
      <c r="Z250" s="41">
        <f>IFERROR(IF(Y250=0,"",ROUNDUP(Y250/H250,0)*0.0059),"")</f>
        <v>3.5400000000000001E-2</v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8.0555555555555554</v>
      </c>
      <c r="BN250" s="78">
        <f>IFERROR(Y250*I250/H250,"0")</f>
        <v>8.6999999999999993</v>
      </c>
      <c r="BO250" s="78">
        <f>IFERROR(1/J250*(X250/H250),"0")</f>
        <v>2.5720164609053499E-2</v>
      </c>
      <c r="BP250" s="78">
        <f>IFERROR(1/J250*(Y250/H250),"0")</f>
        <v>2.7777777777777776E-2</v>
      </c>
    </row>
    <row r="251" spans="1:68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5.5555555555555562</v>
      </c>
      <c r="Y251" s="43">
        <f>IFERROR(Y250/H250,"0")</f>
        <v>6</v>
      </c>
      <c r="Z251" s="43">
        <f>IFERROR(IF(Z250="",0,Z250),"0")</f>
        <v>3.5400000000000001E-2</v>
      </c>
      <c r="AA251" s="67"/>
      <c r="AB251" s="67"/>
      <c r="AC251" s="67"/>
    </row>
    <row r="252" spans="1:68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7.0000000000000009</v>
      </c>
      <c r="Y252" s="43">
        <f>IFERROR(SUM(Y250:Y250),"0")</f>
        <v>7.5600000000000005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300</v>
      </c>
      <c r="Y265" s="55">
        <f t="shared" ref="Y265:Y272" si="39">IFERROR(IF(X265="",0,CEILING((X265/$H265),1)*$H265),"")</f>
        <v>302.40000000000003</v>
      </c>
      <c r="Z265" s="41">
        <f>IFERROR(IF(Y265=0,"",ROUNDUP(Y265/H265,0)*0.00902),"")</f>
        <v>0.50512000000000001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310.55555555555554</v>
      </c>
      <c r="BN265" s="78">
        <f t="shared" ref="BN265:BN272" si="41">IFERROR(Y265*I265/H265,"0")</f>
        <v>313.04000000000002</v>
      </c>
      <c r="BO265" s="78">
        <f t="shared" ref="BO265:BO272" si="42">IFERROR(1/J265*(X265/H265),"0")</f>
        <v>0.42087542087542085</v>
      </c>
      <c r="BP265" s="78">
        <f t="shared" ref="BP265:BP272" si="43">IFERROR(1/J265*(Y265/H265),"0")</f>
        <v>0.42424242424242425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200</v>
      </c>
      <c r="Y266" s="55">
        <f t="shared" si="39"/>
        <v>205.20000000000002</v>
      </c>
      <c r="Z266" s="41">
        <f>IFERROR(IF(Y266=0,"",ROUNDUP(Y266/H266,0)*0.00902),"")</f>
        <v>0.34276000000000001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207.03703703703701</v>
      </c>
      <c r="BN266" s="78">
        <f t="shared" si="41"/>
        <v>212.42</v>
      </c>
      <c r="BO266" s="78">
        <f t="shared" si="42"/>
        <v>0.28058361391694725</v>
      </c>
      <c r="BP266" s="78">
        <f t="shared" si="43"/>
        <v>0.2878787878787879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300</v>
      </c>
      <c r="Y267" s="55">
        <f t="shared" si="39"/>
        <v>302.40000000000003</v>
      </c>
      <c r="Z267" s="41">
        <f>IFERROR(IF(Y267=0,"",ROUNDUP(Y267/H267,0)*0.00902),"")</f>
        <v>0.50512000000000001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310.55555555555554</v>
      </c>
      <c r="BN267" s="78">
        <f t="shared" si="41"/>
        <v>313.04000000000002</v>
      </c>
      <c r="BO267" s="78">
        <f t="shared" si="42"/>
        <v>0.42087542087542085</v>
      </c>
      <c r="BP267" s="78">
        <f t="shared" si="43"/>
        <v>0.42424242424242425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200</v>
      </c>
      <c r="Y268" s="55">
        <f t="shared" si="39"/>
        <v>205.20000000000002</v>
      </c>
      <c r="Z268" s="41">
        <f>IFERROR(IF(Y268=0,"",ROUNDUP(Y268/H268,0)*0.00902),"")</f>
        <v>0.34276000000000001</v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207.03703703703701</v>
      </c>
      <c r="BN268" s="78">
        <f t="shared" si="41"/>
        <v>212.42</v>
      </c>
      <c r="BO268" s="78">
        <f t="shared" si="42"/>
        <v>0.28058361391694725</v>
      </c>
      <c r="BP268" s="78">
        <f t="shared" si="43"/>
        <v>0.2878787878787879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90</v>
      </c>
      <c r="Y269" s="55">
        <f t="shared" si="39"/>
        <v>90</v>
      </c>
      <c r="Z269" s="41">
        <f>IFERROR(IF(Y269=0,"",ROUNDUP(Y269/H269,0)*0.00502),"")</f>
        <v>0.251</v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96.499999999999986</v>
      </c>
      <c r="BN269" s="78">
        <f t="shared" si="41"/>
        <v>96.499999999999986</v>
      </c>
      <c r="BO269" s="78">
        <f t="shared" si="42"/>
        <v>0.21367521367521369</v>
      </c>
      <c r="BP269" s="78">
        <f t="shared" si="43"/>
        <v>0.21367521367521369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60</v>
      </c>
      <c r="Y270" s="55">
        <f t="shared" si="39"/>
        <v>61.2</v>
      </c>
      <c r="Z270" s="41">
        <f>IFERROR(IF(Y270=0,"",ROUNDUP(Y270/H270,0)*0.00502),"")</f>
        <v>0.17068</v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63.333333333333329</v>
      </c>
      <c r="BN270" s="78">
        <f t="shared" si="41"/>
        <v>64.599999999999994</v>
      </c>
      <c r="BO270" s="78">
        <f t="shared" si="42"/>
        <v>0.14245014245014248</v>
      </c>
      <c r="BP270" s="78">
        <f t="shared" si="43"/>
        <v>0.14529914529914531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90</v>
      </c>
      <c r="Y271" s="55">
        <f t="shared" si="39"/>
        <v>90</v>
      </c>
      <c r="Z271" s="41">
        <f>IFERROR(IF(Y271=0,"",ROUNDUP(Y271/H271,0)*0.00502),"")</f>
        <v>0.251</v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95</v>
      </c>
      <c r="BN271" s="78">
        <f t="shared" si="41"/>
        <v>95</v>
      </c>
      <c r="BO271" s="78">
        <f t="shared" si="42"/>
        <v>0.21367521367521369</v>
      </c>
      <c r="BP271" s="78">
        <f t="shared" si="43"/>
        <v>0.21367521367521369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45</v>
      </c>
      <c r="Y272" s="55">
        <f t="shared" si="39"/>
        <v>45</v>
      </c>
      <c r="Z272" s="41">
        <f>IFERROR(IF(Y272=0,"",ROUNDUP(Y272/H272,0)*0.00502),"")</f>
        <v>0.1255</v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47.5</v>
      </c>
      <c r="BN272" s="78">
        <f t="shared" si="41"/>
        <v>47.5</v>
      </c>
      <c r="BO272" s="78">
        <f t="shared" si="42"/>
        <v>0.10683760683760685</v>
      </c>
      <c r="BP272" s="78">
        <f t="shared" si="43"/>
        <v>0.10683760683760685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343.51851851851848</v>
      </c>
      <c r="Y273" s="43">
        <f>IFERROR(Y265/H265,"0")+IFERROR(Y266/H266,"0")+IFERROR(Y267/H267,"0")+IFERROR(Y268/H268,"0")+IFERROR(Y269/H269,"0")+IFERROR(Y270/H270,"0")+IFERROR(Y271/H271,"0")+IFERROR(Y272/H272,"0")</f>
        <v>347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2.4939399999999998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1285</v>
      </c>
      <c r="Y274" s="43">
        <f>IFERROR(SUM(Y265:Y272),"0")</f>
        <v>1301.4000000000001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200</v>
      </c>
      <c r="Y277" s="55">
        <f t="shared" si="44"/>
        <v>202.5</v>
      </c>
      <c r="Z277" s="41">
        <f>IFERROR(IF(Y277=0,"",ROUNDUP(Y277/H277,0)*0.01898),"")</f>
        <v>0.47450000000000003</v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211.75308641975309</v>
      </c>
      <c r="BN277" s="78">
        <f t="shared" si="46"/>
        <v>214.40000000000003</v>
      </c>
      <c r="BO277" s="78">
        <f t="shared" si="47"/>
        <v>0.38580246913580246</v>
      </c>
      <c r="BP277" s="78">
        <f t="shared" si="48"/>
        <v>0.390625</v>
      </c>
    </row>
    <row r="278" spans="1:68" ht="27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200</v>
      </c>
      <c r="Y278" s="55">
        <f t="shared" si="44"/>
        <v>200.1</v>
      </c>
      <c r="Z278" s="41">
        <f>IFERROR(IF(Y278=0,"",ROUNDUP(Y278/H278,0)*0.01898),"")</f>
        <v>0.43653999999999998</v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211.35632183908049</v>
      </c>
      <c r="BN278" s="78">
        <f t="shared" si="46"/>
        <v>211.46200000000005</v>
      </c>
      <c r="BO278" s="78">
        <f t="shared" si="47"/>
        <v>0.35919540229885061</v>
      </c>
      <c r="BP278" s="78">
        <f t="shared" si="48"/>
        <v>0.359375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400</v>
      </c>
      <c r="Y279" s="55">
        <f t="shared" si="44"/>
        <v>400.8</v>
      </c>
      <c r="Z279" s="41">
        <f>IFERROR(IF(Y279=0,"",ROUNDUP(Y279/H279,0)*0.00651),"")</f>
        <v>1.08717</v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445</v>
      </c>
      <c r="BN279" s="78">
        <f t="shared" si="46"/>
        <v>445.89</v>
      </c>
      <c r="BO279" s="78">
        <f t="shared" si="47"/>
        <v>0.91575091575091594</v>
      </c>
      <c r="BP279" s="78">
        <f t="shared" si="48"/>
        <v>0.91758241758241765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120</v>
      </c>
      <c r="Y282" s="55">
        <f t="shared" si="44"/>
        <v>120</v>
      </c>
      <c r="Z282" s="41">
        <f>IFERROR(IF(Y282=0,"",ROUNDUP(Y282/H282,0)*0.00651),"")</f>
        <v>0.32550000000000001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132.60000000000002</v>
      </c>
      <c r="BN282" s="78">
        <f t="shared" si="46"/>
        <v>132.60000000000002</v>
      </c>
      <c r="BO282" s="78">
        <f t="shared" si="47"/>
        <v>0.27472527472527475</v>
      </c>
      <c r="BP282" s="78">
        <f t="shared" si="48"/>
        <v>0.27472527472527475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40</v>
      </c>
      <c r="Y285" s="55">
        <f t="shared" si="44"/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44.20000000000001</v>
      </c>
      <c r="BN285" s="78">
        <f t="shared" si="46"/>
        <v>45.084000000000003</v>
      </c>
      <c r="BO285" s="78">
        <f t="shared" si="47"/>
        <v>9.1575091575091583E-2</v>
      </c>
      <c r="BP285" s="78">
        <f t="shared" si="48"/>
        <v>9.3406593406593408E-2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320</v>
      </c>
      <c r="Y286" s="55">
        <f t="shared" si="44"/>
        <v>321.59999999999997</v>
      </c>
      <c r="Z286" s="41">
        <f>IFERROR(IF(Y286=0,"",ROUNDUP(Y286/H286,0)*0.00651),"")</f>
        <v>0.87234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354.4</v>
      </c>
      <c r="BN286" s="78">
        <f t="shared" si="46"/>
        <v>356.17199999999997</v>
      </c>
      <c r="BO286" s="78">
        <f t="shared" si="47"/>
        <v>0.73260073260073266</v>
      </c>
      <c r="BP286" s="78">
        <f t="shared" si="48"/>
        <v>0.73626373626373631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414.34653043848448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416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3.3067199999999999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1280</v>
      </c>
      <c r="Y289" s="43">
        <f>IFERROR(SUM(Y276:Y287),"0")</f>
        <v>1285.8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40</v>
      </c>
      <c r="Y291" s="55">
        <f>IFERROR(IF(X291="",0,CEILING((X291/$H291),1)*$H291),"")</f>
        <v>40.799999999999997</v>
      </c>
      <c r="Z291" s="41">
        <f>IFERROR(IF(Y291=0,"",ROUNDUP(Y291/H291,0)*0.00651),"")</f>
        <v>0.11067</v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44.20000000000001</v>
      </c>
      <c r="BN291" s="78">
        <f>IFERROR(Y291*I291/H291,"0")</f>
        <v>45.084000000000003</v>
      </c>
      <c r="BO291" s="78">
        <f>IFERROR(1/J291*(X291/H291),"0")</f>
        <v>9.1575091575091583E-2</v>
      </c>
      <c r="BP291" s="78">
        <f>IFERROR(1/J291*(Y291/H291),"0")</f>
        <v>9.3406593406593408E-2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100</v>
      </c>
      <c r="Y292" s="55">
        <f>IFERROR(IF(X292="",0,CEILING((X292/$H292),1)*$H292),"")</f>
        <v>100.8</v>
      </c>
      <c r="Z292" s="41">
        <f>IFERROR(IF(Y292=0,"",ROUNDUP(Y292/H292,0)*0.00651),"")</f>
        <v>0.27342</v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110.5</v>
      </c>
      <c r="BN292" s="78">
        <f>IFERROR(Y292*I292/H292,"0")</f>
        <v>111.384</v>
      </c>
      <c r="BO292" s="78">
        <f>IFERROR(1/J292*(X292/H292),"0")</f>
        <v>0.22893772893772898</v>
      </c>
      <c r="BP292" s="78">
        <f>IFERROR(1/J292*(Y292/H292),"0")</f>
        <v>0.23076923076923078</v>
      </c>
    </row>
    <row r="293" spans="1:68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58.333333333333343</v>
      </c>
      <c r="Y293" s="43">
        <f>IFERROR(Y291/H291,"0")+IFERROR(Y292/H292,"0")</f>
        <v>59</v>
      </c>
      <c r="Z293" s="43">
        <f>IFERROR(IF(Z291="",0,Z291),"0")+IFERROR(IF(Z292="",0,Z292),"0")</f>
        <v>0.38408999999999999</v>
      </c>
      <c r="AA293" s="67"/>
      <c r="AB293" s="67"/>
      <c r="AC293" s="67"/>
    </row>
    <row r="294" spans="1:68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140</v>
      </c>
      <c r="Y294" s="43">
        <f>IFERROR(SUM(Y291:Y292),"0")</f>
        <v>141.6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30</v>
      </c>
      <c r="Y299" s="55">
        <f t="shared" si="49"/>
        <v>34.799999999999997</v>
      </c>
      <c r="Z299" s="41">
        <f>IFERROR(IF(Y299=0,"",ROUNDUP(Y299/H299,0)*0.01898),"")</f>
        <v>5.6940000000000004E-2</v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31.06034482758621</v>
      </c>
      <c r="BN299" s="78">
        <f t="shared" si="51"/>
        <v>36.03</v>
      </c>
      <c r="BO299" s="78">
        <f t="shared" si="52"/>
        <v>4.0409482758620691E-2</v>
      </c>
      <c r="BP299" s="78">
        <f t="shared" si="53"/>
        <v>4.6875E-2</v>
      </c>
    </row>
    <row r="300" spans="1:68" ht="27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20</v>
      </c>
      <c r="Y300" s="55">
        <f t="shared" si="49"/>
        <v>20</v>
      </c>
      <c r="Z300" s="41">
        <f>IFERROR(IF(Y300=0,"",ROUNDUP(Y300/H300,0)*0.00902),"")</f>
        <v>4.5100000000000001E-2</v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20.950000000000003</v>
      </c>
      <c r="BN300" s="78">
        <f t="shared" si="51"/>
        <v>20.950000000000003</v>
      </c>
      <c r="BO300" s="78">
        <f t="shared" si="52"/>
        <v>3.787878787878788E-2</v>
      </c>
      <c r="BP300" s="78">
        <f t="shared" si="53"/>
        <v>3.787878787878788E-2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80</v>
      </c>
      <c r="Y303" s="55">
        <f t="shared" si="49"/>
        <v>80</v>
      </c>
      <c r="Z303" s="41">
        <f>IFERROR(IF(Y303=0,"",ROUNDUP(Y303/H303,0)*0.00902),"")</f>
        <v>0.1804</v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83.800000000000011</v>
      </c>
      <c r="BN303" s="78">
        <f t="shared" si="51"/>
        <v>83.800000000000011</v>
      </c>
      <c r="BO303" s="78">
        <f t="shared" si="52"/>
        <v>0.15151515151515152</v>
      </c>
      <c r="BP303" s="78">
        <f t="shared" si="53"/>
        <v>0.15151515151515152</v>
      </c>
    </row>
    <row r="304" spans="1:68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27.586206896551722</v>
      </c>
      <c r="Y304" s="43">
        <f>IFERROR(Y297/H297,"0")+IFERROR(Y298/H298,"0")+IFERROR(Y299/H299,"0")+IFERROR(Y300/H300,"0")+IFERROR(Y301/H301,"0")+IFERROR(Y302/H302,"0")+IFERROR(Y303/H303,"0")</f>
        <v>28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0.28244000000000002</v>
      </c>
      <c r="AA304" s="67"/>
      <c r="AB304" s="67"/>
      <c r="AC304" s="67"/>
    </row>
    <row r="305" spans="1:68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130</v>
      </c>
      <c r="Y305" s="43">
        <f>IFERROR(SUM(Y297:Y303),"0")</f>
        <v>134.80000000000001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79.2</v>
      </c>
      <c r="Y307" s="55">
        <f>IFERROR(IF(X307="",0,CEILING((X307/$H307),1)*$H307),"")</f>
        <v>79.2</v>
      </c>
      <c r="Z307" s="41">
        <f>IFERROR(IF(Y307=0,"",ROUNDUP(Y307/H307,0)*0.00502),"")</f>
        <v>0.20080000000000001</v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83.200000000000017</v>
      </c>
      <c r="BN307" s="78">
        <f>IFERROR(Y307*I307/H307,"0")</f>
        <v>83.200000000000017</v>
      </c>
      <c r="BO307" s="78">
        <f>IFERROR(1/J307*(X307/H307),"0")</f>
        <v>0.17094017094017094</v>
      </c>
      <c r="BP307" s="78">
        <f>IFERROR(1/J307*(Y307/H307),"0")</f>
        <v>0.17094017094017094</v>
      </c>
    </row>
    <row r="308" spans="1:68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40</v>
      </c>
      <c r="Y308" s="43">
        <f>IFERROR(Y307/H307,"0")</f>
        <v>40</v>
      </c>
      <c r="Z308" s="43">
        <f>IFERROR(IF(Z307="",0,Z307),"0")</f>
        <v>0.20080000000000001</v>
      </c>
      <c r="AA308" s="67"/>
      <c r="AB308" s="67"/>
      <c r="AC308" s="67"/>
    </row>
    <row r="309" spans="1:68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79.2</v>
      </c>
      <c r="Y309" s="43">
        <f>IFERROR(SUM(Y307:Y307),"0")</f>
        <v>79.2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14.399999999999999</v>
      </c>
      <c r="Y311" s="55">
        <f>IFERROR(IF(X311="",0,CEILING((X311/$H311),1)*$H311),"")</f>
        <v>14.4</v>
      </c>
      <c r="Z311" s="41">
        <f>IFERROR(IF(Y311=0,"",ROUNDUP(Y311/H311,0)*0.0059),"")</f>
        <v>4.7199999999999999E-2</v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15.799999999999999</v>
      </c>
      <c r="BN311" s="78">
        <f>IFERROR(Y311*I311/H311,"0")</f>
        <v>15.8</v>
      </c>
      <c r="BO311" s="78">
        <f>IFERROR(1/J311*(X311/H311),"0")</f>
        <v>3.7037037037037028E-2</v>
      </c>
      <c r="BP311" s="78">
        <f>IFERROR(1/J311*(Y311/H311),"0")</f>
        <v>3.7037037037037035E-2</v>
      </c>
    </row>
    <row r="312" spans="1:68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7.9999999999999991</v>
      </c>
      <c r="Y312" s="43">
        <f>IFERROR(Y311/H311,"0")</f>
        <v>8</v>
      </c>
      <c r="Z312" s="43">
        <f>IFERROR(IF(Z311="",0,Z311),"0")</f>
        <v>4.7199999999999999E-2</v>
      </c>
      <c r="AA312" s="67"/>
      <c r="AB312" s="67"/>
      <c r="AC312" s="67"/>
    </row>
    <row r="313" spans="1:68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14.399999999999999</v>
      </c>
      <c r="Y313" s="43">
        <f>IFERROR(SUM(Y311:Y311),"0")</f>
        <v>14.4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18</v>
      </c>
      <c r="Y316" s="55">
        <f>IFERROR(IF(X316="",0,CEILING((X316/$H316),1)*$H316),"")</f>
        <v>18</v>
      </c>
      <c r="Z316" s="41">
        <f>IFERROR(IF(Y316=0,"",ROUNDUP(Y316/H316,0)*0.0059),"")</f>
        <v>5.8999999999999997E-2</v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19.750000000000004</v>
      </c>
      <c r="BN316" s="78">
        <f>IFERROR(Y316*I316/H316,"0")</f>
        <v>19.750000000000004</v>
      </c>
      <c r="BO316" s="78">
        <f>IFERROR(1/J316*(X316/H316),"0")</f>
        <v>4.6296296296296294E-2</v>
      </c>
      <c r="BP316" s="78">
        <f>IFERROR(1/J316*(Y316/H316),"0")</f>
        <v>4.6296296296296294E-2</v>
      </c>
    </row>
    <row r="317" spans="1:68" ht="27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2.5</v>
      </c>
      <c r="Y317" s="55">
        <f>IFERROR(IF(X317="",0,CEILING((X317/$H317),1)*$H317),"")</f>
        <v>2.7</v>
      </c>
      <c r="Z317" s="41">
        <f>IFERROR(IF(Y317=0,"",ROUNDUP(Y317/H317,0)*0.0059),"")</f>
        <v>1.77E-2</v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3.0277777777777777</v>
      </c>
      <c r="BN317" s="78">
        <f>IFERROR(Y317*I317/H317,"0")</f>
        <v>3.2700000000000005</v>
      </c>
      <c r="BO317" s="78">
        <f>IFERROR(1/J317*(X317/H317),"0")</f>
        <v>1.2860082304526748E-2</v>
      </c>
      <c r="BP317" s="78">
        <f>IFERROR(1/J317*(Y317/H317),"0")</f>
        <v>1.3888888888888888E-2</v>
      </c>
    </row>
    <row r="318" spans="1:68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12.777777777777779</v>
      </c>
      <c r="Y318" s="43">
        <f>IFERROR(Y315/H315,"0")+IFERROR(Y316/H316,"0")+IFERROR(Y317/H317,"0")</f>
        <v>13</v>
      </c>
      <c r="Z318" s="43">
        <f>IFERROR(IF(Z315="",0,Z315),"0")+IFERROR(IF(Z316="",0,Z316),"0")+IFERROR(IF(Z317="",0,Z317),"0")</f>
        <v>7.669999999999999E-2</v>
      </c>
      <c r="AA318" s="67"/>
      <c r="AB318" s="67"/>
      <c r="AC318" s="67"/>
    </row>
    <row r="319" spans="1:68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20.5</v>
      </c>
      <c r="Y319" s="43">
        <f>IFERROR(SUM(Y315:Y317),"0")</f>
        <v>20.7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120</v>
      </c>
      <c r="Y332" s="55">
        <f>IFERROR(IF(X332="",0,CEILING((X332/$H332),1)*$H332),"")</f>
        <v>120</v>
      </c>
      <c r="Z332" s="41">
        <f>IFERROR(IF(Y332=0,"",ROUNDUP(Y332/H332,0)*0.00651),"")</f>
        <v>0.32550000000000001</v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132.60000000000002</v>
      </c>
      <c r="BN332" s="78">
        <f>IFERROR(Y332*I332/H332,"0")</f>
        <v>132.60000000000002</v>
      </c>
      <c r="BO332" s="78">
        <f>IFERROR(1/J332*(X332/H332),"0")</f>
        <v>0.27472527472527475</v>
      </c>
      <c r="BP332" s="78">
        <f>IFERROR(1/J332*(Y332/H332),"0")</f>
        <v>0.27472527472527475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560</v>
      </c>
      <c r="Y333" s="55">
        <f>IFERROR(IF(X333="",0,CEILING((X333/$H333),1)*$H333),"")</f>
        <v>561.6</v>
      </c>
      <c r="Z333" s="41">
        <f>IFERROR(IF(Y333=0,"",ROUNDUP(Y333/H333,0)*0.00651),"")</f>
        <v>1.5233400000000001</v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602</v>
      </c>
      <c r="BN333" s="78">
        <f>IFERROR(Y333*I333/H333,"0")</f>
        <v>603.72</v>
      </c>
      <c r="BO333" s="78">
        <f>IFERROR(1/J333*(X333/H333),"0")</f>
        <v>1.2820512820512822</v>
      </c>
      <c r="BP333" s="78">
        <f>IFERROR(1/J333*(Y333/H333),"0")</f>
        <v>1.285714285714286</v>
      </c>
    </row>
    <row r="334" spans="1:68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283.33333333333337</v>
      </c>
      <c r="Y334" s="43">
        <f>IFERROR(Y331/H331,"0")+IFERROR(Y332/H332,"0")+IFERROR(Y333/H333,"0")</f>
        <v>284</v>
      </c>
      <c r="Z334" s="43">
        <f>IFERROR(IF(Z331="",0,Z331),"0")+IFERROR(IF(Z332="",0,Z332),"0")+IFERROR(IF(Z333="",0,Z333),"0")</f>
        <v>1.84884</v>
      </c>
      <c r="AA334" s="67"/>
      <c r="AB334" s="67"/>
      <c r="AC334" s="67"/>
    </row>
    <row r="335" spans="1:68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680</v>
      </c>
      <c r="Y335" s="43">
        <f>IFERROR(SUM(Y331:Y333),"0")</f>
        <v>681.6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250</v>
      </c>
      <c r="Y352" s="55">
        <f>IFERROR(IF(X352="",0,CEILING((X352/$H352),1)*$H352),"")</f>
        <v>257.39999999999998</v>
      </c>
      <c r="Z352" s="41">
        <f>IFERROR(IF(Y352=0,"",ROUNDUP(Y352/H352,0)*0.01898),"")</f>
        <v>0.62634000000000001</v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263.14102564102564</v>
      </c>
      <c r="BN352" s="78">
        <f>IFERROR(Y352*I352/H352,"0")</f>
        <v>270.93</v>
      </c>
      <c r="BO352" s="78">
        <f>IFERROR(1/J352*(X352/H352),"0")</f>
        <v>0.50080128205128205</v>
      </c>
      <c r="BP352" s="78">
        <f>IFERROR(1/J352*(Y352/H352),"0")</f>
        <v>0.515625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200</v>
      </c>
      <c r="Y353" s="55">
        <f>IFERROR(IF(X353="",0,CEILING((X353/$H353),1)*$H353),"")</f>
        <v>202.79999999999998</v>
      </c>
      <c r="Z353" s="41">
        <f>IFERROR(IF(Y353=0,"",ROUNDUP(Y353/H353,0)*0.01898),"")</f>
        <v>0.49348000000000003</v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210.51282051282055</v>
      </c>
      <c r="BN353" s="78">
        <f>IFERROR(Y353*I353/H353,"0")</f>
        <v>213.46</v>
      </c>
      <c r="BO353" s="78">
        <f>IFERROR(1/J353*(X353/H353),"0")</f>
        <v>0.40064102564102566</v>
      </c>
      <c r="BP353" s="78">
        <f>IFERROR(1/J353*(Y353/H353),"0")</f>
        <v>0.40625</v>
      </c>
    </row>
    <row r="354" spans="1:68" ht="27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200</v>
      </c>
      <c r="Y354" s="55">
        <f>IFERROR(IF(X354="",0,CEILING((X354/$H354),1)*$H354),"")</f>
        <v>202.79999999999998</v>
      </c>
      <c r="Z354" s="41">
        <f>IFERROR(IF(Y354=0,"",ROUNDUP(Y354/H354,0)*0.01898),"")</f>
        <v>0.49348000000000003</v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210.51282051282055</v>
      </c>
      <c r="BN354" s="78">
        <f>IFERROR(Y354*I354/H354,"0")</f>
        <v>213.46</v>
      </c>
      <c r="BO354" s="78">
        <f>IFERROR(1/J354*(X354/H354),"0")</f>
        <v>0.40064102564102566</v>
      </c>
      <c r="BP354" s="78">
        <f>IFERROR(1/J354*(Y354/H354),"0")</f>
        <v>0.40625</v>
      </c>
    </row>
    <row r="355" spans="1:68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83.333333333333343</v>
      </c>
      <c r="Y355" s="43">
        <f>IFERROR(Y352/H352,"0")+IFERROR(Y353/H353,"0")+IFERROR(Y354/H354,"0")</f>
        <v>85</v>
      </c>
      <c r="Z355" s="43">
        <f>IFERROR(IF(Z352="",0,Z352),"0")+IFERROR(IF(Z353="",0,Z353),"0")+IFERROR(IF(Z354="",0,Z354),"0")</f>
        <v>1.6133000000000002</v>
      </c>
      <c r="AA355" s="67"/>
      <c r="AB355" s="67"/>
      <c r="AC355" s="67"/>
    </row>
    <row r="356" spans="1:68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650</v>
      </c>
      <c r="Y356" s="43">
        <f>IFERROR(SUM(Y352:Y354),"0")</f>
        <v>662.99999999999989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50</v>
      </c>
      <c r="Y359" s="55">
        <f t="shared" ref="Y359:Y364" si="54">IFERROR(IF(X359="",0,CEILING((X359/$H359),1)*$H359),"")</f>
        <v>54</v>
      </c>
      <c r="Z359" s="41">
        <f>IFERROR(IF(Y359=0,"",ROUNDUP(Y359/H359,0)*0.01898),"")</f>
        <v>9.4899999999999998E-2</v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51.898148148148145</v>
      </c>
      <c r="BN359" s="78">
        <f t="shared" ref="BN359:BN364" si="56">IFERROR(Y359*I359/H359,"0")</f>
        <v>56.05</v>
      </c>
      <c r="BO359" s="78">
        <f t="shared" ref="BO359:BO364" si="57">IFERROR(1/J359*(X359/H359),"0")</f>
        <v>7.2337962962962965E-2</v>
      </c>
      <c r="BP359" s="78">
        <f t="shared" ref="BP359:BP364" si="58">IFERROR(1/J359*(Y359/H359),"0")</f>
        <v>7.8125E-2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4.6296296296296298</v>
      </c>
      <c r="Y365" s="43">
        <f>IFERROR(Y359/H359,"0")+IFERROR(Y360/H360,"0")+IFERROR(Y361/H361,"0")+IFERROR(Y362/H362,"0")+IFERROR(Y363/H363,"0")+IFERROR(Y364/H364,"0")</f>
        <v>5</v>
      </c>
      <c r="Z365" s="43">
        <f>IFERROR(IF(Z359="",0,Z359),"0")+IFERROR(IF(Z360="",0,Z360),"0")+IFERROR(IF(Z361="",0,Z361),"0")+IFERROR(IF(Z362="",0,Z362),"0")+IFERROR(IF(Z363="",0,Z363),"0")+IFERROR(IF(Z364="",0,Z364),"0")</f>
        <v>9.4899999999999998E-2</v>
      </c>
      <c r="AA365" s="67"/>
      <c r="AB365" s="67"/>
      <c r="AC365" s="67"/>
    </row>
    <row r="366" spans="1:68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50</v>
      </c>
      <c r="Y366" s="43">
        <f>IFERROR(SUM(Y359:Y364),"0")</f>
        <v>54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175</v>
      </c>
      <c r="Y372" s="55">
        <f t="shared" si="59"/>
        <v>176.4</v>
      </c>
      <c r="Z372" s="41">
        <f>IFERROR(IF(Y372=0,"",ROUNDUP(Y372/H372,0)*0.00502),"")</f>
        <v>0.42168</v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183.33333333333334</v>
      </c>
      <c r="BN372" s="78">
        <f t="shared" si="61"/>
        <v>184.8</v>
      </c>
      <c r="BO372" s="78">
        <f t="shared" si="62"/>
        <v>0.35612535612535612</v>
      </c>
      <c r="BP372" s="78">
        <f t="shared" si="63"/>
        <v>0.35897435897435903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27</v>
      </c>
      <c r="Y374" s="55">
        <f t="shared" si="59"/>
        <v>27</v>
      </c>
      <c r="Z374" s="41">
        <f>IFERROR(IF(Y374=0,"",ROUNDUP(Y374/H374,0)*0.00651),"")</f>
        <v>9.7650000000000001E-2</v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30.419999999999998</v>
      </c>
      <c r="BN374" s="78">
        <f t="shared" si="61"/>
        <v>30.419999999999998</v>
      </c>
      <c r="BO374" s="78">
        <f t="shared" si="62"/>
        <v>8.241758241758243E-2</v>
      </c>
      <c r="BP374" s="78">
        <f t="shared" si="63"/>
        <v>8.241758241758243E-2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98.333333333333329</v>
      </c>
      <c r="Y375" s="43">
        <f>IFERROR(Y368/H368,"0")+IFERROR(Y369/H369,"0")+IFERROR(Y370/H370,"0")+IFERROR(Y371/H371,"0")+IFERROR(Y372/H372,"0")+IFERROR(Y373/H373,"0")+IFERROR(Y374/H374,"0")</f>
        <v>99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0.51932999999999996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202</v>
      </c>
      <c r="Y376" s="43">
        <f>IFERROR(SUM(Y368:Y374),"0")</f>
        <v>203.4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300</v>
      </c>
      <c r="Y385" s="55">
        <f>IFERROR(IF(X385="",0,CEILING((X385/$H385),1)*$H385),"")</f>
        <v>302.40000000000003</v>
      </c>
      <c r="Z385" s="41">
        <f>IFERROR(IF(Y385=0,"",ROUNDUP(Y385/H385,0)*0.01898),"")</f>
        <v>0.68328</v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317.64285714285711</v>
      </c>
      <c r="BN385" s="78">
        <f>IFERROR(Y385*I385/H385,"0")</f>
        <v>320.18400000000003</v>
      </c>
      <c r="BO385" s="78">
        <f>IFERROR(1/J385*(X385/H385),"0")</f>
        <v>0.5580357142857143</v>
      </c>
      <c r="BP385" s="78">
        <f>IFERROR(1/J385*(Y385/H385),"0")</f>
        <v>0.5625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300</v>
      </c>
      <c r="Y386" s="55">
        <f>IFERROR(IF(X386="",0,CEILING((X386/$H386),1)*$H386),"")</f>
        <v>304.2</v>
      </c>
      <c r="Z386" s="41">
        <f>IFERROR(IF(Y386=0,"",ROUNDUP(Y386/H386,0)*0.01898),"")</f>
        <v>0.74021999999999999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319.00000000000006</v>
      </c>
      <c r="BN386" s="78">
        <f>IFERROR(Y386*I386/H386,"0")</f>
        <v>323.46600000000001</v>
      </c>
      <c r="BO386" s="78">
        <f>IFERROR(1/J386*(X386/H386),"0")</f>
        <v>0.60096153846153844</v>
      </c>
      <c r="BP386" s="78">
        <f>IFERROR(1/J386*(Y386/H386),"0")</f>
        <v>0.609375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100</v>
      </c>
      <c r="Y387" s="55">
        <f>IFERROR(IF(X387="",0,CEILING((X387/$H387),1)*$H387),"")</f>
        <v>100.80000000000001</v>
      </c>
      <c r="Z387" s="41">
        <f>IFERROR(IF(Y387=0,"",ROUNDUP(Y387/H387,0)*0.01898),"")</f>
        <v>0.22776000000000002</v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105.88095238095238</v>
      </c>
      <c r="BN387" s="78">
        <f>IFERROR(Y387*I387/H387,"0")</f>
        <v>106.72800000000001</v>
      </c>
      <c r="BO387" s="78">
        <f>IFERROR(1/J387*(X387/H387),"0")</f>
        <v>0.18601190476190477</v>
      </c>
      <c r="BP387" s="78">
        <f>IFERROR(1/J387*(Y387/H387),"0")</f>
        <v>0.1875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86.080586080586073</v>
      </c>
      <c r="Y388" s="43">
        <f>IFERROR(Y385/H385,"0")+IFERROR(Y386/H386,"0")+IFERROR(Y387/H387,"0")</f>
        <v>87</v>
      </c>
      <c r="Z388" s="43">
        <f>IFERROR(IF(Z385="",0,Z385),"0")+IFERROR(IF(Z386="",0,Z386),"0")+IFERROR(IF(Z387="",0,Z387),"0")</f>
        <v>1.65126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700</v>
      </c>
      <c r="Y389" s="43">
        <f>IFERROR(SUM(Y385:Y387),"0")</f>
        <v>707.40000000000009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25</v>
      </c>
      <c r="Y404" s="55">
        <f>IFERROR(IF(X404="",0,CEILING((X404/$H404),1)*$H404),"")</f>
        <v>27</v>
      </c>
      <c r="Z404" s="41">
        <f>IFERROR(IF(Y404=0,"",ROUNDUP(Y404/H404,0)*0.0045),"")</f>
        <v>4.0499999999999994E-2</v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26.833333333333332</v>
      </c>
      <c r="BN404" s="78">
        <f>IFERROR(Y404*I404/H404,"0")</f>
        <v>28.980000000000004</v>
      </c>
      <c r="BO404" s="78">
        <f>IFERROR(1/J404*(X404/H404),"0")</f>
        <v>3.7202380952380952E-2</v>
      </c>
      <c r="BP404" s="78">
        <f>IFERROR(1/J404*(Y404/H404),"0")</f>
        <v>4.0178571428571425E-2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8.3333333333333339</v>
      </c>
      <c r="Y407" s="43">
        <f>IFERROR(Y404/H404,"0")+IFERROR(Y405/H405,"0")+IFERROR(Y406/H406,"0")</f>
        <v>9</v>
      </c>
      <c r="Z407" s="43">
        <f>IFERROR(IF(Z404="",0,Z404),"0")+IFERROR(IF(Z405="",0,Z405),"0")+IFERROR(IF(Z406="",0,Z406),"0")</f>
        <v>4.0499999999999994E-2</v>
      </c>
      <c r="AA407" s="67"/>
      <c r="AB407" s="67"/>
      <c r="AC407" s="67"/>
    </row>
    <row r="408" spans="1:68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25</v>
      </c>
      <c r="Y408" s="43">
        <f>IFERROR(SUM(Y404:Y406),"0")</f>
        <v>27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560</v>
      </c>
      <c r="Y418" s="55">
        <f>IFERROR(IF(X418="",0,CEILING((X418/$H418),1)*$H418),"")</f>
        <v>560.70000000000005</v>
      </c>
      <c r="Z418" s="41">
        <f>IFERROR(IF(Y418=0,"",ROUNDUP(Y418/H418,0)*0.00651),"")</f>
        <v>1.73817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627.19999999999993</v>
      </c>
      <c r="BN418" s="78">
        <f>IFERROR(Y418*I418/H418,"0")</f>
        <v>627.98399999999992</v>
      </c>
      <c r="BO418" s="78">
        <f>IFERROR(1/J418*(X418/H418),"0")</f>
        <v>1.4652014652014651</v>
      </c>
      <c r="BP418" s="78">
        <f>IFERROR(1/J418*(Y418/H418),"0")</f>
        <v>1.4670329670329672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560</v>
      </c>
      <c r="Y419" s="55">
        <f>IFERROR(IF(X419="",0,CEILING((X419/$H419),1)*$H419),"")</f>
        <v>560.70000000000005</v>
      </c>
      <c r="Z419" s="41">
        <f>IFERROR(IF(Y419=0,"",ROUNDUP(Y419/H419,0)*0.00651),"")</f>
        <v>1.73817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623.99999999999989</v>
      </c>
      <c r="BN419" s="78">
        <f>IFERROR(Y419*I419/H419,"0")</f>
        <v>624.78</v>
      </c>
      <c r="BO419" s="78">
        <f>IFERROR(1/J419*(X419/H419),"0")</f>
        <v>1.4652014652014651</v>
      </c>
      <c r="BP419" s="78">
        <f>IFERROR(1/J419*(Y419/H419),"0")</f>
        <v>1.4670329670329672</v>
      </c>
    </row>
    <row r="420" spans="1:68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533.33333333333326</v>
      </c>
      <c r="Y420" s="43">
        <f>IFERROR(Y417/H417,"0")+IFERROR(Y418/H418,"0")+IFERROR(Y419/H419,"0")</f>
        <v>534</v>
      </c>
      <c r="Z420" s="43">
        <f>IFERROR(IF(Z417="",0,Z417),"0")+IFERROR(IF(Z418="",0,Z418),"0")+IFERROR(IF(Z419="",0,Z419),"0")</f>
        <v>3.47634</v>
      </c>
      <c r="AA420" s="67"/>
      <c r="AB420" s="67"/>
      <c r="AC420" s="67"/>
    </row>
    <row r="421" spans="1:68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1120</v>
      </c>
      <c r="Y421" s="43">
        <f>IFERROR(SUM(Y417:Y419),"0")</f>
        <v>1121.4000000000001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200</v>
      </c>
      <c r="Y425" s="55">
        <f t="shared" ref="Y425:Y432" si="64">IFERROR(IF(X425="",0,CEILING((X425/$H425),1)*$H425),"")</f>
        <v>210</v>
      </c>
      <c r="Z425" s="41">
        <f>IFERROR(IF(Y425=0,"",ROUNDUP(Y425/H425,0)*0.02175),"")</f>
        <v>0.30449999999999999</v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206.26666666666668</v>
      </c>
      <c r="BN425" s="78">
        <f t="shared" ref="BN425:BN432" si="66">IFERROR(Y425*I425/H425,"0")</f>
        <v>216.58</v>
      </c>
      <c r="BO425" s="78">
        <f t="shared" ref="BO425:BO432" si="67">IFERROR(1/J425*(X425/H425),"0")</f>
        <v>0.27777777777777779</v>
      </c>
      <c r="BP425" s="78">
        <f t="shared" ref="BP425:BP432" si="68">IFERROR(1/J425*(Y425/H425),"0")</f>
        <v>0.29166666666666663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13.333333333333334</v>
      </c>
      <c r="Y433" s="43">
        <f>IFERROR(Y425/H425,"0")+IFERROR(Y426/H426,"0")+IFERROR(Y427/H427,"0")+IFERROR(Y428/H428,"0")+IFERROR(Y429/H429,"0")+IFERROR(Y430/H430,"0")+IFERROR(Y431/H431,"0")+IFERROR(Y432/H432,"0")</f>
        <v>14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0.30449999999999999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200</v>
      </c>
      <c r="Y434" s="43">
        <f>IFERROR(SUM(Y425:Y432),"0")</f>
        <v>210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100</v>
      </c>
      <c r="Y437" s="55">
        <f>IFERROR(IF(X437="",0,CEILING((X437/$H437),1)*$H437),"")</f>
        <v>105</v>
      </c>
      <c r="Z437" s="41">
        <f>IFERROR(IF(Y437=0,"",ROUNDUP(Y437/H437,0)*0.02175),"")</f>
        <v>0.15225</v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103.13333333333334</v>
      </c>
      <c r="BN437" s="78">
        <f>IFERROR(Y437*I437/H437,"0")</f>
        <v>108.29</v>
      </c>
      <c r="BO437" s="78">
        <f>IFERROR(1/J437*(X437/H437),"0")</f>
        <v>0.1388888888888889</v>
      </c>
      <c r="BP437" s="78">
        <f>IFERROR(1/J437*(Y437/H437),"0")</f>
        <v>0.14583333333333331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6.666666666666667</v>
      </c>
      <c r="Y439" s="43">
        <f>IFERROR(Y436/H436,"0")+IFERROR(Y437/H437,"0")+IFERROR(Y438/H438,"0")</f>
        <v>7</v>
      </c>
      <c r="Z439" s="43">
        <f>IFERROR(IF(Z436="",0,Z436),"0")+IFERROR(IF(Z437="",0,Z437),"0")+IFERROR(IF(Z438="",0,Z438),"0")</f>
        <v>0.15225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100</v>
      </c>
      <c r="Y440" s="43">
        <f>IFERROR(SUM(Y436:Y438),"0")</f>
        <v>105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50</v>
      </c>
      <c r="Y443" s="55">
        <f>IFERROR(IF(X443="",0,CEILING((X443/$H443),1)*$H443),"")</f>
        <v>54</v>
      </c>
      <c r="Z443" s="41">
        <f>IFERROR(IF(Y443=0,"",ROUNDUP(Y443/H443,0)*0.01898),"")</f>
        <v>0.11388000000000001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52.74444444444444</v>
      </c>
      <c r="BN443" s="78">
        <f>IFERROR(Y443*I443/H443,"0")</f>
        <v>56.963999999999992</v>
      </c>
      <c r="BO443" s="78">
        <f>IFERROR(1/J443*(X443/H443),"0")</f>
        <v>8.6805555555555552E-2</v>
      </c>
      <c r="BP443" s="78">
        <f>IFERROR(1/J443*(Y443/H443),"0")</f>
        <v>9.375E-2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5.5555555555555554</v>
      </c>
      <c r="Y445" s="43">
        <f>IFERROR(Y442/H442,"0")+IFERROR(Y443/H443,"0")+IFERROR(Y444/H444,"0")</f>
        <v>6</v>
      </c>
      <c r="Z445" s="43">
        <f>IFERROR(IF(Z442="",0,Z442),"0")+IFERROR(IF(Z443="",0,Z443),"0")+IFERROR(IF(Z444="",0,Z444),"0")</f>
        <v>0.11388000000000001</v>
      </c>
      <c r="AA445" s="67"/>
      <c r="AB445" s="67"/>
      <c r="AC445" s="67"/>
    </row>
    <row r="446" spans="1:68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50</v>
      </c>
      <c r="Y446" s="43">
        <f>IFERROR(SUM(Y442:Y444),"0")</f>
        <v>54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60</v>
      </c>
      <c r="Y449" s="55">
        <f>IFERROR(IF(X449="",0,CEILING((X449/$H449),1)*$H449),"")</f>
        <v>63</v>
      </c>
      <c r="Z449" s="41">
        <f>IFERROR(IF(Y449=0,"",ROUNDUP(Y449/H449,0)*0.01898),"")</f>
        <v>0.13286000000000001</v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63.293333333333329</v>
      </c>
      <c r="BN449" s="78">
        <f>IFERROR(Y449*I449/H449,"0")</f>
        <v>66.457999999999998</v>
      </c>
      <c r="BO449" s="78">
        <f>IFERROR(1/J449*(X449/H449),"0")</f>
        <v>0.10416666666666667</v>
      </c>
      <c r="BP449" s="78">
        <f>IFERROR(1/J449*(Y449/H449),"0")</f>
        <v>0.109375</v>
      </c>
    </row>
    <row r="450" spans="1:68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6.666666666666667</v>
      </c>
      <c r="Y450" s="43">
        <f>IFERROR(Y448/H448,"0")+IFERROR(Y449/H449,"0")</f>
        <v>7</v>
      </c>
      <c r="Z450" s="43">
        <f>IFERROR(IF(Z448="",0,Z448),"0")+IFERROR(IF(Z449="",0,Z449),"0")</f>
        <v>0.13286000000000001</v>
      </c>
      <c r="AA450" s="67"/>
      <c r="AB450" s="67"/>
      <c r="AC450" s="67"/>
    </row>
    <row r="451" spans="1:68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60</v>
      </c>
      <c r="Y451" s="43">
        <f>IFERROR(SUM(Y448:Y449),"0")</f>
        <v>63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50</v>
      </c>
      <c r="Y454" s="55">
        <f>IFERROR(IF(X454="",0,CEILING((X454/$H454),1)*$H454),"")</f>
        <v>60</v>
      </c>
      <c r="Z454" s="41">
        <f>IFERROR(IF(Y454=0,"",ROUNDUP(Y454/H454,0)*0.01898),"")</f>
        <v>9.4899999999999998E-2</v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51.708333333333336</v>
      </c>
      <c r="BN454" s="78">
        <f>IFERROR(Y454*I454/H454,"0")</f>
        <v>62.050000000000004</v>
      </c>
      <c r="BO454" s="78">
        <f>IFERROR(1/J454*(X454/H454),"0")</f>
        <v>6.5104166666666671E-2</v>
      </c>
      <c r="BP454" s="78">
        <f>IFERROR(1/J454*(Y454/H454),"0")</f>
        <v>7.8125E-2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4.166666666666667</v>
      </c>
      <c r="Y456" s="43">
        <f>IFERROR(Y454/H454,"0")+IFERROR(Y455/H455,"0")</f>
        <v>5</v>
      </c>
      <c r="Z456" s="43">
        <f>IFERROR(IF(Z454="",0,Z454),"0")+IFERROR(IF(Z455="",0,Z455),"0")</f>
        <v>9.4899999999999998E-2</v>
      </c>
      <c r="AA456" s="67"/>
      <c r="AB456" s="67"/>
      <c r="AC456" s="67"/>
    </row>
    <row r="457" spans="1:68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50</v>
      </c>
      <c r="Y457" s="43">
        <f>IFERROR(SUM(Y454:Y455),"0")</f>
        <v>60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60</v>
      </c>
      <c r="Y463" s="55">
        <f>IFERROR(IF(X463="",0,CEILING((X463/$H463),1)*$H463),"")</f>
        <v>63</v>
      </c>
      <c r="Z463" s="41">
        <f>IFERROR(IF(Y463=0,"",ROUNDUP(Y463/H463,0)*0.01898),"")</f>
        <v>0.13286000000000001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63.293333333333329</v>
      </c>
      <c r="BN463" s="78">
        <f>IFERROR(Y463*I463/H463,"0")</f>
        <v>66.457999999999998</v>
      </c>
      <c r="BO463" s="78">
        <f>IFERROR(1/J463*(X463/H463),"0")</f>
        <v>0.10416666666666667</v>
      </c>
      <c r="BP463" s="78">
        <f>IFERROR(1/J463*(Y463/H463),"0")</f>
        <v>0.109375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6.666666666666667</v>
      </c>
      <c r="Y466" s="43">
        <f>IFERROR(Y463/H463,"0")+IFERROR(Y464/H464,"0")+IFERROR(Y465/H465,"0")</f>
        <v>7</v>
      </c>
      <c r="Z466" s="43">
        <f>IFERROR(IF(Z463="",0,Z463),"0")+IFERROR(IF(Z464="",0,Z464),"0")+IFERROR(IF(Z465="",0,Z465),"0")</f>
        <v>0.13286000000000001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60</v>
      </c>
      <c r="Y467" s="43">
        <f>IFERROR(SUM(Y463:Y465),"0")</f>
        <v>63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60</v>
      </c>
      <c r="Y498" s="55">
        <f t="shared" ref="Y498:Y506" si="74">IFERROR(IF(X498="",0,CEILING((X498/$H498),1)*$H498),"")</f>
        <v>63.36</v>
      </c>
      <c r="Z498" s="41">
        <f t="shared" ref="Z498:Z503" si="75">IFERROR(IF(Y498=0,"",ROUNDUP(Y498/H498,0)*0.01196),"")</f>
        <v>0.14352000000000001</v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63.977272727272727</v>
      </c>
      <c r="BN498" s="78">
        <f t="shared" ref="BN498:BN506" si="77">IFERROR(Y498*I498/H498,"0")</f>
        <v>67.559999999999988</v>
      </c>
      <c r="BO498" s="78">
        <f t="shared" ref="BO498:BO506" si="78">IFERROR(1/J498*(X498/H498),"0")</f>
        <v>0.10926573426573427</v>
      </c>
      <c r="BP498" s="78">
        <f t="shared" ref="BP498:BP506" si="79">IFERROR(1/J498*(Y498/H498),"0")</f>
        <v>0.11538461538461539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90</v>
      </c>
      <c r="Y501" s="55">
        <f t="shared" si="74"/>
        <v>95.04</v>
      </c>
      <c r="Z501" s="41">
        <f t="shared" si="75"/>
        <v>0.21528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95.965909090909079</v>
      </c>
      <c r="BN501" s="78">
        <f t="shared" si="77"/>
        <v>101.33999999999999</v>
      </c>
      <c r="BO501" s="78">
        <f t="shared" si="78"/>
        <v>0.16389860139860138</v>
      </c>
      <c r="BP501" s="78">
        <f t="shared" si="79"/>
        <v>0.17307692307692307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200</v>
      </c>
      <c r="Y503" s="55">
        <f t="shared" si="74"/>
        <v>200.64000000000001</v>
      </c>
      <c r="Z503" s="41">
        <f t="shared" si="75"/>
        <v>0.45448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213.25757575757575</v>
      </c>
      <c r="BN503" s="78">
        <f t="shared" si="77"/>
        <v>213.94</v>
      </c>
      <c r="BO503" s="78">
        <f t="shared" si="78"/>
        <v>0.36421911421911418</v>
      </c>
      <c r="BP503" s="78">
        <f t="shared" si="79"/>
        <v>0.36538461538461542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90</v>
      </c>
      <c r="Y505" s="55">
        <f t="shared" si="74"/>
        <v>91.2</v>
      </c>
      <c r="Z505" s="41">
        <f>IFERROR(IF(Y505=0,"",ROUNDUP(Y505/H505,0)*0.00902),"")</f>
        <v>0.17138</v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129.5625</v>
      </c>
      <c r="BN505" s="78">
        <f t="shared" si="77"/>
        <v>131.29000000000002</v>
      </c>
      <c r="BO505" s="78">
        <f t="shared" si="78"/>
        <v>0.14204545454545456</v>
      </c>
      <c r="BP505" s="78">
        <f t="shared" si="79"/>
        <v>0.14393939393939395</v>
      </c>
    </row>
    <row r="506" spans="1:68" ht="27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210</v>
      </c>
      <c r="Y506" s="55">
        <f t="shared" si="74"/>
        <v>211.2</v>
      </c>
      <c r="Z506" s="41">
        <f>IFERROR(IF(Y506=0,"",ROUNDUP(Y506/H506,0)*0.00902),"")</f>
        <v>0.39688000000000001</v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302.31250000000006</v>
      </c>
      <c r="BN506" s="78">
        <f t="shared" si="77"/>
        <v>304.04000000000002</v>
      </c>
      <c r="BO506" s="78">
        <f t="shared" si="78"/>
        <v>0.33143939393939392</v>
      </c>
      <c r="BP506" s="78">
        <f t="shared" si="79"/>
        <v>0.33333333333333337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128.78787878787878</v>
      </c>
      <c r="Y507" s="43">
        <f>IFERROR(Y498/H498,"0")+IFERROR(Y499/H499,"0")+IFERROR(Y500/H500,"0")+IFERROR(Y501/H501,"0")+IFERROR(Y502/H502,"0")+IFERROR(Y503/H503,"0")+IFERROR(Y504/H504,"0")+IFERROR(Y505/H505,"0")+IFERROR(Y506/H506,"0")</f>
        <v>131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1.38154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650</v>
      </c>
      <c r="Y508" s="43">
        <f>IFERROR(SUM(Y498:Y506),"0")</f>
        <v>661.44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300</v>
      </c>
      <c r="Y510" s="55">
        <f>IFERROR(IF(X510="",0,CEILING((X510/$H510),1)*$H510),"")</f>
        <v>300.96000000000004</v>
      </c>
      <c r="Z510" s="41">
        <f>IFERROR(IF(Y510=0,"",ROUNDUP(Y510/H510,0)*0.01196),"")</f>
        <v>0.68171999999999999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319.88636363636363</v>
      </c>
      <c r="BN510" s="78">
        <f>IFERROR(Y510*I510/H510,"0")</f>
        <v>320.91000000000003</v>
      </c>
      <c r="BO510" s="78">
        <f>IFERROR(1/J510*(X510/H510),"0")</f>
        <v>0.54632867132867136</v>
      </c>
      <c r="BP510" s="78">
        <f>IFERROR(1/J510*(Y510/H510),"0")</f>
        <v>0.54807692307692313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90</v>
      </c>
      <c r="Y512" s="55">
        <f>IFERROR(IF(X512="",0,CEILING((X512/$H512),1)*$H512),"")</f>
        <v>91.2</v>
      </c>
      <c r="Z512" s="41">
        <f>IFERROR(IF(Y512=0,"",ROUNDUP(Y512/H512,0)*0.00902),"")</f>
        <v>0.17138</v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129.5625</v>
      </c>
      <c r="BN512" s="78">
        <f>IFERROR(Y512*I512/H512,"0")</f>
        <v>131.29000000000002</v>
      </c>
      <c r="BO512" s="78">
        <f>IFERROR(1/J512*(X512/H512),"0")</f>
        <v>0.14204545454545456</v>
      </c>
      <c r="BP512" s="78">
        <f>IFERROR(1/J512*(Y512/H512),"0")</f>
        <v>0.14393939393939395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75.568181818181813</v>
      </c>
      <c r="Y513" s="43">
        <f>IFERROR(Y510/H510,"0")+IFERROR(Y511/H511,"0")+IFERROR(Y512/H512,"0")</f>
        <v>76</v>
      </c>
      <c r="Z513" s="43">
        <f>IFERROR(IF(Z510="",0,Z510),"0")+IFERROR(IF(Z511="",0,Z511),"0")+IFERROR(IF(Z512="",0,Z512),"0")</f>
        <v>0.85309999999999997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390</v>
      </c>
      <c r="Y514" s="43">
        <f>IFERROR(SUM(Y510:Y512),"0")</f>
        <v>392.16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60</v>
      </c>
      <c r="Y516" s="55">
        <f t="shared" ref="Y516:Y522" si="80">IFERROR(IF(X516="",0,CEILING((X516/$H516),1)*$H516),"")</f>
        <v>63.36</v>
      </c>
      <c r="Z516" s="41">
        <f>IFERROR(IF(Y516=0,"",ROUNDUP(Y516/H516,0)*0.01196),"")</f>
        <v>0.14352000000000001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63.977272727272727</v>
      </c>
      <c r="BN516" s="78">
        <f t="shared" ref="BN516:BN522" si="82">IFERROR(Y516*I516/H516,"0")</f>
        <v>67.559999999999988</v>
      </c>
      <c r="BO516" s="78">
        <f t="shared" ref="BO516:BO522" si="83">IFERROR(1/J516*(X516/H516),"0")</f>
        <v>0.10926573426573427</v>
      </c>
      <c r="BP516" s="78">
        <f t="shared" ref="BP516:BP522" si="84">IFERROR(1/J516*(Y516/H516),"0")</f>
        <v>0.11538461538461539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60</v>
      </c>
      <c r="Y517" s="55">
        <f t="shared" si="80"/>
        <v>63.36</v>
      </c>
      <c r="Z517" s="41">
        <f>IFERROR(IF(Y517=0,"",ROUNDUP(Y517/H517,0)*0.01196),"")</f>
        <v>0.14352000000000001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63.977272727272727</v>
      </c>
      <c r="BN517" s="78">
        <f t="shared" si="82"/>
        <v>67.559999999999988</v>
      </c>
      <c r="BO517" s="78">
        <f t="shared" si="83"/>
        <v>0.10926573426573427</v>
      </c>
      <c r="BP517" s="78">
        <f t="shared" si="84"/>
        <v>0.11538461538461539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100</v>
      </c>
      <c r="Y518" s="55">
        <f t="shared" si="80"/>
        <v>100.32000000000001</v>
      </c>
      <c r="Z518" s="41">
        <f>IFERROR(IF(Y518=0,"",ROUNDUP(Y518/H518,0)*0.01196),"")</f>
        <v>0.22724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106.62878787878788</v>
      </c>
      <c r="BN518" s="78">
        <f t="shared" si="82"/>
        <v>106.97</v>
      </c>
      <c r="BO518" s="78">
        <f t="shared" si="83"/>
        <v>0.18210955710955709</v>
      </c>
      <c r="BP518" s="78">
        <f t="shared" si="84"/>
        <v>0.18269230769230771</v>
      </c>
    </row>
    <row r="519" spans="1:68" ht="27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60</v>
      </c>
      <c r="Y519" s="55">
        <f t="shared" si="80"/>
        <v>62.4</v>
      </c>
      <c r="Z519" s="41">
        <f>IFERROR(IF(Y519=0,"",ROUNDUP(Y519/H519,0)*0.00902),"")</f>
        <v>0.11726</v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86.375000000000014</v>
      </c>
      <c r="BN519" s="78">
        <f t="shared" si="82"/>
        <v>89.830000000000013</v>
      </c>
      <c r="BO519" s="78">
        <f t="shared" si="83"/>
        <v>9.4696969696969696E-2</v>
      </c>
      <c r="BP519" s="78">
        <f t="shared" si="84"/>
        <v>9.8484848484848481E-2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30</v>
      </c>
      <c r="Y521" s="55">
        <f t="shared" si="80"/>
        <v>33.6</v>
      </c>
      <c r="Z521" s="41">
        <f>IFERROR(IF(Y521=0,"",ROUNDUP(Y521/H521,0)*0.00902),"")</f>
        <v>6.3140000000000002E-2</v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41.6875</v>
      </c>
      <c r="BN521" s="78">
        <f t="shared" si="82"/>
        <v>46.69</v>
      </c>
      <c r="BO521" s="78">
        <f t="shared" si="83"/>
        <v>4.7348484848484848E-2</v>
      </c>
      <c r="BP521" s="78">
        <f t="shared" si="84"/>
        <v>5.3030303030303039E-2</v>
      </c>
    </row>
    <row r="522" spans="1:68" ht="27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120</v>
      </c>
      <c r="Y522" s="55">
        <f t="shared" si="80"/>
        <v>120</v>
      </c>
      <c r="Z522" s="41">
        <f>IFERROR(IF(Y522=0,"",ROUNDUP(Y522/H522,0)*0.00902),"")</f>
        <v>0.22550000000000001</v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166.75</v>
      </c>
      <c r="BN522" s="78">
        <f t="shared" si="82"/>
        <v>166.75</v>
      </c>
      <c r="BO522" s="78">
        <f t="shared" si="83"/>
        <v>0.18939393939393939</v>
      </c>
      <c r="BP522" s="78">
        <f t="shared" si="84"/>
        <v>0.18939393939393939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85.416666666666657</v>
      </c>
      <c r="Y523" s="43">
        <f>IFERROR(Y516/H516,"0")+IFERROR(Y517/H517,"0")+IFERROR(Y518/H518,"0")+IFERROR(Y519/H519,"0")+IFERROR(Y520/H520,"0")+IFERROR(Y521/H521,"0")+IFERROR(Y522/H522,"0")</f>
        <v>88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0.92018000000000011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430</v>
      </c>
      <c r="Y524" s="43">
        <f>IFERROR(SUM(Y516:Y522),"0")</f>
        <v>443.04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100</v>
      </c>
      <c r="Y528" s="55">
        <f>IFERROR(IF(X528="",0,CEILING((X528/$H528),1)*$H528),"")</f>
        <v>108</v>
      </c>
      <c r="Z528" s="41">
        <f>IFERROR(IF(Y528=0,"",ROUNDUP(Y528/H528,0)*0.01898),"")</f>
        <v>0.17082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103.41666666666667</v>
      </c>
      <c r="BN528" s="78">
        <f>IFERROR(Y528*I528/H528,"0")</f>
        <v>111.69</v>
      </c>
      <c r="BO528" s="78">
        <f>IFERROR(1/J528*(X528/H528),"0")</f>
        <v>0.13020833333333334</v>
      </c>
      <c r="BP528" s="78">
        <f>IFERROR(1/J528*(Y528/H528),"0")</f>
        <v>0.140625</v>
      </c>
    </row>
    <row r="529" spans="1:68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8.3333333333333339</v>
      </c>
      <c r="Y529" s="43">
        <f>IFERROR(Y528/H528,"0")</f>
        <v>9</v>
      </c>
      <c r="Z529" s="43">
        <f>IFERROR(IF(Z528="",0,Z528),"0")</f>
        <v>0.17082</v>
      </c>
      <c r="AA529" s="67"/>
      <c r="AB529" s="67"/>
      <c r="AC529" s="67"/>
    </row>
    <row r="530" spans="1:68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100</v>
      </c>
      <c r="Y530" s="43">
        <f>IFERROR(SUM(Y528:Y528),"0")</f>
        <v>108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380</v>
      </c>
      <c r="Y540" s="55">
        <f>IFERROR(IF(X540="",0,CEILING((X540/$H540),1)*$H540),"")</f>
        <v>387</v>
      </c>
      <c r="Z540" s="41">
        <f>IFERROR(IF(Y540=0,"",ROUNDUP(Y540/H540,0)*0.01898),"")</f>
        <v>0.81613999999999998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400.85777777777776</v>
      </c>
      <c r="BN540" s="78">
        <f>IFERROR(Y540*I540/H540,"0")</f>
        <v>408.24199999999996</v>
      </c>
      <c r="BO540" s="78">
        <f>IFERROR(1/J540*(X540/H540),"0")</f>
        <v>0.65972222222222221</v>
      </c>
      <c r="BP540" s="78">
        <f>IFERROR(1/J540*(Y540/H540),"0")</f>
        <v>0.671875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42.222222222222221</v>
      </c>
      <c r="Y541" s="43">
        <f>IFERROR(Y540/H540,"0")</f>
        <v>43</v>
      </c>
      <c r="Z541" s="43">
        <f>IFERROR(IF(Z540="",0,Z540),"0")</f>
        <v>0.81613999999999998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380</v>
      </c>
      <c r="Y542" s="43">
        <f>IFERROR(SUM(Y540:Y540),"0")</f>
        <v>387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17372.599999999999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17563.52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18724.837174800512</v>
      </c>
      <c r="Y554" s="43">
        <f>IFERROR(SUM(BN22:BN550),"0")</f>
        <v>18929.274000000001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34</v>
      </c>
      <c r="Y555" s="44">
        <f>ROUNDUP(SUM(BP22:BP550),0)</f>
        <v>35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19574.837174800512</v>
      </c>
      <c r="Y556" s="43">
        <f>GrossWeightTotalR+PalletQtyTotalR*25</f>
        <v>19804.274000000001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4720.0113932470285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4753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40.952149999999996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96</v>
      </c>
      <c r="D563" s="52">
        <f>IFERROR(Y48*1,"0")+IFERROR(Y49*1,"0")+IFERROR(Y50*1,"0")+IFERROR(Y51*1,"0")</f>
        <v>685.2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1069.8</v>
      </c>
      <c r="F563" s="52">
        <f>IFERROR(Y83*1,"0")+IFERROR(Y84*1,"0")+IFERROR(Y85*1,"0")+IFERROR(Y86*1,"0")+IFERROR(Y90*1,"0")+IFERROR(Y91*1,"0")+IFERROR(Y92*1,"0")+IFERROR(Y93*1,"0")</f>
        <v>2043.9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2512.6200000000003</v>
      </c>
      <c r="H563" s="52">
        <f>IFERROR(Y128*1,"0")+IFERROR(Y129*1,"0")+IFERROR(Y130*1,"0")+IFERROR(Y134*1,"0")+IFERROR(Y135*1,"0")+IFERROR(Y136*1,"0")+IFERROR(Y137*1,"0")+IFERROR(Y141*1,"0")+IFERROR(Y142*1,"0")+IFERROR(Y143*1,"0")</f>
        <v>180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1082.8599999999999</v>
      </c>
      <c r="K563" s="52">
        <f>IFERROR(Y204*1,"0")+IFERROR(Y205*1,"0")+IFERROR(Y206*1,"0")+IFERROR(Y207*1,"0")+IFERROR(Y208*1,"0")+IFERROR(Y209*1,"0")+IFERROR(Y210*1,"0")</f>
        <v>302.40000000000003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608.40000000000009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2728.8000000000006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249.1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681.6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662.99999999999989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991.8</v>
      </c>
      <c r="U563" s="52">
        <f>IFERROR(Y411*1,"0")+IFERROR(Y412*1,"0")</f>
        <v>0</v>
      </c>
      <c r="V563" s="52">
        <f>IFERROR(Y417*1,"0")+IFERROR(Y418*1,"0")+IFERROR(Y419*1,"0")</f>
        <v>1121.4000000000001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432</v>
      </c>
      <c r="X563" s="52">
        <f>IFERROR(Y454*1,"0")+IFERROR(Y455*1,"0")+IFERROR(Y459*1,"0")+IFERROR(Y463*1,"0")+IFERROR(Y464*1,"0")+IFERROR(Y465*1,"0")</f>
        <v>123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1496.6399999999999</v>
      </c>
      <c r="AB563" s="52">
        <f>IFERROR(Y528*1,"0")+IFERROR(Y532*1,"0")+IFERROR(Y536*1,"0")+IFERROR(Y540*1,"0")+IFERROR(Y544*1,"0")+IFERROR(Y545*1,"0")</f>
        <v>495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67,00"/>
        <filter val="1 120,00"/>
        <filter val="1 280,00"/>
        <filter val="1 285,00"/>
        <filter val="1 810,00"/>
        <filter val="10,50"/>
        <filter val="100,00"/>
        <filter val="105,00"/>
        <filter val="112,00"/>
        <filter val="12,00"/>
        <filter val="12,78"/>
        <filter val="120,00"/>
        <filter val="128,79"/>
        <filter val="13,33"/>
        <filter val="130,00"/>
        <filter val="135,00"/>
        <filter val="138,52"/>
        <filter val="14,40"/>
        <filter val="140,00"/>
        <filter val="150,00"/>
        <filter val="16,67"/>
        <filter val="17 372,60"/>
        <filter val="171,11"/>
        <filter val="175,00"/>
        <filter val="18 724,84"/>
        <filter val="18,00"/>
        <filter val="18,75"/>
        <filter val="185,00"/>
        <filter val="189,26"/>
        <filter val="19 574,84"/>
        <filter val="2,50"/>
        <filter val="20,00"/>
        <filter val="20,50"/>
        <filter val="200,00"/>
        <filter val="202,00"/>
        <filter val="210,00"/>
        <filter val="22,22"/>
        <filter val="25,00"/>
        <filter val="250,00"/>
        <filter val="255,48"/>
        <filter val="27,00"/>
        <filter val="27,59"/>
        <filter val="27,78"/>
        <filter val="28,00"/>
        <filter val="280,00"/>
        <filter val="283,33"/>
        <filter val="3,85"/>
        <filter val="30,00"/>
        <filter val="300,00"/>
        <filter val="316,05"/>
        <filter val="320,00"/>
        <filter val="33,33"/>
        <filter val="34"/>
        <filter val="343,52"/>
        <filter val="380,00"/>
        <filter val="390,00"/>
        <filter val="4 720,01"/>
        <filter val="4,00"/>
        <filter val="4,17"/>
        <filter val="4,63"/>
        <filter val="40,00"/>
        <filter val="400,00"/>
        <filter val="407,62"/>
        <filter val="414,35"/>
        <filter val="42,22"/>
        <filter val="430,00"/>
        <filter val="440,12"/>
        <filter val="45,00"/>
        <filter val="48,00"/>
        <filter val="480,00"/>
        <filter val="5,56"/>
        <filter val="50,00"/>
        <filter val="52,50"/>
        <filter val="533,33"/>
        <filter val="54,63"/>
        <filter val="560,00"/>
        <filter val="567,00"/>
        <filter val="58,33"/>
        <filter val="6,67"/>
        <filter val="60,00"/>
        <filter val="630,00"/>
        <filter val="650,00"/>
        <filter val="66,00"/>
        <filter val="680,00"/>
        <filter val="7,00"/>
        <filter val="70,00"/>
        <filter val="700,00"/>
        <filter val="720,00"/>
        <filter val="75,57"/>
        <filter val="79,20"/>
        <filter val="8,00"/>
        <filter val="8,33"/>
        <filter val="80,00"/>
        <filter val="810,00"/>
        <filter val="83,33"/>
        <filter val="84,00"/>
        <filter val="840,00"/>
        <filter val="85,42"/>
        <filter val="86,08"/>
        <filter val="9,00"/>
        <filter val="90,00"/>
        <filter val="910,00"/>
        <filter val="96,00"/>
        <filter val="98,33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