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8EC3C04-F27F-4F59-B34F-122FFAD2D1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72" i="2" l="1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32" i="2"/>
  <c r="Z464" i="2"/>
  <c r="Z245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<sst xmlns="http://schemas.openxmlformats.org/spreadsheetml/2006/main" count="4194" uniqueCount="891">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</sst>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46258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720</v>
      </c>
      <c r="Y66" s="55">
        <f t="shared" si="0"/>
        <v>720</v>
      </c>
      <c r="Z66" s="41">
        <f>IFERROR(IF(Y66=0,"",ROUNDUP(Y66/H66,0)*0.00902),"")</f>
        <v>1.4432</v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750.40000000000009</v>
      </c>
      <c r="BN66" s="78">
        <f t="shared" si="2"/>
        <v>750.40000000000009</v>
      </c>
      <c r="BO66" s="78">
        <f t="shared" si="3"/>
        <v>1.2121212121212122</v>
      </c>
      <c r="BP66" s="78">
        <f t="shared" si="4"/>
        <v>1.2121212121212122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160</v>
      </c>
      <c r="Y67" s="43">
        <f>IFERROR(Y59/H59,"0")+IFERROR(Y60/H60,"0")+IFERROR(Y61/H61,"0")+IFERROR(Y62/H62,"0")+IFERROR(Y63/H63,"0")+IFERROR(Y64/H64,"0")+IFERROR(Y65/H65,"0")+IFERROR(Y66/H66,"0")</f>
        <v>160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1.4432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720</v>
      </c>
      <c r="Y68" s="43">
        <f>IFERROR(SUM(Y59:Y66),"0")</f>
        <v>720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720</v>
      </c>
      <c r="Y91" s="55">
        <f>IFERROR(IF(X91="",0,CEILING((X91/$H91),1)*$H91),"")</f>
        <v>720</v>
      </c>
      <c r="Z91" s="41">
        <f>IFERROR(IF(Y91=0,"",ROUNDUP(Y91/H91,0)*0.00902),"")</f>
        <v>1.4432</v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750.40000000000009</v>
      </c>
      <c r="BN91" s="78">
        <f>IFERROR(Y91*I91/H91,"0")</f>
        <v>750.40000000000009</v>
      </c>
      <c r="BO91" s="78">
        <f>IFERROR(1/J91*(X91/H91),"0")</f>
        <v>1.2121212121212122</v>
      </c>
      <c r="BP91" s="78">
        <f>IFERROR(1/J91*(Y91/H91),"0")</f>
        <v>1.2121212121212122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160</v>
      </c>
      <c r="Y92" s="43">
        <f>IFERROR(Y88/H88,"0")+IFERROR(Y89/H89,"0")+IFERROR(Y90/H90,"0")+IFERROR(Y91/H91,"0")</f>
        <v>160</v>
      </c>
      <c r="Z92" s="43">
        <f>IFERROR(IF(Z88="",0,Z88),"0")+IFERROR(IF(Z89="",0,Z89),"0")+IFERROR(IF(Z90="",0,Z90),"0")+IFERROR(IF(Z91="",0,Z91),"0")</f>
        <v>1.4432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720</v>
      </c>
      <c r="Y93" s="43">
        <f>IFERROR(SUM(Y88:Y91),"0")</f>
        <v>720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700</v>
      </c>
      <c r="Y95" s="55">
        <f>IFERROR(IF(X95="",0,CEILING((X95/$H95),1)*$H95),"")</f>
        <v>704.69999999999993</v>
      </c>
      <c r="Z95" s="41">
        <f>IFERROR(IF(Y95=0,"",ROUNDUP(Y95/H95,0)*0.01898),"")</f>
        <v>1.65126</v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742.69135802469134</v>
      </c>
      <c r="BN95" s="78">
        <f>IFERROR(Y95*I95/H95,"0")</f>
        <v>747.67799999999988</v>
      </c>
      <c r="BO95" s="78">
        <f>IFERROR(1/J95*(X95/H95),"0")</f>
        <v>1.3503086419753088</v>
      </c>
      <c r="BP95" s="78">
        <f>IFERROR(1/J95*(Y95/H95),"0")</f>
        <v>1.359375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900</v>
      </c>
      <c r="Y97" s="55">
        <f>IFERROR(IF(X97="",0,CEILING((X97/$H97),1)*$H97),"")</f>
        <v>901.80000000000007</v>
      </c>
      <c r="Z97" s="41">
        <f>IFERROR(IF(Y97=0,"",ROUNDUP(Y97/H97,0)*0.00651),"")</f>
        <v>2.1743399999999999</v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984</v>
      </c>
      <c r="BN97" s="78">
        <f>IFERROR(Y97*I97/H97,"0")</f>
        <v>985.96799999999996</v>
      </c>
      <c r="BO97" s="78">
        <f>IFERROR(1/J97*(X97/H97),"0")</f>
        <v>1.8315018315018314</v>
      </c>
      <c r="BP97" s="78">
        <f>IFERROR(1/J97*(Y97/H97),"0")</f>
        <v>1.8351648351648353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419.75308641975306</v>
      </c>
      <c r="Y99" s="43">
        <f>IFERROR(Y95/H95,"0")+IFERROR(Y96/H96,"0")+IFERROR(Y97/H97,"0")+IFERROR(Y98/H98,"0")</f>
        <v>421</v>
      </c>
      <c r="Z99" s="43">
        <f>IFERROR(IF(Z95="",0,Z95),"0")+IFERROR(IF(Z96="",0,Z96),"0")+IFERROR(IF(Z97="",0,Z97),"0")+IFERROR(IF(Z98="",0,Z98),"0")</f>
        <v>3.8255999999999997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1600</v>
      </c>
      <c r="Y100" s="43">
        <f>IFERROR(SUM(Y95:Y98),"0")</f>
        <v>1606.5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900</v>
      </c>
      <c r="Y120" s="55">
        <f>IFERROR(IF(X120="",0,CEILING((X120/$H120),1)*$H120),"")</f>
        <v>907.19999999999993</v>
      </c>
      <c r="Z120" s="41">
        <f>IFERROR(IF(Y120=0,"",ROUNDUP(Y120/H120,0)*0.01898),"")</f>
        <v>2.1257600000000001</v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954.22222222222217</v>
      </c>
      <c r="BN120" s="78">
        <f>IFERROR(Y120*I120/H120,"0")</f>
        <v>961.85599999999988</v>
      </c>
      <c r="BO120" s="78">
        <f>IFERROR(1/J120*(X120/H120),"0")</f>
        <v>1.7361111111111112</v>
      </c>
      <c r="BP120" s="78">
        <f>IFERROR(1/J120*(Y120/H120),"0")</f>
        <v>1.75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900</v>
      </c>
      <c r="Y122" s="55">
        <f>IFERROR(IF(X122="",0,CEILING((X122/$H122),1)*$H122),"")</f>
        <v>901.80000000000007</v>
      </c>
      <c r="Z122" s="41">
        <f>IFERROR(IF(Y122=0,"",ROUNDUP(Y122/H122,0)*0.00651),"")</f>
        <v>2.1743399999999999</v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984</v>
      </c>
      <c r="BN122" s="78">
        <f>IFERROR(Y122*I122/H122,"0")</f>
        <v>985.96799999999996</v>
      </c>
      <c r="BO122" s="78">
        <f>IFERROR(1/J122*(X122/H122),"0")</f>
        <v>1.8315018315018314</v>
      </c>
      <c r="BP122" s="78">
        <f>IFERROR(1/J122*(Y122/H122),"0")</f>
        <v>1.8351648351648353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444.44444444444446</v>
      </c>
      <c r="Y124" s="43">
        <f>IFERROR(Y120/H120,"0")+IFERROR(Y121/H121,"0")+IFERROR(Y122/H122,"0")+IFERROR(Y123/H123,"0")</f>
        <v>446</v>
      </c>
      <c r="Z124" s="43">
        <f>IFERROR(IF(Z120="",0,Z120),"0")+IFERROR(IF(Z121="",0,Z121),"0")+IFERROR(IF(Z122="",0,Z122),"0")+IFERROR(IF(Z123="",0,Z123),"0")</f>
        <v>4.3001000000000005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1800</v>
      </c>
      <c r="Y125" s="43">
        <f>IFERROR(SUM(Y120:Y123),"0")</f>
        <v>1809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4840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4855.5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5165.7135802469138</v>
      </c>
      <c r="Y552" s="43">
        <f>IFERROR(SUM(BN22:BN548),"0")</f>
        <v>5182.2699999999995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10</v>
      </c>
      <c r="Y553" s="44">
        <f>ROUNDUP(SUM(BP22:BP548),0)</f>
        <v>10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5415.7135802469138</v>
      </c>
      <c r="Y554" s="43">
        <f>GrossWeightTotalR+PalletQtyTotalR*25</f>
        <v>5432.2699999999995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1184.1975308641977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1187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11.0121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720</v>
      </c>
      <c r="F561" s="52">
        <f>IFERROR(Y88*1,"0")+IFERROR(Y89*1,"0")+IFERROR(Y90*1,"0")+IFERROR(Y91*1,"0")+IFERROR(Y95*1,"0")+IFERROR(Y96*1,"0")+IFERROR(Y97*1,"0")+IFERROR(Y98*1,"0")</f>
        <v>2326.5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1809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4,20"/>
        <filter val="1 600,00"/>
        <filter val="1 800,00"/>
        <filter val="10"/>
        <filter val="160,00"/>
        <filter val="4 840,00"/>
        <filter val="419,75"/>
        <filter val="444,44"/>
        <filter val="5 165,71"/>
        <filter val="5 415,71"/>
        <filter val="700,00"/>
        <filter val="720,00"/>
        <filter val="90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2026-08-24T06:37:57Z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