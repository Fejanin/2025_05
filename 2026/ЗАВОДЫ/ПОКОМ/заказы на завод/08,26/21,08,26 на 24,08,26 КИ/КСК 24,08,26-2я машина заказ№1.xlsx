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1E689E5-AFA0-474D-9533-DEAD5E0AB58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P528" i="2"/>
  <c r="X524" i="2"/>
  <c r="X523" i="2"/>
  <c r="BO522" i="2"/>
  <c r="BM522" i="2"/>
  <c r="Y522" i="2"/>
  <c r="Z522" i="2" s="1"/>
  <c r="P522" i="2"/>
  <c r="BO521" i="2"/>
  <c r="BM521" i="2"/>
  <c r="Y521" i="2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M511" i="2"/>
  <c r="Y511" i="2"/>
  <c r="BP511" i="2" s="1"/>
  <c r="P511" i="2"/>
  <c r="BO510" i="2"/>
  <c r="BM510" i="2"/>
  <c r="Y510" i="2"/>
  <c r="P510" i="2"/>
  <c r="X508" i="2"/>
  <c r="X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Z504" i="2"/>
  <c r="Y504" i="2"/>
  <c r="BP504" i="2" s="1"/>
  <c r="P504" i="2"/>
  <c r="BO503" i="2"/>
  <c r="BM503" i="2"/>
  <c r="Y503" i="2"/>
  <c r="P503" i="2"/>
  <c r="BO502" i="2"/>
  <c r="BM502" i="2"/>
  <c r="Y502" i="2"/>
  <c r="Z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BO498" i="2"/>
  <c r="BM498" i="2"/>
  <c r="Y498" i="2"/>
  <c r="BP498" i="2" s="1"/>
  <c r="P498" i="2"/>
  <c r="X494" i="2"/>
  <c r="X493" i="2"/>
  <c r="BO492" i="2"/>
  <c r="BM492" i="2"/>
  <c r="Y492" i="2"/>
  <c r="P492" i="2"/>
  <c r="BO491" i="2"/>
  <c r="BM491" i="2"/>
  <c r="Y491" i="2"/>
  <c r="BN491" i="2" s="1"/>
  <c r="P491" i="2"/>
  <c r="BO490" i="2"/>
  <c r="BM490" i="2"/>
  <c r="Y490" i="2"/>
  <c r="Z490" i="2" s="1"/>
  <c r="P490" i="2"/>
  <c r="X488" i="2"/>
  <c r="X487" i="2"/>
  <c r="BO486" i="2"/>
  <c r="BM486" i="2"/>
  <c r="Y486" i="2"/>
  <c r="BN486" i="2" s="1"/>
  <c r="P486" i="2"/>
  <c r="X483" i="2"/>
  <c r="X482" i="2"/>
  <c r="BO481" i="2"/>
  <c r="BM481" i="2"/>
  <c r="Y481" i="2"/>
  <c r="P481" i="2"/>
  <c r="BO480" i="2"/>
  <c r="BM480" i="2"/>
  <c r="Y480" i="2"/>
  <c r="Z480" i="2" s="1"/>
  <c r="P480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BP473" i="2" s="1"/>
  <c r="P473" i="2"/>
  <c r="BO472" i="2"/>
  <c r="BM472" i="2"/>
  <c r="Y472" i="2"/>
  <c r="P472" i="2"/>
  <c r="BO471" i="2"/>
  <c r="BM471" i="2"/>
  <c r="Y471" i="2"/>
  <c r="BP471" i="2" s="1"/>
  <c r="P471" i="2"/>
  <c r="X467" i="2"/>
  <c r="X466" i="2"/>
  <c r="BO465" i="2"/>
  <c r="BM465" i="2"/>
  <c r="Y465" i="2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N454" i="2" s="1"/>
  <c r="P454" i="2"/>
  <c r="X451" i="2"/>
  <c r="X450" i="2"/>
  <c r="BP449" i="2"/>
  <c r="BO449" i="2"/>
  <c r="BM449" i="2"/>
  <c r="Y449" i="2"/>
  <c r="BN449" i="2" s="1"/>
  <c r="P449" i="2"/>
  <c r="BO448" i="2"/>
  <c r="BM448" i="2"/>
  <c r="Y448" i="2"/>
  <c r="BP448" i="2" s="1"/>
  <c r="P448" i="2"/>
  <c r="X446" i="2"/>
  <c r="X445" i="2"/>
  <c r="BO444" i="2"/>
  <c r="BM444" i="2"/>
  <c r="Y444" i="2"/>
  <c r="BP444" i="2" s="1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P438" i="2"/>
  <c r="BO437" i="2"/>
  <c r="BM437" i="2"/>
  <c r="Y437" i="2"/>
  <c r="Z437" i="2" s="1"/>
  <c r="P437" i="2"/>
  <c r="BO436" i="2"/>
  <c r="BM436" i="2"/>
  <c r="Y436" i="2"/>
  <c r="BN436" i="2" s="1"/>
  <c r="P436" i="2"/>
  <c r="X434" i="2"/>
  <c r="X433" i="2"/>
  <c r="BO432" i="2"/>
  <c r="BM432" i="2"/>
  <c r="Y432" i="2"/>
  <c r="BN432" i="2" s="1"/>
  <c r="P432" i="2"/>
  <c r="BO431" i="2"/>
  <c r="BM431" i="2"/>
  <c r="Y431" i="2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P417" i="2"/>
  <c r="X414" i="2"/>
  <c r="X413" i="2"/>
  <c r="BO412" i="2"/>
  <c r="BM412" i="2"/>
  <c r="Y412" i="2"/>
  <c r="P412" i="2"/>
  <c r="BO411" i="2"/>
  <c r="BM411" i="2"/>
  <c r="Y411" i="2"/>
  <c r="BN411" i="2" s="1"/>
  <c r="P411" i="2"/>
  <c r="X408" i="2"/>
  <c r="X407" i="2"/>
  <c r="BO406" i="2"/>
  <c r="BM406" i="2"/>
  <c r="Y406" i="2"/>
  <c r="P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Z398" i="2"/>
  <c r="Y398" i="2"/>
  <c r="BP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9" i="2"/>
  <c r="X388" i="2"/>
  <c r="BO387" i="2"/>
  <c r="BM387" i="2"/>
  <c r="Y387" i="2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BN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N378" i="2" s="1"/>
  <c r="P378" i="2"/>
  <c r="X376" i="2"/>
  <c r="X375" i="2"/>
  <c r="BO374" i="2"/>
  <c r="BM374" i="2"/>
  <c r="Y374" i="2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BN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BN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BP352" i="2" s="1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BP332" i="2" s="1"/>
  <c r="P332" i="2"/>
  <c r="BO331" i="2"/>
  <c r="BM331" i="2"/>
  <c r="Y331" i="2"/>
  <c r="BP331" i="2" s="1"/>
  <c r="P331" i="2"/>
  <c r="X328" i="2"/>
  <c r="X327" i="2"/>
  <c r="BO326" i="2"/>
  <c r="BM326" i="2"/>
  <c r="Y326" i="2"/>
  <c r="BP326" i="2" s="1"/>
  <c r="P326" i="2"/>
  <c r="BO325" i="2"/>
  <c r="BM325" i="2"/>
  <c r="Y325" i="2"/>
  <c r="BN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BP316" i="2" s="1"/>
  <c r="P316" i="2"/>
  <c r="BO315" i="2"/>
  <c r="BM315" i="2"/>
  <c r="Y315" i="2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BN299" i="2" s="1"/>
  <c r="P299" i="2"/>
  <c r="BO298" i="2"/>
  <c r="BM298" i="2"/>
  <c r="Y298" i="2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N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BP267" i="2" s="1"/>
  <c r="P267" i="2"/>
  <c r="BO266" i="2"/>
  <c r="BM266" i="2"/>
  <c r="Y266" i="2"/>
  <c r="BP266" i="2" s="1"/>
  <c r="P266" i="2"/>
  <c r="BO265" i="2"/>
  <c r="BM265" i="2"/>
  <c r="Y265" i="2"/>
  <c r="BN265" i="2" s="1"/>
  <c r="P265" i="2"/>
  <c r="X263" i="2"/>
  <c r="X262" i="2"/>
  <c r="BO261" i="2"/>
  <c r="BM261" i="2"/>
  <c r="Y261" i="2"/>
  <c r="P261" i="2"/>
  <c r="BO260" i="2"/>
  <c r="BM260" i="2"/>
  <c r="Y260" i="2"/>
  <c r="BN260" i="2" s="1"/>
  <c r="P260" i="2"/>
  <c r="X258" i="2"/>
  <c r="X257" i="2"/>
  <c r="BO256" i="2"/>
  <c r="BM256" i="2"/>
  <c r="Y256" i="2"/>
  <c r="BP256" i="2" s="1"/>
  <c r="P256" i="2"/>
  <c r="BP255" i="2"/>
  <c r="BO255" i="2"/>
  <c r="BM255" i="2"/>
  <c r="Y255" i="2"/>
  <c r="BN255" i="2" s="1"/>
  <c r="P255" i="2"/>
  <c r="X252" i="2"/>
  <c r="X251" i="2"/>
  <c r="BO250" i="2"/>
  <c r="BM250" i="2"/>
  <c r="Y250" i="2"/>
  <c r="BP250" i="2" s="1"/>
  <c r="P250" i="2"/>
  <c r="X248" i="2"/>
  <c r="X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P232" i="2"/>
  <c r="BO232" i="2"/>
  <c r="BM232" i="2"/>
  <c r="Y232" i="2"/>
  <c r="BN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Z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BN206" i="2" s="1"/>
  <c r="P206" i="2"/>
  <c r="BO205" i="2"/>
  <c r="BM205" i="2"/>
  <c r="Y205" i="2"/>
  <c r="BN205" i="2" s="1"/>
  <c r="P205" i="2"/>
  <c r="BP204" i="2"/>
  <c r="BO204" i="2"/>
  <c r="BM204" i="2"/>
  <c r="Y204" i="2"/>
  <c r="BN204" i="2" s="1"/>
  <c r="P204" i="2"/>
  <c r="X200" i="2"/>
  <c r="X199" i="2"/>
  <c r="BO198" i="2"/>
  <c r="BM198" i="2"/>
  <c r="Y198" i="2"/>
  <c r="Z198" i="2" s="1"/>
  <c r="Z199" i="2" s="1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Z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Z141" i="2" s="1"/>
  <c r="P141" i="2"/>
  <c r="X139" i="2"/>
  <c r="X138" i="2"/>
  <c r="BO137" i="2"/>
  <c r="BM137" i="2"/>
  <c r="Z137" i="2"/>
  <c r="Y137" i="2"/>
  <c r="BN137" i="2" s="1"/>
  <c r="P137" i="2"/>
  <c r="BO136" i="2"/>
  <c r="BM136" i="2"/>
  <c r="Y136" i="2"/>
  <c r="BP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BN128" i="2" s="1"/>
  <c r="P128" i="2"/>
  <c r="X125" i="2"/>
  <c r="X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BP98" i="2" s="1"/>
  <c r="P98" i="2"/>
  <c r="X95" i="2"/>
  <c r="X94" i="2"/>
  <c r="BO93" i="2"/>
  <c r="BM93" i="2"/>
  <c r="Z93" i="2"/>
  <c r="Y93" i="2"/>
  <c r="BN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Z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P84" i="2" s="1"/>
  <c r="P84" i="2"/>
  <c r="BO83" i="2"/>
  <c r="BM83" i="2"/>
  <c r="Y83" i="2"/>
  <c r="BP83" i="2" s="1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Z60" i="2"/>
  <c r="Y60" i="2"/>
  <c r="BN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X53" i="2"/>
  <c r="X52" i="2"/>
  <c r="BO51" i="2"/>
  <c r="BM51" i="2"/>
  <c r="Y51" i="2"/>
  <c r="BN51" i="2" s="1"/>
  <c r="P51" i="2"/>
  <c r="BO50" i="2"/>
  <c r="BM50" i="2"/>
  <c r="Y50" i="2"/>
  <c r="BN50" i="2" s="1"/>
  <c r="P50" i="2"/>
  <c r="BO49" i="2"/>
  <c r="BM49" i="2"/>
  <c r="Y49" i="2"/>
  <c r="BP49" i="2" s="1"/>
  <c r="P49" i="2"/>
  <c r="BO48" i="2"/>
  <c r="BM48" i="2"/>
  <c r="Y48" i="2"/>
  <c r="BN48" i="2" s="1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P38" i="2" s="1"/>
  <c r="P38" i="2"/>
  <c r="BO37" i="2"/>
  <c r="BM37" i="2"/>
  <c r="Y37" i="2"/>
  <c r="BN37" i="2" s="1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100" i="2" l="1"/>
  <c r="BN198" i="2"/>
  <c r="BN317" i="2"/>
  <c r="BN338" i="2"/>
  <c r="BN363" i="2"/>
  <c r="BN380" i="2"/>
  <c r="BN476" i="2"/>
  <c r="BN501" i="2"/>
  <c r="BN511" i="2"/>
  <c r="BN38" i="2"/>
  <c r="Z57" i="2"/>
  <c r="Z91" i="2"/>
  <c r="BN103" i="2"/>
  <c r="BP108" i="2"/>
  <c r="BN110" i="2"/>
  <c r="Z111" i="2"/>
  <c r="BN181" i="2"/>
  <c r="Z220" i="2"/>
  <c r="BP227" i="2"/>
  <c r="Z246" i="2"/>
  <c r="Z256" i="2"/>
  <c r="Y257" i="2"/>
  <c r="BN284" i="2"/>
  <c r="Z301" i="2"/>
  <c r="BN301" i="2"/>
  <c r="BN323" i="2"/>
  <c r="BN360" i="2"/>
  <c r="BN369" i="2"/>
  <c r="Z400" i="2"/>
  <c r="BN400" i="2"/>
  <c r="BN473" i="2"/>
  <c r="BN490" i="2"/>
  <c r="BN352" i="2"/>
  <c r="Y356" i="2"/>
  <c r="BP271" i="2"/>
  <c r="BN419" i="2"/>
  <c r="BN123" i="2"/>
  <c r="BN506" i="2"/>
  <c r="BN286" i="2"/>
  <c r="Z279" i="2"/>
  <c r="BP279" i="2"/>
  <c r="Y70" i="2"/>
  <c r="BN61" i="2"/>
  <c r="Z61" i="2"/>
  <c r="BN83" i="2"/>
  <c r="Z230" i="2"/>
  <c r="BN230" i="2"/>
  <c r="BN518" i="2"/>
  <c r="Z50" i="2"/>
  <c r="Z511" i="2"/>
  <c r="Z506" i="2"/>
  <c r="BN504" i="2"/>
  <c r="Z501" i="2"/>
  <c r="BN498" i="2"/>
  <c r="Z498" i="2"/>
  <c r="BP491" i="2"/>
  <c r="Z476" i="2"/>
  <c r="Z473" i="2"/>
  <c r="Y461" i="2"/>
  <c r="BN444" i="2"/>
  <c r="Z444" i="2"/>
  <c r="BN442" i="2"/>
  <c r="BP436" i="2"/>
  <c r="Z436" i="2"/>
  <c r="Z432" i="2"/>
  <c r="Y421" i="2"/>
  <c r="Z417" i="2"/>
  <c r="BP411" i="2"/>
  <c r="Y401" i="2"/>
  <c r="BN398" i="2"/>
  <c r="Y402" i="2"/>
  <c r="Z393" i="2"/>
  <c r="Z380" i="2"/>
  <c r="BP378" i="2"/>
  <c r="BP371" i="2"/>
  <c r="Z369" i="2"/>
  <c r="Z363" i="2"/>
  <c r="Z360" i="2"/>
  <c r="Z352" i="2"/>
  <c r="Z339" i="2"/>
  <c r="BP333" i="2"/>
  <c r="BP325" i="2"/>
  <c r="Z323" i="2"/>
  <c r="Y319" i="2"/>
  <c r="Z316" i="2"/>
  <c r="BN316" i="2"/>
  <c r="BN311" i="2"/>
  <c r="Y312" i="2"/>
  <c r="Z311" i="2"/>
  <c r="Z312" i="2" s="1"/>
  <c r="BP311" i="2"/>
  <c r="Z297" i="2"/>
  <c r="BN283" i="2"/>
  <c r="BN280" i="2"/>
  <c r="BN269" i="2"/>
  <c r="BN268" i="2"/>
  <c r="BP246" i="2"/>
  <c r="BN236" i="2"/>
  <c r="BP228" i="2"/>
  <c r="BP226" i="2"/>
  <c r="Z226" i="2"/>
  <c r="Z223" i="2"/>
  <c r="BN215" i="2"/>
  <c r="Z209" i="2"/>
  <c r="BN209" i="2"/>
  <c r="BP207" i="2"/>
  <c r="Z206" i="2"/>
  <c r="BP206" i="2"/>
  <c r="BP205" i="2"/>
  <c r="Z205" i="2"/>
  <c r="Z179" i="2"/>
  <c r="BN170" i="2"/>
  <c r="Z165" i="2"/>
  <c r="BN154" i="2"/>
  <c r="Y156" i="2"/>
  <c r="BN143" i="2"/>
  <c r="Y145" i="2"/>
  <c r="BP137" i="2"/>
  <c r="Z135" i="2"/>
  <c r="BP128" i="2"/>
  <c r="Z128" i="2"/>
  <c r="Z123" i="2"/>
  <c r="Z124" i="2" s="1"/>
  <c r="Y124" i="2"/>
  <c r="Z112" i="2"/>
  <c r="Y114" i="2"/>
  <c r="Z102" i="2"/>
  <c r="Z101" i="2"/>
  <c r="BP78" i="2"/>
  <c r="Z68" i="2"/>
  <c r="BP60" i="2"/>
  <c r="BP51" i="2"/>
  <c r="BP50" i="2"/>
  <c r="BN42" i="2"/>
  <c r="BN41" i="2"/>
  <c r="Z37" i="2"/>
  <c r="BP37" i="2"/>
  <c r="X555" i="2"/>
  <c r="BN30" i="2"/>
  <c r="X554" i="2"/>
  <c r="X553" i="2"/>
  <c r="BP31" i="2"/>
  <c r="C563" i="2"/>
  <c r="Z38" i="2"/>
  <c r="Z41" i="2"/>
  <c r="D563" i="2"/>
  <c r="BP48" i="2"/>
  <c r="BP57" i="2"/>
  <c r="BN66" i="2"/>
  <c r="Z67" i="2"/>
  <c r="BN77" i="2"/>
  <c r="Z83" i="2"/>
  <c r="BP85" i="2"/>
  <c r="BN90" i="2"/>
  <c r="BP90" i="2"/>
  <c r="BN92" i="2"/>
  <c r="BP93" i="2"/>
  <c r="G563" i="2"/>
  <c r="BP103" i="2"/>
  <c r="BN178" i="2"/>
  <c r="Z178" i="2"/>
  <c r="BN261" i="2"/>
  <c r="BP261" i="2"/>
  <c r="BN379" i="2"/>
  <c r="BP379" i="2"/>
  <c r="Z379" i="2"/>
  <c r="BP392" i="2"/>
  <c r="BN392" i="2"/>
  <c r="Z406" i="2"/>
  <c r="BN406" i="2"/>
  <c r="BP492" i="2"/>
  <c r="BN492" i="2"/>
  <c r="Z492" i="2"/>
  <c r="BN22" i="2"/>
  <c r="BN29" i="2"/>
  <c r="BP39" i="2"/>
  <c r="BN49" i="2"/>
  <c r="Y80" i="2"/>
  <c r="BN84" i="2"/>
  <c r="Y171" i="2"/>
  <c r="Z169" i="2"/>
  <c r="BP224" i="2"/>
  <c r="Z224" i="2"/>
  <c r="Z231" i="2"/>
  <c r="BN231" i="2"/>
  <c r="BN237" i="2"/>
  <c r="BP237" i="2"/>
  <c r="Z237" i="2"/>
  <c r="BP240" i="2"/>
  <c r="BN240" i="2"/>
  <c r="Z240" i="2"/>
  <c r="Y289" i="2"/>
  <c r="Z277" i="2"/>
  <c r="BN361" i="2"/>
  <c r="BP361" i="2"/>
  <c r="Z374" i="2"/>
  <c r="BN374" i="2"/>
  <c r="BP431" i="2"/>
  <c r="BN431" i="2"/>
  <c r="BN499" i="2"/>
  <c r="BP499" i="2"/>
  <c r="Y507" i="2"/>
  <c r="Y529" i="2"/>
  <c r="BP528" i="2"/>
  <c r="BP92" i="2"/>
  <c r="BP104" i="2"/>
  <c r="Z104" i="2"/>
  <c r="BN104" i="2"/>
  <c r="BN118" i="2"/>
  <c r="BP118" i="2"/>
  <c r="Z136" i="2"/>
  <c r="BN136" i="2"/>
  <c r="BP189" i="2"/>
  <c r="Z189" i="2"/>
  <c r="Z210" i="2"/>
  <c r="BN210" i="2"/>
  <c r="BN270" i="2"/>
  <c r="BP270" i="2"/>
  <c r="Z270" i="2"/>
  <c r="BN300" i="2"/>
  <c r="BP300" i="2"/>
  <c r="Z300" i="2"/>
  <c r="BP387" i="2"/>
  <c r="Z387" i="2"/>
  <c r="BN443" i="2"/>
  <c r="BP443" i="2"/>
  <c r="BN472" i="2"/>
  <c r="BP472" i="2"/>
  <c r="Z472" i="2"/>
  <c r="BN481" i="2"/>
  <c r="BP481" i="2"/>
  <c r="Z22" i="2"/>
  <c r="X557" i="2"/>
  <c r="Z29" i="2"/>
  <c r="Z49" i="2"/>
  <c r="E563" i="2"/>
  <c r="Z58" i="2"/>
  <c r="Y63" i="2"/>
  <c r="BP59" i="2"/>
  <c r="Y62" i="2"/>
  <c r="BP67" i="2"/>
  <c r="F563" i="2"/>
  <c r="Z84" i="2"/>
  <c r="BN149" i="2"/>
  <c r="BP149" i="2"/>
  <c r="Z149" i="2"/>
  <c r="BN182" i="2"/>
  <c r="BP182" i="2"/>
  <c r="Z182" i="2"/>
  <c r="Y248" i="2"/>
  <c r="Z244" i="2"/>
  <c r="BN250" i="2"/>
  <c r="Y251" i="2"/>
  <c r="Z250" i="2"/>
  <c r="Z251" i="2" s="1"/>
  <c r="BN266" i="2"/>
  <c r="Z266" i="2"/>
  <c r="BN285" i="2"/>
  <c r="BP285" i="2"/>
  <c r="BN307" i="2"/>
  <c r="Y308" i="2"/>
  <c r="Z307" i="2"/>
  <c r="Z308" i="2" s="1"/>
  <c r="Y334" i="2"/>
  <c r="Z331" i="2"/>
  <c r="BN412" i="2"/>
  <c r="BP412" i="2"/>
  <c r="Z412" i="2"/>
  <c r="BP438" i="2"/>
  <c r="BN438" i="2"/>
  <c r="Z465" i="2"/>
  <c r="BN465" i="2"/>
  <c r="BN503" i="2"/>
  <c r="BP503" i="2"/>
  <c r="BP521" i="2"/>
  <c r="BN521" i="2"/>
  <c r="Z521" i="2"/>
  <c r="BP101" i="2"/>
  <c r="BP111" i="2"/>
  <c r="Y125" i="2"/>
  <c r="BP129" i="2"/>
  <c r="BP134" i="2"/>
  <c r="Z171" i="2"/>
  <c r="BP170" i="2"/>
  <c r="Y186" i="2"/>
  <c r="BP175" i="2"/>
  <c r="BN177" i="2"/>
  <c r="BN180" i="2"/>
  <c r="BP190" i="2"/>
  <c r="BP225" i="2"/>
  <c r="BP245" i="2"/>
  <c r="Y263" i="2"/>
  <c r="BP278" i="2"/>
  <c r="Y304" i="2"/>
  <c r="BP322" i="2"/>
  <c r="BN324" i="2"/>
  <c r="BN346" i="2"/>
  <c r="BP354" i="2"/>
  <c r="BN364" i="2"/>
  <c r="BP368" i="2"/>
  <c r="BN370" i="2"/>
  <c r="BN373" i="2"/>
  <c r="BP381" i="2"/>
  <c r="Y389" i="2"/>
  <c r="Y388" i="2"/>
  <c r="BP393" i="2"/>
  <c r="BN405" i="2"/>
  <c r="BP417" i="2"/>
  <c r="BN426" i="2"/>
  <c r="BP432" i="2"/>
  <c r="BN448" i="2"/>
  <c r="X563" i="2"/>
  <c r="BN459" i="2"/>
  <c r="Y460" i="2"/>
  <c r="BN464" i="2"/>
  <c r="BP474" i="2"/>
  <c r="AA563" i="2"/>
  <c r="BN502" i="2"/>
  <c r="Y514" i="2"/>
  <c r="BN512" i="2"/>
  <c r="BP516" i="2"/>
  <c r="BN517" i="2"/>
  <c r="BP518" i="2"/>
  <c r="BN519" i="2"/>
  <c r="Z134" i="2"/>
  <c r="J563" i="2"/>
  <c r="BN165" i="2"/>
  <c r="Y167" i="2"/>
  <c r="Z175" i="2"/>
  <c r="Z181" i="2"/>
  <c r="BP183" i="2"/>
  <c r="Y191" i="2"/>
  <c r="BP188" i="2"/>
  <c r="BP223" i="2"/>
  <c r="Z236" i="2"/>
  <c r="BN256" i="2"/>
  <c r="Z260" i="2"/>
  <c r="BP260" i="2"/>
  <c r="Z269" i="2"/>
  <c r="BP276" i="2"/>
  <c r="Z283" i="2"/>
  <c r="Z286" i="2"/>
  <c r="Z298" i="2"/>
  <c r="Y305" i="2"/>
  <c r="BP299" i="2"/>
  <c r="BP342" i="2"/>
  <c r="T563" i="2"/>
  <c r="BP386" i="2"/>
  <c r="Y408" i="2"/>
  <c r="W563" i="2"/>
  <c r="BP429" i="2"/>
  <c r="Y450" i="2"/>
  <c r="BP455" i="2"/>
  <c r="Y467" i="2"/>
  <c r="Y493" i="2"/>
  <c r="H563" i="2"/>
  <c r="BP141" i="2"/>
  <c r="BP152" i="2"/>
  <c r="BP180" i="2"/>
  <c r="Z191" i="2"/>
  <c r="BN190" i="2"/>
  <c r="BP215" i="2"/>
  <c r="Y233" i="2"/>
  <c r="BP220" i="2"/>
  <c r="BN222" i="2"/>
  <c r="BN225" i="2"/>
  <c r="Y234" i="2"/>
  <c r="Y241" i="2"/>
  <c r="BN245" i="2"/>
  <c r="Y258" i="2"/>
  <c r="Y274" i="2"/>
  <c r="Z267" i="2"/>
  <c r="BP268" i="2"/>
  <c r="Z276" i="2"/>
  <c r="BN278" i="2"/>
  <c r="Z280" i="2"/>
  <c r="BP297" i="2"/>
  <c r="Z324" i="2"/>
  <c r="Z332" i="2"/>
  <c r="BP339" i="2"/>
  <c r="BN341" i="2"/>
  <c r="Z342" i="2"/>
  <c r="Z346" i="2"/>
  <c r="Z348" i="2" s="1"/>
  <c r="BN353" i="2"/>
  <c r="Z359" i="2"/>
  <c r="BP359" i="2"/>
  <c r="Z370" i="2"/>
  <c r="Z373" i="2"/>
  <c r="Z386" i="2"/>
  <c r="Z405" i="2"/>
  <c r="Z426" i="2"/>
  <c r="BN428" i="2"/>
  <c r="Z429" i="2"/>
  <c r="Y445" i="2"/>
  <c r="Z448" i="2"/>
  <c r="Z455" i="2"/>
  <c r="Z459" i="2"/>
  <c r="Z460" i="2" s="1"/>
  <c r="Z464" i="2"/>
  <c r="Y477" i="2"/>
  <c r="Y482" i="2"/>
  <c r="Z563" i="2"/>
  <c r="BP517" i="2"/>
  <c r="Z94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01" i="2" s="1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Z318" i="2" s="1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Z513" i="2" s="1"/>
  <c r="BP512" i="2"/>
  <c r="Z520" i="2"/>
  <c r="BP522" i="2"/>
  <c r="BP536" i="2"/>
  <c r="Y547" i="2"/>
  <c r="O563" i="2"/>
  <c r="Z119" i="2"/>
  <c r="Z23" i="2"/>
  <c r="Z24" i="2" s="1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Z257" i="2" s="1"/>
  <c r="BN267" i="2"/>
  <c r="BN277" i="2"/>
  <c r="Z285" i="2"/>
  <c r="BN298" i="2"/>
  <c r="Y309" i="2"/>
  <c r="BN332" i="2"/>
  <c r="Y344" i="2"/>
  <c r="Z354" i="2"/>
  <c r="BN387" i="2"/>
  <c r="Y413" i="2"/>
  <c r="BP425" i="2"/>
  <c r="Y434" i="2"/>
  <c r="Z443" i="2"/>
  <c r="Z445" i="2" s="1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44" i="2" s="1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Z456" i="2" s="1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Y439" i="2"/>
  <c r="Z471" i="2"/>
  <c r="Z481" i="2"/>
  <c r="Z482" i="2" s="1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41" i="2" s="1"/>
  <c r="Z261" i="2"/>
  <c r="Z262" i="2" s="1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413" i="2" l="1"/>
  <c r="Z439" i="2"/>
  <c r="Z395" i="2"/>
  <c r="Z407" i="2"/>
  <c r="Z247" i="2"/>
  <c r="Z355" i="2"/>
  <c r="Z493" i="2"/>
  <c r="Z466" i="2"/>
  <c r="Z450" i="2"/>
  <c r="Z433" i="2"/>
  <c r="Z420" i="2"/>
  <c r="Z388" i="2"/>
  <c r="Z365" i="2"/>
  <c r="Z138" i="2"/>
  <c r="Z43" i="2"/>
  <c r="X556" i="2"/>
  <c r="Z62" i="2"/>
  <c r="Z87" i="2"/>
  <c r="Z105" i="2"/>
  <c r="Z523" i="2"/>
  <c r="Z334" i="2"/>
  <c r="Z52" i="2"/>
  <c r="Z120" i="2"/>
  <c r="Y554" i="2"/>
  <c r="Y555" i="2"/>
  <c r="Z507" i="2"/>
  <c r="Z382" i="2"/>
  <c r="Z304" i="2"/>
  <c r="Z273" i="2"/>
  <c r="Z288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<sst xmlns="http://schemas.openxmlformats.org/spreadsheetml/2006/main" count="4209" uniqueCount="889">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</sst>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9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1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Normal="100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3" t="s">
        <v>26</v>
      </c>
      <c r="E1" s="993"/>
      <c r="F1" s="993"/>
      <c r="G1" s="14" t="s">
        <v>67</v>
      </c>
      <c r="H1" s="993" t="s">
        <v>47</v>
      </c>
      <c r="I1" s="993"/>
      <c r="J1" s="993"/>
      <c r="K1" s="993"/>
      <c r="L1" s="993"/>
      <c r="M1" s="993"/>
      <c r="N1" s="993"/>
      <c r="O1" s="993"/>
      <c r="P1" s="993"/>
      <c r="Q1" s="993"/>
      <c r="R1" s="994" t="s">
        <v>68</v>
      </c>
      <c r="S1" s="995"/>
      <c r="T1" s="99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6"/>
      <c r="R2" s="996"/>
      <c r="S2" s="996"/>
      <c r="T2" s="996"/>
      <c r="U2" s="996"/>
      <c r="V2" s="996"/>
      <c r="W2" s="99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6"/>
      <c r="Q3" s="996"/>
      <c r="R3" s="996"/>
      <c r="S3" s="996"/>
      <c r="T3" s="996"/>
      <c r="U3" s="996"/>
      <c r="V3" s="996"/>
      <c r="W3" s="99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5" t="s">
        <v>8</v>
      </c>
      <c r="B5" s="975"/>
      <c r="C5" s="975"/>
      <c r="D5" s="997"/>
      <c r="E5" s="997"/>
      <c r="F5" s="998" t="s">
        <v>14</v>
      </c>
      <c r="G5" s="998"/>
      <c r="H5" s="997" t="s">
        <v>888</v>
      </c>
      <c r="I5" s="997"/>
      <c r="J5" s="997"/>
      <c r="K5" s="997"/>
      <c r="L5" s="997"/>
      <c r="M5" s="997"/>
      <c r="N5" s="72"/>
      <c r="P5" s="27" t="s">
        <v>4</v>
      </c>
      <c r="Q5" s="999">
        <v>46258</v>
      </c>
      <c r="R5" s="999"/>
      <c r="T5" s="1000" t="s">
        <v>3</v>
      </c>
      <c r="U5" s="1001"/>
      <c r="V5" s="1002" t="s">
        <v>869</v>
      </c>
      <c r="W5" s="1003"/>
      <c r="AB5" s="59"/>
      <c r="AC5" s="59"/>
      <c r="AD5" s="59"/>
      <c r="AE5" s="59"/>
    </row>
    <row r="6" spans="1:32" s="17" customFormat="1" ht="24" customHeight="1" x14ac:dyDescent="0.2">
      <c r="A6" s="975" t="s">
        <v>1</v>
      </c>
      <c r="B6" s="975"/>
      <c r="C6" s="975"/>
      <c r="D6" s="976" t="s">
        <v>870</v>
      </c>
      <c r="E6" s="976"/>
      <c r="F6" s="976"/>
      <c r="G6" s="976"/>
      <c r="H6" s="976"/>
      <c r="I6" s="976"/>
      <c r="J6" s="976"/>
      <c r="K6" s="976"/>
      <c r="L6" s="976"/>
      <c r="M6" s="976"/>
      <c r="N6" s="73"/>
      <c r="P6" s="27" t="s">
        <v>27</v>
      </c>
      <c r="Q6" s="977" t="str">
        <f>IF(Q5=0," ",CHOOSE(WEEKDAY(Q5,2),"Понедельник","Вторник","Среда","Четверг","Пятница","Суббота","Воскресенье"))</f>
        <v>Понедельник</v>
      </c>
      <c r="R6" s="977"/>
      <c r="T6" s="978" t="s">
        <v>5</v>
      </c>
      <c r="U6" s="979"/>
      <c r="V6" s="980" t="s">
        <v>69</v>
      </c>
      <c r="W6" s="98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6" t="str">
        <f>IFERROR(VLOOKUP(DeliveryAddress,Table,3,0),1)</f>
        <v>1</v>
      </c>
      <c r="E7" s="987"/>
      <c r="F7" s="987"/>
      <c r="G7" s="987"/>
      <c r="H7" s="987"/>
      <c r="I7" s="987"/>
      <c r="J7" s="987"/>
      <c r="K7" s="987"/>
      <c r="L7" s="987"/>
      <c r="M7" s="988"/>
      <c r="N7" s="74"/>
      <c r="P7" s="29"/>
      <c r="Q7" s="48"/>
      <c r="R7" s="48"/>
      <c r="T7" s="978"/>
      <c r="U7" s="979"/>
      <c r="V7" s="982"/>
      <c r="W7" s="983"/>
      <c r="AB7" s="59"/>
      <c r="AC7" s="59"/>
      <c r="AD7" s="59"/>
      <c r="AE7" s="59"/>
    </row>
    <row r="8" spans="1:32" s="17" customFormat="1" ht="25.5" customHeight="1" x14ac:dyDescent="0.2">
      <c r="A8" s="989" t="s">
        <v>58</v>
      </c>
      <c r="B8" s="989"/>
      <c r="C8" s="989"/>
      <c r="D8" s="990"/>
      <c r="E8" s="990"/>
      <c r="F8" s="990"/>
      <c r="G8" s="990"/>
      <c r="H8" s="990"/>
      <c r="I8" s="990"/>
      <c r="J8" s="990"/>
      <c r="K8" s="990"/>
      <c r="L8" s="990"/>
      <c r="M8" s="990"/>
      <c r="N8" s="75"/>
      <c r="P8" s="27" t="s">
        <v>11</v>
      </c>
      <c r="Q8" s="973">
        <v>0.41666666666666669</v>
      </c>
      <c r="R8" s="973"/>
      <c r="T8" s="978"/>
      <c r="U8" s="979"/>
      <c r="V8" s="982"/>
      <c r="W8" s="983"/>
      <c r="AB8" s="59"/>
      <c r="AC8" s="59"/>
      <c r="AD8" s="59"/>
      <c r="AE8" s="59"/>
    </row>
    <row r="9" spans="1:32" s="17" customFormat="1" ht="39.950000000000003" customHeight="1" x14ac:dyDescent="0.2">
      <c r="A9" s="9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5"/>
      <c r="C9" s="965"/>
      <c r="D9" s="966" t="s">
        <v>46</v>
      </c>
      <c r="E9" s="967"/>
      <c r="F9" s="9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5"/>
      <c r="H9" s="991" t="str">
        <f>IF(AND($A$9="Тип доверенности/получателя при получении в адресе перегруза:",$D$9="Разовая доверенность"),"Введите ФИО","")</f>
        <v/>
      </c>
      <c r="I9" s="991"/>
      <c r="J9" s="99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1"/>
      <c r="L9" s="991"/>
      <c r="M9" s="991"/>
      <c r="N9" s="70"/>
      <c r="P9" s="31" t="s">
        <v>15</v>
      </c>
      <c r="Q9" s="992"/>
      <c r="R9" s="992"/>
      <c r="T9" s="978"/>
      <c r="U9" s="979"/>
      <c r="V9" s="984"/>
      <c r="W9" s="98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5"/>
      <c r="C10" s="965"/>
      <c r="D10" s="966"/>
      <c r="E10" s="967"/>
      <c r="F10" s="9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5"/>
      <c r="H10" s="968" t="str">
        <f>IFERROR(VLOOKUP($D$10,Proxy,2,FALSE),"")</f>
        <v/>
      </c>
      <c r="I10" s="968"/>
      <c r="J10" s="968"/>
      <c r="K10" s="968"/>
      <c r="L10" s="968"/>
      <c r="M10" s="968"/>
      <c r="N10" s="71"/>
      <c r="P10" s="31" t="s">
        <v>32</v>
      </c>
      <c r="Q10" s="969"/>
      <c r="R10" s="969"/>
      <c r="U10" s="29" t="s">
        <v>12</v>
      </c>
      <c r="V10" s="970" t="s">
        <v>70</v>
      </c>
      <c r="W10" s="97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2"/>
      <c r="R11" s="972"/>
      <c r="U11" s="29" t="s">
        <v>28</v>
      </c>
      <c r="V11" s="951" t="s">
        <v>55</v>
      </c>
      <c r="W11" s="95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50" t="s">
        <v>71</v>
      </c>
      <c r="B12" s="950"/>
      <c r="C12" s="950"/>
      <c r="D12" s="950"/>
      <c r="E12" s="950"/>
      <c r="F12" s="950"/>
      <c r="G12" s="950"/>
      <c r="H12" s="950"/>
      <c r="I12" s="950"/>
      <c r="J12" s="950"/>
      <c r="K12" s="950"/>
      <c r="L12" s="950"/>
      <c r="M12" s="950"/>
      <c r="N12" s="76"/>
      <c r="P12" s="27" t="s">
        <v>30</v>
      </c>
      <c r="Q12" s="973"/>
      <c r="R12" s="973"/>
      <c r="S12" s="28"/>
      <c r="T12"/>
      <c r="U12" s="29" t="s">
        <v>46</v>
      </c>
      <c r="V12" s="974"/>
      <c r="W12" s="974"/>
      <c r="X12"/>
      <c r="AB12" s="59"/>
      <c r="AC12" s="59"/>
      <c r="AD12" s="59"/>
      <c r="AE12" s="59"/>
    </row>
    <row r="13" spans="1:32" s="17" customFormat="1" ht="23.25" customHeight="1" x14ac:dyDescent="0.2">
      <c r="A13" s="950" t="s">
        <v>72</v>
      </c>
      <c r="B13" s="950"/>
      <c r="C13" s="950"/>
      <c r="D13" s="950"/>
      <c r="E13" s="950"/>
      <c r="F13" s="950"/>
      <c r="G13" s="950"/>
      <c r="H13" s="950"/>
      <c r="I13" s="950"/>
      <c r="J13" s="950"/>
      <c r="K13" s="950"/>
      <c r="L13" s="950"/>
      <c r="M13" s="950"/>
      <c r="N13" s="76"/>
      <c r="O13" s="31"/>
      <c r="P13" s="31" t="s">
        <v>31</v>
      </c>
      <c r="Q13" s="951"/>
      <c r="R13" s="95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50" t="s">
        <v>73</v>
      </c>
      <c r="B14" s="950"/>
      <c r="C14" s="950"/>
      <c r="D14" s="950"/>
      <c r="E14" s="950"/>
      <c r="F14" s="950"/>
      <c r="G14" s="950"/>
      <c r="H14" s="950"/>
      <c r="I14" s="950"/>
      <c r="J14" s="950"/>
      <c r="K14" s="950"/>
      <c r="L14" s="950"/>
      <c r="M14" s="95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52" t="s">
        <v>74</v>
      </c>
      <c r="B15" s="952"/>
      <c r="C15" s="952"/>
      <c r="D15" s="952"/>
      <c r="E15" s="952"/>
      <c r="F15" s="952"/>
      <c r="G15" s="952"/>
      <c r="H15" s="952"/>
      <c r="I15" s="952"/>
      <c r="J15" s="952"/>
      <c r="K15" s="952"/>
      <c r="L15" s="952"/>
      <c r="M15" s="952"/>
      <c r="N15" s="77"/>
      <c r="O15"/>
      <c r="P15" s="953" t="s">
        <v>61</v>
      </c>
      <c r="Q15" s="953"/>
      <c r="R15" s="953"/>
      <c r="S15" s="953"/>
      <c r="T15" s="95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4"/>
      <c r="Q16" s="954"/>
      <c r="R16" s="954"/>
      <c r="S16" s="954"/>
      <c r="T16" s="95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6" t="s">
        <v>59</v>
      </c>
      <c r="B17" s="936" t="s">
        <v>49</v>
      </c>
      <c r="C17" s="957" t="s">
        <v>48</v>
      </c>
      <c r="D17" s="959" t="s">
        <v>50</v>
      </c>
      <c r="E17" s="960"/>
      <c r="F17" s="936" t="s">
        <v>21</v>
      </c>
      <c r="G17" s="936" t="s">
        <v>24</v>
      </c>
      <c r="H17" s="936" t="s">
        <v>22</v>
      </c>
      <c r="I17" s="936" t="s">
        <v>23</v>
      </c>
      <c r="J17" s="936" t="s">
        <v>16</v>
      </c>
      <c r="K17" s="936" t="s">
        <v>66</v>
      </c>
      <c r="L17" s="936" t="s">
        <v>64</v>
      </c>
      <c r="M17" s="936" t="s">
        <v>2</v>
      </c>
      <c r="N17" s="936" t="s">
        <v>63</v>
      </c>
      <c r="O17" s="936" t="s">
        <v>25</v>
      </c>
      <c r="P17" s="959" t="s">
        <v>17</v>
      </c>
      <c r="Q17" s="963"/>
      <c r="R17" s="963"/>
      <c r="S17" s="963"/>
      <c r="T17" s="960"/>
      <c r="U17" s="955" t="s">
        <v>56</v>
      </c>
      <c r="V17" s="956"/>
      <c r="W17" s="936" t="s">
        <v>6</v>
      </c>
      <c r="X17" s="936" t="s">
        <v>41</v>
      </c>
      <c r="Y17" s="938" t="s">
        <v>54</v>
      </c>
      <c r="Z17" s="940" t="s">
        <v>18</v>
      </c>
      <c r="AA17" s="942" t="s">
        <v>60</v>
      </c>
      <c r="AB17" s="942" t="s">
        <v>19</v>
      </c>
      <c r="AC17" s="942" t="s">
        <v>65</v>
      </c>
      <c r="AD17" s="944" t="s">
        <v>57</v>
      </c>
      <c r="AE17" s="945"/>
      <c r="AF17" s="946"/>
      <c r="AG17" s="82"/>
      <c r="BD17" s="81" t="s">
        <v>62</v>
      </c>
    </row>
    <row r="18" spans="1:68" ht="14.25" customHeight="1" x14ac:dyDescent="0.2">
      <c r="A18" s="937"/>
      <c r="B18" s="937"/>
      <c r="C18" s="958"/>
      <c r="D18" s="961"/>
      <c r="E18" s="962"/>
      <c r="F18" s="937"/>
      <c r="G18" s="937"/>
      <c r="H18" s="937"/>
      <c r="I18" s="937"/>
      <c r="J18" s="937"/>
      <c r="K18" s="937"/>
      <c r="L18" s="937"/>
      <c r="M18" s="937"/>
      <c r="N18" s="937"/>
      <c r="O18" s="937"/>
      <c r="P18" s="961"/>
      <c r="Q18" s="964"/>
      <c r="R18" s="964"/>
      <c r="S18" s="964"/>
      <c r="T18" s="962"/>
      <c r="U18" s="83" t="s">
        <v>44</v>
      </c>
      <c r="V18" s="83" t="s">
        <v>43</v>
      </c>
      <c r="W18" s="937"/>
      <c r="X18" s="937"/>
      <c r="Y18" s="939"/>
      <c r="Z18" s="941"/>
      <c r="AA18" s="943"/>
      <c r="AB18" s="943"/>
      <c r="AC18" s="943"/>
      <c r="AD18" s="947"/>
      <c r="AE18" s="948"/>
      <c r="AF18" s="949"/>
      <c r="AG18" s="82"/>
      <c r="BD18" s="81"/>
    </row>
    <row r="19" spans="1:68" ht="27.75" hidden="1" customHeight="1" x14ac:dyDescent="0.2">
      <c r="A19" s="664" t="s">
        <v>75</v>
      </c>
      <c r="B19" s="664"/>
      <c r="C19" s="664"/>
      <c r="D19" s="664"/>
      <c r="E19" s="664"/>
      <c r="F19" s="664"/>
      <c r="G19" s="664"/>
      <c r="H19" s="664"/>
      <c r="I19" s="664"/>
      <c r="J19" s="664"/>
      <c r="K19" s="664"/>
      <c r="L19" s="664"/>
      <c r="M19" s="664"/>
      <c r="N19" s="664"/>
      <c r="O19" s="664"/>
      <c r="P19" s="664"/>
      <c r="Q19" s="664"/>
      <c r="R19" s="664"/>
      <c r="S19" s="664"/>
      <c r="T19" s="664"/>
      <c r="U19" s="664"/>
      <c r="V19" s="664"/>
      <c r="W19" s="664"/>
      <c r="X19" s="664"/>
      <c r="Y19" s="664"/>
      <c r="Z19" s="664"/>
      <c r="AA19" s="54"/>
      <c r="AB19" s="54"/>
      <c r="AC19" s="54"/>
    </row>
    <row r="20" spans="1:68" ht="16.5" hidden="1" customHeight="1" x14ac:dyDescent="0.25">
      <c r="A20" s="657" t="s">
        <v>75</v>
      </c>
      <c r="B20" s="657"/>
      <c r="C20" s="657"/>
      <c r="D20" s="657"/>
      <c r="E20" s="657"/>
      <c r="F20" s="657"/>
      <c r="G20" s="657"/>
      <c r="H20" s="657"/>
      <c r="I20" s="657"/>
      <c r="J20" s="657"/>
      <c r="K20" s="657"/>
      <c r="L20" s="657"/>
      <c r="M20" s="657"/>
      <c r="N20" s="657"/>
      <c r="O20" s="657"/>
      <c r="P20" s="657"/>
      <c r="Q20" s="657"/>
      <c r="R20" s="657"/>
      <c r="S20" s="657"/>
      <c r="T20" s="657"/>
      <c r="U20" s="657"/>
      <c r="V20" s="657"/>
      <c r="W20" s="657"/>
      <c r="X20" s="657"/>
      <c r="Y20" s="657"/>
      <c r="Z20" s="657"/>
      <c r="AA20" s="65"/>
      <c r="AB20" s="65"/>
      <c r="AC20" s="79"/>
    </row>
    <row r="21" spans="1:68" ht="14.25" hidden="1" customHeight="1" x14ac:dyDescent="0.25">
      <c r="A21" s="658" t="s">
        <v>76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53">
        <v>4680115886643</v>
      </c>
      <c r="E22" s="65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3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5"/>
      <c r="R22" s="655"/>
      <c r="S22" s="655"/>
      <c r="T22" s="65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53">
        <v>4680115889071</v>
      </c>
      <c r="E23" s="65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3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5"/>
      <c r="R23" s="655"/>
      <c r="S23" s="655"/>
      <c r="T23" s="65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7"/>
      <c r="B24" s="647"/>
      <c r="C24" s="647"/>
      <c r="D24" s="647"/>
      <c r="E24" s="647"/>
      <c r="F24" s="647"/>
      <c r="G24" s="647"/>
      <c r="H24" s="647"/>
      <c r="I24" s="647"/>
      <c r="J24" s="647"/>
      <c r="K24" s="647"/>
      <c r="L24" s="647"/>
      <c r="M24" s="647"/>
      <c r="N24" s="647"/>
      <c r="O24" s="648"/>
      <c r="P24" s="644" t="s">
        <v>40</v>
      </c>
      <c r="Q24" s="645"/>
      <c r="R24" s="645"/>
      <c r="S24" s="645"/>
      <c r="T24" s="645"/>
      <c r="U24" s="645"/>
      <c r="V24" s="64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7"/>
      <c r="B25" s="647"/>
      <c r="C25" s="647"/>
      <c r="D25" s="647"/>
      <c r="E25" s="647"/>
      <c r="F25" s="647"/>
      <c r="G25" s="647"/>
      <c r="H25" s="647"/>
      <c r="I25" s="647"/>
      <c r="J25" s="647"/>
      <c r="K25" s="647"/>
      <c r="L25" s="647"/>
      <c r="M25" s="647"/>
      <c r="N25" s="647"/>
      <c r="O25" s="648"/>
      <c r="P25" s="644" t="s">
        <v>40</v>
      </c>
      <c r="Q25" s="645"/>
      <c r="R25" s="645"/>
      <c r="S25" s="645"/>
      <c r="T25" s="645"/>
      <c r="U25" s="645"/>
      <c r="V25" s="64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8" t="s">
        <v>85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53">
        <v>4680115885912</v>
      </c>
      <c r="E27" s="65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5"/>
      <c r="R27" s="655"/>
      <c r="S27" s="655"/>
      <c r="T27" s="65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53">
        <v>4607091388237</v>
      </c>
      <c r="E28" s="65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5"/>
      <c r="R28" s="655"/>
      <c r="S28" s="655"/>
      <c r="T28" s="65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53">
        <v>4680115887350</v>
      </c>
      <c r="E29" s="65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5"/>
      <c r="R29" s="655"/>
      <c r="S29" s="655"/>
      <c r="T29" s="65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53">
        <v>4680115885905</v>
      </c>
      <c r="E30" s="65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5"/>
      <c r="R30" s="655"/>
      <c r="S30" s="655"/>
      <c r="T30" s="65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53">
        <v>4680115887619</v>
      </c>
      <c r="E31" s="65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2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5"/>
      <c r="R31" s="655"/>
      <c r="S31" s="655"/>
      <c r="T31" s="65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7"/>
      <c r="B32" s="647"/>
      <c r="C32" s="647"/>
      <c r="D32" s="647"/>
      <c r="E32" s="647"/>
      <c r="F32" s="647"/>
      <c r="G32" s="647"/>
      <c r="H32" s="647"/>
      <c r="I32" s="647"/>
      <c r="J32" s="647"/>
      <c r="K32" s="647"/>
      <c r="L32" s="647"/>
      <c r="M32" s="647"/>
      <c r="N32" s="647"/>
      <c r="O32" s="648"/>
      <c r="P32" s="644" t="s">
        <v>40</v>
      </c>
      <c r="Q32" s="645"/>
      <c r="R32" s="645"/>
      <c r="S32" s="645"/>
      <c r="T32" s="645"/>
      <c r="U32" s="645"/>
      <c r="V32" s="64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7"/>
      <c r="B33" s="647"/>
      <c r="C33" s="647"/>
      <c r="D33" s="647"/>
      <c r="E33" s="647"/>
      <c r="F33" s="647"/>
      <c r="G33" s="647"/>
      <c r="H33" s="647"/>
      <c r="I33" s="647"/>
      <c r="J33" s="647"/>
      <c r="K33" s="647"/>
      <c r="L33" s="647"/>
      <c r="M33" s="647"/>
      <c r="N33" s="647"/>
      <c r="O33" s="648"/>
      <c r="P33" s="644" t="s">
        <v>40</v>
      </c>
      <c r="Q33" s="645"/>
      <c r="R33" s="645"/>
      <c r="S33" s="645"/>
      <c r="T33" s="645"/>
      <c r="U33" s="645"/>
      <c r="V33" s="64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64" t="s">
        <v>45</v>
      </c>
      <c r="B34" s="664"/>
      <c r="C34" s="664"/>
      <c r="D34" s="664"/>
      <c r="E34" s="664"/>
      <c r="F34" s="664"/>
      <c r="G34" s="664"/>
      <c r="H34" s="664"/>
      <c r="I34" s="664"/>
      <c r="J34" s="664"/>
      <c r="K34" s="664"/>
      <c r="L34" s="664"/>
      <c r="M34" s="664"/>
      <c r="N34" s="664"/>
      <c r="O34" s="664"/>
      <c r="P34" s="664"/>
      <c r="Q34" s="664"/>
      <c r="R34" s="664"/>
      <c r="S34" s="664"/>
      <c r="T34" s="664"/>
      <c r="U34" s="664"/>
      <c r="V34" s="664"/>
      <c r="W34" s="664"/>
      <c r="X34" s="664"/>
      <c r="Y34" s="664"/>
      <c r="Z34" s="664"/>
      <c r="AA34" s="54"/>
      <c r="AB34" s="54"/>
      <c r="AC34" s="54"/>
    </row>
    <row r="35" spans="1:68" ht="16.5" hidden="1" customHeight="1" x14ac:dyDescent="0.25">
      <c r="A35" s="657" t="s">
        <v>103</v>
      </c>
      <c r="B35" s="657"/>
      <c r="C35" s="657"/>
      <c r="D35" s="657"/>
      <c r="E35" s="657"/>
      <c r="F35" s="657"/>
      <c r="G35" s="657"/>
      <c r="H35" s="657"/>
      <c r="I35" s="657"/>
      <c r="J35" s="657"/>
      <c r="K35" s="657"/>
      <c r="L35" s="657"/>
      <c r="M35" s="657"/>
      <c r="N35" s="657"/>
      <c r="O35" s="657"/>
      <c r="P35" s="657"/>
      <c r="Q35" s="657"/>
      <c r="R35" s="657"/>
      <c r="S35" s="657"/>
      <c r="T35" s="657"/>
      <c r="U35" s="657"/>
      <c r="V35" s="657"/>
      <c r="W35" s="657"/>
      <c r="X35" s="657"/>
      <c r="Y35" s="657"/>
      <c r="Z35" s="657"/>
      <c r="AA35" s="65"/>
      <c r="AB35" s="65"/>
      <c r="AC35" s="79"/>
    </row>
    <row r="36" spans="1:68" ht="14.25" hidden="1" customHeight="1" x14ac:dyDescent="0.25">
      <c r="A36" s="658" t="s">
        <v>85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53">
        <v>4680115889354</v>
      </c>
      <c r="E37" s="65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5"/>
      <c r="R37" s="655"/>
      <c r="S37" s="655"/>
      <c r="T37" s="656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53">
        <v>4680115888463</v>
      </c>
      <c r="E38" s="65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5"/>
      <c r="R38" s="655"/>
      <c r="S38" s="655"/>
      <c r="T38" s="656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53">
        <v>4680115889590</v>
      </c>
      <c r="E39" s="65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2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5"/>
      <c r="R39" s="655"/>
      <c r="S39" s="655"/>
      <c r="T39" s="656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653">
        <v>4680115888494</v>
      </c>
      <c r="E40" s="65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2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55"/>
      <c r="R40" s="655"/>
      <c r="S40" s="655"/>
      <c r="T40" s="656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653">
        <v>4680115888272</v>
      </c>
      <c r="E41" s="65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2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55"/>
      <c r="R41" s="655"/>
      <c r="S41" s="655"/>
      <c r="T41" s="656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653">
        <v>4680115888364</v>
      </c>
      <c r="E42" s="653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92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55"/>
      <c r="R42" s="655"/>
      <c r="S42" s="655"/>
      <c r="T42" s="656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647"/>
      <c r="B43" s="647"/>
      <c r="C43" s="647"/>
      <c r="D43" s="647"/>
      <c r="E43" s="647"/>
      <c r="F43" s="647"/>
      <c r="G43" s="647"/>
      <c r="H43" s="647"/>
      <c r="I43" s="647"/>
      <c r="J43" s="647"/>
      <c r="K43" s="647"/>
      <c r="L43" s="647"/>
      <c r="M43" s="647"/>
      <c r="N43" s="647"/>
      <c r="O43" s="648"/>
      <c r="P43" s="644" t="s">
        <v>40</v>
      </c>
      <c r="Q43" s="645"/>
      <c r="R43" s="645"/>
      <c r="S43" s="645"/>
      <c r="T43" s="645"/>
      <c r="U43" s="645"/>
      <c r="V43" s="646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647"/>
      <c r="B44" s="647"/>
      <c r="C44" s="647"/>
      <c r="D44" s="647"/>
      <c r="E44" s="647"/>
      <c r="F44" s="647"/>
      <c r="G44" s="647"/>
      <c r="H44" s="647"/>
      <c r="I44" s="647"/>
      <c r="J44" s="647"/>
      <c r="K44" s="647"/>
      <c r="L44" s="647"/>
      <c r="M44" s="647"/>
      <c r="N44" s="647"/>
      <c r="O44" s="648"/>
      <c r="P44" s="644" t="s">
        <v>40</v>
      </c>
      <c r="Q44" s="645"/>
      <c r="R44" s="645"/>
      <c r="S44" s="645"/>
      <c r="T44" s="645"/>
      <c r="U44" s="645"/>
      <c r="V44" s="646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664" t="s">
        <v>121</v>
      </c>
      <c r="B45" s="664"/>
      <c r="C45" s="664"/>
      <c r="D45" s="664"/>
      <c r="E45" s="664"/>
      <c r="F45" s="664"/>
      <c r="G45" s="664"/>
      <c r="H45" s="664"/>
      <c r="I45" s="664"/>
      <c r="J45" s="664"/>
      <c r="K45" s="664"/>
      <c r="L45" s="664"/>
      <c r="M45" s="664"/>
      <c r="N45" s="664"/>
      <c r="O45" s="664"/>
      <c r="P45" s="664"/>
      <c r="Q45" s="664"/>
      <c r="R45" s="664"/>
      <c r="S45" s="664"/>
      <c r="T45" s="664"/>
      <c r="U45" s="664"/>
      <c r="V45" s="664"/>
      <c r="W45" s="664"/>
      <c r="X45" s="664"/>
      <c r="Y45" s="664"/>
      <c r="Z45" s="664"/>
      <c r="AA45" s="54"/>
      <c r="AB45" s="54"/>
      <c r="AC45" s="54"/>
    </row>
    <row r="46" spans="1:68" ht="16.5" hidden="1" customHeight="1" x14ac:dyDescent="0.25">
      <c r="A46" s="657" t="s">
        <v>122</v>
      </c>
      <c r="B46" s="657"/>
      <c r="C46" s="657"/>
      <c r="D46" s="657"/>
      <c r="E46" s="657"/>
      <c r="F46" s="657"/>
      <c r="G46" s="657"/>
      <c r="H46" s="657"/>
      <c r="I46" s="657"/>
      <c r="J46" s="657"/>
      <c r="K46" s="657"/>
      <c r="L46" s="657"/>
      <c r="M46" s="657"/>
      <c r="N46" s="657"/>
      <c r="O46" s="657"/>
      <c r="P46" s="657"/>
      <c r="Q46" s="657"/>
      <c r="R46" s="657"/>
      <c r="S46" s="657"/>
      <c r="T46" s="657"/>
      <c r="U46" s="657"/>
      <c r="V46" s="657"/>
      <c r="W46" s="657"/>
      <c r="X46" s="657"/>
      <c r="Y46" s="657"/>
      <c r="Z46" s="657"/>
      <c r="AA46" s="65"/>
      <c r="AB46" s="65"/>
      <c r="AC46" s="79"/>
    </row>
    <row r="47" spans="1:68" ht="14.25" hidden="1" customHeight="1" x14ac:dyDescent="0.25">
      <c r="A47" s="658" t="s">
        <v>123</v>
      </c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  <c r="V47" s="658"/>
      <c r="W47" s="658"/>
      <c r="X47" s="658"/>
      <c r="Y47" s="658"/>
      <c r="Z47" s="658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653">
        <v>4607091385670</v>
      </c>
      <c r="E48" s="653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92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55"/>
      <c r="R48" s="655"/>
      <c r="S48" s="655"/>
      <c r="T48" s="656"/>
      <c r="U48" s="39" t="s">
        <v>46</v>
      </c>
      <c r="V48" s="39" t="s">
        <v>46</v>
      </c>
      <c r="W48" s="40" t="s">
        <v>0</v>
      </c>
      <c r="X48" s="58">
        <v>100</v>
      </c>
      <c r="Y48" s="55">
        <f>IFERROR(IF(X48="",0,CEILING((X48/$H48),1)*$H48),"")</f>
        <v>108</v>
      </c>
      <c r="Z48" s="41">
        <f>IFERROR(IF(Y48=0,"",ROUNDUP(Y48/H48,0)*0.01898),"")</f>
        <v>0.1898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103.79629629629629</v>
      </c>
      <c r="BN48" s="78">
        <f>IFERROR(Y48*I48/H48,"0")</f>
        <v>112.1</v>
      </c>
      <c r="BO48" s="78">
        <f>IFERROR(1/J48*(X48/H48),"0")</f>
        <v>0.14467592592592593</v>
      </c>
      <c r="BP48" s="78">
        <f>IFERROR(1/J48*(Y48/H48),"0")</f>
        <v>0.15625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653">
        <v>4680115887725</v>
      </c>
      <c r="E49" s="653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92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55"/>
      <c r="R49" s="655"/>
      <c r="S49" s="655"/>
      <c r="T49" s="65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653">
        <v>4607091385687</v>
      </c>
      <c r="E50" s="653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9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55"/>
      <c r="R50" s="655"/>
      <c r="S50" s="655"/>
      <c r="T50" s="656"/>
      <c r="U50" s="39" t="s">
        <v>46</v>
      </c>
      <c r="V50" s="39" t="s">
        <v>46</v>
      </c>
      <c r="W50" s="40" t="s">
        <v>0</v>
      </c>
      <c r="X50" s="58">
        <v>240</v>
      </c>
      <c r="Y50" s="55">
        <f>IFERROR(IF(X50="",0,CEILING((X50/$H50),1)*$H50),"")</f>
        <v>240</v>
      </c>
      <c r="Z50" s="41">
        <f>IFERROR(IF(Y50=0,"",ROUNDUP(Y50/H50,0)*0.00902),"")</f>
        <v>0.54120000000000001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251.40000000000003</v>
      </c>
      <c r="BN50" s="78">
        <f>IFERROR(Y50*I50/H50,"0")</f>
        <v>251.40000000000003</v>
      </c>
      <c r="BO50" s="78">
        <f>IFERROR(1/J50*(X50/H50),"0")</f>
        <v>0.45454545454545459</v>
      </c>
      <c r="BP50" s="78">
        <f>IFERROR(1/J50*(Y50/H50),"0")</f>
        <v>0.45454545454545459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653">
        <v>4680115882539</v>
      </c>
      <c r="E51" s="653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92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55"/>
      <c r="R51" s="655"/>
      <c r="S51" s="655"/>
      <c r="T51" s="656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647"/>
      <c r="B52" s="647"/>
      <c r="C52" s="647"/>
      <c r="D52" s="647"/>
      <c r="E52" s="647"/>
      <c r="F52" s="647"/>
      <c r="G52" s="647"/>
      <c r="H52" s="647"/>
      <c r="I52" s="647"/>
      <c r="J52" s="647"/>
      <c r="K52" s="647"/>
      <c r="L52" s="647"/>
      <c r="M52" s="647"/>
      <c r="N52" s="647"/>
      <c r="O52" s="648"/>
      <c r="P52" s="644" t="s">
        <v>40</v>
      </c>
      <c r="Q52" s="645"/>
      <c r="R52" s="645"/>
      <c r="S52" s="645"/>
      <c r="T52" s="645"/>
      <c r="U52" s="645"/>
      <c r="V52" s="646"/>
      <c r="W52" s="42" t="s">
        <v>39</v>
      </c>
      <c r="X52" s="43">
        <f>IFERROR(X48/H48,"0")+IFERROR(X49/H49,"0")+IFERROR(X50/H50,"0")+IFERROR(X51/H51,"0")</f>
        <v>69.259259259259267</v>
      </c>
      <c r="Y52" s="43">
        <f>IFERROR(Y48/H48,"0")+IFERROR(Y49/H49,"0")+IFERROR(Y50/H50,"0")+IFERROR(Y51/H51,"0")</f>
        <v>70</v>
      </c>
      <c r="Z52" s="43">
        <f>IFERROR(IF(Z48="",0,Z48),"0")+IFERROR(IF(Z49="",0,Z49),"0")+IFERROR(IF(Z50="",0,Z50),"0")+IFERROR(IF(Z51="",0,Z51),"0")</f>
        <v>0.73099999999999998</v>
      </c>
      <c r="AA52" s="67"/>
      <c r="AB52" s="67"/>
      <c r="AC52" s="67"/>
    </row>
    <row r="53" spans="1:68" x14ac:dyDescent="0.2">
      <c r="A53" s="647"/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8"/>
      <c r="P53" s="644" t="s">
        <v>40</v>
      </c>
      <c r="Q53" s="645"/>
      <c r="R53" s="645"/>
      <c r="S53" s="645"/>
      <c r="T53" s="645"/>
      <c r="U53" s="645"/>
      <c r="V53" s="646"/>
      <c r="W53" s="42" t="s">
        <v>0</v>
      </c>
      <c r="X53" s="43">
        <f>IFERROR(SUM(X48:X51),"0")</f>
        <v>340</v>
      </c>
      <c r="Y53" s="43">
        <f>IFERROR(SUM(Y48:Y51),"0")</f>
        <v>348</v>
      </c>
      <c r="Z53" s="42"/>
      <c r="AA53" s="67"/>
      <c r="AB53" s="67"/>
      <c r="AC53" s="67"/>
    </row>
    <row r="54" spans="1:68" ht="16.5" hidden="1" customHeight="1" x14ac:dyDescent="0.25">
      <c r="A54" s="657" t="s">
        <v>138</v>
      </c>
      <c r="B54" s="657"/>
      <c r="C54" s="657"/>
      <c r="D54" s="657"/>
      <c r="E54" s="657"/>
      <c r="F54" s="657"/>
      <c r="G54" s="657"/>
      <c r="H54" s="657"/>
      <c r="I54" s="657"/>
      <c r="J54" s="657"/>
      <c r="K54" s="657"/>
      <c r="L54" s="657"/>
      <c r="M54" s="657"/>
      <c r="N54" s="657"/>
      <c r="O54" s="657"/>
      <c r="P54" s="657"/>
      <c r="Q54" s="657"/>
      <c r="R54" s="657"/>
      <c r="S54" s="657"/>
      <c r="T54" s="657"/>
      <c r="U54" s="657"/>
      <c r="V54" s="657"/>
      <c r="W54" s="657"/>
      <c r="X54" s="657"/>
      <c r="Y54" s="657"/>
      <c r="Z54" s="657"/>
      <c r="AA54" s="65"/>
      <c r="AB54" s="65"/>
      <c r="AC54" s="79"/>
    </row>
    <row r="55" spans="1:68" ht="14.25" hidden="1" customHeight="1" x14ac:dyDescent="0.25">
      <c r="A55" s="658" t="s">
        <v>123</v>
      </c>
      <c r="B55" s="658"/>
      <c r="C55" s="658"/>
      <c r="D55" s="658"/>
      <c r="E55" s="658"/>
      <c r="F55" s="658"/>
      <c r="G55" s="658"/>
      <c r="H55" s="658"/>
      <c r="I55" s="658"/>
      <c r="J55" s="658"/>
      <c r="K55" s="658"/>
      <c r="L55" s="658"/>
      <c r="M55" s="658"/>
      <c r="N55" s="658"/>
      <c r="O55" s="658"/>
      <c r="P55" s="658"/>
      <c r="Q55" s="658"/>
      <c r="R55" s="658"/>
      <c r="S55" s="658"/>
      <c r="T55" s="658"/>
      <c r="U55" s="658"/>
      <c r="V55" s="658"/>
      <c r="W55" s="658"/>
      <c r="X55" s="658"/>
      <c r="Y55" s="658"/>
      <c r="Z55" s="658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653">
        <v>4680115885882</v>
      </c>
      <c r="E56" s="653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91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55"/>
      <c r="R56" s="655"/>
      <c r="S56" s="655"/>
      <c r="T56" s="65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hidden="1" customHeight="1" x14ac:dyDescent="0.25">
      <c r="A57" s="63" t="s">
        <v>142</v>
      </c>
      <c r="B57" s="63" t="s">
        <v>143</v>
      </c>
      <c r="C57" s="36">
        <v>4301011816</v>
      </c>
      <c r="D57" s="653">
        <v>4680115881426</v>
      </c>
      <c r="E57" s="65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91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55"/>
      <c r="R57" s="655"/>
      <c r="S57" s="655"/>
      <c r="T57" s="65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6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0</v>
      </c>
      <c r="BN57" s="78">
        <f t="shared" si="8"/>
        <v>0</v>
      </c>
      <c r="BO57" s="78">
        <f t="shared" si="9"/>
        <v>0</v>
      </c>
      <c r="BP57" s="78">
        <f t="shared" si="10"/>
        <v>0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653">
        <v>4680115880283</v>
      </c>
      <c r="E58" s="65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91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5"/>
      <c r="R58" s="655"/>
      <c r="S58" s="655"/>
      <c r="T58" s="65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653">
        <v>4680115881525</v>
      </c>
      <c r="E59" s="65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5"/>
      <c r="R59" s="655"/>
      <c r="S59" s="655"/>
      <c r="T59" s="65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653">
        <v>4680115885899</v>
      </c>
      <c r="E60" s="653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91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5"/>
      <c r="R60" s="655"/>
      <c r="S60" s="655"/>
      <c r="T60" s="65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653">
        <v>4680115881419</v>
      </c>
      <c r="E61" s="653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91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5"/>
      <c r="R61" s="655"/>
      <c r="S61" s="655"/>
      <c r="T61" s="656"/>
      <c r="U61" s="39" t="s">
        <v>46</v>
      </c>
      <c r="V61" s="39" t="s">
        <v>46</v>
      </c>
      <c r="W61" s="40" t="s">
        <v>0</v>
      </c>
      <c r="X61" s="58">
        <v>540</v>
      </c>
      <c r="Y61" s="55">
        <f t="shared" si="6"/>
        <v>540</v>
      </c>
      <c r="Z61" s="41">
        <f>IFERROR(IF(Y61=0,"",ROUNDUP(Y61/H61,0)*0.00902),"")</f>
        <v>1.0824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562.80000000000007</v>
      </c>
      <c r="BN61" s="78">
        <f t="shared" si="8"/>
        <v>562.80000000000007</v>
      </c>
      <c r="BO61" s="78">
        <f t="shared" si="9"/>
        <v>0.90909090909090917</v>
      </c>
      <c r="BP61" s="78">
        <f t="shared" si="10"/>
        <v>0.90909090909090917</v>
      </c>
    </row>
    <row r="62" spans="1:68" x14ac:dyDescent="0.2">
      <c r="A62" s="647"/>
      <c r="B62" s="647"/>
      <c r="C62" s="647"/>
      <c r="D62" s="647"/>
      <c r="E62" s="647"/>
      <c r="F62" s="647"/>
      <c r="G62" s="647"/>
      <c r="H62" s="647"/>
      <c r="I62" s="647"/>
      <c r="J62" s="647"/>
      <c r="K62" s="647"/>
      <c r="L62" s="647"/>
      <c r="M62" s="647"/>
      <c r="N62" s="647"/>
      <c r="O62" s="648"/>
      <c r="P62" s="644" t="s">
        <v>40</v>
      </c>
      <c r="Q62" s="645"/>
      <c r="R62" s="645"/>
      <c r="S62" s="645"/>
      <c r="T62" s="645"/>
      <c r="U62" s="645"/>
      <c r="V62" s="646"/>
      <c r="W62" s="42" t="s">
        <v>39</v>
      </c>
      <c r="X62" s="43">
        <f>IFERROR(X56/H56,"0")+IFERROR(X57/H57,"0")+IFERROR(X58/H58,"0")+IFERROR(X59/H59,"0")+IFERROR(X60/H60,"0")+IFERROR(X61/H61,"0")</f>
        <v>120</v>
      </c>
      <c r="Y62" s="43">
        <f>IFERROR(Y56/H56,"0")+IFERROR(Y57/H57,"0")+IFERROR(Y58/H58,"0")+IFERROR(Y59/H59,"0")+IFERROR(Y60/H60,"0")+IFERROR(Y61/H61,"0")</f>
        <v>120</v>
      </c>
      <c r="Z62" s="43">
        <f>IFERROR(IF(Z56="",0,Z56),"0")+IFERROR(IF(Z57="",0,Z57),"0")+IFERROR(IF(Z58="",0,Z58),"0")+IFERROR(IF(Z59="",0,Z59),"0")+IFERROR(IF(Z60="",0,Z60),"0")+IFERROR(IF(Z61="",0,Z61),"0")</f>
        <v>1.0824</v>
      </c>
      <c r="AA62" s="67"/>
      <c r="AB62" s="67"/>
      <c r="AC62" s="67"/>
    </row>
    <row r="63" spans="1:68" x14ac:dyDescent="0.2">
      <c r="A63" s="647"/>
      <c r="B63" s="647"/>
      <c r="C63" s="647"/>
      <c r="D63" s="647"/>
      <c r="E63" s="647"/>
      <c r="F63" s="647"/>
      <c r="G63" s="647"/>
      <c r="H63" s="647"/>
      <c r="I63" s="647"/>
      <c r="J63" s="647"/>
      <c r="K63" s="647"/>
      <c r="L63" s="647"/>
      <c r="M63" s="647"/>
      <c r="N63" s="647"/>
      <c r="O63" s="648"/>
      <c r="P63" s="644" t="s">
        <v>40</v>
      </c>
      <c r="Q63" s="645"/>
      <c r="R63" s="645"/>
      <c r="S63" s="645"/>
      <c r="T63" s="645"/>
      <c r="U63" s="645"/>
      <c r="V63" s="646"/>
      <c r="W63" s="42" t="s">
        <v>0</v>
      </c>
      <c r="X63" s="43">
        <f>IFERROR(SUM(X56:X61),"0")</f>
        <v>540</v>
      </c>
      <c r="Y63" s="43">
        <f>IFERROR(SUM(Y56:Y61),"0")</f>
        <v>540</v>
      </c>
      <c r="Z63" s="42"/>
      <c r="AA63" s="67"/>
      <c r="AB63" s="67"/>
      <c r="AC63" s="67"/>
    </row>
    <row r="64" spans="1:68" ht="14.25" hidden="1" customHeight="1" x14ac:dyDescent="0.25">
      <c r="A64" s="658" t="s">
        <v>156</v>
      </c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8"/>
      <c r="P64" s="658"/>
      <c r="Q64" s="658"/>
      <c r="R64" s="658"/>
      <c r="S64" s="658"/>
      <c r="T64" s="658"/>
      <c r="U64" s="658"/>
      <c r="V64" s="658"/>
      <c r="W64" s="658"/>
      <c r="X64" s="658"/>
      <c r="Y64" s="658"/>
      <c r="Z64" s="658"/>
      <c r="AA64" s="66"/>
      <c r="AB64" s="66"/>
      <c r="AC64" s="80"/>
    </row>
    <row r="65" spans="1:68" ht="16.5" hidden="1" customHeight="1" x14ac:dyDescent="0.25">
      <c r="A65" s="63" t="s">
        <v>157</v>
      </c>
      <c r="B65" s="63" t="s">
        <v>158</v>
      </c>
      <c r="C65" s="36">
        <v>4301020298</v>
      </c>
      <c r="D65" s="653">
        <v>4680115881440</v>
      </c>
      <c r="E65" s="653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91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5"/>
      <c r="R65" s="655"/>
      <c r="S65" s="655"/>
      <c r="T65" s="65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653">
        <v>4680115885950</v>
      </c>
      <c r="E66" s="653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91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5"/>
      <c r="R66" s="655"/>
      <c r="S66" s="655"/>
      <c r="T66" s="65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653">
        <v>4680115887688</v>
      </c>
      <c r="E67" s="653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90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5"/>
      <c r="R67" s="655"/>
      <c r="S67" s="655"/>
      <c r="T67" s="65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653">
        <v>4680115881433</v>
      </c>
      <c r="E68" s="653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9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5"/>
      <c r="R68" s="655"/>
      <c r="S68" s="655"/>
      <c r="T68" s="656"/>
      <c r="U68" s="39" t="s">
        <v>46</v>
      </c>
      <c r="V68" s="39" t="s">
        <v>46</v>
      </c>
      <c r="W68" s="40" t="s">
        <v>0</v>
      </c>
      <c r="X68" s="58">
        <v>135</v>
      </c>
      <c r="Y68" s="55">
        <f>IFERROR(IF(X68="",0,CEILING((X68/$H68),1)*$H68),"")</f>
        <v>135</v>
      </c>
      <c r="Z68" s="41">
        <f>IFERROR(IF(Y68=0,"",ROUNDUP(Y68/H68,0)*0.00651),"")</f>
        <v>0.32550000000000001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144</v>
      </c>
      <c r="BN68" s="78">
        <f>IFERROR(Y68*I68/H68,"0")</f>
        <v>144</v>
      </c>
      <c r="BO68" s="78">
        <f>IFERROR(1/J68*(X68/H68),"0")</f>
        <v>0.27472527472527475</v>
      </c>
      <c r="BP68" s="78">
        <f>IFERROR(1/J68*(Y68/H68),"0")</f>
        <v>0.27472527472527475</v>
      </c>
    </row>
    <row r="69" spans="1:68" x14ac:dyDescent="0.2">
      <c r="A69" s="647"/>
      <c r="B69" s="647"/>
      <c r="C69" s="647"/>
      <c r="D69" s="647"/>
      <c r="E69" s="647"/>
      <c r="F69" s="647"/>
      <c r="G69" s="647"/>
      <c r="H69" s="647"/>
      <c r="I69" s="647"/>
      <c r="J69" s="647"/>
      <c r="K69" s="647"/>
      <c r="L69" s="647"/>
      <c r="M69" s="647"/>
      <c r="N69" s="647"/>
      <c r="O69" s="648"/>
      <c r="P69" s="644" t="s">
        <v>40</v>
      </c>
      <c r="Q69" s="645"/>
      <c r="R69" s="645"/>
      <c r="S69" s="645"/>
      <c r="T69" s="645"/>
      <c r="U69" s="645"/>
      <c r="V69" s="646"/>
      <c r="W69" s="42" t="s">
        <v>39</v>
      </c>
      <c r="X69" s="43">
        <f>IFERROR(X65/H65,"0")+IFERROR(X66/H66,"0")+IFERROR(X67/H67,"0")+IFERROR(X68/H68,"0")</f>
        <v>50</v>
      </c>
      <c r="Y69" s="43">
        <f>IFERROR(Y65/H65,"0")+IFERROR(Y66/H66,"0")+IFERROR(Y67/H67,"0")+IFERROR(Y68/H68,"0")</f>
        <v>50</v>
      </c>
      <c r="Z69" s="43">
        <f>IFERROR(IF(Z65="",0,Z65),"0")+IFERROR(IF(Z66="",0,Z66),"0")+IFERROR(IF(Z67="",0,Z67),"0")+IFERROR(IF(Z68="",0,Z68),"0")</f>
        <v>0.32550000000000001</v>
      </c>
      <c r="AA69" s="67"/>
      <c r="AB69" s="67"/>
      <c r="AC69" s="67"/>
    </row>
    <row r="70" spans="1:68" x14ac:dyDescent="0.2">
      <c r="A70" s="647"/>
      <c r="B70" s="647"/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8"/>
      <c r="P70" s="644" t="s">
        <v>40</v>
      </c>
      <c r="Q70" s="645"/>
      <c r="R70" s="645"/>
      <c r="S70" s="645"/>
      <c r="T70" s="645"/>
      <c r="U70" s="645"/>
      <c r="V70" s="646"/>
      <c r="W70" s="42" t="s">
        <v>0</v>
      </c>
      <c r="X70" s="43">
        <f>IFERROR(SUM(X65:X68),"0")</f>
        <v>135</v>
      </c>
      <c r="Y70" s="43">
        <f>IFERROR(SUM(Y65:Y68),"0")</f>
        <v>135</v>
      </c>
      <c r="Z70" s="42"/>
      <c r="AA70" s="67"/>
      <c r="AB70" s="67"/>
      <c r="AC70" s="67"/>
    </row>
    <row r="71" spans="1:68" ht="14.25" hidden="1" customHeight="1" x14ac:dyDescent="0.25">
      <c r="A71" s="658" t="s">
        <v>85</v>
      </c>
      <c r="B71" s="658"/>
      <c r="C71" s="658"/>
      <c r="D71" s="658"/>
      <c r="E71" s="658"/>
      <c r="F71" s="658"/>
      <c r="G71" s="658"/>
      <c r="H71" s="658"/>
      <c r="I71" s="658"/>
      <c r="J71" s="658"/>
      <c r="K71" s="658"/>
      <c r="L71" s="658"/>
      <c r="M71" s="658"/>
      <c r="N71" s="658"/>
      <c r="O71" s="658"/>
      <c r="P71" s="658"/>
      <c r="Q71" s="658"/>
      <c r="R71" s="658"/>
      <c r="S71" s="658"/>
      <c r="T71" s="658"/>
      <c r="U71" s="658"/>
      <c r="V71" s="658"/>
      <c r="W71" s="658"/>
      <c r="X71" s="658"/>
      <c r="Y71" s="658"/>
      <c r="Z71" s="658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653">
        <v>4680115884311</v>
      </c>
      <c r="E72" s="653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1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5"/>
      <c r="R72" s="655"/>
      <c r="S72" s="655"/>
      <c r="T72" s="65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653">
        <v>4680115884403</v>
      </c>
      <c r="E73" s="65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0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5"/>
      <c r="R73" s="655"/>
      <c r="S73" s="655"/>
      <c r="T73" s="65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7"/>
      <c r="B74" s="647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8"/>
      <c r="P74" s="644" t="s">
        <v>40</v>
      </c>
      <c r="Q74" s="645"/>
      <c r="R74" s="645"/>
      <c r="S74" s="645"/>
      <c r="T74" s="645"/>
      <c r="U74" s="645"/>
      <c r="V74" s="646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47"/>
      <c r="B75" s="647"/>
      <c r="C75" s="647"/>
      <c r="D75" s="647"/>
      <c r="E75" s="647"/>
      <c r="F75" s="647"/>
      <c r="G75" s="647"/>
      <c r="H75" s="647"/>
      <c r="I75" s="647"/>
      <c r="J75" s="647"/>
      <c r="K75" s="647"/>
      <c r="L75" s="647"/>
      <c r="M75" s="647"/>
      <c r="N75" s="647"/>
      <c r="O75" s="648"/>
      <c r="P75" s="644" t="s">
        <v>40</v>
      </c>
      <c r="Q75" s="645"/>
      <c r="R75" s="645"/>
      <c r="S75" s="645"/>
      <c r="T75" s="645"/>
      <c r="U75" s="645"/>
      <c r="V75" s="646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58" t="s">
        <v>173</v>
      </c>
      <c r="B76" s="658"/>
      <c r="C76" s="658"/>
      <c r="D76" s="658"/>
      <c r="E76" s="658"/>
      <c r="F76" s="658"/>
      <c r="G76" s="658"/>
      <c r="H76" s="658"/>
      <c r="I76" s="658"/>
      <c r="J76" s="658"/>
      <c r="K76" s="658"/>
      <c r="L76" s="658"/>
      <c r="M76" s="658"/>
      <c r="N76" s="658"/>
      <c r="O76" s="658"/>
      <c r="P76" s="658"/>
      <c r="Q76" s="658"/>
      <c r="R76" s="658"/>
      <c r="S76" s="658"/>
      <c r="T76" s="658"/>
      <c r="U76" s="658"/>
      <c r="V76" s="658"/>
      <c r="W76" s="658"/>
      <c r="X76" s="658"/>
      <c r="Y76" s="658"/>
      <c r="Z76" s="658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53">
        <v>4680115881532</v>
      </c>
      <c r="E77" s="65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55"/>
      <c r="R77" s="655"/>
      <c r="S77" s="655"/>
      <c r="T77" s="65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653">
        <v>4680115881464</v>
      </c>
      <c r="E78" s="653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90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55"/>
      <c r="R78" s="655"/>
      <c r="S78" s="655"/>
      <c r="T78" s="65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7"/>
      <c r="B79" s="647"/>
      <c r="C79" s="647"/>
      <c r="D79" s="647"/>
      <c r="E79" s="647"/>
      <c r="F79" s="647"/>
      <c r="G79" s="647"/>
      <c r="H79" s="647"/>
      <c r="I79" s="647"/>
      <c r="J79" s="647"/>
      <c r="K79" s="647"/>
      <c r="L79" s="647"/>
      <c r="M79" s="647"/>
      <c r="N79" s="647"/>
      <c r="O79" s="648"/>
      <c r="P79" s="644" t="s">
        <v>40</v>
      </c>
      <c r="Q79" s="645"/>
      <c r="R79" s="645"/>
      <c r="S79" s="645"/>
      <c r="T79" s="645"/>
      <c r="U79" s="645"/>
      <c r="V79" s="64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7"/>
      <c r="B80" s="647"/>
      <c r="C80" s="647"/>
      <c r="D80" s="647"/>
      <c r="E80" s="647"/>
      <c r="F80" s="647"/>
      <c r="G80" s="647"/>
      <c r="H80" s="647"/>
      <c r="I80" s="647"/>
      <c r="J80" s="647"/>
      <c r="K80" s="647"/>
      <c r="L80" s="647"/>
      <c r="M80" s="647"/>
      <c r="N80" s="647"/>
      <c r="O80" s="648"/>
      <c r="P80" s="644" t="s">
        <v>40</v>
      </c>
      <c r="Q80" s="645"/>
      <c r="R80" s="645"/>
      <c r="S80" s="645"/>
      <c r="T80" s="645"/>
      <c r="U80" s="645"/>
      <c r="V80" s="64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657" t="s">
        <v>180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5"/>
      <c r="AB81" s="65"/>
      <c r="AC81" s="79"/>
    </row>
    <row r="82" spans="1:68" ht="14.25" hidden="1" customHeight="1" x14ac:dyDescent="0.25">
      <c r="A82" s="658" t="s">
        <v>123</v>
      </c>
      <c r="B82" s="658"/>
      <c r="C82" s="658"/>
      <c r="D82" s="658"/>
      <c r="E82" s="658"/>
      <c r="F82" s="658"/>
      <c r="G82" s="658"/>
      <c r="H82" s="658"/>
      <c r="I82" s="658"/>
      <c r="J82" s="658"/>
      <c r="K82" s="658"/>
      <c r="L82" s="658"/>
      <c r="M82" s="658"/>
      <c r="N82" s="658"/>
      <c r="O82" s="658"/>
      <c r="P82" s="658"/>
      <c r="Q82" s="658"/>
      <c r="R82" s="658"/>
      <c r="S82" s="658"/>
      <c r="T82" s="658"/>
      <c r="U82" s="658"/>
      <c r="V82" s="658"/>
      <c r="W82" s="658"/>
      <c r="X82" s="658"/>
      <c r="Y82" s="658"/>
      <c r="Z82" s="658"/>
      <c r="AA82" s="66"/>
      <c r="AB82" s="66"/>
      <c r="AC82" s="80"/>
    </row>
    <row r="83" spans="1:68" ht="27" customHeight="1" x14ac:dyDescent="0.25">
      <c r="A83" s="63" t="s">
        <v>181</v>
      </c>
      <c r="B83" s="63" t="s">
        <v>182</v>
      </c>
      <c r="C83" s="36">
        <v>4301011468</v>
      </c>
      <c r="D83" s="653">
        <v>4680115881327</v>
      </c>
      <c r="E83" s="653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90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55"/>
      <c r="R83" s="655"/>
      <c r="S83" s="655"/>
      <c r="T83" s="656"/>
      <c r="U83" s="39" t="s">
        <v>46</v>
      </c>
      <c r="V83" s="39" t="s">
        <v>46</v>
      </c>
      <c r="W83" s="40" t="s">
        <v>0</v>
      </c>
      <c r="X83" s="58">
        <v>70</v>
      </c>
      <c r="Y83" s="55">
        <f>IFERROR(IF(X83="",0,CEILING((X83/$H83),1)*$H83),"")</f>
        <v>75.600000000000009</v>
      </c>
      <c r="Z83" s="41">
        <f>IFERROR(IF(Y83=0,"",ROUNDUP(Y83/H83,0)*0.01898),"")</f>
        <v>0.13286000000000001</v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72.657407407407405</v>
      </c>
      <c r="BN83" s="78">
        <f>IFERROR(Y83*I83/H83,"0")</f>
        <v>78.47</v>
      </c>
      <c r="BO83" s="78">
        <f>IFERROR(1/J83*(X83/H83),"0")</f>
        <v>0.10127314814814814</v>
      </c>
      <c r="BP83" s="78">
        <f>IFERROR(1/J83*(Y83/H83),"0")</f>
        <v>0.109375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653">
        <v>4680115887732</v>
      </c>
      <c r="E84" s="653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90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55"/>
      <c r="R84" s="655"/>
      <c r="S84" s="655"/>
      <c r="T84" s="656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653">
        <v>4680115881518</v>
      </c>
      <c r="E85" s="653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90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55"/>
      <c r="R85" s="655"/>
      <c r="S85" s="655"/>
      <c r="T85" s="65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653">
        <v>4680115881303</v>
      </c>
      <c r="E86" s="653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90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55"/>
      <c r="R86" s="655"/>
      <c r="S86" s="655"/>
      <c r="T86" s="656"/>
      <c r="U86" s="39" t="s">
        <v>46</v>
      </c>
      <c r="V86" s="39" t="s">
        <v>46</v>
      </c>
      <c r="W86" s="40" t="s">
        <v>0</v>
      </c>
      <c r="X86" s="58">
        <v>540</v>
      </c>
      <c r="Y86" s="55">
        <f>IFERROR(IF(X86="",0,CEILING((X86/$H86),1)*$H86),"")</f>
        <v>540</v>
      </c>
      <c r="Z86" s="41">
        <f>IFERROR(IF(Y86=0,"",ROUNDUP(Y86/H86,0)*0.00902),"")</f>
        <v>1.0824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562.80000000000007</v>
      </c>
      <c r="BN86" s="78">
        <f>IFERROR(Y86*I86/H86,"0")</f>
        <v>562.80000000000007</v>
      </c>
      <c r="BO86" s="78">
        <f>IFERROR(1/J86*(X86/H86),"0")</f>
        <v>0.90909090909090917</v>
      </c>
      <c r="BP86" s="78">
        <f>IFERROR(1/J86*(Y86/H86),"0")</f>
        <v>0.90909090909090917</v>
      </c>
    </row>
    <row r="87" spans="1:68" x14ac:dyDescent="0.2">
      <c r="A87" s="647"/>
      <c r="B87" s="647"/>
      <c r="C87" s="647"/>
      <c r="D87" s="647"/>
      <c r="E87" s="647"/>
      <c r="F87" s="647"/>
      <c r="G87" s="647"/>
      <c r="H87" s="647"/>
      <c r="I87" s="647"/>
      <c r="J87" s="647"/>
      <c r="K87" s="647"/>
      <c r="L87" s="647"/>
      <c r="M87" s="647"/>
      <c r="N87" s="647"/>
      <c r="O87" s="648"/>
      <c r="P87" s="644" t="s">
        <v>40</v>
      </c>
      <c r="Q87" s="645"/>
      <c r="R87" s="645"/>
      <c r="S87" s="645"/>
      <c r="T87" s="645"/>
      <c r="U87" s="645"/>
      <c r="V87" s="646"/>
      <c r="W87" s="42" t="s">
        <v>39</v>
      </c>
      <c r="X87" s="43">
        <f>IFERROR(X83/H83,"0")+IFERROR(X84/H84,"0")+IFERROR(X85/H85,"0")+IFERROR(X86/H86,"0")</f>
        <v>126.48148148148148</v>
      </c>
      <c r="Y87" s="43">
        <f>IFERROR(Y83/H83,"0")+IFERROR(Y84/H84,"0")+IFERROR(Y85/H85,"0")+IFERROR(Y86/H86,"0")</f>
        <v>127</v>
      </c>
      <c r="Z87" s="43">
        <f>IFERROR(IF(Z83="",0,Z83),"0")+IFERROR(IF(Z84="",0,Z84),"0")+IFERROR(IF(Z85="",0,Z85),"0")+IFERROR(IF(Z86="",0,Z86),"0")</f>
        <v>1.21526</v>
      </c>
      <c r="AA87" s="67"/>
      <c r="AB87" s="67"/>
      <c r="AC87" s="67"/>
    </row>
    <row r="88" spans="1:68" x14ac:dyDescent="0.2">
      <c r="A88" s="647"/>
      <c r="B88" s="647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8"/>
      <c r="P88" s="644" t="s">
        <v>40</v>
      </c>
      <c r="Q88" s="645"/>
      <c r="R88" s="645"/>
      <c r="S88" s="645"/>
      <c r="T88" s="645"/>
      <c r="U88" s="645"/>
      <c r="V88" s="646"/>
      <c r="W88" s="42" t="s">
        <v>0</v>
      </c>
      <c r="X88" s="43">
        <f>IFERROR(SUM(X83:X86),"0")</f>
        <v>610</v>
      </c>
      <c r="Y88" s="43">
        <f>IFERROR(SUM(Y83:Y86),"0")</f>
        <v>615.6</v>
      </c>
      <c r="Z88" s="42"/>
      <c r="AA88" s="67"/>
      <c r="AB88" s="67"/>
      <c r="AC88" s="67"/>
    </row>
    <row r="89" spans="1:68" ht="14.25" hidden="1" customHeight="1" x14ac:dyDescent="0.25">
      <c r="A89" s="658" t="s">
        <v>85</v>
      </c>
      <c r="B89" s="658"/>
      <c r="C89" s="658"/>
      <c r="D89" s="658"/>
      <c r="E89" s="658"/>
      <c r="F89" s="658"/>
      <c r="G89" s="658"/>
      <c r="H89" s="658"/>
      <c r="I89" s="658"/>
      <c r="J89" s="658"/>
      <c r="K89" s="658"/>
      <c r="L89" s="658"/>
      <c r="M89" s="658"/>
      <c r="N89" s="658"/>
      <c r="O89" s="658"/>
      <c r="P89" s="658"/>
      <c r="Q89" s="658"/>
      <c r="R89" s="658"/>
      <c r="S89" s="658"/>
      <c r="T89" s="658"/>
      <c r="U89" s="658"/>
      <c r="V89" s="658"/>
      <c r="W89" s="658"/>
      <c r="X89" s="658"/>
      <c r="Y89" s="658"/>
      <c r="Z89" s="658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653">
        <v>4607091386967</v>
      </c>
      <c r="E90" s="653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90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55"/>
      <c r="R90" s="655"/>
      <c r="S90" s="655"/>
      <c r="T90" s="656"/>
      <c r="U90" s="39" t="s">
        <v>46</v>
      </c>
      <c r="V90" s="39" t="s">
        <v>46</v>
      </c>
      <c r="W90" s="40" t="s">
        <v>0</v>
      </c>
      <c r="X90" s="58">
        <v>200</v>
      </c>
      <c r="Y90" s="55">
        <f>IFERROR(IF(X90="",0,CEILING((X90/$H90),1)*$H90),"")</f>
        <v>202.5</v>
      </c>
      <c r="Z90" s="41">
        <f>IFERROR(IF(Y90=0,"",ROUNDUP(Y90/H90,0)*0.01898),"")</f>
        <v>0.47450000000000003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212.19753086419755</v>
      </c>
      <c r="BN90" s="78">
        <f>IFERROR(Y90*I90/H90,"0")</f>
        <v>214.85</v>
      </c>
      <c r="BO90" s="78">
        <f>IFERROR(1/J90*(X90/H90),"0")</f>
        <v>0.38580246913580246</v>
      </c>
      <c r="BP90" s="78">
        <f>IFERROR(1/J90*(Y90/H90),"0")</f>
        <v>0.390625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653">
        <v>4680115884953</v>
      </c>
      <c r="E91" s="653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89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55"/>
      <c r="R91" s="655"/>
      <c r="S91" s="655"/>
      <c r="T91" s="65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653">
        <v>4607091385731</v>
      </c>
      <c r="E92" s="653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89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55"/>
      <c r="R92" s="655"/>
      <c r="S92" s="655"/>
      <c r="T92" s="656"/>
      <c r="U92" s="39" t="s">
        <v>46</v>
      </c>
      <c r="V92" s="39" t="s">
        <v>46</v>
      </c>
      <c r="W92" s="40" t="s">
        <v>0</v>
      </c>
      <c r="X92" s="58">
        <v>450</v>
      </c>
      <c r="Y92" s="55">
        <f>IFERROR(IF(X92="",0,CEILING((X92/$H92),1)*$H92),"")</f>
        <v>450.90000000000003</v>
      </c>
      <c r="Z92" s="41">
        <f>IFERROR(IF(Y92=0,"",ROUNDUP(Y92/H92,0)*0.00651),"")</f>
        <v>1.08717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492</v>
      </c>
      <c r="BN92" s="78">
        <f>IFERROR(Y92*I92/H92,"0")</f>
        <v>492.98399999999998</v>
      </c>
      <c r="BO92" s="78">
        <f>IFERROR(1/J92*(X92/H92),"0")</f>
        <v>0.91575091575091572</v>
      </c>
      <c r="BP92" s="78">
        <f>IFERROR(1/J92*(Y92/H92),"0")</f>
        <v>0.91758241758241765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653">
        <v>4680115880894</v>
      </c>
      <c r="E93" s="653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89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55"/>
      <c r="R93" s="655"/>
      <c r="S93" s="655"/>
      <c r="T93" s="656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647"/>
      <c r="B94" s="647"/>
      <c r="C94" s="647"/>
      <c r="D94" s="647"/>
      <c r="E94" s="647"/>
      <c r="F94" s="647"/>
      <c r="G94" s="647"/>
      <c r="H94" s="647"/>
      <c r="I94" s="647"/>
      <c r="J94" s="647"/>
      <c r="K94" s="647"/>
      <c r="L94" s="647"/>
      <c r="M94" s="647"/>
      <c r="N94" s="647"/>
      <c r="O94" s="648"/>
      <c r="P94" s="644" t="s">
        <v>40</v>
      </c>
      <c r="Q94" s="645"/>
      <c r="R94" s="645"/>
      <c r="S94" s="645"/>
      <c r="T94" s="645"/>
      <c r="U94" s="645"/>
      <c r="V94" s="646"/>
      <c r="W94" s="42" t="s">
        <v>39</v>
      </c>
      <c r="X94" s="43">
        <f>IFERROR(X90/H90,"0")+IFERROR(X91/H91,"0")+IFERROR(X92/H92,"0")+IFERROR(X93/H93,"0")</f>
        <v>191.35802469135803</v>
      </c>
      <c r="Y94" s="43">
        <f>IFERROR(Y90/H90,"0")+IFERROR(Y91/H91,"0")+IFERROR(Y92/H92,"0")+IFERROR(Y93/H93,"0")</f>
        <v>192</v>
      </c>
      <c r="Z94" s="43">
        <f>IFERROR(IF(Z90="",0,Z90),"0")+IFERROR(IF(Z91="",0,Z91),"0")+IFERROR(IF(Z92="",0,Z92),"0")+IFERROR(IF(Z93="",0,Z93),"0")</f>
        <v>1.5616699999999999</v>
      </c>
      <c r="AA94" s="67"/>
      <c r="AB94" s="67"/>
      <c r="AC94" s="67"/>
    </row>
    <row r="95" spans="1:68" x14ac:dyDescent="0.2">
      <c r="A95" s="647"/>
      <c r="B95" s="647"/>
      <c r="C95" s="647"/>
      <c r="D95" s="647"/>
      <c r="E95" s="647"/>
      <c r="F95" s="647"/>
      <c r="G95" s="647"/>
      <c r="H95" s="647"/>
      <c r="I95" s="647"/>
      <c r="J95" s="647"/>
      <c r="K95" s="647"/>
      <c r="L95" s="647"/>
      <c r="M95" s="647"/>
      <c r="N95" s="647"/>
      <c r="O95" s="648"/>
      <c r="P95" s="644" t="s">
        <v>40</v>
      </c>
      <c r="Q95" s="645"/>
      <c r="R95" s="645"/>
      <c r="S95" s="645"/>
      <c r="T95" s="645"/>
      <c r="U95" s="645"/>
      <c r="V95" s="646"/>
      <c r="W95" s="42" t="s">
        <v>0</v>
      </c>
      <c r="X95" s="43">
        <f>IFERROR(SUM(X90:X93),"0")</f>
        <v>650</v>
      </c>
      <c r="Y95" s="43">
        <f>IFERROR(SUM(Y90:Y93),"0")</f>
        <v>653.40000000000009</v>
      </c>
      <c r="Z95" s="42"/>
      <c r="AA95" s="67"/>
      <c r="AB95" s="67"/>
      <c r="AC95" s="67"/>
    </row>
    <row r="96" spans="1:68" ht="16.5" hidden="1" customHeight="1" x14ac:dyDescent="0.25">
      <c r="A96" s="657" t="s">
        <v>201</v>
      </c>
      <c r="B96" s="657"/>
      <c r="C96" s="657"/>
      <c r="D96" s="657"/>
      <c r="E96" s="657"/>
      <c r="F96" s="657"/>
      <c r="G96" s="657"/>
      <c r="H96" s="657"/>
      <c r="I96" s="657"/>
      <c r="J96" s="657"/>
      <c r="K96" s="657"/>
      <c r="L96" s="657"/>
      <c r="M96" s="657"/>
      <c r="N96" s="657"/>
      <c r="O96" s="657"/>
      <c r="P96" s="657"/>
      <c r="Q96" s="657"/>
      <c r="R96" s="657"/>
      <c r="S96" s="657"/>
      <c r="T96" s="657"/>
      <c r="U96" s="657"/>
      <c r="V96" s="657"/>
      <c r="W96" s="657"/>
      <c r="X96" s="657"/>
      <c r="Y96" s="657"/>
      <c r="Z96" s="657"/>
      <c r="AA96" s="65"/>
      <c r="AB96" s="65"/>
      <c r="AC96" s="79"/>
    </row>
    <row r="97" spans="1:68" ht="14.25" hidden="1" customHeight="1" x14ac:dyDescent="0.25">
      <c r="A97" s="658" t="s">
        <v>123</v>
      </c>
      <c r="B97" s="658"/>
      <c r="C97" s="658"/>
      <c r="D97" s="658"/>
      <c r="E97" s="658"/>
      <c r="F97" s="658"/>
      <c r="G97" s="658"/>
      <c r="H97" s="658"/>
      <c r="I97" s="658"/>
      <c r="J97" s="658"/>
      <c r="K97" s="658"/>
      <c r="L97" s="658"/>
      <c r="M97" s="658"/>
      <c r="N97" s="658"/>
      <c r="O97" s="658"/>
      <c r="P97" s="658"/>
      <c r="Q97" s="658"/>
      <c r="R97" s="658"/>
      <c r="S97" s="658"/>
      <c r="T97" s="658"/>
      <c r="U97" s="658"/>
      <c r="V97" s="658"/>
      <c r="W97" s="658"/>
      <c r="X97" s="658"/>
      <c r="Y97" s="658"/>
      <c r="Z97" s="658"/>
      <c r="AA97" s="66"/>
      <c r="AB97" s="66"/>
      <c r="AC97" s="80"/>
    </row>
    <row r="98" spans="1:68" ht="37.5" hidden="1" customHeight="1" x14ac:dyDescent="0.25">
      <c r="A98" s="63" t="s">
        <v>202</v>
      </c>
      <c r="B98" s="63" t="s">
        <v>203</v>
      </c>
      <c r="C98" s="36">
        <v>4301011514</v>
      </c>
      <c r="D98" s="653">
        <v>4680115882133</v>
      </c>
      <c r="E98" s="653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55"/>
      <c r="R98" s="655"/>
      <c r="S98" s="655"/>
      <c r="T98" s="65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ref="Y98:Y104" si="11"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0</v>
      </c>
      <c r="BN98" s="78">
        <f t="shared" ref="BN98:BN104" si="13">IFERROR(Y98*I98/H98,"0")</f>
        <v>0</v>
      </c>
      <c r="BO98" s="78">
        <f t="shared" ref="BO98:BO104" si="14">IFERROR(1/J98*(X98/H98),"0")</f>
        <v>0</v>
      </c>
      <c r="BP98" s="78">
        <f t="shared" ref="BP98:BP104" si="15">IFERROR(1/J98*(Y98/H98),"0")</f>
        <v>0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653">
        <v>4680115887718</v>
      </c>
      <c r="E99" s="653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89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55"/>
      <c r="R99" s="655"/>
      <c r="S99" s="655"/>
      <c r="T99" s="65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653">
        <v>4680115887718</v>
      </c>
      <c r="E100" s="653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89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55"/>
      <c r="R100" s="655"/>
      <c r="S100" s="655"/>
      <c r="T100" s="656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653">
        <v>4680115887718</v>
      </c>
      <c r="E101" s="653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55"/>
      <c r="R101" s="655"/>
      <c r="S101" s="655"/>
      <c r="T101" s="656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653">
        <v>4680115880269</v>
      </c>
      <c r="E102" s="653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89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55"/>
      <c r="R102" s="655"/>
      <c r="S102" s="655"/>
      <c r="T102" s="656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653">
        <v>4680115880429</v>
      </c>
      <c r="E103" s="653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8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55"/>
      <c r="R103" s="655"/>
      <c r="S103" s="655"/>
      <c r="T103" s="656"/>
      <c r="U103" s="39" t="s">
        <v>46</v>
      </c>
      <c r="V103" s="39" t="s">
        <v>46</v>
      </c>
      <c r="W103" s="40" t="s">
        <v>0</v>
      </c>
      <c r="X103" s="58">
        <v>540</v>
      </c>
      <c r="Y103" s="55">
        <f t="shared" si="11"/>
        <v>540</v>
      </c>
      <c r="Z103" s="41">
        <f>IFERROR(IF(Y103=0,"",ROUNDUP(Y103/H103,0)*0.00902),"")</f>
        <v>1.0824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562.80000000000007</v>
      </c>
      <c r="BN103" s="78">
        <f t="shared" si="13"/>
        <v>562.80000000000007</v>
      </c>
      <c r="BO103" s="78">
        <f t="shared" si="14"/>
        <v>0.90909090909090917</v>
      </c>
      <c r="BP103" s="78">
        <f t="shared" si="15"/>
        <v>0.90909090909090917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653">
        <v>4680115881457</v>
      </c>
      <c r="E104" s="653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89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55"/>
      <c r="R104" s="655"/>
      <c r="S104" s="655"/>
      <c r="T104" s="65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647"/>
      <c r="B105" s="647"/>
      <c r="C105" s="647"/>
      <c r="D105" s="647"/>
      <c r="E105" s="647"/>
      <c r="F105" s="647"/>
      <c r="G105" s="647"/>
      <c r="H105" s="647"/>
      <c r="I105" s="647"/>
      <c r="J105" s="647"/>
      <c r="K105" s="647"/>
      <c r="L105" s="647"/>
      <c r="M105" s="647"/>
      <c r="N105" s="647"/>
      <c r="O105" s="648"/>
      <c r="P105" s="644" t="s">
        <v>40</v>
      </c>
      <c r="Q105" s="645"/>
      <c r="R105" s="645"/>
      <c r="S105" s="645"/>
      <c r="T105" s="645"/>
      <c r="U105" s="645"/>
      <c r="V105" s="646"/>
      <c r="W105" s="42" t="s">
        <v>39</v>
      </c>
      <c r="X105" s="43">
        <f>IFERROR(X98/H98,"0")+IFERROR(X99/H99,"0")+IFERROR(X100/H100,"0")+IFERROR(X101/H101,"0")+IFERROR(X102/H102,"0")+IFERROR(X103/H103,"0")+IFERROR(X104/H104,"0")</f>
        <v>120</v>
      </c>
      <c r="Y105" s="43">
        <f>IFERROR(Y98/H98,"0")+IFERROR(Y99/H99,"0")+IFERROR(Y100/H100,"0")+IFERROR(Y101/H101,"0")+IFERROR(Y102/H102,"0")+IFERROR(Y103/H103,"0")+IFERROR(Y104/H104,"0")</f>
        <v>120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1.0824</v>
      </c>
      <c r="AA105" s="67"/>
      <c r="AB105" s="67"/>
      <c r="AC105" s="67"/>
    </row>
    <row r="106" spans="1:68" x14ac:dyDescent="0.2">
      <c r="A106" s="647"/>
      <c r="B106" s="647"/>
      <c r="C106" s="647"/>
      <c r="D106" s="647"/>
      <c r="E106" s="647"/>
      <c r="F106" s="647"/>
      <c r="G106" s="647"/>
      <c r="H106" s="647"/>
      <c r="I106" s="647"/>
      <c r="J106" s="647"/>
      <c r="K106" s="647"/>
      <c r="L106" s="647"/>
      <c r="M106" s="647"/>
      <c r="N106" s="647"/>
      <c r="O106" s="648"/>
      <c r="P106" s="644" t="s">
        <v>40</v>
      </c>
      <c r="Q106" s="645"/>
      <c r="R106" s="645"/>
      <c r="S106" s="645"/>
      <c r="T106" s="645"/>
      <c r="U106" s="645"/>
      <c r="V106" s="646"/>
      <c r="W106" s="42" t="s">
        <v>0</v>
      </c>
      <c r="X106" s="43">
        <f>IFERROR(SUM(X98:X104),"0")</f>
        <v>540</v>
      </c>
      <c r="Y106" s="43">
        <f>IFERROR(SUM(Y98:Y104),"0")</f>
        <v>540</v>
      </c>
      <c r="Z106" s="42"/>
      <c r="AA106" s="67"/>
      <c r="AB106" s="67"/>
      <c r="AC106" s="67"/>
    </row>
    <row r="107" spans="1:68" ht="14.25" hidden="1" customHeight="1" x14ac:dyDescent="0.25">
      <c r="A107" s="658" t="s">
        <v>156</v>
      </c>
      <c r="B107" s="658"/>
      <c r="C107" s="658"/>
      <c r="D107" s="658"/>
      <c r="E107" s="658"/>
      <c r="F107" s="658"/>
      <c r="G107" s="658"/>
      <c r="H107" s="658"/>
      <c r="I107" s="658"/>
      <c r="J107" s="658"/>
      <c r="K107" s="658"/>
      <c r="L107" s="658"/>
      <c r="M107" s="658"/>
      <c r="N107" s="658"/>
      <c r="O107" s="658"/>
      <c r="P107" s="658"/>
      <c r="Q107" s="658"/>
      <c r="R107" s="658"/>
      <c r="S107" s="658"/>
      <c r="T107" s="658"/>
      <c r="U107" s="658"/>
      <c r="V107" s="658"/>
      <c r="W107" s="658"/>
      <c r="X107" s="658"/>
      <c r="Y107" s="658"/>
      <c r="Z107" s="658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653">
        <v>4680115881488</v>
      </c>
      <c r="E108" s="653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88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55"/>
      <c r="R108" s="655"/>
      <c r="S108" s="655"/>
      <c r="T108" s="656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653">
        <v>4680115887664</v>
      </c>
      <c r="E109" s="653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88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55"/>
      <c r="R109" s="655"/>
      <c r="S109" s="655"/>
      <c r="T109" s="656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653">
        <v>4680115887664</v>
      </c>
      <c r="E110" s="653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888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55"/>
      <c r="R110" s="655"/>
      <c r="S110" s="655"/>
      <c r="T110" s="656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653">
        <v>4680115882775</v>
      </c>
      <c r="E111" s="653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88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55"/>
      <c r="R111" s="655"/>
      <c r="S111" s="655"/>
      <c r="T111" s="656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653">
        <v>4680115880658</v>
      </c>
      <c r="E112" s="65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88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55"/>
      <c r="R112" s="655"/>
      <c r="S112" s="655"/>
      <c r="T112" s="656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647"/>
      <c r="B113" s="647"/>
      <c r="C113" s="647"/>
      <c r="D113" s="647"/>
      <c r="E113" s="647"/>
      <c r="F113" s="647"/>
      <c r="G113" s="647"/>
      <c r="H113" s="647"/>
      <c r="I113" s="647"/>
      <c r="J113" s="647"/>
      <c r="K113" s="647"/>
      <c r="L113" s="647"/>
      <c r="M113" s="647"/>
      <c r="N113" s="647"/>
      <c r="O113" s="648"/>
      <c r="P113" s="644" t="s">
        <v>40</v>
      </c>
      <c r="Q113" s="645"/>
      <c r="R113" s="645"/>
      <c r="S113" s="645"/>
      <c r="T113" s="645"/>
      <c r="U113" s="645"/>
      <c r="V113" s="646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7"/>
      <c r="B114" s="647"/>
      <c r="C114" s="647"/>
      <c r="D114" s="647"/>
      <c r="E114" s="647"/>
      <c r="F114" s="647"/>
      <c r="G114" s="647"/>
      <c r="H114" s="647"/>
      <c r="I114" s="647"/>
      <c r="J114" s="647"/>
      <c r="K114" s="647"/>
      <c r="L114" s="647"/>
      <c r="M114" s="647"/>
      <c r="N114" s="647"/>
      <c r="O114" s="648"/>
      <c r="P114" s="644" t="s">
        <v>40</v>
      </c>
      <c r="Q114" s="645"/>
      <c r="R114" s="645"/>
      <c r="S114" s="645"/>
      <c r="T114" s="645"/>
      <c r="U114" s="645"/>
      <c r="V114" s="646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8" t="s">
        <v>85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653">
        <v>4607091385168</v>
      </c>
      <c r="E116" s="653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8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55"/>
      <c r="R116" s="655"/>
      <c r="S116" s="655"/>
      <c r="T116" s="656"/>
      <c r="U116" s="39" t="s">
        <v>46</v>
      </c>
      <c r="V116" s="39" t="s">
        <v>46</v>
      </c>
      <c r="W116" s="40" t="s">
        <v>0</v>
      </c>
      <c r="X116" s="58">
        <v>600</v>
      </c>
      <c r="Y116" s="55">
        <f>IFERROR(IF(X116="",0,CEILING((X116/$H116),1)*$H116),"")</f>
        <v>607.5</v>
      </c>
      <c r="Z116" s="41">
        <f>IFERROR(IF(Y116=0,"",ROUNDUP(Y116/H116,0)*0.01898),"")</f>
        <v>1.4235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636.14814814814804</v>
      </c>
      <c r="BN116" s="78">
        <f>IFERROR(Y116*I116/H116,"0")</f>
        <v>644.09999999999991</v>
      </c>
      <c r="BO116" s="78">
        <f>IFERROR(1/J116*(X116/H116),"0")</f>
        <v>1.1574074074074074</v>
      </c>
      <c r="BP116" s="78">
        <f>IFERROR(1/J116*(Y116/H116),"0")</f>
        <v>1.171875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653">
        <v>4607091383256</v>
      </c>
      <c r="E117" s="653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88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55"/>
      <c r="R117" s="655"/>
      <c r="S117" s="655"/>
      <c r="T117" s="65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653">
        <v>4607091385748</v>
      </c>
      <c r="E118" s="653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8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55"/>
      <c r="R118" s="655"/>
      <c r="S118" s="655"/>
      <c r="T118" s="656"/>
      <c r="U118" s="39" t="s">
        <v>46</v>
      </c>
      <c r="V118" s="39" t="s">
        <v>46</v>
      </c>
      <c r="W118" s="40" t="s">
        <v>0</v>
      </c>
      <c r="X118" s="58">
        <v>630</v>
      </c>
      <c r="Y118" s="55">
        <f>IFERROR(IF(X118="",0,CEILING((X118/$H118),1)*$H118),"")</f>
        <v>631.80000000000007</v>
      </c>
      <c r="Z118" s="41">
        <f>IFERROR(IF(Y118=0,"",ROUNDUP(Y118/H118,0)*0.00651),"")</f>
        <v>1.5233400000000001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688.8</v>
      </c>
      <c r="BN118" s="78">
        <f>IFERROR(Y118*I118/H118,"0")</f>
        <v>690.76800000000003</v>
      </c>
      <c r="BO118" s="78">
        <f>IFERROR(1/J118*(X118/H118),"0")</f>
        <v>1.2820512820512819</v>
      </c>
      <c r="BP118" s="78">
        <f>IFERROR(1/J118*(Y118/H118),"0")</f>
        <v>1.2857142857142858</v>
      </c>
    </row>
    <row r="119" spans="1:68" ht="16.5" customHeight="1" x14ac:dyDescent="0.25">
      <c r="A119" s="63" t="s">
        <v>235</v>
      </c>
      <c r="B119" s="63" t="s">
        <v>236</v>
      </c>
      <c r="C119" s="36">
        <v>4301051740</v>
      </c>
      <c r="D119" s="653">
        <v>4680115884533</v>
      </c>
      <c r="E119" s="653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8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55"/>
      <c r="R119" s="655"/>
      <c r="S119" s="655"/>
      <c r="T119" s="656"/>
      <c r="U119" s="39" t="s">
        <v>46</v>
      </c>
      <c r="V119" s="39" t="s">
        <v>46</v>
      </c>
      <c r="W119" s="40" t="s">
        <v>0</v>
      </c>
      <c r="X119" s="58">
        <v>90</v>
      </c>
      <c r="Y119" s="55">
        <f>IFERROR(IF(X119="",0,CEILING((X119/$H119),1)*$H119),"")</f>
        <v>90</v>
      </c>
      <c r="Z119" s="41">
        <f>IFERROR(IF(Y119=0,"",ROUNDUP(Y119/H119,0)*0.00651),"")</f>
        <v>0.32550000000000001</v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98.999999999999986</v>
      </c>
      <c r="BN119" s="78">
        <f>IFERROR(Y119*I119/H119,"0")</f>
        <v>98.999999999999986</v>
      </c>
      <c r="BO119" s="78">
        <f>IFERROR(1/J119*(X119/H119),"0")</f>
        <v>0.27472527472527475</v>
      </c>
      <c r="BP119" s="78">
        <f>IFERROR(1/J119*(Y119/H119),"0")</f>
        <v>0.27472527472527475</v>
      </c>
    </row>
    <row r="120" spans="1:68" x14ac:dyDescent="0.2">
      <c r="A120" s="647"/>
      <c r="B120" s="647"/>
      <c r="C120" s="647"/>
      <c r="D120" s="647"/>
      <c r="E120" s="647"/>
      <c r="F120" s="647"/>
      <c r="G120" s="647"/>
      <c r="H120" s="647"/>
      <c r="I120" s="647"/>
      <c r="J120" s="647"/>
      <c r="K120" s="647"/>
      <c r="L120" s="647"/>
      <c r="M120" s="647"/>
      <c r="N120" s="647"/>
      <c r="O120" s="648"/>
      <c r="P120" s="644" t="s">
        <v>40</v>
      </c>
      <c r="Q120" s="645"/>
      <c r="R120" s="645"/>
      <c r="S120" s="645"/>
      <c r="T120" s="645"/>
      <c r="U120" s="645"/>
      <c r="V120" s="646"/>
      <c r="W120" s="42" t="s">
        <v>39</v>
      </c>
      <c r="X120" s="43">
        <f>IFERROR(X116/H116,"0")+IFERROR(X117/H117,"0")+IFERROR(X118/H118,"0")+IFERROR(X119/H119,"0")</f>
        <v>357.40740740740739</v>
      </c>
      <c r="Y120" s="43">
        <f>IFERROR(Y116/H116,"0")+IFERROR(Y117/H117,"0")+IFERROR(Y118/H118,"0")+IFERROR(Y119/H119,"0")</f>
        <v>359</v>
      </c>
      <c r="Z120" s="43">
        <f>IFERROR(IF(Z116="",0,Z116),"0")+IFERROR(IF(Z117="",0,Z117),"0")+IFERROR(IF(Z118="",0,Z118),"0")+IFERROR(IF(Z119="",0,Z119),"0")</f>
        <v>3.2723399999999998</v>
      </c>
      <c r="AA120" s="67"/>
      <c r="AB120" s="67"/>
      <c r="AC120" s="67"/>
    </row>
    <row r="121" spans="1:68" x14ac:dyDescent="0.2">
      <c r="A121" s="647"/>
      <c r="B121" s="647"/>
      <c r="C121" s="647"/>
      <c r="D121" s="647"/>
      <c r="E121" s="647"/>
      <c r="F121" s="647"/>
      <c r="G121" s="647"/>
      <c r="H121" s="647"/>
      <c r="I121" s="647"/>
      <c r="J121" s="647"/>
      <c r="K121" s="647"/>
      <c r="L121" s="647"/>
      <c r="M121" s="647"/>
      <c r="N121" s="647"/>
      <c r="O121" s="648"/>
      <c r="P121" s="644" t="s">
        <v>40</v>
      </c>
      <c r="Q121" s="645"/>
      <c r="R121" s="645"/>
      <c r="S121" s="645"/>
      <c r="T121" s="645"/>
      <c r="U121" s="645"/>
      <c r="V121" s="646"/>
      <c r="W121" s="42" t="s">
        <v>0</v>
      </c>
      <c r="X121" s="43">
        <f>IFERROR(SUM(X116:X119),"0")</f>
        <v>1320</v>
      </c>
      <c r="Y121" s="43">
        <f>IFERROR(SUM(Y116:Y119),"0")</f>
        <v>1329.3000000000002</v>
      </c>
      <c r="Z121" s="42"/>
      <c r="AA121" s="67"/>
      <c r="AB121" s="67"/>
      <c r="AC121" s="67"/>
    </row>
    <row r="122" spans="1:68" ht="14.25" hidden="1" customHeight="1" x14ac:dyDescent="0.25">
      <c r="A122" s="658" t="s">
        <v>173</v>
      </c>
      <c r="B122" s="658"/>
      <c r="C122" s="658"/>
      <c r="D122" s="658"/>
      <c r="E122" s="658"/>
      <c r="F122" s="658"/>
      <c r="G122" s="658"/>
      <c r="H122" s="658"/>
      <c r="I122" s="658"/>
      <c r="J122" s="658"/>
      <c r="K122" s="658"/>
      <c r="L122" s="658"/>
      <c r="M122" s="658"/>
      <c r="N122" s="658"/>
      <c r="O122" s="658"/>
      <c r="P122" s="658"/>
      <c r="Q122" s="658"/>
      <c r="R122" s="658"/>
      <c r="S122" s="658"/>
      <c r="T122" s="658"/>
      <c r="U122" s="658"/>
      <c r="V122" s="658"/>
      <c r="W122" s="658"/>
      <c r="X122" s="658"/>
      <c r="Y122" s="658"/>
      <c r="Z122" s="658"/>
      <c r="AA122" s="66"/>
      <c r="AB122" s="66"/>
      <c r="AC122" s="80"/>
    </row>
    <row r="123" spans="1:68" ht="16.5" customHeight="1" x14ac:dyDescent="0.25">
      <c r="A123" s="63" t="s">
        <v>238</v>
      </c>
      <c r="B123" s="63" t="s">
        <v>239</v>
      </c>
      <c r="C123" s="36">
        <v>4301060317</v>
      </c>
      <c r="D123" s="653">
        <v>4680115880238</v>
      </c>
      <c r="E123" s="653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88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55"/>
      <c r="R123" s="655"/>
      <c r="S123" s="655"/>
      <c r="T123" s="656"/>
      <c r="U123" s="39" t="s">
        <v>46</v>
      </c>
      <c r="V123" s="39" t="s">
        <v>46</v>
      </c>
      <c r="W123" s="40" t="s">
        <v>0</v>
      </c>
      <c r="X123" s="58">
        <v>49.5</v>
      </c>
      <c r="Y123" s="55">
        <f>IFERROR(IF(X123="",0,CEILING((X123/$H123),1)*$H123),"")</f>
        <v>49.5</v>
      </c>
      <c r="Z123" s="41">
        <f>IFERROR(IF(Y123=0,"",ROUNDUP(Y123/H123,0)*0.00651),"")</f>
        <v>0.16275000000000001</v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55.95</v>
      </c>
      <c r="BN123" s="78">
        <f>IFERROR(Y123*I123/H123,"0")</f>
        <v>55.95</v>
      </c>
      <c r="BO123" s="78">
        <f>IFERROR(1/J123*(X123/H123),"0")</f>
        <v>0.13736263736263737</v>
      </c>
      <c r="BP123" s="78">
        <f>IFERROR(1/J123*(Y123/H123),"0")</f>
        <v>0.13736263736263737</v>
      </c>
    </row>
    <row r="124" spans="1:68" x14ac:dyDescent="0.2">
      <c r="A124" s="647"/>
      <c r="B124" s="647"/>
      <c r="C124" s="647"/>
      <c r="D124" s="647"/>
      <c r="E124" s="647"/>
      <c r="F124" s="647"/>
      <c r="G124" s="647"/>
      <c r="H124" s="647"/>
      <c r="I124" s="647"/>
      <c r="J124" s="647"/>
      <c r="K124" s="647"/>
      <c r="L124" s="647"/>
      <c r="M124" s="647"/>
      <c r="N124" s="647"/>
      <c r="O124" s="648"/>
      <c r="P124" s="644" t="s">
        <v>40</v>
      </c>
      <c r="Q124" s="645"/>
      <c r="R124" s="645"/>
      <c r="S124" s="645"/>
      <c r="T124" s="645"/>
      <c r="U124" s="645"/>
      <c r="V124" s="646"/>
      <c r="W124" s="42" t="s">
        <v>39</v>
      </c>
      <c r="X124" s="43">
        <f>IFERROR(X123/H123,"0")</f>
        <v>25</v>
      </c>
      <c r="Y124" s="43">
        <f>IFERROR(Y123/H123,"0")</f>
        <v>25</v>
      </c>
      <c r="Z124" s="43">
        <f>IFERROR(IF(Z123="",0,Z123),"0")</f>
        <v>0.16275000000000001</v>
      </c>
      <c r="AA124" s="67"/>
      <c r="AB124" s="67"/>
      <c r="AC124" s="67"/>
    </row>
    <row r="125" spans="1:68" x14ac:dyDescent="0.2">
      <c r="A125" s="647"/>
      <c r="B125" s="647"/>
      <c r="C125" s="647"/>
      <c r="D125" s="647"/>
      <c r="E125" s="647"/>
      <c r="F125" s="647"/>
      <c r="G125" s="647"/>
      <c r="H125" s="647"/>
      <c r="I125" s="647"/>
      <c r="J125" s="647"/>
      <c r="K125" s="647"/>
      <c r="L125" s="647"/>
      <c r="M125" s="647"/>
      <c r="N125" s="647"/>
      <c r="O125" s="648"/>
      <c r="P125" s="644" t="s">
        <v>40</v>
      </c>
      <c r="Q125" s="645"/>
      <c r="R125" s="645"/>
      <c r="S125" s="645"/>
      <c r="T125" s="645"/>
      <c r="U125" s="645"/>
      <c r="V125" s="646"/>
      <c r="W125" s="42" t="s">
        <v>0</v>
      </c>
      <c r="X125" s="43">
        <f>IFERROR(SUM(X123:X123),"0")</f>
        <v>49.5</v>
      </c>
      <c r="Y125" s="43">
        <f>IFERROR(SUM(Y123:Y123),"0")</f>
        <v>49.5</v>
      </c>
      <c r="Z125" s="42"/>
      <c r="AA125" s="67"/>
      <c r="AB125" s="67"/>
      <c r="AC125" s="67"/>
    </row>
    <row r="126" spans="1:68" ht="16.5" hidden="1" customHeight="1" x14ac:dyDescent="0.25">
      <c r="A126" s="657" t="s">
        <v>241</v>
      </c>
      <c r="B126" s="657"/>
      <c r="C126" s="657"/>
      <c r="D126" s="657"/>
      <c r="E126" s="657"/>
      <c r="F126" s="657"/>
      <c r="G126" s="657"/>
      <c r="H126" s="657"/>
      <c r="I126" s="657"/>
      <c r="J126" s="657"/>
      <c r="K126" s="657"/>
      <c r="L126" s="657"/>
      <c r="M126" s="657"/>
      <c r="N126" s="657"/>
      <c r="O126" s="657"/>
      <c r="P126" s="657"/>
      <c r="Q126" s="657"/>
      <c r="R126" s="657"/>
      <c r="S126" s="657"/>
      <c r="T126" s="657"/>
      <c r="U126" s="657"/>
      <c r="V126" s="657"/>
      <c r="W126" s="657"/>
      <c r="X126" s="657"/>
      <c r="Y126" s="657"/>
      <c r="Z126" s="657"/>
      <c r="AA126" s="65"/>
      <c r="AB126" s="65"/>
      <c r="AC126" s="79"/>
    </row>
    <row r="127" spans="1:68" ht="14.25" hidden="1" customHeight="1" x14ac:dyDescent="0.25">
      <c r="A127" s="658" t="s">
        <v>123</v>
      </c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8"/>
      <c r="P127" s="658"/>
      <c r="Q127" s="658"/>
      <c r="R127" s="658"/>
      <c r="S127" s="658"/>
      <c r="T127" s="658"/>
      <c r="U127" s="658"/>
      <c r="V127" s="658"/>
      <c r="W127" s="658"/>
      <c r="X127" s="658"/>
      <c r="Y127" s="658"/>
      <c r="Z127" s="658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653">
        <v>4680115888784</v>
      </c>
      <c r="E128" s="653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878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55"/>
      <c r="R128" s="655"/>
      <c r="S128" s="655"/>
      <c r="T128" s="65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653">
        <v>4680115882577</v>
      </c>
      <c r="E129" s="653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55"/>
      <c r="R129" s="655"/>
      <c r="S129" s="655"/>
      <c r="T129" s="656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246</v>
      </c>
      <c r="B130" s="63" t="s">
        <v>250</v>
      </c>
      <c r="C130" s="36">
        <v>4301011564</v>
      </c>
      <c r="D130" s="653">
        <v>4680115882577</v>
      </c>
      <c r="E130" s="653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55"/>
      <c r="R130" s="655"/>
      <c r="S130" s="655"/>
      <c r="T130" s="656"/>
      <c r="U130" s="39" t="s">
        <v>46</v>
      </c>
      <c r="V130" s="39" t="s">
        <v>46</v>
      </c>
      <c r="W130" s="40" t="s">
        <v>0</v>
      </c>
      <c r="X130" s="58">
        <v>40</v>
      </c>
      <c r="Y130" s="55">
        <f>IFERROR(IF(X130="",0,CEILING((X130/$H130),1)*$H130),"")</f>
        <v>41.6</v>
      </c>
      <c r="Z130" s="41">
        <f>IFERROR(IF(Y130=0,"",ROUNDUP(Y130/H130,0)*0.00651),"")</f>
        <v>8.4629999999999997E-2</v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42.249999999999993</v>
      </c>
      <c r="BN130" s="78">
        <f>IFERROR(Y130*I130/H130,"0")</f>
        <v>43.94</v>
      </c>
      <c r="BO130" s="78">
        <f>IFERROR(1/J130*(X130/H130),"0")</f>
        <v>6.8681318681318687E-2</v>
      </c>
      <c r="BP130" s="78">
        <f>IFERROR(1/J130*(Y130/H130),"0")</f>
        <v>7.1428571428571438E-2</v>
      </c>
    </row>
    <row r="131" spans="1:68" x14ac:dyDescent="0.2">
      <c r="A131" s="647"/>
      <c r="B131" s="647"/>
      <c r="C131" s="647"/>
      <c r="D131" s="647"/>
      <c r="E131" s="647"/>
      <c r="F131" s="647"/>
      <c r="G131" s="647"/>
      <c r="H131" s="647"/>
      <c r="I131" s="647"/>
      <c r="J131" s="647"/>
      <c r="K131" s="647"/>
      <c r="L131" s="647"/>
      <c r="M131" s="647"/>
      <c r="N131" s="647"/>
      <c r="O131" s="648"/>
      <c r="P131" s="644" t="s">
        <v>40</v>
      </c>
      <c r="Q131" s="645"/>
      <c r="R131" s="645"/>
      <c r="S131" s="645"/>
      <c r="T131" s="645"/>
      <c r="U131" s="645"/>
      <c r="V131" s="646"/>
      <c r="W131" s="42" t="s">
        <v>39</v>
      </c>
      <c r="X131" s="43">
        <f>IFERROR(X128/H128,"0")+IFERROR(X129/H129,"0")+IFERROR(X130/H130,"0")</f>
        <v>12.5</v>
      </c>
      <c r="Y131" s="43">
        <f>IFERROR(Y128/H128,"0")+IFERROR(Y129/H129,"0")+IFERROR(Y130/H130,"0")</f>
        <v>13</v>
      </c>
      <c r="Z131" s="43">
        <f>IFERROR(IF(Z128="",0,Z128),"0")+IFERROR(IF(Z129="",0,Z129),"0")+IFERROR(IF(Z130="",0,Z130),"0")</f>
        <v>8.4629999999999997E-2</v>
      </c>
      <c r="AA131" s="67"/>
      <c r="AB131" s="67"/>
      <c r="AC131" s="67"/>
    </row>
    <row r="132" spans="1:68" x14ac:dyDescent="0.2">
      <c r="A132" s="647"/>
      <c r="B132" s="647"/>
      <c r="C132" s="647"/>
      <c r="D132" s="647"/>
      <c r="E132" s="647"/>
      <c r="F132" s="647"/>
      <c r="G132" s="647"/>
      <c r="H132" s="647"/>
      <c r="I132" s="647"/>
      <c r="J132" s="647"/>
      <c r="K132" s="647"/>
      <c r="L132" s="647"/>
      <c r="M132" s="647"/>
      <c r="N132" s="647"/>
      <c r="O132" s="648"/>
      <c r="P132" s="644" t="s">
        <v>40</v>
      </c>
      <c r="Q132" s="645"/>
      <c r="R132" s="645"/>
      <c r="S132" s="645"/>
      <c r="T132" s="645"/>
      <c r="U132" s="645"/>
      <c r="V132" s="646"/>
      <c r="W132" s="42" t="s">
        <v>0</v>
      </c>
      <c r="X132" s="43">
        <f>IFERROR(SUM(X128:X130),"0")</f>
        <v>40</v>
      </c>
      <c r="Y132" s="43">
        <f>IFERROR(SUM(Y128:Y130),"0")</f>
        <v>41.6</v>
      </c>
      <c r="Z132" s="42"/>
      <c r="AA132" s="67"/>
      <c r="AB132" s="67"/>
      <c r="AC132" s="67"/>
    </row>
    <row r="133" spans="1:68" ht="14.25" hidden="1" customHeight="1" x14ac:dyDescent="0.25">
      <c r="A133" s="658" t="s">
        <v>76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653">
        <v>4680115888913</v>
      </c>
      <c r="E134" s="653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8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55"/>
      <c r="R134" s="655"/>
      <c r="S134" s="655"/>
      <c r="T134" s="65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254</v>
      </c>
      <c r="B135" s="63" t="s">
        <v>255</v>
      </c>
      <c r="C135" s="36">
        <v>4301031234</v>
      </c>
      <c r="D135" s="653">
        <v>4680115883444</v>
      </c>
      <c r="E135" s="653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8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5"/>
      <c r="R135" s="655"/>
      <c r="S135" s="655"/>
      <c r="T135" s="656"/>
      <c r="U135" s="39" t="s">
        <v>46</v>
      </c>
      <c r="V135" s="39" t="s">
        <v>46</v>
      </c>
      <c r="W135" s="40" t="s">
        <v>0</v>
      </c>
      <c r="X135" s="58">
        <v>35</v>
      </c>
      <c r="Y135" s="55">
        <f>IFERROR(IF(X135="",0,CEILING((X135/$H135),1)*$H135),"")</f>
        <v>36.4</v>
      </c>
      <c r="Z135" s="41">
        <f>IFERROR(IF(Y135=0,"",ROUNDUP(Y135/H135,0)*0.00651),"")</f>
        <v>8.4629999999999997E-2</v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38.35</v>
      </c>
      <c r="BN135" s="78">
        <f>IFERROR(Y135*I135/H135,"0")</f>
        <v>39.884</v>
      </c>
      <c r="BO135" s="78">
        <f>IFERROR(1/J135*(X135/H135),"0")</f>
        <v>6.8681318681318687E-2</v>
      </c>
      <c r="BP135" s="78">
        <f>IFERROR(1/J135*(Y135/H135),"0")</f>
        <v>7.1428571428571438E-2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653">
        <v>4680115883444</v>
      </c>
      <c r="E136" s="653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8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5"/>
      <c r="R136" s="655"/>
      <c r="S136" s="655"/>
      <c r="T136" s="656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653">
        <v>4680115888920</v>
      </c>
      <c r="E137" s="653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873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55"/>
      <c r="R137" s="655"/>
      <c r="S137" s="655"/>
      <c r="T137" s="656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x14ac:dyDescent="0.2">
      <c r="A138" s="647"/>
      <c r="B138" s="647"/>
      <c r="C138" s="647"/>
      <c r="D138" s="647"/>
      <c r="E138" s="647"/>
      <c r="F138" s="647"/>
      <c r="G138" s="647"/>
      <c r="H138" s="647"/>
      <c r="I138" s="647"/>
      <c r="J138" s="647"/>
      <c r="K138" s="647"/>
      <c r="L138" s="647"/>
      <c r="M138" s="647"/>
      <c r="N138" s="647"/>
      <c r="O138" s="648"/>
      <c r="P138" s="644" t="s">
        <v>40</v>
      </c>
      <c r="Q138" s="645"/>
      <c r="R138" s="645"/>
      <c r="S138" s="645"/>
      <c r="T138" s="645"/>
      <c r="U138" s="645"/>
      <c r="V138" s="646"/>
      <c r="W138" s="42" t="s">
        <v>39</v>
      </c>
      <c r="X138" s="43">
        <f>IFERROR(X134/H134,"0")+IFERROR(X135/H135,"0")+IFERROR(X136/H136,"0")+IFERROR(X137/H137,"0")</f>
        <v>12.5</v>
      </c>
      <c r="Y138" s="43">
        <f>IFERROR(Y134/H134,"0")+IFERROR(Y135/H135,"0")+IFERROR(Y136/H136,"0")+IFERROR(Y137/H137,"0")</f>
        <v>13</v>
      </c>
      <c r="Z138" s="43">
        <f>IFERROR(IF(Z134="",0,Z134),"0")+IFERROR(IF(Z135="",0,Z135),"0")+IFERROR(IF(Z136="",0,Z136),"0")+IFERROR(IF(Z137="",0,Z137),"0")</f>
        <v>8.4629999999999997E-2</v>
      </c>
      <c r="AA138" s="67"/>
      <c r="AB138" s="67"/>
      <c r="AC138" s="67"/>
    </row>
    <row r="139" spans="1:68" x14ac:dyDescent="0.2">
      <c r="A139" s="647"/>
      <c r="B139" s="647"/>
      <c r="C139" s="647"/>
      <c r="D139" s="647"/>
      <c r="E139" s="647"/>
      <c r="F139" s="647"/>
      <c r="G139" s="647"/>
      <c r="H139" s="647"/>
      <c r="I139" s="647"/>
      <c r="J139" s="647"/>
      <c r="K139" s="647"/>
      <c r="L139" s="647"/>
      <c r="M139" s="647"/>
      <c r="N139" s="647"/>
      <c r="O139" s="648"/>
      <c r="P139" s="644" t="s">
        <v>40</v>
      </c>
      <c r="Q139" s="645"/>
      <c r="R139" s="645"/>
      <c r="S139" s="645"/>
      <c r="T139" s="645"/>
      <c r="U139" s="645"/>
      <c r="V139" s="646"/>
      <c r="W139" s="42" t="s">
        <v>0</v>
      </c>
      <c r="X139" s="43">
        <f>IFERROR(SUM(X134:X137),"0")</f>
        <v>35</v>
      </c>
      <c r="Y139" s="43">
        <f>IFERROR(SUM(Y134:Y137),"0")</f>
        <v>36.4</v>
      </c>
      <c r="Z139" s="42"/>
      <c r="AA139" s="67"/>
      <c r="AB139" s="67"/>
      <c r="AC139" s="67"/>
    </row>
    <row r="140" spans="1:68" ht="14.25" hidden="1" customHeight="1" x14ac:dyDescent="0.25">
      <c r="A140" s="658" t="s">
        <v>85</v>
      </c>
      <c r="B140" s="658"/>
      <c r="C140" s="658"/>
      <c r="D140" s="658"/>
      <c r="E140" s="658"/>
      <c r="F140" s="658"/>
      <c r="G140" s="658"/>
      <c r="H140" s="658"/>
      <c r="I140" s="658"/>
      <c r="J140" s="658"/>
      <c r="K140" s="658"/>
      <c r="L140" s="658"/>
      <c r="M140" s="658"/>
      <c r="N140" s="658"/>
      <c r="O140" s="658"/>
      <c r="P140" s="658"/>
      <c r="Q140" s="658"/>
      <c r="R140" s="658"/>
      <c r="S140" s="658"/>
      <c r="T140" s="658"/>
      <c r="U140" s="658"/>
      <c r="V140" s="658"/>
      <c r="W140" s="658"/>
      <c r="X140" s="658"/>
      <c r="Y140" s="658"/>
      <c r="Z140" s="658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653">
        <v>4680115888944</v>
      </c>
      <c r="E141" s="653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874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55"/>
      <c r="R141" s="655"/>
      <c r="S141" s="655"/>
      <c r="T141" s="65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customHeight="1" x14ac:dyDescent="0.25">
      <c r="A142" s="63" t="s">
        <v>262</v>
      </c>
      <c r="B142" s="63" t="s">
        <v>263</v>
      </c>
      <c r="C142" s="36">
        <v>4301051476</v>
      </c>
      <c r="D142" s="653">
        <v>4680115882584</v>
      </c>
      <c r="E142" s="653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87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5"/>
      <c r="R142" s="655"/>
      <c r="S142" s="655"/>
      <c r="T142" s="656"/>
      <c r="U142" s="39" t="s">
        <v>46</v>
      </c>
      <c r="V142" s="39" t="s">
        <v>46</v>
      </c>
      <c r="W142" s="40" t="s">
        <v>0</v>
      </c>
      <c r="X142" s="58">
        <v>49.5</v>
      </c>
      <c r="Y142" s="55">
        <f>IFERROR(IF(X142="",0,CEILING((X142/$H142),1)*$H142),"")</f>
        <v>50.160000000000004</v>
      </c>
      <c r="Z142" s="41">
        <f>IFERROR(IF(Y142=0,"",ROUNDUP(Y142/H142,0)*0.00651),"")</f>
        <v>0.12369000000000001</v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54.524999999999999</v>
      </c>
      <c r="BN142" s="78">
        <f>IFERROR(Y142*I142/H142,"0")</f>
        <v>55.252000000000002</v>
      </c>
      <c r="BO142" s="78">
        <f>IFERROR(1/J142*(X142/H142),"0")</f>
        <v>0.10302197802197803</v>
      </c>
      <c r="BP142" s="78">
        <f>IFERROR(1/J142*(Y142/H142),"0")</f>
        <v>0.1043956043956044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653">
        <v>4680115882584</v>
      </c>
      <c r="E143" s="65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87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5"/>
      <c r="R143" s="655"/>
      <c r="S143" s="655"/>
      <c r="T143" s="65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647"/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8"/>
      <c r="P144" s="644" t="s">
        <v>40</v>
      </c>
      <c r="Q144" s="645"/>
      <c r="R144" s="645"/>
      <c r="S144" s="645"/>
      <c r="T144" s="645"/>
      <c r="U144" s="645"/>
      <c r="V144" s="646"/>
      <c r="W144" s="42" t="s">
        <v>39</v>
      </c>
      <c r="X144" s="43">
        <f>IFERROR(X141/H141,"0")+IFERROR(X142/H142,"0")+IFERROR(X143/H143,"0")</f>
        <v>18.75</v>
      </c>
      <c r="Y144" s="43">
        <f>IFERROR(Y141/H141,"0")+IFERROR(Y142/H142,"0")+IFERROR(Y143/H143,"0")</f>
        <v>19</v>
      </c>
      <c r="Z144" s="43">
        <f>IFERROR(IF(Z141="",0,Z141),"0")+IFERROR(IF(Z142="",0,Z142),"0")+IFERROR(IF(Z143="",0,Z143),"0")</f>
        <v>0.12369000000000001</v>
      </c>
      <c r="AA144" s="67"/>
      <c r="AB144" s="67"/>
      <c r="AC144" s="67"/>
    </row>
    <row r="145" spans="1:68" x14ac:dyDescent="0.2">
      <c r="A145" s="647"/>
      <c r="B145" s="647"/>
      <c r="C145" s="647"/>
      <c r="D145" s="647"/>
      <c r="E145" s="647"/>
      <c r="F145" s="647"/>
      <c r="G145" s="647"/>
      <c r="H145" s="647"/>
      <c r="I145" s="647"/>
      <c r="J145" s="647"/>
      <c r="K145" s="647"/>
      <c r="L145" s="647"/>
      <c r="M145" s="647"/>
      <c r="N145" s="647"/>
      <c r="O145" s="648"/>
      <c r="P145" s="644" t="s">
        <v>40</v>
      </c>
      <c r="Q145" s="645"/>
      <c r="R145" s="645"/>
      <c r="S145" s="645"/>
      <c r="T145" s="645"/>
      <c r="U145" s="645"/>
      <c r="V145" s="646"/>
      <c r="W145" s="42" t="s">
        <v>0</v>
      </c>
      <c r="X145" s="43">
        <f>IFERROR(SUM(X141:X143),"0")</f>
        <v>49.5</v>
      </c>
      <c r="Y145" s="43">
        <f>IFERROR(SUM(Y141:Y143),"0")</f>
        <v>50.160000000000004</v>
      </c>
      <c r="Z145" s="42"/>
      <c r="AA145" s="67"/>
      <c r="AB145" s="67"/>
      <c r="AC145" s="67"/>
    </row>
    <row r="146" spans="1:68" ht="16.5" hidden="1" customHeight="1" x14ac:dyDescent="0.25">
      <c r="A146" s="657" t="s">
        <v>265</v>
      </c>
      <c r="B146" s="657"/>
      <c r="C146" s="657"/>
      <c r="D146" s="657"/>
      <c r="E146" s="657"/>
      <c r="F146" s="657"/>
      <c r="G146" s="657"/>
      <c r="H146" s="657"/>
      <c r="I146" s="657"/>
      <c r="J146" s="657"/>
      <c r="K146" s="657"/>
      <c r="L146" s="657"/>
      <c r="M146" s="657"/>
      <c r="N146" s="657"/>
      <c r="O146" s="657"/>
      <c r="P146" s="657"/>
      <c r="Q146" s="657"/>
      <c r="R146" s="657"/>
      <c r="S146" s="657"/>
      <c r="T146" s="657"/>
      <c r="U146" s="657"/>
      <c r="V146" s="657"/>
      <c r="W146" s="657"/>
      <c r="X146" s="657"/>
      <c r="Y146" s="657"/>
      <c r="Z146" s="657"/>
      <c r="AA146" s="65"/>
      <c r="AB146" s="65"/>
      <c r="AC146" s="79"/>
    </row>
    <row r="147" spans="1:68" ht="14.25" hidden="1" customHeight="1" x14ac:dyDescent="0.25">
      <c r="A147" s="658" t="s">
        <v>85</v>
      </c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8"/>
      <c r="P147" s="658"/>
      <c r="Q147" s="658"/>
      <c r="R147" s="658"/>
      <c r="S147" s="658"/>
      <c r="T147" s="658"/>
      <c r="U147" s="658"/>
      <c r="V147" s="658"/>
      <c r="W147" s="658"/>
      <c r="X147" s="658"/>
      <c r="Y147" s="658"/>
      <c r="Z147" s="658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653">
        <v>4680115888203</v>
      </c>
      <c r="E148" s="653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86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5"/>
      <c r="R148" s="655"/>
      <c r="S148" s="655"/>
      <c r="T148" s="656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653">
        <v>4680115888180</v>
      </c>
      <c r="E149" s="653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8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5"/>
      <c r="R149" s="655"/>
      <c r="S149" s="655"/>
      <c r="T149" s="65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653">
        <v>4680115888180</v>
      </c>
      <c r="E150" s="65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86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5"/>
      <c r="R150" s="655"/>
      <c r="S150" s="655"/>
      <c r="T150" s="65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653">
        <v>4680115888197</v>
      </c>
      <c r="E151" s="65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86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5"/>
      <c r="R151" s="655"/>
      <c r="S151" s="655"/>
      <c r="T151" s="65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653">
        <v>4680115888197</v>
      </c>
      <c r="E152" s="65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86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55"/>
      <c r="R152" s="655"/>
      <c r="S152" s="655"/>
      <c r="T152" s="65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653">
        <v>4680115888210</v>
      </c>
      <c r="E153" s="65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86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5"/>
      <c r="R153" s="655"/>
      <c r="S153" s="655"/>
      <c r="T153" s="65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653">
        <v>4680115888210</v>
      </c>
      <c r="E154" s="65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6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5"/>
      <c r="R154" s="655"/>
      <c r="S154" s="655"/>
      <c r="T154" s="65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647"/>
      <c r="B155" s="647"/>
      <c r="C155" s="647"/>
      <c r="D155" s="647"/>
      <c r="E155" s="647"/>
      <c r="F155" s="647"/>
      <c r="G155" s="647"/>
      <c r="H155" s="647"/>
      <c r="I155" s="647"/>
      <c r="J155" s="647"/>
      <c r="K155" s="647"/>
      <c r="L155" s="647"/>
      <c r="M155" s="647"/>
      <c r="N155" s="647"/>
      <c r="O155" s="648"/>
      <c r="P155" s="644" t="s">
        <v>40</v>
      </c>
      <c r="Q155" s="645"/>
      <c r="R155" s="645"/>
      <c r="S155" s="645"/>
      <c r="T155" s="645"/>
      <c r="U155" s="645"/>
      <c r="V155" s="646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647"/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8"/>
      <c r="P156" s="644" t="s">
        <v>40</v>
      </c>
      <c r="Q156" s="645"/>
      <c r="R156" s="645"/>
      <c r="S156" s="645"/>
      <c r="T156" s="645"/>
      <c r="U156" s="645"/>
      <c r="V156" s="646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658" t="s">
        <v>281</v>
      </c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8"/>
      <c r="P157" s="658"/>
      <c r="Q157" s="658"/>
      <c r="R157" s="658"/>
      <c r="S157" s="658"/>
      <c r="T157" s="658"/>
      <c r="U157" s="658"/>
      <c r="V157" s="658"/>
      <c r="W157" s="658"/>
      <c r="X157" s="658"/>
      <c r="Y157" s="658"/>
      <c r="Z157" s="658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653">
        <v>4680115889132</v>
      </c>
      <c r="E158" s="65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86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55"/>
      <c r="R158" s="655"/>
      <c r="S158" s="655"/>
      <c r="T158" s="65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47"/>
      <c r="B159" s="647"/>
      <c r="C159" s="647"/>
      <c r="D159" s="647"/>
      <c r="E159" s="647"/>
      <c r="F159" s="647"/>
      <c r="G159" s="647"/>
      <c r="H159" s="647"/>
      <c r="I159" s="647"/>
      <c r="J159" s="647"/>
      <c r="K159" s="647"/>
      <c r="L159" s="647"/>
      <c r="M159" s="647"/>
      <c r="N159" s="647"/>
      <c r="O159" s="648"/>
      <c r="P159" s="644" t="s">
        <v>40</v>
      </c>
      <c r="Q159" s="645"/>
      <c r="R159" s="645"/>
      <c r="S159" s="645"/>
      <c r="T159" s="645"/>
      <c r="U159" s="645"/>
      <c r="V159" s="646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647"/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8"/>
      <c r="P160" s="644" t="s">
        <v>40</v>
      </c>
      <c r="Q160" s="645"/>
      <c r="R160" s="645"/>
      <c r="S160" s="645"/>
      <c r="T160" s="645"/>
      <c r="U160" s="645"/>
      <c r="V160" s="646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657" t="s">
        <v>121</v>
      </c>
      <c r="B161" s="657"/>
      <c r="C161" s="657"/>
      <c r="D161" s="657"/>
      <c r="E161" s="657"/>
      <c r="F161" s="657"/>
      <c r="G161" s="657"/>
      <c r="H161" s="657"/>
      <c r="I161" s="657"/>
      <c r="J161" s="657"/>
      <c r="K161" s="657"/>
      <c r="L161" s="657"/>
      <c r="M161" s="657"/>
      <c r="N161" s="657"/>
      <c r="O161" s="657"/>
      <c r="P161" s="657"/>
      <c r="Q161" s="657"/>
      <c r="R161" s="657"/>
      <c r="S161" s="657"/>
      <c r="T161" s="657"/>
      <c r="U161" s="657"/>
      <c r="V161" s="657"/>
      <c r="W161" s="657"/>
      <c r="X161" s="657"/>
      <c r="Y161" s="657"/>
      <c r="Z161" s="657"/>
      <c r="AA161" s="65"/>
      <c r="AB161" s="65"/>
      <c r="AC161" s="79"/>
    </row>
    <row r="162" spans="1:68" ht="14.25" hidden="1" customHeight="1" x14ac:dyDescent="0.25">
      <c r="A162" s="658" t="s">
        <v>123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653">
        <v>4680115887374</v>
      </c>
      <c r="E163" s="65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86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55"/>
      <c r="R163" s="655"/>
      <c r="S163" s="655"/>
      <c r="T163" s="65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653">
        <v>4607091384604</v>
      </c>
      <c r="E164" s="65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86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55"/>
      <c r="R164" s="655"/>
      <c r="S164" s="655"/>
      <c r="T164" s="65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653">
        <v>4680115888876</v>
      </c>
      <c r="E165" s="653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85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55"/>
      <c r="R165" s="655"/>
      <c r="S165" s="655"/>
      <c r="T165" s="65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647"/>
      <c r="B166" s="647"/>
      <c r="C166" s="647"/>
      <c r="D166" s="647"/>
      <c r="E166" s="647"/>
      <c r="F166" s="647"/>
      <c r="G166" s="647"/>
      <c r="H166" s="647"/>
      <c r="I166" s="647"/>
      <c r="J166" s="647"/>
      <c r="K166" s="647"/>
      <c r="L166" s="647"/>
      <c r="M166" s="647"/>
      <c r="N166" s="647"/>
      <c r="O166" s="648"/>
      <c r="P166" s="644" t="s">
        <v>40</v>
      </c>
      <c r="Q166" s="645"/>
      <c r="R166" s="645"/>
      <c r="S166" s="645"/>
      <c r="T166" s="645"/>
      <c r="U166" s="645"/>
      <c r="V166" s="646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647"/>
      <c r="B167" s="647"/>
      <c r="C167" s="647"/>
      <c r="D167" s="647"/>
      <c r="E167" s="647"/>
      <c r="F167" s="647"/>
      <c r="G167" s="647"/>
      <c r="H167" s="647"/>
      <c r="I167" s="647"/>
      <c r="J167" s="647"/>
      <c r="K167" s="647"/>
      <c r="L167" s="647"/>
      <c r="M167" s="647"/>
      <c r="N167" s="647"/>
      <c r="O167" s="648"/>
      <c r="P167" s="644" t="s">
        <v>40</v>
      </c>
      <c r="Q167" s="645"/>
      <c r="R167" s="645"/>
      <c r="S167" s="645"/>
      <c r="T167" s="645"/>
      <c r="U167" s="645"/>
      <c r="V167" s="646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658" t="s">
        <v>156</v>
      </c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8"/>
      <c r="P168" s="658"/>
      <c r="Q168" s="658"/>
      <c r="R168" s="658"/>
      <c r="S168" s="658"/>
      <c r="T168" s="658"/>
      <c r="U168" s="658"/>
      <c r="V168" s="658"/>
      <c r="W168" s="658"/>
      <c r="X168" s="658"/>
      <c r="Y168" s="658"/>
      <c r="Z168" s="658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653">
        <v>4680115887695</v>
      </c>
      <c r="E169" s="653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8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55"/>
      <c r="R169" s="655"/>
      <c r="S169" s="655"/>
      <c r="T169" s="656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653">
        <v>4680115889491</v>
      </c>
      <c r="E170" s="653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85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55"/>
      <c r="R170" s="655"/>
      <c r="S170" s="655"/>
      <c r="T170" s="65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647"/>
      <c r="B171" s="647"/>
      <c r="C171" s="647"/>
      <c r="D171" s="647"/>
      <c r="E171" s="647"/>
      <c r="F171" s="647"/>
      <c r="G171" s="647"/>
      <c r="H171" s="647"/>
      <c r="I171" s="647"/>
      <c r="J171" s="647"/>
      <c r="K171" s="647"/>
      <c r="L171" s="647"/>
      <c r="M171" s="647"/>
      <c r="N171" s="647"/>
      <c r="O171" s="648"/>
      <c r="P171" s="644" t="s">
        <v>40</v>
      </c>
      <c r="Q171" s="645"/>
      <c r="R171" s="645"/>
      <c r="S171" s="645"/>
      <c r="T171" s="645"/>
      <c r="U171" s="645"/>
      <c r="V171" s="646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647"/>
      <c r="B172" s="647"/>
      <c r="C172" s="647"/>
      <c r="D172" s="647"/>
      <c r="E172" s="647"/>
      <c r="F172" s="647"/>
      <c r="G172" s="647"/>
      <c r="H172" s="647"/>
      <c r="I172" s="647"/>
      <c r="J172" s="647"/>
      <c r="K172" s="647"/>
      <c r="L172" s="647"/>
      <c r="M172" s="647"/>
      <c r="N172" s="647"/>
      <c r="O172" s="648"/>
      <c r="P172" s="644" t="s">
        <v>40</v>
      </c>
      <c r="Q172" s="645"/>
      <c r="R172" s="645"/>
      <c r="S172" s="645"/>
      <c r="T172" s="645"/>
      <c r="U172" s="645"/>
      <c r="V172" s="646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658" t="s">
        <v>76</v>
      </c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8"/>
      <c r="P173" s="658"/>
      <c r="Q173" s="658"/>
      <c r="R173" s="658"/>
      <c r="S173" s="658"/>
      <c r="T173" s="658"/>
      <c r="U173" s="658"/>
      <c r="V173" s="658"/>
      <c r="W173" s="658"/>
      <c r="X173" s="658"/>
      <c r="Y173" s="658"/>
      <c r="Z173" s="658"/>
      <c r="AA173" s="66"/>
      <c r="AB173" s="66"/>
      <c r="AC173" s="80"/>
    </row>
    <row r="174" spans="1:68" ht="27" customHeight="1" x14ac:dyDescent="0.25">
      <c r="A174" s="63" t="s">
        <v>303</v>
      </c>
      <c r="B174" s="63" t="s">
        <v>304</v>
      </c>
      <c r="C174" s="36">
        <v>4301031496</v>
      </c>
      <c r="D174" s="653">
        <v>4680115887428</v>
      </c>
      <c r="E174" s="653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85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55"/>
      <c r="R174" s="655"/>
      <c r="S174" s="655"/>
      <c r="T174" s="656"/>
      <c r="U174" s="39" t="s">
        <v>46</v>
      </c>
      <c r="V174" s="39" t="s">
        <v>46</v>
      </c>
      <c r="W174" s="40" t="s">
        <v>0</v>
      </c>
      <c r="X174" s="58">
        <v>300</v>
      </c>
      <c r="Y174" s="55">
        <f t="shared" ref="Y174:Y184" si="22">IFERROR(IF(X174="",0,CEILING((X174/$H174),1)*$H174),"")</f>
        <v>301</v>
      </c>
      <c r="Z174" s="41">
        <f>IFERROR(IF(Y174=0,"",ROUNDUP(Y174/H174,0)*0.00902),"")</f>
        <v>0.77571999999999997</v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316.28571428571428</v>
      </c>
      <c r="BN174" s="78">
        <f t="shared" ref="BN174:BN184" si="24">IFERROR(Y174*I174/H174,"0")</f>
        <v>317.34000000000003</v>
      </c>
      <c r="BO174" s="78">
        <f t="shared" ref="BO174:BO184" si="25">IFERROR(1/J174*(X174/H174),"0")</f>
        <v>0.64935064935064934</v>
      </c>
      <c r="BP174" s="78">
        <f t="shared" ref="BP174:BP184" si="26">IFERROR(1/J174*(Y174/H174),"0")</f>
        <v>0.65151515151515149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653">
        <v>4680115889170</v>
      </c>
      <c r="E175" s="653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85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55"/>
      <c r="R175" s="655"/>
      <c r="S175" s="655"/>
      <c r="T175" s="65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customHeight="1" x14ac:dyDescent="0.25">
      <c r="A176" s="63" t="s">
        <v>309</v>
      </c>
      <c r="B176" s="63" t="s">
        <v>310</v>
      </c>
      <c r="C176" s="36">
        <v>4301031498</v>
      </c>
      <c r="D176" s="653">
        <v>4680115887398</v>
      </c>
      <c r="E176" s="65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5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5"/>
      <c r="R176" s="655"/>
      <c r="S176" s="655"/>
      <c r="T176" s="656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si="22"/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316.28571428571428</v>
      </c>
      <c r="BN176" s="78">
        <f t="shared" si="24"/>
        <v>317.34000000000003</v>
      </c>
      <c r="BO176" s="78">
        <f t="shared" si="25"/>
        <v>0.64935064935064934</v>
      </c>
      <c r="BP176" s="78">
        <f t="shared" si="26"/>
        <v>0.65151515151515149</v>
      </c>
    </row>
    <row r="177" spans="1:68" ht="27" customHeight="1" x14ac:dyDescent="0.25">
      <c r="A177" s="63" t="s">
        <v>312</v>
      </c>
      <c r="B177" s="63" t="s">
        <v>313</v>
      </c>
      <c r="C177" s="36">
        <v>4301031497</v>
      </c>
      <c r="D177" s="653">
        <v>4680115887336</v>
      </c>
      <c r="E177" s="65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4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5"/>
      <c r="R177" s="655"/>
      <c r="S177" s="655"/>
      <c r="T177" s="656"/>
      <c r="U177" s="39" t="s">
        <v>46</v>
      </c>
      <c r="V177" s="39" t="s">
        <v>46</v>
      </c>
      <c r="W177" s="40" t="s">
        <v>0</v>
      </c>
      <c r="X177" s="58">
        <v>150</v>
      </c>
      <c r="Y177" s="55">
        <f t="shared" si="22"/>
        <v>150.5</v>
      </c>
      <c r="Z177" s="41">
        <f>IFERROR(IF(Y177=0,"",ROUNDUP(Y177/H177,0)*0.00902),"")</f>
        <v>0.38785999999999998</v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158.14285714285714</v>
      </c>
      <c r="BN177" s="78">
        <f t="shared" si="24"/>
        <v>158.67000000000002</v>
      </c>
      <c r="BO177" s="78">
        <f t="shared" si="25"/>
        <v>0.32467532467532467</v>
      </c>
      <c r="BP177" s="78">
        <f t="shared" si="26"/>
        <v>0.32575757575757575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653">
        <v>4680115887787</v>
      </c>
      <c r="E178" s="653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5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5"/>
      <c r="R178" s="655"/>
      <c r="S178" s="655"/>
      <c r="T178" s="65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customHeight="1" x14ac:dyDescent="0.25">
      <c r="A179" s="63" t="s">
        <v>318</v>
      </c>
      <c r="B179" s="63" t="s">
        <v>319</v>
      </c>
      <c r="C179" s="36">
        <v>4301031448</v>
      </c>
      <c r="D179" s="653">
        <v>4680115887503</v>
      </c>
      <c r="E179" s="653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5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55"/>
      <c r="R179" s="655"/>
      <c r="S179" s="655"/>
      <c r="T179" s="656"/>
      <c r="U179" s="39" t="s">
        <v>46</v>
      </c>
      <c r="V179" s="39" t="s">
        <v>46</v>
      </c>
      <c r="W179" s="40" t="s">
        <v>0</v>
      </c>
      <c r="X179" s="58">
        <v>112.00000000000001</v>
      </c>
      <c r="Y179" s="55">
        <f t="shared" si="22"/>
        <v>112.56</v>
      </c>
      <c r="Z179" s="41">
        <f>IFERROR(IF(Y179=0,"",ROUNDUP(Y179/H179,0)*0.00502),"")</f>
        <v>0.33634000000000003</v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118.6666666666667</v>
      </c>
      <c r="BN179" s="78">
        <f t="shared" si="24"/>
        <v>119.26000000000002</v>
      </c>
      <c r="BO179" s="78">
        <f t="shared" si="25"/>
        <v>0.28490028490028496</v>
      </c>
      <c r="BP179" s="78">
        <f t="shared" si="26"/>
        <v>0.28632478632478636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653">
        <v>4680115887763</v>
      </c>
      <c r="E180" s="65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5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55"/>
      <c r="R180" s="655"/>
      <c r="S180" s="655"/>
      <c r="T180" s="65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653">
        <v>4680115887763</v>
      </c>
      <c r="E181" s="653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5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5"/>
      <c r="R181" s="655"/>
      <c r="S181" s="655"/>
      <c r="T181" s="65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customHeight="1" x14ac:dyDescent="0.25">
      <c r="A182" s="63" t="s">
        <v>324</v>
      </c>
      <c r="B182" s="63" t="s">
        <v>325</v>
      </c>
      <c r="C182" s="36">
        <v>4301031454</v>
      </c>
      <c r="D182" s="653">
        <v>4680115887480</v>
      </c>
      <c r="E182" s="65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4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5"/>
      <c r="R182" s="655"/>
      <c r="S182" s="655"/>
      <c r="T182" s="656"/>
      <c r="U182" s="39" t="s">
        <v>46</v>
      </c>
      <c r="V182" s="39" t="s">
        <v>46</v>
      </c>
      <c r="W182" s="40" t="s">
        <v>0</v>
      </c>
      <c r="X182" s="58">
        <v>112.00000000000001</v>
      </c>
      <c r="Y182" s="55">
        <f t="shared" si="22"/>
        <v>112.56</v>
      </c>
      <c r="Z182" s="41">
        <f>IFERROR(IF(Y182=0,"",ROUNDUP(Y182/H182,0)*0.00502),"")</f>
        <v>0.33634000000000003</v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118.6666666666667</v>
      </c>
      <c r="BN182" s="78">
        <f t="shared" si="24"/>
        <v>119.26000000000002</v>
      </c>
      <c r="BO182" s="78">
        <f t="shared" si="25"/>
        <v>0.28490028490028496</v>
      </c>
      <c r="BP182" s="78">
        <f t="shared" si="26"/>
        <v>0.28632478632478636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653">
        <v>4680115888067</v>
      </c>
      <c r="E183" s="653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4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5"/>
      <c r="R183" s="655"/>
      <c r="S183" s="655"/>
      <c r="T183" s="65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customHeight="1" x14ac:dyDescent="0.25">
      <c r="A184" s="63" t="s">
        <v>329</v>
      </c>
      <c r="B184" s="63" t="s">
        <v>330</v>
      </c>
      <c r="C184" s="36">
        <v>4301031519</v>
      </c>
      <c r="D184" s="653">
        <v>4680115887435</v>
      </c>
      <c r="E184" s="65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4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5"/>
      <c r="R184" s="655"/>
      <c r="S184" s="655"/>
      <c r="T184" s="656"/>
      <c r="U184" s="39" t="s">
        <v>46</v>
      </c>
      <c r="V184" s="39" t="s">
        <v>46</v>
      </c>
      <c r="W184" s="40" t="s">
        <v>0</v>
      </c>
      <c r="X184" s="58">
        <v>84.000000000000014</v>
      </c>
      <c r="Y184" s="55">
        <f t="shared" si="22"/>
        <v>84</v>
      </c>
      <c r="Z184" s="41">
        <f>IFERROR(IF(Y184=0,"",ROUNDUP(Y184/H184,0)*0.00502),"")</f>
        <v>0.251</v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89.000000000000028</v>
      </c>
      <c r="BN184" s="78">
        <f t="shared" si="24"/>
        <v>89.000000000000014</v>
      </c>
      <c r="BO184" s="78">
        <f t="shared" si="25"/>
        <v>0.21367521367521372</v>
      </c>
      <c r="BP184" s="78">
        <f t="shared" si="26"/>
        <v>0.21367521367521369</v>
      </c>
    </row>
    <row r="185" spans="1:68" x14ac:dyDescent="0.2">
      <c r="A185" s="647"/>
      <c r="B185" s="647"/>
      <c r="C185" s="647"/>
      <c r="D185" s="647"/>
      <c r="E185" s="647"/>
      <c r="F185" s="647"/>
      <c r="G185" s="647"/>
      <c r="H185" s="647"/>
      <c r="I185" s="647"/>
      <c r="J185" s="647"/>
      <c r="K185" s="647"/>
      <c r="L185" s="647"/>
      <c r="M185" s="647"/>
      <c r="N185" s="647"/>
      <c r="O185" s="648"/>
      <c r="P185" s="644" t="s">
        <v>40</v>
      </c>
      <c r="Q185" s="645"/>
      <c r="R185" s="645"/>
      <c r="S185" s="645"/>
      <c r="T185" s="645"/>
      <c r="U185" s="645"/>
      <c r="V185" s="646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397.61904761904765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399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2.8629799999999994</v>
      </c>
      <c r="AA185" s="67"/>
      <c r="AB185" s="67"/>
      <c r="AC185" s="67"/>
    </row>
    <row r="186" spans="1:68" x14ac:dyDescent="0.2">
      <c r="A186" s="647"/>
      <c r="B186" s="647"/>
      <c r="C186" s="647"/>
      <c r="D186" s="647"/>
      <c r="E186" s="647"/>
      <c r="F186" s="647"/>
      <c r="G186" s="647"/>
      <c r="H186" s="647"/>
      <c r="I186" s="647"/>
      <c r="J186" s="647"/>
      <c r="K186" s="647"/>
      <c r="L186" s="647"/>
      <c r="M186" s="647"/>
      <c r="N186" s="647"/>
      <c r="O186" s="648"/>
      <c r="P186" s="644" t="s">
        <v>40</v>
      </c>
      <c r="Q186" s="645"/>
      <c r="R186" s="645"/>
      <c r="S186" s="645"/>
      <c r="T186" s="645"/>
      <c r="U186" s="645"/>
      <c r="V186" s="646"/>
      <c r="W186" s="42" t="s">
        <v>0</v>
      </c>
      <c r="X186" s="43">
        <f>IFERROR(SUM(X174:X184),"0")</f>
        <v>1058</v>
      </c>
      <c r="Y186" s="43">
        <f>IFERROR(SUM(Y174:Y184),"0")</f>
        <v>1061.6199999999999</v>
      </c>
      <c r="Z186" s="42"/>
      <c r="AA186" s="67"/>
      <c r="AB186" s="67"/>
      <c r="AC186" s="67"/>
    </row>
    <row r="187" spans="1:68" ht="14.25" hidden="1" customHeight="1" x14ac:dyDescent="0.25">
      <c r="A187" s="658" t="s">
        <v>85</v>
      </c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8"/>
      <c r="P187" s="658"/>
      <c r="Q187" s="658"/>
      <c r="R187" s="658"/>
      <c r="S187" s="658"/>
      <c r="T187" s="658"/>
      <c r="U187" s="658"/>
      <c r="V187" s="658"/>
      <c r="W187" s="658"/>
      <c r="X187" s="658"/>
      <c r="Y187" s="658"/>
      <c r="Z187" s="658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653">
        <v>4680115888395</v>
      </c>
      <c r="E188" s="653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5"/>
      <c r="R188" s="655"/>
      <c r="S188" s="655"/>
      <c r="T188" s="656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653">
        <v>4680115888371</v>
      </c>
      <c r="E189" s="65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5"/>
      <c r="R189" s="655"/>
      <c r="S189" s="655"/>
      <c r="T189" s="65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653">
        <v>4680115887459</v>
      </c>
      <c r="E190" s="653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5"/>
      <c r="R190" s="655"/>
      <c r="S190" s="655"/>
      <c r="T190" s="65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647"/>
      <c r="B191" s="647"/>
      <c r="C191" s="647"/>
      <c r="D191" s="647"/>
      <c r="E191" s="647"/>
      <c r="F191" s="647"/>
      <c r="G191" s="647"/>
      <c r="H191" s="647"/>
      <c r="I191" s="647"/>
      <c r="J191" s="647"/>
      <c r="K191" s="647"/>
      <c r="L191" s="647"/>
      <c r="M191" s="647"/>
      <c r="N191" s="647"/>
      <c r="O191" s="648"/>
      <c r="P191" s="644" t="s">
        <v>40</v>
      </c>
      <c r="Q191" s="645"/>
      <c r="R191" s="645"/>
      <c r="S191" s="645"/>
      <c r="T191" s="645"/>
      <c r="U191" s="645"/>
      <c r="V191" s="64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647"/>
      <c r="B192" s="647"/>
      <c r="C192" s="647"/>
      <c r="D192" s="647"/>
      <c r="E192" s="647"/>
      <c r="F192" s="647"/>
      <c r="G192" s="647"/>
      <c r="H192" s="647"/>
      <c r="I192" s="647"/>
      <c r="J192" s="647"/>
      <c r="K192" s="647"/>
      <c r="L192" s="647"/>
      <c r="M192" s="647"/>
      <c r="N192" s="647"/>
      <c r="O192" s="648"/>
      <c r="P192" s="644" t="s">
        <v>40</v>
      </c>
      <c r="Q192" s="645"/>
      <c r="R192" s="645"/>
      <c r="S192" s="645"/>
      <c r="T192" s="645"/>
      <c r="U192" s="645"/>
      <c r="V192" s="64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658" t="s">
        <v>281</v>
      </c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8"/>
      <c r="P193" s="658"/>
      <c r="Q193" s="658"/>
      <c r="R193" s="658"/>
      <c r="S193" s="658"/>
      <c r="T193" s="658"/>
      <c r="U193" s="658"/>
      <c r="V193" s="658"/>
      <c r="W193" s="658"/>
      <c r="X193" s="658"/>
      <c r="Y193" s="658"/>
      <c r="Z193" s="658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653">
        <v>4680115889026</v>
      </c>
      <c r="E194" s="653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4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55"/>
      <c r="R194" s="655"/>
      <c r="S194" s="655"/>
      <c r="T194" s="656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647"/>
      <c r="B195" s="647"/>
      <c r="C195" s="647"/>
      <c r="D195" s="647"/>
      <c r="E195" s="647"/>
      <c r="F195" s="647"/>
      <c r="G195" s="647"/>
      <c r="H195" s="647"/>
      <c r="I195" s="647"/>
      <c r="J195" s="647"/>
      <c r="K195" s="647"/>
      <c r="L195" s="647"/>
      <c r="M195" s="647"/>
      <c r="N195" s="647"/>
      <c r="O195" s="648"/>
      <c r="P195" s="644" t="s">
        <v>40</v>
      </c>
      <c r="Q195" s="645"/>
      <c r="R195" s="645"/>
      <c r="S195" s="645"/>
      <c r="T195" s="645"/>
      <c r="U195" s="645"/>
      <c r="V195" s="64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647"/>
      <c r="B196" s="647"/>
      <c r="C196" s="647"/>
      <c r="D196" s="647"/>
      <c r="E196" s="647"/>
      <c r="F196" s="647"/>
      <c r="G196" s="647"/>
      <c r="H196" s="647"/>
      <c r="I196" s="647"/>
      <c r="J196" s="647"/>
      <c r="K196" s="647"/>
      <c r="L196" s="647"/>
      <c r="M196" s="647"/>
      <c r="N196" s="647"/>
      <c r="O196" s="648"/>
      <c r="P196" s="644" t="s">
        <v>40</v>
      </c>
      <c r="Q196" s="645"/>
      <c r="R196" s="645"/>
      <c r="S196" s="645"/>
      <c r="T196" s="645"/>
      <c r="U196" s="645"/>
      <c r="V196" s="64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658" t="s">
        <v>345</v>
      </c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8"/>
      <c r="P197" s="658"/>
      <c r="Q197" s="658"/>
      <c r="R197" s="658"/>
      <c r="S197" s="658"/>
      <c r="T197" s="658"/>
      <c r="U197" s="658"/>
      <c r="V197" s="658"/>
      <c r="W197" s="658"/>
      <c r="X197" s="658"/>
      <c r="Y197" s="658"/>
      <c r="Z197" s="658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653">
        <v>4680115889033</v>
      </c>
      <c r="E198" s="653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4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55"/>
      <c r="R198" s="655"/>
      <c r="S198" s="655"/>
      <c r="T198" s="656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7"/>
      <c r="B199" s="647"/>
      <c r="C199" s="647"/>
      <c r="D199" s="647"/>
      <c r="E199" s="647"/>
      <c r="F199" s="647"/>
      <c r="G199" s="647"/>
      <c r="H199" s="647"/>
      <c r="I199" s="647"/>
      <c r="J199" s="647"/>
      <c r="K199" s="647"/>
      <c r="L199" s="647"/>
      <c r="M199" s="647"/>
      <c r="N199" s="647"/>
      <c r="O199" s="648"/>
      <c r="P199" s="644" t="s">
        <v>40</v>
      </c>
      <c r="Q199" s="645"/>
      <c r="R199" s="645"/>
      <c r="S199" s="645"/>
      <c r="T199" s="645"/>
      <c r="U199" s="645"/>
      <c r="V199" s="646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647"/>
      <c r="B200" s="647"/>
      <c r="C200" s="647"/>
      <c r="D200" s="647"/>
      <c r="E200" s="647"/>
      <c r="F200" s="647"/>
      <c r="G200" s="647"/>
      <c r="H200" s="647"/>
      <c r="I200" s="647"/>
      <c r="J200" s="647"/>
      <c r="K200" s="647"/>
      <c r="L200" s="647"/>
      <c r="M200" s="647"/>
      <c r="N200" s="647"/>
      <c r="O200" s="648"/>
      <c r="P200" s="644" t="s">
        <v>40</v>
      </c>
      <c r="Q200" s="645"/>
      <c r="R200" s="645"/>
      <c r="S200" s="645"/>
      <c r="T200" s="645"/>
      <c r="U200" s="645"/>
      <c r="V200" s="646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664" t="s">
        <v>349</v>
      </c>
      <c r="B201" s="664"/>
      <c r="C201" s="664"/>
      <c r="D201" s="664"/>
      <c r="E201" s="664"/>
      <c r="F201" s="664"/>
      <c r="G201" s="664"/>
      <c r="H201" s="664"/>
      <c r="I201" s="664"/>
      <c r="J201" s="664"/>
      <c r="K201" s="664"/>
      <c r="L201" s="664"/>
      <c r="M201" s="664"/>
      <c r="N201" s="664"/>
      <c r="O201" s="664"/>
      <c r="P201" s="664"/>
      <c r="Q201" s="664"/>
      <c r="R201" s="664"/>
      <c r="S201" s="664"/>
      <c r="T201" s="664"/>
      <c r="U201" s="664"/>
      <c r="V201" s="664"/>
      <c r="W201" s="664"/>
      <c r="X201" s="664"/>
      <c r="Y201" s="664"/>
      <c r="Z201" s="664"/>
      <c r="AA201" s="54"/>
      <c r="AB201" s="54"/>
      <c r="AC201" s="54"/>
    </row>
    <row r="202" spans="1:68" ht="16.5" hidden="1" customHeight="1" x14ac:dyDescent="0.25">
      <c r="A202" s="657" t="s">
        <v>350</v>
      </c>
      <c r="B202" s="657"/>
      <c r="C202" s="657"/>
      <c r="D202" s="657"/>
      <c r="E202" s="657"/>
      <c r="F202" s="657"/>
      <c r="G202" s="657"/>
      <c r="H202" s="657"/>
      <c r="I202" s="657"/>
      <c r="J202" s="657"/>
      <c r="K202" s="657"/>
      <c r="L202" s="657"/>
      <c r="M202" s="657"/>
      <c r="N202" s="657"/>
      <c r="O202" s="657"/>
      <c r="P202" s="657"/>
      <c r="Q202" s="657"/>
      <c r="R202" s="657"/>
      <c r="S202" s="657"/>
      <c r="T202" s="657"/>
      <c r="U202" s="657"/>
      <c r="V202" s="657"/>
      <c r="W202" s="657"/>
      <c r="X202" s="657"/>
      <c r="Y202" s="657"/>
      <c r="Z202" s="657"/>
      <c r="AA202" s="65"/>
      <c r="AB202" s="65"/>
      <c r="AC202" s="79"/>
    </row>
    <row r="203" spans="1:68" ht="14.25" hidden="1" customHeight="1" x14ac:dyDescent="0.25">
      <c r="A203" s="658" t="s">
        <v>123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653">
        <v>4607091383423</v>
      </c>
      <c r="E204" s="653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3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55"/>
      <c r="R204" s="655"/>
      <c r="S204" s="655"/>
      <c r="T204" s="656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653">
        <v>4680115888760</v>
      </c>
      <c r="E205" s="653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4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55"/>
      <c r="R205" s="655"/>
      <c r="S205" s="655"/>
      <c r="T205" s="65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653">
        <v>4680115888807</v>
      </c>
      <c r="E206" s="65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55"/>
      <c r="R206" s="655"/>
      <c r="S206" s="655"/>
      <c r="T206" s="65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653">
        <v>4680115888852</v>
      </c>
      <c r="E207" s="653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55"/>
      <c r="R207" s="655"/>
      <c r="S207" s="655"/>
      <c r="T207" s="65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653">
        <v>4680115886957</v>
      </c>
      <c r="E208" s="653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55"/>
      <c r="R208" s="655"/>
      <c r="S208" s="655"/>
      <c r="T208" s="65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653">
        <v>4680115885660</v>
      </c>
      <c r="E209" s="653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55"/>
      <c r="R209" s="655"/>
      <c r="S209" s="655"/>
      <c r="T209" s="65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653">
        <v>4680115886773</v>
      </c>
      <c r="E210" s="653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55"/>
      <c r="R210" s="655"/>
      <c r="S210" s="655"/>
      <c r="T210" s="65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647"/>
      <c r="B211" s="647"/>
      <c r="C211" s="647"/>
      <c r="D211" s="647"/>
      <c r="E211" s="647"/>
      <c r="F211" s="647"/>
      <c r="G211" s="647"/>
      <c r="H211" s="647"/>
      <c r="I211" s="647"/>
      <c r="J211" s="647"/>
      <c r="K211" s="647"/>
      <c r="L211" s="647"/>
      <c r="M211" s="647"/>
      <c r="N211" s="647"/>
      <c r="O211" s="648"/>
      <c r="P211" s="644" t="s">
        <v>40</v>
      </c>
      <c r="Q211" s="645"/>
      <c r="R211" s="645"/>
      <c r="S211" s="645"/>
      <c r="T211" s="645"/>
      <c r="U211" s="645"/>
      <c r="V211" s="646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647"/>
      <c r="B212" s="647"/>
      <c r="C212" s="647"/>
      <c r="D212" s="647"/>
      <c r="E212" s="647"/>
      <c r="F212" s="647"/>
      <c r="G212" s="647"/>
      <c r="H212" s="647"/>
      <c r="I212" s="647"/>
      <c r="J212" s="647"/>
      <c r="K212" s="647"/>
      <c r="L212" s="647"/>
      <c r="M212" s="647"/>
      <c r="N212" s="647"/>
      <c r="O212" s="648"/>
      <c r="P212" s="644" t="s">
        <v>40</v>
      </c>
      <c r="Q212" s="645"/>
      <c r="R212" s="645"/>
      <c r="S212" s="645"/>
      <c r="T212" s="645"/>
      <c r="U212" s="645"/>
      <c r="V212" s="646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657" t="s">
        <v>371</v>
      </c>
      <c r="B213" s="657"/>
      <c r="C213" s="657"/>
      <c r="D213" s="657"/>
      <c r="E213" s="657"/>
      <c r="F213" s="657"/>
      <c r="G213" s="657"/>
      <c r="H213" s="657"/>
      <c r="I213" s="657"/>
      <c r="J213" s="657"/>
      <c r="K213" s="657"/>
      <c r="L213" s="657"/>
      <c r="M213" s="657"/>
      <c r="N213" s="657"/>
      <c r="O213" s="657"/>
      <c r="P213" s="657"/>
      <c r="Q213" s="657"/>
      <c r="R213" s="657"/>
      <c r="S213" s="657"/>
      <c r="T213" s="657"/>
      <c r="U213" s="657"/>
      <c r="V213" s="657"/>
      <c r="W213" s="657"/>
      <c r="X213" s="657"/>
      <c r="Y213" s="657"/>
      <c r="Z213" s="657"/>
      <c r="AA213" s="65"/>
      <c r="AB213" s="65"/>
      <c r="AC213" s="79"/>
    </row>
    <row r="214" spans="1:68" ht="14.25" hidden="1" customHeight="1" x14ac:dyDescent="0.25">
      <c r="A214" s="658" t="s">
        <v>156</v>
      </c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8"/>
      <c r="P214" s="658"/>
      <c r="Q214" s="658"/>
      <c r="R214" s="658"/>
      <c r="S214" s="658"/>
      <c r="T214" s="658"/>
      <c r="U214" s="658"/>
      <c r="V214" s="658"/>
      <c r="W214" s="658"/>
      <c r="X214" s="658"/>
      <c r="Y214" s="658"/>
      <c r="Z214" s="658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653">
        <v>4680115886223</v>
      </c>
      <c r="E215" s="653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55"/>
      <c r="R215" s="655"/>
      <c r="S215" s="655"/>
      <c r="T215" s="656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647"/>
      <c r="B216" s="647"/>
      <c r="C216" s="647"/>
      <c r="D216" s="647"/>
      <c r="E216" s="647"/>
      <c r="F216" s="647"/>
      <c r="G216" s="647"/>
      <c r="H216" s="647"/>
      <c r="I216" s="647"/>
      <c r="J216" s="647"/>
      <c r="K216" s="647"/>
      <c r="L216" s="647"/>
      <c r="M216" s="647"/>
      <c r="N216" s="647"/>
      <c r="O216" s="648"/>
      <c r="P216" s="644" t="s">
        <v>40</v>
      </c>
      <c r="Q216" s="645"/>
      <c r="R216" s="645"/>
      <c r="S216" s="645"/>
      <c r="T216" s="645"/>
      <c r="U216" s="645"/>
      <c r="V216" s="646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647"/>
      <c r="B217" s="647"/>
      <c r="C217" s="647"/>
      <c r="D217" s="647"/>
      <c r="E217" s="647"/>
      <c r="F217" s="647"/>
      <c r="G217" s="647"/>
      <c r="H217" s="647"/>
      <c r="I217" s="647"/>
      <c r="J217" s="647"/>
      <c r="K217" s="647"/>
      <c r="L217" s="647"/>
      <c r="M217" s="647"/>
      <c r="N217" s="647"/>
      <c r="O217" s="648"/>
      <c r="P217" s="644" t="s">
        <v>40</v>
      </c>
      <c r="Q217" s="645"/>
      <c r="R217" s="645"/>
      <c r="S217" s="645"/>
      <c r="T217" s="645"/>
      <c r="U217" s="645"/>
      <c r="V217" s="646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658" t="s">
        <v>76</v>
      </c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8"/>
      <c r="P218" s="658"/>
      <c r="Q218" s="658"/>
      <c r="R218" s="658"/>
      <c r="S218" s="658"/>
      <c r="T218" s="658"/>
      <c r="U218" s="658"/>
      <c r="V218" s="658"/>
      <c r="W218" s="658"/>
      <c r="X218" s="658"/>
      <c r="Y218" s="658"/>
      <c r="Z218" s="658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653">
        <v>4680115880993</v>
      </c>
      <c r="E219" s="653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55"/>
      <c r="R219" s="655"/>
      <c r="S219" s="655"/>
      <c r="T219" s="65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653">
        <v>4680115881761</v>
      </c>
      <c r="E220" s="65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55"/>
      <c r="R220" s="655"/>
      <c r="S220" s="655"/>
      <c r="T220" s="65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653">
        <v>4680115881563</v>
      </c>
      <c r="E221" s="653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55"/>
      <c r="R221" s="655"/>
      <c r="S221" s="655"/>
      <c r="T221" s="65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653">
        <v>4680115887565</v>
      </c>
      <c r="E222" s="653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55"/>
      <c r="R222" s="655"/>
      <c r="S222" s="655"/>
      <c r="T222" s="656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653">
        <v>4680115880986</v>
      </c>
      <c r="E223" s="653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55"/>
      <c r="R223" s="655"/>
      <c r="S223" s="655"/>
      <c r="T223" s="65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653">
        <v>4680115887213</v>
      </c>
      <c r="E224" s="653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55"/>
      <c r="R224" s="655"/>
      <c r="S224" s="655"/>
      <c r="T224" s="65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customHeight="1" x14ac:dyDescent="0.25">
      <c r="A225" s="63" t="s">
        <v>392</v>
      </c>
      <c r="B225" s="63" t="s">
        <v>393</v>
      </c>
      <c r="C225" s="36">
        <v>4301031205</v>
      </c>
      <c r="D225" s="653">
        <v>4680115881785</v>
      </c>
      <c r="E225" s="65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55"/>
      <c r="R225" s="655"/>
      <c r="S225" s="655"/>
      <c r="T225" s="656"/>
      <c r="U225" s="39" t="s">
        <v>46</v>
      </c>
      <c r="V225" s="39" t="s">
        <v>46</v>
      </c>
      <c r="W225" s="40" t="s">
        <v>0</v>
      </c>
      <c r="X225" s="58">
        <v>70</v>
      </c>
      <c r="Y225" s="55">
        <f t="shared" si="33"/>
        <v>71.400000000000006</v>
      </c>
      <c r="Z225" s="41">
        <f t="shared" si="38"/>
        <v>0.17068</v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74.333333333333329</v>
      </c>
      <c r="BN225" s="78">
        <f t="shared" si="35"/>
        <v>75.820000000000007</v>
      </c>
      <c r="BO225" s="78">
        <f t="shared" si="36"/>
        <v>0.14245014245014245</v>
      </c>
      <c r="BP225" s="78">
        <f t="shared" si="37"/>
        <v>0.14529914529914531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653">
        <v>4680115888432</v>
      </c>
      <c r="E226" s="653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55"/>
      <c r="R226" s="655"/>
      <c r="S226" s="655"/>
      <c r="T226" s="65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653">
        <v>4680115888104</v>
      </c>
      <c r="E227" s="653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55"/>
      <c r="R227" s="655"/>
      <c r="S227" s="655"/>
      <c r="T227" s="65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653">
        <v>4680115886537</v>
      </c>
      <c r="E228" s="65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1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55"/>
      <c r="R228" s="655"/>
      <c r="S228" s="655"/>
      <c r="T228" s="65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653">
        <v>4680115887596</v>
      </c>
      <c r="E229" s="653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2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55"/>
      <c r="R229" s="655"/>
      <c r="S229" s="655"/>
      <c r="T229" s="65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customHeight="1" x14ac:dyDescent="0.25">
      <c r="A230" s="63" t="s">
        <v>406</v>
      </c>
      <c r="B230" s="63" t="s">
        <v>407</v>
      </c>
      <c r="C230" s="36">
        <v>4301031202</v>
      </c>
      <c r="D230" s="653">
        <v>4680115881679</v>
      </c>
      <c r="E230" s="653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2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55"/>
      <c r="R230" s="655"/>
      <c r="S230" s="655"/>
      <c r="T230" s="656"/>
      <c r="U230" s="39" t="s">
        <v>46</v>
      </c>
      <c r="V230" s="39" t="s">
        <v>46</v>
      </c>
      <c r="W230" s="40" t="s">
        <v>0</v>
      </c>
      <c r="X230" s="58">
        <v>140</v>
      </c>
      <c r="Y230" s="55">
        <f t="shared" si="33"/>
        <v>140.70000000000002</v>
      </c>
      <c r="Z230" s="41">
        <f>IFERROR(IF(Y230=0,"",ROUNDUP(Y230/H230,0)*0.00502),"")</f>
        <v>0.33634000000000003</v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146.66666666666666</v>
      </c>
      <c r="BN230" s="78">
        <f t="shared" si="35"/>
        <v>147.40000000000003</v>
      </c>
      <c r="BO230" s="78">
        <f t="shared" si="36"/>
        <v>0.28490028490028491</v>
      </c>
      <c r="BP230" s="78">
        <f t="shared" si="37"/>
        <v>0.28632478632478636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653">
        <v>4680115880191</v>
      </c>
      <c r="E231" s="653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2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55"/>
      <c r="R231" s="655"/>
      <c r="S231" s="655"/>
      <c r="T231" s="65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653">
        <v>4680115883963</v>
      </c>
      <c r="E232" s="653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2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55"/>
      <c r="R232" s="655"/>
      <c r="S232" s="655"/>
      <c r="T232" s="65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x14ac:dyDescent="0.2">
      <c r="A233" s="647"/>
      <c r="B233" s="647"/>
      <c r="C233" s="647"/>
      <c r="D233" s="647"/>
      <c r="E233" s="647"/>
      <c r="F233" s="647"/>
      <c r="G233" s="647"/>
      <c r="H233" s="647"/>
      <c r="I233" s="647"/>
      <c r="J233" s="647"/>
      <c r="K233" s="647"/>
      <c r="L233" s="647"/>
      <c r="M233" s="647"/>
      <c r="N233" s="647"/>
      <c r="O233" s="648"/>
      <c r="P233" s="644" t="s">
        <v>40</v>
      </c>
      <c r="Q233" s="645"/>
      <c r="R233" s="645"/>
      <c r="S233" s="645"/>
      <c r="T233" s="645"/>
      <c r="U233" s="645"/>
      <c r="V233" s="646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99.999999999999986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101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0.50702000000000003</v>
      </c>
      <c r="AA233" s="67"/>
      <c r="AB233" s="67"/>
      <c r="AC233" s="67"/>
    </row>
    <row r="234" spans="1:68" x14ac:dyDescent="0.2">
      <c r="A234" s="647"/>
      <c r="B234" s="647"/>
      <c r="C234" s="647"/>
      <c r="D234" s="647"/>
      <c r="E234" s="647"/>
      <c r="F234" s="647"/>
      <c r="G234" s="647"/>
      <c r="H234" s="647"/>
      <c r="I234" s="647"/>
      <c r="J234" s="647"/>
      <c r="K234" s="647"/>
      <c r="L234" s="647"/>
      <c r="M234" s="647"/>
      <c r="N234" s="647"/>
      <c r="O234" s="648"/>
      <c r="P234" s="644" t="s">
        <v>40</v>
      </c>
      <c r="Q234" s="645"/>
      <c r="R234" s="645"/>
      <c r="S234" s="645"/>
      <c r="T234" s="645"/>
      <c r="U234" s="645"/>
      <c r="V234" s="646"/>
      <c r="W234" s="42" t="s">
        <v>0</v>
      </c>
      <c r="X234" s="43">
        <f>IFERROR(SUM(X219:X232),"0")</f>
        <v>210</v>
      </c>
      <c r="Y234" s="43">
        <f>IFERROR(SUM(Y219:Y232),"0")</f>
        <v>212.10000000000002</v>
      </c>
      <c r="Z234" s="42"/>
      <c r="AA234" s="67"/>
      <c r="AB234" s="67"/>
      <c r="AC234" s="67"/>
    </row>
    <row r="235" spans="1:68" ht="14.25" hidden="1" customHeight="1" x14ac:dyDescent="0.25">
      <c r="A235" s="658" t="s">
        <v>85</v>
      </c>
      <c r="B235" s="658"/>
      <c r="C235" s="658"/>
      <c r="D235" s="658"/>
      <c r="E235" s="658"/>
      <c r="F235" s="658"/>
      <c r="G235" s="658"/>
      <c r="H235" s="658"/>
      <c r="I235" s="658"/>
      <c r="J235" s="658"/>
      <c r="K235" s="658"/>
      <c r="L235" s="658"/>
      <c r="M235" s="658"/>
      <c r="N235" s="658"/>
      <c r="O235" s="658"/>
      <c r="P235" s="658"/>
      <c r="Q235" s="658"/>
      <c r="R235" s="658"/>
      <c r="S235" s="658"/>
      <c r="T235" s="658"/>
      <c r="U235" s="658"/>
      <c r="V235" s="658"/>
      <c r="W235" s="658"/>
      <c r="X235" s="658"/>
      <c r="Y235" s="658"/>
      <c r="Z235" s="658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653">
        <v>4680115888692</v>
      </c>
      <c r="E236" s="653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1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55"/>
      <c r="R236" s="655"/>
      <c r="S236" s="655"/>
      <c r="T236" s="656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653">
        <v>4680115888722</v>
      </c>
      <c r="E237" s="653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1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55"/>
      <c r="R237" s="655"/>
      <c r="S237" s="655"/>
      <c r="T237" s="656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653">
        <v>4680115888951</v>
      </c>
      <c r="E238" s="653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1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55"/>
      <c r="R238" s="655"/>
      <c r="S238" s="655"/>
      <c r="T238" s="656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653">
        <v>4680115888975</v>
      </c>
      <c r="E239" s="653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1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5"/>
      <c r="R239" s="655"/>
      <c r="S239" s="655"/>
      <c r="T239" s="656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653">
        <v>4680115888982</v>
      </c>
      <c r="E240" s="653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1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5"/>
      <c r="R240" s="655"/>
      <c r="S240" s="655"/>
      <c r="T240" s="656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7"/>
      <c r="B241" s="647"/>
      <c r="C241" s="647"/>
      <c r="D241" s="647"/>
      <c r="E241" s="647"/>
      <c r="F241" s="647"/>
      <c r="G241" s="647"/>
      <c r="H241" s="647"/>
      <c r="I241" s="647"/>
      <c r="J241" s="647"/>
      <c r="K241" s="647"/>
      <c r="L241" s="647"/>
      <c r="M241" s="647"/>
      <c r="N241" s="647"/>
      <c r="O241" s="648"/>
      <c r="P241" s="644" t="s">
        <v>40</v>
      </c>
      <c r="Q241" s="645"/>
      <c r="R241" s="645"/>
      <c r="S241" s="645"/>
      <c r="T241" s="645"/>
      <c r="U241" s="645"/>
      <c r="V241" s="646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7"/>
      <c r="B242" s="647"/>
      <c r="C242" s="647"/>
      <c r="D242" s="647"/>
      <c r="E242" s="647"/>
      <c r="F242" s="647"/>
      <c r="G242" s="647"/>
      <c r="H242" s="647"/>
      <c r="I242" s="647"/>
      <c r="J242" s="647"/>
      <c r="K242" s="647"/>
      <c r="L242" s="647"/>
      <c r="M242" s="647"/>
      <c r="N242" s="647"/>
      <c r="O242" s="648"/>
      <c r="P242" s="644" t="s">
        <v>40</v>
      </c>
      <c r="Q242" s="645"/>
      <c r="R242" s="645"/>
      <c r="S242" s="645"/>
      <c r="T242" s="645"/>
      <c r="U242" s="645"/>
      <c r="V242" s="646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8" t="s">
        <v>281</v>
      </c>
      <c r="B243" s="658"/>
      <c r="C243" s="658"/>
      <c r="D243" s="658"/>
      <c r="E243" s="658"/>
      <c r="F243" s="658"/>
      <c r="G243" s="658"/>
      <c r="H243" s="658"/>
      <c r="I243" s="658"/>
      <c r="J243" s="658"/>
      <c r="K243" s="658"/>
      <c r="L243" s="658"/>
      <c r="M243" s="658"/>
      <c r="N243" s="658"/>
      <c r="O243" s="658"/>
      <c r="P243" s="658"/>
      <c r="Q243" s="658"/>
      <c r="R243" s="658"/>
      <c r="S243" s="658"/>
      <c r="T243" s="658"/>
      <c r="U243" s="658"/>
      <c r="V243" s="658"/>
      <c r="W243" s="658"/>
      <c r="X243" s="658"/>
      <c r="Y243" s="658"/>
      <c r="Z243" s="658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653">
        <v>4680115886780</v>
      </c>
      <c r="E244" s="653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1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55"/>
      <c r="R244" s="655"/>
      <c r="S244" s="655"/>
      <c r="T244" s="656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653">
        <v>4680115886742</v>
      </c>
      <c r="E245" s="653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1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55"/>
      <c r="R245" s="655"/>
      <c r="S245" s="655"/>
      <c r="T245" s="656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653">
        <v>4680115886766</v>
      </c>
      <c r="E246" s="653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1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55"/>
      <c r="R246" s="655"/>
      <c r="S246" s="655"/>
      <c r="T246" s="656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7"/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8"/>
      <c r="P247" s="644" t="s">
        <v>40</v>
      </c>
      <c r="Q247" s="645"/>
      <c r="R247" s="645"/>
      <c r="S247" s="645"/>
      <c r="T247" s="645"/>
      <c r="U247" s="645"/>
      <c r="V247" s="646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7"/>
      <c r="B248" s="647"/>
      <c r="C248" s="647"/>
      <c r="D248" s="647"/>
      <c r="E248" s="647"/>
      <c r="F248" s="647"/>
      <c r="G248" s="647"/>
      <c r="H248" s="647"/>
      <c r="I248" s="647"/>
      <c r="J248" s="647"/>
      <c r="K248" s="647"/>
      <c r="L248" s="647"/>
      <c r="M248" s="647"/>
      <c r="N248" s="647"/>
      <c r="O248" s="648"/>
      <c r="P248" s="644" t="s">
        <v>40</v>
      </c>
      <c r="Q248" s="645"/>
      <c r="R248" s="645"/>
      <c r="S248" s="645"/>
      <c r="T248" s="645"/>
      <c r="U248" s="645"/>
      <c r="V248" s="646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8" t="s">
        <v>435</v>
      </c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8"/>
      <c r="P249" s="658"/>
      <c r="Q249" s="658"/>
      <c r="R249" s="658"/>
      <c r="S249" s="658"/>
      <c r="T249" s="658"/>
      <c r="U249" s="658"/>
      <c r="V249" s="658"/>
      <c r="W249" s="658"/>
      <c r="X249" s="658"/>
      <c r="Y249" s="658"/>
      <c r="Z249" s="658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653">
        <v>4680115886797</v>
      </c>
      <c r="E250" s="65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55"/>
      <c r="R250" s="655"/>
      <c r="S250" s="655"/>
      <c r="T250" s="65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7"/>
      <c r="B251" s="647"/>
      <c r="C251" s="647"/>
      <c r="D251" s="647"/>
      <c r="E251" s="647"/>
      <c r="F251" s="647"/>
      <c r="G251" s="647"/>
      <c r="H251" s="647"/>
      <c r="I251" s="647"/>
      <c r="J251" s="647"/>
      <c r="K251" s="647"/>
      <c r="L251" s="647"/>
      <c r="M251" s="647"/>
      <c r="N251" s="647"/>
      <c r="O251" s="648"/>
      <c r="P251" s="644" t="s">
        <v>40</v>
      </c>
      <c r="Q251" s="645"/>
      <c r="R251" s="645"/>
      <c r="S251" s="645"/>
      <c r="T251" s="645"/>
      <c r="U251" s="645"/>
      <c r="V251" s="646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7"/>
      <c r="B252" s="647"/>
      <c r="C252" s="647"/>
      <c r="D252" s="647"/>
      <c r="E252" s="647"/>
      <c r="F252" s="647"/>
      <c r="G252" s="647"/>
      <c r="H252" s="647"/>
      <c r="I252" s="647"/>
      <c r="J252" s="647"/>
      <c r="K252" s="647"/>
      <c r="L252" s="647"/>
      <c r="M252" s="647"/>
      <c r="N252" s="647"/>
      <c r="O252" s="648"/>
      <c r="P252" s="644" t="s">
        <v>40</v>
      </c>
      <c r="Q252" s="645"/>
      <c r="R252" s="645"/>
      <c r="S252" s="645"/>
      <c r="T252" s="645"/>
      <c r="U252" s="645"/>
      <c r="V252" s="646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57" t="s">
        <v>438</v>
      </c>
      <c r="B253" s="657"/>
      <c r="C253" s="657"/>
      <c r="D253" s="657"/>
      <c r="E253" s="657"/>
      <c r="F253" s="657"/>
      <c r="G253" s="657"/>
      <c r="H253" s="657"/>
      <c r="I253" s="657"/>
      <c r="J253" s="657"/>
      <c r="K253" s="657"/>
      <c r="L253" s="657"/>
      <c r="M253" s="657"/>
      <c r="N253" s="657"/>
      <c r="O253" s="657"/>
      <c r="P253" s="657"/>
      <c r="Q253" s="657"/>
      <c r="R253" s="657"/>
      <c r="S253" s="657"/>
      <c r="T253" s="657"/>
      <c r="U253" s="657"/>
      <c r="V253" s="657"/>
      <c r="W253" s="657"/>
      <c r="X253" s="657"/>
      <c r="Y253" s="657"/>
      <c r="Z253" s="657"/>
      <c r="AA253" s="65"/>
      <c r="AB253" s="65"/>
      <c r="AC253" s="79"/>
    </row>
    <row r="254" spans="1:68" ht="14.25" hidden="1" customHeight="1" x14ac:dyDescent="0.25">
      <c r="A254" s="658" t="s">
        <v>123</v>
      </c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8"/>
      <c r="P254" s="658"/>
      <c r="Q254" s="658"/>
      <c r="R254" s="658"/>
      <c r="S254" s="658"/>
      <c r="T254" s="658"/>
      <c r="U254" s="658"/>
      <c r="V254" s="658"/>
      <c r="W254" s="658"/>
      <c r="X254" s="658"/>
      <c r="Y254" s="658"/>
      <c r="Z254" s="658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653">
        <v>4680115881402</v>
      </c>
      <c r="E255" s="653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0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55"/>
      <c r="R255" s="655"/>
      <c r="S255" s="655"/>
      <c r="T255" s="65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653">
        <v>4680115881396</v>
      </c>
      <c r="E256" s="653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0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55"/>
      <c r="R256" s="655"/>
      <c r="S256" s="655"/>
      <c r="T256" s="65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7"/>
      <c r="B257" s="647"/>
      <c r="C257" s="647"/>
      <c r="D257" s="647"/>
      <c r="E257" s="647"/>
      <c r="F257" s="647"/>
      <c r="G257" s="647"/>
      <c r="H257" s="647"/>
      <c r="I257" s="647"/>
      <c r="J257" s="647"/>
      <c r="K257" s="647"/>
      <c r="L257" s="647"/>
      <c r="M257" s="647"/>
      <c r="N257" s="647"/>
      <c r="O257" s="648"/>
      <c r="P257" s="644" t="s">
        <v>40</v>
      </c>
      <c r="Q257" s="645"/>
      <c r="R257" s="645"/>
      <c r="S257" s="645"/>
      <c r="T257" s="645"/>
      <c r="U257" s="645"/>
      <c r="V257" s="646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7"/>
      <c r="B258" s="647"/>
      <c r="C258" s="647"/>
      <c r="D258" s="647"/>
      <c r="E258" s="647"/>
      <c r="F258" s="647"/>
      <c r="G258" s="647"/>
      <c r="H258" s="647"/>
      <c r="I258" s="647"/>
      <c r="J258" s="647"/>
      <c r="K258" s="647"/>
      <c r="L258" s="647"/>
      <c r="M258" s="647"/>
      <c r="N258" s="647"/>
      <c r="O258" s="648"/>
      <c r="P258" s="644" t="s">
        <v>40</v>
      </c>
      <c r="Q258" s="645"/>
      <c r="R258" s="645"/>
      <c r="S258" s="645"/>
      <c r="T258" s="645"/>
      <c r="U258" s="645"/>
      <c r="V258" s="646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8" t="s">
        <v>156</v>
      </c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8"/>
      <c r="P259" s="658"/>
      <c r="Q259" s="658"/>
      <c r="R259" s="658"/>
      <c r="S259" s="658"/>
      <c r="T259" s="658"/>
      <c r="U259" s="658"/>
      <c r="V259" s="658"/>
      <c r="W259" s="658"/>
      <c r="X259" s="658"/>
      <c r="Y259" s="658"/>
      <c r="Z259" s="658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653">
        <v>4680115882935</v>
      </c>
      <c r="E260" s="653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55"/>
      <c r="R260" s="655"/>
      <c r="S260" s="655"/>
      <c r="T260" s="656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653">
        <v>4680115880764</v>
      </c>
      <c r="E261" s="653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55"/>
      <c r="R261" s="655"/>
      <c r="S261" s="655"/>
      <c r="T261" s="65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7"/>
      <c r="B262" s="647"/>
      <c r="C262" s="647"/>
      <c r="D262" s="647"/>
      <c r="E262" s="647"/>
      <c r="F262" s="647"/>
      <c r="G262" s="647"/>
      <c r="H262" s="647"/>
      <c r="I262" s="647"/>
      <c r="J262" s="647"/>
      <c r="K262" s="647"/>
      <c r="L262" s="647"/>
      <c r="M262" s="647"/>
      <c r="N262" s="647"/>
      <c r="O262" s="648"/>
      <c r="P262" s="644" t="s">
        <v>40</v>
      </c>
      <c r="Q262" s="645"/>
      <c r="R262" s="645"/>
      <c r="S262" s="645"/>
      <c r="T262" s="645"/>
      <c r="U262" s="645"/>
      <c r="V262" s="646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7"/>
      <c r="B263" s="647"/>
      <c r="C263" s="647"/>
      <c r="D263" s="647"/>
      <c r="E263" s="647"/>
      <c r="F263" s="647"/>
      <c r="G263" s="647"/>
      <c r="H263" s="647"/>
      <c r="I263" s="647"/>
      <c r="J263" s="647"/>
      <c r="K263" s="647"/>
      <c r="L263" s="647"/>
      <c r="M263" s="647"/>
      <c r="N263" s="647"/>
      <c r="O263" s="648"/>
      <c r="P263" s="644" t="s">
        <v>40</v>
      </c>
      <c r="Q263" s="645"/>
      <c r="R263" s="645"/>
      <c r="S263" s="645"/>
      <c r="T263" s="645"/>
      <c r="U263" s="645"/>
      <c r="V263" s="646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8" t="s">
        <v>76</v>
      </c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8"/>
      <c r="P264" s="658"/>
      <c r="Q264" s="658"/>
      <c r="R264" s="658"/>
      <c r="S264" s="658"/>
      <c r="T264" s="658"/>
      <c r="U264" s="658"/>
      <c r="V264" s="658"/>
      <c r="W264" s="658"/>
      <c r="X264" s="658"/>
      <c r="Y264" s="658"/>
      <c r="Z264" s="658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653">
        <v>4680115882683</v>
      </c>
      <c r="E265" s="653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55"/>
      <c r="R265" s="655"/>
      <c r="S265" s="655"/>
      <c r="T265" s="656"/>
      <c r="U265" s="39" t="s">
        <v>46</v>
      </c>
      <c r="V265" s="39" t="s">
        <v>46</v>
      </c>
      <c r="W265" s="40" t="s">
        <v>0</v>
      </c>
      <c r="X265" s="58">
        <v>300</v>
      </c>
      <c r="Y265" s="55">
        <f t="shared" ref="Y265:Y272" si="39">IFERROR(IF(X265="",0,CEILING((X265/$H265),1)*$H265),"")</f>
        <v>302.40000000000003</v>
      </c>
      <c r="Z265" s="41">
        <f>IFERROR(IF(Y265=0,"",ROUNDUP(Y265/H265,0)*0.00902),"")</f>
        <v>0.50512000000000001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310.55555555555554</v>
      </c>
      <c r="BN265" s="78">
        <f t="shared" ref="BN265:BN272" si="41">IFERROR(Y265*I265/H265,"0")</f>
        <v>313.04000000000002</v>
      </c>
      <c r="BO265" s="78">
        <f t="shared" ref="BO265:BO272" si="42">IFERROR(1/J265*(X265/H265),"0")</f>
        <v>0.42087542087542085</v>
      </c>
      <c r="BP265" s="78">
        <f t="shared" ref="BP265:BP272" si="43">IFERROR(1/J265*(Y265/H265),"0")</f>
        <v>0.42424242424242425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4301031230</v>
      </c>
      <c r="D266" s="653">
        <v>4680115882690</v>
      </c>
      <c r="E266" s="653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0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55"/>
      <c r="R266" s="655"/>
      <c r="S266" s="655"/>
      <c r="T266" s="656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9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0</v>
      </c>
      <c r="BN266" s="78">
        <f t="shared" si="41"/>
        <v>0</v>
      </c>
      <c r="BO266" s="78">
        <f t="shared" si="42"/>
        <v>0</v>
      </c>
      <c r="BP266" s="78">
        <f t="shared" si="43"/>
        <v>0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653">
        <v>4680115882669</v>
      </c>
      <c r="E267" s="653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0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55"/>
      <c r="R267" s="655"/>
      <c r="S267" s="655"/>
      <c r="T267" s="656"/>
      <c r="U267" s="39" t="s">
        <v>46</v>
      </c>
      <c r="V267" s="39" t="s">
        <v>46</v>
      </c>
      <c r="W267" s="40" t="s">
        <v>0</v>
      </c>
      <c r="X267" s="58">
        <v>300</v>
      </c>
      <c r="Y267" s="55">
        <f t="shared" si="39"/>
        <v>302.40000000000003</v>
      </c>
      <c r="Z267" s="41">
        <f>IFERROR(IF(Y267=0,"",ROUNDUP(Y267/H267,0)*0.00902),"")</f>
        <v>0.50512000000000001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310.55555555555554</v>
      </c>
      <c r="BN267" s="78">
        <f t="shared" si="41"/>
        <v>313.04000000000002</v>
      </c>
      <c r="BO267" s="78">
        <f t="shared" si="42"/>
        <v>0.42087542087542085</v>
      </c>
      <c r="BP267" s="78">
        <f t="shared" si="43"/>
        <v>0.42424242424242425</v>
      </c>
    </row>
    <row r="268" spans="1:68" ht="27" hidden="1" customHeight="1" x14ac:dyDescent="0.25">
      <c r="A268" s="63" t="s">
        <v>458</v>
      </c>
      <c r="B268" s="63" t="s">
        <v>459</v>
      </c>
      <c r="C268" s="36">
        <v>4301031221</v>
      </c>
      <c r="D268" s="653">
        <v>4680115882676</v>
      </c>
      <c r="E268" s="653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0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55"/>
      <c r="R268" s="655"/>
      <c r="S268" s="655"/>
      <c r="T268" s="656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9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0</v>
      </c>
      <c r="BN268" s="78">
        <f t="shared" si="41"/>
        <v>0</v>
      </c>
      <c r="BO268" s="78">
        <f t="shared" si="42"/>
        <v>0</v>
      </c>
      <c r="BP268" s="78">
        <f t="shared" si="43"/>
        <v>0</v>
      </c>
    </row>
    <row r="269" spans="1:68" ht="27" customHeight="1" x14ac:dyDescent="0.25">
      <c r="A269" s="63" t="s">
        <v>461</v>
      </c>
      <c r="B269" s="63" t="s">
        <v>462</v>
      </c>
      <c r="C269" s="36">
        <v>4301031223</v>
      </c>
      <c r="D269" s="653">
        <v>4680115884014</v>
      </c>
      <c r="E269" s="653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79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55"/>
      <c r="R269" s="655"/>
      <c r="S269" s="655"/>
      <c r="T269" s="656"/>
      <c r="U269" s="39" t="s">
        <v>46</v>
      </c>
      <c r="V269" s="39" t="s">
        <v>46</v>
      </c>
      <c r="W269" s="40" t="s">
        <v>0</v>
      </c>
      <c r="X269" s="58">
        <v>90</v>
      </c>
      <c r="Y269" s="55">
        <f t="shared" si="39"/>
        <v>90</v>
      </c>
      <c r="Z269" s="41">
        <f>IFERROR(IF(Y269=0,"",ROUNDUP(Y269/H269,0)*0.00502),"")</f>
        <v>0.251</v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96.499999999999986</v>
      </c>
      <c r="BN269" s="78">
        <f t="shared" si="41"/>
        <v>96.499999999999986</v>
      </c>
      <c r="BO269" s="78">
        <f t="shared" si="42"/>
        <v>0.21367521367521369</v>
      </c>
      <c r="BP269" s="78">
        <f t="shared" si="43"/>
        <v>0.21367521367521369</v>
      </c>
    </row>
    <row r="270" spans="1:68" ht="27" customHeight="1" x14ac:dyDescent="0.25">
      <c r="A270" s="63" t="s">
        <v>463</v>
      </c>
      <c r="B270" s="63" t="s">
        <v>464</v>
      </c>
      <c r="C270" s="36">
        <v>4301031222</v>
      </c>
      <c r="D270" s="653">
        <v>4680115884007</v>
      </c>
      <c r="E270" s="653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79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55"/>
      <c r="R270" s="655"/>
      <c r="S270" s="655"/>
      <c r="T270" s="656"/>
      <c r="U270" s="39" t="s">
        <v>46</v>
      </c>
      <c r="V270" s="39" t="s">
        <v>46</v>
      </c>
      <c r="W270" s="40" t="s">
        <v>0</v>
      </c>
      <c r="X270" s="58">
        <v>60</v>
      </c>
      <c r="Y270" s="55">
        <f t="shared" si="39"/>
        <v>61.2</v>
      </c>
      <c r="Z270" s="41">
        <f>IFERROR(IF(Y270=0,"",ROUNDUP(Y270/H270,0)*0.00502),"")</f>
        <v>0.17068</v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63.333333333333329</v>
      </c>
      <c r="BN270" s="78">
        <f t="shared" si="41"/>
        <v>64.599999999999994</v>
      </c>
      <c r="BO270" s="78">
        <f t="shared" si="42"/>
        <v>0.14245014245014248</v>
      </c>
      <c r="BP270" s="78">
        <f t="shared" si="43"/>
        <v>0.14529914529914531</v>
      </c>
    </row>
    <row r="271" spans="1:68" ht="27" customHeight="1" x14ac:dyDescent="0.25">
      <c r="A271" s="63" t="s">
        <v>465</v>
      </c>
      <c r="B271" s="63" t="s">
        <v>466</v>
      </c>
      <c r="C271" s="36">
        <v>4301031229</v>
      </c>
      <c r="D271" s="653">
        <v>4680115884038</v>
      </c>
      <c r="E271" s="653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55"/>
      <c r="R271" s="655"/>
      <c r="S271" s="655"/>
      <c r="T271" s="656"/>
      <c r="U271" s="39" t="s">
        <v>46</v>
      </c>
      <c r="V271" s="39" t="s">
        <v>46</v>
      </c>
      <c r="W271" s="40" t="s">
        <v>0</v>
      </c>
      <c r="X271" s="58">
        <v>90</v>
      </c>
      <c r="Y271" s="55">
        <f t="shared" si="39"/>
        <v>90</v>
      </c>
      <c r="Z271" s="41">
        <f>IFERROR(IF(Y271=0,"",ROUNDUP(Y271/H271,0)*0.00502),"")</f>
        <v>0.251</v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95</v>
      </c>
      <c r="BN271" s="78">
        <f t="shared" si="41"/>
        <v>95</v>
      </c>
      <c r="BO271" s="78">
        <f t="shared" si="42"/>
        <v>0.21367521367521369</v>
      </c>
      <c r="BP271" s="78">
        <f t="shared" si="43"/>
        <v>0.21367521367521369</v>
      </c>
    </row>
    <row r="272" spans="1:68" ht="27" customHeight="1" x14ac:dyDescent="0.25">
      <c r="A272" s="63" t="s">
        <v>467</v>
      </c>
      <c r="B272" s="63" t="s">
        <v>468</v>
      </c>
      <c r="C272" s="36">
        <v>4301031225</v>
      </c>
      <c r="D272" s="653">
        <v>4680115884021</v>
      </c>
      <c r="E272" s="653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0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55"/>
      <c r="R272" s="655"/>
      <c r="S272" s="655"/>
      <c r="T272" s="656"/>
      <c r="U272" s="39" t="s">
        <v>46</v>
      </c>
      <c r="V272" s="39" t="s">
        <v>46</v>
      </c>
      <c r="W272" s="40" t="s">
        <v>0</v>
      </c>
      <c r="X272" s="58">
        <v>45</v>
      </c>
      <c r="Y272" s="55">
        <f t="shared" si="39"/>
        <v>45</v>
      </c>
      <c r="Z272" s="41">
        <f>IFERROR(IF(Y272=0,"",ROUNDUP(Y272/H272,0)*0.00502),"")</f>
        <v>0.1255</v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47.5</v>
      </c>
      <c r="BN272" s="78">
        <f t="shared" si="41"/>
        <v>47.5</v>
      </c>
      <c r="BO272" s="78">
        <f t="shared" si="42"/>
        <v>0.10683760683760685</v>
      </c>
      <c r="BP272" s="78">
        <f t="shared" si="43"/>
        <v>0.10683760683760685</v>
      </c>
    </row>
    <row r="273" spans="1:68" x14ac:dyDescent="0.2">
      <c r="A273" s="647"/>
      <c r="B273" s="647"/>
      <c r="C273" s="647"/>
      <c r="D273" s="647"/>
      <c r="E273" s="647"/>
      <c r="F273" s="647"/>
      <c r="G273" s="647"/>
      <c r="H273" s="647"/>
      <c r="I273" s="647"/>
      <c r="J273" s="647"/>
      <c r="K273" s="647"/>
      <c r="L273" s="647"/>
      <c r="M273" s="647"/>
      <c r="N273" s="647"/>
      <c r="O273" s="648"/>
      <c r="P273" s="644" t="s">
        <v>40</v>
      </c>
      <c r="Q273" s="645"/>
      <c r="R273" s="645"/>
      <c r="S273" s="645"/>
      <c r="T273" s="645"/>
      <c r="U273" s="645"/>
      <c r="V273" s="646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269.44444444444446</v>
      </c>
      <c r="Y273" s="43">
        <f>IFERROR(Y265/H265,"0")+IFERROR(Y266/H266,"0")+IFERROR(Y267/H267,"0")+IFERROR(Y268/H268,"0")+IFERROR(Y269/H269,"0")+IFERROR(Y270/H270,"0")+IFERROR(Y271/H271,"0")+IFERROR(Y272/H272,"0")</f>
        <v>271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1.8084199999999997</v>
      </c>
      <c r="AA273" s="67"/>
      <c r="AB273" s="67"/>
      <c r="AC273" s="67"/>
    </row>
    <row r="274" spans="1:68" x14ac:dyDescent="0.2">
      <c r="A274" s="647"/>
      <c r="B274" s="647"/>
      <c r="C274" s="647"/>
      <c r="D274" s="647"/>
      <c r="E274" s="647"/>
      <c r="F274" s="647"/>
      <c r="G274" s="647"/>
      <c r="H274" s="647"/>
      <c r="I274" s="647"/>
      <c r="J274" s="647"/>
      <c r="K274" s="647"/>
      <c r="L274" s="647"/>
      <c r="M274" s="647"/>
      <c r="N274" s="647"/>
      <c r="O274" s="648"/>
      <c r="P274" s="644" t="s">
        <v>40</v>
      </c>
      <c r="Q274" s="645"/>
      <c r="R274" s="645"/>
      <c r="S274" s="645"/>
      <c r="T274" s="645"/>
      <c r="U274" s="645"/>
      <c r="V274" s="646"/>
      <c r="W274" s="42" t="s">
        <v>0</v>
      </c>
      <c r="X274" s="43">
        <f>IFERROR(SUM(X265:X272),"0")</f>
        <v>885</v>
      </c>
      <c r="Y274" s="43">
        <f>IFERROR(SUM(Y265:Y272),"0")</f>
        <v>891.00000000000011</v>
      </c>
      <c r="Z274" s="42"/>
      <c r="AA274" s="67"/>
      <c r="AB274" s="67"/>
      <c r="AC274" s="67"/>
    </row>
    <row r="275" spans="1:68" ht="14.25" hidden="1" customHeight="1" x14ac:dyDescent="0.25">
      <c r="A275" s="658" t="s">
        <v>85</v>
      </c>
      <c r="B275" s="658"/>
      <c r="C275" s="658"/>
      <c r="D275" s="658"/>
      <c r="E275" s="658"/>
      <c r="F275" s="658"/>
      <c r="G275" s="658"/>
      <c r="H275" s="658"/>
      <c r="I275" s="658"/>
      <c r="J275" s="658"/>
      <c r="K275" s="658"/>
      <c r="L275" s="658"/>
      <c r="M275" s="658"/>
      <c r="N275" s="658"/>
      <c r="O275" s="658"/>
      <c r="P275" s="658"/>
      <c r="Q275" s="658"/>
      <c r="R275" s="658"/>
      <c r="S275" s="658"/>
      <c r="T275" s="658"/>
      <c r="U275" s="658"/>
      <c r="V275" s="658"/>
      <c r="W275" s="658"/>
      <c r="X275" s="658"/>
      <c r="Y275" s="658"/>
      <c r="Z275" s="658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653">
        <v>4680115881594</v>
      </c>
      <c r="E276" s="653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79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55"/>
      <c r="R276" s="655"/>
      <c r="S276" s="655"/>
      <c r="T276" s="65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653">
        <v>4680115881617</v>
      </c>
      <c r="E277" s="653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7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55"/>
      <c r="R277" s="655"/>
      <c r="S277" s="655"/>
      <c r="T277" s="65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653">
        <v>4680115880573</v>
      </c>
      <c r="E278" s="653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79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55"/>
      <c r="R278" s="655"/>
      <c r="S278" s="655"/>
      <c r="T278" s="65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653">
        <v>4680115882195</v>
      </c>
      <c r="E279" s="653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7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55"/>
      <c r="R279" s="655"/>
      <c r="S279" s="655"/>
      <c r="T279" s="656"/>
      <c r="U279" s="39" t="s">
        <v>46</v>
      </c>
      <c r="V279" s="39" t="s">
        <v>46</v>
      </c>
      <c r="W279" s="40" t="s">
        <v>0</v>
      </c>
      <c r="X279" s="58">
        <v>360</v>
      </c>
      <c r="Y279" s="55">
        <f t="shared" si="44"/>
        <v>360</v>
      </c>
      <c r="Z279" s="41">
        <f>IFERROR(IF(Y279=0,"",ROUNDUP(Y279/H279,0)*0.00651),"")</f>
        <v>0.97650000000000003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400.5</v>
      </c>
      <c r="BN279" s="78">
        <f t="shared" si="46"/>
        <v>400.5</v>
      </c>
      <c r="BO279" s="78">
        <f t="shared" si="47"/>
        <v>0.82417582417582425</v>
      </c>
      <c r="BP279" s="78">
        <f t="shared" si="48"/>
        <v>0.82417582417582425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653">
        <v>4680115882607</v>
      </c>
      <c r="E280" s="653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7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55"/>
      <c r="R280" s="655"/>
      <c r="S280" s="655"/>
      <c r="T280" s="65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653">
        <v>4680115882607</v>
      </c>
      <c r="E281" s="653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7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55"/>
      <c r="R281" s="655"/>
      <c r="S281" s="655"/>
      <c r="T281" s="65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653">
        <v>4680115880092</v>
      </c>
      <c r="E282" s="653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7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55"/>
      <c r="R282" s="655"/>
      <c r="S282" s="655"/>
      <c r="T282" s="656"/>
      <c r="U282" s="39" t="s">
        <v>46</v>
      </c>
      <c r="V282" s="39" t="s">
        <v>46</v>
      </c>
      <c r="W282" s="40" t="s">
        <v>0</v>
      </c>
      <c r="X282" s="58">
        <v>120</v>
      </c>
      <c r="Y282" s="55">
        <f t="shared" si="44"/>
        <v>120</v>
      </c>
      <c r="Z282" s="41">
        <f>IFERROR(IF(Y282=0,"",ROUNDUP(Y282/H282,0)*0.00651),"")</f>
        <v>0.32550000000000001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132.60000000000002</v>
      </c>
      <c r="BN282" s="78">
        <f t="shared" si="46"/>
        <v>132.60000000000002</v>
      </c>
      <c r="BO282" s="78">
        <f t="shared" si="47"/>
        <v>0.27472527472527475</v>
      </c>
      <c r="BP282" s="78">
        <f t="shared" si="48"/>
        <v>0.27472527472527475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653">
        <v>4680115889064</v>
      </c>
      <c r="E283" s="653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7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55"/>
      <c r="R283" s="655"/>
      <c r="S283" s="655"/>
      <c r="T283" s="65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4301051668</v>
      </c>
      <c r="D284" s="653">
        <v>4680115880221</v>
      </c>
      <c r="E284" s="653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7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55"/>
      <c r="R284" s="655"/>
      <c r="S284" s="655"/>
      <c r="T284" s="65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4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0</v>
      </c>
      <c r="BN284" s="78">
        <f t="shared" si="46"/>
        <v>0</v>
      </c>
      <c r="BO284" s="78">
        <f t="shared" si="47"/>
        <v>0</v>
      </c>
      <c r="BP284" s="78">
        <f t="shared" si="48"/>
        <v>0</v>
      </c>
    </row>
    <row r="285" spans="1:68" ht="27" customHeight="1" x14ac:dyDescent="0.25">
      <c r="A285" s="63" t="s">
        <v>491</v>
      </c>
      <c r="B285" s="63" t="s">
        <v>492</v>
      </c>
      <c r="C285" s="36">
        <v>4301051945</v>
      </c>
      <c r="D285" s="653">
        <v>4680115880504</v>
      </c>
      <c r="E285" s="653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55"/>
      <c r="R285" s="655"/>
      <c r="S285" s="655"/>
      <c r="T285" s="656"/>
      <c r="U285" s="39" t="s">
        <v>46</v>
      </c>
      <c r="V285" s="39" t="s">
        <v>46</v>
      </c>
      <c r="W285" s="40" t="s">
        <v>0</v>
      </c>
      <c r="X285" s="58">
        <v>40</v>
      </c>
      <c r="Y285" s="55">
        <f t="shared" si="44"/>
        <v>40.799999999999997</v>
      </c>
      <c r="Z285" s="41">
        <f>IFERROR(IF(Y285=0,"",ROUNDUP(Y285/H285,0)*0.00651),"")</f>
        <v>0.11067</v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44.20000000000001</v>
      </c>
      <c r="BN285" s="78">
        <f t="shared" si="46"/>
        <v>45.084000000000003</v>
      </c>
      <c r="BO285" s="78">
        <f t="shared" si="47"/>
        <v>9.1575091575091583E-2</v>
      </c>
      <c r="BP285" s="78">
        <f t="shared" si="48"/>
        <v>9.3406593406593408E-2</v>
      </c>
    </row>
    <row r="286" spans="1:68" ht="27" customHeight="1" x14ac:dyDescent="0.25">
      <c r="A286" s="63" t="s">
        <v>494</v>
      </c>
      <c r="B286" s="63" t="s">
        <v>495</v>
      </c>
      <c r="C286" s="36">
        <v>4301051410</v>
      </c>
      <c r="D286" s="653">
        <v>4680115882164</v>
      </c>
      <c r="E286" s="653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78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55"/>
      <c r="R286" s="655"/>
      <c r="S286" s="655"/>
      <c r="T286" s="656"/>
      <c r="U286" s="39" t="s">
        <v>46</v>
      </c>
      <c r="V286" s="39" t="s">
        <v>46</v>
      </c>
      <c r="W286" s="40" t="s">
        <v>0</v>
      </c>
      <c r="X286" s="58">
        <v>200</v>
      </c>
      <c r="Y286" s="55">
        <f t="shared" si="44"/>
        <v>201.6</v>
      </c>
      <c r="Z286" s="41">
        <f>IFERROR(IF(Y286=0,"",ROUNDUP(Y286/H286,0)*0.00651),"")</f>
        <v>0.54683999999999999</v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221.50000000000003</v>
      </c>
      <c r="BN286" s="78">
        <f t="shared" si="46"/>
        <v>223.27200000000002</v>
      </c>
      <c r="BO286" s="78">
        <f t="shared" si="47"/>
        <v>0.45787545787545797</v>
      </c>
      <c r="BP286" s="78">
        <f t="shared" si="48"/>
        <v>0.46153846153846156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653">
        <v>4680115888340</v>
      </c>
      <c r="E287" s="653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78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55"/>
      <c r="R287" s="655"/>
      <c r="S287" s="655"/>
      <c r="T287" s="65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647"/>
      <c r="B288" s="647"/>
      <c r="C288" s="647"/>
      <c r="D288" s="647"/>
      <c r="E288" s="647"/>
      <c r="F288" s="647"/>
      <c r="G288" s="647"/>
      <c r="H288" s="647"/>
      <c r="I288" s="647"/>
      <c r="J288" s="647"/>
      <c r="K288" s="647"/>
      <c r="L288" s="647"/>
      <c r="M288" s="647"/>
      <c r="N288" s="647"/>
      <c r="O288" s="648"/>
      <c r="P288" s="644" t="s">
        <v>40</v>
      </c>
      <c r="Q288" s="645"/>
      <c r="R288" s="645"/>
      <c r="S288" s="645"/>
      <c r="T288" s="645"/>
      <c r="U288" s="645"/>
      <c r="V288" s="646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300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301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1.9595100000000001</v>
      </c>
      <c r="AA288" s="67"/>
      <c r="AB288" s="67"/>
      <c r="AC288" s="67"/>
    </row>
    <row r="289" spans="1:68" x14ac:dyDescent="0.2">
      <c r="A289" s="647"/>
      <c r="B289" s="647"/>
      <c r="C289" s="647"/>
      <c r="D289" s="647"/>
      <c r="E289" s="647"/>
      <c r="F289" s="647"/>
      <c r="G289" s="647"/>
      <c r="H289" s="647"/>
      <c r="I289" s="647"/>
      <c r="J289" s="647"/>
      <c r="K289" s="647"/>
      <c r="L289" s="647"/>
      <c r="M289" s="647"/>
      <c r="N289" s="647"/>
      <c r="O289" s="648"/>
      <c r="P289" s="644" t="s">
        <v>40</v>
      </c>
      <c r="Q289" s="645"/>
      <c r="R289" s="645"/>
      <c r="S289" s="645"/>
      <c r="T289" s="645"/>
      <c r="U289" s="645"/>
      <c r="V289" s="646"/>
      <c r="W289" s="42" t="s">
        <v>0</v>
      </c>
      <c r="X289" s="43">
        <f>IFERROR(SUM(X276:X287),"0")</f>
        <v>720</v>
      </c>
      <c r="Y289" s="43">
        <f>IFERROR(SUM(Y276:Y287),"0")</f>
        <v>722.4</v>
      </c>
      <c r="Z289" s="42"/>
      <c r="AA289" s="67"/>
      <c r="AB289" s="67"/>
      <c r="AC289" s="67"/>
    </row>
    <row r="290" spans="1:68" ht="14.25" hidden="1" customHeight="1" x14ac:dyDescent="0.25">
      <c r="A290" s="658" t="s">
        <v>173</v>
      </c>
      <c r="B290" s="658"/>
      <c r="C290" s="658"/>
      <c r="D290" s="658"/>
      <c r="E290" s="658"/>
      <c r="F290" s="658"/>
      <c r="G290" s="658"/>
      <c r="H290" s="658"/>
      <c r="I290" s="658"/>
      <c r="J290" s="658"/>
      <c r="K290" s="658"/>
      <c r="L290" s="658"/>
      <c r="M290" s="658"/>
      <c r="N290" s="658"/>
      <c r="O290" s="658"/>
      <c r="P290" s="658"/>
      <c r="Q290" s="658"/>
      <c r="R290" s="658"/>
      <c r="S290" s="658"/>
      <c r="T290" s="658"/>
      <c r="U290" s="658"/>
      <c r="V290" s="658"/>
      <c r="W290" s="658"/>
      <c r="X290" s="658"/>
      <c r="Y290" s="658"/>
      <c r="Z290" s="658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653">
        <v>4680115880818</v>
      </c>
      <c r="E291" s="65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7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55"/>
      <c r="R291" s="655"/>
      <c r="S291" s="655"/>
      <c r="T291" s="656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503</v>
      </c>
      <c r="B292" s="63" t="s">
        <v>504</v>
      </c>
      <c r="C292" s="36">
        <v>4301060389</v>
      </c>
      <c r="D292" s="653">
        <v>4680115880801</v>
      </c>
      <c r="E292" s="65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55"/>
      <c r="R292" s="655"/>
      <c r="S292" s="655"/>
      <c r="T292" s="656"/>
      <c r="U292" s="39" t="s">
        <v>46</v>
      </c>
      <c r="V292" s="39" t="s">
        <v>46</v>
      </c>
      <c r="W292" s="40" t="s">
        <v>0</v>
      </c>
      <c r="X292" s="58">
        <v>100</v>
      </c>
      <c r="Y292" s="55">
        <f>IFERROR(IF(X292="",0,CEILING((X292/$H292),1)*$H292),"")</f>
        <v>100.8</v>
      </c>
      <c r="Z292" s="41">
        <f>IFERROR(IF(Y292=0,"",ROUNDUP(Y292/H292,0)*0.00651),"")</f>
        <v>0.27342</v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110.5</v>
      </c>
      <c r="BN292" s="78">
        <f>IFERROR(Y292*I292/H292,"0")</f>
        <v>111.384</v>
      </c>
      <c r="BO292" s="78">
        <f>IFERROR(1/J292*(X292/H292),"0")</f>
        <v>0.22893772893772898</v>
      </c>
      <c r="BP292" s="78">
        <f>IFERROR(1/J292*(Y292/H292),"0")</f>
        <v>0.23076923076923078</v>
      </c>
    </row>
    <row r="293" spans="1:68" x14ac:dyDescent="0.2">
      <c r="A293" s="647"/>
      <c r="B293" s="647"/>
      <c r="C293" s="647"/>
      <c r="D293" s="647"/>
      <c r="E293" s="647"/>
      <c r="F293" s="647"/>
      <c r="G293" s="647"/>
      <c r="H293" s="647"/>
      <c r="I293" s="647"/>
      <c r="J293" s="647"/>
      <c r="K293" s="647"/>
      <c r="L293" s="647"/>
      <c r="M293" s="647"/>
      <c r="N293" s="647"/>
      <c r="O293" s="648"/>
      <c r="P293" s="644" t="s">
        <v>40</v>
      </c>
      <c r="Q293" s="645"/>
      <c r="R293" s="645"/>
      <c r="S293" s="645"/>
      <c r="T293" s="645"/>
      <c r="U293" s="645"/>
      <c r="V293" s="646"/>
      <c r="W293" s="42" t="s">
        <v>39</v>
      </c>
      <c r="X293" s="43">
        <f>IFERROR(X291/H291,"0")+IFERROR(X292/H292,"0")</f>
        <v>41.666666666666671</v>
      </c>
      <c r="Y293" s="43">
        <f>IFERROR(Y291/H291,"0")+IFERROR(Y292/H292,"0")</f>
        <v>42</v>
      </c>
      <c r="Z293" s="43">
        <f>IFERROR(IF(Z291="",0,Z291),"0")+IFERROR(IF(Z292="",0,Z292),"0")</f>
        <v>0.27342</v>
      </c>
      <c r="AA293" s="67"/>
      <c r="AB293" s="67"/>
      <c r="AC293" s="67"/>
    </row>
    <row r="294" spans="1:68" x14ac:dyDescent="0.2">
      <c r="A294" s="647"/>
      <c r="B294" s="647"/>
      <c r="C294" s="647"/>
      <c r="D294" s="647"/>
      <c r="E294" s="647"/>
      <c r="F294" s="647"/>
      <c r="G294" s="647"/>
      <c r="H294" s="647"/>
      <c r="I294" s="647"/>
      <c r="J294" s="647"/>
      <c r="K294" s="647"/>
      <c r="L294" s="647"/>
      <c r="M294" s="647"/>
      <c r="N294" s="647"/>
      <c r="O294" s="648"/>
      <c r="P294" s="644" t="s">
        <v>40</v>
      </c>
      <c r="Q294" s="645"/>
      <c r="R294" s="645"/>
      <c r="S294" s="645"/>
      <c r="T294" s="645"/>
      <c r="U294" s="645"/>
      <c r="V294" s="646"/>
      <c r="W294" s="42" t="s">
        <v>0</v>
      </c>
      <c r="X294" s="43">
        <f>IFERROR(SUM(X291:X292),"0")</f>
        <v>100</v>
      </c>
      <c r="Y294" s="43">
        <f>IFERROR(SUM(Y291:Y292),"0")</f>
        <v>100.8</v>
      </c>
      <c r="Z294" s="42"/>
      <c r="AA294" s="67"/>
      <c r="AB294" s="67"/>
      <c r="AC294" s="67"/>
    </row>
    <row r="295" spans="1:68" ht="16.5" hidden="1" customHeight="1" x14ac:dyDescent="0.25">
      <c r="A295" s="657" t="s">
        <v>506</v>
      </c>
      <c r="B295" s="657"/>
      <c r="C295" s="657"/>
      <c r="D295" s="657"/>
      <c r="E295" s="657"/>
      <c r="F295" s="657"/>
      <c r="G295" s="657"/>
      <c r="H295" s="657"/>
      <c r="I295" s="657"/>
      <c r="J295" s="657"/>
      <c r="K295" s="657"/>
      <c r="L295" s="657"/>
      <c r="M295" s="657"/>
      <c r="N295" s="657"/>
      <c r="O295" s="657"/>
      <c r="P295" s="657"/>
      <c r="Q295" s="657"/>
      <c r="R295" s="657"/>
      <c r="S295" s="657"/>
      <c r="T295" s="657"/>
      <c r="U295" s="657"/>
      <c r="V295" s="657"/>
      <c r="W295" s="657"/>
      <c r="X295" s="657"/>
      <c r="Y295" s="657"/>
      <c r="Z295" s="657"/>
      <c r="AA295" s="65"/>
      <c r="AB295" s="65"/>
      <c r="AC295" s="79"/>
    </row>
    <row r="296" spans="1:68" ht="14.25" hidden="1" customHeight="1" x14ac:dyDescent="0.25">
      <c r="A296" s="658" t="s">
        <v>123</v>
      </c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8"/>
      <c r="P296" s="658"/>
      <c r="Q296" s="658"/>
      <c r="R296" s="658"/>
      <c r="S296" s="658"/>
      <c r="T296" s="658"/>
      <c r="U296" s="658"/>
      <c r="V296" s="658"/>
      <c r="W296" s="658"/>
      <c r="X296" s="658"/>
      <c r="Y296" s="658"/>
      <c r="Z296" s="658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653">
        <v>4680115884137</v>
      </c>
      <c r="E297" s="653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78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55"/>
      <c r="R297" s="655"/>
      <c r="S297" s="655"/>
      <c r="T297" s="65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653">
        <v>4680115884236</v>
      </c>
      <c r="E298" s="653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55"/>
      <c r="R298" s="655"/>
      <c r="S298" s="655"/>
      <c r="T298" s="65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653">
        <v>4680115884175</v>
      </c>
      <c r="E299" s="653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78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55"/>
      <c r="R299" s="655"/>
      <c r="S299" s="655"/>
      <c r="T299" s="656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653">
        <v>4680115884144</v>
      </c>
      <c r="E300" s="653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78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55"/>
      <c r="R300" s="655"/>
      <c r="S300" s="655"/>
      <c r="T300" s="656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653">
        <v>4680115886551</v>
      </c>
      <c r="E301" s="653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77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55"/>
      <c r="R301" s="655"/>
      <c r="S301" s="655"/>
      <c r="T301" s="656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653">
        <v>4680115887282</v>
      </c>
      <c r="E302" s="653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77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55"/>
      <c r="R302" s="655"/>
      <c r="S302" s="655"/>
      <c r="T302" s="656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653">
        <v>4680115884205</v>
      </c>
      <c r="E303" s="653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77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55"/>
      <c r="R303" s="655"/>
      <c r="S303" s="655"/>
      <c r="T303" s="65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647"/>
      <c r="B304" s="647"/>
      <c r="C304" s="647"/>
      <c r="D304" s="647"/>
      <c r="E304" s="647"/>
      <c r="F304" s="647"/>
      <c r="G304" s="647"/>
      <c r="H304" s="647"/>
      <c r="I304" s="647"/>
      <c r="J304" s="647"/>
      <c r="K304" s="647"/>
      <c r="L304" s="647"/>
      <c r="M304" s="647"/>
      <c r="N304" s="647"/>
      <c r="O304" s="648"/>
      <c r="P304" s="644" t="s">
        <v>40</v>
      </c>
      <c r="Q304" s="645"/>
      <c r="R304" s="645"/>
      <c r="S304" s="645"/>
      <c r="T304" s="645"/>
      <c r="U304" s="645"/>
      <c r="V304" s="646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7"/>
      <c r="B305" s="647"/>
      <c r="C305" s="647"/>
      <c r="D305" s="647"/>
      <c r="E305" s="647"/>
      <c r="F305" s="647"/>
      <c r="G305" s="647"/>
      <c r="H305" s="647"/>
      <c r="I305" s="647"/>
      <c r="J305" s="647"/>
      <c r="K305" s="647"/>
      <c r="L305" s="647"/>
      <c r="M305" s="647"/>
      <c r="N305" s="647"/>
      <c r="O305" s="648"/>
      <c r="P305" s="644" t="s">
        <v>40</v>
      </c>
      <c r="Q305" s="645"/>
      <c r="R305" s="645"/>
      <c r="S305" s="645"/>
      <c r="T305" s="645"/>
      <c r="U305" s="645"/>
      <c r="V305" s="646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8" t="s">
        <v>156</v>
      </c>
      <c r="B306" s="658"/>
      <c r="C306" s="658"/>
      <c r="D306" s="658"/>
      <c r="E306" s="658"/>
      <c r="F306" s="658"/>
      <c r="G306" s="658"/>
      <c r="H306" s="658"/>
      <c r="I306" s="658"/>
      <c r="J306" s="658"/>
      <c r="K306" s="658"/>
      <c r="L306" s="658"/>
      <c r="M306" s="658"/>
      <c r="N306" s="658"/>
      <c r="O306" s="658"/>
      <c r="P306" s="658"/>
      <c r="Q306" s="658"/>
      <c r="R306" s="658"/>
      <c r="S306" s="658"/>
      <c r="T306" s="658"/>
      <c r="U306" s="658"/>
      <c r="V306" s="658"/>
      <c r="W306" s="658"/>
      <c r="X306" s="658"/>
      <c r="Y306" s="658"/>
      <c r="Z306" s="658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653">
        <v>4680115885981</v>
      </c>
      <c r="E307" s="653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77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55"/>
      <c r="R307" s="655"/>
      <c r="S307" s="655"/>
      <c r="T307" s="656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7"/>
      <c r="B308" s="647"/>
      <c r="C308" s="647"/>
      <c r="D308" s="647"/>
      <c r="E308" s="647"/>
      <c r="F308" s="647"/>
      <c r="G308" s="647"/>
      <c r="H308" s="647"/>
      <c r="I308" s="647"/>
      <c r="J308" s="647"/>
      <c r="K308" s="647"/>
      <c r="L308" s="647"/>
      <c r="M308" s="647"/>
      <c r="N308" s="647"/>
      <c r="O308" s="648"/>
      <c r="P308" s="644" t="s">
        <v>40</v>
      </c>
      <c r="Q308" s="645"/>
      <c r="R308" s="645"/>
      <c r="S308" s="645"/>
      <c r="T308" s="645"/>
      <c r="U308" s="645"/>
      <c r="V308" s="646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7"/>
      <c r="B309" s="647"/>
      <c r="C309" s="647"/>
      <c r="D309" s="647"/>
      <c r="E309" s="647"/>
      <c r="F309" s="647"/>
      <c r="G309" s="647"/>
      <c r="H309" s="647"/>
      <c r="I309" s="647"/>
      <c r="J309" s="647"/>
      <c r="K309" s="647"/>
      <c r="L309" s="647"/>
      <c r="M309" s="647"/>
      <c r="N309" s="647"/>
      <c r="O309" s="648"/>
      <c r="P309" s="644" t="s">
        <v>40</v>
      </c>
      <c r="Q309" s="645"/>
      <c r="R309" s="645"/>
      <c r="S309" s="645"/>
      <c r="T309" s="645"/>
      <c r="U309" s="645"/>
      <c r="V309" s="646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8" t="s">
        <v>528</v>
      </c>
      <c r="B310" s="658"/>
      <c r="C310" s="658"/>
      <c r="D310" s="658"/>
      <c r="E310" s="658"/>
      <c r="F310" s="658"/>
      <c r="G310" s="658"/>
      <c r="H310" s="658"/>
      <c r="I310" s="658"/>
      <c r="J310" s="658"/>
      <c r="K310" s="658"/>
      <c r="L310" s="658"/>
      <c r="M310" s="658"/>
      <c r="N310" s="658"/>
      <c r="O310" s="658"/>
      <c r="P310" s="658"/>
      <c r="Q310" s="658"/>
      <c r="R310" s="658"/>
      <c r="S310" s="658"/>
      <c r="T310" s="658"/>
      <c r="U310" s="658"/>
      <c r="V310" s="658"/>
      <c r="W310" s="658"/>
      <c r="X310" s="658"/>
      <c r="Y310" s="658"/>
      <c r="Z310" s="658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653">
        <v>4680115886803</v>
      </c>
      <c r="E311" s="653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77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55"/>
      <c r="R311" s="655"/>
      <c r="S311" s="655"/>
      <c r="T311" s="656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7"/>
      <c r="B312" s="647"/>
      <c r="C312" s="647"/>
      <c r="D312" s="647"/>
      <c r="E312" s="647"/>
      <c r="F312" s="647"/>
      <c r="G312" s="647"/>
      <c r="H312" s="647"/>
      <c r="I312" s="647"/>
      <c r="J312" s="647"/>
      <c r="K312" s="647"/>
      <c r="L312" s="647"/>
      <c r="M312" s="647"/>
      <c r="N312" s="647"/>
      <c r="O312" s="648"/>
      <c r="P312" s="644" t="s">
        <v>40</v>
      </c>
      <c r="Q312" s="645"/>
      <c r="R312" s="645"/>
      <c r="S312" s="645"/>
      <c r="T312" s="645"/>
      <c r="U312" s="645"/>
      <c r="V312" s="64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7"/>
      <c r="B313" s="647"/>
      <c r="C313" s="647"/>
      <c r="D313" s="647"/>
      <c r="E313" s="647"/>
      <c r="F313" s="647"/>
      <c r="G313" s="647"/>
      <c r="H313" s="647"/>
      <c r="I313" s="647"/>
      <c r="J313" s="647"/>
      <c r="K313" s="647"/>
      <c r="L313" s="647"/>
      <c r="M313" s="647"/>
      <c r="N313" s="647"/>
      <c r="O313" s="648"/>
      <c r="P313" s="644" t="s">
        <v>40</v>
      </c>
      <c r="Q313" s="645"/>
      <c r="R313" s="645"/>
      <c r="S313" s="645"/>
      <c r="T313" s="645"/>
      <c r="U313" s="645"/>
      <c r="V313" s="64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8" t="s">
        <v>345</v>
      </c>
      <c r="B314" s="658"/>
      <c r="C314" s="658"/>
      <c r="D314" s="658"/>
      <c r="E314" s="658"/>
      <c r="F314" s="658"/>
      <c r="G314" s="658"/>
      <c r="H314" s="658"/>
      <c r="I314" s="658"/>
      <c r="J314" s="658"/>
      <c r="K314" s="658"/>
      <c r="L314" s="658"/>
      <c r="M314" s="658"/>
      <c r="N314" s="658"/>
      <c r="O314" s="658"/>
      <c r="P314" s="658"/>
      <c r="Q314" s="658"/>
      <c r="R314" s="658"/>
      <c r="S314" s="658"/>
      <c r="T314" s="658"/>
      <c r="U314" s="658"/>
      <c r="V314" s="658"/>
      <c r="W314" s="658"/>
      <c r="X314" s="658"/>
      <c r="Y314" s="658"/>
      <c r="Z314" s="658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653">
        <v>4680115886704</v>
      </c>
      <c r="E315" s="653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7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55"/>
      <c r="R315" s="655"/>
      <c r="S315" s="655"/>
      <c r="T315" s="656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653">
        <v>4680115886681</v>
      </c>
      <c r="E316" s="653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77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5"/>
      <c r="R316" s="655"/>
      <c r="S316" s="655"/>
      <c r="T316" s="656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653">
        <v>4680115886735</v>
      </c>
      <c r="E317" s="653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77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55"/>
      <c r="R317" s="655"/>
      <c r="S317" s="655"/>
      <c r="T317" s="65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647"/>
      <c r="B318" s="647"/>
      <c r="C318" s="647"/>
      <c r="D318" s="647"/>
      <c r="E318" s="647"/>
      <c r="F318" s="647"/>
      <c r="G318" s="647"/>
      <c r="H318" s="647"/>
      <c r="I318" s="647"/>
      <c r="J318" s="647"/>
      <c r="K318" s="647"/>
      <c r="L318" s="647"/>
      <c r="M318" s="647"/>
      <c r="N318" s="647"/>
      <c r="O318" s="648"/>
      <c r="P318" s="644" t="s">
        <v>40</v>
      </c>
      <c r="Q318" s="645"/>
      <c r="R318" s="645"/>
      <c r="S318" s="645"/>
      <c r="T318" s="645"/>
      <c r="U318" s="645"/>
      <c r="V318" s="646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647"/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8"/>
      <c r="P319" s="644" t="s">
        <v>40</v>
      </c>
      <c r="Q319" s="645"/>
      <c r="R319" s="645"/>
      <c r="S319" s="645"/>
      <c r="T319" s="645"/>
      <c r="U319" s="645"/>
      <c r="V319" s="646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657" t="s">
        <v>539</v>
      </c>
      <c r="B320" s="657"/>
      <c r="C320" s="657"/>
      <c r="D320" s="657"/>
      <c r="E320" s="657"/>
      <c r="F320" s="657"/>
      <c r="G320" s="657"/>
      <c r="H320" s="657"/>
      <c r="I320" s="657"/>
      <c r="J320" s="657"/>
      <c r="K320" s="657"/>
      <c r="L320" s="657"/>
      <c r="M320" s="657"/>
      <c r="N320" s="657"/>
      <c r="O320" s="657"/>
      <c r="P320" s="657"/>
      <c r="Q320" s="657"/>
      <c r="R320" s="657"/>
      <c r="S320" s="657"/>
      <c r="T320" s="657"/>
      <c r="U320" s="657"/>
      <c r="V320" s="657"/>
      <c r="W320" s="657"/>
      <c r="X320" s="657"/>
      <c r="Y320" s="657"/>
      <c r="Z320" s="657"/>
      <c r="AA320" s="65"/>
      <c r="AB320" s="65"/>
      <c r="AC320" s="79"/>
    </row>
    <row r="321" spans="1:68" ht="14.25" hidden="1" customHeight="1" x14ac:dyDescent="0.25">
      <c r="A321" s="658" t="s">
        <v>123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653">
        <v>4680115885837</v>
      </c>
      <c r="E322" s="653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77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5"/>
      <c r="R322" s="655"/>
      <c r="S322" s="655"/>
      <c r="T322" s="65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653">
        <v>4680115887237</v>
      </c>
      <c r="E323" s="653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77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5"/>
      <c r="R323" s="655"/>
      <c r="S323" s="655"/>
      <c r="T323" s="656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653">
        <v>4680115885806</v>
      </c>
      <c r="E324" s="653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5"/>
      <c r="R324" s="655"/>
      <c r="S324" s="655"/>
      <c r="T324" s="656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653">
        <v>4680115885844</v>
      </c>
      <c r="E325" s="653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76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5"/>
      <c r="R325" s="655"/>
      <c r="S325" s="655"/>
      <c r="T325" s="656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653">
        <v>4680115885820</v>
      </c>
      <c r="E326" s="653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7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5"/>
      <c r="R326" s="655"/>
      <c r="S326" s="655"/>
      <c r="T326" s="65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647"/>
      <c r="B327" s="647"/>
      <c r="C327" s="647"/>
      <c r="D327" s="647"/>
      <c r="E327" s="647"/>
      <c r="F327" s="647"/>
      <c r="G327" s="647"/>
      <c r="H327" s="647"/>
      <c r="I327" s="647"/>
      <c r="J327" s="647"/>
      <c r="K327" s="647"/>
      <c r="L327" s="647"/>
      <c r="M327" s="647"/>
      <c r="N327" s="647"/>
      <c r="O327" s="648"/>
      <c r="P327" s="644" t="s">
        <v>40</v>
      </c>
      <c r="Q327" s="645"/>
      <c r="R327" s="645"/>
      <c r="S327" s="645"/>
      <c r="T327" s="645"/>
      <c r="U327" s="645"/>
      <c r="V327" s="646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647"/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8"/>
      <c r="P328" s="644" t="s">
        <v>40</v>
      </c>
      <c r="Q328" s="645"/>
      <c r="R328" s="645"/>
      <c r="S328" s="645"/>
      <c r="T328" s="645"/>
      <c r="U328" s="645"/>
      <c r="V328" s="646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657" t="s">
        <v>555</v>
      </c>
      <c r="B329" s="657"/>
      <c r="C329" s="657"/>
      <c r="D329" s="657"/>
      <c r="E329" s="657"/>
      <c r="F329" s="657"/>
      <c r="G329" s="657"/>
      <c r="H329" s="657"/>
      <c r="I329" s="657"/>
      <c r="J329" s="657"/>
      <c r="K329" s="657"/>
      <c r="L329" s="657"/>
      <c r="M329" s="657"/>
      <c r="N329" s="657"/>
      <c r="O329" s="657"/>
      <c r="P329" s="657"/>
      <c r="Q329" s="657"/>
      <c r="R329" s="657"/>
      <c r="S329" s="657"/>
      <c r="T329" s="657"/>
      <c r="U329" s="657"/>
      <c r="V329" s="657"/>
      <c r="W329" s="657"/>
      <c r="X329" s="657"/>
      <c r="Y329" s="657"/>
      <c r="Z329" s="657"/>
      <c r="AA329" s="65"/>
      <c r="AB329" s="65"/>
      <c r="AC329" s="79"/>
    </row>
    <row r="330" spans="1:68" ht="14.25" hidden="1" customHeight="1" x14ac:dyDescent="0.25">
      <c r="A330" s="658" t="s">
        <v>85</v>
      </c>
      <c r="B330" s="658"/>
      <c r="C330" s="658"/>
      <c r="D330" s="658"/>
      <c r="E330" s="658"/>
      <c r="F330" s="658"/>
      <c r="G330" s="658"/>
      <c r="H330" s="658"/>
      <c r="I330" s="658"/>
      <c r="J330" s="658"/>
      <c r="K330" s="658"/>
      <c r="L330" s="658"/>
      <c r="M330" s="658"/>
      <c r="N330" s="658"/>
      <c r="O330" s="658"/>
      <c r="P330" s="658"/>
      <c r="Q330" s="658"/>
      <c r="R330" s="658"/>
      <c r="S330" s="658"/>
      <c r="T330" s="658"/>
      <c r="U330" s="658"/>
      <c r="V330" s="658"/>
      <c r="W330" s="658"/>
      <c r="X330" s="658"/>
      <c r="Y330" s="658"/>
      <c r="Z330" s="658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653">
        <v>4680115886186</v>
      </c>
      <c r="E331" s="653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76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5"/>
      <c r="R331" s="655"/>
      <c r="S331" s="655"/>
      <c r="T331" s="656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customHeight="1" x14ac:dyDescent="0.25">
      <c r="A332" s="63" t="s">
        <v>559</v>
      </c>
      <c r="B332" s="63" t="s">
        <v>560</v>
      </c>
      <c r="C332" s="36">
        <v>4301051795</v>
      </c>
      <c r="D332" s="653">
        <v>4680115881228</v>
      </c>
      <c r="E332" s="653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76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5"/>
      <c r="R332" s="655"/>
      <c r="S332" s="655"/>
      <c r="T332" s="656"/>
      <c r="U332" s="39" t="s">
        <v>46</v>
      </c>
      <c r="V332" s="39" t="s">
        <v>46</v>
      </c>
      <c r="W332" s="40" t="s">
        <v>0</v>
      </c>
      <c r="X332" s="58">
        <v>80</v>
      </c>
      <c r="Y332" s="55">
        <f>IFERROR(IF(X332="",0,CEILING((X332/$H332),1)*$H332),"")</f>
        <v>81.599999999999994</v>
      </c>
      <c r="Z332" s="41">
        <f>IFERROR(IF(Y332=0,"",ROUNDUP(Y332/H332,0)*0.00651),"")</f>
        <v>0.22134000000000001</v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88.40000000000002</v>
      </c>
      <c r="BN332" s="78">
        <f>IFERROR(Y332*I332/H332,"0")</f>
        <v>90.168000000000006</v>
      </c>
      <c r="BO332" s="78">
        <f>IFERROR(1/J332*(X332/H332),"0")</f>
        <v>0.18315018315018317</v>
      </c>
      <c r="BP332" s="78">
        <f>IFERROR(1/J332*(Y332/H332),"0")</f>
        <v>0.18681318681318682</v>
      </c>
    </row>
    <row r="333" spans="1:68" ht="27" customHeight="1" x14ac:dyDescent="0.25">
      <c r="A333" s="63" t="s">
        <v>562</v>
      </c>
      <c r="B333" s="63" t="s">
        <v>563</v>
      </c>
      <c r="C333" s="36">
        <v>4301051388</v>
      </c>
      <c r="D333" s="653">
        <v>4680115881211</v>
      </c>
      <c r="E333" s="653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76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5"/>
      <c r="R333" s="655"/>
      <c r="S333" s="655"/>
      <c r="T333" s="656"/>
      <c r="U333" s="39" t="s">
        <v>46</v>
      </c>
      <c r="V333" s="39" t="s">
        <v>46</v>
      </c>
      <c r="W333" s="40" t="s">
        <v>0</v>
      </c>
      <c r="X333" s="58">
        <v>400</v>
      </c>
      <c r="Y333" s="55">
        <f>IFERROR(IF(X333="",0,CEILING((X333/$H333),1)*$H333),"")</f>
        <v>400.8</v>
      </c>
      <c r="Z333" s="41">
        <f>IFERROR(IF(Y333=0,"",ROUNDUP(Y333/H333,0)*0.00651),"")</f>
        <v>1.08717</v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430</v>
      </c>
      <c r="BN333" s="78">
        <f>IFERROR(Y333*I333/H333,"0")</f>
        <v>430.86000000000007</v>
      </c>
      <c r="BO333" s="78">
        <f>IFERROR(1/J333*(X333/H333),"0")</f>
        <v>0.91575091575091594</v>
      </c>
      <c r="BP333" s="78">
        <f>IFERROR(1/J333*(Y333/H333),"0")</f>
        <v>0.91758241758241765</v>
      </c>
    </row>
    <row r="334" spans="1:68" x14ac:dyDescent="0.2">
      <c r="A334" s="647"/>
      <c r="B334" s="647"/>
      <c r="C334" s="647"/>
      <c r="D334" s="647"/>
      <c r="E334" s="647"/>
      <c r="F334" s="647"/>
      <c r="G334" s="647"/>
      <c r="H334" s="647"/>
      <c r="I334" s="647"/>
      <c r="J334" s="647"/>
      <c r="K334" s="647"/>
      <c r="L334" s="647"/>
      <c r="M334" s="647"/>
      <c r="N334" s="647"/>
      <c r="O334" s="648"/>
      <c r="P334" s="644" t="s">
        <v>40</v>
      </c>
      <c r="Q334" s="645"/>
      <c r="R334" s="645"/>
      <c r="S334" s="645"/>
      <c r="T334" s="645"/>
      <c r="U334" s="645"/>
      <c r="V334" s="646"/>
      <c r="W334" s="42" t="s">
        <v>39</v>
      </c>
      <c r="X334" s="43">
        <f>IFERROR(X331/H331,"0")+IFERROR(X332/H332,"0")+IFERROR(X333/H333,"0")</f>
        <v>200.00000000000003</v>
      </c>
      <c r="Y334" s="43">
        <f>IFERROR(Y331/H331,"0")+IFERROR(Y332/H332,"0")+IFERROR(Y333/H333,"0")</f>
        <v>201</v>
      </c>
      <c r="Z334" s="43">
        <f>IFERROR(IF(Z331="",0,Z331),"0")+IFERROR(IF(Z332="",0,Z332),"0")+IFERROR(IF(Z333="",0,Z333),"0")</f>
        <v>1.3085100000000001</v>
      </c>
      <c r="AA334" s="67"/>
      <c r="AB334" s="67"/>
      <c r="AC334" s="67"/>
    </row>
    <row r="335" spans="1:68" x14ac:dyDescent="0.2">
      <c r="A335" s="647"/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8"/>
      <c r="P335" s="644" t="s">
        <v>40</v>
      </c>
      <c r="Q335" s="645"/>
      <c r="R335" s="645"/>
      <c r="S335" s="645"/>
      <c r="T335" s="645"/>
      <c r="U335" s="645"/>
      <c r="V335" s="646"/>
      <c r="W335" s="42" t="s">
        <v>0</v>
      </c>
      <c r="X335" s="43">
        <f>IFERROR(SUM(X331:X333),"0")</f>
        <v>480</v>
      </c>
      <c r="Y335" s="43">
        <f>IFERROR(SUM(Y331:Y333),"0")</f>
        <v>482.4</v>
      </c>
      <c r="Z335" s="42"/>
      <c r="AA335" s="67"/>
      <c r="AB335" s="67"/>
      <c r="AC335" s="67"/>
    </row>
    <row r="336" spans="1:68" ht="16.5" hidden="1" customHeight="1" x14ac:dyDescent="0.25">
      <c r="A336" s="657" t="s">
        <v>564</v>
      </c>
      <c r="B336" s="657"/>
      <c r="C336" s="657"/>
      <c r="D336" s="657"/>
      <c r="E336" s="657"/>
      <c r="F336" s="657"/>
      <c r="G336" s="657"/>
      <c r="H336" s="657"/>
      <c r="I336" s="657"/>
      <c r="J336" s="657"/>
      <c r="K336" s="657"/>
      <c r="L336" s="657"/>
      <c r="M336" s="657"/>
      <c r="N336" s="657"/>
      <c r="O336" s="657"/>
      <c r="P336" s="657"/>
      <c r="Q336" s="657"/>
      <c r="R336" s="657"/>
      <c r="S336" s="657"/>
      <c r="T336" s="657"/>
      <c r="U336" s="657"/>
      <c r="V336" s="657"/>
      <c r="W336" s="657"/>
      <c r="X336" s="657"/>
      <c r="Y336" s="657"/>
      <c r="Z336" s="657"/>
      <c r="AA336" s="65"/>
      <c r="AB336" s="65"/>
      <c r="AC336" s="79"/>
    </row>
    <row r="337" spans="1:68" ht="14.25" hidden="1" customHeight="1" x14ac:dyDescent="0.25">
      <c r="A337" s="658" t="s">
        <v>76</v>
      </c>
      <c r="B337" s="658"/>
      <c r="C337" s="658"/>
      <c r="D337" s="658"/>
      <c r="E337" s="658"/>
      <c r="F337" s="658"/>
      <c r="G337" s="658"/>
      <c r="H337" s="658"/>
      <c r="I337" s="658"/>
      <c r="J337" s="658"/>
      <c r="K337" s="658"/>
      <c r="L337" s="658"/>
      <c r="M337" s="658"/>
      <c r="N337" s="658"/>
      <c r="O337" s="658"/>
      <c r="P337" s="658"/>
      <c r="Q337" s="658"/>
      <c r="R337" s="658"/>
      <c r="S337" s="658"/>
      <c r="T337" s="658"/>
      <c r="U337" s="658"/>
      <c r="V337" s="658"/>
      <c r="W337" s="658"/>
      <c r="X337" s="658"/>
      <c r="Y337" s="658"/>
      <c r="Z337" s="658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653">
        <v>4680115888319</v>
      </c>
      <c r="E338" s="653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76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5"/>
      <c r="R338" s="655"/>
      <c r="S338" s="655"/>
      <c r="T338" s="65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653">
        <v>4680115884700</v>
      </c>
      <c r="E339" s="653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76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5"/>
      <c r="R339" s="655"/>
      <c r="S339" s="655"/>
      <c r="T339" s="656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653">
        <v>4680115880344</v>
      </c>
      <c r="E340" s="653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76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5"/>
      <c r="R340" s="655"/>
      <c r="S340" s="655"/>
      <c r="T340" s="656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653">
        <v>4680115886919</v>
      </c>
      <c r="E341" s="653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76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5"/>
      <c r="R341" s="655"/>
      <c r="S341" s="655"/>
      <c r="T341" s="656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653">
        <v>4680115883970</v>
      </c>
      <c r="E342" s="653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7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5"/>
      <c r="R342" s="655"/>
      <c r="S342" s="655"/>
      <c r="T342" s="65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647"/>
      <c r="B343" s="647"/>
      <c r="C343" s="647"/>
      <c r="D343" s="647"/>
      <c r="E343" s="647"/>
      <c r="F343" s="647"/>
      <c r="G343" s="647"/>
      <c r="H343" s="647"/>
      <c r="I343" s="647"/>
      <c r="J343" s="647"/>
      <c r="K343" s="647"/>
      <c r="L343" s="647"/>
      <c r="M343" s="647"/>
      <c r="N343" s="647"/>
      <c r="O343" s="648"/>
      <c r="P343" s="644" t="s">
        <v>40</v>
      </c>
      <c r="Q343" s="645"/>
      <c r="R343" s="645"/>
      <c r="S343" s="645"/>
      <c r="T343" s="645"/>
      <c r="U343" s="645"/>
      <c r="V343" s="64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647"/>
      <c r="B344" s="647"/>
      <c r="C344" s="647"/>
      <c r="D344" s="647"/>
      <c r="E344" s="647"/>
      <c r="F344" s="647"/>
      <c r="G344" s="647"/>
      <c r="H344" s="647"/>
      <c r="I344" s="647"/>
      <c r="J344" s="647"/>
      <c r="K344" s="647"/>
      <c r="L344" s="647"/>
      <c r="M344" s="647"/>
      <c r="N344" s="647"/>
      <c r="O344" s="648"/>
      <c r="P344" s="644" t="s">
        <v>40</v>
      </c>
      <c r="Q344" s="645"/>
      <c r="R344" s="645"/>
      <c r="S344" s="645"/>
      <c r="T344" s="645"/>
      <c r="U344" s="645"/>
      <c r="V344" s="64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658" t="s">
        <v>85</v>
      </c>
      <c r="B345" s="658"/>
      <c r="C345" s="658"/>
      <c r="D345" s="658"/>
      <c r="E345" s="658"/>
      <c r="F345" s="658"/>
      <c r="G345" s="658"/>
      <c r="H345" s="658"/>
      <c r="I345" s="658"/>
      <c r="J345" s="658"/>
      <c r="K345" s="658"/>
      <c r="L345" s="658"/>
      <c r="M345" s="658"/>
      <c r="N345" s="658"/>
      <c r="O345" s="658"/>
      <c r="P345" s="658"/>
      <c r="Q345" s="658"/>
      <c r="R345" s="658"/>
      <c r="S345" s="658"/>
      <c r="T345" s="658"/>
      <c r="U345" s="658"/>
      <c r="V345" s="658"/>
      <c r="W345" s="658"/>
      <c r="X345" s="658"/>
      <c r="Y345" s="658"/>
      <c r="Z345" s="658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653">
        <v>4680115884618</v>
      </c>
      <c r="E346" s="653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5"/>
      <c r="R346" s="655"/>
      <c r="S346" s="655"/>
      <c r="T346" s="65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653">
        <v>4680115887114</v>
      </c>
      <c r="E347" s="653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5"/>
      <c r="R347" s="655"/>
      <c r="S347" s="655"/>
      <c r="T347" s="65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647"/>
      <c r="B348" s="647"/>
      <c r="C348" s="647"/>
      <c r="D348" s="647"/>
      <c r="E348" s="647"/>
      <c r="F348" s="647"/>
      <c r="G348" s="647"/>
      <c r="H348" s="647"/>
      <c r="I348" s="647"/>
      <c r="J348" s="647"/>
      <c r="K348" s="647"/>
      <c r="L348" s="647"/>
      <c r="M348" s="647"/>
      <c r="N348" s="647"/>
      <c r="O348" s="648"/>
      <c r="P348" s="644" t="s">
        <v>40</v>
      </c>
      <c r="Q348" s="645"/>
      <c r="R348" s="645"/>
      <c r="S348" s="645"/>
      <c r="T348" s="645"/>
      <c r="U348" s="645"/>
      <c r="V348" s="64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647"/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8"/>
      <c r="P349" s="644" t="s">
        <v>40</v>
      </c>
      <c r="Q349" s="645"/>
      <c r="R349" s="645"/>
      <c r="S349" s="645"/>
      <c r="T349" s="645"/>
      <c r="U349" s="645"/>
      <c r="V349" s="64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657" t="s">
        <v>585</v>
      </c>
      <c r="B350" s="657"/>
      <c r="C350" s="657"/>
      <c r="D350" s="657"/>
      <c r="E350" s="657"/>
      <c r="F350" s="657"/>
      <c r="G350" s="657"/>
      <c r="H350" s="657"/>
      <c r="I350" s="657"/>
      <c r="J350" s="657"/>
      <c r="K350" s="657"/>
      <c r="L350" s="657"/>
      <c r="M350" s="657"/>
      <c r="N350" s="657"/>
      <c r="O350" s="657"/>
      <c r="P350" s="657"/>
      <c r="Q350" s="657"/>
      <c r="R350" s="657"/>
      <c r="S350" s="657"/>
      <c r="T350" s="657"/>
      <c r="U350" s="657"/>
      <c r="V350" s="657"/>
      <c r="W350" s="657"/>
      <c r="X350" s="657"/>
      <c r="Y350" s="657"/>
      <c r="Z350" s="657"/>
      <c r="AA350" s="65"/>
      <c r="AB350" s="65"/>
      <c r="AC350" s="79"/>
    </row>
    <row r="351" spans="1:68" ht="14.25" hidden="1" customHeight="1" x14ac:dyDescent="0.25">
      <c r="A351" s="658" t="s">
        <v>123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6"/>
      <c r="AB351" s="66"/>
      <c r="AC351" s="80"/>
    </row>
    <row r="352" spans="1:68" ht="27" customHeight="1" x14ac:dyDescent="0.25">
      <c r="A352" s="63" t="s">
        <v>586</v>
      </c>
      <c r="B352" s="63" t="s">
        <v>587</v>
      </c>
      <c r="C352" s="36">
        <v>4301012324</v>
      </c>
      <c r="D352" s="653">
        <v>4680115887947</v>
      </c>
      <c r="E352" s="653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5"/>
      <c r="R352" s="655"/>
      <c r="S352" s="655"/>
      <c r="T352" s="656"/>
      <c r="U352" s="39" t="s">
        <v>46</v>
      </c>
      <c r="V352" s="39" t="s">
        <v>46</v>
      </c>
      <c r="W352" s="40" t="s">
        <v>0</v>
      </c>
      <c r="X352" s="58">
        <v>200</v>
      </c>
      <c r="Y352" s="55">
        <f>IFERROR(IF(X352="",0,CEILING((X352/$H352),1)*$H352),"")</f>
        <v>202.79999999999998</v>
      </c>
      <c r="Z352" s="41">
        <f>IFERROR(IF(Y352=0,"",ROUNDUP(Y352/H352,0)*0.01898),"")</f>
        <v>0.49348000000000003</v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210.51282051282055</v>
      </c>
      <c r="BN352" s="78">
        <f>IFERROR(Y352*I352/H352,"0")</f>
        <v>213.46</v>
      </c>
      <c r="BO352" s="78">
        <f>IFERROR(1/J352*(X352/H352),"0")</f>
        <v>0.40064102564102566</v>
      </c>
      <c r="BP352" s="78">
        <f>IFERROR(1/J352*(Y352/H352),"0")</f>
        <v>0.40625</v>
      </c>
    </row>
    <row r="353" spans="1:68" ht="27" customHeight="1" x14ac:dyDescent="0.25">
      <c r="A353" s="63" t="s">
        <v>588</v>
      </c>
      <c r="B353" s="63" t="s">
        <v>589</v>
      </c>
      <c r="C353" s="36">
        <v>4301012325</v>
      </c>
      <c r="D353" s="653">
        <v>4680115887978</v>
      </c>
      <c r="E353" s="653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75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5"/>
      <c r="R353" s="655"/>
      <c r="S353" s="655"/>
      <c r="T353" s="656"/>
      <c r="U353" s="39" t="s">
        <v>46</v>
      </c>
      <c r="V353" s="39" t="s">
        <v>46</v>
      </c>
      <c r="W353" s="40" t="s">
        <v>0</v>
      </c>
      <c r="X353" s="58">
        <v>150</v>
      </c>
      <c r="Y353" s="55">
        <f>IFERROR(IF(X353="",0,CEILING((X353/$H353),1)*$H353),"")</f>
        <v>156</v>
      </c>
      <c r="Z353" s="41">
        <f>IFERROR(IF(Y353=0,"",ROUNDUP(Y353/H353,0)*0.01898),"")</f>
        <v>0.37959999999999999</v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157.88461538461542</v>
      </c>
      <c r="BN353" s="78">
        <f>IFERROR(Y353*I353/H353,"0")</f>
        <v>164.20000000000005</v>
      </c>
      <c r="BO353" s="78">
        <f>IFERROR(1/J353*(X353/H353),"0")</f>
        <v>0.30048076923076922</v>
      </c>
      <c r="BP353" s="78">
        <f>IFERROR(1/J353*(Y353/H353),"0")</f>
        <v>0.3125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653">
        <v>4680115887992</v>
      </c>
      <c r="E354" s="653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75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5"/>
      <c r="R354" s="655"/>
      <c r="S354" s="655"/>
      <c r="T354" s="656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x14ac:dyDescent="0.2">
      <c r="A355" s="647"/>
      <c r="B355" s="647"/>
      <c r="C355" s="647"/>
      <c r="D355" s="647"/>
      <c r="E355" s="647"/>
      <c r="F355" s="647"/>
      <c r="G355" s="647"/>
      <c r="H355" s="647"/>
      <c r="I355" s="647"/>
      <c r="J355" s="647"/>
      <c r="K355" s="647"/>
      <c r="L355" s="647"/>
      <c r="M355" s="647"/>
      <c r="N355" s="647"/>
      <c r="O355" s="648"/>
      <c r="P355" s="644" t="s">
        <v>40</v>
      </c>
      <c r="Q355" s="645"/>
      <c r="R355" s="645"/>
      <c r="S355" s="645"/>
      <c r="T355" s="645"/>
      <c r="U355" s="645"/>
      <c r="V355" s="646"/>
      <c r="W355" s="42" t="s">
        <v>39</v>
      </c>
      <c r="X355" s="43">
        <f>IFERROR(X352/H352,"0")+IFERROR(X353/H353,"0")+IFERROR(X354/H354,"0")</f>
        <v>44.871794871794876</v>
      </c>
      <c r="Y355" s="43">
        <f>IFERROR(Y352/H352,"0")+IFERROR(Y353/H353,"0")+IFERROR(Y354/H354,"0")</f>
        <v>46</v>
      </c>
      <c r="Z355" s="43">
        <f>IFERROR(IF(Z352="",0,Z352),"0")+IFERROR(IF(Z353="",0,Z353),"0")+IFERROR(IF(Z354="",0,Z354),"0")</f>
        <v>0.87308000000000008</v>
      </c>
      <c r="AA355" s="67"/>
      <c r="AB355" s="67"/>
      <c r="AC355" s="67"/>
    </row>
    <row r="356" spans="1:68" x14ac:dyDescent="0.2">
      <c r="A356" s="647"/>
      <c r="B356" s="647"/>
      <c r="C356" s="647"/>
      <c r="D356" s="647"/>
      <c r="E356" s="647"/>
      <c r="F356" s="647"/>
      <c r="G356" s="647"/>
      <c r="H356" s="647"/>
      <c r="I356" s="647"/>
      <c r="J356" s="647"/>
      <c r="K356" s="647"/>
      <c r="L356" s="647"/>
      <c r="M356" s="647"/>
      <c r="N356" s="647"/>
      <c r="O356" s="648"/>
      <c r="P356" s="644" t="s">
        <v>40</v>
      </c>
      <c r="Q356" s="645"/>
      <c r="R356" s="645"/>
      <c r="S356" s="645"/>
      <c r="T356" s="645"/>
      <c r="U356" s="645"/>
      <c r="V356" s="646"/>
      <c r="W356" s="42" t="s">
        <v>0</v>
      </c>
      <c r="X356" s="43">
        <f>IFERROR(SUM(X352:X354),"0")</f>
        <v>350</v>
      </c>
      <c r="Y356" s="43">
        <f>IFERROR(SUM(Y352:Y354),"0")</f>
        <v>358.79999999999995</v>
      </c>
      <c r="Z356" s="42"/>
      <c r="AA356" s="67"/>
      <c r="AB356" s="67"/>
      <c r="AC356" s="67"/>
    </row>
    <row r="357" spans="1:68" ht="16.5" hidden="1" customHeight="1" x14ac:dyDescent="0.25">
      <c r="A357" s="657" t="s">
        <v>594</v>
      </c>
      <c r="B357" s="657"/>
      <c r="C357" s="657"/>
      <c r="D357" s="657"/>
      <c r="E357" s="657"/>
      <c r="F357" s="657"/>
      <c r="G357" s="657"/>
      <c r="H357" s="657"/>
      <c r="I357" s="657"/>
      <c r="J357" s="657"/>
      <c r="K357" s="657"/>
      <c r="L357" s="657"/>
      <c r="M357" s="657"/>
      <c r="N357" s="657"/>
      <c r="O357" s="657"/>
      <c r="P357" s="657"/>
      <c r="Q357" s="657"/>
      <c r="R357" s="657"/>
      <c r="S357" s="657"/>
      <c r="T357" s="657"/>
      <c r="U357" s="657"/>
      <c r="V357" s="657"/>
      <c r="W357" s="657"/>
      <c r="X357" s="657"/>
      <c r="Y357" s="657"/>
      <c r="Z357" s="657"/>
      <c r="AA357" s="65"/>
      <c r="AB357" s="65"/>
      <c r="AC357" s="79"/>
    </row>
    <row r="358" spans="1:68" ht="14.25" hidden="1" customHeight="1" x14ac:dyDescent="0.25">
      <c r="A358" s="658" t="s">
        <v>123</v>
      </c>
      <c r="B358" s="658"/>
      <c r="C358" s="658"/>
      <c r="D358" s="658"/>
      <c r="E358" s="658"/>
      <c r="F358" s="658"/>
      <c r="G358" s="658"/>
      <c r="H358" s="658"/>
      <c r="I358" s="658"/>
      <c r="J358" s="658"/>
      <c r="K358" s="658"/>
      <c r="L358" s="658"/>
      <c r="M358" s="658"/>
      <c r="N358" s="658"/>
      <c r="O358" s="658"/>
      <c r="P358" s="658"/>
      <c r="Q358" s="658"/>
      <c r="R358" s="658"/>
      <c r="S358" s="658"/>
      <c r="T358" s="658"/>
      <c r="U358" s="658"/>
      <c r="V358" s="658"/>
      <c r="W358" s="658"/>
      <c r="X358" s="658"/>
      <c r="Y358" s="658"/>
      <c r="Z358" s="658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653">
        <v>4607091386004</v>
      </c>
      <c r="E359" s="653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75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655"/>
      <c r="R359" s="655"/>
      <c r="S359" s="655"/>
      <c r="T359" s="656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653">
        <v>4680115887190</v>
      </c>
      <c r="E360" s="653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74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655"/>
      <c r="R360" s="655"/>
      <c r="S360" s="655"/>
      <c r="T360" s="656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653">
        <v>4680115887138</v>
      </c>
      <c r="E361" s="653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749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655"/>
      <c r="R361" s="655"/>
      <c r="S361" s="655"/>
      <c r="T361" s="656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653">
        <v>4680115885554</v>
      </c>
      <c r="E362" s="653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75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655"/>
      <c r="R362" s="655"/>
      <c r="S362" s="655"/>
      <c r="T362" s="656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653">
        <v>4680115887220</v>
      </c>
      <c r="E363" s="653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751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655"/>
      <c r="R363" s="655"/>
      <c r="S363" s="655"/>
      <c r="T363" s="656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653">
        <v>4680115885608</v>
      </c>
      <c r="E364" s="653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7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655"/>
      <c r="R364" s="655"/>
      <c r="S364" s="655"/>
      <c r="T364" s="65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647"/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8"/>
      <c r="P365" s="644" t="s">
        <v>40</v>
      </c>
      <c r="Q365" s="645"/>
      <c r="R365" s="645"/>
      <c r="S365" s="645"/>
      <c r="T365" s="645"/>
      <c r="U365" s="645"/>
      <c r="V365" s="646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647"/>
      <c r="B366" s="647"/>
      <c r="C366" s="647"/>
      <c r="D366" s="647"/>
      <c r="E366" s="647"/>
      <c r="F366" s="647"/>
      <c r="G366" s="647"/>
      <c r="H366" s="647"/>
      <c r="I366" s="647"/>
      <c r="J366" s="647"/>
      <c r="K366" s="647"/>
      <c r="L366" s="647"/>
      <c r="M366" s="647"/>
      <c r="N366" s="647"/>
      <c r="O366" s="648"/>
      <c r="P366" s="644" t="s">
        <v>40</v>
      </c>
      <c r="Q366" s="645"/>
      <c r="R366" s="645"/>
      <c r="S366" s="645"/>
      <c r="T366" s="645"/>
      <c r="U366" s="645"/>
      <c r="V366" s="646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658" t="s">
        <v>76</v>
      </c>
      <c r="B367" s="658"/>
      <c r="C367" s="658"/>
      <c r="D367" s="658"/>
      <c r="E367" s="658"/>
      <c r="F367" s="658"/>
      <c r="G367" s="658"/>
      <c r="H367" s="658"/>
      <c r="I367" s="658"/>
      <c r="J367" s="658"/>
      <c r="K367" s="658"/>
      <c r="L367" s="658"/>
      <c r="M367" s="658"/>
      <c r="N367" s="658"/>
      <c r="O367" s="658"/>
      <c r="P367" s="658"/>
      <c r="Q367" s="658"/>
      <c r="R367" s="658"/>
      <c r="S367" s="658"/>
      <c r="T367" s="658"/>
      <c r="U367" s="658"/>
      <c r="V367" s="658"/>
      <c r="W367" s="658"/>
      <c r="X367" s="658"/>
      <c r="Y367" s="658"/>
      <c r="Z367" s="658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653">
        <v>4607091387193</v>
      </c>
      <c r="E368" s="653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74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655"/>
      <c r="R368" s="655"/>
      <c r="S368" s="655"/>
      <c r="T368" s="65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hidden="1" customHeight="1" x14ac:dyDescent="0.25">
      <c r="A369" s="63" t="s">
        <v>615</v>
      </c>
      <c r="B369" s="63" t="s">
        <v>616</v>
      </c>
      <c r="C369" s="36">
        <v>4301031153</v>
      </c>
      <c r="D369" s="653">
        <v>4607091387230</v>
      </c>
      <c r="E369" s="653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74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655"/>
      <c r="R369" s="655"/>
      <c r="S369" s="655"/>
      <c r="T369" s="65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9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0</v>
      </c>
      <c r="BN369" s="78">
        <f t="shared" si="61"/>
        <v>0</v>
      </c>
      <c r="BO369" s="78">
        <f t="shared" si="62"/>
        <v>0</v>
      </c>
      <c r="BP369" s="78">
        <f t="shared" si="63"/>
        <v>0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653">
        <v>4607091387292</v>
      </c>
      <c r="E370" s="653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74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655"/>
      <c r="R370" s="655"/>
      <c r="S370" s="655"/>
      <c r="T370" s="65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653">
        <v>4607091387285</v>
      </c>
      <c r="E371" s="653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74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655"/>
      <c r="R371" s="655"/>
      <c r="S371" s="655"/>
      <c r="T371" s="65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customHeight="1" x14ac:dyDescent="0.25">
      <c r="A372" s="63" t="s">
        <v>623</v>
      </c>
      <c r="B372" s="63" t="s">
        <v>624</v>
      </c>
      <c r="C372" s="36">
        <v>4301031305</v>
      </c>
      <c r="D372" s="653">
        <v>4607091389845</v>
      </c>
      <c r="E372" s="653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74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655"/>
      <c r="R372" s="655"/>
      <c r="S372" s="655"/>
      <c r="T372" s="656"/>
      <c r="U372" s="39" t="s">
        <v>46</v>
      </c>
      <c r="V372" s="39" t="s">
        <v>46</v>
      </c>
      <c r="W372" s="40" t="s">
        <v>0</v>
      </c>
      <c r="X372" s="58">
        <v>175</v>
      </c>
      <c r="Y372" s="55">
        <f t="shared" si="59"/>
        <v>176.4</v>
      </c>
      <c r="Z372" s="41">
        <f>IFERROR(IF(Y372=0,"",ROUNDUP(Y372/H372,0)*0.00502),"")</f>
        <v>0.42168</v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183.33333333333334</v>
      </c>
      <c r="BN372" s="78">
        <f t="shared" si="61"/>
        <v>184.8</v>
      </c>
      <c r="BO372" s="78">
        <f t="shared" si="62"/>
        <v>0.35612535612535612</v>
      </c>
      <c r="BP372" s="78">
        <f t="shared" si="63"/>
        <v>0.35897435897435903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653">
        <v>4680115887442</v>
      </c>
      <c r="E373" s="653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74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655"/>
      <c r="R373" s="655"/>
      <c r="S373" s="655"/>
      <c r="T373" s="65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customHeight="1" x14ac:dyDescent="0.25">
      <c r="A374" s="63" t="s">
        <v>628</v>
      </c>
      <c r="B374" s="63" t="s">
        <v>629</v>
      </c>
      <c r="C374" s="36">
        <v>4301031066</v>
      </c>
      <c r="D374" s="653">
        <v>4607091383836</v>
      </c>
      <c r="E374" s="653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7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655"/>
      <c r="R374" s="655"/>
      <c r="S374" s="655"/>
      <c r="T374" s="656"/>
      <c r="U374" s="39" t="s">
        <v>46</v>
      </c>
      <c r="V374" s="39" t="s">
        <v>46</v>
      </c>
      <c r="W374" s="40" t="s">
        <v>0</v>
      </c>
      <c r="X374" s="58">
        <v>27</v>
      </c>
      <c r="Y374" s="55">
        <f t="shared" si="59"/>
        <v>27</v>
      </c>
      <c r="Z374" s="41">
        <f>IFERROR(IF(Y374=0,"",ROUNDUP(Y374/H374,0)*0.00651),"")</f>
        <v>9.7650000000000001E-2</v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30.419999999999998</v>
      </c>
      <c r="BN374" s="78">
        <f t="shared" si="61"/>
        <v>30.419999999999998</v>
      </c>
      <c r="BO374" s="78">
        <f t="shared" si="62"/>
        <v>8.241758241758243E-2</v>
      </c>
      <c r="BP374" s="78">
        <f t="shared" si="63"/>
        <v>8.241758241758243E-2</v>
      </c>
    </row>
    <row r="375" spans="1:68" x14ac:dyDescent="0.2">
      <c r="A375" s="647"/>
      <c r="B375" s="647"/>
      <c r="C375" s="647"/>
      <c r="D375" s="647"/>
      <c r="E375" s="647"/>
      <c r="F375" s="647"/>
      <c r="G375" s="647"/>
      <c r="H375" s="647"/>
      <c r="I375" s="647"/>
      <c r="J375" s="647"/>
      <c r="K375" s="647"/>
      <c r="L375" s="647"/>
      <c r="M375" s="647"/>
      <c r="N375" s="647"/>
      <c r="O375" s="648"/>
      <c r="P375" s="644" t="s">
        <v>40</v>
      </c>
      <c r="Q375" s="645"/>
      <c r="R375" s="645"/>
      <c r="S375" s="645"/>
      <c r="T375" s="645"/>
      <c r="U375" s="645"/>
      <c r="V375" s="646"/>
      <c r="W375" s="42" t="s">
        <v>39</v>
      </c>
      <c r="X375" s="43">
        <f>IFERROR(X368/H368,"0")+IFERROR(X369/H369,"0")+IFERROR(X370/H370,"0")+IFERROR(X371/H371,"0")+IFERROR(X372/H372,"0")+IFERROR(X373/H373,"0")+IFERROR(X374/H374,"0")</f>
        <v>98.333333333333329</v>
      </c>
      <c r="Y375" s="43">
        <f>IFERROR(Y368/H368,"0")+IFERROR(Y369/H369,"0")+IFERROR(Y370/H370,"0")+IFERROR(Y371/H371,"0")+IFERROR(Y372/H372,"0")+IFERROR(Y373/H373,"0")+IFERROR(Y374/H374,"0")</f>
        <v>99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0.51932999999999996</v>
      </c>
      <c r="AA375" s="67"/>
      <c r="AB375" s="67"/>
      <c r="AC375" s="67"/>
    </row>
    <row r="376" spans="1:68" x14ac:dyDescent="0.2">
      <c r="A376" s="647"/>
      <c r="B376" s="647"/>
      <c r="C376" s="647"/>
      <c r="D376" s="647"/>
      <c r="E376" s="647"/>
      <c r="F376" s="647"/>
      <c r="G376" s="647"/>
      <c r="H376" s="647"/>
      <c r="I376" s="647"/>
      <c r="J376" s="647"/>
      <c r="K376" s="647"/>
      <c r="L376" s="647"/>
      <c r="M376" s="647"/>
      <c r="N376" s="647"/>
      <c r="O376" s="648"/>
      <c r="P376" s="644" t="s">
        <v>40</v>
      </c>
      <c r="Q376" s="645"/>
      <c r="R376" s="645"/>
      <c r="S376" s="645"/>
      <c r="T376" s="645"/>
      <c r="U376" s="645"/>
      <c r="V376" s="646"/>
      <c r="W376" s="42" t="s">
        <v>0</v>
      </c>
      <c r="X376" s="43">
        <f>IFERROR(SUM(X368:X374),"0")</f>
        <v>202</v>
      </c>
      <c r="Y376" s="43">
        <f>IFERROR(SUM(Y368:Y374),"0")</f>
        <v>203.4</v>
      </c>
      <c r="Z376" s="42"/>
      <c r="AA376" s="67"/>
      <c r="AB376" s="67"/>
      <c r="AC376" s="67"/>
    </row>
    <row r="377" spans="1:68" ht="14.25" hidden="1" customHeight="1" x14ac:dyDescent="0.25">
      <c r="A377" s="658" t="s">
        <v>85</v>
      </c>
      <c r="B377" s="658"/>
      <c r="C377" s="658"/>
      <c r="D377" s="658"/>
      <c r="E377" s="658"/>
      <c r="F377" s="658"/>
      <c r="G377" s="658"/>
      <c r="H377" s="658"/>
      <c r="I377" s="658"/>
      <c r="J377" s="658"/>
      <c r="K377" s="658"/>
      <c r="L377" s="658"/>
      <c r="M377" s="658"/>
      <c r="N377" s="658"/>
      <c r="O377" s="658"/>
      <c r="P377" s="658"/>
      <c r="Q377" s="658"/>
      <c r="R377" s="658"/>
      <c r="S377" s="658"/>
      <c r="T377" s="658"/>
      <c r="U377" s="658"/>
      <c r="V377" s="658"/>
      <c r="W377" s="658"/>
      <c r="X377" s="658"/>
      <c r="Y377" s="658"/>
      <c r="Z377" s="658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653">
        <v>4607091387766</v>
      </c>
      <c r="E378" s="653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73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655"/>
      <c r="R378" s="655"/>
      <c r="S378" s="655"/>
      <c r="T378" s="656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653">
        <v>4607091387957</v>
      </c>
      <c r="E379" s="653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73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655"/>
      <c r="R379" s="655"/>
      <c r="S379" s="655"/>
      <c r="T379" s="656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653">
        <v>4607091387964</v>
      </c>
      <c r="E380" s="653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73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655"/>
      <c r="R380" s="655"/>
      <c r="S380" s="655"/>
      <c r="T380" s="656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653">
        <v>4680115884588</v>
      </c>
      <c r="E381" s="653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74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655"/>
      <c r="R381" s="655"/>
      <c r="S381" s="655"/>
      <c r="T381" s="656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47"/>
      <c r="B382" s="647"/>
      <c r="C382" s="647"/>
      <c r="D382" s="647"/>
      <c r="E382" s="647"/>
      <c r="F382" s="647"/>
      <c r="G382" s="647"/>
      <c r="H382" s="647"/>
      <c r="I382" s="647"/>
      <c r="J382" s="647"/>
      <c r="K382" s="647"/>
      <c r="L382" s="647"/>
      <c r="M382" s="647"/>
      <c r="N382" s="647"/>
      <c r="O382" s="648"/>
      <c r="P382" s="644" t="s">
        <v>40</v>
      </c>
      <c r="Q382" s="645"/>
      <c r="R382" s="645"/>
      <c r="S382" s="645"/>
      <c r="T382" s="645"/>
      <c r="U382" s="645"/>
      <c r="V382" s="646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47"/>
      <c r="B383" s="647"/>
      <c r="C383" s="647"/>
      <c r="D383" s="647"/>
      <c r="E383" s="647"/>
      <c r="F383" s="647"/>
      <c r="G383" s="647"/>
      <c r="H383" s="647"/>
      <c r="I383" s="647"/>
      <c r="J383" s="647"/>
      <c r="K383" s="647"/>
      <c r="L383" s="647"/>
      <c r="M383" s="647"/>
      <c r="N383" s="647"/>
      <c r="O383" s="648"/>
      <c r="P383" s="644" t="s">
        <v>40</v>
      </c>
      <c r="Q383" s="645"/>
      <c r="R383" s="645"/>
      <c r="S383" s="645"/>
      <c r="T383" s="645"/>
      <c r="U383" s="645"/>
      <c r="V383" s="646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58" t="s">
        <v>173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6"/>
      <c r="AB384" s="66"/>
      <c r="AC384" s="80"/>
    </row>
    <row r="385" spans="1:68" ht="27" customHeight="1" x14ac:dyDescent="0.25">
      <c r="A385" s="63" t="s">
        <v>642</v>
      </c>
      <c r="B385" s="63" t="s">
        <v>643</v>
      </c>
      <c r="C385" s="36">
        <v>4301060387</v>
      </c>
      <c r="D385" s="653">
        <v>4607091380880</v>
      </c>
      <c r="E385" s="653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73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655"/>
      <c r="R385" s="655"/>
      <c r="S385" s="655"/>
      <c r="T385" s="656"/>
      <c r="U385" s="39" t="s">
        <v>46</v>
      </c>
      <c r="V385" s="39" t="s">
        <v>46</v>
      </c>
      <c r="W385" s="40" t="s">
        <v>0</v>
      </c>
      <c r="X385" s="58">
        <v>160</v>
      </c>
      <c r="Y385" s="55">
        <f>IFERROR(IF(X385="",0,CEILING((X385/$H385),1)*$H385),"")</f>
        <v>168</v>
      </c>
      <c r="Z385" s="41">
        <f>IFERROR(IF(Y385=0,"",ROUNDUP(Y385/H385,0)*0.01898),"")</f>
        <v>0.37959999999999999</v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169.40952380952379</v>
      </c>
      <c r="BN385" s="78">
        <f>IFERROR(Y385*I385/H385,"0")</f>
        <v>177.88</v>
      </c>
      <c r="BO385" s="78">
        <f>IFERROR(1/J385*(X385/H385),"0")</f>
        <v>0.29761904761904762</v>
      </c>
      <c r="BP385" s="78">
        <f>IFERROR(1/J385*(Y385/H385),"0")</f>
        <v>0.3125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653">
        <v>4607091384482</v>
      </c>
      <c r="E386" s="65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73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655"/>
      <c r="R386" s="655"/>
      <c r="S386" s="655"/>
      <c r="T386" s="656"/>
      <c r="U386" s="39" t="s">
        <v>46</v>
      </c>
      <c r="V386" s="39" t="s">
        <v>46</v>
      </c>
      <c r="W386" s="40" t="s">
        <v>0</v>
      </c>
      <c r="X386" s="58">
        <v>160</v>
      </c>
      <c r="Y386" s="55">
        <f>IFERROR(IF(X386="",0,CEILING((X386/$H386),1)*$H386),"")</f>
        <v>163.79999999999998</v>
      </c>
      <c r="Z386" s="41">
        <f>IFERROR(IF(Y386=0,"",ROUNDUP(Y386/H386,0)*0.01898),"")</f>
        <v>0.39857999999999999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170.13333333333333</v>
      </c>
      <c r="BN386" s="78">
        <f>IFERROR(Y386*I386/H386,"0")</f>
        <v>174.17400000000001</v>
      </c>
      <c r="BO386" s="78">
        <f>IFERROR(1/J386*(X386/H386),"0")</f>
        <v>0.32051282051282054</v>
      </c>
      <c r="BP386" s="78">
        <f>IFERROR(1/J386*(Y386/H386),"0")</f>
        <v>0.328125</v>
      </c>
    </row>
    <row r="387" spans="1:68" ht="27" customHeight="1" x14ac:dyDescent="0.25">
      <c r="A387" s="63" t="s">
        <v>648</v>
      </c>
      <c r="B387" s="63" t="s">
        <v>649</v>
      </c>
      <c r="C387" s="36">
        <v>4301060484</v>
      </c>
      <c r="D387" s="653">
        <v>4607091380897</v>
      </c>
      <c r="E387" s="653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73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655"/>
      <c r="R387" s="655"/>
      <c r="S387" s="655"/>
      <c r="T387" s="656"/>
      <c r="U387" s="39" t="s">
        <v>46</v>
      </c>
      <c r="V387" s="39" t="s">
        <v>46</v>
      </c>
      <c r="W387" s="40" t="s">
        <v>0</v>
      </c>
      <c r="X387" s="58">
        <v>50</v>
      </c>
      <c r="Y387" s="55">
        <f>IFERROR(IF(X387="",0,CEILING((X387/$H387),1)*$H387),"")</f>
        <v>50.400000000000006</v>
      </c>
      <c r="Z387" s="41">
        <f>IFERROR(IF(Y387=0,"",ROUNDUP(Y387/H387,0)*0.01898),"")</f>
        <v>0.11388000000000001</v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52.94047619047619</v>
      </c>
      <c r="BN387" s="78">
        <f>IFERROR(Y387*I387/H387,"0")</f>
        <v>53.364000000000004</v>
      </c>
      <c r="BO387" s="78">
        <f>IFERROR(1/J387*(X387/H387),"0")</f>
        <v>9.3005952380952384E-2</v>
      </c>
      <c r="BP387" s="78">
        <f>IFERROR(1/J387*(Y387/H387),"0")</f>
        <v>9.375E-2</v>
      </c>
    </row>
    <row r="388" spans="1:68" x14ac:dyDescent="0.2">
      <c r="A388" s="647"/>
      <c r="B388" s="647"/>
      <c r="C388" s="647"/>
      <c r="D388" s="647"/>
      <c r="E388" s="647"/>
      <c r="F388" s="647"/>
      <c r="G388" s="647"/>
      <c r="H388" s="647"/>
      <c r="I388" s="647"/>
      <c r="J388" s="647"/>
      <c r="K388" s="647"/>
      <c r="L388" s="647"/>
      <c r="M388" s="647"/>
      <c r="N388" s="647"/>
      <c r="O388" s="648"/>
      <c r="P388" s="644" t="s">
        <v>40</v>
      </c>
      <c r="Q388" s="645"/>
      <c r="R388" s="645"/>
      <c r="S388" s="645"/>
      <c r="T388" s="645"/>
      <c r="U388" s="645"/>
      <c r="V388" s="646"/>
      <c r="W388" s="42" t="s">
        <v>39</v>
      </c>
      <c r="X388" s="43">
        <f>IFERROR(X385/H385,"0")+IFERROR(X386/H386,"0")+IFERROR(X387/H387,"0")</f>
        <v>45.512820512820511</v>
      </c>
      <c r="Y388" s="43">
        <f>IFERROR(Y385/H385,"0")+IFERROR(Y386/H386,"0")+IFERROR(Y387/H387,"0")</f>
        <v>47</v>
      </c>
      <c r="Z388" s="43">
        <f>IFERROR(IF(Z385="",0,Z385),"0")+IFERROR(IF(Z386="",0,Z386),"0")+IFERROR(IF(Z387="",0,Z387),"0")</f>
        <v>0.89205999999999996</v>
      </c>
      <c r="AA388" s="67"/>
      <c r="AB388" s="67"/>
      <c r="AC388" s="67"/>
    </row>
    <row r="389" spans="1:68" x14ac:dyDescent="0.2">
      <c r="A389" s="647"/>
      <c r="B389" s="647"/>
      <c r="C389" s="647"/>
      <c r="D389" s="647"/>
      <c r="E389" s="647"/>
      <c r="F389" s="647"/>
      <c r="G389" s="647"/>
      <c r="H389" s="647"/>
      <c r="I389" s="647"/>
      <c r="J389" s="647"/>
      <c r="K389" s="647"/>
      <c r="L389" s="647"/>
      <c r="M389" s="647"/>
      <c r="N389" s="647"/>
      <c r="O389" s="648"/>
      <c r="P389" s="644" t="s">
        <v>40</v>
      </c>
      <c r="Q389" s="645"/>
      <c r="R389" s="645"/>
      <c r="S389" s="645"/>
      <c r="T389" s="645"/>
      <c r="U389" s="645"/>
      <c r="V389" s="646"/>
      <c r="W389" s="42" t="s">
        <v>0</v>
      </c>
      <c r="X389" s="43">
        <f>IFERROR(SUM(X385:X387),"0")</f>
        <v>370</v>
      </c>
      <c r="Y389" s="43">
        <f>IFERROR(SUM(Y385:Y387),"0")</f>
        <v>382.19999999999993</v>
      </c>
      <c r="Z389" s="42"/>
      <c r="AA389" s="67"/>
      <c r="AB389" s="67"/>
      <c r="AC389" s="67"/>
    </row>
    <row r="390" spans="1:68" ht="14.25" hidden="1" customHeight="1" x14ac:dyDescent="0.25">
      <c r="A390" s="658" t="s">
        <v>281</v>
      </c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8"/>
      <c r="P390" s="658"/>
      <c r="Q390" s="658"/>
      <c r="R390" s="658"/>
      <c r="S390" s="658"/>
      <c r="T390" s="658"/>
      <c r="U390" s="658"/>
      <c r="V390" s="658"/>
      <c r="W390" s="658"/>
      <c r="X390" s="658"/>
      <c r="Y390" s="658"/>
      <c r="Z390" s="658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653">
        <v>4607091388381</v>
      </c>
      <c r="E391" s="653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73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655"/>
      <c r="R391" s="655"/>
      <c r="S391" s="655"/>
      <c r="T391" s="65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653">
        <v>4607091388374</v>
      </c>
      <c r="E392" s="653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7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655"/>
      <c r="R392" s="655"/>
      <c r="S392" s="655"/>
      <c r="T392" s="65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653">
        <v>4607091383102</v>
      </c>
      <c r="E393" s="653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73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655"/>
      <c r="R393" s="655"/>
      <c r="S393" s="655"/>
      <c r="T393" s="65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653">
        <v>4607091388404</v>
      </c>
      <c r="E394" s="653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655"/>
      <c r="R394" s="655"/>
      <c r="S394" s="655"/>
      <c r="T394" s="656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7"/>
      <c r="B395" s="647"/>
      <c r="C395" s="647"/>
      <c r="D395" s="647"/>
      <c r="E395" s="647"/>
      <c r="F395" s="647"/>
      <c r="G395" s="647"/>
      <c r="H395" s="647"/>
      <c r="I395" s="647"/>
      <c r="J395" s="647"/>
      <c r="K395" s="647"/>
      <c r="L395" s="647"/>
      <c r="M395" s="647"/>
      <c r="N395" s="647"/>
      <c r="O395" s="648"/>
      <c r="P395" s="644" t="s">
        <v>40</v>
      </c>
      <c r="Q395" s="645"/>
      <c r="R395" s="645"/>
      <c r="S395" s="645"/>
      <c r="T395" s="645"/>
      <c r="U395" s="645"/>
      <c r="V395" s="646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7"/>
      <c r="B396" s="647"/>
      <c r="C396" s="647"/>
      <c r="D396" s="647"/>
      <c r="E396" s="647"/>
      <c r="F396" s="647"/>
      <c r="G396" s="647"/>
      <c r="H396" s="647"/>
      <c r="I396" s="647"/>
      <c r="J396" s="647"/>
      <c r="K396" s="647"/>
      <c r="L396" s="647"/>
      <c r="M396" s="647"/>
      <c r="N396" s="647"/>
      <c r="O396" s="648"/>
      <c r="P396" s="644" t="s">
        <v>40</v>
      </c>
      <c r="Q396" s="645"/>
      <c r="R396" s="645"/>
      <c r="S396" s="645"/>
      <c r="T396" s="645"/>
      <c r="U396" s="645"/>
      <c r="V396" s="646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8" t="s">
        <v>660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653">
        <v>4680115881808</v>
      </c>
      <c r="E398" s="653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72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655"/>
      <c r="R398" s="655"/>
      <c r="S398" s="655"/>
      <c r="T398" s="65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653">
        <v>4680115881822</v>
      </c>
      <c r="E399" s="653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73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655"/>
      <c r="R399" s="655"/>
      <c r="S399" s="655"/>
      <c r="T399" s="65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653">
        <v>4680115880016</v>
      </c>
      <c r="E400" s="653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7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655"/>
      <c r="R400" s="655"/>
      <c r="S400" s="655"/>
      <c r="T400" s="65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7"/>
      <c r="B401" s="647"/>
      <c r="C401" s="647"/>
      <c r="D401" s="647"/>
      <c r="E401" s="647"/>
      <c r="F401" s="647"/>
      <c r="G401" s="647"/>
      <c r="H401" s="647"/>
      <c r="I401" s="647"/>
      <c r="J401" s="647"/>
      <c r="K401" s="647"/>
      <c r="L401" s="647"/>
      <c r="M401" s="647"/>
      <c r="N401" s="647"/>
      <c r="O401" s="648"/>
      <c r="P401" s="644" t="s">
        <v>40</v>
      </c>
      <c r="Q401" s="645"/>
      <c r="R401" s="645"/>
      <c r="S401" s="645"/>
      <c r="T401" s="645"/>
      <c r="U401" s="645"/>
      <c r="V401" s="646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7"/>
      <c r="B402" s="647"/>
      <c r="C402" s="647"/>
      <c r="D402" s="647"/>
      <c r="E402" s="647"/>
      <c r="F402" s="647"/>
      <c r="G402" s="647"/>
      <c r="H402" s="647"/>
      <c r="I402" s="647"/>
      <c r="J402" s="647"/>
      <c r="K402" s="647"/>
      <c r="L402" s="647"/>
      <c r="M402" s="647"/>
      <c r="N402" s="647"/>
      <c r="O402" s="648"/>
      <c r="P402" s="644" t="s">
        <v>40</v>
      </c>
      <c r="Q402" s="645"/>
      <c r="R402" s="645"/>
      <c r="S402" s="645"/>
      <c r="T402" s="645"/>
      <c r="U402" s="645"/>
      <c r="V402" s="646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8" t="s">
        <v>669</v>
      </c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8"/>
      <c r="P403" s="658"/>
      <c r="Q403" s="658"/>
      <c r="R403" s="658"/>
      <c r="S403" s="658"/>
      <c r="T403" s="658"/>
      <c r="U403" s="658"/>
      <c r="V403" s="658"/>
      <c r="W403" s="658"/>
      <c r="X403" s="658"/>
      <c r="Y403" s="658"/>
      <c r="Z403" s="658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653">
        <v>4680115888678</v>
      </c>
      <c r="E404" s="653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72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655"/>
      <c r="R404" s="655"/>
      <c r="S404" s="655"/>
      <c r="T404" s="65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653">
        <v>4680115888654</v>
      </c>
      <c r="E405" s="653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655"/>
      <c r="R405" s="655"/>
      <c r="S405" s="655"/>
      <c r="T405" s="65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653">
        <v>4680115888753</v>
      </c>
      <c r="E406" s="653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655"/>
      <c r="R406" s="655"/>
      <c r="S406" s="655"/>
      <c r="T406" s="65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647"/>
      <c r="B407" s="647"/>
      <c r="C407" s="647"/>
      <c r="D407" s="647"/>
      <c r="E407" s="647"/>
      <c r="F407" s="647"/>
      <c r="G407" s="647"/>
      <c r="H407" s="647"/>
      <c r="I407" s="647"/>
      <c r="J407" s="647"/>
      <c r="K407" s="647"/>
      <c r="L407" s="647"/>
      <c r="M407" s="647"/>
      <c r="N407" s="647"/>
      <c r="O407" s="648"/>
      <c r="P407" s="644" t="s">
        <v>40</v>
      </c>
      <c r="Q407" s="645"/>
      <c r="R407" s="645"/>
      <c r="S407" s="645"/>
      <c r="T407" s="645"/>
      <c r="U407" s="645"/>
      <c r="V407" s="646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647"/>
      <c r="B408" s="647"/>
      <c r="C408" s="647"/>
      <c r="D408" s="647"/>
      <c r="E408" s="647"/>
      <c r="F408" s="647"/>
      <c r="G408" s="647"/>
      <c r="H408" s="647"/>
      <c r="I408" s="647"/>
      <c r="J408" s="647"/>
      <c r="K408" s="647"/>
      <c r="L408" s="647"/>
      <c r="M408" s="647"/>
      <c r="N408" s="647"/>
      <c r="O408" s="648"/>
      <c r="P408" s="644" t="s">
        <v>40</v>
      </c>
      <c r="Q408" s="645"/>
      <c r="R408" s="645"/>
      <c r="S408" s="645"/>
      <c r="T408" s="645"/>
      <c r="U408" s="645"/>
      <c r="V408" s="646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657" t="s">
        <v>678</v>
      </c>
      <c r="B409" s="657"/>
      <c r="C409" s="657"/>
      <c r="D409" s="657"/>
      <c r="E409" s="657"/>
      <c r="F409" s="657"/>
      <c r="G409" s="657"/>
      <c r="H409" s="657"/>
      <c r="I409" s="657"/>
      <c r="J409" s="657"/>
      <c r="K409" s="657"/>
      <c r="L409" s="657"/>
      <c r="M409" s="657"/>
      <c r="N409" s="657"/>
      <c r="O409" s="657"/>
      <c r="P409" s="657"/>
      <c r="Q409" s="657"/>
      <c r="R409" s="657"/>
      <c r="S409" s="657"/>
      <c r="T409" s="657"/>
      <c r="U409" s="657"/>
      <c r="V409" s="657"/>
      <c r="W409" s="657"/>
      <c r="X409" s="657"/>
      <c r="Y409" s="657"/>
      <c r="Z409" s="657"/>
      <c r="AA409" s="65"/>
      <c r="AB409" s="65"/>
      <c r="AC409" s="79"/>
    </row>
    <row r="410" spans="1:68" ht="14.25" hidden="1" customHeight="1" x14ac:dyDescent="0.25">
      <c r="A410" s="658" t="s">
        <v>85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653">
        <v>4680115889415</v>
      </c>
      <c r="E411" s="653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72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655"/>
      <c r="R411" s="655"/>
      <c r="S411" s="655"/>
      <c r="T411" s="65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653">
        <v>4680115889422</v>
      </c>
      <c r="E412" s="653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72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655"/>
      <c r="R412" s="655"/>
      <c r="S412" s="655"/>
      <c r="T412" s="65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647"/>
      <c r="B413" s="647"/>
      <c r="C413" s="647"/>
      <c r="D413" s="647"/>
      <c r="E413" s="647"/>
      <c r="F413" s="647"/>
      <c r="G413" s="647"/>
      <c r="H413" s="647"/>
      <c r="I413" s="647"/>
      <c r="J413" s="647"/>
      <c r="K413" s="647"/>
      <c r="L413" s="647"/>
      <c r="M413" s="647"/>
      <c r="N413" s="647"/>
      <c r="O413" s="648"/>
      <c r="P413" s="644" t="s">
        <v>40</v>
      </c>
      <c r="Q413" s="645"/>
      <c r="R413" s="645"/>
      <c r="S413" s="645"/>
      <c r="T413" s="645"/>
      <c r="U413" s="645"/>
      <c r="V413" s="646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647"/>
      <c r="B414" s="647"/>
      <c r="C414" s="647"/>
      <c r="D414" s="647"/>
      <c r="E414" s="647"/>
      <c r="F414" s="647"/>
      <c r="G414" s="647"/>
      <c r="H414" s="647"/>
      <c r="I414" s="647"/>
      <c r="J414" s="647"/>
      <c r="K414" s="647"/>
      <c r="L414" s="647"/>
      <c r="M414" s="647"/>
      <c r="N414" s="647"/>
      <c r="O414" s="648"/>
      <c r="P414" s="644" t="s">
        <v>40</v>
      </c>
      <c r="Q414" s="645"/>
      <c r="R414" s="645"/>
      <c r="S414" s="645"/>
      <c r="T414" s="645"/>
      <c r="U414" s="645"/>
      <c r="V414" s="646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657" t="s">
        <v>685</v>
      </c>
      <c r="B415" s="657"/>
      <c r="C415" s="657"/>
      <c r="D415" s="657"/>
      <c r="E415" s="657"/>
      <c r="F415" s="657"/>
      <c r="G415" s="657"/>
      <c r="H415" s="657"/>
      <c r="I415" s="657"/>
      <c r="J415" s="657"/>
      <c r="K415" s="657"/>
      <c r="L415" s="657"/>
      <c r="M415" s="657"/>
      <c r="N415" s="657"/>
      <c r="O415" s="657"/>
      <c r="P415" s="657"/>
      <c r="Q415" s="657"/>
      <c r="R415" s="657"/>
      <c r="S415" s="657"/>
      <c r="T415" s="657"/>
      <c r="U415" s="657"/>
      <c r="V415" s="657"/>
      <c r="W415" s="657"/>
      <c r="X415" s="657"/>
      <c r="Y415" s="657"/>
      <c r="Z415" s="657"/>
      <c r="AA415" s="65"/>
      <c r="AB415" s="65"/>
      <c r="AC415" s="79"/>
    </row>
    <row r="416" spans="1:68" ht="14.25" hidden="1" customHeight="1" x14ac:dyDescent="0.25">
      <c r="A416" s="658" t="s">
        <v>85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653">
        <v>4607091387919</v>
      </c>
      <c r="E417" s="653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655"/>
      <c r="R417" s="655"/>
      <c r="S417" s="655"/>
      <c r="T417" s="65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653">
        <v>4680115883604</v>
      </c>
      <c r="E418" s="653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719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655"/>
      <c r="R418" s="655"/>
      <c r="S418" s="655"/>
      <c r="T418" s="656"/>
      <c r="U418" s="39" t="s">
        <v>46</v>
      </c>
      <c r="V418" s="39" t="s">
        <v>46</v>
      </c>
      <c r="W418" s="40" t="s">
        <v>0</v>
      </c>
      <c r="X418" s="58">
        <v>420</v>
      </c>
      <c r="Y418" s="55">
        <f>IFERROR(IF(X418="",0,CEILING((X418/$H418),1)*$H418),"")</f>
        <v>420</v>
      </c>
      <c r="Z418" s="41">
        <f>IFERROR(IF(Y418=0,"",ROUNDUP(Y418/H418,0)*0.00651),"")</f>
        <v>1.302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470.39999999999992</v>
      </c>
      <c r="BN418" s="78">
        <f>IFERROR(Y418*I418/H418,"0")</f>
        <v>470.39999999999992</v>
      </c>
      <c r="BO418" s="78">
        <f>IFERROR(1/J418*(X418/H418),"0")</f>
        <v>1.098901098901099</v>
      </c>
      <c r="BP418" s="78">
        <f>IFERROR(1/J418*(Y418/H418),"0")</f>
        <v>1.098901098901099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653">
        <v>4680115883567</v>
      </c>
      <c r="E419" s="653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72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655"/>
      <c r="R419" s="655"/>
      <c r="S419" s="655"/>
      <c r="T419" s="656"/>
      <c r="U419" s="39" t="s">
        <v>46</v>
      </c>
      <c r="V419" s="39" t="s">
        <v>46</v>
      </c>
      <c r="W419" s="40" t="s">
        <v>0</v>
      </c>
      <c r="X419" s="58">
        <v>420</v>
      </c>
      <c r="Y419" s="55">
        <f>IFERROR(IF(X419="",0,CEILING((X419/$H419),1)*$H419),"")</f>
        <v>420</v>
      </c>
      <c r="Z419" s="41">
        <f>IFERROR(IF(Y419=0,"",ROUNDUP(Y419/H419,0)*0.00651),"")</f>
        <v>1.302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467.99999999999994</v>
      </c>
      <c r="BN419" s="78">
        <f>IFERROR(Y419*I419/H419,"0")</f>
        <v>467.99999999999994</v>
      </c>
      <c r="BO419" s="78">
        <f>IFERROR(1/J419*(X419/H419),"0")</f>
        <v>1.098901098901099</v>
      </c>
      <c r="BP419" s="78">
        <f>IFERROR(1/J419*(Y419/H419),"0")</f>
        <v>1.098901098901099</v>
      </c>
    </row>
    <row r="420" spans="1:68" x14ac:dyDescent="0.2">
      <c r="A420" s="647"/>
      <c r="B420" s="647"/>
      <c r="C420" s="647"/>
      <c r="D420" s="647"/>
      <c r="E420" s="647"/>
      <c r="F420" s="647"/>
      <c r="G420" s="647"/>
      <c r="H420" s="647"/>
      <c r="I420" s="647"/>
      <c r="J420" s="647"/>
      <c r="K420" s="647"/>
      <c r="L420" s="647"/>
      <c r="M420" s="647"/>
      <c r="N420" s="647"/>
      <c r="O420" s="648"/>
      <c r="P420" s="644" t="s">
        <v>40</v>
      </c>
      <c r="Q420" s="645"/>
      <c r="R420" s="645"/>
      <c r="S420" s="645"/>
      <c r="T420" s="645"/>
      <c r="U420" s="645"/>
      <c r="V420" s="646"/>
      <c r="W420" s="42" t="s">
        <v>39</v>
      </c>
      <c r="X420" s="43">
        <f>IFERROR(X417/H417,"0")+IFERROR(X418/H418,"0")+IFERROR(X419/H419,"0")</f>
        <v>400</v>
      </c>
      <c r="Y420" s="43">
        <f>IFERROR(Y417/H417,"0")+IFERROR(Y418/H418,"0")+IFERROR(Y419/H419,"0")</f>
        <v>400</v>
      </c>
      <c r="Z420" s="43">
        <f>IFERROR(IF(Z417="",0,Z417),"0")+IFERROR(IF(Z418="",0,Z418),"0")+IFERROR(IF(Z419="",0,Z419),"0")</f>
        <v>2.6040000000000001</v>
      </c>
      <c r="AA420" s="67"/>
      <c r="AB420" s="67"/>
      <c r="AC420" s="67"/>
    </row>
    <row r="421" spans="1:68" x14ac:dyDescent="0.2">
      <c r="A421" s="647"/>
      <c r="B421" s="647"/>
      <c r="C421" s="647"/>
      <c r="D421" s="647"/>
      <c r="E421" s="647"/>
      <c r="F421" s="647"/>
      <c r="G421" s="647"/>
      <c r="H421" s="647"/>
      <c r="I421" s="647"/>
      <c r="J421" s="647"/>
      <c r="K421" s="647"/>
      <c r="L421" s="647"/>
      <c r="M421" s="647"/>
      <c r="N421" s="647"/>
      <c r="O421" s="648"/>
      <c r="P421" s="644" t="s">
        <v>40</v>
      </c>
      <c r="Q421" s="645"/>
      <c r="R421" s="645"/>
      <c r="S421" s="645"/>
      <c r="T421" s="645"/>
      <c r="U421" s="645"/>
      <c r="V421" s="646"/>
      <c r="W421" s="42" t="s">
        <v>0</v>
      </c>
      <c r="X421" s="43">
        <f>IFERROR(SUM(X417:X419),"0")</f>
        <v>840</v>
      </c>
      <c r="Y421" s="43">
        <f>IFERROR(SUM(Y417:Y419),"0")</f>
        <v>840</v>
      </c>
      <c r="Z421" s="42"/>
      <c r="AA421" s="67"/>
      <c r="AB421" s="67"/>
      <c r="AC421" s="67"/>
    </row>
    <row r="422" spans="1:68" ht="27.75" hidden="1" customHeight="1" x14ac:dyDescent="0.2">
      <c r="A422" s="664" t="s">
        <v>695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54"/>
      <c r="AB422" s="54"/>
      <c r="AC422" s="54"/>
    </row>
    <row r="423" spans="1:68" ht="16.5" hidden="1" customHeight="1" x14ac:dyDescent="0.25">
      <c r="A423" s="657" t="s">
        <v>696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5"/>
      <c r="AB423" s="65"/>
      <c r="AC423" s="79"/>
    </row>
    <row r="424" spans="1:68" ht="14.25" hidden="1" customHeight="1" x14ac:dyDescent="0.25">
      <c r="A424" s="658" t="s">
        <v>123</v>
      </c>
      <c r="B424" s="658"/>
      <c r="C424" s="658"/>
      <c r="D424" s="658"/>
      <c r="E424" s="658"/>
      <c r="F424" s="658"/>
      <c r="G424" s="658"/>
      <c r="H424" s="658"/>
      <c r="I424" s="658"/>
      <c r="J424" s="658"/>
      <c r="K424" s="658"/>
      <c r="L424" s="658"/>
      <c r="M424" s="658"/>
      <c r="N424" s="658"/>
      <c r="O424" s="658"/>
      <c r="P424" s="658"/>
      <c r="Q424" s="658"/>
      <c r="R424" s="658"/>
      <c r="S424" s="658"/>
      <c r="T424" s="658"/>
      <c r="U424" s="658"/>
      <c r="V424" s="658"/>
      <c r="W424" s="658"/>
      <c r="X424" s="658"/>
      <c r="Y424" s="658"/>
      <c r="Z424" s="658"/>
      <c r="AA424" s="66"/>
      <c r="AB424" s="66"/>
      <c r="AC424" s="80"/>
    </row>
    <row r="425" spans="1:68" ht="27" customHeight="1" x14ac:dyDescent="0.25">
      <c r="A425" s="63" t="s">
        <v>697</v>
      </c>
      <c r="B425" s="63" t="s">
        <v>698</v>
      </c>
      <c r="C425" s="36">
        <v>4301012332</v>
      </c>
      <c r="D425" s="653">
        <v>4680115888401</v>
      </c>
      <c r="E425" s="653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71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655"/>
      <c r="R425" s="655"/>
      <c r="S425" s="655"/>
      <c r="T425" s="656"/>
      <c r="U425" s="39" t="s">
        <v>46</v>
      </c>
      <c r="V425" s="39" t="s">
        <v>46</v>
      </c>
      <c r="W425" s="40" t="s">
        <v>0</v>
      </c>
      <c r="X425" s="58">
        <v>200</v>
      </c>
      <c r="Y425" s="55">
        <f t="shared" ref="Y425:Y432" si="64">IFERROR(IF(X425="",0,CEILING((X425/$H425),1)*$H425),"")</f>
        <v>210</v>
      </c>
      <c r="Z425" s="41">
        <f>IFERROR(IF(Y425=0,"",ROUNDUP(Y425/H425,0)*0.02175),"")</f>
        <v>0.30449999999999999</v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206.26666666666668</v>
      </c>
      <c r="BN425" s="78">
        <f t="shared" ref="BN425:BN432" si="66">IFERROR(Y425*I425/H425,"0")</f>
        <v>216.58</v>
      </c>
      <c r="BO425" s="78">
        <f t="shared" ref="BO425:BO432" si="67">IFERROR(1/J425*(X425/H425),"0")</f>
        <v>0.27777777777777779</v>
      </c>
      <c r="BP425" s="78">
        <f t="shared" ref="BP425:BP432" si="68">IFERROR(1/J425*(Y425/H425),"0")</f>
        <v>0.29166666666666663</v>
      </c>
    </row>
    <row r="426" spans="1:68" ht="37.5" hidden="1" customHeight="1" x14ac:dyDescent="0.25">
      <c r="A426" s="63" t="s">
        <v>700</v>
      </c>
      <c r="B426" s="63" t="s">
        <v>701</v>
      </c>
      <c r="C426" s="36">
        <v>4301011869</v>
      </c>
      <c r="D426" s="653">
        <v>4680115884847</v>
      </c>
      <c r="E426" s="653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71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655"/>
      <c r="R426" s="655"/>
      <c r="S426" s="655"/>
      <c r="T426" s="656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4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0</v>
      </c>
      <c r="BN426" s="78">
        <f t="shared" si="66"/>
        <v>0</v>
      </c>
      <c r="BO426" s="78">
        <f t="shared" si="67"/>
        <v>0</v>
      </c>
      <c r="BP426" s="78">
        <f t="shared" si="68"/>
        <v>0</v>
      </c>
    </row>
    <row r="427" spans="1:68" ht="27" hidden="1" customHeight="1" x14ac:dyDescent="0.25">
      <c r="A427" s="63" t="s">
        <v>703</v>
      </c>
      <c r="B427" s="63" t="s">
        <v>704</v>
      </c>
      <c r="C427" s="36">
        <v>4301012083</v>
      </c>
      <c r="D427" s="653">
        <v>4680115884854</v>
      </c>
      <c r="E427" s="653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71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655"/>
      <c r="R427" s="655"/>
      <c r="S427" s="655"/>
      <c r="T427" s="656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4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0</v>
      </c>
      <c r="BN427" s="78">
        <f t="shared" si="66"/>
        <v>0</v>
      </c>
      <c r="BO427" s="78">
        <f t="shared" si="67"/>
        <v>0</v>
      </c>
      <c r="BP427" s="78">
        <f t="shared" si="68"/>
        <v>0</v>
      </c>
    </row>
    <row r="428" spans="1:68" ht="27" hidden="1" customHeight="1" x14ac:dyDescent="0.25">
      <c r="A428" s="63" t="s">
        <v>706</v>
      </c>
      <c r="B428" s="63" t="s">
        <v>707</v>
      </c>
      <c r="C428" s="36">
        <v>4301011867</v>
      </c>
      <c r="D428" s="653">
        <v>4680115884830</v>
      </c>
      <c r="E428" s="653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71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655"/>
      <c r="R428" s="655"/>
      <c r="S428" s="655"/>
      <c r="T428" s="656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4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0</v>
      </c>
      <c r="BN428" s="78">
        <f t="shared" si="66"/>
        <v>0</v>
      </c>
      <c r="BO428" s="78">
        <f t="shared" si="67"/>
        <v>0</v>
      </c>
      <c r="BP428" s="78">
        <f t="shared" si="68"/>
        <v>0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653">
        <v>4680115889231</v>
      </c>
      <c r="E429" s="653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71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655"/>
      <c r="R429" s="655"/>
      <c r="S429" s="655"/>
      <c r="T429" s="656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653">
        <v>4680115882638</v>
      </c>
      <c r="E430" s="653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71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655"/>
      <c r="R430" s="655"/>
      <c r="S430" s="655"/>
      <c r="T430" s="656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653">
        <v>4680115884922</v>
      </c>
      <c r="E431" s="653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7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655"/>
      <c r="R431" s="655"/>
      <c r="S431" s="655"/>
      <c r="T431" s="65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653">
        <v>4680115884861</v>
      </c>
      <c r="E432" s="653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71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655"/>
      <c r="R432" s="655"/>
      <c r="S432" s="655"/>
      <c r="T432" s="65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647"/>
      <c r="B433" s="647"/>
      <c r="C433" s="647"/>
      <c r="D433" s="647"/>
      <c r="E433" s="647"/>
      <c r="F433" s="647"/>
      <c r="G433" s="647"/>
      <c r="H433" s="647"/>
      <c r="I433" s="647"/>
      <c r="J433" s="647"/>
      <c r="K433" s="647"/>
      <c r="L433" s="647"/>
      <c r="M433" s="647"/>
      <c r="N433" s="647"/>
      <c r="O433" s="648"/>
      <c r="P433" s="644" t="s">
        <v>40</v>
      </c>
      <c r="Q433" s="645"/>
      <c r="R433" s="645"/>
      <c r="S433" s="645"/>
      <c r="T433" s="645"/>
      <c r="U433" s="645"/>
      <c r="V433" s="646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13.333333333333334</v>
      </c>
      <c r="Y433" s="43">
        <f>IFERROR(Y425/H425,"0")+IFERROR(Y426/H426,"0")+IFERROR(Y427/H427,"0")+IFERROR(Y428/H428,"0")+IFERROR(Y429/H429,"0")+IFERROR(Y430/H430,"0")+IFERROR(Y431/H431,"0")+IFERROR(Y432/H432,"0")</f>
        <v>14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0.30449999999999999</v>
      </c>
      <c r="AA433" s="67"/>
      <c r="AB433" s="67"/>
      <c r="AC433" s="67"/>
    </row>
    <row r="434" spans="1:68" x14ac:dyDescent="0.2">
      <c r="A434" s="647"/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8"/>
      <c r="P434" s="644" t="s">
        <v>40</v>
      </c>
      <c r="Q434" s="645"/>
      <c r="R434" s="645"/>
      <c r="S434" s="645"/>
      <c r="T434" s="645"/>
      <c r="U434" s="645"/>
      <c r="V434" s="646"/>
      <c r="W434" s="42" t="s">
        <v>0</v>
      </c>
      <c r="X434" s="43">
        <f>IFERROR(SUM(X425:X432),"0")</f>
        <v>200</v>
      </c>
      <c r="Y434" s="43">
        <f>IFERROR(SUM(Y425:Y432),"0")</f>
        <v>210</v>
      </c>
      <c r="Z434" s="42"/>
      <c r="AA434" s="67"/>
      <c r="AB434" s="67"/>
      <c r="AC434" s="67"/>
    </row>
    <row r="435" spans="1:68" ht="14.25" hidden="1" customHeight="1" x14ac:dyDescent="0.25">
      <c r="A435" s="658" t="s">
        <v>156</v>
      </c>
      <c r="B435" s="658"/>
      <c r="C435" s="658"/>
      <c r="D435" s="658"/>
      <c r="E435" s="658"/>
      <c r="F435" s="658"/>
      <c r="G435" s="658"/>
      <c r="H435" s="658"/>
      <c r="I435" s="658"/>
      <c r="J435" s="658"/>
      <c r="K435" s="658"/>
      <c r="L435" s="658"/>
      <c r="M435" s="658"/>
      <c r="N435" s="658"/>
      <c r="O435" s="658"/>
      <c r="P435" s="658"/>
      <c r="Q435" s="658"/>
      <c r="R435" s="658"/>
      <c r="S435" s="658"/>
      <c r="T435" s="658"/>
      <c r="U435" s="658"/>
      <c r="V435" s="658"/>
      <c r="W435" s="658"/>
      <c r="X435" s="658"/>
      <c r="Y435" s="658"/>
      <c r="Z435" s="658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4301020178</v>
      </c>
      <c r="D436" s="653">
        <v>4607091383980</v>
      </c>
      <c r="E436" s="65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7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655"/>
      <c r="R436" s="655"/>
      <c r="S436" s="655"/>
      <c r="T436" s="656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653">
        <v>4680115888425</v>
      </c>
      <c r="E437" s="65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70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655"/>
      <c r="R437" s="655"/>
      <c r="S437" s="655"/>
      <c r="T437" s="656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653">
        <v>4607091384178</v>
      </c>
      <c r="E438" s="653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71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655"/>
      <c r="R438" s="655"/>
      <c r="S438" s="655"/>
      <c r="T438" s="656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idden="1" x14ac:dyDescent="0.2">
      <c r="A439" s="647"/>
      <c r="B439" s="647"/>
      <c r="C439" s="647"/>
      <c r="D439" s="647"/>
      <c r="E439" s="647"/>
      <c r="F439" s="647"/>
      <c r="G439" s="647"/>
      <c r="H439" s="647"/>
      <c r="I439" s="647"/>
      <c r="J439" s="647"/>
      <c r="K439" s="647"/>
      <c r="L439" s="647"/>
      <c r="M439" s="647"/>
      <c r="N439" s="647"/>
      <c r="O439" s="648"/>
      <c r="P439" s="644" t="s">
        <v>40</v>
      </c>
      <c r="Q439" s="645"/>
      <c r="R439" s="645"/>
      <c r="S439" s="645"/>
      <c r="T439" s="645"/>
      <c r="U439" s="645"/>
      <c r="V439" s="646"/>
      <c r="W439" s="42" t="s">
        <v>39</v>
      </c>
      <c r="X439" s="43">
        <f>IFERROR(X436/H436,"0")+IFERROR(X437/H437,"0")+IFERROR(X438/H438,"0")</f>
        <v>0</v>
      </c>
      <c r="Y439" s="43">
        <f>IFERROR(Y436/H436,"0")+IFERROR(Y437/H437,"0")+IFERROR(Y438/H438,"0")</f>
        <v>0</v>
      </c>
      <c r="Z439" s="43">
        <f>IFERROR(IF(Z436="",0,Z436),"0")+IFERROR(IF(Z437="",0,Z437),"0")+IFERROR(IF(Z438="",0,Z438),"0")</f>
        <v>0</v>
      </c>
      <c r="AA439" s="67"/>
      <c r="AB439" s="67"/>
      <c r="AC439" s="67"/>
    </row>
    <row r="440" spans="1:68" hidden="1" x14ac:dyDescent="0.2">
      <c r="A440" s="647"/>
      <c r="B440" s="647"/>
      <c r="C440" s="647"/>
      <c r="D440" s="647"/>
      <c r="E440" s="647"/>
      <c r="F440" s="647"/>
      <c r="G440" s="647"/>
      <c r="H440" s="647"/>
      <c r="I440" s="647"/>
      <c r="J440" s="647"/>
      <c r="K440" s="647"/>
      <c r="L440" s="647"/>
      <c r="M440" s="647"/>
      <c r="N440" s="647"/>
      <c r="O440" s="648"/>
      <c r="P440" s="644" t="s">
        <v>40</v>
      </c>
      <c r="Q440" s="645"/>
      <c r="R440" s="645"/>
      <c r="S440" s="645"/>
      <c r="T440" s="645"/>
      <c r="U440" s="645"/>
      <c r="V440" s="646"/>
      <c r="W440" s="42" t="s">
        <v>0</v>
      </c>
      <c r="X440" s="43">
        <f>IFERROR(SUM(X436:X438),"0")</f>
        <v>0</v>
      </c>
      <c r="Y440" s="43">
        <f>IFERROR(SUM(Y436:Y438),"0")</f>
        <v>0</v>
      </c>
      <c r="Z440" s="42"/>
      <c r="AA440" s="67"/>
      <c r="AB440" s="67"/>
      <c r="AC440" s="67"/>
    </row>
    <row r="441" spans="1:68" ht="14.25" hidden="1" customHeight="1" x14ac:dyDescent="0.25">
      <c r="A441" s="658" t="s">
        <v>85</v>
      </c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8"/>
      <c r="P441" s="658"/>
      <c r="Q441" s="658"/>
      <c r="R441" s="658"/>
      <c r="S441" s="658"/>
      <c r="T441" s="658"/>
      <c r="U441" s="658"/>
      <c r="V441" s="658"/>
      <c r="W441" s="658"/>
      <c r="X441" s="658"/>
      <c r="Y441" s="658"/>
      <c r="Z441" s="658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653">
        <v>4607091383928</v>
      </c>
      <c r="E442" s="653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655"/>
      <c r="R442" s="655"/>
      <c r="S442" s="655"/>
      <c r="T442" s="65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customHeight="1" x14ac:dyDescent="0.25">
      <c r="A443" s="63" t="s">
        <v>733</v>
      </c>
      <c r="B443" s="63" t="s">
        <v>734</v>
      </c>
      <c r="C443" s="36">
        <v>4301051897</v>
      </c>
      <c r="D443" s="653">
        <v>4607091384260</v>
      </c>
      <c r="E443" s="653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655"/>
      <c r="R443" s="655"/>
      <c r="S443" s="655"/>
      <c r="T443" s="656"/>
      <c r="U443" s="39" t="s">
        <v>46</v>
      </c>
      <c r="V443" s="39" t="s">
        <v>46</v>
      </c>
      <c r="W443" s="40" t="s">
        <v>0</v>
      </c>
      <c r="X443" s="58">
        <v>50</v>
      </c>
      <c r="Y443" s="55">
        <f>IFERROR(IF(X443="",0,CEILING((X443/$H443),1)*$H443),"")</f>
        <v>54</v>
      </c>
      <c r="Z443" s="41">
        <f>IFERROR(IF(Y443=0,"",ROUNDUP(Y443/H443,0)*0.01898),"")</f>
        <v>0.11388000000000001</v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52.74444444444444</v>
      </c>
      <c r="BN443" s="78">
        <f>IFERROR(Y443*I443/H443,"0")</f>
        <v>56.963999999999992</v>
      </c>
      <c r="BO443" s="78">
        <f>IFERROR(1/J443*(X443/H443),"0")</f>
        <v>8.6805555555555552E-2</v>
      </c>
      <c r="BP443" s="78">
        <f>IFERROR(1/J443*(Y443/H443),"0")</f>
        <v>9.375E-2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653">
        <v>4680115889538</v>
      </c>
      <c r="E444" s="653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655"/>
      <c r="R444" s="655"/>
      <c r="S444" s="655"/>
      <c r="T444" s="65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x14ac:dyDescent="0.2">
      <c r="A445" s="647"/>
      <c r="B445" s="647"/>
      <c r="C445" s="647"/>
      <c r="D445" s="647"/>
      <c r="E445" s="647"/>
      <c r="F445" s="647"/>
      <c r="G445" s="647"/>
      <c r="H445" s="647"/>
      <c r="I445" s="647"/>
      <c r="J445" s="647"/>
      <c r="K445" s="647"/>
      <c r="L445" s="647"/>
      <c r="M445" s="647"/>
      <c r="N445" s="647"/>
      <c r="O445" s="648"/>
      <c r="P445" s="644" t="s">
        <v>40</v>
      </c>
      <c r="Q445" s="645"/>
      <c r="R445" s="645"/>
      <c r="S445" s="645"/>
      <c r="T445" s="645"/>
      <c r="U445" s="645"/>
      <c r="V445" s="646"/>
      <c r="W445" s="42" t="s">
        <v>39</v>
      </c>
      <c r="X445" s="43">
        <f>IFERROR(X442/H442,"0")+IFERROR(X443/H443,"0")+IFERROR(X444/H444,"0")</f>
        <v>5.5555555555555554</v>
      </c>
      <c r="Y445" s="43">
        <f>IFERROR(Y442/H442,"0")+IFERROR(Y443/H443,"0")+IFERROR(Y444/H444,"0")</f>
        <v>6</v>
      </c>
      <c r="Z445" s="43">
        <f>IFERROR(IF(Z442="",0,Z442),"0")+IFERROR(IF(Z443="",0,Z443),"0")+IFERROR(IF(Z444="",0,Z444),"0")</f>
        <v>0.11388000000000001</v>
      </c>
      <c r="AA445" s="67"/>
      <c r="AB445" s="67"/>
      <c r="AC445" s="67"/>
    </row>
    <row r="446" spans="1:68" x14ac:dyDescent="0.2">
      <c r="A446" s="647"/>
      <c r="B446" s="647"/>
      <c r="C446" s="647"/>
      <c r="D446" s="647"/>
      <c r="E446" s="647"/>
      <c r="F446" s="647"/>
      <c r="G446" s="647"/>
      <c r="H446" s="647"/>
      <c r="I446" s="647"/>
      <c r="J446" s="647"/>
      <c r="K446" s="647"/>
      <c r="L446" s="647"/>
      <c r="M446" s="647"/>
      <c r="N446" s="647"/>
      <c r="O446" s="648"/>
      <c r="P446" s="644" t="s">
        <v>40</v>
      </c>
      <c r="Q446" s="645"/>
      <c r="R446" s="645"/>
      <c r="S446" s="645"/>
      <c r="T446" s="645"/>
      <c r="U446" s="645"/>
      <c r="V446" s="646"/>
      <c r="W446" s="42" t="s">
        <v>0</v>
      </c>
      <c r="X446" s="43">
        <f>IFERROR(SUM(X442:X444),"0")</f>
        <v>50</v>
      </c>
      <c r="Y446" s="43">
        <f>IFERROR(SUM(Y442:Y444),"0")</f>
        <v>54</v>
      </c>
      <c r="Z446" s="42"/>
      <c r="AA446" s="67"/>
      <c r="AB446" s="67"/>
      <c r="AC446" s="67"/>
    </row>
    <row r="447" spans="1:68" ht="14.25" hidden="1" customHeight="1" x14ac:dyDescent="0.25">
      <c r="A447" s="658" t="s">
        <v>173</v>
      </c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8"/>
      <c r="P447" s="658"/>
      <c r="Q447" s="658"/>
      <c r="R447" s="658"/>
      <c r="S447" s="658"/>
      <c r="T447" s="658"/>
      <c r="U447" s="658"/>
      <c r="V447" s="658"/>
      <c r="W447" s="658"/>
      <c r="X447" s="658"/>
      <c r="Y447" s="658"/>
      <c r="Z447" s="658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653">
        <v>4680115889545</v>
      </c>
      <c r="E448" s="653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655"/>
      <c r="R448" s="655"/>
      <c r="S448" s="655"/>
      <c r="T448" s="65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653">
        <v>4607091384673</v>
      </c>
      <c r="E449" s="65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655"/>
      <c r="R449" s="655"/>
      <c r="S449" s="655"/>
      <c r="T449" s="65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47"/>
      <c r="B450" s="647"/>
      <c r="C450" s="647"/>
      <c r="D450" s="647"/>
      <c r="E450" s="647"/>
      <c r="F450" s="647"/>
      <c r="G450" s="647"/>
      <c r="H450" s="647"/>
      <c r="I450" s="647"/>
      <c r="J450" s="647"/>
      <c r="K450" s="647"/>
      <c r="L450" s="647"/>
      <c r="M450" s="647"/>
      <c r="N450" s="647"/>
      <c r="O450" s="648"/>
      <c r="P450" s="644" t="s">
        <v>40</v>
      </c>
      <c r="Q450" s="645"/>
      <c r="R450" s="645"/>
      <c r="S450" s="645"/>
      <c r="T450" s="645"/>
      <c r="U450" s="645"/>
      <c r="V450" s="646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647"/>
      <c r="B451" s="647"/>
      <c r="C451" s="647"/>
      <c r="D451" s="647"/>
      <c r="E451" s="647"/>
      <c r="F451" s="647"/>
      <c r="G451" s="647"/>
      <c r="H451" s="647"/>
      <c r="I451" s="647"/>
      <c r="J451" s="647"/>
      <c r="K451" s="647"/>
      <c r="L451" s="647"/>
      <c r="M451" s="647"/>
      <c r="N451" s="647"/>
      <c r="O451" s="648"/>
      <c r="P451" s="644" t="s">
        <v>40</v>
      </c>
      <c r="Q451" s="645"/>
      <c r="R451" s="645"/>
      <c r="S451" s="645"/>
      <c r="T451" s="645"/>
      <c r="U451" s="645"/>
      <c r="V451" s="646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657" t="s">
        <v>745</v>
      </c>
      <c r="B452" s="657"/>
      <c r="C452" s="657"/>
      <c r="D452" s="657"/>
      <c r="E452" s="657"/>
      <c r="F452" s="657"/>
      <c r="G452" s="657"/>
      <c r="H452" s="657"/>
      <c r="I452" s="657"/>
      <c r="J452" s="657"/>
      <c r="K452" s="657"/>
      <c r="L452" s="657"/>
      <c r="M452" s="657"/>
      <c r="N452" s="657"/>
      <c r="O452" s="657"/>
      <c r="P452" s="657"/>
      <c r="Q452" s="657"/>
      <c r="R452" s="657"/>
      <c r="S452" s="657"/>
      <c r="T452" s="657"/>
      <c r="U452" s="657"/>
      <c r="V452" s="657"/>
      <c r="W452" s="657"/>
      <c r="X452" s="657"/>
      <c r="Y452" s="657"/>
      <c r="Z452" s="657"/>
      <c r="AA452" s="65"/>
      <c r="AB452" s="65"/>
      <c r="AC452" s="79"/>
    </row>
    <row r="453" spans="1:68" ht="14.25" hidden="1" customHeight="1" x14ac:dyDescent="0.25">
      <c r="A453" s="658" t="s">
        <v>123</v>
      </c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8"/>
      <c r="P453" s="658"/>
      <c r="Q453" s="658"/>
      <c r="R453" s="658"/>
      <c r="S453" s="658"/>
      <c r="T453" s="658"/>
      <c r="U453" s="658"/>
      <c r="V453" s="658"/>
      <c r="W453" s="658"/>
      <c r="X453" s="658"/>
      <c r="Y453" s="658"/>
      <c r="Z453" s="658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653">
        <v>4680115884885</v>
      </c>
      <c r="E454" s="653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7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655"/>
      <c r="R454" s="655"/>
      <c r="S454" s="655"/>
      <c r="T454" s="65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653">
        <v>4680115884908</v>
      </c>
      <c r="E455" s="653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7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655"/>
      <c r="R455" s="655"/>
      <c r="S455" s="655"/>
      <c r="T455" s="65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47"/>
      <c r="B456" s="647"/>
      <c r="C456" s="647"/>
      <c r="D456" s="647"/>
      <c r="E456" s="647"/>
      <c r="F456" s="647"/>
      <c r="G456" s="647"/>
      <c r="H456" s="647"/>
      <c r="I456" s="647"/>
      <c r="J456" s="647"/>
      <c r="K456" s="647"/>
      <c r="L456" s="647"/>
      <c r="M456" s="647"/>
      <c r="N456" s="647"/>
      <c r="O456" s="648"/>
      <c r="P456" s="644" t="s">
        <v>40</v>
      </c>
      <c r="Q456" s="645"/>
      <c r="R456" s="645"/>
      <c r="S456" s="645"/>
      <c r="T456" s="645"/>
      <c r="U456" s="645"/>
      <c r="V456" s="646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647"/>
      <c r="B457" s="647"/>
      <c r="C457" s="647"/>
      <c r="D457" s="647"/>
      <c r="E457" s="647"/>
      <c r="F457" s="647"/>
      <c r="G457" s="647"/>
      <c r="H457" s="647"/>
      <c r="I457" s="647"/>
      <c r="J457" s="647"/>
      <c r="K457" s="647"/>
      <c r="L457" s="647"/>
      <c r="M457" s="647"/>
      <c r="N457" s="647"/>
      <c r="O457" s="648"/>
      <c r="P457" s="644" t="s">
        <v>40</v>
      </c>
      <c r="Q457" s="645"/>
      <c r="R457" s="645"/>
      <c r="S457" s="645"/>
      <c r="T457" s="645"/>
      <c r="U457" s="645"/>
      <c r="V457" s="646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58" t="s">
        <v>76</v>
      </c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8"/>
      <c r="P458" s="658"/>
      <c r="Q458" s="658"/>
      <c r="R458" s="658"/>
      <c r="S458" s="658"/>
      <c r="T458" s="658"/>
      <c r="U458" s="658"/>
      <c r="V458" s="658"/>
      <c r="W458" s="658"/>
      <c r="X458" s="658"/>
      <c r="Y458" s="658"/>
      <c r="Z458" s="658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653">
        <v>4607091384802</v>
      </c>
      <c r="E459" s="653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69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655"/>
      <c r="R459" s="655"/>
      <c r="S459" s="655"/>
      <c r="T459" s="65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647"/>
      <c r="B460" s="647"/>
      <c r="C460" s="647"/>
      <c r="D460" s="647"/>
      <c r="E460" s="647"/>
      <c r="F460" s="647"/>
      <c r="G460" s="647"/>
      <c r="H460" s="647"/>
      <c r="I460" s="647"/>
      <c r="J460" s="647"/>
      <c r="K460" s="647"/>
      <c r="L460" s="647"/>
      <c r="M460" s="647"/>
      <c r="N460" s="647"/>
      <c r="O460" s="648"/>
      <c r="P460" s="644" t="s">
        <v>40</v>
      </c>
      <c r="Q460" s="645"/>
      <c r="R460" s="645"/>
      <c r="S460" s="645"/>
      <c r="T460" s="645"/>
      <c r="U460" s="645"/>
      <c r="V460" s="646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647"/>
      <c r="B461" s="647"/>
      <c r="C461" s="647"/>
      <c r="D461" s="647"/>
      <c r="E461" s="647"/>
      <c r="F461" s="647"/>
      <c r="G461" s="647"/>
      <c r="H461" s="647"/>
      <c r="I461" s="647"/>
      <c r="J461" s="647"/>
      <c r="K461" s="647"/>
      <c r="L461" s="647"/>
      <c r="M461" s="647"/>
      <c r="N461" s="647"/>
      <c r="O461" s="648"/>
      <c r="P461" s="644" t="s">
        <v>40</v>
      </c>
      <c r="Q461" s="645"/>
      <c r="R461" s="645"/>
      <c r="S461" s="645"/>
      <c r="T461" s="645"/>
      <c r="U461" s="645"/>
      <c r="V461" s="646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658" t="s">
        <v>85</v>
      </c>
      <c r="B462" s="658"/>
      <c r="C462" s="658"/>
      <c r="D462" s="658"/>
      <c r="E462" s="658"/>
      <c r="F462" s="658"/>
      <c r="G462" s="658"/>
      <c r="H462" s="658"/>
      <c r="I462" s="658"/>
      <c r="J462" s="658"/>
      <c r="K462" s="658"/>
      <c r="L462" s="658"/>
      <c r="M462" s="658"/>
      <c r="N462" s="658"/>
      <c r="O462" s="658"/>
      <c r="P462" s="658"/>
      <c r="Q462" s="658"/>
      <c r="R462" s="658"/>
      <c r="S462" s="658"/>
      <c r="T462" s="658"/>
      <c r="U462" s="658"/>
      <c r="V462" s="658"/>
      <c r="W462" s="658"/>
      <c r="X462" s="658"/>
      <c r="Y462" s="658"/>
      <c r="Z462" s="658"/>
      <c r="AA462" s="66"/>
      <c r="AB462" s="66"/>
      <c r="AC462" s="80"/>
    </row>
    <row r="463" spans="1:68" ht="27" hidden="1" customHeight="1" x14ac:dyDescent="0.25">
      <c r="A463" s="63" t="s">
        <v>754</v>
      </c>
      <c r="B463" s="63" t="s">
        <v>755</v>
      </c>
      <c r="C463" s="36">
        <v>4301051899</v>
      </c>
      <c r="D463" s="653">
        <v>4607091384246</v>
      </c>
      <c r="E463" s="653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6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655"/>
      <c r="R463" s="655"/>
      <c r="S463" s="655"/>
      <c r="T463" s="656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27" hidden="1" customHeight="1" x14ac:dyDescent="0.25">
      <c r="A464" s="63" t="s">
        <v>757</v>
      </c>
      <c r="B464" s="63" t="s">
        <v>758</v>
      </c>
      <c r="C464" s="36">
        <v>4301051660</v>
      </c>
      <c r="D464" s="653">
        <v>4607091384253</v>
      </c>
      <c r="E464" s="653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655"/>
      <c r="R464" s="655"/>
      <c r="S464" s="655"/>
      <c r="T464" s="656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IFERROR(IF(Y464=0,"",ROUNDUP(Y464/H464,0)*0.00651),"")</f>
        <v/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653">
        <v>4607091384253</v>
      </c>
      <c r="E465" s="653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6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655"/>
      <c r="R465" s="655"/>
      <c r="S465" s="655"/>
      <c r="T465" s="65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647"/>
      <c r="B466" s="647"/>
      <c r="C466" s="647"/>
      <c r="D466" s="647"/>
      <c r="E466" s="647"/>
      <c r="F466" s="647"/>
      <c r="G466" s="647"/>
      <c r="H466" s="647"/>
      <c r="I466" s="647"/>
      <c r="J466" s="647"/>
      <c r="K466" s="647"/>
      <c r="L466" s="647"/>
      <c r="M466" s="647"/>
      <c r="N466" s="647"/>
      <c r="O466" s="648"/>
      <c r="P466" s="644" t="s">
        <v>40</v>
      </c>
      <c r="Q466" s="645"/>
      <c r="R466" s="645"/>
      <c r="S466" s="645"/>
      <c r="T466" s="645"/>
      <c r="U466" s="645"/>
      <c r="V466" s="646"/>
      <c r="W466" s="42" t="s">
        <v>39</v>
      </c>
      <c r="X466" s="43">
        <f>IFERROR(X463/H463,"0")+IFERROR(X464/H464,"0")+IFERROR(X465/H465,"0")</f>
        <v>0</v>
      </c>
      <c r="Y466" s="43">
        <f>IFERROR(Y463/H463,"0")+IFERROR(Y464/H464,"0")+IFERROR(Y465/H465,"0")</f>
        <v>0</v>
      </c>
      <c r="Z466" s="43">
        <f>IFERROR(IF(Z463="",0,Z463),"0")+IFERROR(IF(Z464="",0,Z464),"0")+IFERROR(IF(Z465="",0,Z465),"0")</f>
        <v>0</v>
      </c>
      <c r="AA466" s="67"/>
      <c r="AB466" s="67"/>
      <c r="AC466" s="67"/>
    </row>
    <row r="467" spans="1:68" hidden="1" x14ac:dyDescent="0.2">
      <c r="A467" s="647"/>
      <c r="B467" s="647"/>
      <c r="C467" s="647"/>
      <c r="D467" s="647"/>
      <c r="E467" s="647"/>
      <c r="F467" s="647"/>
      <c r="G467" s="647"/>
      <c r="H467" s="647"/>
      <c r="I467" s="647"/>
      <c r="J467" s="647"/>
      <c r="K467" s="647"/>
      <c r="L467" s="647"/>
      <c r="M467" s="647"/>
      <c r="N467" s="647"/>
      <c r="O467" s="648"/>
      <c r="P467" s="644" t="s">
        <v>40</v>
      </c>
      <c r="Q467" s="645"/>
      <c r="R467" s="645"/>
      <c r="S467" s="645"/>
      <c r="T467" s="645"/>
      <c r="U467" s="645"/>
      <c r="V467" s="646"/>
      <c r="W467" s="42" t="s">
        <v>0</v>
      </c>
      <c r="X467" s="43">
        <f>IFERROR(SUM(X463:X465),"0")</f>
        <v>0</v>
      </c>
      <c r="Y467" s="43">
        <f>IFERROR(SUM(Y463:Y465),"0")</f>
        <v>0</v>
      </c>
      <c r="Z467" s="42"/>
      <c r="AA467" s="67"/>
      <c r="AB467" s="67"/>
      <c r="AC467" s="67"/>
    </row>
    <row r="468" spans="1:68" ht="27.75" hidden="1" customHeight="1" x14ac:dyDescent="0.2">
      <c r="A468" s="664" t="s">
        <v>761</v>
      </c>
      <c r="B468" s="664"/>
      <c r="C468" s="664"/>
      <c r="D468" s="664"/>
      <c r="E468" s="664"/>
      <c r="F468" s="664"/>
      <c r="G468" s="664"/>
      <c r="H468" s="664"/>
      <c r="I468" s="664"/>
      <c r="J468" s="664"/>
      <c r="K468" s="664"/>
      <c r="L468" s="664"/>
      <c r="M468" s="664"/>
      <c r="N468" s="664"/>
      <c r="O468" s="664"/>
      <c r="P468" s="664"/>
      <c r="Q468" s="664"/>
      <c r="R468" s="664"/>
      <c r="S468" s="664"/>
      <c r="T468" s="664"/>
      <c r="U468" s="664"/>
      <c r="V468" s="664"/>
      <c r="W468" s="664"/>
      <c r="X468" s="664"/>
      <c r="Y468" s="664"/>
      <c r="Z468" s="664"/>
      <c r="AA468" s="54"/>
      <c r="AB468" s="54"/>
      <c r="AC468" s="54"/>
    </row>
    <row r="469" spans="1:68" ht="16.5" hidden="1" customHeight="1" x14ac:dyDescent="0.25">
      <c r="A469" s="657" t="s">
        <v>762</v>
      </c>
      <c r="B469" s="657"/>
      <c r="C469" s="657"/>
      <c r="D469" s="657"/>
      <c r="E469" s="657"/>
      <c r="F469" s="657"/>
      <c r="G469" s="657"/>
      <c r="H469" s="657"/>
      <c r="I469" s="657"/>
      <c r="J469" s="657"/>
      <c r="K469" s="657"/>
      <c r="L469" s="657"/>
      <c r="M469" s="657"/>
      <c r="N469" s="657"/>
      <c r="O469" s="657"/>
      <c r="P469" s="657"/>
      <c r="Q469" s="657"/>
      <c r="R469" s="657"/>
      <c r="S469" s="657"/>
      <c r="T469" s="657"/>
      <c r="U469" s="657"/>
      <c r="V469" s="657"/>
      <c r="W469" s="657"/>
      <c r="X469" s="657"/>
      <c r="Y469" s="657"/>
      <c r="Z469" s="657"/>
      <c r="AA469" s="65"/>
      <c r="AB469" s="65"/>
      <c r="AC469" s="79"/>
    </row>
    <row r="470" spans="1:68" ht="14.25" hidden="1" customHeight="1" x14ac:dyDescent="0.25">
      <c r="A470" s="658" t="s">
        <v>76</v>
      </c>
      <c r="B470" s="658"/>
      <c r="C470" s="658"/>
      <c r="D470" s="658"/>
      <c r="E470" s="658"/>
      <c r="F470" s="658"/>
      <c r="G470" s="658"/>
      <c r="H470" s="658"/>
      <c r="I470" s="658"/>
      <c r="J470" s="658"/>
      <c r="K470" s="658"/>
      <c r="L470" s="658"/>
      <c r="M470" s="658"/>
      <c r="N470" s="658"/>
      <c r="O470" s="658"/>
      <c r="P470" s="658"/>
      <c r="Q470" s="658"/>
      <c r="R470" s="658"/>
      <c r="S470" s="658"/>
      <c r="T470" s="658"/>
      <c r="U470" s="658"/>
      <c r="V470" s="658"/>
      <c r="W470" s="658"/>
      <c r="X470" s="658"/>
      <c r="Y470" s="658"/>
      <c r="Z470" s="658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653">
        <v>4680115886100</v>
      </c>
      <c r="E471" s="653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69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655"/>
      <c r="R471" s="655"/>
      <c r="S471" s="655"/>
      <c r="T471" s="656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653">
        <v>4680115886124</v>
      </c>
      <c r="E472" s="653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655"/>
      <c r="R472" s="655"/>
      <c r="S472" s="655"/>
      <c r="T472" s="656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653">
        <v>4607091384338</v>
      </c>
      <c r="E473" s="653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655"/>
      <c r="R473" s="655"/>
      <c r="S473" s="655"/>
      <c r="T473" s="656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653">
        <v>4680115883161</v>
      </c>
      <c r="E474" s="653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655"/>
      <c r="R474" s="655"/>
      <c r="S474" s="655"/>
      <c r="T474" s="656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653">
        <v>4607091389531</v>
      </c>
      <c r="E475" s="653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655"/>
      <c r="R475" s="655"/>
      <c r="S475" s="655"/>
      <c r="T475" s="656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hidden="1" customHeight="1" x14ac:dyDescent="0.25">
      <c r="A476" s="63" t="s">
        <v>777</v>
      </c>
      <c r="B476" s="63" t="s">
        <v>778</v>
      </c>
      <c r="C476" s="36">
        <v>4301031360</v>
      </c>
      <c r="D476" s="653">
        <v>4607091384345</v>
      </c>
      <c r="E476" s="653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655"/>
      <c r="R476" s="655"/>
      <c r="S476" s="655"/>
      <c r="T476" s="656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69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0</v>
      </c>
      <c r="BN476" s="78">
        <f t="shared" si="71"/>
        <v>0</v>
      </c>
      <c r="BO476" s="78">
        <f t="shared" si="72"/>
        <v>0</v>
      </c>
      <c r="BP476" s="78">
        <f t="shared" si="73"/>
        <v>0</v>
      </c>
    </row>
    <row r="477" spans="1:68" hidden="1" x14ac:dyDescent="0.2">
      <c r="A477" s="647"/>
      <c r="B477" s="647"/>
      <c r="C477" s="647"/>
      <c r="D477" s="647"/>
      <c r="E477" s="647"/>
      <c r="F477" s="647"/>
      <c r="G477" s="647"/>
      <c r="H477" s="647"/>
      <c r="I477" s="647"/>
      <c r="J477" s="647"/>
      <c r="K477" s="647"/>
      <c r="L477" s="647"/>
      <c r="M477" s="647"/>
      <c r="N477" s="647"/>
      <c r="O477" s="648"/>
      <c r="P477" s="644" t="s">
        <v>40</v>
      </c>
      <c r="Q477" s="645"/>
      <c r="R477" s="645"/>
      <c r="S477" s="645"/>
      <c r="T477" s="645"/>
      <c r="U477" s="645"/>
      <c r="V477" s="646"/>
      <c r="W477" s="42" t="s">
        <v>39</v>
      </c>
      <c r="X477" s="43">
        <f>IFERROR(X471/H471,"0")+IFERROR(X472/H472,"0")+IFERROR(X473/H473,"0")+IFERROR(X474/H474,"0")+IFERROR(X475/H475,"0")+IFERROR(X476/H476,"0")</f>
        <v>0</v>
      </c>
      <c r="Y477" s="43">
        <f>IFERROR(Y471/H471,"0")+IFERROR(Y472/H472,"0")+IFERROR(Y473/H473,"0")+IFERROR(Y474/H474,"0")+IFERROR(Y475/H475,"0")+IFERROR(Y476/H476,"0")</f>
        <v>0</v>
      </c>
      <c r="Z477" s="43">
        <f>IFERROR(IF(Z471="",0,Z471),"0")+IFERROR(IF(Z472="",0,Z472),"0")+IFERROR(IF(Z473="",0,Z473),"0")+IFERROR(IF(Z474="",0,Z474),"0")+IFERROR(IF(Z475="",0,Z475),"0")+IFERROR(IF(Z476="",0,Z476),"0")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47"/>
      <c r="B478" s="647"/>
      <c r="C478" s="647"/>
      <c r="D478" s="647"/>
      <c r="E478" s="647"/>
      <c r="F478" s="647"/>
      <c r="G478" s="647"/>
      <c r="H478" s="647"/>
      <c r="I478" s="647"/>
      <c r="J478" s="647"/>
      <c r="K478" s="647"/>
      <c r="L478" s="647"/>
      <c r="M478" s="647"/>
      <c r="N478" s="647"/>
      <c r="O478" s="648"/>
      <c r="P478" s="644" t="s">
        <v>40</v>
      </c>
      <c r="Q478" s="645"/>
      <c r="R478" s="645"/>
      <c r="S478" s="645"/>
      <c r="T478" s="645"/>
      <c r="U478" s="645"/>
      <c r="V478" s="646"/>
      <c r="W478" s="42" t="s">
        <v>0</v>
      </c>
      <c r="X478" s="43">
        <f>IFERROR(SUM(X471:X476),"0")</f>
        <v>0</v>
      </c>
      <c r="Y478" s="43">
        <f>IFERROR(SUM(Y471:Y476),"0")</f>
        <v>0</v>
      </c>
      <c r="Z478" s="42"/>
      <c r="AA478" s="67"/>
      <c r="AB478" s="67"/>
      <c r="AC478" s="67"/>
    </row>
    <row r="479" spans="1:68" ht="14.25" hidden="1" customHeight="1" x14ac:dyDescent="0.25">
      <c r="A479" s="658" t="s">
        <v>85</v>
      </c>
      <c r="B479" s="658"/>
      <c r="C479" s="658"/>
      <c r="D479" s="658"/>
      <c r="E479" s="658"/>
      <c r="F479" s="658"/>
      <c r="G479" s="658"/>
      <c r="H479" s="658"/>
      <c r="I479" s="658"/>
      <c r="J479" s="658"/>
      <c r="K479" s="658"/>
      <c r="L479" s="658"/>
      <c r="M479" s="658"/>
      <c r="N479" s="658"/>
      <c r="O479" s="658"/>
      <c r="P479" s="658"/>
      <c r="Q479" s="658"/>
      <c r="R479" s="658"/>
      <c r="S479" s="658"/>
      <c r="T479" s="658"/>
      <c r="U479" s="658"/>
      <c r="V479" s="658"/>
      <c r="W479" s="658"/>
      <c r="X479" s="658"/>
      <c r="Y479" s="658"/>
      <c r="Z479" s="658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653">
        <v>4607091384352</v>
      </c>
      <c r="E480" s="653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655"/>
      <c r="R480" s="655"/>
      <c r="S480" s="655"/>
      <c r="T480" s="656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653">
        <v>4607091389654</v>
      </c>
      <c r="E481" s="653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69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655"/>
      <c r="R481" s="655"/>
      <c r="S481" s="655"/>
      <c r="T481" s="656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647"/>
      <c r="B482" s="647"/>
      <c r="C482" s="647"/>
      <c r="D482" s="647"/>
      <c r="E482" s="647"/>
      <c r="F482" s="647"/>
      <c r="G482" s="647"/>
      <c r="H482" s="647"/>
      <c r="I482" s="647"/>
      <c r="J482" s="647"/>
      <c r="K482" s="647"/>
      <c r="L482" s="647"/>
      <c r="M482" s="647"/>
      <c r="N482" s="647"/>
      <c r="O482" s="648"/>
      <c r="P482" s="644" t="s">
        <v>40</v>
      </c>
      <c r="Q482" s="645"/>
      <c r="R482" s="645"/>
      <c r="S482" s="645"/>
      <c r="T482" s="645"/>
      <c r="U482" s="645"/>
      <c r="V482" s="646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647"/>
      <c r="B483" s="647"/>
      <c r="C483" s="647"/>
      <c r="D483" s="647"/>
      <c r="E483" s="647"/>
      <c r="F483" s="647"/>
      <c r="G483" s="647"/>
      <c r="H483" s="647"/>
      <c r="I483" s="647"/>
      <c r="J483" s="647"/>
      <c r="K483" s="647"/>
      <c r="L483" s="647"/>
      <c r="M483" s="647"/>
      <c r="N483" s="647"/>
      <c r="O483" s="648"/>
      <c r="P483" s="644" t="s">
        <v>40</v>
      </c>
      <c r="Q483" s="645"/>
      <c r="R483" s="645"/>
      <c r="S483" s="645"/>
      <c r="T483" s="645"/>
      <c r="U483" s="645"/>
      <c r="V483" s="646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657" t="s">
        <v>785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5"/>
      <c r="AB484" s="65"/>
      <c r="AC484" s="79"/>
    </row>
    <row r="485" spans="1:68" ht="14.25" hidden="1" customHeight="1" x14ac:dyDescent="0.25">
      <c r="A485" s="658" t="s">
        <v>156</v>
      </c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8"/>
      <c r="P485" s="658"/>
      <c r="Q485" s="658"/>
      <c r="R485" s="658"/>
      <c r="S485" s="658"/>
      <c r="T485" s="658"/>
      <c r="U485" s="658"/>
      <c r="V485" s="658"/>
      <c r="W485" s="658"/>
      <c r="X485" s="658"/>
      <c r="Y485" s="658"/>
      <c r="Z485" s="658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653">
        <v>4680115885240</v>
      </c>
      <c r="E486" s="653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68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655"/>
      <c r="R486" s="655"/>
      <c r="S486" s="655"/>
      <c r="T486" s="65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47"/>
      <c r="B487" s="647"/>
      <c r="C487" s="647"/>
      <c r="D487" s="647"/>
      <c r="E487" s="647"/>
      <c r="F487" s="647"/>
      <c r="G487" s="647"/>
      <c r="H487" s="647"/>
      <c r="I487" s="647"/>
      <c r="J487" s="647"/>
      <c r="K487" s="647"/>
      <c r="L487" s="647"/>
      <c r="M487" s="647"/>
      <c r="N487" s="647"/>
      <c r="O487" s="648"/>
      <c r="P487" s="644" t="s">
        <v>40</v>
      </c>
      <c r="Q487" s="645"/>
      <c r="R487" s="645"/>
      <c r="S487" s="645"/>
      <c r="T487" s="645"/>
      <c r="U487" s="645"/>
      <c r="V487" s="646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647"/>
      <c r="B488" s="647"/>
      <c r="C488" s="647"/>
      <c r="D488" s="647"/>
      <c r="E488" s="647"/>
      <c r="F488" s="647"/>
      <c r="G488" s="647"/>
      <c r="H488" s="647"/>
      <c r="I488" s="647"/>
      <c r="J488" s="647"/>
      <c r="K488" s="647"/>
      <c r="L488" s="647"/>
      <c r="M488" s="647"/>
      <c r="N488" s="647"/>
      <c r="O488" s="648"/>
      <c r="P488" s="644" t="s">
        <v>40</v>
      </c>
      <c r="Q488" s="645"/>
      <c r="R488" s="645"/>
      <c r="S488" s="645"/>
      <c r="T488" s="645"/>
      <c r="U488" s="645"/>
      <c r="V488" s="646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658" t="s">
        <v>76</v>
      </c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8"/>
      <c r="P489" s="658"/>
      <c r="Q489" s="658"/>
      <c r="R489" s="658"/>
      <c r="S489" s="658"/>
      <c r="T489" s="658"/>
      <c r="U489" s="658"/>
      <c r="V489" s="658"/>
      <c r="W489" s="658"/>
      <c r="X489" s="658"/>
      <c r="Y489" s="658"/>
      <c r="Z489" s="658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653">
        <v>4680115886094</v>
      </c>
      <c r="E490" s="653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655"/>
      <c r="R490" s="655"/>
      <c r="S490" s="655"/>
      <c r="T490" s="656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653">
        <v>4680115880771</v>
      </c>
      <c r="E491" s="653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68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655"/>
      <c r="R491" s="655"/>
      <c r="S491" s="655"/>
      <c r="T491" s="65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795</v>
      </c>
      <c r="B492" s="63" t="s">
        <v>796</v>
      </c>
      <c r="C492" s="36">
        <v>4301031359</v>
      </c>
      <c r="D492" s="653">
        <v>4607091389500</v>
      </c>
      <c r="E492" s="653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655"/>
      <c r="R492" s="655"/>
      <c r="S492" s="655"/>
      <c r="T492" s="65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47"/>
      <c r="B493" s="647"/>
      <c r="C493" s="647"/>
      <c r="D493" s="647"/>
      <c r="E493" s="647"/>
      <c r="F493" s="647"/>
      <c r="G493" s="647"/>
      <c r="H493" s="647"/>
      <c r="I493" s="647"/>
      <c r="J493" s="647"/>
      <c r="K493" s="647"/>
      <c r="L493" s="647"/>
      <c r="M493" s="647"/>
      <c r="N493" s="647"/>
      <c r="O493" s="648"/>
      <c r="P493" s="644" t="s">
        <v>40</v>
      </c>
      <c r="Q493" s="645"/>
      <c r="R493" s="645"/>
      <c r="S493" s="645"/>
      <c r="T493" s="645"/>
      <c r="U493" s="645"/>
      <c r="V493" s="646"/>
      <c r="W493" s="42" t="s">
        <v>39</v>
      </c>
      <c r="X493" s="43">
        <f>IFERROR(X490/H490,"0")+IFERROR(X491/H491,"0")+IFERROR(X492/H492,"0")</f>
        <v>0</v>
      </c>
      <c r="Y493" s="43">
        <f>IFERROR(Y490/H490,"0")+IFERROR(Y491/H491,"0")+IFERROR(Y492/H492,"0")</f>
        <v>0</v>
      </c>
      <c r="Z493" s="43">
        <f>IFERROR(IF(Z490="",0,Z490),"0")+IFERROR(IF(Z491="",0,Z491),"0")+IFERROR(IF(Z492="",0,Z492),"0")</f>
        <v>0</v>
      </c>
      <c r="AA493" s="67"/>
      <c r="AB493" s="67"/>
      <c r="AC493" s="67"/>
    </row>
    <row r="494" spans="1:68" hidden="1" x14ac:dyDescent="0.2">
      <c r="A494" s="647"/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8"/>
      <c r="P494" s="644" t="s">
        <v>40</v>
      </c>
      <c r="Q494" s="645"/>
      <c r="R494" s="645"/>
      <c r="S494" s="645"/>
      <c r="T494" s="645"/>
      <c r="U494" s="645"/>
      <c r="V494" s="646"/>
      <c r="W494" s="42" t="s">
        <v>0</v>
      </c>
      <c r="X494" s="43">
        <f>IFERROR(SUM(X490:X492),"0")</f>
        <v>0</v>
      </c>
      <c r="Y494" s="43">
        <f>IFERROR(SUM(Y490:Y492),"0")</f>
        <v>0</v>
      </c>
      <c r="Z494" s="42"/>
      <c r="AA494" s="67"/>
      <c r="AB494" s="67"/>
      <c r="AC494" s="67"/>
    </row>
    <row r="495" spans="1:68" ht="27.75" hidden="1" customHeight="1" x14ac:dyDescent="0.2">
      <c r="A495" s="664" t="s">
        <v>797</v>
      </c>
      <c r="B495" s="664"/>
      <c r="C495" s="664"/>
      <c r="D495" s="664"/>
      <c r="E495" s="664"/>
      <c r="F495" s="664"/>
      <c r="G495" s="664"/>
      <c r="H495" s="664"/>
      <c r="I495" s="664"/>
      <c r="J495" s="664"/>
      <c r="K495" s="664"/>
      <c r="L495" s="664"/>
      <c r="M495" s="664"/>
      <c r="N495" s="664"/>
      <c r="O495" s="664"/>
      <c r="P495" s="664"/>
      <c r="Q495" s="664"/>
      <c r="R495" s="664"/>
      <c r="S495" s="664"/>
      <c r="T495" s="664"/>
      <c r="U495" s="664"/>
      <c r="V495" s="664"/>
      <c r="W495" s="664"/>
      <c r="X495" s="664"/>
      <c r="Y495" s="664"/>
      <c r="Z495" s="664"/>
      <c r="AA495" s="54"/>
      <c r="AB495" s="54"/>
      <c r="AC495" s="54"/>
    </row>
    <row r="496" spans="1:68" ht="16.5" hidden="1" customHeight="1" x14ac:dyDescent="0.25">
      <c r="A496" s="657" t="s">
        <v>797</v>
      </c>
      <c r="B496" s="657"/>
      <c r="C496" s="657"/>
      <c r="D496" s="657"/>
      <c r="E496" s="657"/>
      <c r="F496" s="657"/>
      <c r="G496" s="657"/>
      <c r="H496" s="657"/>
      <c r="I496" s="657"/>
      <c r="J496" s="657"/>
      <c r="K496" s="657"/>
      <c r="L496" s="657"/>
      <c r="M496" s="657"/>
      <c r="N496" s="657"/>
      <c r="O496" s="657"/>
      <c r="P496" s="657"/>
      <c r="Q496" s="657"/>
      <c r="R496" s="657"/>
      <c r="S496" s="657"/>
      <c r="T496" s="657"/>
      <c r="U496" s="657"/>
      <c r="V496" s="657"/>
      <c r="W496" s="657"/>
      <c r="X496" s="657"/>
      <c r="Y496" s="657"/>
      <c r="Z496" s="657"/>
      <c r="AA496" s="65"/>
      <c r="AB496" s="65"/>
      <c r="AC496" s="79"/>
    </row>
    <row r="497" spans="1:68" ht="14.25" hidden="1" customHeight="1" x14ac:dyDescent="0.25">
      <c r="A497" s="658" t="s">
        <v>123</v>
      </c>
      <c r="B497" s="658"/>
      <c r="C497" s="658"/>
      <c r="D497" s="658"/>
      <c r="E497" s="658"/>
      <c r="F497" s="658"/>
      <c r="G497" s="658"/>
      <c r="H497" s="658"/>
      <c r="I497" s="658"/>
      <c r="J497" s="658"/>
      <c r="K497" s="658"/>
      <c r="L497" s="658"/>
      <c r="M497" s="658"/>
      <c r="N497" s="658"/>
      <c r="O497" s="658"/>
      <c r="P497" s="658"/>
      <c r="Q497" s="658"/>
      <c r="R497" s="658"/>
      <c r="S497" s="658"/>
      <c r="T497" s="658"/>
      <c r="U497" s="658"/>
      <c r="V497" s="658"/>
      <c r="W497" s="658"/>
      <c r="X497" s="658"/>
      <c r="Y497" s="658"/>
      <c r="Z497" s="658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653">
        <v>4607091389067</v>
      </c>
      <c r="E498" s="653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655"/>
      <c r="R498" s="655"/>
      <c r="S498" s="655"/>
      <c r="T498" s="656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653">
        <v>4680115889576</v>
      </c>
      <c r="E499" s="653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655"/>
      <c r="R499" s="655"/>
      <c r="S499" s="655"/>
      <c r="T499" s="656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653">
        <v>4680115885271</v>
      </c>
      <c r="E500" s="653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655"/>
      <c r="R500" s="655"/>
      <c r="S500" s="655"/>
      <c r="T500" s="656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4301011369</v>
      </c>
      <c r="D501" s="653">
        <v>4680115885226</v>
      </c>
      <c r="E501" s="653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655"/>
      <c r="R501" s="655"/>
      <c r="S501" s="655"/>
      <c r="T501" s="656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4"/>
        <v>0</v>
      </c>
      <c r="Z501" s="41" t="str">
        <f t="shared" si="75"/>
        <v/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0</v>
      </c>
      <c r="BN501" s="78">
        <f t="shared" si="77"/>
        <v>0</v>
      </c>
      <c r="BO501" s="78">
        <f t="shared" si="78"/>
        <v>0</v>
      </c>
      <c r="BP501" s="78">
        <f t="shared" si="79"/>
        <v>0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653">
        <v>4680115884502</v>
      </c>
      <c r="E502" s="653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67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655"/>
      <c r="R502" s="655"/>
      <c r="S502" s="655"/>
      <c r="T502" s="656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653">
        <v>4607091389104</v>
      </c>
      <c r="E503" s="653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67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655"/>
      <c r="R503" s="655"/>
      <c r="S503" s="655"/>
      <c r="T503" s="656"/>
      <c r="U503" s="39" t="s">
        <v>46</v>
      </c>
      <c r="V503" s="39" t="s">
        <v>46</v>
      </c>
      <c r="W503" s="40" t="s">
        <v>0</v>
      </c>
      <c r="X503" s="58">
        <v>200</v>
      </c>
      <c r="Y503" s="55">
        <f t="shared" si="74"/>
        <v>200.64000000000001</v>
      </c>
      <c r="Z503" s="41">
        <f t="shared" si="75"/>
        <v>0.45448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213.25757575757575</v>
      </c>
      <c r="BN503" s="78">
        <f t="shared" si="77"/>
        <v>213.94</v>
      </c>
      <c r="BO503" s="78">
        <f t="shared" si="78"/>
        <v>0.36421911421911418</v>
      </c>
      <c r="BP503" s="78">
        <f t="shared" si="79"/>
        <v>0.36538461538461542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653">
        <v>4680115886391</v>
      </c>
      <c r="E504" s="653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655"/>
      <c r="R504" s="655"/>
      <c r="S504" s="655"/>
      <c r="T504" s="65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customHeight="1" x14ac:dyDescent="0.25">
      <c r="A505" s="63" t="s">
        <v>817</v>
      </c>
      <c r="B505" s="63" t="s">
        <v>818</v>
      </c>
      <c r="C505" s="36">
        <v>4301012048</v>
      </c>
      <c r="D505" s="653">
        <v>4680115880603</v>
      </c>
      <c r="E505" s="653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67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655"/>
      <c r="R505" s="655"/>
      <c r="S505" s="655"/>
      <c r="T505" s="656"/>
      <c r="U505" s="39" t="s">
        <v>46</v>
      </c>
      <c r="V505" s="39" t="s">
        <v>46</v>
      </c>
      <c r="W505" s="40" t="s">
        <v>0</v>
      </c>
      <c r="X505" s="58">
        <v>60</v>
      </c>
      <c r="Y505" s="55">
        <f t="shared" si="74"/>
        <v>62.4</v>
      </c>
      <c r="Z505" s="41">
        <f>IFERROR(IF(Y505=0,"",ROUNDUP(Y505/H505,0)*0.00902),"")</f>
        <v>0.11726</v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86.375000000000014</v>
      </c>
      <c r="BN505" s="78">
        <f t="shared" si="77"/>
        <v>89.830000000000013</v>
      </c>
      <c r="BO505" s="78">
        <f t="shared" si="78"/>
        <v>9.4696969696969696E-2</v>
      </c>
      <c r="BP505" s="78">
        <f t="shared" si="79"/>
        <v>9.8484848484848481E-2</v>
      </c>
    </row>
    <row r="506" spans="1:68" ht="27" customHeight="1" x14ac:dyDescent="0.25">
      <c r="A506" s="63" t="s">
        <v>819</v>
      </c>
      <c r="B506" s="63" t="s">
        <v>820</v>
      </c>
      <c r="C506" s="36">
        <v>4301012034</v>
      </c>
      <c r="D506" s="653">
        <v>4607091389982</v>
      </c>
      <c r="E506" s="653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6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655"/>
      <c r="R506" s="655"/>
      <c r="S506" s="655"/>
      <c r="T506" s="656"/>
      <c r="U506" s="39" t="s">
        <v>46</v>
      </c>
      <c r="V506" s="39" t="s">
        <v>46</v>
      </c>
      <c r="W506" s="40" t="s">
        <v>0</v>
      </c>
      <c r="X506" s="58">
        <v>210</v>
      </c>
      <c r="Y506" s="55">
        <f t="shared" si="74"/>
        <v>211.2</v>
      </c>
      <c r="Z506" s="41">
        <f>IFERROR(IF(Y506=0,"",ROUNDUP(Y506/H506,0)*0.00902),"")</f>
        <v>0.39688000000000001</v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302.31250000000006</v>
      </c>
      <c r="BN506" s="78">
        <f t="shared" si="77"/>
        <v>304.04000000000002</v>
      </c>
      <c r="BO506" s="78">
        <f t="shared" si="78"/>
        <v>0.33143939393939392</v>
      </c>
      <c r="BP506" s="78">
        <f t="shared" si="79"/>
        <v>0.33333333333333337</v>
      </c>
    </row>
    <row r="507" spans="1:68" x14ac:dyDescent="0.2">
      <c r="A507" s="647"/>
      <c r="B507" s="647"/>
      <c r="C507" s="647"/>
      <c r="D507" s="647"/>
      <c r="E507" s="647"/>
      <c r="F507" s="647"/>
      <c r="G507" s="647"/>
      <c r="H507" s="647"/>
      <c r="I507" s="647"/>
      <c r="J507" s="647"/>
      <c r="K507" s="647"/>
      <c r="L507" s="647"/>
      <c r="M507" s="647"/>
      <c r="N507" s="647"/>
      <c r="O507" s="648"/>
      <c r="P507" s="644" t="s">
        <v>40</v>
      </c>
      <c r="Q507" s="645"/>
      <c r="R507" s="645"/>
      <c r="S507" s="645"/>
      <c r="T507" s="645"/>
      <c r="U507" s="645"/>
      <c r="V507" s="646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94.128787878787875</v>
      </c>
      <c r="Y507" s="43">
        <f>IFERROR(Y498/H498,"0")+IFERROR(Y499/H499,"0")+IFERROR(Y500/H500,"0")+IFERROR(Y501/H501,"0")+IFERROR(Y502/H502,"0")+IFERROR(Y503/H503,"0")+IFERROR(Y504/H504,"0")+IFERROR(Y505/H505,"0")+IFERROR(Y506/H506,"0")</f>
        <v>95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0.96862000000000004</v>
      </c>
      <c r="AA507" s="67"/>
      <c r="AB507" s="67"/>
      <c r="AC507" s="67"/>
    </row>
    <row r="508" spans="1:68" x14ac:dyDescent="0.2">
      <c r="A508" s="647"/>
      <c r="B508" s="647"/>
      <c r="C508" s="647"/>
      <c r="D508" s="647"/>
      <c r="E508" s="647"/>
      <c r="F508" s="647"/>
      <c r="G508" s="647"/>
      <c r="H508" s="647"/>
      <c r="I508" s="647"/>
      <c r="J508" s="647"/>
      <c r="K508" s="647"/>
      <c r="L508" s="647"/>
      <c r="M508" s="647"/>
      <c r="N508" s="647"/>
      <c r="O508" s="648"/>
      <c r="P508" s="644" t="s">
        <v>40</v>
      </c>
      <c r="Q508" s="645"/>
      <c r="R508" s="645"/>
      <c r="S508" s="645"/>
      <c r="T508" s="645"/>
      <c r="U508" s="645"/>
      <c r="V508" s="646"/>
      <c r="W508" s="42" t="s">
        <v>0</v>
      </c>
      <c r="X508" s="43">
        <f>IFERROR(SUM(X498:X506),"0")</f>
        <v>470</v>
      </c>
      <c r="Y508" s="43">
        <f>IFERROR(SUM(Y498:Y506),"0")</f>
        <v>474.24</v>
      </c>
      <c r="Z508" s="42"/>
      <c r="AA508" s="67"/>
      <c r="AB508" s="67"/>
      <c r="AC508" s="67"/>
    </row>
    <row r="509" spans="1:68" ht="14.25" hidden="1" customHeight="1" x14ac:dyDescent="0.25">
      <c r="A509" s="658" t="s">
        <v>156</v>
      </c>
      <c r="B509" s="658"/>
      <c r="C509" s="658"/>
      <c r="D509" s="658"/>
      <c r="E509" s="658"/>
      <c r="F509" s="658"/>
      <c r="G509" s="658"/>
      <c r="H509" s="658"/>
      <c r="I509" s="658"/>
      <c r="J509" s="658"/>
      <c r="K509" s="658"/>
      <c r="L509" s="658"/>
      <c r="M509" s="658"/>
      <c r="N509" s="658"/>
      <c r="O509" s="658"/>
      <c r="P509" s="658"/>
      <c r="Q509" s="658"/>
      <c r="R509" s="658"/>
      <c r="S509" s="658"/>
      <c r="T509" s="658"/>
      <c r="U509" s="658"/>
      <c r="V509" s="658"/>
      <c r="W509" s="658"/>
      <c r="X509" s="658"/>
      <c r="Y509" s="658"/>
      <c r="Z509" s="658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653">
        <v>4607091388930</v>
      </c>
      <c r="E510" s="65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67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655"/>
      <c r="R510" s="655"/>
      <c r="S510" s="655"/>
      <c r="T510" s="656"/>
      <c r="U510" s="39" t="s">
        <v>46</v>
      </c>
      <c r="V510" s="39" t="s">
        <v>46</v>
      </c>
      <c r="W510" s="40" t="s">
        <v>0</v>
      </c>
      <c r="X510" s="58">
        <v>100</v>
      </c>
      <c r="Y510" s="55">
        <f>IFERROR(IF(X510="",0,CEILING((X510/$H510),1)*$H510),"")</f>
        <v>100.32000000000001</v>
      </c>
      <c r="Z510" s="41">
        <f>IFERROR(IF(Y510=0,"",ROUNDUP(Y510/H510,0)*0.01196),"")</f>
        <v>0.22724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106.62878787878788</v>
      </c>
      <c r="BN510" s="78">
        <f>IFERROR(Y510*I510/H510,"0")</f>
        <v>106.97</v>
      </c>
      <c r="BO510" s="78">
        <f>IFERROR(1/J510*(X510/H510),"0")</f>
        <v>0.18210955710955709</v>
      </c>
      <c r="BP510" s="78">
        <f>IFERROR(1/J510*(Y510/H510),"0")</f>
        <v>0.18269230769230771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653">
        <v>4680115886407</v>
      </c>
      <c r="E511" s="65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67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655"/>
      <c r="R511" s="655"/>
      <c r="S511" s="655"/>
      <c r="T511" s="656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653">
        <v>4680115880054</v>
      </c>
      <c r="E512" s="65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67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655"/>
      <c r="R512" s="655"/>
      <c r="S512" s="655"/>
      <c r="T512" s="656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647"/>
      <c r="B513" s="647"/>
      <c r="C513" s="647"/>
      <c r="D513" s="647"/>
      <c r="E513" s="647"/>
      <c r="F513" s="647"/>
      <c r="G513" s="647"/>
      <c r="H513" s="647"/>
      <c r="I513" s="647"/>
      <c r="J513" s="647"/>
      <c r="K513" s="647"/>
      <c r="L513" s="647"/>
      <c r="M513" s="647"/>
      <c r="N513" s="647"/>
      <c r="O513" s="648"/>
      <c r="P513" s="644" t="s">
        <v>40</v>
      </c>
      <c r="Q513" s="645"/>
      <c r="R513" s="645"/>
      <c r="S513" s="645"/>
      <c r="T513" s="645"/>
      <c r="U513" s="645"/>
      <c r="V513" s="646"/>
      <c r="W513" s="42" t="s">
        <v>39</v>
      </c>
      <c r="X513" s="43">
        <f>IFERROR(X510/H510,"0")+IFERROR(X511/H511,"0")+IFERROR(X512/H512,"0")</f>
        <v>18.939393939393938</v>
      </c>
      <c r="Y513" s="43">
        <f>IFERROR(Y510/H510,"0")+IFERROR(Y511/H511,"0")+IFERROR(Y512/H512,"0")</f>
        <v>19</v>
      </c>
      <c r="Z513" s="43">
        <f>IFERROR(IF(Z510="",0,Z510),"0")+IFERROR(IF(Z511="",0,Z511),"0")+IFERROR(IF(Z512="",0,Z512),"0")</f>
        <v>0.22724</v>
      </c>
      <c r="AA513" s="67"/>
      <c r="AB513" s="67"/>
      <c r="AC513" s="67"/>
    </row>
    <row r="514" spans="1:68" x14ac:dyDescent="0.2">
      <c r="A514" s="647"/>
      <c r="B514" s="647"/>
      <c r="C514" s="647"/>
      <c r="D514" s="647"/>
      <c r="E514" s="647"/>
      <c r="F514" s="647"/>
      <c r="G514" s="647"/>
      <c r="H514" s="647"/>
      <c r="I514" s="647"/>
      <c r="J514" s="647"/>
      <c r="K514" s="647"/>
      <c r="L514" s="647"/>
      <c r="M514" s="647"/>
      <c r="N514" s="647"/>
      <c r="O514" s="648"/>
      <c r="P514" s="644" t="s">
        <v>40</v>
      </c>
      <c r="Q514" s="645"/>
      <c r="R514" s="645"/>
      <c r="S514" s="645"/>
      <c r="T514" s="645"/>
      <c r="U514" s="645"/>
      <c r="V514" s="646"/>
      <c r="W514" s="42" t="s">
        <v>0</v>
      </c>
      <c r="X514" s="43">
        <f>IFERROR(SUM(X510:X512),"0")</f>
        <v>100</v>
      </c>
      <c r="Y514" s="43">
        <f>IFERROR(SUM(Y510:Y512),"0")</f>
        <v>100.32000000000001</v>
      </c>
      <c r="Z514" s="42"/>
      <c r="AA514" s="67"/>
      <c r="AB514" s="67"/>
      <c r="AC514" s="67"/>
    </row>
    <row r="515" spans="1:68" ht="14.25" hidden="1" customHeight="1" x14ac:dyDescent="0.25">
      <c r="A515" s="658" t="s">
        <v>76</v>
      </c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8"/>
      <c r="P515" s="658"/>
      <c r="Q515" s="658"/>
      <c r="R515" s="658"/>
      <c r="S515" s="658"/>
      <c r="T515" s="658"/>
      <c r="U515" s="658"/>
      <c r="V515" s="658"/>
      <c r="W515" s="658"/>
      <c r="X515" s="658"/>
      <c r="Y515" s="658"/>
      <c r="Z515" s="658"/>
      <c r="AA515" s="66"/>
      <c r="AB515" s="66"/>
      <c r="AC515" s="80"/>
    </row>
    <row r="516" spans="1:68" ht="27" hidden="1" customHeight="1" x14ac:dyDescent="0.25">
      <c r="A516" s="63" t="s">
        <v>828</v>
      </c>
      <c r="B516" s="63" t="s">
        <v>829</v>
      </c>
      <c r="C516" s="36">
        <v>4301031349</v>
      </c>
      <c r="D516" s="653">
        <v>4680115883116</v>
      </c>
      <c r="E516" s="65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655"/>
      <c r="R516" s="655"/>
      <c r="S516" s="655"/>
      <c r="T516" s="65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ref="Y516:Y522" si="80">IFERROR(IF(X516="",0,CEILING((X516/$H516),1)*$H516),"")</f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0</v>
      </c>
      <c r="BN516" s="78">
        <f t="shared" ref="BN516:BN522" si="82">IFERROR(Y516*I516/H516,"0")</f>
        <v>0</v>
      </c>
      <c r="BO516" s="78">
        <f t="shared" ref="BO516:BO522" si="83">IFERROR(1/J516*(X516/H516),"0")</f>
        <v>0</v>
      </c>
      <c r="BP516" s="78">
        <f t="shared" ref="BP516:BP522" si="84">IFERROR(1/J516*(Y516/H516),"0")</f>
        <v>0</v>
      </c>
    </row>
    <row r="517" spans="1:68" ht="27" hidden="1" customHeight="1" x14ac:dyDescent="0.25">
      <c r="A517" s="63" t="s">
        <v>831</v>
      </c>
      <c r="B517" s="63" t="s">
        <v>832</v>
      </c>
      <c r="C517" s="36">
        <v>4301031350</v>
      </c>
      <c r="D517" s="653">
        <v>4680115883093</v>
      </c>
      <c r="E517" s="65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655"/>
      <c r="R517" s="655"/>
      <c r="S517" s="655"/>
      <c r="T517" s="65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0</v>
      </c>
      <c r="BN517" s="78">
        <f t="shared" si="82"/>
        <v>0</v>
      </c>
      <c r="BO517" s="78">
        <f t="shared" si="83"/>
        <v>0</v>
      </c>
      <c r="BP517" s="78">
        <f t="shared" si="84"/>
        <v>0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653">
        <v>4680115883109</v>
      </c>
      <c r="E518" s="653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655"/>
      <c r="R518" s="655"/>
      <c r="S518" s="655"/>
      <c r="T518" s="656"/>
      <c r="U518" s="39" t="s">
        <v>46</v>
      </c>
      <c r="V518" s="39" t="s">
        <v>46</v>
      </c>
      <c r="W518" s="40" t="s">
        <v>0</v>
      </c>
      <c r="X518" s="58">
        <v>100</v>
      </c>
      <c r="Y518" s="55">
        <f t="shared" si="80"/>
        <v>100.32000000000001</v>
      </c>
      <c r="Z518" s="41">
        <f>IFERROR(IF(Y518=0,"",ROUNDUP(Y518/H518,0)*0.01196),"")</f>
        <v>0.22724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106.62878787878788</v>
      </c>
      <c r="BN518" s="78">
        <f t="shared" si="82"/>
        <v>106.97</v>
      </c>
      <c r="BO518" s="78">
        <f t="shared" si="83"/>
        <v>0.18210955710955709</v>
      </c>
      <c r="BP518" s="78">
        <f t="shared" si="84"/>
        <v>0.18269230769230771</v>
      </c>
    </row>
    <row r="519" spans="1:68" ht="27" customHeight="1" x14ac:dyDescent="0.25">
      <c r="A519" s="63" t="s">
        <v>837</v>
      </c>
      <c r="B519" s="63" t="s">
        <v>838</v>
      </c>
      <c r="C519" s="36">
        <v>4301031419</v>
      </c>
      <c r="D519" s="653">
        <v>4680115882072</v>
      </c>
      <c r="E519" s="65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6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655"/>
      <c r="R519" s="655"/>
      <c r="S519" s="655"/>
      <c r="T519" s="656"/>
      <c r="U519" s="39" t="s">
        <v>46</v>
      </c>
      <c r="V519" s="39" t="s">
        <v>46</v>
      </c>
      <c r="W519" s="40" t="s">
        <v>0</v>
      </c>
      <c r="X519" s="58">
        <v>30</v>
      </c>
      <c r="Y519" s="55">
        <f t="shared" si="80"/>
        <v>33.6</v>
      </c>
      <c r="Z519" s="41">
        <f>IFERROR(IF(Y519=0,"",ROUNDUP(Y519/H519,0)*0.00902),"")</f>
        <v>6.3140000000000002E-2</v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43.187500000000007</v>
      </c>
      <c r="BN519" s="78">
        <f t="shared" si="82"/>
        <v>48.370000000000005</v>
      </c>
      <c r="BO519" s="78">
        <f t="shared" si="83"/>
        <v>4.7348484848484848E-2</v>
      </c>
      <c r="BP519" s="78">
        <f t="shared" si="84"/>
        <v>5.3030303030303039E-2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653">
        <v>4680115882102</v>
      </c>
      <c r="E520" s="653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667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655"/>
      <c r="R520" s="655"/>
      <c r="S520" s="655"/>
      <c r="T520" s="656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653">
        <v>4680115882102</v>
      </c>
      <c r="E521" s="653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66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655"/>
      <c r="R521" s="655"/>
      <c r="S521" s="655"/>
      <c r="T521" s="656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customHeight="1" x14ac:dyDescent="0.25">
      <c r="A522" s="63" t="s">
        <v>842</v>
      </c>
      <c r="B522" s="63" t="s">
        <v>843</v>
      </c>
      <c r="C522" s="36">
        <v>4301031417</v>
      </c>
      <c r="D522" s="653">
        <v>4680115882096</v>
      </c>
      <c r="E522" s="653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66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655"/>
      <c r="R522" s="655"/>
      <c r="S522" s="655"/>
      <c r="T522" s="656"/>
      <c r="U522" s="39" t="s">
        <v>46</v>
      </c>
      <c r="V522" s="39" t="s">
        <v>46</v>
      </c>
      <c r="W522" s="40" t="s">
        <v>0</v>
      </c>
      <c r="X522" s="58">
        <v>120</v>
      </c>
      <c r="Y522" s="55">
        <f t="shared" si="80"/>
        <v>120</v>
      </c>
      <c r="Z522" s="41">
        <f>IFERROR(IF(Y522=0,"",ROUNDUP(Y522/H522,0)*0.00902),"")</f>
        <v>0.22550000000000001</v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166.75</v>
      </c>
      <c r="BN522" s="78">
        <f t="shared" si="82"/>
        <v>166.75</v>
      </c>
      <c r="BO522" s="78">
        <f t="shared" si="83"/>
        <v>0.18939393939393939</v>
      </c>
      <c r="BP522" s="78">
        <f t="shared" si="84"/>
        <v>0.18939393939393939</v>
      </c>
    </row>
    <row r="523" spans="1:68" x14ac:dyDescent="0.2">
      <c r="A523" s="647"/>
      <c r="B523" s="647"/>
      <c r="C523" s="647"/>
      <c r="D523" s="647"/>
      <c r="E523" s="647"/>
      <c r="F523" s="647"/>
      <c r="G523" s="647"/>
      <c r="H523" s="647"/>
      <c r="I523" s="647"/>
      <c r="J523" s="647"/>
      <c r="K523" s="647"/>
      <c r="L523" s="647"/>
      <c r="M523" s="647"/>
      <c r="N523" s="647"/>
      <c r="O523" s="648"/>
      <c r="P523" s="644" t="s">
        <v>40</v>
      </c>
      <c r="Q523" s="645"/>
      <c r="R523" s="645"/>
      <c r="S523" s="645"/>
      <c r="T523" s="645"/>
      <c r="U523" s="645"/>
      <c r="V523" s="646"/>
      <c r="W523" s="42" t="s">
        <v>39</v>
      </c>
      <c r="X523" s="43">
        <f>IFERROR(X516/H516,"0")+IFERROR(X517/H517,"0")+IFERROR(X518/H518,"0")+IFERROR(X519/H519,"0")+IFERROR(X520/H520,"0")+IFERROR(X521/H521,"0")+IFERROR(X522/H522,"0")</f>
        <v>50.189393939393938</v>
      </c>
      <c r="Y523" s="43">
        <f>IFERROR(Y516/H516,"0")+IFERROR(Y517/H517,"0")+IFERROR(Y518/H518,"0")+IFERROR(Y519/H519,"0")+IFERROR(Y520/H520,"0")+IFERROR(Y521/H521,"0")+IFERROR(Y522/H522,"0")</f>
        <v>51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0.51588000000000001</v>
      </c>
      <c r="AA523" s="67"/>
      <c r="AB523" s="67"/>
      <c r="AC523" s="67"/>
    </row>
    <row r="524" spans="1:68" x14ac:dyDescent="0.2">
      <c r="A524" s="647"/>
      <c r="B524" s="647"/>
      <c r="C524" s="647"/>
      <c r="D524" s="647"/>
      <c r="E524" s="647"/>
      <c r="F524" s="647"/>
      <c r="G524" s="647"/>
      <c r="H524" s="647"/>
      <c r="I524" s="647"/>
      <c r="J524" s="647"/>
      <c r="K524" s="647"/>
      <c r="L524" s="647"/>
      <c r="M524" s="647"/>
      <c r="N524" s="647"/>
      <c r="O524" s="648"/>
      <c r="P524" s="644" t="s">
        <v>40</v>
      </c>
      <c r="Q524" s="645"/>
      <c r="R524" s="645"/>
      <c r="S524" s="645"/>
      <c r="T524" s="645"/>
      <c r="U524" s="645"/>
      <c r="V524" s="646"/>
      <c r="W524" s="42" t="s">
        <v>0</v>
      </c>
      <c r="X524" s="43">
        <f>IFERROR(SUM(X516:X522),"0")</f>
        <v>250</v>
      </c>
      <c r="Y524" s="43">
        <f>IFERROR(SUM(Y516:Y522),"0")</f>
        <v>253.92000000000002</v>
      </c>
      <c r="Z524" s="42"/>
      <c r="AA524" s="67"/>
      <c r="AB524" s="67"/>
      <c r="AC524" s="67"/>
    </row>
    <row r="525" spans="1:68" ht="27.75" hidden="1" customHeight="1" x14ac:dyDescent="0.2">
      <c r="A525" s="664" t="s">
        <v>844</v>
      </c>
      <c r="B525" s="664"/>
      <c r="C525" s="664"/>
      <c r="D525" s="664"/>
      <c r="E525" s="664"/>
      <c r="F525" s="664"/>
      <c r="G525" s="664"/>
      <c r="H525" s="664"/>
      <c r="I525" s="664"/>
      <c r="J525" s="664"/>
      <c r="K525" s="664"/>
      <c r="L525" s="664"/>
      <c r="M525" s="664"/>
      <c r="N525" s="664"/>
      <c r="O525" s="664"/>
      <c r="P525" s="664"/>
      <c r="Q525" s="664"/>
      <c r="R525" s="664"/>
      <c r="S525" s="664"/>
      <c r="T525" s="664"/>
      <c r="U525" s="664"/>
      <c r="V525" s="664"/>
      <c r="W525" s="664"/>
      <c r="X525" s="664"/>
      <c r="Y525" s="664"/>
      <c r="Z525" s="664"/>
      <c r="AA525" s="54"/>
      <c r="AB525" s="54"/>
      <c r="AC525" s="54"/>
    </row>
    <row r="526" spans="1:68" ht="16.5" hidden="1" customHeight="1" x14ac:dyDescent="0.25">
      <c r="A526" s="657" t="s">
        <v>844</v>
      </c>
      <c r="B526" s="657"/>
      <c r="C526" s="657"/>
      <c r="D526" s="657"/>
      <c r="E526" s="657"/>
      <c r="F526" s="657"/>
      <c r="G526" s="657"/>
      <c r="H526" s="657"/>
      <c r="I526" s="657"/>
      <c r="J526" s="657"/>
      <c r="K526" s="657"/>
      <c r="L526" s="657"/>
      <c r="M526" s="657"/>
      <c r="N526" s="657"/>
      <c r="O526" s="657"/>
      <c r="P526" s="657"/>
      <c r="Q526" s="657"/>
      <c r="R526" s="657"/>
      <c r="S526" s="657"/>
      <c r="T526" s="657"/>
      <c r="U526" s="657"/>
      <c r="V526" s="657"/>
      <c r="W526" s="657"/>
      <c r="X526" s="657"/>
      <c r="Y526" s="657"/>
      <c r="Z526" s="657"/>
      <c r="AA526" s="65"/>
      <c r="AB526" s="65"/>
      <c r="AC526" s="79"/>
    </row>
    <row r="527" spans="1:68" ht="14.25" hidden="1" customHeight="1" x14ac:dyDescent="0.25">
      <c r="A527" s="658" t="s">
        <v>123</v>
      </c>
      <c r="B527" s="658"/>
      <c r="C527" s="658"/>
      <c r="D527" s="658"/>
      <c r="E527" s="658"/>
      <c r="F527" s="658"/>
      <c r="G527" s="658"/>
      <c r="H527" s="658"/>
      <c r="I527" s="658"/>
      <c r="J527" s="658"/>
      <c r="K527" s="658"/>
      <c r="L527" s="658"/>
      <c r="M527" s="658"/>
      <c r="N527" s="658"/>
      <c r="O527" s="658"/>
      <c r="P527" s="658"/>
      <c r="Q527" s="658"/>
      <c r="R527" s="658"/>
      <c r="S527" s="658"/>
      <c r="T527" s="658"/>
      <c r="U527" s="658"/>
      <c r="V527" s="658"/>
      <c r="W527" s="658"/>
      <c r="X527" s="658"/>
      <c r="Y527" s="658"/>
      <c r="Z527" s="658"/>
      <c r="AA527" s="66"/>
      <c r="AB527" s="66"/>
      <c r="AC527" s="80"/>
    </row>
    <row r="528" spans="1:68" ht="27" customHeight="1" x14ac:dyDescent="0.25">
      <c r="A528" s="63" t="s">
        <v>845</v>
      </c>
      <c r="B528" s="63" t="s">
        <v>846</v>
      </c>
      <c r="C528" s="36">
        <v>4301011584</v>
      </c>
      <c r="D528" s="653">
        <v>4640242180564</v>
      </c>
      <c r="E528" s="653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66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655"/>
      <c r="R528" s="655"/>
      <c r="S528" s="655"/>
      <c r="T528" s="656"/>
      <c r="U528" s="39" t="s">
        <v>46</v>
      </c>
      <c r="V528" s="39" t="s">
        <v>46</v>
      </c>
      <c r="W528" s="40" t="s">
        <v>0</v>
      </c>
      <c r="X528" s="58">
        <v>70</v>
      </c>
      <c r="Y528" s="55">
        <f>IFERROR(IF(X528="",0,CEILING((X528/$H528),1)*$H528),"")</f>
        <v>72</v>
      </c>
      <c r="Z528" s="41">
        <f>IFERROR(IF(Y528=0,"",ROUNDUP(Y528/H528,0)*0.01898),"")</f>
        <v>0.11388000000000001</v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72.391666666666666</v>
      </c>
      <c r="BN528" s="78">
        <f>IFERROR(Y528*I528/H528,"0")</f>
        <v>74.459999999999994</v>
      </c>
      <c r="BO528" s="78">
        <f>IFERROR(1/J528*(X528/H528),"0")</f>
        <v>9.1145833333333329E-2</v>
      </c>
      <c r="BP528" s="78">
        <f>IFERROR(1/J528*(Y528/H528),"0")</f>
        <v>9.375E-2</v>
      </c>
    </row>
    <row r="529" spans="1:68" x14ac:dyDescent="0.2">
      <c r="A529" s="647"/>
      <c r="B529" s="647"/>
      <c r="C529" s="647"/>
      <c r="D529" s="647"/>
      <c r="E529" s="647"/>
      <c r="F529" s="647"/>
      <c r="G529" s="647"/>
      <c r="H529" s="647"/>
      <c r="I529" s="647"/>
      <c r="J529" s="647"/>
      <c r="K529" s="647"/>
      <c r="L529" s="647"/>
      <c r="M529" s="647"/>
      <c r="N529" s="647"/>
      <c r="O529" s="648"/>
      <c r="P529" s="644" t="s">
        <v>40</v>
      </c>
      <c r="Q529" s="645"/>
      <c r="R529" s="645"/>
      <c r="S529" s="645"/>
      <c r="T529" s="645"/>
      <c r="U529" s="645"/>
      <c r="V529" s="646"/>
      <c r="W529" s="42" t="s">
        <v>39</v>
      </c>
      <c r="X529" s="43">
        <f>IFERROR(X528/H528,"0")</f>
        <v>5.833333333333333</v>
      </c>
      <c r="Y529" s="43">
        <f>IFERROR(Y528/H528,"0")</f>
        <v>6</v>
      </c>
      <c r="Z529" s="43">
        <f>IFERROR(IF(Z528="",0,Z528),"0")</f>
        <v>0.11388000000000001</v>
      </c>
      <c r="AA529" s="67"/>
      <c r="AB529" s="67"/>
      <c r="AC529" s="67"/>
    </row>
    <row r="530" spans="1:68" x14ac:dyDescent="0.2">
      <c r="A530" s="647"/>
      <c r="B530" s="647"/>
      <c r="C530" s="647"/>
      <c r="D530" s="647"/>
      <c r="E530" s="647"/>
      <c r="F530" s="647"/>
      <c r="G530" s="647"/>
      <c r="H530" s="647"/>
      <c r="I530" s="647"/>
      <c r="J530" s="647"/>
      <c r="K530" s="647"/>
      <c r="L530" s="647"/>
      <c r="M530" s="647"/>
      <c r="N530" s="647"/>
      <c r="O530" s="648"/>
      <c r="P530" s="644" t="s">
        <v>40</v>
      </c>
      <c r="Q530" s="645"/>
      <c r="R530" s="645"/>
      <c r="S530" s="645"/>
      <c r="T530" s="645"/>
      <c r="U530" s="645"/>
      <c r="V530" s="646"/>
      <c r="W530" s="42" t="s">
        <v>0</v>
      </c>
      <c r="X530" s="43">
        <f>IFERROR(SUM(X528:X528),"0")</f>
        <v>70</v>
      </c>
      <c r="Y530" s="43">
        <f>IFERROR(SUM(Y528:Y528),"0")</f>
        <v>72</v>
      </c>
      <c r="Z530" s="42"/>
      <c r="AA530" s="67"/>
      <c r="AB530" s="67"/>
      <c r="AC530" s="67"/>
    </row>
    <row r="531" spans="1:68" ht="14.25" hidden="1" customHeight="1" x14ac:dyDescent="0.25">
      <c r="A531" s="658" t="s">
        <v>156</v>
      </c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8"/>
      <c r="P531" s="658"/>
      <c r="Q531" s="658"/>
      <c r="R531" s="658"/>
      <c r="S531" s="658"/>
      <c r="T531" s="658"/>
      <c r="U531" s="658"/>
      <c r="V531" s="658"/>
      <c r="W531" s="658"/>
      <c r="X531" s="658"/>
      <c r="Y531" s="658"/>
      <c r="Z531" s="658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653">
        <v>4640242180519</v>
      </c>
      <c r="E532" s="653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66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655"/>
      <c r="R532" s="655"/>
      <c r="S532" s="655"/>
      <c r="T532" s="656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647"/>
      <c r="B533" s="647"/>
      <c r="C533" s="647"/>
      <c r="D533" s="647"/>
      <c r="E533" s="647"/>
      <c r="F533" s="647"/>
      <c r="G533" s="647"/>
      <c r="H533" s="647"/>
      <c r="I533" s="647"/>
      <c r="J533" s="647"/>
      <c r="K533" s="647"/>
      <c r="L533" s="647"/>
      <c r="M533" s="647"/>
      <c r="N533" s="647"/>
      <c r="O533" s="648"/>
      <c r="P533" s="644" t="s">
        <v>40</v>
      </c>
      <c r="Q533" s="645"/>
      <c r="R533" s="645"/>
      <c r="S533" s="645"/>
      <c r="T533" s="645"/>
      <c r="U533" s="645"/>
      <c r="V533" s="646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647"/>
      <c r="B534" s="647"/>
      <c r="C534" s="647"/>
      <c r="D534" s="647"/>
      <c r="E534" s="647"/>
      <c r="F534" s="647"/>
      <c r="G534" s="647"/>
      <c r="H534" s="647"/>
      <c r="I534" s="647"/>
      <c r="J534" s="647"/>
      <c r="K534" s="647"/>
      <c r="L534" s="647"/>
      <c r="M534" s="647"/>
      <c r="N534" s="647"/>
      <c r="O534" s="648"/>
      <c r="P534" s="644" t="s">
        <v>40</v>
      </c>
      <c r="Q534" s="645"/>
      <c r="R534" s="645"/>
      <c r="S534" s="645"/>
      <c r="T534" s="645"/>
      <c r="U534" s="645"/>
      <c r="V534" s="646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658" t="s">
        <v>76</v>
      </c>
      <c r="B535" s="658"/>
      <c r="C535" s="658"/>
      <c r="D535" s="658"/>
      <c r="E535" s="658"/>
      <c r="F535" s="658"/>
      <c r="G535" s="658"/>
      <c r="H535" s="658"/>
      <c r="I535" s="658"/>
      <c r="J535" s="658"/>
      <c r="K535" s="658"/>
      <c r="L535" s="658"/>
      <c r="M535" s="658"/>
      <c r="N535" s="658"/>
      <c r="O535" s="658"/>
      <c r="P535" s="658"/>
      <c r="Q535" s="658"/>
      <c r="R535" s="658"/>
      <c r="S535" s="658"/>
      <c r="T535" s="658"/>
      <c r="U535" s="658"/>
      <c r="V535" s="658"/>
      <c r="W535" s="658"/>
      <c r="X535" s="658"/>
      <c r="Y535" s="658"/>
      <c r="Z535" s="658"/>
      <c r="AA535" s="66"/>
      <c r="AB535" s="66"/>
      <c r="AC535" s="80"/>
    </row>
    <row r="536" spans="1:68" ht="27" hidden="1" customHeight="1" x14ac:dyDescent="0.25">
      <c r="A536" s="63" t="s">
        <v>851</v>
      </c>
      <c r="B536" s="63" t="s">
        <v>852</v>
      </c>
      <c r="C536" s="36">
        <v>4301031500</v>
      </c>
      <c r="D536" s="653">
        <v>4640242180595</v>
      </c>
      <c r="E536" s="653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6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655"/>
      <c r="R536" s="655"/>
      <c r="S536" s="655"/>
      <c r="T536" s="656"/>
      <c r="U536" s="39" t="s">
        <v>46</v>
      </c>
      <c r="V536" s="39" t="s">
        <v>46</v>
      </c>
      <c r="W536" s="40" t="s">
        <v>0</v>
      </c>
      <c r="X536" s="58">
        <v>0</v>
      </c>
      <c r="Y536" s="55">
        <f>IFERROR(IF(X536="",0,CEILING((X536/$H536),1)*$H536),"")</f>
        <v>0</v>
      </c>
      <c r="Z536" s="41" t="str">
        <f>IFERROR(IF(Y536=0,"",ROUNDUP(Y536/H536,0)*0.00902),"")</f>
        <v/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0</v>
      </c>
      <c r="BN536" s="78">
        <f>IFERROR(Y536*I536/H536,"0")</f>
        <v>0</v>
      </c>
      <c r="BO536" s="78">
        <f>IFERROR(1/J536*(X536/H536),"0")</f>
        <v>0</v>
      </c>
      <c r="BP536" s="78">
        <f>IFERROR(1/J536*(Y536/H536),"0")</f>
        <v>0</v>
      </c>
    </row>
    <row r="537" spans="1:68" hidden="1" x14ac:dyDescent="0.2">
      <c r="A537" s="647"/>
      <c r="B537" s="647"/>
      <c r="C537" s="647"/>
      <c r="D537" s="647"/>
      <c r="E537" s="647"/>
      <c r="F537" s="647"/>
      <c r="G537" s="647"/>
      <c r="H537" s="647"/>
      <c r="I537" s="647"/>
      <c r="J537" s="647"/>
      <c r="K537" s="647"/>
      <c r="L537" s="647"/>
      <c r="M537" s="647"/>
      <c r="N537" s="647"/>
      <c r="O537" s="648"/>
      <c r="P537" s="644" t="s">
        <v>40</v>
      </c>
      <c r="Q537" s="645"/>
      <c r="R537" s="645"/>
      <c r="S537" s="645"/>
      <c r="T537" s="645"/>
      <c r="U537" s="645"/>
      <c r="V537" s="646"/>
      <c r="W537" s="42" t="s">
        <v>39</v>
      </c>
      <c r="X537" s="43">
        <f>IFERROR(X536/H536,"0")</f>
        <v>0</v>
      </c>
      <c r="Y537" s="43">
        <f>IFERROR(Y536/H536,"0")</f>
        <v>0</v>
      </c>
      <c r="Z537" s="43">
        <f>IFERROR(IF(Z536="",0,Z536),"0")</f>
        <v>0</v>
      </c>
      <c r="AA537" s="67"/>
      <c r="AB537" s="67"/>
      <c r="AC537" s="67"/>
    </row>
    <row r="538" spans="1:68" hidden="1" x14ac:dyDescent="0.2">
      <c r="A538" s="647"/>
      <c r="B538" s="647"/>
      <c r="C538" s="647"/>
      <c r="D538" s="647"/>
      <c r="E538" s="647"/>
      <c r="F538" s="647"/>
      <c r="G538" s="647"/>
      <c r="H538" s="647"/>
      <c r="I538" s="647"/>
      <c r="J538" s="647"/>
      <c r="K538" s="647"/>
      <c r="L538" s="647"/>
      <c r="M538" s="647"/>
      <c r="N538" s="647"/>
      <c r="O538" s="648"/>
      <c r="P538" s="644" t="s">
        <v>40</v>
      </c>
      <c r="Q538" s="645"/>
      <c r="R538" s="645"/>
      <c r="S538" s="645"/>
      <c r="T538" s="645"/>
      <c r="U538" s="645"/>
      <c r="V538" s="646"/>
      <c r="W538" s="42" t="s">
        <v>0</v>
      </c>
      <c r="X538" s="43">
        <f>IFERROR(SUM(X536:X536),"0")</f>
        <v>0</v>
      </c>
      <c r="Y538" s="43">
        <f>IFERROR(SUM(Y536:Y536),"0")</f>
        <v>0</v>
      </c>
      <c r="Z538" s="42"/>
      <c r="AA538" s="67"/>
      <c r="AB538" s="67"/>
      <c r="AC538" s="67"/>
    </row>
    <row r="539" spans="1:68" ht="14.25" hidden="1" customHeight="1" x14ac:dyDescent="0.25">
      <c r="A539" s="658" t="s">
        <v>85</v>
      </c>
      <c r="B539" s="658"/>
      <c r="C539" s="658"/>
      <c r="D539" s="658"/>
      <c r="E539" s="658"/>
      <c r="F539" s="658"/>
      <c r="G539" s="658"/>
      <c r="H539" s="658"/>
      <c r="I539" s="658"/>
      <c r="J539" s="658"/>
      <c r="K539" s="658"/>
      <c r="L539" s="658"/>
      <c r="M539" s="658"/>
      <c r="N539" s="658"/>
      <c r="O539" s="658"/>
      <c r="P539" s="658"/>
      <c r="Q539" s="658"/>
      <c r="R539" s="658"/>
      <c r="S539" s="658"/>
      <c r="T539" s="658"/>
      <c r="U539" s="658"/>
      <c r="V539" s="658"/>
      <c r="W539" s="658"/>
      <c r="X539" s="658"/>
      <c r="Y539" s="658"/>
      <c r="Z539" s="658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653">
        <v>4640242180533</v>
      </c>
      <c r="E540" s="653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6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655"/>
      <c r="R540" s="655"/>
      <c r="S540" s="655"/>
      <c r="T540" s="656"/>
      <c r="U540" s="39" t="s">
        <v>46</v>
      </c>
      <c r="V540" s="39" t="s">
        <v>46</v>
      </c>
      <c r="W540" s="40" t="s">
        <v>0</v>
      </c>
      <c r="X540" s="58">
        <v>750</v>
      </c>
      <c r="Y540" s="55">
        <f>IFERROR(IF(X540="",0,CEILING((X540/$H540),1)*$H540),"")</f>
        <v>756</v>
      </c>
      <c r="Z540" s="41">
        <f>IFERROR(IF(Y540=0,"",ROUNDUP(Y540/H540,0)*0.01898),"")</f>
        <v>1.59432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791.16666666666663</v>
      </c>
      <c r="BN540" s="78">
        <f>IFERROR(Y540*I540/H540,"0")</f>
        <v>797.49599999999998</v>
      </c>
      <c r="BO540" s="78">
        <f>IFERROR(1/J540*(X540/H540),"0")</f>
        <v>1.3020833333333333</v>
      </c>
      <c r="BP540" s="78">
        <f>IFERROR(1/J540*(Y540/H540),"0")</f>
        <v>1.3125</v>
      </c>
    </row>
    <row r="541" spans="1:68" x14ac:dyDescent="0.2">
      <c r="A541" s="647"/>
      <c r="B541" s="647"/>
      <c r="C541" s="647"/>
      <c r="D541" s="647"/>
      <c r="E541" s="647"/>
      <c r="F541" s="647"/>
      <c r="G541" s="647"/>
      <c r="H541" s="647"/>
      <c r="I541" s="647"/>
      <c r="J541" s="647"/>
      <c r="K541" s="647"/>
      <c r="L541" s="647"/>
      <c r="M541" s="647"/>
      <c r="N541" s="647"/>
      <c r="O541" s="648"/>
      <c r="P541" s="644" t="s">
        <v>40</v>
      </c>
      <c r="Q541" s="645"/>
      <c r="R541" s="645"/>
      <c r="S541" s="645"/>
      <c r="T541" s="645"/>
      <c r="U541" s="645"/>
      <c r="V541" s="646"/>
      <c r="W541" s="42" t="s">
        <v>39</v>
      </c>
      <c r="X541" s="43">
        <f>IFERROR(X540/H540,"0")</f>
        <v>83.333333333333329</v>
      </c>
      <c r="Y541" s="43">
        <f>IFERROR(Y540/H540,"0")</f>
        <v>84</v>
      </c>
      <c r="Z541" s="43">
        <f>IFERROR(IF(Z540="",0,Z540),"0")</f>
        <v>1.59432</v>
      </c>
      <c r="AA541" s="67"/>
      <c r="AB541" s="67"/>
      <c r="AC541" s="67"/>
    </row>
    <row r="542" spans="1:68" x14ac:dyDescent="0.2">
      <c r="A542" s="647"/>
      <c r="B542" s="647"/>
      <c r="C542" s="647"/>
      <c r="D542" s="647"/>
      <c r="E542" s="647"/>
      <c r="F542" s="647"/>
      <c r="G542" s="647"/>
      <c r="H542" s="647"/>
      <c r="I542" s="647"/>
      <c r="J542" s="647"/>
      <c r="K542" s="647"/>
      <c r="L542" s="647"/>
      <c r="M542" s="647"/>
      <c r="N542" s="647"/>
      <c r="O542" s="648"/>
      <c r="P542" s="644" t="s">
        <v>40</v>
      </c>
      <c r="Q542" s="645"/>
      <c r="R542" s="645"/>
      <c r="S542" s="645"/>
      <c r="T542" s="645"/>
      <c r="U542" s="645"/>
      <c r="V542" s="646"/>
      <c r="W542" s="42" t="s">
        <v>0</v>
      </c>
      <c r="X542" s="43">
        <f>IFERROR(SUM(X540:X540),"0")</f>
        <v>750</v>
      </c>
      <c r="Y542" s="43">
        <f>IFERROR(SUM(Y540:Y540),"0")</f>
        <v>756</v>
      </c>
      <c r="Z542" s="42"/>
      <c r="AA542" s="67"/>
      <c r="AB542" s="67"/>
      <c r="AC542" s="67"/>
    </row>
    <row r="543" spans="1:68" ht="14.25" hidden="1" customHeight="1" x14ac:dyDescent="0.25">
      <c r="A543" s="658" t="s">
        <v>173</v>
      </c>
      <c r="B543" s="658"/>
      <c r="C543" s="658"/>
      <c r="D543" s="658"/>
      <c r="E543" s="658"/>
      <c r="F543" s="658"/>
      <c r="G543" s="658"/>
      <c r="H543" s="658"/>
      <c r="I543" s="658"/>
      <c r="J543" s="658"/>
      <c r="K543" s="658"/>
      <c r="L543" s="658"/>
      <c r="M543" s="658"/>
      <c r="N543" s="658"/>
      <c r="O543" s="658"/>
      <c r="P543" s="658"/>
      <c r="Q543" s="658"/>
      <c r="R543" s="658"/>
      <c r="S543" s="658"/>
      <c r="T543" s="658"/>
      <c r="U543" s="658"/>
      <c r="V543" s="658"/>
      <c r="W543" s="658"/>
      <c r="X543" s="658"/>
      <c r="Y543" s="658"/>
      <c r="Z543" s="658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653">
        <v>4640242180120</v>
      </c>
      <c r="E544" s="653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66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655"/>
      <c r="R544" s="655"/>
      <c r="S544" s="655"/>
      <c r="T544" s="656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653">
        <v>4640242180137</v>
      </c>
      <c r="E545" s="653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65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655"/>
      <c r="R545" s="655"/>
      <c r="S545" s="655"/>
      <c r="T545" s="656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647"/>
      <c r="B546" s="647"/>
      <c r="C546" s="647"/>
      <c r="D546" s="647"/>
      <c r="E546" s="647"/>
      <c r="F546" s="647"/>
      <c r="G546" s="647"/>
      <c r="H546" s="647"/>
      <c r="I546" s="647"/>
      <c r="J546" s="647"/>
      <c r="K546" s="647"/>
      <c r="L546" s="647"/>
      <c r="M546" s="647"/>
      <c r="N546" s="647"/>
      <c r="O546" s="648"/>
      <c r="P546" s="644" t="s">
        <v>40</v>
      </c>
      <c r="Q546" s="645"/>
      <c r="R546" s="645"/>
      <c r="S546" s="645"/>
      <c r="T546" s="645"/>
      <c r="U546" s="645"/>
      <c r="V546" s="646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647"/>
      <c r="B547" s="647"/>
      <c r="C547" s="647"/>
      <c r="D547" s="647"/>
      <c r="E547" s="647"/>
      <c r="F547" s="647"/>
      <c r="G547" s="647"/>
      <c r="H547" s="647"/>
      <c r="I547" s="647"/>
      <c r="J547" s="647"/>
      <c r="K547" s="647"/>
      <c r="L547" s="647"/>
      <c r="M547" s="647"/>
      <c r="N547" s="647"/>
      <c r="O547" s="648"/>
      <c r="P547" s="644" t="s">
        <v>40</v>
      </c>
      <c r="Q547" s="645"/>
      <c r="R547" s="645"/>
      <c r="S547" s="645"/>
      <c r="T547" s="645"/>
      <c r="U547" s="645"/>
      <c r="V547" s="646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657" t="s">
        <v>863</v>
      </c>
      <c r="B548" s="657"/>
      <c r="C548" s="657"/>
      <c r="D548" s="657"/>
      <c r="E548" s="657"/>
      <c r="F548" s="657"/>
      <c r="G548" s="657"/>
      <c r="H548" s="657"/>
      <c r="I548" s="657"/>
      <c r="J548" s="657"/>
      <c r="K548" s="657"/>
      <c r="L548" s="657"/>
      <c r="M548" s="657"/>
      <c r="N548" s="657"/>
      <c r="O548" s="657"/>
      <c r="P548" s="657"/>
      <c r="Q548" s="657"/>
      <c r="R548" s="657"/>
      <c r="S548" s="657"/>
      <c r="T548" s="657"/>
      <c r="U548" s="657"/>
      <c r="V548" s="657"/>
      <c r="W548" s="657"/>
      <c r="X548" s="657"/>
      <c r="Y548" s="657"/>
      <c r="Z548" s="657"/>
      <c r="AA548" s="65"/>
      <c r="AB548" s="65"/>
      <c r="AC548" s="79"/>
    </row>
    <row r="549" spans="1:68" ht="14.25" hidden="1" customHeight="1" x14ac:dyDescent="0.25">
      <c r="A549" s="658" t="s">
        <v>156</v>
      </c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8"/>
      <c r="P549" s="658"/>
      <c r="Q549" s="658"/>
      <c r="R549" s="658"/>
      <c r="S549" s="658"/>
      <c r="T549" s="658"/>
      <c r="U549" s="658"/>
      <c r="V549" s="658"/>
      <c r="W549" s="658"/>
      <c r="X549" s="658"/>
      <c r="Y549" s="658"/>
      <c r="Z549" s="658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653">
        <v>4640242180090</v>
      </c>
      <c r="E550" s="653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65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655"/>
      <c r="R550" s="655"/>
      <c r="S550" s="655"/>
      <c r="T550" s="65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647"/>
      <c r="B551" s="647"/>
      <c r="C551" s="647"/>
      <c r="D551" s="647"/>
      <c r="E551" s="647"/>
      <c r="F551" s="647"/>
      <c r="G551" s="647"/>
      <c r="H551" s="647"/>
      <c r="I551" s="647"/>
      <c r="J551" s="647"/>
      <c r="K551" s="647"/>
      <c r="L551" s="647"/>
      <c r="M551" s="647"/>
      <c r="N551" s="647"/>
      <c r="O551" s="648"/>
      <c r="P551" s="644" t="s">
        <v>40</v>
      </c>
      <c r="Q551" s="645"/>
      <c r="R551" s="645"/>
      <c r="S551" s="645"/>
      <c r="T551" s="645"/>
      <c r="U551" s="645"/>
      <c r="V551" s="646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647"/>
      <c r="B552" s="647"/>
      <c r="C552" s="647"/>
      <c r="D552" s="647"/>
      <c r="E552" s="647"/>
      <c r="F552" s="647"/>
      <c r="G552" s="647"/>
      <c r="H552" s="647"/>
      <c r="I552" s="647"/>
      <c r="J552" s="647"/>
      <c r="K552" s="647"/>
      <c r="L552" s="647"/>
      <c r="M552" s="647"/>
      <c r="N552" s="647"/>
      <c r="O552" s="648"/>
      <c r="P552" s="644" t="s">
        <v>40</v>
      </c>
      <c r="Q552" s="645"/>
      <c r="R552" s="645"/>
      <c r="S552" s="645"/>
      <c r="T552" s="645"/>
      <c r="U552" s="645"/>
      <c r="V552" s="646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647"/>
      <c r="B553" s="647"/>
      <c r="C553" s="647"/>
      <c r="D553" s="647"/>
      <c r="E553" s="647"/>
      <c r="F553" s="647"/>
      <c r="G553" s="647"/>
      <c r="H553" s="647"/>
      <c r="I553" s="647"/>
      <c r="J553" s="647"/>
      <c r="K553" s="647"/>
      <c r="L553" s="647"/>
      <c r="M553" s="647"/>
      <c r="N553" s="647"/>
      <c r="O553" s="652"/>
      <c r="P553" s="649" t="s">
        <v>33</v>
      </c>
      <c r="Q553" s="650"/>
      <c r="R553" s="650"/>
      <c r="S553" s="650"/>
      <c r="T553" s="650"/>
      <c r="U553" s="650"/>
      <c r="V553" s="651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11414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11514.16</v>
      </c>
      <c r="Z553" s="42"/>
      <c r="AA553" s="67"/>
      <c r="AB553" s="67"/>
      <c r="AC553" s="67"/>
    </row>
    <row r="554" spans="1:68" x14ac:dyDescent="0.2">
      <c r="A554" s="647"/>
      <c r="B554" s="647"/>
      <c r="C554" s="647"/>
      <c r="D554" s="647"/>
      <c r="E554" s="647"/>
      <c r="F554" s="647"/>
      <c r="G554" s="647"/>
      <c r="H554" s="647"/>
      <c r="I554" s="647"/>
      <c r="J554" s="647"/>
      <c r="K554" s="647"/>
      <c r="L554" s="647"/>
      <c r="M554" s="647"/>
      <c r="N554" s="647"/>
      <c r="O554" s="652"/>
      <c r="P554" s="649" t="s">
        <v>34</v>
      </c>
      <c r="Q554" s="650"/>
      <c r="R554" s="650"/>
      <c r="S554" s="650"/>
      <c r="T554" s="650"/>
      <c r="U554" s="650"/>
      <c r="V554" s="651"/>
      <c r="W554" s="42" t="s">
        <v>0</v>
      </c>
      <c r="X554" s="43">
        <f>IFERROR(SUM(BM22:BM550),"0")</f>
        <v>12329.410144731812</v>
      </c>
      <c r="Y554" s="43">
        <f>IFERROR(SUM(BN22:BN550),"0")</f>
        <v>12437.803999999998</v>
      </c>
      <c r="Z554" s="42"/>
      <c r="AA554" s="67"/>
      <c r="AB554" s="67"/>
      <c r="AC554" s="67"/>
    </row>
    <row r="555" spans="1:68" x14ac:dyDescent="0.2">
      <c r="A555" s="647"/>
      <c r="B555" s="647"/>
      <c r="C555" s="647"/>
      <c r="D555" s="647"/>
      <c r="E555" s="647"/>
      <c r="F555" s="647"/>
      <c r="G555" s="647"/>
      <c r="H555" s="647"/>
      <c r="I555" s="647"/>
      <c r="J555" s="647"/>
      <c r="K555" s="647"/>
      <c r="L555" s="647"/>
      <c r="M555" s="647"/>
      <c r="N555" s="647"/>
      <c r="O555" s="652"/>
      <c r="P555" s="649" t="s">
        <v>35</v>
      </c>
      <c r="Q555" s="650"/>
      <c r="R555" s="650"/>
      <c r="S555" s="650"/>
      <c r="T555" s="650"/>
      <c r="U555" s="650"/>
      <c r="V555" s="651"/>
      <c r="W555" s="42" t="s">
        <v>20</v>
      </c>
      <c r="X555" s="44">
        <f>ROUNDUP(SUM(BO22:BO550),0)</f>
        <v>23</v>
      </c>
      <c r="Y555" s="44">
        <f>ROUNDUP(SUM(BP22:BP550),0)</f>
        <v>23</v>
      </c>
      <c r="Z555" s="42"/>
      <c r="AA555" s="67"/>
      <c r="AB555" s="67"/>
      <c r="AC555" s="67"/>
    </row>
    <row r="556" spans="1:68" x14ac:dyDescent="0.2">
      <c r="A556" s="647"/>
      <c r="B556" s="647"/>
      <c r="C556" s="647"/>
      <c r="D556" s="647"/>
      <c r="E556" s="647"/>
      <c r="F556" s="647"/>
      <c r="G556" s="647"/>
      <c r="H556" s="647"/>
      <c r="I556" s="647"/>
      <c r="J556" s="647"/>
      <c r="K556" s="647"/>
      <c r="L556" s="647"/>
      <c r="M556" s="647"/>
      <c r="N556" s="647"/>
      <c r="O556" s="652"/>
      <c r="P556" s="649" t="s">
        <v>36</v>
      </c>
      <c r="Q556" s="650"/>
      <c r="R556" s="650"/>
      <c r="S556" s="650"/>
      <c r="T556" s="650"/>
      <c r="U556" s="650"/>
      <c r="V556" s="651"/>
      <c r="W556" s="42" t="s">
        <v>0</v>
      </c>
      <c r="X556" s="43">
        <f>GrossWeightTotal+PalletQtyTotal*25</f>
        <v>12904.410144731812</v>
      </c>
      <c r="Y556" s="43">
        <f>GrossWeightTotalR+PalletQtyTotalR*25</f>
        <v>13012.803999999998</v>
      </c>
      <c r="Z556" s="42"/>
      <c r="AA556" s="67"/>
      <c r="AB556" s="67"/>
      <c r="AC556" s="67"/>
    </row>
    <row r="557" spans="1:68" x14ac:dyDescent="0.2">
      <c r="A557" s="647"/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52"/>
      <c r="P557" s="649" t="s">
        <v>37</v>
      </c>
      <c r="Q557" s="650"/>
      <c r="R557" s="650"/>
      <c r="S557" s="650"/>
      <c r="T557" s="650"/>
      <c r="U557" s="650"/>
      <c r="V557" s="651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3272.0174116007456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3290</v>
      </c>
      <c r="Z557" s="42"/>
      <c r="AA557" s="67"/>
      <c r="AB557" s="67"/>
      <c r="AC557" s="67"/>
    </row>
    <row r="558" spans="1:68" ht="14.25" hidden="1" x14ac:dyDescent="0.2">
      <c r="A558" s="647"/>
      <c r="B558" s="647"/>
      <c r="C558" s="647"/>
      <c r="D558" s="647"/>
      <c r="E558" s="647"/>
      <c r="F558" s="647"/>
      <c r="G558" s="647"/>
      <c r="H558" s="647"/>
      <c r="I558" s="647"/>
      <c r="J558" s="647"/>
      <c r="K558" s="647"/>
      <c r="L558" s="647"/>
      <c r="M558" s="647"/>
      <c r="N558" s="647"/>
      <c r="O558" s="652"/>
      <c r="P558" s="649" t="s">
        <v>38</v>
      </c>
      <c r="Q558" s="650"/>
      <c r="R558" s="650"/>
      <c r="S558" s="650"/>
      <c r="T558" s="650"/>
      <c r="U558" s="650"/>
      <c r="V558" s="651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27.172920000000008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640" t="s">
        <v>121</v>
      </c>
      <c r="E560" s="640" t="s">
        <v>121</v>
      </c>
      <c r="F560" s="640" t="s">
        <v>121</v>
      </c>
      <c r="G560" s="640" t="s">
        <v>121</v>
      </c>
      <c r="H560" s="640" t="s">
        <v>121</v>
      </c>
      <c r="I560" s="640" t="s">
        <v>121</v>
      </c>
      <c r="J560" s="640" t="s">
        <v>121</v>
      </c>
      <c r="K560" s="640" t="s">
        <v>349</v>
      </c>
      <c r="L560" s="640" t="s">
        <v>349</v>
      </c>
      <c r="M560" s="640" t="s">
        <v>349</v>
      </c>
      <c r="N560" s="641"/>
      <c r="O560" s="640" t="s">
        <v>349</v>
      </c>
      <c r="P560" s="640" t="s">
        <v>349</v>
      </c>
      <c r="Q560" s="640" t="s">
        <v>349</v>
      </c>
      <c r="R560" s="640" t="s">
        <v>349</v>
      </c>
      <c r="S560" s="640" t="s">
        <v>349</v>
      </c>
      <c r="T560" s="640" t="s">
        <v>349</v>
      </c>
      <c r="U560" s="640" t="s">
        <v>349</v>
      </c>
      <c r="V560" s="640" t="s">
        <v>349</v>
      </c>
      <c r="W560" s="640" t="s">
        <v>695</v>
      </c>
      <c r="X560" s="640" t="s">
        <v>695</v>
      </c>
      <c r="Y560" s="640" t="s">
        <v>761</v>
      </c>
      <c r="Z560" s="640" t="s">
        <v>761</v>
      </c>
      <c r="AA560" s="85" t="s">
        <v>797</v>
      </c>
      <c r="AB560" s="640" t="s">
        <v>844</v>
      </c>
      <c r="AC560" s="640" t="s">
        <v>844</v>
      </c>
      <c r="AF560" s="1"/>
    </row>
    <row r="561" spans="1:32" ht="14.25" customHeight="1" thickTop="1" x14ac:dyDescent="0.2">
      <c r="A561" s="642" t="s">
        <v>10</v>
      </c>
      <c r="B561" s="640" t="s">
        <v>75</v>
      </c>
      <c r="C561" s="640" t="s">
        <v>103</v>
      </c>
      <c r="D561" s="640" t="s">
        <v>122</v>
      </c>
      <c r="E561" s="640" t="s">
        <v>138</v>
      </c>
      <c r="F561" s="640" t="s">
        <v>180</v>
      </c>
      <c r="G561" s="640" t="s">
        <v>201</v>
      </c>
      <c r="H561" s="640" t="s">
        <v>241</v>
      </c>
      <c r="I561" s="640" t="s">
        <v>265</v>
      </c>
      <c r="J561" s="640" t="s">
        <v>121</v>
      </c>
      <c r="K561" s="640" t="s">
        <v>350</v>
      </c>
      <c r="L561" s="640" t="s">
        <v>371</v>
      </c>
      <c r="M561" s="640" t="s">
        <v>438</v>
      </c>
      <c r="N561" s="1"/>
      <c r="O561" s="640" t="s">
        <v>506</v>
      </c>
      <c r="P561" s="640" t="s">
        <v>539</v>
      </c>
      <c r="Q561" s="640" t="s">
        <v>555</v>
      </c>
      <c r="R561" s="640" t="s">
        <v>564</v>
      </c>
      <c r="S561" s="640" t="s">
        <v>585</v>
      </c>
      <c r="T561" s="640" t="s">
        <v>594</v>
      </c>
      <c r="U561" s="640" t="s">
        <v>678</v>
      </c>
      <c r="V561" s="640" t="s">
        <v>685</v>
      </c>
      <c r="W561" s="640" t="s">
        <v>696</v>
      </c>
      <c r="X561" s="640" t="s">
        <v>745</v>
      </c>
      <c r="Y561" s="640" t="s">
        <v>762</v>
      </c>
      <c r="Z561" s="640" t="s">
        <v>785</v>
      </c>
      <c r="AA561" s="640" t="s">
        <v>797</v>
      </c>
      <c r="AB561" s="640" t="s">
        <v>844</v>
      </c>
      <c r="AC561" s="640" t="s">
        <v>863</v>
      </c>
      <c r="AF561" s="1"/>
    </row>
    <row r="562" spans="1:32" ht="13.5" thickBot="1" x14ac:dyDescent="0.25">
      <c r="A562" s="643"/>
      <c r="B562" s="640"/>
      <c r="C562" s="640"/>
      <c r="D562" s="640"/>
      <c r="E562" s="640"/>
      <c r="F562" s="640"/>
      <c r="G562" s="640"/>
      <c r="H562" s="640"/>
      <c r="I562" s="640"/>
      <c r="J562" s="640"/>
      <c r="K562" s="640"/>
      <c r="L562" s="640"/>
      <c r="M562" s="640"/>
      <c r="N562" s="1"/>
      <c r="O562" s="640"/>
      <c r="P562" s="640"/>
      <c r="Q562" s="640"/>
      <c r="R562" s="640"/>
      <c r="S562" s="640"/>
      <c r="T562" s="640"/>
      <c r="U562" s="640"/>
      <c r="V562" s="640"/>
      <c r="W562" s="640"/>
      <c r="X562" s="640"/>
      <c r="Y562" s="640"/>
      <c r="Z562" s="640"/>
      <c r="AA562" s="640"/>
      <c r="AB562" s="640"/>
      <c r="AC562" s="64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348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675</v>
      </c>
      <c r="F563" s="52">
        <f>IFERROR(Y83*1,"0")+IFERROR(Y84*1,"0")+IFERROR(Y85*1,"0")+IFERROR(Y86*1,"0")+IFERROR(Y90*1,"0")+IFERROR(Y91*1,"0")+IFERROR(Y92*1,"0")+IFERROR(Y93*1,"0")</f>
        <v>1269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1918.8000000000002</v>
      </c>
      <c r="H563" s="52">
        <f>IFERROR(Y128*1,"0")+IFERROR(Y129*1,"0")+IFERROR(Y130*1,"0")+IFERROR(Y134*1,"0")+IFERROR(Y135*1,"0")+IFERROR(Y136*1,"0")+IFERROR(Y137*1,"0")+IFERROR(Y141*1,"0")+IFERROR(Y142*1,"0")+IFERROR(Y143*1,"0")</f>
        <v>128.16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1061.6199999999999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212.10000000000002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1714.1999999999998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482.4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358.79999999999995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585.59999999999991</v>
      </c>
      <c r="U563" s="52">
        <f>IFERROR(Y411*1,"0")+IFERROR(Y412*1,"0")</f>
        <v>0</v>
      </c>
      <c r="V563" s="52">
        <f>IFERROR(Y417*1,"0")+IFERROR(Y418*1,"0")+IFERROR(Y419*1,"0")</f>
        <v>840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264</v>
      </c>
      <c r="X563" s="52">
        <f>IFERROR(Y454*1,"0")+IFERROR(Y455*1,"0")+IFERROR(Y459*1,"0")+IFERROR(Y463*1,"0")+IFERROR(Y464*1,"0")+IFERROR(Y465*1,"0")</f>
        <v>0</v>
      </c>
      <c r="Y563" s="52">
        <f>IFERROR(Y471*1,"0")+IFERROR(Y472*1,"0")+IFERROR(Y473*1,"0")+IFERROR(Y474*1,"0")+IFERROR(Y475*1,"0")+IFERROR(Y476*1,"0")+IFERROR(Y480*1,"0")+IFERROR(Y481*1,"0")</f>
        <v>0</v>
      </c>
      <c r="Z563" s="52">
        <f>IFERROR(Y486*1,"0")+IFERROR(Y490*1,"0")+IFERROR(Y491*1,"0")+IFERROR(Y492*1,"0")</f>
        <v>0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828.48000000000013</v>
      </c>
      <c r="AB563" s="52">
        <f>IFERROR(Y528*1,"0")+IFERROR(Y532*1,"0")+IFERROR(Y536*1,"0")+IFERROR(Y540*1,"0")+IFERROR(Y544*1,"0")+IFERROR(Y545*1,"0")</f>
        <v>828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8,00"/>
        <filter val="1 320,00"/>
        <filter val="100,00"/>
        <filter val="11 414,00"/>
        <filter val="112,00"/>
        <filter val="12 329,41"/>
        <filter val="12 904,41"/>
        <filter val="12,50"/>
        <filter val="120,00"/>
        <filter val="126,48"/>
        <filter val="13,33"/>
        <filter val="135,00"/>
        <filter val="140,00"/>
        <filter val="150,00"/>
        <filter val="160,00"/>
        <filter val="175,00"/>
        <filter val="18,75"/>
        <filter val="18,94"/>
        <filter val="191,36"/>
        <filter val="200,00"/>
        <filter val="202,00"/>
        <filter val="210,00"/>
        <filter val="23"/>
        <filter val="240,00"/>
        <filter val="25,00"/>
        <filter val="250,00"/>
        <filter val="269,44"/>
        <filter val="27,00"/>
        <filter val="3 272,02"/>
        <filter val="30,00"/>
        <filter val="300,00"/>
        <filter val="340,00"/>
        <filter val="35,00"/>
        <filter val="350,00"/>
        <filter val="357,41"/>
        <filter val="360,00"/>
        <filter val="370,00"/>
        <filter val="397,62"/>
        <filter val="40,00"/>
        <filter val="400,00"/>
        <filter val="41,67"/>
        <filter val="420,00"/>
        <filter val="44,87"/>
        <filter val="45,00"/>
        <filter val="45,51"/>
        <filter val="450,00"/>
        <filter val="470,00"/>
        <filter val="480,00"/>
        <filter val="49,50"/>
        <filter val="5,56"/>
        <filter val="5,83"/>
        <filter val="50,00"/>
        <filter val="50,19"/>
        <filter val="540,00"/>
        <filter val="60,00"/>
        <filter val="600,00"/>
        <filter val="610,00"/>
        <filter val="630,00"/>
        <filter val="650,00"/>
        <filter val="69,26"/>
        <filter val="70,00"/>
        <filter val="720,00"/>
        <filter val="750,00"/>
        <filter val="80,00"/>
        <filter val="83,33"/>
        <filter val="84,00"/>
        <filter val="840,00"/>
        <filter val="885,00"/>
        <filter val="90,00"/>
        <filter val="94,13"/>
        <filter val="98,33"/>
      </filters>
    </filterColumn>
    <filterColumn colId="29" showButton="0"/>
    <filterColumn colId="30" showButton="0"/>
  </autoFilter>
  <dataConsolidate/>
  <mergeCells count="99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2026-08-21T11:21:16Z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