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4EDE534-D54D-4C5D-A62F-7FA9467F1D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72" i="2" l="1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32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<sst xmlns="http://schemas.openxmlformats.org/spreadsheetml/2006/main" count="4194" uniqueCount="891">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</sst>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46258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1500</v>
      </c>
      <c r="Y424" s="55">
        <f t="shared" si="52"/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1547</v>
      </c>
      <c r="BN424" s="78">
        <f t="shared" si="54"/>
        <v>1547</v>
      </c>
      <c r="BO424" s="78">
        <f t="shared" si="55"/>
        <v>2.083333333333333</v>
      </c>
      <c r="BP424" s="78">
        <f t="shared" si="56"/>
        <v>2.083333333333333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900</v>
      </c>
      <c r="Y425" s="55">
        <f t="shared" si="52"/>
        <v>900</v>
      </c>
      <c r="Z425" s="41">
        <f>IFERROR(IF(Y425=0,"",ROUNDUP(Y425/H425,0)*0.02175),"")</f>
        <v>1.3049999999999999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928.2</v>
      </c>
      <c r="BN425" s="78">
        <f t="shared" si="54"/>
        <v>928.2</v>
      </c>
      <c r="BO425" s="78">
        <f t="shared" si="55"/>
        <v>1.25</v>
      </c>
      <c r="BP425" s="78">
        <f t="shared" si="56"/>
        <v>1.25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2200</v>
      </c>
      <c r="Y426" s="55">
        <f t="shared" si="52"/>
        <v>2205</v>
      </c>
      <c r="Z426" s="41">
        <f>IFERROR(IF(Y426=0,"",ROUNDUP(Y426/H426,0)*0.02175),"")</f>
        <v>3.1972499999999999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2268.9333333333334</v>
      </c>
      <c r="BN426" s="78">
        <f t="shared" si="54"/>
        <v>2274.0899999999997</v>
      </c>
      <c r="BO426" s="78">
        <f t="shared" si="55"/>
        <v>3.0555555555555554</v>
      </c>
      <c r="BP426" s="78">
        <f t="shared" si="56"/>
        <v>3.0625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600</v>
      </c>
      <c r="Y427" s="55">
        <f t="shared" si="52"/>
        <v>600</v>
      </c>
      <c r="Z427" s="41">
        <f>IFERROR(IF(Y427=0,"",ROUNDUP(Y427/H427,0)*0.02175),"")</f>
        <v>0.86999999999999988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618.79999999999995</v>
      </c>
      <c r="BN427" s="78">
        <f t="shared" si="54"/>
        <v>618.79999999999995</v>
      </c>
      <c r="BO427" s="78">
        <f t="shared" si="55"/>
        <v>0.83333333333333326</v>
      </c>
      <c r="BP427" s="78">
        <f t="shared" si="56"/>
        <v>0.83333333333333326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346.66666666666663</v>
      </c>
      <c r="Y431" s="43">
        <f>IFERROR(Y423/H423,"0")+IFERROR(Y424/H424,"0")+IFERROR(Y425/H425,"0")+IFERROR(Y426/H426,"0")+IFERROR(Y427/H427,"0")+IFERROR(Y428/H428,"0")+IFERROR(Y429/H429,"0")+IFERROR(Y430/H430,"0")</f>
        <v>347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7.5472499999999991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5200</v>
      </c>
      <c r="Y432" s="43">
        <f>IFERROR(SUM(Y423:Y430),"0")</f>
        <v>5205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5205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5362.9333333333334</v>
      </c>
      <c r="Y552" s="43">
        <f>IFERROR(SUM(BN22:BN548),"0")</f>
        <v>5368.0899999999992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5562.9333333333334</v>
      </c>
      <c r="Y554" s="43">
        <f>GrossWeightTotalR+PalletQtyTotalR*25</f>
        <v>5568.0899999999992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346.66666666666663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347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7.5472499999999991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5205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2 200,00"/>
        <filter val="346,67"/>
        <filter val="5 200,00"/>
        <filter val="5 362,93"/>
        <filter val="5 562,93"/>
        <filter val="600,00"/>
        <filter val="8"/>
        <filter val="90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