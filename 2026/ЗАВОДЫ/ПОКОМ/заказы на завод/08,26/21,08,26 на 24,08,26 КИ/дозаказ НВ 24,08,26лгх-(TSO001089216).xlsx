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0180737-F719-452A-AD96-0B1FC9FC3AB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1" l="1"/>
  <c r="X550" i="1"/>
  <c r="BO549" i="1"/>
  <c r="BM549" i="1"/>
  <c r="Y549" i="1"/>
  <c r="P549" i="1"/>
  <c r="X546" i="1"/>
  <c r="X545" i="1"/>
  <c r="BO544" i="1"/>
  <c r="BN544" i="1"/>
  <c r="BM544" i="1"/>
  <c r="Y544" i="1"/>
  <c r="BP544" i="1" s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P527" i="1"/>
  <c r="X523" i="1"/>
  <c r="X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N518" i="1"/>
  <c r="BM518" i="1"/>
  <c r="Y518" i="1"/>
  <c r="BP518" i="1" s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BN510" i="1" s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N498" i="1" s="1"/>
  <c r="P498" i="1"/>
  <c r="BO497" i="1"/>
  <c r="BM497" i="1"/>
  <c r="Y497" i="1"/>
  <c r="P497" i="1"/>
  <c r="X493" i="1"/>
  <c r="X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Y481" i="1" s="1"/>
  <c r="P479" i="1"/>
  <c r="X477" i="1"/>
  <c r="X476" i="1"/>
  <c r="BO475" i="1"/>
  <c r="BM475" i="1"/>
  <c r="Y475" i="1"/>
  <c r="P475" i="1"/>
  <c r="BO474" i="1"/>
  <c r="BN474" i="1"/>
  <c r="BM474" i="1"/>
  <c r="Y474" i="1"/>
  <c r="BP474" i="1" s="1"/>
  <c r="P474" i="1"/>
  <c r="BO473" i="1"/>
  <c r="BM473" i="1"/>
  <c r="Y473" i="1"/>
  <c r="P473" i="1"/>
  <c r="BO472" i="1"/>
  <c r="BM472" i="1"/>
  <c r="Y472" i="1"/>
  <c r="P472" i="1"/>
  <c r="BO471" i="1"/>
  <c r="BM471" i="1"/>
  <c r="Y471" i="1"/>
  <c r="P471" i="1"/>
  <c r="BO470" i="1"/>
  <c r="BN470" i="1"/>
  <c r="BM470" i="1"/>
  <c r="Y470" i="1"/>
  <c r="BP470" i="1" s="1"/>
  <c r="P470" i="1"/>
  <c r="X466" i="1"/>
  <c r="X465" i="1"/>
  <c r="BO464" i="1"/>
  <c r="BM464" i="1"/>
  <c r="Y464" i="1"/>
  <c r="P464" i="1"/>
  <c r="BO463" i="1"/>
  <c r="BM463" i="1"/>
  <c r="Y463" i="1"/>
  <c r="P463" i="1"/>
  <c r="BO462" i="1"/>
  <c r="BN462" i="1"/>
  <c r="BM462" i="1"/>
  <c r="Y462" i="1"/>
  <c r="BP462" i="1" s="1"/>
  <c r="P462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Y455" i="1"/>
  <c r="X455" i="1"/>
  <c r="BO454" i="1"/>
  <c r="BN454" i="1"/>
  <c r="BM454" i="1"/>
  <c r="Y454" i="1"/>
  <c r="BP454" i="1" s="1"/>
  <c r="P454" i="1"/>
  <c r="BO453" i="1"/>
  <c r="BM453" i="1"/>
  <c r="Y453" i="1"/>
  <c r="P453" i="1"/>
  <c r="X450" i="1"/>
  <c r="X449" i="1"/>
  <c r="BO448" i="1"/>
  <c r="BM448" i="1"/>
  <c r="Y448" i="1"/>
  <c r="P448" i="1"/>
  <c r="BO447" i="1"/>
  <c r="BM447" i="1"/>
  <c r="Y447" i="1"/>
  <c r="P447" i="1"/>
  <c r="X445" i="1"/>
  <c r="X444" i="1"/>
  <c r="BO443" i="1"/>
  <c r="BN443" i="1"/>
  <c r="BM443" i="1"/>
  <c r="Y443" i="1"/>
  <c r="BP443" i="1" s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N435" i="1"/>
  <c r="BM435" i="1"/>
  <c r="Y435" i="1"/>
  <c r="BP435" i="1" s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BN429" i="1" s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N425" i="1"/>
  <c r="BM425" i="1"/>
  <c r="Y425" i="1"/>
  <c r="BP425" i="1" s="1"/>
  <c r="P425" i="1"/>
  <c r="BO424" i="1"/>
  <c r="BM424" i="1"/>
  <c r="Y424" i="1"/>
  <c r="P424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3" i="1"/>
  <c r="X412" i="1"/>
  <c r="BO411" i="1"/>
  <c r="BM411" i="1"/>
  <c r="Y411" i="1"/>
  <c r="P411" i="1"/>
  <c r="BO410" i="1"/>
  <c r="BN410" i="1"/>
  <c r="BM410" i="1"/>
  <c r="Y410" i="1"/>
  <c r="BP410" i="1" s="1"/>
  <c r="P410" i="1"/>
  <c r="X407" i="1"/>
  <c r="X406" i="1"/>
  <c r="BO405" i="1"/>
  <c r="BN405" i="1"/>
  <c r="BM405" i="1"/>
  <c r="Y405" i="1"/>
  <c r="BP405" i="1" s="1"/>
  <c r="P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BN399" i="1" s="1"/>
  <c r="P399" i="1"/>
  <c r="BO398" i="1"/>
  <c r="BM398" i="1"/>
  <c r="Y398" i="1"/>
  <c r="P398" i="1"/>
  <c r="BO397" i="1"/>
  <c r="BM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X388" i="1"/>
  <c r="X387" i="1"/>
  <c r="BO386" i="1"/>
  <c r="BM386" i="1"/>
  <c r="Y386" i="1"/>
  <c r="P386" i="1"/>
  <c r="BO385" i="1"/>
  <c r="BN385" i="1"/>
  <c r="BM385" i="1"/>
  <c r="Y385" i="1"/>
  <c r="BP385" i="1" s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N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BO371" i="1"/>
  <c r="BM371" i="1"/>
  <c r="Y371" i="1"/>
  <c r="BN371" i="1" s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O367" i="1"/>
  <c r="BN367" i="1"/>
  <c r="BM367" i="1"/>
  <c r="Y367" i="1"/>
  <c r="BP367" i="1" s="1"/>
  <c r="P367" i="1"/>
  <c r="X365" i="1"/>
  <c r="X364" i="1"/>
  <c r="BO363" i="1"/>
  <c r="BM363" i="1"/>
  <c r="Y363" i="1"/>
  <c r="P363" i="1"/>
  <c r="BO362" i="1"/>
  <c r="BM362" i="1"/>
  <c r="Y362" i="1"/>
  <c r="P362" i="1"/>
  <c r="BO361" i="1"/>
  <c r="BM361" i="1"/>
  <c r="Y361" i="1"/>
  <c r="BN361" i="1" s="1"/>
  <c r="P361" i="1"/>
  <c r="BO360" i="1"/>
  <c r="BM360" i="1"/>
  <c r="Y360" i="1"/>
  <c r="P360" i="1"/>
  <c r="BO359" i="1"/>
  <c r="BM359" i="1"/>
  <c r="Y359" i="1"/>
  <c r="P359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X349" i="1"/>
  <c r="X348" i="1"/>
  <c r="BO347" i="1"/>
  <c r="BM347" i="1"/>
  <c r="Y347" i="1"/>
  <c r="Z347" i="1" s="1"/>
  <c r="P347" i="1"/>
  <c r="BO346" i="1"/>
  <c r="BM346" i="1"/>
  <c r="Y346" i="1"/>
  <c r="Y348" i="1" s="1"/>
  <c r="P346" i="1"/>
  <c r="X344" i="1"/>
  <c r="X343" i="1"/>
  <c r="BO342" i="1"/>
  <c r="BM342" i="1"/>
  <c r="Y342" i="1"/>
  <c r="P342" i="1"/>
  <c r="BO341" i="1"/>
  <c r="BM341" i="1"/>
  <c r="Y341" i="1"/>
  <c r="BP341" i="1" s="1"/>
  <c r="P341" i="1"/>
  <c r="BO340" i="1"/>
  <c r="BM340" i="1"/>
  <c r="Y340" i="1"/>
  <c r="P340" i="1"/>
  <c r="BP339" i="1"/>
  <c r="BO339" i="1"/>
  <c r="BN339" i="1"/>
  <c r="BM339" i="1"/>
  <c r="Z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BP332" i="1" s="1"/>
  <c r="P332" i="1"/>
  <c r="BO331" i="1"/>
  <c r="BM331" i="1"/>
  <c r="Y331" i="1"/>
  <c r="P331" i="1"/>
  <c r="X328" i="1"/>
  <c r="X327" i="1"/>
  <c r="BO326" i="1"/>
  <c r="BM326" i="1"/>
  <c r="Y326" i="1"/>
  <c r="P326" i="1"/>
  <c r="BO325" i="1"/>
  <c r="BM325" i="1"/>
  <c r="Y325" i="1"/>
  <c r="BN325" i="1" s="1"/>
  <c r="P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P322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BO300" i="1"/>
  <c r="BN300" i="1"/>
  <c r="BM300" i="1"/>
  <c r="Y300" i="1"/>
  <c r="BP300" i="1" s="1"/>
  <c r="P300" i="1"/>
  <c r="BO299" i="1"/>
  <c r="BM299" i="1"/>
  <c r="Y299" i="1"/>
  <c r="P299" i="1"/>
  <c r="BO298" i="1"/>
  <c r="BM298" i="1"/>
  <c r="Y298" i="1"/>
  <c r="BP298" i="1" s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N291" i="1"/>
  <c r="BM291" i="1"/>
  <c r="Y291" i="1"/>
  <c r="BP291" i="1" s="1"/>
  <c r="P291" i="1"/>
  <c r="X289" i="1"/>
  <c r="X288" i="1"/>
  <c r="BO287" i="1"/>
  <c r="BM287" i="1"/>
  <c r="Y287" i="1"/>
  <c r="BP287" i="1" s="1"/>
  <c r="P287" i="1"/>
  <c r="BO286" i="1"/>
  <c r="BM286" i="1"/>
  <c r="Y286" i="1"/>
  <c r="P286" i="1"/>
  <c r="BO285" i="1"/>
  <c r="BM285" i="1"/>
  <c r="Y285" i="1"/>
  <c r="BN285" i="1" s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O281" i="1"/>
  <c r="BN281" i="1"/>
  <c r="BM281" i="1"/>
  <c r="Y281" i="1"/>
  <c r="BP281" i="1" s="1"/>
  <c r="P281" i="1"/>
  <c r="BO280" i="1"/>
  <c r="BM280" i="1"/>
  <c r="Z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BN276" i="1" s="1"/>
  <c r="P276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BP267" i="1" s="1"/>
  <c r="P267" i="1"/>
  <c r="BO266" i="1"/>
  <c r="BM266" i="1"/>
  <c r="Y266" i="1"/>
  <c r="BN266" i="1" s="1"/>
  <c r="P266" i="1"/>
  <c r="BO265" i="1"/>
  <c r="BM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Y262" i="1" s="1"/>
  <c r="P260" i="1"/>
  <c r="X258" i="1"/>
  <c r="X257" i="1"/>
  <c r="BO256" i="1"/>
  <c r="BN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BO245" i="1"/>
  <c r="BM245" i="1"/>
  <c r="Y245" i="1"/>
  <c r="BP245" i="1" s="1"/>
  <c r="P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N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P232" i="1"/>
  <c r="BP231" i="1"/>
  <c r="BO231" i="1"/>
  <c r="BM231" i="1"/>
  <c r="Z231" i="1"/>
  <c r="Y231" i="1"/>
  <c r="BN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N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N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O215" i="1"/>
  <c r="BM215" i="1"/>
  <c r="Y215" i="1"/>
  <c r="Y216" i="1" s="1"/>
  <c r="P215" i="1"/>
  <c r="X212" i="1"/>
  <c r="X211" i="1"/>
  <c r="BO210" i="1"/>
  <c r="BM210" i="1"/>
  <c r="Y210" i="1"/>
  <c r="BP210" i="1" s="1"/>
  <c r="P210" i="1"/>
  <c r="BO209" i="1"/>
  <c r="BM209" i="1"/>
  <c r="Y209" i="1"/>
  <c r="P209" i="1"/>
  <c r="BP208" i="1"/>
  <c r="BO208" i="1"/>
  <c r="BM208" i="1"/>
  <c r="Z208" i="1"/>
  <c r="Y208" i="1"/>
  <c r="BN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N204" i="1" s="1"/>
  <c r="P204" i="1"/>
  <c r="X200" i="1"/>
  <c r="Y199" i="1"/>
  <c r="X199" i="1"/>
  <c r="BO198" i="1"/>
  <c r="BN198" i="1"/>
  <c r="BM198" i="1"/>
  <c r="Y198" i="1"/>
  <c r="Y200" i="1" s="1"/>
  <c r="P198" i="1"/>
  <c r="X196" i="1"/>
  <c r="X195" i="1"/>
  <c r="BO194" i="1"/>
  <c r="BM194" i="1"/>
  <c r="Y194" i="1"/>
  <c r="Y196" i="1" s="1"/>
  <c r="P194" i="1"/>
  <c r="X192" i="1"/>
  <c r="X191" i="1"/>
  <c r="BO190" i="1"/>
  <c r="BM190" i="1"/>
  <c r="Y190" i="1"/>
  <c r="BP190" i="1" s="1"/>
  <c r="P190" i="1"/>
  <c r="BO189" i="1"/>
  <c r="BM189" i="1"/>
  <c r="Y189" i="1"/>
  <c r="P189" i="1"/>
  <c r="BP188" i="1"/>
  <c r="BO188" i="1"/>
  <c r="BN188" i="1"/>
  <c r="BM188" i="1"/>
  <c r="Z188" i="1"/>
  <c r="Y188" i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N182" i="1"/>
  <c r="BM182" i="1"/>
  <c r="Y182" i="1"/>
  <c r="BP182" i="1" s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N174" i="1" s="1"/>
  <c r="P174" i="1"/>
  <c r="X172" i="1"/>
  <c r="X171" i="1"/>
  <c r="BO170" i="1"/>
  <c r="BM170" i="1"/>
  <c r="Y170" i="1"/>
  <c r="BP170" i="1" s="1"/>
  <c r="P170" i="1"/>
  <c r="BO169" i="1"/>
  <c r="BM169" i="1"/>
  <c r="Y169" i="1"/>
  <c r="P169" i="1"/>
  <c r="X167" i="1"/>
  <c r="X166" i="1"/>
  <c r="BO165" i="1"/>
  <c r="BM165" i="1"/>
  <c r="Y165" i="1"/>
  <c r="P165" i="1"/>
  <c r="BO164" i="1"/>
  <c r="BN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O153" i="1"/>
  <c r="BM153" i="1"/>
  <c r="Y153" i="1"/>
  <c r="BP153" i="1" s="1"/>
  <c r="P153" i="1"/>
  <c r="BO152" i="1"/>
  <c r="BM152" i="1"/>
  <c r="Y152" i="1"/>
  <c r="P152" i="1"/>
  <c r="BO151" i="1"/>
  <c r="BN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X145" i="1"/>
  <c r="X144" i="1"/>
  <c r="BO143" i="1"/>
  <c r="BM143" i="1"/>
  <c r="Y143" i="1"/>
  <c r="P143" i="1"/>
  <c r="BO142" i="1"/>
  <c r="BN142" i="1"/>
  <c r="BM142" i="1"/>
  <c r="Y142" i="1"/>
  <c r="BP142" i="1" s="1"/>
  <c r="P142" i="1"/>
  <c r="BO141" i="1"/>
  <c r="BM141" i="1"/>
  <c r="Y141" i="1"/>
  <c r="P141" i="1"/>
  <c r="X139" i="1"/>
  <c r="X138" i="1"/>
  <c r="BO137" i="1"/>
  <c r="BM137" i="1"/>
  <c r="Y137" i="1"/>
  <c r="P137" i="1"/>
  <c r="BO136" i="1"/>
  <c r="BM136" i="1"/>
  <c r="Y136" i="1"/>
  <c r="BP136" i="1" s="1"/>
  <c r="P136" i="1"/>
  <c r="BO135" i="1"/>
  <c r="BM135" i="1"/>
  <c r="Y135" i="1"/>
  <c r="P135" i="1"/>
  <c r="BO134" i="1"/>
  <c r="BM134" i="1"/>
  <c r="Y134" i="1"/>
  <c r="BN134" i="1" s="1"/>
  <c r="P134" i="1"/>
  <c r="X132" i="1"/>
  <c r="X131" i="1"/>
  <c r="BP130" i="1"/>
  <c r="BO130" i="1"/>
  <c r="BM130" i="1"/>
  <c r="Z130" i="1"/>
  <c r="Y130" i="1"/>
  <c r="BN130" i="1" s="1"/>
  <c r="P130" i="1"/>
  <c r="BO129" i="1"/>
  <c r="BM129" i="1"/>
  <c r="Y129" i="1"/>
  <c r="P129" i="1"/>
  <c r="BO128" i="1"/>
  <c r="BM128" i="1"/>
  <c r="Y128" i="1"/>
  <c r="BP128" i="1" s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BN119" i="1" s="1"/>
  <c r="P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M111" i="1"/>
  <c r="Z111" i="1"/>
  <c r="Y111" i="1"/>
  <c r="BN111" i="1" s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N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P99" i="1"/>
  <c r="BO99" i="1"/>
  <c r="BM99" i="1"/>
  <c r="Z99" i="1"/>
  <c r="Y99" i="1"/>
  <c r="BN99" i="1" s="1"/>
  <c r="P99" i="1"/>
  <c r="BO98" i="1"/>
  <c r="BM98" i="1"/>
  <c r="Y98" i="1"/>
  <c r="P98" i="1"/>
  <c r="X95" i="1"/>
  <c r="X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BO90" i="1"/>
  <c r="BN90" i="1"/>
  <c r="BM90" i="1"/>
  <c r="Y90" i="1"/>
  <c r="BP90" i="1" s="1"/>
  <c r="P90" i="1"/>
  <c r="X88" i="1"/>
  <c r="X87" i="1"/>
  <c r="BO86" i="1"/>
  <c r="BM86" i="1"/>
  <c r="Y86" i="1"/>
  <c r="BP86" i="1" s="1"/>
  <c r="P86" i="1"/>
  <c r="BO85" i="1"/>
  <c r="BM85" i="1"/>
  <c r="Y85" i="1"/>
  <c r="P85" i="1"/>
  <c r="BO84" i="1"/>
  <c r="BN84" i="1"/>
  <c r="BM84" i="1"/>
  <c r="Y84" i="1"/>
  <c r="BP84" i="1" s="1"/>
  <c r="P84" i="1"/>
  <c r="BO83" i="1"/>
  <c r="BM83" i="1"/>
  <c r="Y83" i="1"/>
  <c r="P83" i="1"/>
  <c r="X80" i="1"/>
  <c r="X79" i="1"/>
  <c r="BO78" i="1"/>
  <c r="BM78" i="1"/>
  <c r="Y78" i="1"/>
  <c r="P78" i="1"/>
  <c r="BO77" i="1"/>
  <c r="BM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BO65" i="1"/>
  <c r="BN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P60" i="1"/>
  <c r="BO59" i="1"/>
  <c r="BM59" i="1"/>
  <c r="Y59" i="1"/>
  <c r="BN59" i="1" s="1"/>
  <c r="P59" i="1"/>
  <c r="BO58" i="1"/>
  <c r="BM58" i="1"/>
  <c r="Y58" i="1"/>
  <c r="P58" i="1"/>
  <c r="BO57" i="1"/>
  <c r="BM57" i="1"/>
  <c r="Y57" i="1"/>
  <c r="BP57" i="1" s="1"/>
  <c r="P57" i="1"/>
  <c r="BO56" i="1"/>
  <c r="BM56" i="1"/>
  <c r="Y56" i="1"/>
  <c r="P56" i="1"/>
  <c r="X53" i="1"/>
  <c r="X52" i="1"/>
  <c r="BO51" i="1"/>
  <c r="BM51" i="1"/>
  <c r="Y51" i="1"/>
  <c r="P51" i="1"/>
  <c r="BP50" i="1"/>
  <c r="BO50" i="1"/>
  <c r="BM50" i="1"/>
  <c r="Z50" i="1"/>
  <c r="Y50" i="1"/>
  <c r="BN50" i="1" s="1"/>
  <c r="P50" i="1"/>
  <c r="BO49" i="1"/>
  <c r="BM49" i="1"/>
  <c r="Y49" i="1"/>
  <c r="P49" i="1"/>
  <c r="BO48" i="1"/>
  <c r="BM48" i="1"/>
  <c r="Y48" i="1"/>
  <c r="BP48" i="1" s="1"/>
  <c r="P48" i="1"/>
  <c r="X44" i="1"/>
  <c r="X43" i="1"/>
  <c r="BP42" i="1"/>
  <c r="BO42" i="1"/>
  <c r="BN42" i="1"/>
  <c r="BM42" i="1"/>
  <c r="Z42" i="1"/>
  <c r="Y42" i="1"/>
  <c r="P42" i="1"/>
  <c r="BO41" i="1"/>
  <c r="BM41" i="1"/>
  <c r="Y41" i="1"/>
  <c r="P41" i="1"/>
  <c r="BO40" i="1"/>
  <c r="BM40" i="1"/>
  <c r="Y40" i="1"/>
  <c r="BP40" i="1" s="1"/>
  <c r="P40" i="1"/>
  <c r="BO39" i="1"/>
  <c r="BM39" i="1"/>
  <c r="Y39" i="1"/>
  <c r="P39" i="1"/>
  <c r="BP38" i="1"/>
  <c r="BO38" i="1"/>
  <c r="BM38" i="1"/>
  <c r="Z38" i="1"/>
  <c r="Y38" i="1"/>
  <c r="BN38" i="1" s="1"/>
  <c r="P38" i="1"/>
  <c r="BO37" i="1"/>
  <c r="BM37" i="1"/>
  <c r="Y37" i="1"/>
  <c r="P37" i="1"/>
  <c r="X33" i="1"/>
  <c r="X32" i="1"/>
  <c r="BO31" i="1"/>
  <c r="BM31" i="1"/>
  <c r="Y31" i="1"/>
  <c r="P31" i="1"/>
  <c r="BO30" i="1"/>
  <c r="BM30" i="1"/>
  <c r="Y30" i="1"/>
  <c r="BP30" i="1" s="1"/>
  <c r="P30" i="1"/>
  <c r="BO29" i="1"/>
  <c r="BM29" i="1"/>
  <c r="Y29" i="1"/>
  <c r="P29" i="1"/>
  <c r="BO28" i="1"/>
  <c r="BN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A10" i="1" s="1"/>
  <c r="D7" i="1"/>
  <c r="Q6" i="1"/>
  <c r="P2" i="1"/>
  <c r="J9" i="1" l="1"/>
  <c r="F10" i="1"/>
  <c r="Z59" i="1"/>
  <c r="BP59" i="1"/>
  <c r="Z119" i="1"/>
  <c r="BP119" i="1"/>
  <c r="Z134" i="1"/>
  <c r="BP134" i="1"/>
  <c r="Z174" i="1"/>
  <c r="BP174" i="1"/>
  <c r="Z194" i="1"/>
  <c r="Z195" i="1" s="1"/>
  <c r="BP194" i="1"/>
  <c r="Z204" i="1"/>
  <c r="BP204" i="1"/>
  <c r="Z215" i="1"/>
  <c r="Z216" i="1" s="1"/>
  <c r="BP215" i="1"/>
  <c r="Z227" i="1"/>
  <c r="BP227" i="1"/>
  <c r="Z239" i="1"/>
  <c r="BP239" i="1"/>
  <c r="Z266" i="1"/>
  <c r="BP266" i="1"/>
  <c r="Z276" i="1"/>
  <c r="BP276" i="1"/>
  <c r="Z285" i="1"/>
  <c r="BP285" i="1"/>
  <c r="Z325" i="1"/>
  <c r="BP325" i="1"/>
  <c r="Z361" i="1"/>
  <c r="BP361" i="1"/>
  <c r="Z371" i="1"/>
  <c r="BP371" i="1"/>
  <c r="Z399" i="1"/>
  <c r="BP399" i="1"/>
  <c r="Z429" i="1"/>
  <c r="BP429" i="1"/>
  <c r="Z498" i="1"/>
  <c r="BP498" i="1"/>
  <c r="Z510" i="1"/>
  <c r="BP510" i="1"/>
  <c r="Z65" i="1"/>
  <c r="Z84" i="1"/>
  <c r="Z142" i="1"/>
  <c r="Z164" i="1"/>
  <c r="Z223" i="1"/>
  <c r="Z256" i="1"/>
  <c r="BN280" i="1"/>
  <c r="Z281" i="1"/>
  <c r="Z291" i="1"/>
  <c r="Z367" i="1"/>
  <c r="Z377" i="1"/>
  <c r="Z405" i="1"/>
  <c r="Z425" i="1"/>
  <c r="Z435" i="1"/>
  <c r="Z454" i="1"/>
  <c r="Z462" i="1"/>
  <c r="Z474" i="1"/>
  <c r="Z518" i="1"/>
  <c r="F9" i="1"/>
  <c r="Z28" i="1"/>
  <c r="Z90" i="1"/>
  <c r="Z103" i="1"/>
  <c r="Z151" i="1"/>
  <c r="Z182" i="1"/>
  <c r="BN194" i="1"/>
  <c r="Y195" i="1"/>
  <c r="Z198" i="1"/>
  <c r="Z199" i="1" s="1"/>
  <c r="BP198" i="1"/>
  <c r="BN215" i="1"/>
  <c r="Z300" i="1"/>
  <c r="Z385" i="1"/>
  <c r="Z410" i="1"/>
  <c r="Z443" i="1"/>
  <c r="Z470" i="1"/>
  <c r="Z544" i="1"/>
  <c r="Y131" i="1"/>
  <c r="BP352" i="1"/>
  <c r="BN352" i="1"/>
  <c r="Z352" i="1"/>
  <c r="BP363" i="1"/>
  <c r="BN363" i="1"/>
  <c r="Z363" i="1"/>
  <c r="BP373" i="1"/>
  <c r="BN373" i="1"/>
  <c r="Z373" i="1"/>
  <c r="BP391" i="1"/>
  <c r="BN391" i="1"/>
  <c r="Z391" i="1"/>
  <c r="Y407" i="1"/>
  <c r="BP403" i="1"/>
  <c r="BN403" i="1"/>
  <c r="Z403" i="1"/>
  <c r="BP427" i="1"/>
  <c r="BN427" i="1"/>
  <c r="Z427" i="1"/>
  <c r="BP437" i="1"/>
  <c r="BN437" i="1"/>
  <c r="Z437" i="1"/>
  <c r="BP441" i="1"/>
  <c r="BN441" i="1"/>
  <c r="Z441" i="1"/>
  <c r="BP464" i="1"/>
  <c r="BN464" i="1"/>
  <c r="Z464" i="1"/>
  <c r="BP480" i="1"/>
  <c r="BN480" i="1"/>
  <c r="Z480" i="1"/>
  <c r="Y487" i="1"/>
  <c r="Y486" i="1"/>
  <c r="BP485" i="1"/>
  <c r="BN485" i="1"/>
  <c r="Z485" i="1"/>
  <c r="Z486" i="1" s="1"/>
  <c r="BP490" i="1"/>
  <c r="BN490" i="1"/>
  <c r="Z490" i="1"/>
  <c r="BP504" i="1"/>
  <c r="BN504" i="1"/>
  <c r="Z504" i="1"/>
  <c r="BP520" i="1"/>
  <c r="BN520" i="1"/>
  <c r="Z520" i="1"/>
  <c r="Z22" i="1"/>
  <c r="BN22" i="1"/>
  <c r="Z30" i="1"/>
  <c r="BN30" i="1"/>
  <c r="Z40" i="1"/>
  <c r="BN40" i="1"/>
  <c r="Z48" i="1"/>
  <c r="BN48" i="1"/>
  <c r="Z57" i="1"/>
  <c r="BN57" i="1"/>
  <c r="Z61" i="1"/>
  <c r="BN61" i="1"/>
  <c r="Y69" i="1"/>
  <c r="Z67" i="1"/>
  <c r="BN67" i="1"/>
  <c r="Z77" i="1"/>
  <c r="BN77" i="1"/>
  <c r="BP77" i="1"/>
  <c r="Z86" i="1"/>
  <c r="BN86" i="1"/>
  <c r="Y94" i="1"/>
  <c r="Z92" i="1"/>
  <c r="BN92" i="1"/>
  <c r="Z101" i="1"/>
  <c r="BN101" i="1"/>
  <c r="Z109" i="1"/>
  <c r="BN109" i="1"/>
  <c r="Z117" i="1"/>
  <c r="BN117" i="1"/>
  <c r="Z123" i="1"/>
  <c r="Z124" i="1" s="1"/>
  <c r="BN123" i="1"/>
  <c r="BP123" i="1"/>
  <c r="Y124" i="1"/>
  <c r="Z128" i="1"/>
  <c r="BN128" i="1"/>
  <c r="Z136" i="1"/>
  <c r="BN136" i="1"/>
  <c r="Z149" i="1"/>
  <c r="BN149" i="1"/>
  <c r="Z153" i="1"/>
  <c r="BN153" i="1"/>
  <c r="Z170" i="1"/>
  <c r="BN170" i="1"/>
  <c r="Y186" i="1"/>
  <c r="Z176" i="1"/>
  <c r="BN176" i="1"/>
  <c r="Z180" i="1"/>
  <c r="BN180" i="1"/>
  <c r="Z184" i="1"/>
  <c r="BN184" i="1"/>
  <c r="Z190" i="1"/>
  <c r="BN190" i="1"/>
  <c r="Z206" i="1"/>
  <c r="BN206" i="1"/>
  <c r="Z210" i="1"/>
  <c r="BN210" i="1"/>
  <c r="Z221" i="1"/>
  <c r="BN221" i="1"/>
  <c r="Z225" i="1"/>
  <c r="BN225" i="1"/>
  <c r="Z229" i="1"/>
  <c r="BN229" i="1"/>
  <c r="Z237" i="1"/>
  <c r="BN237" i="1"/>
  <c r="Z245" i="1"/>
  <c r="BN245" i="1"/>
  <c r="M562" i="1"/>
  <c r="Z260" i="1"/>
  <c r="BN260" i="1"/>
  <c r="BP260" i="1"/>
  <c r="Y274" i="1"/>
  <c r="Z268" i="1"/>
  <c r="BN268" i="1"/>
  <c r="Z272" i="1"/>
  <c r="BN272" i="1"/>
  <c r="Z278" i="1"/>
  <c r="BN278" i="1"/>
  <c r="Z283" i="1"/>
  <c r="BN283" i="1"/>
  <c r="Z287" i="1"/>
  <c r="BN287" i="1"/>
  <c r="Y293" i="1"/>
  <c r="Z298" i="1"/>
  <c r="BN298" i="1"/>
  <c r="Z302" i="1"/>
  <c r="BN302" i="1"/>
  <c r="Z323" i="1"/>
  <c r="BN323" i="1"/>
  <c r="Z332" i="1"/>
  <c r="BN332" i="1"/>
  <c r="R562" i="1"/>
  <c r="Z341" i="1"/>
  <c r="BN341" i="1"/>
  <c r="BP347" i="1"/>
  <c r="BN347" i="1"/>
  <c r="T562" i="1"/>
  <c r="BP359" i="1"/>
  <c r="BN359" i="1"/>
  <c r="Z359" i="1"/>
  <c r="BP369" i="1"/>
  <c r="BN369" i="1"/>
  <c r="Z369" i="1"/>
  <c r="BP379" i="1"/>
  <c r="BN379" i="1"/>
  <c r="Z379" i="1"/>
  <c r="BP397" i="1"/>
  <c r="BN397" i="1"/>
  <c r="Z397" i="1"/>
  <c r="Y406" i="1"/>
  <c r="BP417" i="1"/>
  <c r="BN417" i="1"/>
  <c r="Z417" i="1"/>
  <c r="BP431" i="1"/>
  <c r="BN431" i="1"/>
  <c r="Z431" i="1"/>
  <c r="Y449" i="1"/>
  <c r="BP447" i="1"/>
  <c r="BN447" i="1"/>
  <c r="Z447" i="1"/>
  <c r="BP472" i="1"/>
  <c r="BN472" i="1"/>
  <c r="Z472" i="1"/>
  <c r="BP500" i="1"/>
  <c r="BN500" i="1"/>
  <c r="Z500" i="1"/>
  <c r="BP516" i="1"/>
  <c r="BN516" i="1"/>
  <c r="Z516" i="1"/>
  <c r="AC562" i="1"/>
  <c r="Y550" i="1"/>
  <c r="BP549" i="1"/>
  <c r="BN549" i="1"/>
  <c r="Z549" i="1"/>
  <c r="Z550" i="1" s="1"/>
  <c r="Y375" i="1"/>
  <c r="Y439" i="1"/>
  <c r="Y438" i="1"/>
  <c r="BP23" i="1"/>
  <c r="BN23" i="1"/>
  <c r="Z23" i="1"/>
  <c r="Z24" i="1" s="1"/>
  <c r="Y25" i="1"/>
  <c r="Y32" i="1"/>
  <c r="BP27" i="1"/>
  <c r="BN27" i="1"/>
  <c r="Z27" i="1"/>
  <c r="BP31" i="1"/>
  <c r="BN31" i="1"/>
  <c r="Z31" i="1"/>
  <c r="Y33" i="1"/>
  <c r="C562" i="1"/>
  <c r="Y44" i="1"/>
  <c r="BP37" i="1"/>
  <c r="BN37" i="1"/>
  <c r="Z37" i="1"/>
  <c r="BP41" i="1"/>
  <c r="BN41" i="1"/>
  <c r="Z41" i="1"/>
  <c r="BP51" i="1"/>
  <c r="BN51" i="1"/>
  <c r="Z51" i="1"/>
  <c r="Y53" i="1"/>
  <c r="E562" i="1"/>
  <c r="Y63" i="1"/>
  <c r="BP56" i="1"/>
  <c r="BN56" i="1"/>
  <c r="Z56" i="1"/>
  <c r="BP60" i="1"/>
  <c r="BN60" i="1"/>
  <c r="Z60" i="1"/>
  <c r="BP68" i="1"/>
  <c r="BN68" i="1"/>
  <c r="Z68" i="1"/>
  <c r="Y70" i="1"/>
  <c r="Y75" i="1"/>
  <c r="BP72" i="1"/>
  <c r="BN72" i="1"/>
  <c r="Z72" i="1"/>
  <c r="Z74" i="1" s="1"/>
  <c r="BP85" i="1"/>
  <c r="BN85" i="1"/>
  <c r="Z85" i="1"/>
  <c r="BP93" i="1"/>
  <c r="BN93" i="1"/>
  <c r="Z93" i="1"/>
  <c r="Y95" i="1"/>
  <c r="G562" i="1"/>
  <c r="Y105" i="1"/>
  <c r="BP98" i="1"/>
  <c r="BN98" i="1"/>
  <c r="Z98" i="1"/>
  <c r="BP102" i="1"/>
  <c r="BN102" i="1"/>
  <c r="Z102" i="1"/>
  <c r="BP110" i="1"/>
  <c r="BN110" i="1"/>
  <c r="Z110" i="1"/>
  <c r="BP118" i="1"/>
  <c r="BN118" i="1"/>
  <c r="Z118" i="1"/>
  <c r="BP135" i="1"/>
  <c r="BN135" i="1"/>
  <c r="Z135" i="1"/>
  <c r="BP143" i="1"/>
  <c r="BN143" i="1"/>
  <c r="Z143" i="1"/>
  <c r="Y145" i="1"/>
  <c r="I562" i="1"/>
  <c r="Y155" i="1"/>
  <c r="BP148" i="1"/>
  <c r="BN148" i="1"/>
  <c r="Z148" i="1"/>
  <c r="BP152" i="1"/>
  <c r="BN152" i="1"/>
  <c r="Z152" i="1"/>
  <c r="BP165" i="1"/>
  <c r="BN165" i="1"/>
  <c r="Z165" i="1"/>
  <c r="Y167" i="1"/>
  <c r="Y172" i="1"/>
  <c r="BP169" i="1"/>
  <c r="BN169" i="1"/>
  <c r="Z169" i="1"/>
  <c r="Z171" i="1" s="1"/>
  <c r="BP177" i="1"/>
  <c r="BN177" i="1"/>
  <c r="Z177" i="1"/>
  <c r="BP181" i="1"/>
  <c r="BN181" i="1"/>
  <c r="Z181" i="1"/>
  <c r="Y185" i="1"/>
  <c r="BP189" i="1"/>
  <c r="BN189" i="1"/>
  <c r="Z189" i="1"/>
  <c r="Z191" i="1" s="1"/>
  <c r="BP207" i="1"/>
  <c r="BN207" i="1"/>
  <c r="Z207" i="1"/>
  <c r="Y211" i="1"/>
  <c r="BP220" i="1"/>
  <c r="BN220" i="1"/>
  <c r="Z220" i="1"/>
  <c r="BP224" i="1"/>
  <c r="BN224" i="1"/>
  <c r="Z224" i="1"/>
  <c r="BP228" i="1"/>
  <c r="BN228" i="1"/>
  <c r="Z228" i="1"/>
  <c r="BP232" i="1"/>
  <c r="BN232" i="1"/>
  <c r="Z232" i="1"/>
  <c r="Y234" i="1"/>
  <c r="Y241" i="1"/>
  <c r="BP236" i="1"/>
  <c r="BN236" i="1"/>
  <c r="Z236" i="1"/>
  <c r="BP240" i="1"/>
  <c r="BN240" i="1"/>
  <c r="Z240" i="1"/>
  <c r="Y242" i="1"/>
  <c r="Y247" i="1"/>
  <c r="BP244" i="1"/>
  <c r="BN244" i="1"/>
  <c r="Z244" i="1"/>
  <c r="X553" i="1"/>
  <c r="X556" i="1"/>
  <c r="BP29" i="1"/>
  <c r="BN29" i="1"/>
  <c r="Z29" i="1"/>
  <c r="BP39" i="1"/>
  <c r="BN39" i="1"/>
  <c r="Z39" i="1"/>
  <c r="Y43" i="1"/>
  <c r="BP49" i="1"/>
  <c r="BN49" i="1"/>
  <c r="Z49" i="1"/>
  <c r="Z52" i="1" s="1"/>
  <c r="BP58" i="1"/>
  <c r="BN58" i="1"/>
  <c r="Z58" i="1"/>
  <c r="Y62" i="1"/>
  <c r="BP66" i="1"/>
  <c r="BN66" i="1"/>
  <c r="Z66" i="1"/>
  <c r="Y74" i="1"/>
  <c r="BP78" i="1"/>
  <c r="BN78" i="1"/>
  <c r="Z78" i="1"/>
  <c r="Z79" i="1" s="1"/>
  <c r="Y80" i="1"/>
  <c r="F562" i="1"/>
  <c r="Y88" i="1"/>
  <c r="BP83" i="1"/>
  <c r="BN83" i="1"/>
  <c r="Z83" i="1"/>
  <c r="Y87" i="1"/>
  <c r="BP91" i="1"/>
  <c r="BN91" i="1"/>
  <c r="Z91" i="1"/>
  <c r="Z94" i="1" s="1"/>
  <c r="BP100" i="1"/>
  <c r="BN100" i="1"/>
  <c r="Z100" i="1"/>
  <c r="BP104" i="1"/>
  <c r="BN104" i="1"/>
  <c r="Z104" i="1"/>
  <c r="Y106" i="1"/>
  <c r="Y113" i="1"/>
  <c r="BP108" i="1"/>
  <c r="BN108" i="1"/>
  <c r="Z108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Y138" i="1"/>
  <c r="BP137" i="1"/>
  <c r="BN137" i="1"/>
  <c r="Z137" i="1"/>
  <c r="Z138" i="1" s="1"/>
  <c r="Y139" i="1"/>
  <c r="Y144" i="1"/>
  <c r="BP141" i="1"/>
  <c r="BN141" i="1"/>
  <c r="Z141" i="1"/>
  <c r="Z144" i="1" s="1"/>
  <c r="BP150" i="1"/>
  <c r="BN150" i="1"/>
  <c r="Z150" i="1"/>
  <c r="BP154" i="1"/>
  <c r="BN154" i="1"/>
  <c r="Z154" i="1"/>
  <c r="Y156" i="1"/>
  <c r="Y159" i="1"/>
  <c r="BP158" i="1"/>
  <c r="BN158" i="1"/>
  <c r="Z158" i="1"/>
  <c r="Z159" i="1" s="1"/>
  <c r="Y160" i="1"/>
  <c r="J562" i="1"/>
  <c r="Y166" i="1"/>
  <c r="BP163" i="1"/>
  <c r="BN163" i="1"/>
  <c r="Z163" i="1"/>
  <c r="Z166" i="1" s="1"/>
  <c r="Y171" i="1"/>
  <c r="BP175" i="1"/>
  <c r="BN175" i="1"/>
  <c r="Z175" i="1"/>
  <c r="BP179" i="1"/>
  <c r="BN179" i="1"/>
  <c r="Z179" i="1"/>
  <c r="BP183" i="1"/>
  <c r="BN183" i="1"/>
  <c r="Z183" i="1"/>
  <c r="Y192" i="1"/>
  <c r="Y191" i="1"/>
  <c r="BP205" i="1"/>
  <c r="BN205" i="1"/>
  <c r="Z205" i="1"/>
  <c r="BP209" i="1"/>
  <c r="BN209" i="1"/>
  <c r="Z209" i="1"/>
  <c r="Y233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46" i="1"/>
  <c r="BN246" i="1"/>
  <c r="Z246" i="1"/>
  <c r="Y248" i="1"/>
  <c r="Y251" i="1"/>
  <c r="BP250" i="1"/>
  <c r="BN250" i="1"/>
  <c r="Z250" i="1"/>
  <c r="Z251" i="1" s="1"/>
  <c r="Y252" i="1"/>
  <c r="Y257" i="1"/>
  <c r="Y263" i="1"/>
  <c r="Y273" i="1"/>
  <c r="BP282" i="1"/>
  <c r="BN282" i="1"/>
  <c r="Z282" i="1"/>
  <c r="BP286" i="1"/>
  <c r="BN286" i="1"/>
  <c r="Z286" i="1"/>
  <c r="BP299" i="1"/>
  <c r="BN299" i="1"/>
  <c r="Z299" i="1"/>
  <c r="BP303" i="1"/>
  <c r="BN303" i="1"/>
  <c r="Z303" i="1"/>
  <c r="Y305" i="1"/>
  <c r="Y308" i="1"/>
  <c r="BP307" i="1"/>
  <c r="BN307" i="1"/>
  <c r="Z307" i="1"/>
  <c r="Z308" i="1" s="1"/>
  <c r="Y309" i="1"/>
  <c r="Y312" i="1"/>
  <c r="BP311" i="1"/>
  <c r="BN311" i="1"/>
  <c r="Z311" i="1"/>
  <c r="Z312" i="1" s="1"/>
  <c r="Y313" i="1"/>
  <c r="Y318" i="1"/>
  <c r="BP315" i="1"/>
  <c r="BN315" i="1"/>
  <c r="Z315" i="1"/>
  <c r="BP324" i="1"/>
  <c r="BN324" i="1"/>
  <c r="Z324" i="1"/>
  <c r="BP362" i="1"/>
  <c r="BN362" i="1"/>
  <c r="Z362" i="1"/>
  <c r="BP411" i="1"/>
  <c r="BN411" i="1"/>
  <c r="Z411" i="1"/>
  <c r="Z412" i="1" s="1"/>
  <c r="Y413" i="1"/>
  <c r="Y419" i="1"/>
  <c r="BP416" i="1"/>
  <c r="BN416" i="1"/>
  <c r="Z416" i="1"/>
  <c r="V562" i="1"/>
  <c r="Y420" i="1"/>
  <c r="BP426" i="1"/>
  <c r="BN426" i="1"/>
  <c r="Z426" i="1"/>
  <c r="BP430" i="1"/>
  <c r="BN430" i="1"/>
  <c r="Z430" i="1"/>
  <c r="BP463" i="1"/>
  <c r="BN463" i="1"/>
  <c r="Z463" i="1"/>
  <c r="Z465" i="1" s="1"/>
  <c r="Y465" i="1"/>
  <c r="H9" i="1"/>
  <c r="B562" i="1"/>
  <c r="X554" i="1"/>
  <c r="Y24" i="1"/>
  <c r="X552" i="1"/>
  <c r="D562" i="1"/>
  <c r="Y52" i="1"/>
  <c r="H562" i="1"/>
  <c r="Y132" i="1"/>
  <c r="K562" i="1"/>
  <c r="Y212" i="1"/>
  <c r="L562" i="1"/>
  <c r="Y217" i="1"/>
  <c r="Z255" i="1"/>
  <c r="Z257" i="1" s="1"/>
  <c r="BN255" i="1"/>
  <c r="BP255" i="1"/>
  <c r="Y258" i="1"/>
  <c r="Z261" i="1"/>
  <c r="Z262" i="1" s="1"/>
  <c r="BN261" i="1"/>
  <c r="Z265" i="1"/>
  <c r="BN265" i="1"/>
  <c r="BP265" i="1"/>
  <c r="Z267" i="1"/>
  <c r="BN267" i="1"/>
  <c r="Z269" i="1"/>
  <c r="BN269" i="1"/>
  <c r="Z271" i="1"/>
  <c r="BN271" i="1"/>
  <c r="Y289" i="1"/>
  <c r="Z277" i="1"/>
  <c r="BN277" i="1"/>
  <c r="Z279" i="1"/>
  <c r="BN279" i="1"/>
  <c r="BP284" i="1"/>
  <c r="BN284" i="1"/>
  <c r="Z284" i="1"/>
  <c r="Y288" i="1"/>
  <c r="BP292" i="1"/>
  <c r="BN292" i="1"/>
  <c r="Z292" i="1"/>
  <c r="Z293" i="1" s="1"/>
  <c r="Y294" i="1"/>
  <c r="O562" i="1"/>
  <c r="Y304" i="1"/>
  <c r="BP297" i="1"/>
  <c r="BN297" i="1"/>
  <c r="Z297" i="1"/>
  <c r="BP301" i="1"/>
  <c r="BN301" i="1"/>
  <c r="Z301" i="1"/>
  <c r="BP317" i="1"/>
  <c r="BN317" i="1"/>
  <c r="Z317" i="1"/>
  <c r="Y319" i="1"/>
  <c r="P562" i="1"/>
  <c r="Y327" i="1"/>
  <c r="BP322" i="1"/>
  <c r="BN322" i="1"/>
  <c r="Z322" i="1"/>
  <c r="BP326" i="1"/>
  <c r="BN326" i="1"/>
  <c r="Z326" i="1"/>
  <c r="Y328" i="1"/>
  <c r="Q562" i="1"/>
  <c r="Y334" i="1"/>
  <c r="BP331" i="1"/>
  <c r="BN331" i="1"/>
  <c r="Z331" i="1"/>
  <c r="Y335" i="1"/>
  <c r="BP340" i="1"/>
  <c r="BN340" i="1"/>
  <c r="Z340" i="1"/>
  <c r="BP353" i="1"/>
  <c r="BN353" i="1"/>
  <c r="Z353" i="1"/>
  <c r="Z355" i="1" s="1"/>
  <c r="Y355" i="1"/>
  <c r="BP370" i="1"/>
  <c r="BN370" i="1"/>
  <c r="Z370" i="1"/>
  <c r="Y374" i="1"/>
  <c r="BP378" i="1"/>
  <c r="BN378" i="1"/>
  <c r="Z378" i="1"/>
  <c r="Y382" i="1"/>
  <c r="BP386" i="1"/>
  <c r="BN386" i="1"/>
  <c r="Z386" i="1"/>
  <c r="Y388" i="1"/>
  <c r="Y395" i="1"/>
  <c r="BP390" i="1"/>
  <c r="BN390" i="1"/>
  <c r="Z390" i="1"/>
  <c r="Y394" i="1"/>
  <c r="BP398" i="1"/>
  <c r="BN398" i="1"/>
  <c r="Z398" i="1"/>
  <c r="Z400" i="1" s="1"/>
  <c r="Y400" i="1"/>
  <c r="BP442" i="1"/>
  <c r="BN442" i="1"/>
  <c r="Z442" i="1"/>
  <c r="Z444" i="1" s="1"/>
  <c r="Y444" i="1"/>
  <c r="BP473" i="1"/>
  <c r="BN473" i="1"/>
  <c r="Z473" i="1"/>
  <c r="BP491" i="1"/>
  <c r="BN491" i="1"/>
  <c r="Z491" i="1"/>
  <c r="Y493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Y513" i="1"/>
  <c r="BP517" i="1"/>
  <c r="BN517" i="1"/>
  <c r="Z517" i="1"/>
  <c r="BP521" i="1"/>
  <c r="BN521" i="1"/>
  <c r="Z521" i="1"/>
  <c r="Y523" i="1"/>
  <c r="Y528" i="1"/>
  <c r="BP527" i="1"/>
  <c r="BN527" i="1"/>
  <c r="Z527" i="1"/>
  <c r="Z528" i="1" s="1"/>
  <c r="AB562" i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45" i="1"/>
  <c r="Z562" i="1"/>
  <c r="BP333" i="1"/>
  <c r="BN333" i="1"/>
  <c r="Z333" i="1"/>
  <c r="Y343" i="1"/>
  <c r="BP338" i="1"/>
  <c r="BN338" i="1"/>
  <c r="Z338" i="1"/>
  <c r="BP342" i="1"/>
  <c r="BN342" i="1"/>
  <c r="Z342" i="1"/>
  <c r="Y344" i="1"/>
  <c r="Y349" i="1"/>
  <c r="BP346" i="1"/>
  <c r="BN346" i="1"/>
  <c r="Z346" i="1"/>
  <c r="Z348" i="1" s="1"/>
  <c r="BP360" i="1"/>
  <c r="BN360" i="1"/>
  <c r="Z360" i="1"/>
  <c r="Z364" i="1" s="1"/>
  <c r="Y364" i="1"/>
  <c r="BP368" i="1"/>
  <c r="BN368" i="1"/>
  <c r="Z368" i="1"/>
  <c r="BP372" i="1"/>
  <c r="BN372" i="1"/>
  <c r="Z372" i="1"/>
  <c r="Y381" i="1"/>
  <c r="BP380" i="1"/>
  <c r="BN380" i="1"/>
  <c r="Z380" i="1"/>
  <c r="Y387" i="1"/>
  <c r="BP384" i="1"/>
  <c r="BN384" i="1"/>
  <c r="Z384" i="1"/>
  <c r="BP392" i="1"/>
  <c r="BN392" i="1"/>
  <c r="Z392" i="1"/>
  <c r="Y401" i="1"/>
  <c r="BP404" i="1"/>
  <c r="BN404" i="1"/>
  <c r="Z404" i="1"/>
  <c r="Z406" i="1" s="1"/>
  <c r="BP418" i="1"/>
  <c r="BN418" i="1"/>
  <c r="Z418" i="1"/>
  <c r="W562" i="1"/>
  <c r="Y433" i="1"/>
  <c r="BP424" i="1"/>
  <c r="BN424" i="1"/>
  <c r="Z424" i="1"/>
  <c r="BP428" i="1"/>
  <c r="BN428" i="1"/>
  <c r="Z428" i="1"/>
  <c r="Y432" i="1"/>
  <c r="BP436" i="1"/>
  <c r="BN436" i="1"/>
  <c r="Z436" i="1"/>
  <c r="Z438" i="1" s="1"/>
  <c r="Y445" i="1"/>
  <c r="BP448" i="1"/>
  <c r="BN448" i="1"/>
  <c r="Z448" i="1"/>
  <c r="Z449" i="1" s="1"/>
  <c r="Y450" i="1"/>
  <c r="X562" i="1"/>
  <c r="Y456" i="1"/>
  <c r="BP453" i="1"/>
  <c r="BN453" i="1"/>
  <c r="Z453" i="1"/>
  <c r="Z455" i="1" s="1"/>
  <c r="Y466" i="1"/>
  <c r="BP471" i="1"/>
  <c r="BN471" i="1"/>
  <c r="Z471" i="1"/>
  <c r="BP475" i="1"/>
  <c r="BN475" i="1"/>
  <c r="Z475" i="1"/>
  <c r="Y477" i="1"/>
  <c r="Y482" i="1"/>
  <c r="BP479" i="1"/>
  <c r="BN479" i="1"/>
  <c r="Z479" i="1"/>
  <c r="S562" i="1"/>
  <c r="Y356" i="1"/>
  <c r="Y365" i="1"/>
  <c r="U562" i="1"/>
  <c r="Y412" i="1"/>
  <c r="Y562" i="1"/>
  <c r="Y476" i="1"/>
  <c r="Y492" i="1"/>
  <c r="BP489" i="1"/>
  <c r="BN489" i="1"/>
  <c r="Z489" i="1"/>
  <c r="Z492" i="1" s="1"/>
  <c r="BP499" i="1"/>
  <c r="BN499" i="1"/>
  <c r="Z499" i="1"/>
  <c r="BP503" i="1"/>
  <c r="BN503" i="1"/>
  <c r="Z503" i="1"/>
  <c r="BP511" i="1"/>
  <c r="BN511" i="1"/>
  <c r="Z511" i="1"/>
  <c r="Y522" i="1"/>
  <c r="BP515" i="1"/>
  <c r="BN515" i="1"/>
  <c r="Z515" i="1"/>
  <c r="BP519" i="1"/>
  <c r="BN519" i="1"/>
  <c r="Z519" i="1"/>
  <c r="Y551" i="1"/>
  <c r="Z432" i="1" l="1"/>
  <c r="Z273" i="1"/>
  <c r="Z327" i="1"/>
  <c r="Z304" i="1"/>
  <c r="Z387" i="1"/>
  <c r="Z131" i="1"/>
  <c r="Z288" i="1"/>
  <c r="Z185" i="1"/>
  <c r="Z522" i="1"/>
  <c r="Z481" i="1"/>
  <c r="Z476" i="1"/>
  <c r="Z374" i="1"/>
  <c r="Z343" i="1"/>
  <c r="Z381" i="1"/>
  <c r="Z211" i="1"/>
  <c r="Z120" i="1"/>
  <c r="Z113" i="1"/>
  <c r="Z233" i="1"/>
  <c r="Z62" i="1"/>
  <c r="Y553" i="1"/>
  <c r="Y555" i="1" s="1"/>
  <c r="Y554" i="1"/>
  <c r="Z506" i="1"/>
  <c r="Z394" i="1"/>
  <c r="Z334" i="1"/>
  <c r="Z87" i="1"/>
  <c r="Z69" i="1"/>
  <c r="X555" i="1"/>
  <c r="Z247" i="1"/>
  <c r="Z241" i="1"/>
  <c r="Z105" i="1"/>
  <c r="Z32" i="1"/>
  <c r="Y552" i="1"/>
  <c r="Z512" i="1"/>
  <c r="Y556" i="1"/>
  <c r="Z419" i="1"/>
  <c r="Z318" i="1"/>
  <c r="Z155" i="1"/>
  <c r="Z43" i="1"/>
  <c r="Z557" i="1" l="1"/>
</calcChain>
</file>

<file path=xl/sharedStrings.xml><?xml version="1.0" encoding="utf-8"?>
<sst xmlns="http://schemas.openxmlformats.org/spreadsheetml/2006/main" count="2499" uniqueCount="906">
  <si>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</si>
  <si>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</si>
  <si>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</si>
  <si>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</si>
  <si>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</si>
  <si>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</si>
  <si>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</si>
  <si>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</si>
  <si>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</si>
  <si>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</si>
  <si>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</si>
  <si>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</si>
  <si>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</si>
  <si>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</si>
  <si>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</si>
  <si>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</si>
  <si>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</si>
  <si>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</si>
  <si>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</si>
  <si>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</si>
  <si>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</si>
  <si>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</si>
  <si>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</si>
  <si>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</si>
  <si>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</si>
  <si>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</si>
  <si>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</si>
  <si>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</si>
  <si>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</si>
  <si>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</si>
  <si>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</si>
  <si>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</si>
  <si>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</si>
  <si>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</si>
  <si>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</si>
  <si>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</si>
  <si>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</si>
  <si>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</si>
  <si>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</si>
  <si>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</si>
  <si>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</si>
  <si>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</si>
  <si>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</si>
  <si>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</si>
  <si>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</si>
  <si>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</si>
  <si>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</si>
  <si>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</si>
  <si>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</si>
  <si>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</si>
  <si>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</si>
  <si>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</si>
  <si>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</si>
  <si>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</si>
  <si>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</si>
  <si>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</si>
  <si>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</si>
  <si>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</si>
  <si>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</si>
  <si>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</si>
  <si>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</si>
  <si>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</si>
  <si>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</si>
  <si>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</si>
  <si>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</si>
  <si>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</si>
  <si>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</si>
  <si>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</si>
  <si>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</si>
  <si>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</si>
  <si>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</si>
  <si>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</si>
  <si>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</si>
  <si>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</si>
  <si>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</si>
  <si>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</si>
  <si>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</si>
  <si>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</si>
  <si>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</si>
  <si>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</si>
  <si>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</si>
  <si>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</si>
  <si>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</si>
  <si>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</si>
  <si>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</si>
  <si>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</si>
  <si>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</si>
  <si>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</si>
  <si>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</si>
  <si>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</si>
  <si>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</si>
  <si>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</si>
  <si>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</si>
  <si>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</si>
  <si>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</si>
  <si>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</si>
  <si>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</si>
  <si>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</si>
  <si>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</si>
  <si>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</si>
  <si>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</si>
  <si>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</si>
  <si>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</si>
  <si>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</si>
  <si>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</si>
  <si>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</si>
  <si>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</si>
  <si>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</si>
  <si>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</si>
  <si>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</si>
  <si>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</si>
  <si>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</si>
  <si>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</si>
  <si>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</si>
  <si>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</si>
  <si>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</si>
  <si>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</si>
  <si>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</si>
  <si>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</si>
  <si>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</si>
  <si>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</si>
  <si>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</si>
  <si>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</si>
  <si>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</si>
  <si>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</si>
  <si>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</si>
  <si>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</si>
  <si>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</si>
  <si>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</si>
  <si>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</si>
  <si>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</si>
  <si>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</si>
  <si>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</si>
  <si>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</si>
  <si>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</si>
  <si>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</si>
  <si>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</si>
  <si>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</si>
  <si>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</si>
  <si>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</si>
  <si>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</si>
  <si>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</si>
  <si>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</si>
  <si>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</si>
  <si>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</si>
  <si>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</si>
  <si>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</si>
  <si>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</si>
  <si>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</si>
  <si>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</si>
  <si>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</si>
  <si>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</si>
  <si>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</si>
  <si>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</si>
  <si>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</si>
  <si>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</si>
  <si>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</si>
  <si>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</si>
  <si>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</si>
  <si>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</si>
  <si>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</si>
  <si>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</si>
  <si>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</si>
  <si>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</si>
  <si>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</si>
  <si>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</si>
  <si>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</si>
  <si>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</si>
  <si>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</si>
  <si>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</si>
  <si>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</si>
  <si>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</si>
  <si>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</si>
  <si>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</si>
  <si>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</si>
  <si>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</si>
  <si>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</si>
  <si>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</si>
  <si>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</si>
  <si>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</si>
  <si>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</si>
  <si>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</si>
  <si>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</si>
  <si>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</si>
  <si>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</si>
  <si>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</si>
  <si>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</si>
  <si>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</si>
  <si>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</si>
  <si>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</si>
  <si>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</si>
  <si>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</si>
  <si>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</si>
  <si>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</si>
  <si>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</si>
  <si>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</si>
  <si>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</si>
  <si>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</si>
  <si>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</si>
  <si>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</si>
  <si>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</si>
  <si>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</si>
  <si>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</si>
  <si>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</si>
  <si>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</si>
  <si>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</si>
  <si>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</si>
  <si>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</si>
  <si>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</si>
  <si>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</si>
  <si>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</si>
  <si>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</si>
  <si>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</si>
  <si>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</si>
  <si>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</si>
  <si>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</si>
  <si>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</si>
  <si>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</si>
  <si>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</si>
  <si>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</si>
  <si>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</si>
  <si>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</si>
  <si>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</si>
  <si>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</si>
  <si>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</si>
  <si>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</si>
  <si>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</si>
  <si>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</si>
  <si>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</si>
  <si>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</si>
  <si>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</si>
  <si>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</si>
  <si>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</si>
  <si>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</si>
  <si>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</si>
  <si>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</si>
  <si>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</si>
  <si>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</si>
  <si>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</si>
  <si>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</si>
  <si>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</si>
  <si>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</si>
  <si>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</si>
  <si>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</si>
  <si>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</si>
  <si>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</si>
  <si>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</si>
  <si>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</si>
  <si>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</si>
  <si>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</si>
  <si>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</si>
  <si>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</si>
  <si>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</si>
  <si>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</si>
  <si>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</si>
  <si>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</si>
  <si>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</si>
  <si>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</si>
  <si>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</si>
  <si>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</si>
  <si>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</si>
  <si>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</si>
  <si>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</si>
  <si>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</si>
  <si>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</si>
  <si>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</si>
  <si>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</si>
  <si>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</si>
  <si>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</si>
  <si>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</si>
  <si>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</si>
  <si>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</si>
  <si>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</si>
  <si>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</si>
  <si>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</si>
  <si>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</si>
  <si>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</si>
  <si>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</si>
  <si>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</si>
  <si>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</si>
  <si>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</si>
  <si>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</si>
  <si>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</si>
  <si>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</si>
  <si>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</si>
  <si>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</si>
  <si>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</si>
  <si>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</si>
  <si>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</si>
  <si>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</si>
  <si>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</si>
  <si>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</si>
  <si>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</si>
  <si>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</si>
  <si>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</si>
  <si>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</si>
  <si>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</si>
  <si>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</si>
  <si>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</si>
  <si>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</si>
  <si>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</si>
  <si>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</si>
  <si>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</si>
  <si>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</si>
  <si>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</si>
  <si>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</si>
  <si>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</si>
  <si>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</si>
  <si>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</si>
  <si>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</si>
  <si>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</si>
  <si>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</si>
  <si>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</si>
  <si>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</si>
  <si>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</si>
  <si>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</si>
  <si>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</si>
  <si>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</si>
  <si>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</si>
  <si>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</si>
  <si>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</si>
  <si>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</si>
  <si>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</si>
  <si>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</si>
  <si>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</si>
  <si>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</si>
  <si>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</si>
  <si>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</si>
  <si>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</si>
  <si>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</si>
  <si>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</si>
  <si>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</si>
  <si>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</si>
  <si>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</si>
  <si>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</si>
  <si>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</si>
  <si>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</si>
  <si>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</si>
  <si>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</si>
  <si>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</si>
  <si>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</si>
  <si>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</si>
  <si>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</si>
  <si>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</si>
  <si>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</si>
  <si>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</si>
  <si>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</si>
  <si>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</si>
  <si>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</si>
  <si>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</si>
  <si>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</si>
  <si>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</si>
  <si>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</si>
  <si>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</si>
  <si>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</si>
  <si>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</si>
  <si>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</si>
  <si>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</si>
  <si>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</si>
  <si>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</si>
  <si>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</si>
  <si>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</si>
  <si>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</si>
  <si>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</si>
  <si>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</si>
  <si>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</si>
  <si>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</si>
  <si>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</si>
  <si>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</si>
  <si>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</si>
  <si>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</si>
  <si>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</si>
  <si>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</si>
  <si>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</si>
  <si>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</si>
  <si>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</si>
  <si>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</si>
  <si>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</si>
  <si>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</si>
  <si>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</si>
  <si>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</si>
  <si>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</si>
  <si>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</si>
  <si>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</si>
  <si>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</si>
  <si>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</si>
  <si>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</si>
  <si>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</si>
  <si>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</si>
  <si>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</si>
  <si>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</si>
  <si>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</si>
  <si>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</si>
  <si>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</si>
  <si>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</si>
  <si>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</si>
  <si>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</si>
  <si>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</si>
  <si>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</si>
  <si>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</si>
  <si>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</si>
  <si>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</si>
  <si>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</si>
  <si>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</si>
  <si>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</si>
  <si>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</si>
  <si>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</si>
  <si>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</si>
  <si>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</si>
  <si>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</si>
  <si>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</si>
  <si>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</si>
  <si>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</si>
  <si>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</si>
  <si>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</si>
  <si>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</si>
  <si>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</si>
  <si>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</si>
  <si>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</si>
  <si>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</si>
  <si>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</si>
  <si>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</si>
  <si>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</si>
  <si>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</si>
  <si>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</si>
  <si>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</si>
  <si>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</si>
  <si>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</si>
  <si>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</si>
  <si>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</si>
  <si>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</si>
  <si>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</si>
  <si>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</si>
  <si>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</si>
  <si>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</si>
  <si>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</si>
  <si>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</si>
  <si>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</si>
  <si>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</si>
  <si>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</si>
  <si>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</si>
  <si>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</si>
  <si>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</si>
  <si>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</si>
  <si>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</si>
  <si>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</si>
  <si>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</si>
  <si>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</si>
  <si>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</si>
  <si>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</si>
  <si>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</si>
  <si>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</si>
  <si>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</si>
  <si>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</si>
  <si>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</si>
  <si>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</si>
  <si>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</si>
  <si>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</si>
  <si>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</si>
  <si>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</si>
  <si>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</si>
  <si>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</si>
  <si>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</si>
  <si>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</si>
  <si>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</si>
  <si>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</si>
  <si>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</si>
  <si>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</si>
  <si>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</si>
  <si>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</si>
  <si>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</si>
  <si>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</si>
  <si>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</si>
  <si>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</si>
  <si>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</si>
  <si>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</si>
  <si>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</si>
  <si>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</si>
  <si>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</si>
  <si>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</si>
  <si>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</si>
  <si>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</si>
  <si>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</si>
  <si>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</si>
  <si>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</si>
  <si>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</si>
  <si>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</si>
  <si>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</si>
  <si>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</si>
  <si>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</si>
  <si>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</si>
  <si>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</si>
  <si>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</si>
  <si>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</si>
  <si>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</si>
  <si>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</si>
  <si>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</si>
  <si>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</si>
  <si>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</si>
  <si>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</si>
  <si>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</si>
  <si>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</si>
  <si>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</si>
  <si>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</si>
  <si>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</si>
  <si>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</si>
  <si>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</si>
  <si>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</si>
  <si>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</si>
  <si>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</si>
  <si>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</si>
  <si>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</si>
  <si>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</si>
  <si>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</si>
  <si>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</si>
  <si>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</si>
  <si>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</si>
  <si>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</si>
  <si>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</si>
  <si>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</si>
  <si>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</si>
  <si>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</si>
  <si>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</si>
  <si>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</si>
  <si>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</si>
  <si>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</si>
  <si>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</si>
  <si>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</si>
  <si>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</si>
  <si>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</si>
  <si>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</si>
  <si>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</si>
  <si>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</si>
  <si>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</si>
  <si>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</si>
  <si>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</si>
  <si>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</si>
  <si>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</si>
  <si>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</si>
  <si>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</si>
  <si>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</si>
  <si>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</si>
  <si>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</si>
  <si>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</si>
  <si>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</si>
  <si>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</si>
  <si>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</si>
  <si>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</si>
  <si>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</si>
  <si>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</si>
  <si>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</si>
  <si>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</si>
  <si>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</si>
  <si>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</si>
  <si>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</si>
  <si>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</si>
  <si>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</si>
  <si>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</si>
  <si>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</si>
  <si>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</si>
  <si>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</si>
  <si>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</si>
  <si>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</si>
  <si>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</si>
  <si>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</si>
  <si>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</si>
  <si>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</si>
  <si>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</si>
  <si>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</si>
  <si>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</si>
  <si>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</si>
  <si>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</si>
  <si>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</si>
  <si>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</si>
  <si>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</si>
  <si>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</si>
  <si>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</si>
  <si>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</si>
  <si>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</si>
  <si>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</si>
  <si>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</si>
  <si>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</si>
  <si>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</si>
  <si>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</si>
  <si>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</si>
  <si>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</si>
  <si>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</si>
  <si>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</si>
  <si>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</si>
  <si>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</si>
  <si>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</si>
  <si>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</si>
  <si>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</si>
  <si>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</si>
  <si>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</si>
  <si>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</si>
  <si>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</si>
  <si>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</si>
  <si>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</si>
  <si>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</si>
  <si>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</si>
  <si>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</si>
  <si>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</si>
  <si>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</si>
  <si>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</si>
  <si>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</si>
  <si>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</si>
  <si>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</si>
  <si>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</si>
  <si>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</si>
  <si>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</si>
  <si>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</si>
  <si>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</si>
  <si>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</si>
  <si>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</si>
  <si>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</si>
  <si>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</si>
  <si>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</si>
  <si>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</si>
  <si>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</si>
  <si>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</si>
  <si>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</si>
  <si>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</si>
  <si>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</si>
  <si>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</si>
  <si>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</si>
  <si>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</si>
  <si>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</si>
  <si>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</si>
  <si>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</si>
  <si>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</si>
  <si>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</si>
  <si>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</si>
  <si>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</si>
  <si>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</si>
  <si>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</si>
  <si>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</si>
  <si>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</si>
  <si>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</si>
  <si>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</si>
  <si>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</si>
  <si>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</si>
  <si>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</si>
  <si>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</si>
  <si>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</si>
  <si>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</si>
  <si>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</si>
  <si>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</si>
  <si>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</si>
  <si>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</si>
  <si>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</si>
  <si>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</si>
  <si>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</si>
  <si>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</si>
  <si>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</si>
  <si>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</si>
  <si>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</si>
  <si>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</si>
  <si>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</si>
  <si>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</si>
  <si>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</si>
  <si>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</si>
  <si>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</si>
  <si>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</si>
  <si>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</si>
  <si>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</si>
  <si>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</si>
  <si>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</si>
  <si>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</si>
  <si>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</si>
  <si>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</si>
  <si>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</si>
  <si>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</si>
  <si>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</si>
  <si>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</si>
  <si>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</si>
  <si>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</si>
  <si>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</si>
  <si>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</si>
  <si>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</si>
  <si>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</si>
  <si>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</si>
  <si>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</si>
  <si>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</si>
  <si>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</si>
  <si>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</si>
  <si>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</si>
  <si>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</si>
  <si>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</si>
  <si>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</si>
  <si>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</si>
  <si>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</si>
  <si>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</si>
  <si>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</si>
  <si>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</si>
  <si>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</si>
  <si>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</si>
  <si>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</si>
  <si>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</si>
  <si>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</si>
  <si>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</si>
  <si>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</si>
  <si>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</si>
  <si>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</si>
  <si>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</si>
  <si>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</si>
  <si>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</si>
  <si>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</si>
  <si>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</si>
  <si>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</si>
  <si>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</si>
  <si>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</si>
  <si>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</si>
  <si>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</si>
  <si>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</si>
  <si>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</si>
  <si>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</si>
  <si>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</si>
  <si>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</si>
  <si>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</si>
  <si>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</si>
  <si>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</si>
  <si>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</si>
  <si>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</si>
  <si>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</si>
  <si>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</si>
  <si>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</si>
  <si>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</si>
  <si>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</si>
  <si>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</si>
  <si>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</si>
  <si>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</si>
  <si>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</si>
  <si>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</si>
  <si>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</si>
  <si>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</si>
  <si>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</si>
  <si>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</si>
  <si>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</si>
  <si>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</si>
  <si>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</si>
  <si>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</si>
  <si>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</si>
  <si>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</si>
  <si>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</si>
  <si>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</si>
  <si>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</si>
  <si>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</si>
  <si>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</si>
  <si>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</si>
  <si>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</si>
  <si>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</si>
  <si>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</si>
  <si>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</si>
  <si>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</si>
  <si>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</si>
  <si>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</si>
  <si>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</si>
  <si>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</si>
  <si>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</si>
  <si>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</si>
  <si>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</si>
  <si>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</si>
  <si>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</si>
  <si>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</si>
  <si>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</si>
  <si>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</si>
  <si>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</si>
  <si>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</si>
  <si>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</si>
  <si>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</si>
  <si>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</si>
  <si>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</si>
  <si>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</si>
  <si>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</si>
  <si>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</si>
  <si>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</si>
  <si>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</si>
  <si>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</si>
  <si>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</si>
  <si>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</si>
  <si>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</si>
  <si>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</si>
  <si>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</si>
  <si>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</si>
  <si>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</si>
  <si>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</si>
  <si>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</si>
  <si>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</si>
  <si>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</si>
  <si>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</si>
  <si>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</si>
  <si>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</si>
  <si>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</si>
  <si>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</si>
  <si>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</si>
  <si>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</si>
  <si>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</si>
  <si>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</si>
  <si>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</si>
  <si>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</si>
  <si>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</si>
  <si>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</si>
  <si>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</si>
  <si>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</si>
  <si>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</si>
  <si>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</si>
  <si>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</si>
  <si>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</si>
  <si>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</si>
  <si>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</si>
  <si>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</si>
  <si>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</si>
  <si>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</si>
  <si>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</si>
  <si>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</si>
  <si>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</si>
  <si>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</si>
  <si>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</si>
  <si>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</si>
  <si>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</si>
  <si>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</si>
  <si>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</si>
  <si>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</si>
  <si>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</si>
  <si>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</si>
  <si>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</si>
  <si>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</si>
  <si>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</si>
  <si>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</si>
  <si>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</si>
  <si>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</si>
  <si>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</si>
  <si>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</si>
  <si>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</si>
  <si>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</si>
  <si>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</si>
  <si>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</si>
  <si>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</si>
  <si>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</si>
  <si>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</si>
  <si>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</si>
  <si>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</si>
  <si>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</si>
  <si>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</si>
  <si>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</si>
  <si>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</si>
  <si>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</si>
  <si>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</si>
  <si>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</si>
  <si>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</si>
  <si>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</si>
  <si>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</si>
  <si>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</si>
  <si>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</si>
  <si>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</si>
  <si>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</si>
  <si>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</si>
  <si>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</si>
  <si>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</si>
  <si>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</si>
  <si>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</si>
  <si>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</si>
  <si>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</si>
  <si>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</si>
  <si>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</si>
  <si>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</si>
  <si>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</si>
  <si>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</si>
  <si>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</si>
  <si>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</si>
  <si>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</si>
  <si>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</si>
  <si>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</si>
  <si>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</si>
  <si>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</si>
  <si>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</si>
  <si>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</si>
  <si>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</si>
  <si>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</si>
  <si>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</si>
  <si>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</si>
  <si>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</si>
  <si>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</si>
  <si>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</si>
  <si>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</si>
  <si>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</si>
  <si>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</si>
  <si>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</si>
  <si>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</si>
  <si>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</si>
  <si>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</si>
  <si>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</si>
  <si>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</si>
  <si>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</si>
  <si>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</si>
  <si>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</si>
  <si>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</si>
  <si>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</si>
  <si>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</si>
  <si>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</si>
  <si>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</si>
  <si>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</si>
  <si>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</si>
  <si>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TSO001089216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</si>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</sst>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2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82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58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47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869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61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6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548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34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5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5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42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57" sqref="AA57"/>
    </sheetView>
  </sheetViews>
  <sheetFormatPr defaultColWidth="9.140625" defaultRowHeight="12.75" x14ac:dyDescent="0.2"/>
  <cols>
    <col min="1" max="1" width="9.140625" style="62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2" customWidth="1"/>
    <col min="19" max="19" width="6.140625" style="62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2" customWidth="1"/>
    <col min="25" max="25" width="11" style="622" customWidth="1"/>
    <col min="26" max="26" width="10" style="622" customWidth="1"/>
    <col min="27" max="27" width="11.5703125" style="622" customWidth="1"/>
    <col min="28" max="28" width="10.42578125" style="622" customWidth="1"/>
    <col min="29" max="29" width="30" style="62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2" customWidth="1"/>
    <col min="34" max="34" width="9.140625" style="622" customWidth="1"/>
    <col min="35" max="16384" width="9.140625" style="622"/>
  </cols>
  <sheetData>
    <row r="1" spans="1:32" s="626" customFormat="1" ht="45" customHeight="1" x14ac:dyDescent="0.2">
      <c r="A1" s="41"/>
      <c r="B1" s="41"/>
      <c r="C1" s="41"/>
      <c r="D1" s="719" t="s">
        <v>0</v>
      </c>
      <c r="E1" s="670"/>
      <c r="F1" s="670"/>
      <c r="G1" s="12" t="s">
        <v>1</v>
      </c>
      <c r="H1" s="719" t="s">
        <v>2</v>
      </c>
      <c r="I1" s="670"/>
      <c r="J1" s="670"/>
      <c r="K1" s="670"/>
      <c r="L1" s="670"/>
      <c r="M1" s="670"/>
      <c r="N1" s="670"/>
      <c r="O1" s="670"/>
      <c r="P1" s="670"/>
      <c r="Q1" s="670"/>
      <c r="R1" s="669" t="s">
        <v>3</v>
      </c>
      <c r="S1" s="670"/>
      <c r="T1" s="6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6" customFormat="1" ht="23.45" customHeight="1" x14ac:dyDescent="0.2">
      <c r="A5" s="777" t="s">
        <v>7</v>
      </c>
      <c r="B5" s="738"/>
      <c r="C5" s="739"/>
      <c r="D5" s="721"/>
      <c r="E5" s="722"/>
      <c r="F5" s="944" t="s">
        <v>8</v>
      </c>
      <c r="G5" s="739"/>
      <c r="H5" s="721" t="s">
        <v>904</v>
      </c>
      <c r="I5" s="888"/>
      <c r="J5" s="888"/>
      <c r="K5" s="888"/>
      <c r="L5" s="888"/>
      <c r="M5" s="722"/>
      <c r="N5" s="58"/>
      <c r="P5" s="24" t="s">
        <v>9</v>
      </c>
      <c r="Q5" s="970">
        <v>46258</v>
      </c>
      <c r="R5" s="767"/>
      <c r="T5" s="830" t="s">
        <v>10</v>
      </c>
      <c r="U5" s="774"/>
      <c r="V5" s="831" t="s">
        <v>11</v>
      </c>
      <c r="W5" s="767"/>
      <c r="AB5" s="51"/>
      <c r="AC5" s="51"/>
      <c r="AD5" s="51"/>
      <c r="AE5" s="51"/>
    </row>
    <row r="6" spans="1:32" s="626" customFormat="1" ht="24" customHeight="1" x14ac:dyDescent="0.2">
      <c r="A6" s="777" t="s">
        <v>12</v>
      </c>
      <c r="B6" s="738"/>
      <c r="C6" s="739"/>
      <c r="D6" s="891" t="s">
        <v>880</v>
      </c>
      <c r="E6" s="892"/>
      <c r="F6" s="892"/>
      <c r="G6" s="892"/>
      <c r="H6" s="892"/>
      <c r="I6" s="892"/>
      <c r="J6" s="892"/>
      <c r="K6" s="892"/>
      <c r="L6" s="892"/>
      <c r="M6" s="767"/>
      <c r="N6" s="59"/>
      <c r="P6" s="24" t="s">
        <v>13</v>
      </c>
      <c r="Q6" s="977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36" t="s">
        <v>14</v>
      </c>
      <c r="U6" s="774"/>
      <c r="V6" s="876" t="s">
        <v>15</v>
      </c>
      <c r="W6" s="658"/>
      <c r="AB6" s="51"/>
      <c r="AC6" s="51"/>
      <c r="AD6" s="51"/>
      <c r="AE6" s="51"/>
    </row>
    <row r="7" spans="1:32" s="626" customFormat="1" ht="21.75" hidden="1" customHeight="1" x14ac:dyDescent="0.2">
      <c r="A7" s="55"/>
      <c r="B7" s="55"/>
      <c r="C7" s="55"/>
      <c r="D7" s="692" t="str">
        <f>IFERROR(VLOOKUP(DeliveryAddress,Table,3,0),1)</f>
        <v>6</v>
      </c>
      <c r="E7" s="693"/>
      <c r="F7" s="693"/>
      <c r="G7" s="693"/>
      <c r="H7" s="693"/>
      <c r="I7" s="693"/>
      <c r="J7" s="693"/>
      <c r="K7" s="693"/>
      <c r="L7" s="693"/>
      <c r="M7" s="694"/>
      <c r="N7" s="60"/>
      <c r="P7" s="24"/>
      <c r="Q7" s="42"/>
      <c r="R7" s="42"/>
      <c r="T7" s="643"/>
      <c r="U7" s="774"/>
      <c r="V7" s="877"/>
      <c r="W7" s="878"/>
      <c r="AB7" s="51"/>
      <c r="AC7" s="51"/>
      <c r="AD7" s="51"/>
      <c r="AE7" s="51"/>
    </row>
    <row r="8" spans="1:32" s="626" customFormat="1" ht="25.5" customHeight="1" x14ac:dyDescent="0.2">
      <c r="A8" s="983" t="s">
        <v>16</v>
      </c>
      <c r="B8" s="647"/>
      <c r="C8" s="648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17</v>
      </c>
      <c r="Q8" s="787">
        <v>0.66666666666666663</v>
      </c>
      <c r="R8" s="694"/>
      <c r="T8" s="643"/>
      <c r="U8" s="774"/>
      <c r="V8" s="877"/>
      <c r="W8" s="878"/>
      <c r="AB8" s="51"/>
      <c r="AC8" s="51"/>
      <c r="AD8" s="51"/>
      <c r="AE8" s="51"/>
    </row>
    <row r="9" spans="1:32" s="626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6"/>
      <c r="E9" s="654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3" t="str">
        <f>IF(AND($A$9="Тип доверенности/получателя при получении в адресе перегруза:",$D$9="Разовая доверенность"),"Введите ФИО","")</f>
        <v/>
      </c>
      <c r="I9" s="654"/>
      <c r="J9" s="6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4"/>
      <c r="L9" s="654"/>
      <c r="M9" s="654"/>
      <c r="N9" s="627"/>
      <c r="P9" s="26" t="s">
        <v>18</v>
      </c>
      <c r="Q9" s="763"/>
      <c r="R9" s="764"/>
      <c r="T9" s="643"/>
      <c r="U9" s="774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6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6"/>
      <c r="E10" s="654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67" t="str">
        <f>IFERROR(VLOOKUP($D$10,Proxy,2,FALSE),"")</f>
        <v/>
      </c>
      <c r="I10" s="643"/>
      <c r="J10" s="643"/>
      <c r="K10" s="643"/>
      <c r="L10" s="643"/>
      <c r="M10" s="643"/>
      <c r="N10" s="625"/>
      <c r="P10" s="26" t="s">
        <v>19</v>
      </c>
      <c r="Q10" s="837"/>
      <c r="R10" s="838"/>
      <c r="U10" s="24" t="s">
        <v>20</v>
      </c>
      <c r="V10" s="657" t="s">
        <v>21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626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6"/>
      <c r="R11" s="767"/>
      <c r="U11" s="24" t="s">
        <v>24</v>
      </c>
      <c r="V11" s="922" t="s">
        <v>905</v>
      </c>
      <c r="W11" s="764"/>
      <c r="X11" s="45"/>
      <c r="Y11" s="45"/>
      <c r="Z11" s="45"/>
      <c r="AA11" s="45"/>
      <c r="AB11" s="51"/>
      <c r="AC11" s="51"/>
      <c r="AD11" s="51"/>
      <c r="AE11" s="51"/>
    </row>
    <row r="12" spans="1:32" s="626" customFormat="1" ht="18.600000000000001" customHeight="1" x14ac:dyDescent="0.2">
      <c r="A12" s="821" t="s">
        <v>25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739"/>
      <c r="N12" s="62"/>
      <c r="P12" s="24" t="s">
        <v>26</v>
      </c>
      <c r="Q12" s="787"/>
      <c r="R12" s="694"/>
      <c r="S12" s="23"/>
      <c r="U12" s="24"/>
      <c r="V12" s="670"/>
      <c r="W12" s="643"/>
      <c r="AB12" s="51"/>
      <c r="AC12" s="51"/>
      <c r="AD12" s="51"/>
      <c r="AE12" s="51"/>
    </row>
    <row r="13" spans="1:32" s="626" customFormat="1" ht="23.25" customHeight="1" x14ac:dyDescent="0.2">
      <c r="A13" s="821" t="s">
        <v>27</v>
      </c>
      <c r="B13" s="738"/>
      <c r="C13" s="738"/>
      <c r="D13" s="738"/>
      <c r="E13" s="738"/>
      <c r="F13" s="738"/>
      <c r="G13" s="738"/>
      <c r="H13" s="738"/>
      <c r="I13" s="738"/>
      <c r="J13" s="738"/>
      <c r="K13" s="738"/>
      <c r="L13" s="738"/>
      <c r="M13" s="739"/>
      <c r="N13" s="62"/>
      <c r="O13" s="26"/>
      <c r="P13" s="26" t="s">
        <v>28</v>
      </c>
      <c r="Q13" s="922"/>
      <c r="R13" s="7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6" customFormat="1" ht="18.600000000000001" customHeight="1" x14ac:dyDescent="0.2">
      <c r="A14" s="821" t="s">
        <v>29</v>
      </c>
      <c r="B14" s="738"/>
      <c r="C14" s="738"/>
      <c r="D14" s="738"/>
      <c r="E14" s="738"/>
      <c r="F14" s="738"/>
      <c r="G14" s="738"/>
      <c r="H14" s="738"/>
      <c r="I14" s="738"/>
      <c r="J14" s="738"/>
      <c r="K14" s="738"/>
      <c r="L14" s="738"/>
      <c r="M14" s="7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6" customFormat="1" ht="22.5" customHeight="1" x14ac:dyDescent="0.2">
      <c r="A15" s="846" t="s">
        <v>30</v>
      </c>
      <c r="B15" s="738"/>
      <c r="C15" s="738"/>
      <c r="D15" s="738"/>
      <c r="E15" s="738"/>
      <c r="F15" s="738"/>
      <c r="G15" s="738"/>
      <c r="H15" s="738"/>
      <c r="I15" s="738"/>
      <c r="J15" s="738"/>
      <c r="K15" s="738"/>
      <c r="L15" s="738"/>
      <c r="M15" s="739"/>
      <c r="N15" s="63"/>
      <c r="P15" s="800" t="s">
        <v>31</v>
      </c>
      <c r="Q15" s="670"/>
      <c r="R15" s="670"/>
      <c r="S15" s="670"/>
      <c r="T15" s="6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1"/>
      <c r="Q16" s="801"/>
      <c r="R16" s="801"/>
      <c r="S16" s="801"/>
      <c r="T16" s="8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7" t="s">
        <v>32</v>
      </c>
      <c r="B17" s="677" t="s">
        <v>33</v>
      </c>
      <c r="C17" s="792" t="s">
        <v>34</v>
      </c>
      <c r="D17" s="677" t="s">
        <v>35</v>
      </c>
      <c r="E17" s="741"/>
      <c r="F17" s="677" t="s">
        <v>36</v>
      </c>
      <c r="G17" s="677" t="s">
        <v>37</v>
      </c>
      <c r="H17" s="677" t="s">
        <v>38</v>
      </c>
      <c r="I17" s="677" t="s">
        <v>39</v>
      </c>
      <c r="J17" s="677" t="s">
        <v>40</v>
      </c>
      <c r="K17" s="677" t="s">
        <v>41</v>
      </c>
      <c r="L17" s="677" t="s">
        <v>42</v>
      </c>
      <c r="M17" s="677" t="s">
        <v>43</v>
      </c>
      <c r="N17" s="677" t="s">
        <v>44</v>
      </c>
      <c r="O17" s="677" t="s">
        <v>45</v>
      </c>
      <c r="P17" s="677" t="s">
        <v>46</v>
      </c>
      <c r="Q17" s="740"/>
      <c r="R17" s="740"/>
      <c r="S17" s="740"/>
      <c r="T17" s="741"/>
      <c r="U17" s="995" t="s">
        <v>47</v>
      </c>
      <c r="V17" s="739"/>
      <c r="W17" s="677" t="s">
        <v>48</v>
      </c>
      <c r="X17" s="677" t="s">
        <v>49</v>
      </c>
      <c r="Y17" s="996" t="s">
        <v>50</v>
      </c>
      <c r="Z17" s="874" t="s">
        <v>51</v>
      </c>
      <c r="AA17" s="868" t="s">
        <v>52</v>
      </c>
      <c r="AB17" s="868" t="s">
        <v>53</v>
      </c>
      <c r="AC17" s="868" t="s">
        <v>54</v>
      </c>
      <c r="AD17" s="868" t="s">
        <v>55</v>
      </c>
      <c r="AE17" s="947"/>
      <c r="AF17" s="948"/>
      <c r="AG17" s="66"/>
      <c r="BD17" s="65" t="s">
        <v>56</v>
      </c>
    </row>
    <row r="18" spans="1:68" ht="14.25" customHeight="1" x14ac:dyDescent="0.2">
      <c r="A18" s="678"/>
      <c r="B18" s="678"/>
      <c r="C18" s="678"/>
      <c r="D18" s="742"/>
      <c r="E18" s="744"/>
      <c r="F18" s="678"/>
      <c r="G18" s="678"/>
      <c r="H18" s="678"/>
      <c r="I18" s="678"/>
      <c r="J18" s="678"/>
      <c r="K18" s="678"/>
      <c r="L18" s="678"/>
      <c r="M18" s="678"/>
      <c r="N18" s="678"/>
      <c r="O18" s="678"/>
      <c r="P18" s="742"/>
      <c r="Q18" s="743"/>
      <c r="R18" s="743"/>
      <c r="S18" s="743"/>
      <c r="T18" s="744"/>
      <c r="U18" s="67" t="s">
        <v>57</v>
      </c>
      <c r="V18" s="67" t="s">
        <v>58</v>
      </c>
      <c r="W18" s="678"/>
      <c r="X18" s="678"/>
      <c r="Y18" s="997"/>
      <c r="Z18" s="875"/>
      <c r="AA18" s="869"/>
      <c r="AB18" s="869"/>
      <c r="AC18" s="869"/>
      <c r="AD18" s="949"/>
      <c r="AE18" s="950"/>
      <c r="AF18" s="951"/>
      <c r="AG18" s="66"/>
      <c r="BD18" s="65"/>
    </row>
    <row r="19" spans="1:68" ht="27.75" hidden="1" customHeight="1" x14ac:dyDescent="0.2">
      <c r="A19" s="651" t="s">
        <v>59</v>
      </c>
      <c r="B19" s="652"/>
      <c r="C19" s="652"/>
      <c r="D19" s="652"/>
      <c r="E19" s="652"/>
      <c r="F19" s="652"/>
      <c r="G19" s="652"/>
      <c r="H19" s="652"/>
      <c r="I19" s="652"/>
      <c r="J19" s="652"/>
      <c r="K19" s="652"/>
      <c r="L19" s="652"/>
      <c r="M19" s="652"/>
      <c r="N19" s="652"/>
      <c r="O19" s="652"/>
      <c r="P19" s="652"/>
      <c r="Q19" s="652"/>
      <c r="R19" s="652"/>
      <c r="S19" s="652"/>
      <c r="T19" s="652"/>
      <c r="U19" s="652"/>
      <c r="V19" s="652"/>
      <c r="W19" s="652"/>
      <c r="X19" s="652"/>
      <c r="Y19" s="652"/>
      <c r="Z19" s="652"/>
      <c r="AA19" s="48"/>
      <c r="AB19" s="48"/>
      <c r="AC19" s="48"/>
    </row>
    <row r="20" spans="1:68" ht="16.5" hidden="1" customHeight="1" x14ac:dyDescent="0.25">
      <c r="A20" s="649" t="s">
        <v>59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3"/>
      <c r="AB20" s="623"/>
      <c r="AC20" s="623"/>
    </row>
    <row r="21" spans="1:68" ht="14.25" hidden="1" customHeight="1" x14ac:dyDescent="0.25">
      <c r="A21" s="655" t="s">
        <v>60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4"/>
      <c r="AB21" s="624"/>
      <c r="AC21" s="624"/>
    </row>
    <row r="22" spans="1:68" ht="27" hidden="1" customHeight="1" x14ac:dyDescent="0.25">
      <c r="A22" s="54" t="s">
        <v>61</v>
      </c>
      <c r="B22" s="54" t="s">
        <v>62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63</v>
      </c>
      <c r="L22" s="32"/>
      <c r="M22" s="33" t="s">
        <v>64</v>
      </c>
      <c r="N22" s="33"/>
      <c r="O22" s="32">
        <v>40</v>
      </c>
      <c r="P22" s="88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65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66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67</v>
      </c>
      <c r="B23" s="54" t="s">
        <v>68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63</v>
      </c>
      <c r="L23" s="32"/>
      <c r="M23" s="33" t="s">
        <v>64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65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69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70</v>
      </c>
      <c r="Q24" s="647"/>
      <c r="R24" s="647"/>
      <c r="S24" s="647"/>
      <c r="T24" s="647"/>
      <c r="U24" s="647"/>
      <c r="V24" s="648"/>
      <c r="W24" s="37" t="s">
        <v>71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70</v>
      </c>
      <c r="Q25" s="647"/>
      <c r="R25" s="647"/>
      <c r="S25" s="647"/>
      <c r="T25" s="647"/>
      <c r="U25" s="647"/>
      <c r="V25" s="648"/>
      <c r="W25" s="37" t="s">
        <v>65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5" t="s">
        <v>72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4"/>
      <c r="AB26" s="624"/>
      <c r="AC26" s="624"/>
    </row>
    <row r="27" spans="1:68" ht="27" hidden="1" customHeight="1" x14ac:dyDescent="0.25">
      <c r="A27" s="54" t="s">
        <v>73</v>
      </c>
      <c r="B27" s="54" t="s">
        <v>74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81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65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77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78</v>
      </c>
      <c r="B28" s="54" t="s">
        <v>79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75</v>
      </c>
      <c r="L28" s="32"/>
      <c r="M28" s="33" t="s">
        <v>76</v>
      </c>
      <c r="N28" s="33"/>
      <c r="O28" s="32">
        <v>40</v>
      </c>
      <c r="P28" s="6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65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77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80</v>
      </c>
      <c r="B29" s="54" t="s">
        <v>81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75</v>
      </c>
      <c r="L29" s="32"/>
      <c r="M29" s="33" t="s">
        <v>82</v>
      </c>
      <c r="N29" s="33"/>
      <c r="O29" s="32">
        <v>40</v>
      </c>
      <c r="P29" s="6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65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83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84</v>
      </c>
      <c r="B30" s="54" t="s">
        <v>85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75</v>
      </c>
      <c r="L30" s="32"/>
      <c r="M30" s="33" t="s">
        <v>82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65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86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87</v>
      </c>
      <c r="B31" s="54" t="s">
        <v>88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75</v>
      </c>
      <c r="L31" s="32"/>
      <c r="M31" s="33" t="s">
        <v>76</v>
      </c>
      <c r="N31" s="33"/>
      <c r="O31" s="32">
        <v>40</v>
      </c>
      <c r="P31" s="71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65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89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70</v>
      </c>
      <c r="Q32" s="647"/>
      <c r="R32" s="647"/>
      <c r="S32" s="647"/>
      <c r="T32" s="647"/>
      <c r="U32" s="647"/>
      <c r="V32" s="648"/>
      <c r="W32" s="37" t="s">
        <v>71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hidden="1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70</v>
      </c>
      <c r="Q33" s="647"/>
      <c r="R33" s="647"/>
      <c r="S33" s="647"/>
      <c r="T33" s="647"/>
      <c r="U33" s="647"/>
      <c r="V33" s="648"/>
      <c r="W33" s="37" t="s">
        <v>65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hidden="1" customHeight="1" x14ac:dyDescent="0.2">
      <c r="A34" s="651" t="s">
        <v>90</v>
      </c>
      <c r="B34" s="652"/>
      <c r="C34" s="652"/>
      <c r="D34" s="652"/>
      <c r="E34" s="652"/>
      <c r="F34" s="652"/>
      <c r="G34" s="652"/>
      <c r="H34" s="652"/>
      <c r="I34" s="652"/>
      <c r="J34" s="652"/>
      <c r="K34" s="652"/>
      <c r="L34" s="652"/>
      <c r="M34" s="652"/>
      <c r="N34" s="652"/>
      <c r="O34" s="652"/>
      <c r="P34" s="652"/>
      <c r="Q34" s="652"/>
      <c r="R34" s="652"/>
      <c r="S34" s="652"/>
      <c r="T34" s="652"/>
      <c r="U34" s="652"/>
      <c r="V34" s="652"/>
      <c r="W34" s="652"/>
      <c r="X34" s="652"/>
      <c r="Y34" s="652"/>
      <c r="Z34" s="652"/>
      <c r="AA34" s="48"/>
      <c r="AB34" s="48"/>
      <c r="AC34" s="48"/>
    </row>
    <row r="35" spans="1:68" ht="16.5" hidden="1" customHeight="1" x14ac:dyDescent="0.25">
      <c r="A35" s="649" t="s">
        <v>91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3"/>
      <c r="AB35" s="623"/>
      <c r="AC35" s="623"/>
    </row>
    <row r="36" spans="1:68" ht="14.25" hidden="1" customHeight="1" x14ac:dyDescent="0.25">
      <c r="A36" s="655" t="s">
        <v>72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4"/>
      <c r="AB36" s="624"/>
      <c r="AC36" s="624"/>
    </row>
    <row r="37" spans="1:68" ht="27" hidden="1" customHeight="1" x14ac:dyDescent="0.25">
      <c r="A37" s="54" t="s">
        <v>92</v>
      </c>
      <c r="B37" s="54" t="s">
        <v>93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75</v>
      </c>
      <c r="L37" s="32"/>
      <c r="M37" s="33" t="s">
        <v>82</v>
      </c>
      <c r="N37" s="33"/>
      <c r="O37" s="32">
        <v>40</v>
      </c>
      <c r="P37" s="85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65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94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95</v>
      </c>
      <c r="B38" s="54" t="s">
        <v>96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75</v>
      </c>
      <c r="L38" s="32"/>
      <c r="M38" s="33" t="s">
        <v>76</v>
      </c>
      <c r="N38" s="33"/>
      <c r="O38" s="32">
        <v>40</v>
      </c>
      <c r="P38" s="88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65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97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98</v>
      </c>
      <c r="B39" s="54" t="s">
        <v>99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75</v>
      </c>
      <c r="L39" s="32"/>
      <c r="M39" s="33" t="s">
        <v>76</v>
      </c>
      <c r="N39" s="33"/>
      <c r="O39" s="32">
        <v>40</v>
      </c>
      <c r="P39" s="72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65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100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101</v>
      </c>
      <c r="B40" s="54" t="s">
        <v>102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75</v>
      </c>
      <c r="L40" s="32"/>
      <c r="M40" s="33" t="s">
        <v>76</v>
      </c>
      <c r="N40" s="33"/>
      <c r="O40" s="32">
        <v>40</v>
      </c>
      <c r="P40" s="88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65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100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103</v>
      </c>
      <c r="B41" s="54" t="s">
        <v>104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75</v>
      </c>
      <c r="L41" s="32"/>
      <c r="M41" s="33" t="s">
        <v>76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65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105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106</v>
      </c>
      <c r="B42" s="54" t="s">
        <v>107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75</v>
      </c>
      <c r="L42" s="32"/>
      <c r="M42" s="33" t="s">
        <v>76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65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108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70</v>
      </c>
      <c r="Q43" s="647"/>
      <c r="R43" s="647"/>
      <c r="S43" s="647"/>
      <c r="T43" s="647"/>
      <c r="U43" s="647"/>
      <c r="V43" s="648"/>
      <c r="W43" s="37" t="s">
        <v>71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70</v>
      </c>
      <c r="Q44" s="647"/>
      <c r="R44" s="647"/>
      <c r="S44" s="647"/>
      <c r="T44" s="647"/>
      <c r="U44" s="647"/>
      <c r="V44" s="648"/>
      <c r="W44" s="37" t="s">
        <v>65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51" t="s">
        <v>109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48"/>
      <c r="AB45" s="48"/>
      <c r="AC45" s="48"/>
    </row>
    <row r="46" spans="1:68" ht="16.5" hidden="1" customHeight="1" x14ac:dyDescent="0.25">
      <c r="A46" s="649" t="s">
        <v>110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3"/>
      <c r="AB46" s="623"/>
      <c r="AC46" s="623"/>
    </row>
    <row r="47" spans="1:68" ht="14.25" hidden="1" customHeight="1" x14ac:dyDescent="0.25">
      <c r="A47" s="655" t="s">
        <v>111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4"/>
      <c r="AB47" s="624"/>
      <c r="AC47" s="624"/>
    </row>
    <row r="48" spans="1:68" ht="16.5" hidden="1" customHeight="1" x14ac:dyDescent="0.25">
      <c r="A48" s="54" t="s">
        <v>112</v>
      </c>
      <c r="B48" s="54" t="s">
        <v>113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114</v>
      </c>
      <c r="L48" s="32"/>
      <c r="M48" s="33" t="s">
        <v>115</v>
      </c>
      <c r="N48" s="33"/>
      <c r="O48" s="32">
        <v>50</v>
      </c>
      <c r="P48" s="8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65</v>
      </c>
      <c r="X48" s="629">
        <v>0</v>
      </c>
      <c r="Y48" s="630">
        <f>IFERROR(IF(X48="",0,CEILING((X48/$H48),1)*$H48),"")</f>
        <v>0</v>
      </c>
      <c r="Z48" s="36" t="str">
        <f>IFERROR(IF(Y48=0,"",ROUNDUP(Y48/H48,0)*0.01898),"")</f>
        <v/>
      </c>
      <c r="AA48" s="56"/>
      <c r="AB48" s="57"/>
      <c r="AC48" s="95" t="s">
        <v>116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117</v>
      </c>
      <c r="B49" s="54" t="s">
        <v>118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119</v>
      </c>
      <c r="L49" s="32"/>
      <c r="M49" s="33" t="s">
        <v>64</v>
      </c>
      <c r="N49" s="33"/>
      <c r="O49" s="32">
        <v>30</v>
      </c>
      <c r="P49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65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120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121</v>
      </c>
      <c r="B50" s="54" t="s">
        <v>122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123</v>
      </c>
      <c r="L50" s="32"/>
      <c r="M50" s="33" t="s">
        <v>76</v>
      </c>
      <c r="N50" s="33"/>
      <c r="O50" s="32">
        <v>50</v>
      </c>
      <c r="P50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65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hidden="1" customHeight="1" x14ac:dyDescent="0.25">
      <c r="A51" s="54" t="s">
        <v>124</v>
      </c>
      <c r="B51" s="54" t="s">
        <v>125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123</v>
      </c>
      <c r="L51" s="32"/>
      <c r="M51" s="33" t="s">
        <v>76</v>
      </c>
      <c r="N51" s="33"/>
      <c r="O51" s="32">
        <v>50</v>
      </c>
      <c r="P51" s="80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65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116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idden="1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70</v>
      </c>
      <c r="Q52" s="647"/>
      <c r="R52" s="647"/>
      <c r="S52" s="647"/>
      <c r="T52" s="647"/>
      <c r="U52" s="647"/>
      <c r="V52" s="648"/>
      <c r="W52" s="37" t="s">
        <v>71</v>
      </c>
      <c r="X52" s="631">
        <f>IFERROR(X48/H48,"0")+IFERROR(X49/H49,"0")+IFERROR(X50/H50,"0")+IFERROR(X51/H51,"0")</f>
        <v>0</v>
      </c>
      <c r="Y52" s="631">
        <f>IFERROR(Y48/H48,"0")+IFERROR(Y49/H49,"0")+IFERROR(Y50/H50,"0")+IFERROR(Y51/H51,"0")</f>
        <v>0</v>
      </c>
      <c r="Z52" s="631">
        <f>IFERROR(IF(Z48="",0,Z48),"0")+IFERROR(IF(Z49="",0,Z49),"0")+IFERROR(IF(Z50="",0,Z50),"0")+IFERROR(IF(Z51="",0,Z51),"0")</f>
        <v>0</v>
      </c>
      <c r="AA52" s="632"/>
      <c r="AB52" s="632"/>
      <c r="AC52" s="632"/>
    </row>
    <row r="53" spans="1:68" hidden="1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70</v>
      </c>
      <c r="Q53" s="647"/>
      <c r="R53" s="647"/>
      <c r="S53" s="647"/>
      <c r="T53" s="647"/>
      <c r="U53" s="647"/>
      <c r="V53" s="648"/>
      <c r="W53" s="37" t="s">
        <v>65</v>
      </c>
      <c r="X53" s="631">
        <f>IFERROR(SUM(X48:X51),"0")</f>
        <v>0</v>
      </c>
      <c r="Y53" s="631">
        <f>IFERROR(SUM(Y48:Y51),"0")</f>
        <v>0</v>
      </c>
      <c r="Z53" s="37"/>
      <c r="AA53" s="632"/>
      <c r="AB53" s="632"/>
      <c r="AC53" s="632"/>
    </row>
    <row r="54" spans="1:68" ht="16.5" hidden="1" customHeight="1" x14ac:dyDescent="0.25">
      <c r="A54" s="649" t="s">
        <v>126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3"/>
      <c r="AB54" s="623"/>
      <c r="AC54" s="623"/>
    </row>
    <row r="55" spans="1:68" ht="14.25" hidden="1" customHeight="1" x14ac:dyDescent="0.25">
      <c r="A55" s="655" t="s">
        <v>111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4"/>
      <c r="AB55" s="624"/>
      <c r="AC55" s="624"/>
    </row>
    <row r="56" spans="1:68" ht="27" hidden="1" customHeight="1" x14ac:dyDescent="0.25">
      <c r="A56" s="54" t="s">
        <v>127</v>
      </c>
      <c r="B56" s="54" t="s">
        <v>128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65</v>
      </c>
      <c r="X56" s="629">
        <v>0</v>
      </c>
      <c r="Y56" s="630">
        <f t="shared" ref="Y56:Y61" si="6">IFERROR(IF(X56="",0,CEILING((X56/$H56),1)*$H56),"")</f>
        <v>0</v>
      </c>
      <c r="Z56" s="36" t="str">
        <f>IFERROR(IF(Y56=0,"",ROUNDUP(Y56/H56,0)*0.01898),"")</f>
        <v/>
      </c>
      <c r="AA56" s="56"/>
      <c r="AB56" s="57"/>
      <c r="AC56" s="103" t="s">
        <v>129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0</v>
      </c>
      <c r="BN56" s="64">
        <f t="shared" ref="BN56:BN61" si="8">IFERROR(Y56*I56/H56,"0")</f>
        <v>0</v>
      </c>
      <c r="BO56" s="64">
        <f t="shared" ref="BO56:BO61" si="9">IFERROR(1/J56*(X56/H56),"0")</f>
        <v>0</v>
      </c>
      <c r="BP56" s="64">
        <f t="shared" ref="BP56:BP61" si="10">IFERROR(1/J56*(Y56/H56),"0")</f>
        <v>0</v>
      </c>
    </row>
    <row r="57" spans="1:68" ht="27" customHeight="1" x14ac:dyDescent="0.25">
      <c r="A57" s="54" t="s">
        <v>130</v>
      </c>
      <c r="B57" s="54" t="s">
        <v>131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65</v>
      </c>
      <c r="X57" s="629">
        <v>150</v>
      </c>
      <c r="Y57" s="630">
        <f t="shared" si="6"/>
        <v>151.20000000000002</v>
      </c>
      <c r="Z57" s="36">
        <f>IFERROR(IF(Y57=0,"",ROUNDUP(Y57/H57,0)*0.01898),"")</f>
        <v>0.26572000000000001</v>
      </c>
      <c r="AA57" s="56"/>
      <c r="AB57" s="57"/>
      <c r="AC57" s="105" t="s">
        <v>132</v>
      </c>
      <c r="AG57" s="64"/>
      <c r="AJ57" s="68"/>
      <c r="AK57" s="68">
        <v>0</v>
      </c>
      <c r="BB57" s="106" t="s">
        <v>1</v>
      </c>
      <c r="BM57" s="64">
        <f t="shared" si="7"/>
        <v>155.69444444444446</v>
      </c>
      <c r="BN57" s="64">
        <f t="shared" si="8"/>
        <v>156.94</v>
      </c>
      <c r="BO57" s="64">
        <f t="shared" si="9"/>
        <v>0.21701388888888887</v>
      </c>
      <c r="BP57" s="64">
        <f t="shared" si="10"/>
        <v>0.21875</v>
      </c>
    </row>
    <row r="58" spans="1:68" ht="27" hidden="1" customHeight="1" x14ac:dyDescent="0.25">
      <c r="A58" s="54" t="s">
        <v>133</v>
      </c>
      <c r="B58" s="54" t="s">
        <v>134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99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65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135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hidden="1" customHeight="1" x14ac:dyDescent="0.25">
      <c r="A59" s="54" t="s">
        <v>136</v>
      </c>
      <c r="B59" s="54" t="s">
        <v>137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65</v>
      </c>
      <c r="X59" s="629">
        <v>0</v>
      </c>
      <c r="Y59" s="630">
        <f t="shared" si="6"/>
        <v>0</v>
      </c>
      <c r="Z59" s="36" t="str">
        <f>IFERROR(IF(Y59=0,"",ROUNDUP(Y59/H59,0)*0.00902),"")</f>
        <v/>
      </c>
      <c r="AA59" s="56"/>
      <c r="AB59" s="57"/>
      <c r="AC59" s="109" t="s">
        <v>138</v>
      </c>
      <c r="AG59" s="64"/>
      <c r="AJ59" s="68"/>
      <c r="AK59" s="68">
        <v>0</v>
      </c>
      <c r="BB59" s="110" t="s">
        <v>1</v>
      </c>
      <c r="BM59" s="64">
        <f t="shared" si="7"/>
        <v>0</v>
      </c>
      <c r="BN59" s="64">
        <f t="shared" si="8"/>
        <v>0</v>
      </c>
      <c r="BO59" s="64">
        <f t="shared" si="9"/>
        <v>0</v>
      </c>
      <c r="BP59" s="64">
        <f t="shared" si="10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75</v>
      </c>
      <c r="L60" s="32"/>
      <c r="M60" s="33" t="s">
        <v>115</v>
      </c>
      <c r="N60" s="33"/>
      <c r="O60" s="32">
        <v>50</v>
      </c>
      <c r="P60" s="96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65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hidden="1" customHeight="1" x14ac:dyDescent="0.25">
      <c r="A61" s="54" t="s">
        <v>141</v>
      </c>
      <c r="B61" s="54" t="s">
        <v>142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65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143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70</v>
      </c>
      <c r="Q62" s="647"/>
      <c r="R62" s="647"/>
      <c r="S62" s="647"/>
      <c r="T62" s="647"/>
      <c r="U62" s="647"/>
      <c r="V62" s="648"/>
      <c r="W62" s="37" t="s">
        <v>71</v>
      </c>
      <c r="X62" s="631">
        <f>IFERROR(X56/H56,"0")+IFERROR(X57/H57,"0")+IFERROR(X58/H58,"0")+IFERROR(X59/H59,"0")+IFERROR(X60/H60,"0")+IFERROR(X61/H61,"0")</f>
        <v>13.888888888888888</v>
      </c>
      <c r="Y62" s="631">
        <f>IFERROR(Y56/H56,"0")+IFERROR(Y57/H57,"0")+IFERROR(Y58/H58,"0")+IFERROR(Y59/H59,"0")+IFERROR(Y60/H60,"0")+IFERROR(Y61/H61,"0")</f>
        <v>14</v>
      </c>
      <c r="Z62" s="631">
        <f>IFERROR(IF(Z56="",0,Z56),"0")+IFERROR(IF(Z57="",0,Z57),"0")+IFERROR(IF(Z58="",0,Z58),"0")+IFERROR(IF(Z59="",0,Z59),"0")+IFERROR(IF(Z60="",0,Z60),"0")+IFERROR(IF(Z61="",0,Z61),"0")</f>
        <v>0.26572000000000001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70</v>
      </c>
      <c r="Q63" s="647"/>
      <c r="R63" s="647"/>
      <c r="S63" s="647"/>
      <c r="T63" s="647"/>
      <c r="U63" s="647"/>
      <c r="V63" s="648"/>
      <c r="W63" s="37" t="s">
        <v>65</v>
      </c>
      <c r="X63" s="631">
        <f>IFERROR(SUM(X56:X61),"0")</f>
        <v>150</v>
      </c>
      <c r="Y63" s="631">
        <f>IFERROR(SUM(Y56:Y61),"0")</f>
        <v>151.20000000000002</v>
      </c>
      <c r="Z63" s="37"/>
      <c r="AA63" s="632"/>
      <c r="AB63" s="632"/>
      <c r="AC63" s="632"/>
    </row>
    <row r="64" spans="1:68" ht="14.25" hidden="1" customHeight="1" x14ac:dyDescent="0.25">
      <c r="A64" s="655" t="s">
        <v>144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4"/>
      <c r="AB64" s="624"/>
      <c r="AC64" s="624"/>
    </row>
    <row r="65" spans="1:68" ht="16.5" hidden="1" customHeight="1" x14ac:dyDescent="0.25">
      <c r="A65" s="54" t="s">
        <v>145</v>
      </c>
      <c r="B65" s="54" t="s">
        <v>146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9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65</v>
      </c>
      <c r="X65" s="629">
        <v>0</v>
      </c>
      <c r="Y65" s="630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148</v>
      </c>
      <c r="B66" s="54" t="s">
        <v>149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75</v>
      </c>
      <c r="L66" s="32"/>
      <c r="M66" s="33" t="s">
        <v>76</v>
      </c>
      <c r="N66" s="33"/>
      <c r="O66" s="32">
        <v>50</v>
      </c>
      <c r="P66" s="7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65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147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119</v>
      </c>
      <c r="L67" s="32"/>
      <c r="M67" s="33" t="s">
        <v>64</v>
      </c>
      <c r="N67" s="33"/>
      <c r="O67" s="32">
        <v>30</v>
      </c>
      <c r="P67" s="9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65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75</v>
      </c>
      <c r="L68" s="32"/>
      <c r="M68" s="33" t="s">
        <v>115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65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147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70</v>
      </c>
      <c r="Q69" s="647"/>
      <c r="R69" s="647"/>
      <c r="S69" s="647"/>
      <c r="T69" s="647"/>
      <c r="U69" s="647"/>
      <c r="V69" s="648"/>
      <c r="W69" s="37" t="s">
        <v>71</v>
      </c>
      <c r="X69" s="631">
        <f>IFERROR(X65/H65,"0")+IFERROR(X66/H66,"0")+IFERROR(X67/H67,"0")+IFERROR(X68/H68,"0")</f>
        <v>0</v>
      </c>
      <c r="Y69" s="631">
        <f>IFERROR(Y65/H65,"0")+IFERROR(Y66/H66,"0")+IFERROR(Y67/H67,"0")+IFERROR(Y68/H68,"0")</f>
        <v>0</v>
      </c>
      <c r="Z69" s="631">
        <f>IFERROR(IF(Z65="",0,Z65),"0")+IFERROR(IF(Z66="",0,Z66),"0")+IFERROR(IF(Z67="",0,Z67),"0")+IFERROR(IF(Z68="",0,Z68),"0")</f>
        <v>0</v>
      </c>
      <c r="AA69" s="632"/>
      <c r="AB69" s="632"/>
      <c r="AC69" s="632"/>
    </row>
    <row r="70" spans="1:68" hidden="1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70</v>
      </c>
      <c r="Q70" s="647"/>
      <c r="R70" s="647"/>
      <c r="S70" s="647"/>
      <c r="T70" s="647"/>
      <c r="U70" s="647"/>
      <c r="V70" s="648"/>
      <c r="W70" s="37" t="s">
        <v>65</v>
      </c>
      <c r="X70" s="631">
        <f>IFERROR(SUM(X65:X68),"0")</f>
        <v>0</v>
      </c>
      <c r="Y70" s="631">
        <f>IFERROR(SUM(Y65:Y68),"0")</f>
        <v>0</v>
      </c>
      <c r="Z70" s="37"/>
      <c r="AA70" s="632"/>
      <c r="AB70" s="632"/>
      <c r="AC70" s="632"/>
    </row>
    <row r="71" spans="1:68" ht="14.25" hidden="1" customHeight="1" x14ac:dyDescent="0.25">
      <c r="A71" s="655" t="s">
        <v>72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4"/>
      <c r="AB71" s="624"/>
      <c r="AC71" s="624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75</v>
      </c>
      <c r="L72" s="32"/>
      <c r="M72" s="33" t="s">
        <v>76</v>
      </c>
      <c r="N72" s="33"/>
      <c r="O72" s="32">
        <v>40</v>
      </c>
      <c r="P72" s="97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65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6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65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70</v>
      </c>
      <c r="Q74" s="647"/>
      <c r="R74" s="647"/>
      <c r="S74" s="647"/>
      <c r="T74" s="647"/>
      <c r="U74" s="647"/>
      <c r="V74" s="648"/>
      <c r="W74" s="37" t="s">
        <v>71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70</v>
      </c>
      <c r="Q75" s="647"/>
      <c r="R75" s="647"/>
      <c r="S75" s="647"/>
      <c r="T75" s="647"/>
      <c r="U75" s="647"/>
      <c r="V75" s="648"/>
      <c r="W75" s="37" t="s">
        <v>65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hidden="1" customHeight="1" x14ac:dyDescent="0.25">
      <c r="A76" s="655" t="s">
        <v>161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4"/>
      <c r="AB76" s="624"/>
      <c r="AC76" s="624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114</v>
      </c>
      <c r="L77" s="32"/>
      <c r="M77" s="33" t="s">
        <v>82</v>
      </c>
      <c r="N77" s="33"/>
      <c r="O77" s="32">
        <v>30</v>
      </c>
      <c r="P77" s="84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65</v>
      </c>
      <c r="X77" s="629">
        <v>0</v>
      </c>
      <c r="Y77" s="630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165</v>
      </c>
      <c r="B78" s="54" t="s">
        <v>166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123</v>
      </c>
      <c r="L78" s="32"/>
      <c r="M78" s="33" t="s">
        <v>76</v>
      </c>
      <c r="N78" s="33"/>
      <c r="O78" s="32">
        <v>30</v>
      </c>
      <c r="P78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65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70</v>
      </c>
      <c r="Q79" s="647"/>
      <c r="R79" s="647"/>
      <c r="S79" s="647"/>
      <c r="T79" s="647"/>
      <c r="U79" s="647"/>
      <c r="V79" s="648"/>
      <c r="W79" s="37" t="s">
        <v>71</v>
      </c>
      <c r="X79" s="631">
        <f>IFERROR(X77/H77,"0")+IFERROR(X78/H78,"0")</f>
        <v>0</v>
      </c>
      <c r="Y79" s="631">
        <f>IFERROR(Y77/H77,"0")+IFERROR(Y78/H78,"0")</f>
        <v>0</v>
      </c>
      <c r="Z79" s="631">
        <f>IFERROR(IF(Z77="",0,Z77),"0")+IFERROR(IF(Z78="",0,Z78),"0")</f>
        <v>0</v>
      </c>
      <c r="AA79" s="632"/>
      <c r="AB79" s="632"/>
      <c r="AC79" s="632"/>
    </row>
    <row r="80" spans="1:68" hidden="1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70</v>
      </c>
      <c r="Q80" s="647"/>
      <c r="R80" s="647"/>
      <c r="S80" s="647"/>
      <c r="T80" s="647"/>
      <c r="U80" s="647"/>
      <c r="V80" s="648"/>
      <c r="W80" s="37" t="s">
        <v>65</v>
      </c>
      <c r="X80" s="631">
        <f>IFERROR(SUM(X77:X78),"0")</f>
        <v>0</v>
      </c>
      <c r="Y80" s="631">
        <f>IFERROR(SUM(Y77:Y78),"0")</f>
        <v>0</v>
      </c>
      <c r="Z80" s="37"/>
      <c r="AA80" s="632"/>
      <c r="AB80" s="632"/>
      <c r="AC80" s="632"/>
    </row>
    <row r="81" spans="1:68" ht="16.5" hidden="1" customHeight="1" x14ac:dyDescent="0.25">
      <c r="A81" s="649" t="s">
        <v>168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14.25" hidden="1" customHeight="1" x14ac:dyDescent="0.25">
      <c r="A82" s="655" t="s">
        <v>111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4"/>
      <c r="AB82" s="624"/>
      <c r="AC82" s="624"/>
    </row>
    <row r="83" spans="1:68" ht="27" hidden="1" customHeight="1" x14ac:dyDescent="0.25">
      <c r="A83" s="54" t="s">
        <v>169</v>
      </c>
      <c r="B83" s="54" t="s">
        <v>170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114</v>
      </c>
      <c r="L83" s="32"/>
      <c r="M83" s="33" t="s">
        <v>82</v>
      </c>
      <c r="N83" s="33"/>
      <c r="O83" s="32">
        <v>50</v>
      </c>
      <c r="P83" s="9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65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171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172</v>
      </c>
      <c r="B84" s="54" t="s">
        <v>173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119</v>
      </c>
      <c r="L84" s="32"/>
      <c r="M84" s="33" t="s">
        <v>64</v>
      </c>
      <c r="N84" s="33"/>
      <c r="O84" s="32">
        <v>30</v>
      </c>
      <c r="P84" s="88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65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123</v>
      </c>
      <c r="L85" s="32"/>
      <c r="M85" s="33" t="s">
        <v>76</v>
      </c>
      <c r="N85" s="33"/>
      <c r="O85" s="32">
        <v>50</v>
      </c>
      <c r="P85" s="9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65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171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177</v>
      </c>
      <c r="B86" s="54" t="s">
        <v>178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123</v>
      </c>
      <c r="L86" s="32"/>
      <c r="M86" s="33" t="s">
        <v>82</v>
      </c>
      <c r="N86" s="33"/>
      <c r="O86" s="32">
        <v>50</v>
      </c>
      <c r="P86" s="66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65</v>
      </c>
      <c r="X86" s="629">
        <v>0</v>
      </c>
      <c r="Y86" s="63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171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idden="1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70</v>
      </c>
      <c r="Q87" s="647"/>
      <c r="R87" s="647"/>
      <c r="S87" s="647"/>
      <c r="T87" s="647"/>
      <c r="U87" s="647"/>
      <c r="V87" s="648"/>
      <c r="W87" s="37" t="s">
        <v>71</v>
      </c>
      <c r="X87" s="631">
        <f>IFERROR(X83/H83,"0")+IFERROR(X84/H84,"0")+IFERROR(X85/H85,"0")+IFERROR(X86/H86,"0")</f>
        <v>0</v>
      </c>
      <c r="Y87" s="631">
        <f>IFERROR(Y83/H83,"0")+IFERROR(Y84/H84,"0")+IFERROR(Y85/H85,"0")+IFERROR(Y86/H86,"0")</f>
        <v>0</v>
      </c>
      <c r="Z87" s="631">
        <f>IFERROR(IF(Z83="",0,Z83),"0")+IFERROR(IF(Z84="",0,Z84),"0")+IFERROR(IF(Z85="",0,Z85),"0")+IFERROR(IF(Z86="",0,Z86),"0")</f>
        <v>0</v>
      </c>
      <c r="AA87" s="632"/>
      <c r="AB87" s="632"/>
      <c r="AC87" s="632"/>
    </row>
    <row r="88" spans="1:68" hidden="1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70</v>
      </c>
      <c r="Q88" s="647"/>
      <c r="R88" s="647"/>
      <c r="S88" s="647"/>
      <c r="T88" s="647"/>
      <c r="U88" s="647"/>
      <c r="V88" s="648"/>
      <c r="W88" s="37" t="s">
        <v>65</v>
      </c>
      <c r="X88" s="631">
        <f>IFERROR(SUM(X83:X86),"0")</f>
        <v>0</v>
      </c>
      <c r="Y88" s="631">
        <f>IFERROR(SUM(Y83:Y86),"0")</f>
        <v>0</v>
      </c>
      <c r="Z88" s="37"/>
      <c r="AA88" s="632"/>
      <c r="AB88" s="632"/>
      <c r="AC88" s="632"/>
    </row>
    <row r="89" spans="1:68" ht="14.25" hidden="1" customHeight="1" x14ac:dyDescent="0.25">
      <c r="A89" s="655" t="s">
        <v>72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4"/>
      <c r="AB89" s="624"/>
      <c r="AC89" s="624"/>
    </row>
    <row r="90" spans="1:68" ht="27" hidden="1" customHeight="1" x14ac:dyDescent="0.25">
      <c r="A90" s="54" t="s">
        <v>179</v>
      </c>
      <c r="B90" s="54" t="s">
        <v>180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114</v>
      </c>
      <c r="L90" s="32"/>
      <c r="M90" s="33" t="s">
        <v>82</v>
      </c>
      <c r="N90" s="33"/>
      <c r="O90" s="32">
        <v>45</v>
      </c>
      <c r="P90" s="85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65</v>
      </c>
      <c r="X90" s="629">
        <v>0</v>
      </c>
      <c r="Y90" s="630">
        <f>IFERROR(IF(X90="",0,CEILING((X90/$H90),1)*$H90),"")</f>
        <v>0</v>
      </c>
      <c r="Z90" s="36" t="str">
        <f>IFERROR(IF(Y90=0,"",ROUNDUP(Y90/H90,0)*0.01898),"")</f>
        <v/>
      </c>
      <c r="AA90" s="56"/>
      <c r="AB90" s="57"/>
      <c r="AC90" s="139" t="s">
        <v>181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182</v>
      </c>
      <c r="B91" s="54" t="s">
        <v>183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75</v>
      </c>
      <c r="L91" s="32"/>
      <c r="M91" s="33" t="s">
        <v>76</v>
      </c>
      <c r="N91" s="33"/>
      <c r="O91" s="32">
        <v>45</v>
      </c>
      <c r="P91" s="9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65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181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184</v>
      </c>
      <c r="B92" s="54" t="s">
        <v>185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75</v>
      </c>
      <c r="L92" s="32"/>
      <c r="M92" s="33" t="s">
        <v>82</v>
      </c>
      <c r="N92" s="33"/>
      <c r="O92" s="32">
        <v>45</v>
      </c>
      <c r="P92" s="69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65</v>
      </c>
      <c r="X92" s="629">
        <v>45</v>
      </c>
      <c r="Y92" s="630">
        <f>IFERROR(IF(X92="",0,CEILING((X92/$H92),1)*$H92),"")</f>
        <v>45.900000000000006</v>
      </c>
      <c r="Z92" s="36">
        <f>IFERROR(IF(Y92=0,"",ROUNDUP(Y92/H92,0)*0.00651),"")</f>
        <v>0.11067</v>
      </c>
      <c r="AA92" s="56"/>
      <c r="AB92" s="57"/>
      <c r="AC92" s="143" t="s">
        <v>181</v>
      </c>
      <c r="AG92" s="64"/>
      <c r="AJ92" s="68"/>
      <c r="AK92" s="68">
        <v>0</v>
      </c>
      <c r="BB92" s="144" t="s">
        <v>1</v>
      </c>
      <c r="BM92" s="64">
        <f>IFERROR(X92*I92/H92,"0")</f>
        <v>49.199999999999996</v>
      </c>
      <c r="BN92" s="64">
        <f>IFERROR(Y92*I92/H92,"0")</f>
        <v>50.183999999999997</v>
      </c>
      <c r="BO92" s="64">
        <f>IFERROR(1/J92*(X92/H92),"0")</f>
        <v>9.1575091575091569E-2</v>
      </c>
      <c r="BP92" s="64">
        <f>IFERROR(1/J92*(Y92/H92),"0")</f>
        <v>9.3406593406593408E-2</v>
      </c>
    </row>
    <row r="93" spans="1:68" ht="16.5" hidden="1" customHeight="1" x14ac:dyDescent="0.25">
      <c r="A93" s="54" t="s">
        <v>186</v>
      </c>
      <c r="B93" s="54" t="s">
        <v>187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75</v>
      </c>
      <c r="L93" s="32"/>
      <c r="M93" s="33" t="s">
        <v>76</v>
      </c>
      <c r="N93" s="33"/>
      <c r="O93" s="32">
        <v>45</v>
      </c>
      <c r="P93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65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188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70</v>
      </c>
      <c r="Q94" s="647"/>
      <c r="R94" s="647"/>
      <c r="S94" s="647"/>
      <c r="T94" s="647"/>
      <c r="U94" s="647"/>
      <c r="V94" s="648"/>
      <c r="W94" s="37" t="s">
        <v>71</v>
      </c>
      <c r="X94" s="631">
        <f>IFERROR(X90/H90,"0")+IFERROR(X91/H91,"0")+IFERROR(X92/H92,"0")+IFERROR(X93/H93,"0")</f>
        <v>16.666666666666664</v>
      </c>
      <c r="Y94" s="631">
        <f>IFERROR(Y90/H90,"0")+IFERROR(Y91/H91,"0")+IFERROR(Y92/H92,"0")+IFERROR(Y93/H93,"0")</f>
        <v>17</v>
      </c>
      <c r="Z94" s="631">
        <f>IFERROR(IF(Z90="",0,Z90),"0")+IFERROR(IF(Z91="",0,Z91),"0")+IFERROR(IF(Z92="",0,Z92),"0")+IFERROR(IF(Z93="",0,Z93),"0")</f>
        <v>0.11067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70</v>
      </c>
      <c r="Q95" s="647"/>
      <c r="R95" s="647"/>
      <c r="S95" s="647"/>
      <c r="T95" s="647"/>
      <c r="U95" s="647"/>
      <c r="V95" s="648"/>
      <c r="W95" s="37" t="s">
        <v>65</v>
      </c>
      <c r="X95" s="631">
        <f>IFERROR(SUM(X90:X93),"0")</f>
        <v>45</v>
      </c>
      <c r="Y95" s="631">
        <f>IFERROR(SUM(Y90:Y93),"0")</f>
        <v>45.900000000000006</v>
      </c>
      <c r="Z95" s="37"/>
      <c r="AA95" s="632"/>
      <c r="AB95" s="632"/>
      <c r="AC95" s="632"/>
    </row>
    <row r="96" spans="1:68" ht="16.5" hidden="1" customHeight="1" x14ac:dyDescent="0.25">
      <c r="A96" s="649" t="s">
        <v>189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3"/>
      <c r="AB96" s="623"/>
      <c r="AC96" s="623"/>
    </row>
    <row r="97" spans="1:68" ht="14.25" hidden="1" customHeight="1" x14ac:dyDescent="0.25">
      <c r="A97" s="655" t="s">
        <v>111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4"/>
      <c r="AB97" s="624"/>
      <c r="AC97" s="624"/>
    </row>
    <row r="98" spans="1:68" ht="37.5" hidden="1" customHeight="1" x14ac:dyDescent="0.25">
      <c r="A98" s="54" t="s">
        <v>190</v>
      </c>
      <c r="B98" s="54" t="s">
        <v>191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114</v>
      </c>
      <c r="L98" s="32"/>
      <c r="M98" s="33" t="s">
        <v>115</v>
      </c>
      <c r="N98" s="33"/>
      <c r="O98" s="32">
        <v>50</v>
      </c>
      <c r="P98" s="8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65</v>
      </c>
      <c r="X98" s="629">
        <v>0</v>
      </c>
      <c r="Y98" s="630">
        <f t="shared" ref="Y98:Y104" si="11"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7" t="s">
        <v>192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0</v>
      </c>
      <c r="BN98" s="64">
        <f t="shared" ref="BN98:BN104" si="13">IFERROR(Y98*I98/H98,"0")</f>
        <v>0</v>
      </c>
      <c r="BO98" s="64">
        <f t="shared" ref="BO98:BO104" si="14">IFERROR(1/J98*(X98/H98),"0")</f>
        <v>0</v>
      </c>
      <c r="BP98" s="64">
        <f t="shared" ref="BP98:BP104" si="15">IFERROR(1/J98*(Y98/H98),"0")</f>
        <v>0</v>
      </c>
    </row>
    <row r="99" spans="1:68" ht="27" hidden="1" customHeight="1" x14ac:dyDescent="0.25">
      <c r="A99" s="54" t="s">
        <v>193</v>
      </c>
      <c r="B99" s="54" t="s">
        <v>194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119</v>
      </c>
      <c r="L99" s="32"/>
      <c r="M99" s="33" t="s">
        <v>64</v>
      </c>
      <c r="N99" s="33"/>
      <c r="O99" s="32">
        <v>30</v>
      </c>
      <c r="P99" s="68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65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hidden="1" customHeight="1" x14ac:dyDescent="0.25">
      <c r="A100" s="54" t="s">
        <v>193</v>
      </c>
      <c r="B100" s="54" t="s">
        <v>196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119</v>
      </c>
      <c r="L100" s="32"/>
      <c r="M100" s="33" t="s">
        <v>64</v>
      </c>
      <c r="N100" s="33"/>
      <c r="O100" s="32">
        <v>30</v>
      </c>
      <c r="P100" s="69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65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195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193</v>
      </c>
      <c r="B101" s="54" t="s">
        <v>197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119</v>
      </c>
      <c r="L101" s="32"/>
      <c r="M101" s="33" t="s">
        <v>64</v>
      </c>
      <c r="N101" s="33"/>
      <c r="O101" s="32">
        <v>30</v>
      </c>
      <c r="P101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65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195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123</v>
      </c>
      <c r="L102" s="32"/>
      <c r="M102" s="33" t="s">
        <v>76</v>
      </c>
      <c r="N102" s="33"/>
      <c r="O102" s="32">
        <v>50</v>
      </c>
      <c r="P102" s="93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65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192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123</v>
      </c>
      <c r="L103" s="32"/>
      <c r="M103" s="33" t="s">
        <v>76</v>
      </c>
      <c r="N103" s="33"/>
      <c r="O103" s="32">
        <v>50</v>
      </c>
      <c r="P103" s="72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65</v>
      </c>
      <c r="X103" s="629">
        <v>0</v>
      </c>
      <c r="Y103" s="630">
        <f t="shared" si="11"/>
        <v>0</v>
      </c>
      <c r="Z103" s="36" t="str">
        <f>IFERROR(IF(Y103=0,"",ROUNDUP(Y103/H103,0)*0.00902),"")</f>
        <v/>
      </c>
      <c r="AA103" s="56"/>
      <c r="AB103" s="57"/>
      <c r="AC103" s="157" t="s">
        <v>192</v>
      </c>
      <c r="AG103" s="64"/>
      <c r="AJ103" s="68"/>
      <c r="AK103" s="68">
        <v>0</v>
      </c>
      <c r="BB103" s="158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123</v>
      </c>
      <c r="L104" s="32"/>
      <c r="M104" s="33" t="s">
        <v>76</v>
      </c>
      <c r="N104" s="33"/>
      <c r="O104" s="32">
        <v>50</v>
      </c>
      <c r="P104" s="69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65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192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idden="1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70</v>
      </c>
      <c r="Q105" s="647"/>
      <c r="R105" s="647"/>
      <c r="S105" s="647"/>
      <c r="T105" s="647"/>
      <c r="U105" s="647"/>
      <c r="V105" s="648"/>
      <c r="W105" s="37" t="s">
        <v>71</v>
      </c>
      <c r="X105" s="631">
        <f>IFERROR(X98/H98,"0")+IFERROR(X99/H99,"0")+IFERROR(X100/H100,"0")+IFERROR(X101/H101,"0")+IFERROR(X102/H102,"0")+IFERROR(X103/H103,"0")+IFERROR(X104/H104,"0")</f>
        <v>0</v>
      </c>
      <c r="Y105" s="631">
        <f>IFERROR(Y98/H98,"0")+IFERROR(Y99/H99,"0")+IFERROR(Y100/H100,"0")+IFERROR(Y101/H101,"0")+IFERROR(Y102/H102,"0")+IFERROR(Y103/H103,"0")+IFERROR(Y104/H104,"0")</f>
        <v>0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32"/>
      <c r="AB105" s="632"/>
      <c r="AC105" s="632"/>
    </row>
    <row r="106" spans="1:68" hidden="1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70</v>
      </c>
      <c r="Q106" s="647"/>
      <c r="R106" s="647"/>
      <c r="S106" s="647"/>
      <c r="T106" s="647"/>
      <c r="U106" s="647"/>
      <c r="V106" s="648"/>
      <c r="W106" s="37" t="s">
        <v>65</v>
      </c>
      <c r="X106" s="631">
        <f>IFERROR(SUM(X98:X104),"0")</f>
        <v>0</v>
      </c>
      <c r="Y106" s="631">
        <f>IFERROR(SUM(Y98:Y104),"0")</f>
        <v>0</v>
      </c>
      <c r="Z106" s="37"/>
      <c r="AA106" s="632"/>
      <c r="AB106" s="632"/>
      <c r="AC106" s="632"/>
    </row>
    <row r="107" spans="1:68" ht="14.25" hidden="1" customHeight="1" x14ac:dyDescent="0.25">
      <c r="A107" s="655" t="s">
        <v>144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4"/>
      <c r="AB107" s="624"/>
      <c r="AC107" s="624"/>
    </row>
    <row r="108" spans="1:68" ht="27" hidden="1" customHeight="1" x14ac:dyDescent="0.25">
      <c r="A108" s="54" t="s">
        <v>204</v>
      </c>
      <c r="B108" s="54" t="s">
        <v>205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114</v>
      </c>
      <c r="L108" s="32"/>
      <c r="M108" s="33" t="s">
        <v>115</v>
      </c>
      <c r="N108" s="33"/>
      <c r="O108" s="32">
        <v>55</v>
      </c>
      <c r="P108" s="87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65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206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209</v>
      </c>
      <c r="L109" s="32"/>
      <c r="M109" s="33" t="s">
        <v>64</v>
      </c>
      <c r="N109" s="33"/>
      <c r="O109" s="32">
        <v>30</v>
      </c>
      <c r="P109" s="88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65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207</v>
      </c>
      <c r="B110" s="54" t="s">
        <v>211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209</v>
      </c>
      <c r="L110" s="32"/>
      <c r="M110" s="33" t="s">
        <v>64</v>
      </c>
      <c r="N110" s="33"/>
      <c r="O110" s="32">
        <v>30</v>
      </c>
      <c r="P110" s="9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65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212</v>
      </c>
      <c r="B111" s="54" t="s">
        <v>213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63</v>
      </c>
      <c r="L111" s="32"/>
      <c r="M111" s="33" t="s">
        <v>115</v>
      </c>
      <c r="N111" s="33"/>
      <c r="O111" s="32">
        <v>55</v>
      </c>
      <c r="P111" s="91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65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206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75</v>
      </c>
      <c r="L112" s="32"/>
      <c r="M112" s="33" t="s">
        <v>115</v>
      </c>
      <c r="N112" s="33"/>
      <c r="O112" s="32">
        <v>55</v>
      </c>
      <c r="P112" s="92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65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206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70</v>
      </c>
      <c r="Q113" s="647"/>
      <c r="R113" s="647"/>
      <c r="S113" s="647"/>
      <c r="T113" s="647"/>
      <c r="U113" s="647"/>
      <c r="V113" s="648"/>
      <c r="W113" s="37" t="s">
        <v>71</v>
      </c>
      <c r="X113" s="631">
        <f>IFERROR(X108/H108,"0")+IFERROR(X109/H109,"0")+IFERROR(X110/H110,"0")+IFERROR(X111/H111,"0")+IFERROR(X112/H112,"0")</f>
        <v>0</v>
      </c>
      <c r="Y113" s="631">
        <f>IFERROR(Y108/H108,"0")+IFERROR(Y109/H109,"0")+IFERROR(Y110/H110,"0")+IFERROR(Y111/H111,"0")+IFERROR(Y112/H112,"0")</f>
        <v>0</v>
      </c>
      <c r="Z113" s="631">
        <f>IFERROR(IF(Z108="",0,Z108),"0")+IFERROR(IF(Z109="",0,Z109),"0")+IFERROR(IF(Z110="",0,Z110),"0")+IFERROR(IF(Z111="",0,Z111),"0")+IFERROR(IF(Z112="",0,Z112),"0")</f>
        <v>0</v>
      </c>
      <c r="AA113" s="632"/>
      <c r="AB113" s="632"/>
      <c r="AC113" s="632"/>
    </row>
    <row r="114" spans="1:68" hidden="1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70</v>
      </c>
      <c r="Q114" s="647"/>
      <c r="R114" s="647"/>
      <c r="S114" s="647"/>
      <c r="T114" s="647"/>
      <c r="U114" s="647"/>
      <c r="V114" s="648"/>
      <c r="W114" s="37" t="s">
        <v>65</v>
      </c>
      <c r="X114" s="631">
        <f>IFERROR(SUM(X108:X112),"0")</f>
        <v>0</v>
      </c>
      <c r="Y114" s="631">
        <f>IFERROR(SUM(Y108:Y112),"0")</f>
        <v>0</v>
      </c>
      <c r="Z114" s="37"/>
      <c r="AA114" s="632"/>
      <c r="AB114" s="632"/>
      <c r="AC114" s="632"/>
    </row>
    <row r="115" spans="1:68" ht="14.25" hidden="1" customHeight="1" x14ac:dyDescent="0.25">
      <c r="A115" s="655" t="s">
        <v>72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4"/>
      <c r="AB115" s="624"/>
      <c r="AC115" s="624"/>
    </row>
    <row r="116" spans="1:68" ht="27" hidden="1" customHeight="1" x14ac:dyDescent="0.25">
      <c r="A116" s="54" t="s">
        <v>216</v>
      </c>
      <c r="B116" s="54" t="s">
        <v>217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114</v>
      </c>
      <c r="L116" s="32"/>
      <c r="M116" s="33" t="s">
        <v>82</v>
      </c>
      <c r="N116" s="33"/>
      <c r="O116" s="32">
        <v>45</v>
      </c>
      <c r="P116" s="7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65</v>
      </c>
      <c r="X116" s="629">
        <v>0</v>
      </c>
      <c r="Y116" s="630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219</v>
      </c>
      <c r="B117" s="54" t="s">
        <v>220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75</v>
      </c>
      <c r="L117" s="32"/>
      <c r="M117" s="33" t="s">
        <v>82</v>
      </c>
      <c r="N117" s="33"/>
      <c r="O117" s="32">
        <v>45</v>
      </c>
      <c r="P117" s="78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65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221</v>
      </c>
      <c r="B118" s="54" t="s">
        <v>222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75</v>
      </c>
      <c r="L118" s="32"/>
      <c r="M118" s="33" t="s">
        <v>82</v>
      </c>
      <c r="N118" s="33"/>
      <c r="O118" s="32">
        <v>45</v>
      </c>
      <c r="P118" s="7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65</v>
      </c>
      <c r="X118" s="629">
        <v>0</v>
      </c>
      <c r="Y118" s="63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223</v>
      </c>
      <c r="B119" s="54" t="s">
        <v>224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45</v>
      </c>
      <c r="P119" s="7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65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70</v>
      </c>
      <c r="Q120" s="647"/>
      <c r="R120" s="647"/>
      <c r="S120" s="647"/>
      <c r="T120" s="647"/>
      <c r="U120" s="647"/>
      <c r="V120" s="648"/>
      <c r="W120" s="37" t="s">
        <v>71</v>
      </c>
      <c r="X120" s="631">
        <f>IFERROR(X116/H116,"0")+IFERROR(X117/H117,"0")+IFERROR(X118/H118,"0")+IFERROR(X119/H119,"0")</f>
        <v>0</v>
      </c>
      <c r="Y120" s="631">
        <f>IFERROR(Y116/H116,"0")+IFERROR(Y117/H117,"0")+IFERROR(Y118/H118,"0")+IFERROR(Y119/H119,"0")</f>
        <v>0</v>
      </c>
      <c r="Z120" s="631">
        <f>IFERROR(IF(Z116="",0,Z116),"0")+IFERROR(IF(Z117="",0,Z117),"0")+IFERROR(IF(Z118="",0,Z118),"0")+IFERROR(IF(Z119="",0,Z119),"0")</f>
        <v>0</v>
      </c>
      <c r="AA120" s="632"/>
      <c r="AB120" s="632"/>
      <c r="AC120" s="632"/>
    </row>
    <row r="121" spans="1:68" hidden="1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70</v>
      </c>
      <c r="Q121" s="647"/>
      <c r="R121" s="647"/>
      <c r="S121" s="647"/>
      <c r="T121" s="647"/>
      <c r="U121" s="647"/>
      <c r="V121" s="648"/>
      <c r="W121" s="37" t="s">
        <v>65</v>
      </c>
      <c r="X121" s="631">
        <f>IFERROR(SUM(X116:X119),"0")</f>
        <v>0</v>
      </c>
      <c r="Y121" s="631">
        <f>IFERROR(SUM(Y116:Y119),"0")</f>
        <v>0</v>
      </c>
      <c r="Z121" s="37"/>
      <c r="AA121" s="632"/>
      <c r="AB121" s="632"/>
      <c r="AC121" s="632"/>
    </row>
    <row r="122" spans="1:68" ht="14.25" hidden="1" customHeight="1" x14ac:dyDescent="0.25">
      <c r="A122" s="655" t="s">
        <v>161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4"/>
      <c r="AB122" s="624"/>
      <c r="AC122" s="624"/>
    </row>
    <row r="123" spans="1:68" ht="16.5" hidden="1" customHeight="1" x14ac:dyDescent="0.25">
      <c r="A123" s="54" t="s">
        <v>226</v>
      </c>
      <c r="B123" s="54" t="s">
        <v>227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75</v>
      </c>
      <c r="L123" s="32"/>
      <c r="M123" s="33" t="s">
        <v>76</v>
      </c>
      <c r="N123" s="33"/>
      <c r="O123" s="32">
        <v>40</v>
      </c>
      <c r="P123" s="95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65</v>
      </c>
      <c r="X123" s="629">
        <v>0</v>
      </c>
      <c r="Y123" s="63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228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70</v>
      </c>
      <c r="Q124" s="647"/>
      <c r="R124" s="647"/>
      <c r="S124" s="647"/>
      <c r="T124" s="647"/>
      <c r="U124" s="647"/>
      <c r="V124" s="648"/>
      <c r="W124" s="37" t="s">
        <v>71</v>
      </c>
      <c r="X124" s="631">
        <f>IFERROR(X123/H123,"0")</f>
        <v>0</v>
      </c>
      <c r="Y124" s="631">
        <f>IFERROR(Y123/H123,"0")</f>
        <v>0</v>
      </c>
      <c r="Z124" s="631">
        <f>IFERROR(IF(Z123="",0,Z123),"0")</f>
        <v>0</v>
      </c>
      <c r="AA124" s="632"/>
      <c r="AB124" s="632"/>
      <c r="AC124" s="632"/>
    </row>
    <row r="125" spans="1:68" hidden="1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70</v>
      </c>
      <c r="Q125" s="647"/>
      <c r="R125" s="647"/>
      <c r="S125" s="647"/>
      <c r="T125" s="647"/>
      <c r="U125" s="647"/>
      <c r="V125" s="648"/>
      <c r="W125" s="37" t="s">
        <v>65</v>
      </c>
      <c r="X125" s="631">
        <f>IFERROR(SUM(X123:X123),"0")</f>
        <v>0</v>
      </c>
      <c r="Y125" s="631">
        <f>IFERROR(SUM(Y123:Y123),"0")</f>
        <v>0</v>
      </c>
      <c r="Z125" s="37"/>
      <c r="AA125" s="632"/>
      <c r="AB125" s="632"/>
      <c r="AC125" s="632"/>
    </row>
    <row r="126" spans="1:68" ht="16.5" hidden="1" customHeight="1" x14ac:dyDescent="0.25">
      <c r="A126" s="649" t="s">
        <v>229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4.25" hidden="1" customHeight="1" x14ac:dyDescent="0.25">
      <c r="A127" s="655" t="s">
        <v>111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4"/>
      <c r="AB127" s="624"/>
      <c r="AC127" s="624"/>
    </row>
    <row r="128" spans="1:68" ht="27" hidden="1" customHeight="1" x14ac:dyDescent="0.25">
      <c r="A128" s="54" t="s">
        <v>230</v>
      </c>
      <c r="B128" s="54" t="s">
        <v>231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114</v>
      </c>
      <c r="L128" s="32"/>
      <c r="M128" s="33" t="s">
        <v>232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65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233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234</v>
      </c>
      <c r="B129" s="54" t="s">
        <v>235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75</v>
      </c>
      <c r="L129" s="32"/>
      <c r="M129" s="33" t="s">
        <v>236</v>
      </c>
      <c r="N129" s="33"/>
      <c r="O129" s="32">
        <v>90</v>
      </c>
      <c r="P129" s="75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65</v>
      </c>
      <c r="X129" s="629">
        <v>0</v>
      </c>
      <c r="Y129" s="63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3" t="s">
        <v>237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234</v>
      </c>
      <c r="B130" s="54" t="s">
        <v>238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75</v>
      </c>
      <c r="L130" s="32"/>
      <c r="M130" s="33" t="s">
        <v>236</v>
      </c>
      <c r="N130" s="33"/>
      <c r="O130" s="32">
        <v>90</v>
      </c>
      <c r="P130" s="90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65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237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70</v>
      </c>
      <c r="Q131" s="647"/>
      <c r="R131" s="647"/>
      <c r="S131" s="647"/>
      <c r="T131" s="647"/>
      <c r="U131" s="647"/>
      <c r="V131" s="648"/>
      <c r="W131" s="37" t="s">
        <v>71</v>
      </c>
      <c r="X131" s="631">
        <f>IFERROR(X128/H128,"0")+IFERROR(X129/H129,"0")+IFERROR(X130/H130,"0")</f>
        <v>0</v>
      </c>
      <c r="Y131" s="631">
        <f>IFERROR(Y128/H128,"0")+IFERROR(Y129/H129,"0")+IFERROR(Y130/H130,"0")</f>
        <v>0</v>
      </c>
      <c r="Z131" s="631">
        <f>IFERROR(IF(Z128="",0,Z128),"0")+IFERROR(IF(Z129="",0,Z129),"0")+IFERROR(IF(Z130="",0,Z130),"0")</f>
        <v>0</v>
      </c>
      <c r="AA131" s="632"/>
      <c r="AB131" s="632"/>
      <c r="AC131" s="632"/>
    </row>
    <row r="132" spans="1:68" hidden="1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70</v>
      </c>
      <c r="Q132" s="647"/>
      <c r="R132" s="647"/>
      <c r="S132" s="647"/>
      <c r="T132" s="647"/>
      <c r="U132" s="647"/>
      <c r="V132" s="648"/>
      <c r="W132" s="37" t="s">
        <v>65</v>
      </c>
      <c r="X132" s="631">
        <f>IFERROR(SUM(X128:X130),"0")</f>
        <v>0</v>
      </c>
      <c r="Y132" s="631">
        <f>IFERROR(SUM(Y128:Y130),"0")</f>
        <v>0</v>
      </c>
      <c r="Z132" s="37"/>
      <c r="AA132" s="632"/>
      <c r="AB132" s="632"/>
      <c r="AC132" s="632"/>
    </row>
    <row r="133" spans="1:68" ht="14.25" hidden="1" customHeight="1" x14ac:dyDescent="0.25">
      <c r="A133" s="655" t="s">
        <v>60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4"/>
      <c r="AB133" s="624"/>
      <c r="AC133" s="624"/>
    </row>
    <row r="134" spans="1:68" ht="16.5" hidden="1" customHeight="1" x14ac:dyDescent="0.25">
      <c r="A134" s="54" t="s">
        <v>239</v>
      </c>
      <c r="B134" s="54" t="s">
        <v>240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114</v>
      </c>
      <c r="L134" s="32"/>
      <c r="M134" s="33" t="s">
        <v>232</v>
      </c>
      <c r="N134" s="33"/>
      <c r="O134" s="32">
        <v>90</v>
      </c>
      <c r="P134" s="97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65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241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242</v>
      </c>
      <c r="B135" s="54" t="s">
        <v>243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75</v>
      </c>
      <c r="L135" s="32"/>
      <c r="M135" s="33" t="s">
        <v>236</v>
      </c>
      <c r="N135" s="33"/>
      <c r="O135" s="32">
        <v>90</v>
      </c>
      <c r="P135" s="94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65</v>
      </c>
      <c r="X135" s="629">
        <v>0</v>
      </c>
      <c r="Y135" s="63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242</v>
      </c>
      <c r="B136" s="54" t="s">
        <v>245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75</v>
      </c>
      <c r="L136" s="32"/>
      <c r="M136" s="33" t="s">
        <v>236</v>
      </c>
      <c r="N136" s="33"/>
      <c r="O136" s="32">
        <v>90</v>
      </c>
      <c r="P136" s="9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65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246</v>
      </c>
      <c r="B137" s="54" t="s">
        <v>247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63</v>
      </c>
      <c r="L137" s="32"/>
      <c r="M137" s="33" t="s">
        <v>232</v>
      </c>
      <c r="N137" s="33"/>
      <c r="O137" s="32">
        <v>90</v>
      </c>
      <c r="P137" s="7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65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241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70</v>
      </c>
      <c r="Q138" s="647"/>
      <c r="R138" s="647"/>
      <c r="S138" s="647"/>
      <c r="T138" s="647"/>
      <c r="U138" s="647"/>
      <c r="V138" s="648"/>
      <c r="W138" s="37" t="s">
        <v>71</v>
      </c>
      <c r="X138" s="631">
        <f>IFERROR(X134/H134,"0")+IFERROR(X135/H135,"0")+IFERROR(X136/H136,"0")+IFERROR(X137/H137,"0")</f>
        <v>0</v>
      </c>
      <c r="Y138" s="631">
        <f>IFERROR(Y134/H134,"0")+IFERROR(Y135/H135,"0")+IFERROR(Y136/H136,"0")+IFERROR(Y137/H137,"0")</f>
        <v>0</v>
      </c>
      <c r="Z138" s="631">
        <f>IFERROR(IF(Z134="",0,Z134),"0")+IFERROR(IF(Z135="",0,Z135),"0")+IFERROR(IF(Z136="",0,Z136),"0")+IFERROR(IF(Z137="",0,Z137),"0")</f>
        <v>0</v>
      </c>
      <c r="AA138" s="632"/>
      <c r="AB138" s="632"/>
      <c r="AC138" s="632"/>
    </row>
    <row r="139" spans="1:68" hidden="1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70</v>
      </c>
      <c r="Q139" s="647"/>
      <c r="R139" s="647"/>
      <c r="S139" s="647"/>
      <c r="T139" s="647"/>
      <c r="U139" s="647"/>
      <c r="V139" s="648"/>
      <c r="W139" s="37" t="s">
        <v>65</v>
      </c>
      <c r="X139" s="631">
        <f>IFERROR(SUM(X134:X137),"0")</f>
        <v>0</v>
      </c>
      <c r="Y139" s="631">
        <f>IFERROR(SUM(Y134:Y137),"0")</f>
        <v>0</v>
      </c>
      <c r="Z139" s="37"/>
      <c r="AA139" s="632"/>
      <c r="AB139" s="632"/>
      <c r="AC139" s="632"/>
    </row>
    <row r="140" spans="1:68" ht="14.25" hidden="1" customHeight="1" x14ac:dyDescent="0.25">
      <c r="A140" s="655" t="s">
        <v>72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4"/>
      <c r="AB140" s="624"/>
      <c r="AC140" s="624"/>
    </row>
    <row r="141" spans="1:68" ht="16.5" hidden="1" customHeight="1" x14ac:dyDescent="0.25">
      <c r="A141" s="54" t="s">
        <v>248</v>
      </c>
      <c r="B141" s="54" t="s">
        <v>249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75</v>
      </c>
      <c r="L141" s="32"/>
      <c r="M141" s="33" t="s">
        <v>232</v>
      </c>
      <c r="N141" s="33"/>
      <c r="O141" s="32">
        <v>90</v>
      </c>
      <c r="P141" s="85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65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250</v>
      </c>
      <c r="B142" s="54" t="s">
        <v>251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75</v>
      </c>
      <c r="L142" s="32"/>
      <c r="M142" s="33" t="s">
        <v>236</v>
      </c>
      <c r="N142" s="33"/>
      <c r="O142" s="32">
        <v>60</v>
      </c>
      <c r="P142" s="7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65</v>
      </c>
      <c r="X142" s="629">
        <v>0</v>
      </c>
      <c r="Y142" s="63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237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250</v>
      </c>
      <c r="B143" s="54" t="s">
        <v>252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75</v>
      </c>
      <c r="L143" s="32"/>
      <c r="M143" s="33" t="s">
        <v>236</v>
      </c>
      <c r="N143" s="33"/>
      <c r="O143" s="32">
        <v>60</v>
      </c>
      <c r="P143" s="85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65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237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70</v>
      </c>
      <c r="Q144" s="647"/>
      <c r="R144" s="647"/>
      <c r="S144" s="647"/>
      <c r="T144" s="647"/>
      <c r="U144" s="647"/>
      <c r="V144" s="648"/>
      <c r="W144" s="37" t="s">
        <v>71</v>
      </c>
      <c r="X144" s="631">
        <f>IFERROR(X141/H141,"0")+IFERROR(X142/H142,"0")+IFERROR(X143/H143,"0")</f>
        <v>0</v>
      </c>
      <c r="Y144" s="631">
        <f>IFERROR(Y141/H141,"0")+IFERROR(Y142/H142,"0")+IFERROR(Y143/H143,"0")</f>
        <v>0</v>
      </c>
      <c r="Z144" s="631">
        <f>IFERROR(IF(Z141="",0,Z141),"0")+IFERROR(IF(Z142="",0,Z142),"0")+IFERROR(IF(Z143="",0,Z143),"0")</f>
        <v>0</v>
      </c>
      <c r="AA144" s="632"/>
      <c r="AB144" s="632"/>
      <c r="AC144" s="632"/>
    </row>
    <row r="145" spans="1:68" hidden="1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70</v>
      </c>
      <c r="Q145" s="647"/>
      <c r="R145" s="647"/>
      <c r="S145" s="647"/>
      <c r="T145" s="647"/>
      <c r="U145" s="647"/>
      <c r="V145" s="648"/>
      <c r="W145" s="37" t="s">
        <v>65</v>
      </c>
      <c r="X145" s="631">
        <f>IFERROR(SUM(X141:X143),"0")</f>
        <v>0</v>
      </c>
      <c r="Y145" s="631">
        <f>IFERROR(SUM(Y141:Y143),"0")</f>
        <v>0</v>
      </c>
      <c r="Z145" s="37"/>
      <c r="AA145" s="632"/>
      <c r="AB145" s="632"/>
      <c r="AC145" s="632"/>
    </row>
    <row r="146" spans="1:68" ht="16.5" hidden="1" customHeight="1" x14ac:dyDescent="0.25">
      <c r="A146" s="649" t="s">
        <v>253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3"/>
      <c r="AB146" s="623"/>
      <c r="AC146" s="623"/>
    </row>
    <row r="147" spans="1:68" ht="14.25" hidden="1" customHeight="1" x14ac:dyDescent="0.25">
      <c r="A147" s="655" t="s">
        <v>72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4"/>
      <c r="AB147" s="624"/>
      <c r="AC147" s="624"/>
    </row>
    <row r="148" spans="1:68" ht="27" hidden="1" customHeight="1" x14ac:dyDescent="0.25">
      <c r="A148" s="54" t="s">
        <v>254</v>
      </c>
      <c r="B148" s="54" t="s">
        <v>255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75</v>
      </c>
      <c r="L148" s="32"/>
      <c r="M148" s="33" t="s">
        <v>82</v>
      </c>
      <c r="N148" s="33"/>
      <c r="O148" s="32">
        <v>40</v>
      </c>
      <c r="P148" s="73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65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75</v>
      </c>
      <c r="L149" s="32"/>
      <c r="M149" s="33" t="s">
        <v>82</v>
      </c>
      <c r="N149" s="33"/>
      <c r="O149" s="32">
        <v>40</v>
      </c>
      <c r="P149" s="9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65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257</v>
      </c>
      <c r="B150" s="54" t="s">
        <v>260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75</v>
      </c>
      <c r="L150" s="32"/>
      <c r="M150" s="33" t="s">
        <v>82</v>
      </c>
      <c r="N150" s="33"/>
      <c r="O150" s="32">
        <v>40</v>
      </c>
      <c r="P150" s="6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65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75</v>
      </c>
      <c r="L151" s="32"/>
      <c r="M151" s="33" t="s">
        <v>82</v>
      </c>
      <c r="N151" s="33"/>
      <c r="O151" s="32">
        <v>40</v>
      </c>
      <c r="P151" s="9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65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263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261</v>
      </c>
      <c r="B152" s="54" t="s">
        <v>264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75</v>
      </c>
      <c r="L152" s="32"/>
      <c r="M152" s="33" t="s">
        <v>82</v>
      </c>
      <c r="N152" s="33"/>
      <c r="O152" s="32">
        <v>40</v>
      </c>
      <c r="P152" s="6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65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263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75</v>
      </c>
      <c r="L153" s="32"/>
      <c r="M153" s="33" t="s">
        <v>82</v>
      </c>
      <c r="N153" s="33"/>
      <c r="O153" s="32">
        <v>40</v>
      </c>
      <c r="P153" s="81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65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267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265</v>
      </c>
      <c r="B154" s="54" t="s">
        <v>268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75</v>
      </c>
      <c r="L154" s="32"/>
      <c r="M154" s="33" t="s">
        <v>82</v>
      </c>
      <c r="N154" s="33"/>
      <c r="O154" s="32">
        <v>40</v>
      </c>
      <c r="P154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65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267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70</v>
      </c>
      <c r="Q155" s="647"/>
      <c r="R155" s="647"/>
      <c r="S155" s="647"/>
      <c r="T155" s="647"/>
      <c r="U155" s="647"/>
      <c r="V155" s="648"/>
      <c r="W155" s="37" t="s">
        <v>71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70</v>
      </c>
      <c r="Q156" s="647"/>
      <c r="R156" s="647"/>
      <c r="S156" s="647"/>
      <c r="T156" s="647"/>
      <c r="U156" s="647"/>
      <c r="V156" s="648"/>
      <c r="W156" s="37" t="s">
        <v>65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5" t="s">
        <v>269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4"/>
      <c r="AB157" s="624"/>
      <c r="AC157" s="624"/>
    </row>
    <row r="158" spans="1:68" ht="27" hidden="1" customHeight="1" x14ac:dyDescent="0.25">
      <c r="A158" s="54" t="s">
        <v>270</v>
      </c>
      <c r="B158" s="54" t="s">
        <v>271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272</v>
      </c>
      <c r="L158" s="32"/>
      <c r="M158" s="33" t="s">
        <v>273</v>
      </c>
      <c r="N158" s="33"/>
      <c r="O158" s="32">
        <v>120</v>
      </c>
      <c r="P158" s="71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65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274</v>
      </c>
      <c r="AG158" s="64"/>
      <c r="AJ158" s="68"/>
      <c r="AK158" s="68">
        <v>0</v>
      </c>
      <c r="BB158" s="216" t="s">
        <v>275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70</v>
      </c>
      <c r="Q159" s="647"/>
      <c r="R159" s="647"/>
      <c r="S159" s="647"/>
      <c r="T159" s="647"/>
      <c r="U159" s="647"/>
      <c r="V159" s="648"/>
      <c r="W159" s="37" t="s">
        <v>71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70</v>
      </c>
      <c r="Q160" s="647"/>
      <c r="R160" s="647"/>
      <c r="S160" s="647"/>
      <c r="T160" s="647"/>
      <c r="U160" s="647"/>
      <c r="V160" s="648"/>
      <c r="W160" s="37" t="s">
        <v>65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49" t="s">
        <v>109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3"/>
      <c r="AB161" s="623"/>
      <c r="AC161" s="623"/>
    </row>
    <row r="162" spans="1:68" ht="14.25" hidden="1" customHeight="1" x14ac:dyDescent="0.25">
      <c r="A162" s="655" t="s">
        <v>111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4"/>
      <c r="AB162" s="624"/>
      <c r="AC162" s="624"/>
    </row>
    <row r="163" spans="1:68" ht="27" hidden="1" customHeight="1" x14ac:dyDescent="0.25">
      <c r="A163" s="54" t="s">
        <v>276</v>
      </c>
      <c r="B163" s="54" t="s">
        <v>277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114</v>
      </c>
      <c r="L163" s="32"/>
      <c r="M163" s="33" t="s">
        <v>115</v>
      </c>
      <c r="N163" s="33"/>
      <c r="O163" s="32">
        <v>55</v>
      </c>
      <c r="P163" s="82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65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278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279</v>
      </c>
      <c r="B164" s="54" t="s">
        <v>280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123</v>
      </c>
      <c r="L164" s="32"/>
      <c r="M164" s="33" t="s">
        <v>115</v>
      </c>
      <c r="N164" s="33"/>
      <c r="O164" s="32">
        <v>50</v>
      </c>
      <c r="P164" s="9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65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282</v>
      </c>
      <c r="B165" s="54" t="s">
        <v>283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75</v>
      </c>
      <c r="L165" s="32"/>
      <c r="M165" s="33" t="s">
        <v>76</v>
      </c>
      <c r="N165" s="33"/>
      <c r="O165" s="32">
        <v>55</v>
      </c>
      <c r="P165" s="6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65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idden="1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70</v>
      </c>
      <c r="Q166" s="647"/>
      <c r="R166" s="647"/>
      <c r="S166" s="647"/>
      <c r="T166" s="647"/>
      <c r="U166" s="647"/>
      <c r="V166" s="648"/>
      <c r="W166" s="37" t="s">
        <v>71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hidden="1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70</v>
      </c>
      <c r="Q167" s="647"/>
      <c r="R167" s="647"/>
      <c r="S167" s="647"/>
      <c r="T167" s="647"/>
      <c r="U167" s="647"/>
      <c r="V167" s="648"/>
      <c r="W167" s="37" t="s">
        <v>65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hidden="1" customHeight="1" x14ac:dyDescent="0.25">
      <c r="A168" s="655" t="s">
        <v>144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4"/>
      <c r="AB168" s="624"/>
      <c r="AC168" s="624"/>
    </row>
    <row r="169" spans="1:68" ht="16.5" hidden="1" customHeight="1" x14ac:dyDescent="0.25">
      <c r="A169" s="54" t="s">
        <v>285</v>
      </c>
      <c r="B169" s="54" t="s">
        <v>286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63</v>
      </c>
      <c r="L169" s="32"/>
      <c r="M169" s="33" t="s">
        <v>64</v>
      </c>
      <c r="N169" s="33"/>
      <c r="O169" s="32">
        <v>30</v>
      </c>
      <c r="P169" s="7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65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287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288</v>
      </c>
      <c r="B170" s="54" t="s">
        <v>289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63</v>
      </c>
      <c r="L170" s="32"/>
      <c r="M170" s="33" t="s">
        <v>115</v>
      </c>
      <c r="N170" s="33"/>
      <c r="O170" s="32">
        <v>55</v>
      </c>
      <c r="P170" s="68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65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70</v>
      </c>
      <c r="Q171" s="647"/>
      <c r="R171" s="647"/>
      <c r="S171" s="647"/>
      <c r="T171" s="647"/>
      <c r="U171" s="647"/>
      <c r="V171" s="648"/>
      <c r="W171" s="37" t="s">
        <v>71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70</v>
      </c>
      <c r="Q172" s="647"/>
      <c r="R172" s="647"/>
      <c r="S172" s="647"/>
      <c r="T172" s="647"/>
      <c r="U172" s="647"/>
      <c r="V172" s="648"/>
      <c r="W172" s="37" t="s">
        <v>65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5" t="s">
        <v>60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4"/>
      <c r="AB173" s="624"/>
      <c r="AC173" s="624"/>
    </row>
    <row r="174" spans="1:68" ht="27" hidden="1" customHeight="1" x14ac:dyDescent="0.25">
      <c r="A174" s="54" t="s">
        <v>291</v>
      </c>
      <c r="B174" s="54" t="s">
        <v>292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123</v>
      </c>
      <c r="L174" s="32"/>
      <c r="M174" s="33" t="s">
        <v>64</v>
      </c>
      <c r="N174" s="33"/>
      <c r="O174" s="32">
        <v>40</v>
      </c>
      <c r="P174" s="9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65</v>
      </c>
      <c r="X174" s="629">
        <v>0</v>
      </c>
      <c r="Y174" s="630">
        <f t="shared" ref="Y174:Y184" si="22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7" t="s">
        <v>293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0</v>
      </c>
      <c r="BN174" s="64">
        <f t="shared" ref="BN174:BN184" si="24">IFERROR(Y174*I174/H174,"0")</f>
        <v>0</v>
      </c>
      <c r="BO174" s="64">
        <f t="shared" ref="BO174:BO184" si="25">IFERROR(1/J174*(X174/H174),"0")</f>
        <v>0</v>
      </c>
      <c r="BP174" s="64">
        <f t="shared" ref="BP174:BP184" si="26">IFERROR(1/J174*(Y174/H174),"0")</f>
        <v>0</v>
      </c>
    </row>
    <row r="175" spans="1:68" ht="27" hidden="1" customHeight="1" x14ac:dyDescent="0.25">
      <c r="A175" s="54" t="s">
        <v>294</v>
      </c>
      <c r="B175" s="54" t="s">
        <v>295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123</v>
      </c>
      <c r="L175" s="32"/>
      <c r="M175" s="33" t="s">
        <v>64</v>
      </c>
      <c r="N175" s="33"/>
      <c r="O175" s="32">
        <v>45</v>
      </c>
      <c r="P175" s="89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65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123</v>
      </c>
      <c r="L176" s="32"/>
      <c r="M176" s="33" t="s">
        <v>64</v>
      </c>
      <c r="N176" s="33"/>
      <c r="O176" s="32">
        <v>40</v>
      </c>
      <c r="P176" s="92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65</v>
      </c>
      <c r="X176" s="629">
        <v>0</v>
      </c>
      <c r="Y176" s="630">
        <f t="shared" si="22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3"/>
        <v>0</v>
      </c>
      <c r="BN176" s="64">
        <f t="shared" si="24"/>
        <v>0</v>
      </c>
      <c r="BO176" s="64">
        <f t="shared" si="25"/>
        <v>0</v>
      </c>
      <c r="BP176" s="64">
        <f t="shared" si="26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123</v>
      </c>
      <c r="L177" s="32"/>
      <c r="M177" s="33" t="s">
        <v>64</v>
      </c>
      <c r="N177" s="33"/>
      <c r="O177" s="32">
        <v>40</v>
      </c>
      <c r="P177" s="89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65</v>
      </c>
      <c r="X177" s="629">
        <v>0</v>
      </c>
      <c r="Y177" s="630">
        <f t="shared" si="22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3"/>
        <v>0</v>
      </c>
      <c r="BN177" s="64">
        <f t="shared" si="24"/>
        <v>0</v>
      </c>
      <c r="BO177" s="64">
        <f t="shared" si="25"/>
        <v>0</v>
      </c>
      <c r="BP177" s="64">
        <f t="shared" si="26"/>
        <v>0</v>
      </c>
    </row>
    <row r="178" spans="1:68" ht="16.5" hidden="1" customHeight="1" x14ac:dyDescent="0.25">
      <c r="A178" s="54" t="s">
        <v>303</v>
      </c>
      <c r="B178" s="54" t="s">
        <v>304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119</v>
      </c>
      <c r="L178" s="32"/>
      <c r="M178" s="33" t="s">
        <v>64</v>
      </c>
      <c r="N178" s="33"/>
      <c r="O178" s="32">
        <v>45</v>
      </c>
      <c r="P178" s="9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65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63</v>
      </c>
      <c r="L179" s="32"/>
      <c r="M179" s="33" t="s">
        <v>64</v>
      </c>
      <c r="N179" s="33"/>
      <c r="O179" s="32">
        <v>40</v>
      </c>
      <c r="P179" s="80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65</v>
      </c>
      <c r="X179" s="629">
        <v>0</v>
      </c>
      <c r="Y179" s="630">
        <f t="shared" si="22"/>
        <v>0</v>
      </c>
      <c r="Z179" s="36" t="str">
        <f>IFERROR(IF(Y179=0,"",ROUNDUP(Y179/H179,0)*0.00502),"")</f>
        <v/>
      </c>
      <c r="AA179" s="56"/>
      <c r="AB179" s="57"/>
      <c r="AC179" s="237" t="s">
        <v>293</v>
      </c>
      <c r="AG179" s="64"/>
      <c r="AJ179" s="68"/>
      <c r="AK179" s="68">
        <v>0</v>
      </c>
      <c r="BB179" s="238" t="s">
        <v>1</v>
      </c>
      <c r="BM179" s="64">
        <f t="shared" si="23"/>
        <v>0</v>
      </c>
      <c r="BN179" s="64">
        <f t="shared" si="24"/>
        <v>0</v>
      </c>
      <c r="BO179" s="64">
        <f t="shared" si="25"/>
        <v>0</v>
      </c>
      <c r="BP179" s="64">
        <f t="shared" si="26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119</v>
      </c>
      <c r="L180" s="32"/>
      <c r="M180" s="33" t="s">
        <v>64</v>
      </c>
      <c r="N180" s="33"/>
      <c r="O180" s="32">
        <v>45</v>
      </c>
      <c r="P180" s="7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65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310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hidden="1" customHeight="1" x14ac:dyDescent="0.25">
      <c r="A181" s="54" t="s">
        <v>308</v>
      </c>
      <c r="B181" s="54" t="s">
        <v>311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119</v>
      </c>
      <c r="L181" s="32"/>
      <c r="M181" s="33" t="s">
        <v>64</v>
      </c>
      <c r="N181" s="33"/>
      <c r="O181" s="32">
        <v>45</v>
      </c>
      <c r="P181" s="96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65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310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63</v>
      </c>
      <c r="L182" s="32"/>
      <c r="M182" s="33" t="s">
        <v>64</v>
      </c>
      <c r="N182" s="33"/>
      <c r="O182" s="32">
        <v>40</v>
      </c>
      <c r="P182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65</v>
      </c>
      <c r="X182" s="629">
        <v>0</v>
      </c>
      <c r="Y182" s="630">
        <f t="shared" si="22"/>
        <v>0</v>
      </c>
      <c r="Z182" s="36" t="str">
        <f>IFERROR(IF(Y182=0,"",ROUNDUP(Y182/H182,0)*0.00502),"")</f>
        <v/>
      </c>
      <c r="AA182" s="56"/>
      <c r="AB182" s="57"/>
      <c r="AC182" s="243" t="s">
        <v>299</v>
      </c>
      <c r="AG182" s="64"/>
      <c r="AJ182" s="68"/>
      <c r="AK182" s="68">
        <v>0</v>
      </c>
      <c r="BB182" s="244" t="s">
        <v>1</v>
      </c>
      <c r="BM182" s="64">
        <f t="shared" si="23"/>
        <v>0</v>
      </c>
      <c r="BN182" s="64">
        <f t="shared" si="24"/>
        <v>0</v>
      </c>
      <c r="BO182" s="64">
        <f t="shared" si="25"/>
        <v>0</v>
      </c>
      <c r="BP182" s="64">
        <f t="shared" si="26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119</v>
      </c>
      <c r="L183" s="32"/>
      <c r="M183" s="33" t="s">
        <v>64</v>
      </c>
      <c r="N183" s="33"/>
      <c r="O183" s="32">
        <v>45</v>
      </c>
      <c r="P183" s="93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65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316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63</v>
      </c>
      <c r="L184" s="32"/>
      <c r="M184" s="33" t="s">
        <v>64</v>
      </c>
      <c r="N184" s="33"/>
      <c r="O184" s="32">
        <v>45</v>
      </c>
      <c r="P184" s="72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65</v>
      </c>
      <c r="X184" s="629">
        <v>0</v>
      </c>
      <c r="Y184" s="630">
        <f t="shared" si="22"/>
        <v>0</v>
      </c>
      <c r="Z184" s="36" t="str">
        <f>IFERROR(IF(Y184=0,"",ROUNDUP(Y184/H184,0)*0.00502),"")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23"/>
        <v>0</v>
      </c>
      <c r="BN184" s="64">
        <f t="shared" si="24"/>
        <v>0</v>
      </c>
      <c r="BO184" s="64">
        <f t="shared" si="25"/>
        <v>0</v>
      </c>
      <c r="BP184" s="64">
        <f t="shared" si="26"/>
        <v>0</v>
      </c>
    </row>
    <row r="185" spans="1:68" hidden="1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70</v>
      </c>
      <c r="Q185" s="647"/>
      <c r="R185" s="647"/>
      <c r="S185" s="647"/>
      <c r="T185" s="647"/>
      <c r="U185" s="647"/>
      <c r="V185" s="648"/>
      <c r="W185" s="37" t="s">
        <v>71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32"/>
      <c r="AB185" s="632"/>
      <c r="AC185" s="632"/>
    </row>
    <row r="186" spans="1:68" hidden="1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70</v>
      </c>
      <c r="Q186" s="647"/>
      <c r="R186" s="647"/>
      <c r="S186" s="647"/>
      <c r="T186" s="647"/>
      <c r="U186" s="647"/>
      <c r="V186" s="648"/>
      <c r="W186" s="37" t="s">
        <v>65</v>
      </c>
      <c r="X186" s="631">
        <f>IFERROR(SUM(X174:X184),"0")</f>
        <v>0</v>
      </c>
      <c r="Y186" s="631">
        <f>IFERROR(SUM(Y174:Y184),"0")</f>
        <v>0</v>
      </c>
      <c r="Z186" s="37"/>
      <c r="AA186" s="632"/>
      <c r="AB186" s="632"/>
      <c r="AC186" s="632"/>
    </row>
    <row r="187" spans="1:68" ht="14.25" hidden="1" customHeight="1" x14ac:dyDescent="0.25">
      <c r="A187" s="655" t="s">
        <v>72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4"/>
      <c r="AB187" s="624"/>
      <c r="AC187" s="624"/>
    </row>
    <row r="188" spans="1:68" ht="16.5" hidden="1" customHeight="1" x14ac:dyDescent="0.25">
      <c r="A188" s="54" t="s">
        <v>320</v>
      </c>
      <c r="B188" s="54" t="s">
        <v>321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75</v>
      </c>
      <c r="L188" s="32"/>
      <c r="M188" s="33" t="s">
        <v>82</v>
      </c>
      <c r="N188" s="33"/>
      <c r="O188" s="32">
        <v>40</v>
      </c>
      <c r="P188" s="8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65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322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323</v>
      </c>
      <c r="B189" s="54" t="s">
        <v>324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75</v>
      </c>
      <c r="L189" s="32"/>
      <c r="M189" s="33" t="s">
        <v>82</v>
      </c>
      <c r="N189" s="33"/>
      <c r="O189" s="32">
        <v>40</v>
      </c>
      <c r="P189" s="7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65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325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326</v>
      </c>
      <c r="B190" s="54" t="s">
        <v>327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75</v>
      </c>
      <c r="L190" s="32"/>
      <c r="M190" s="33" t="s">
        <v>76</v>
      </c>
      <c r="N190" s="33"/>
      <c r="O190" s="32">
        <v>45</v>
      </c>
      <c r="P190" s="9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65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328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70</v>
      </c>
      <c r="Q191" s="647"/>
      <c r="R191" s="647"/>
      <c r="S191" s="647"/>
      <c r="T191" s="647"/>
      <c r="U191" s="647"/>
      <c r="V191" s="648"/>
      <c r="W191" s="37" t="s">
        <v>71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hidden="1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70</v>
      </c>
      <c r="Q192" s="647"/>
      <c r="R192" s="647"/>
      <c r="S192" s="647"/>
      <c r="T192" s="647"/>
      <c r="U192" s="647"/>
      <c r="V192" s="648"/>
      <c r="W192" s="37" t="s">
        <v>65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hidden="1" customHeight="1" x14ac:dyDescent="0.25">
      <c r="A193" s="655" t="s">
        <v>269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4"/>
      <c r="AB193" s="624"/>
      <c r="AC193" s="624"/>
    </row>
    <row r="194" spans="1:68" ht="16.5" hidden="1" customHeight="1" x14ac:dyDescent="0.25">
      <c r="A194" s="54" t="s">
        <v>329</v>
      </c>
      <c r="B194" s="54" t="s">
        <v>330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331</v>
      </c>
      <c r="L194" s="32"/>
      <c r="M194" s="33" t="s">
        <v>273</v>
      </c>
      <c r="N194" s="33"/>
      <c r="O194" s="32">
        <v>60</v>
      </c>
      <c r="P194" s="7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65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332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70</v>
      </c>
      <c r="Q195" s="647"/>
      <c r="R195" s="647"/>
      <c r="S195" s="647"/>
      <c r="T195" s="647"/>
      <c r="U195" s="647"/>
      <c r="V195" s="648"/>
      <c r="W195" s="37" t="s">
        <v>71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70</v>
      </c>
      <c r="Q196" s="647"/>
      <c r="R196" s="647"/>
      <c r="S196" s="647"/>
      <c r="T196" s="647"/>
      <c r="U196" s="647"/>
      <c r="V196" s="648"/>
      <c r="W196" s="37" t="s">
        <v>65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5" t="s">
        <v>333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4"/>
      <c r="AB197" s="624"/>
      <c r="AC197" s="624"/>
    </row>
    <row r="198" spans="1:68" ht="27" hidden="1" customHeight="1" x14ac:dyDescent="0.25">
      <c r="A198" s="54" t="s">
        <v>334</v>
      </c>
      <c r="B198" s="54" t="s">
        <v>335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331</v>
      </c>
      <c r="L198" s="32"/>
      <c r="M198" s="33" t="s">
        <v>273</v>
      </c>
      <c r="N198" s="33"/>
      <c r="O198" s="32">
        <v>60</v>
      </c>
      <c r="P198" s="93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65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336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70</v>
      </c>
      <c r="Q199" s="647"/>
      <c r="R199" s="647"/>
      <c r="S199" s="647"/>
      <c r="T199" s="647"/>
      <c r="U199" s="647"/>
      <c r="V199" s="648"/>
      <c r="W199" s="37" t="s">
        <v>71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70</v>
      </c>
      <c r="Q200" s="647"/>
      <c r="R200" s="647"/>
      <c r="S200" s="647"/>
      <c r="T200" s="647"/>
      <c r="U200" s="647"/>
      <c r="V200" s="648"/>
      <c r="W200" s="37" t="s">
        <v>65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51" t="s">
        <v>337</v>
      </c>
      <c r="B201" s="652"/>
      <c r="C201" s="652"/>
      <c r="D201" s="652"/>
      <c r="E201" s="652"/>
      <c r="F201" s="652"/>
      <c r="G201" s="652"/>
      <c r="H201" s="652"/>
      <c r="I201" s="652"/>
      <c r="J201" s="652"/>
      <c r="K201" s="652"/>
      <c r="L201" s="652"/>
      <c r="M201" s="652"/>
      <c r="N201" s="652"/>
      <c r="O201" s="652"/>
      <c r="P201" s="652"/>
      <c r="Q201" s="652"/>
      <c r="R201" s="652"/>
      <c r="S201" s="652"/>
      <c r="T201" s="652"/>
      <c r="U201" s="652"/>
      <c r="V201" s="652"/>
      <c r="W201" s="652"/>
      <c r="X201" s="652"/>
      <c r="Y201" s="652"/>
      <c r="Z201" s="652"/>
      <c r="AA201" s="48"/>
      <c r="AB201" s="48"/>
      <c r="AC201" s="48"/>
    </row>
    <row r="202" spans="1:68" ht="16.5" hidden="1" customHeight="1" x14ac:dyDescent="0.25">
      <c r="A202" s="649" t="s">
        <v>338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3"/>
      <c r="AB202" s="623"/>
      <c r="AC202" s="623"/>
    </row>
    <row r="203" spans="1:68" ht="14.25" hidden="1" customHeight="1" x14ac:dyDescent="0.25">
      <c r="A203" s="655" t="s">
        <v>111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4"/>
      <c r="AB203" s="624"/>
      <c r="AC203" s="624"/>
    </row>
    <row r="204" spans="1:68" ht="27" hidden="1" customHeight="1" x14ac:dyDescent="0.25">
      <c r="A204" s="54" t="s">
        <v>339</v>
      </c>
      <c r="B204" s="54" t="s">
        <v>340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114</v>
      </c>
      <c r="L204" s="32"/>
      <c r="M204" s="33" t="s">
        <v>76</v>
      </c>
      <c r="N204" s="33"/>
      <c r="O204" s="32">
        <v>35</v>
      </c>
      <c r="P204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65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116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114</v>
      </c>
      <c r="L205" s="32"/>
      <c r="M205" s="33" t="s">
        <v>76</v>
      </c>
      <c r="N205" s="33"/>
      <c r="O205" s="32">
        <v>35</v>
      </c>
      <c r="P205" s="7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65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343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114</v>
      </c>
      <c r="L206" s="32"/>
      <c r="M206" s="33" t="s">
        <v>76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65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346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114</v>
      </c>
      <c r="L207" s="32"/>
      <c r="M207" s="33" t="s">
        <v>76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65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349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350</v>
      </c>
      <c r="B208" s="54" t="s">
        <v>351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114</v>
      </c>
      <c r="L208" s="32"/>
      <c r="M208" s="33" t="s">
        <v>76</v>
      </c>
      <c r="N208" s="33"/>
      <c r="O208" s="32">
        <v>35</v>
      </c>
      <c r="P208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65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352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353</v>
      </c>
      <c r="B209" s="54" t="s">
        <v>354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114</v>
      </c>
      <c r="L209" s="32"/>
      <c r="M209" s="33" t="s">
        <v>76</v>
      </c>
      <c r="N209" s="33"/>
      <c r="O209" s="32">
        <v>35</v>
      </c>
      <c r="P209" s="6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65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355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356</v>
      </c>
      <c r="B210" s="54" t="s">
        <v>357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114</v>
      </c>
      <c r="L210" s="32"/>
      <c r="M210" s="33" t="s">
        <v>76</v>
      </c>
      <c r="N210" s="33"/>
      <c r="O210" s="32">
        <v>35</v>
      </c>
      <c r="P210" s="80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65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358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70</v>
      </c>
      <c r="Q211" s="647"/>
      <c r="R211" s="647"/>
      <c r="S211" s="647"/>
      <c r="T211" s="647"/>
      <c r="U211" s="647"/>
      <c r="V211" s="648"/>
      <c r="W211" s="37" t="s">
        <v>71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70</v>
      </c>
      <c r="Q212" s="647"/>
      <c r="R212" s="647"/>
      <c r="S212" s="647"/>
      <c r="T212" s="647"/>
      <c r="U212" s="647"/>
      <c r="V212" s="648"/>
      <c r="W212" s="37" t="s">
        <v>65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49" t="s">
        <v>359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3"/>
      <c r="AB213" s="623"/>
      <c r="AC213" s="623"/>
    </row>
    <row r="214" spans="1:68" ht="14.25" hidden="1" customHeight="1" x14ac:dyDescent="0.25">
      <c r="A214" s="655" t="s">
        <v>144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4"/>
      <c r="AB214" s="624"/>
      <c r="AC214" s="624"/>
    </row>
    <row r="215" spans="1:68" ht="27" hidden="1" customHeight="1" x14ac:dyDescent="0.25">
      <c r="A215" s="54" t="s">
        <v>360</v>
      </c>
      <c r="B215" s="54" t="s">
        <v>361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63</v>
      </c>
      <c r="L215" s="32"/>
      <c r="M215" s="33" t="s">
        <v>64</v>
      </c>
      <c r="N215" s="33"/>
      <c r="O215" s="32">
        <v>40</v>
      </c>
      <c r="P215" s="67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65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362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70</v>
      </c>
      <c r="Q216" s="647"/>
      <c r="R216" s="647"/>
      <c r="S216" s="647"/>
      <c r="T216" s="647"/>
      <c r="U216" s="647"/>
      <c r="V216" s="648"/>
      <c r="W216" s="37" t="s">
        <v>71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70</v>
      </c>
      <c r="Q217" s="647"/>
      <c r="R217" s="647"/>
      <c r="S217" s="647"/>
      <c r="T217" s="647"/>
      <c r="U217" s="647"/>
      <c r="V217" s="648"/>
      <c r="W217" s="37" t="s">
        <v>65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5" t="s">
        <v>60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4"/>
      <c r="AB218" s="624"/>
      <c r="AC218" s="624"/>
    </row>
    <row r="219" spans="1:68" ht="27" hidden="1" customHeight="1" x14ac:dyDescent="0.25">
      <c r="A219" s="54" t="s">
        <v>363</v>
      </c>
      <c r="B219" s="54" t="s">
        <v>364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123</v>
      </c>
      <c r="L219" s="32"/>
      <c r="M219" s="33" t="s">
        <v>64</v>
      </c>
      <c r="N219" s="33"/>
      <c r="O219" s="32">
        <v>40</v>
      </c>
      <c r="P219" s="8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65</v>
      </c>
      <c r="X219" s="629">
        <v>0</v>
      </c>
      <c r="Y219" s="630">
        <f t="shared" ref="Y219:Y232" si="33">IFERROR(IF(X219="",0,CEILING((X219/$H219),1)*$H219),"")</f>
        <v>0</v>
      </c>
      <c r="Z219" s="36" t="str">
        <f>IFERROR(IF(Y219=0,"",ROUNDUP(Y219/H219,0)*0.00902),"")</f>
        <v/>
      </c>
      <c r="AA219" s="56"/>
      <c r="AB219" s="57"/>
      <c r="AC219" s="275" t="s">
        <v>365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0</v>
      </c>
      <c r="BN219" s="64">
        <f t="shared" ref="BN219:BN232" si="35">IFERROR(Y219*I219/H219,"0")</f>
        <v>0</v>
      </c>
      <c r="BO219" s="64">
        <f t="shared" ref="BO219:BO232" si="36">IFERROR(1/J219*(X219/H219),"0")</f>
        <v>0</v>
      </c>
      <c r="BP219" s="64">
        <f t="shared" ref="BP219:BP232" si="37">IFERROR(1/J219*(Y219/H219),"0")</f>
        <v>0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123</v>
      </c>
      <c r="L220" s="32"/>
      <c r="M220" s="33" t="s">
        <v>64</v>
      </c>
      <c r="N220" s="33"/>
      <c r="O220" s="32">
        <v>40</v>
      </c>
      <c r="P220" s="66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65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368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123</v>
      </c>
      <c r="L221" s="32"/>
      <c r="M221" s="33" t="s">
        <v>64</v>
      </c>
      <c r="N221" s="33"/>
      <c r="O221" s="32">
        <v>40</v>
      </c>
      <c r="P221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65</v>
      </c>
      <c r="X221" s="629">
        <v>0</v>
      </c>
      <c r="Y221" s="630">
        <f t="shared" si="33"/>
        <v>0</v>
      </c>
      <c r="Z221" s="36" t="str">
        <f>IFERROR(IF(Y221=0,"",ROUNDUP(Y221/H221,0)*0.00902),"")</f>
        <v/>
      </c>
      <c r="AA221" s="56"/>
      <c r="AB221" s="57"/>
      <c r="AC221" s="279" t="s">
        <v>371</v>
      </c>
      <c r="AG221" s="64"/>
      <c r="AJ221" s="68"/>
      <c r="AK221" s="68">
        <v>0</v>
      </c>
      <c r="BB221" s="280" t="s">
        <v>1</v>
      </c>
      <c r="BM221" s="64">
        <f t="shared" si="34"/>
        <v>0</v>
      </c>
      <c r="BN221" s="64">
        <f t="shared" si="35"/>
        <v>0</v>
      </c>
      <c r="BO221" s="64">
        <f t="shared" si="36"/>
        <v>0</v>
      </c>
      <c r="BP221" s="64">
        <f t="shared" si="37"/>
        <v>0</v>
      </c>
    </row>
    <row r="222" spans="1:68" ht="37.5" hidden="1" customHeight="1" x14ac:dyDescent="0.25">
      <c r="A222" s="54" t="s">
        <v>372</v>
      </c>
      <c r="B222" s="54" t="s">
        <v>373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63</v>
      </c>
      <c r="L222" s="32"/>
      <c r="M222" s="33" t="s">
        <v>64</v>
      </c>
      <c r="N222" s="33"/>
      <c r="O222" s="32">
        <v>45</v>
      </c>
      <c r="P222" s="8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65</v>
      </c>
      <c r="X222" s="629">
        <v>0</v>
      </c>
      <c r="Y222" s="630">
        <f t="shared" si="33"/>
        <v>0</v>
      </c>
      <c r="Z222" s="36" t="str">
        <f>IFERROR(IF(Y222=0,"",ROUNDUP(Y222/H222,0)*0.00556),"")</f>
        <v/>
      </c>
      <c r="AA222" s="56"/>
      <c r="AB222" s="57"/>
      <c r="AC222" s="281" t="s">
        <v>374</v>
      </c>
      <c r="AG222" s="64"/>
      <c r="AJ222" s="68"/>
      <c r="AK222" s="68">
        <v>0</v>
      </c>
      <c r="BB222" s="282" t="s">
        <v>1</v>
      </c>
      <c r="BM222" s="64">
        <f t="shared" si="34"/>
        <v>0</v>
      </c>
      <c r="BN222" s="64">
        <f t="shared" si="35"/>
        <v>0</v>
      </c>
      <c r="BO222" s="64">
        <f t="shared" si="36"/>
        <v>0</v>
      </c>
      <c r="BP222" s="64">
        <f t="shared" si="37"/>
        <v>0</v>
      </c>
    </row>
    <row r="223" spans="1:68" ht="27" hidden="1" customHeight="1" x14ac:dyDescent="0.25">
      <c r="A223" s="54" t="s">
        <v>375</v>
      </c>
      <c r="B223" s="54" t="s">
        <v>376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63</v>
      </c>
      <c r="L223" s="32"/>
      <c r="M223" s="33" t="s">
        <v>64</v>
      </c>
      <c r="N223" s="33"/>
      <c r="O223" s="32">
        <v>40</v>
      </c>
      <c r="P223" s="7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65</v>
      </c>
      <c r="X223" s="629">
        <v>0</v>
      </c>
      <c r="Y223" s="630">
        <f t="shared" si="33"/>
        <v>0</v>
      </c>
      <c r="Z223" s="36" t="str">
        <f t="shared" ref="Z223:Z228" si="38">IFERROR(IF(Y223=0,"",ROUNDUP(Y223/H223,0)*0.00502),"")</f>
        <v/>
      </c>
      <c r="AA223" s="56"/>
      <c r="AB223" s="57"/>
      <c r="AC223" s="283" t="s">
        <v>365</v>
      </c>
      <c r="AG223" s="64"/>
      <c r="AJ223" s="68"/>
      <c r="AK223" s="68">
        <v>0</v>
      </c>
      <c r="BB223" s="284" t="s">
        <v>1</v>
      </c>
      <c r="BM223" s="64">
        <f t="shared" si="34"/>
        <v>0</v>
      </c>
      <c r="BN223" s="64">
        <f t="shared" si="35"/>
        <v>0</v>
      </c>
      <c r="BO223" s="64">
        <f t="shared" si="36"/>
        <v>0</v>
      </c>
      <c r="BP223" s="64">
        <f t="shared" si="37"/>
        <v>0</v>
      </c>
    </row>
    <row r="224" spans="1:68" ht="27" hidden="1" customHeight="1" x14ac:dyDescent="0.25">
      <c r="A224" s="54" t="s">
        <v>377</v>
      </c>
      <c r="B224" s="54" t="s">
        <v>378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63</v>
      </c>
      <c r="L224" s="32"/>
      <c r="M224" s="33" t="s">
        <v>64</v>
      </c>
      <c r="N224" s="33"/>
      <c r="O224" s="32">
        <v>45</v>
      </c>
      <c r="P224" s="84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65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63</v>
      </c>
      <c r="L225" s="32"/>
      <c r="M225" s="33" t="s">
        <v>64</v>
      </c>
      <c r="N225" s="33"/>
      <c r="O225" s="32">
        <v>40</v>
      </c>
      <c r="P225" s="89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65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368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63</v>
      </c>
      <c r="L226" s="32"/>
      <c r="M226" s="33" t="s">
        <v>64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65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63</v>
      </c>
      <c r="L227" s="32"/>
      <c r="M227" s="33" t="s">
        <v>64</v>
      </c>
      <c r="N227" s="33"/>
      <c r="O227" s="32">
        <v>45</v>
      </c>
      <c r="P227" s="89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65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387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hidden="1" customHeight="1" x14ac:dyDescent="0.25">
      <c r="A228" s="54" t="s">
        <v>388</v>
      </c>
      <c r="B228" s="54" t="s">
        <v>389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63</v>
      </c>
      <c r="L228" s="32"/>
      <c r="M228" s="33" t="s">
        <v>64</v>
      </c>
      <c r="N228" s="33"/>
      <c r="O228" s="32">
        <v>40</v>
      </c>
      <c r="P228" s="99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65</v>
      </c>
      <c r="X228" s="629">
        <v>0</v>
      </c>
      <c r="Y228" s="630">
        <f t="shared" si="33"/>
        <v>0</v>
      </c>
      <c r="Z228" s="36" t="str">
        <f t="shared" si="38"/>
        <v/>
      </c>
      <c r="AA228" s="56"/>
      <c r="AB228" s="57"/>
      <c r="AC228" s="293" t="s">
        <v>390</v>
      </c>
      <c r="AG228" s="64"/>
      <c r="AJ228" s="68"/>
      <c r="AK228" s="68">
        <v>0</v>
      </c>
      <c r="BB228" s="294" t="s">
        <v>1</v>
      </c>
      <c r="BM228" s="64">
        <f t="shared" si="34"/>
        <v>0</v>
      </c>
      <c r="BN228" s="64">
        <f t="shared" si="35"/>
        <v>0</v>
      </c>
      <c r="BO228" s="64">
        <f t="shared" si="36"/>
        <v>0</v>
      </c>
      <c r="BP228" s="64">
        <f t="shared" si="37"/>
        <v>0</v>
      </c>
    </row>
    <row r="229" spans="1:68" ht="27" hidden="1" customHeight="1" x14ac:dyDescent="0.25">
      <c r="A229" s="54" t="s">
        <v>391</v>
      </c>
      <c r="B229" s="54" t="s">
        <v>392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119</v>
      </c>
      <c r="L229" s="32"/>
      <c r="M229" s="33" t="s">
        <v>64</v>
      </c>
      <c r="N229" s="33"/>
      <c r="O229" s="32">
        <v>45</v>
      </c>
      <c r="P229" s="84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65</v>
      </c>
      <c r="X229" s="629">
        <v>0</v>
      </c>
      <c r="Y229" s="630">
        <f t="shared" si="33"/>
        <v>0</v>
      </c>
      <c r="Z229" s="36" t="str">
        <f>IFERROR(IF(Y229=0,"",ROUNDUP(Y229/H229,0)*0.00417),"")</f>
        <v/>
      </c>
      <c r="AA229" s="56"/>
      <c r="AB229" s="57"/>
      <c r="AC229" s="295" t="s">
        <v>393</v>
      </c>
      <c r="AG229" s="64"/>
      <c r="AJ229" s="68"/>
      <c r="AK229" s="68">
        <v>0</v>
      </c>
      <c r="BB229" s="296" t="s">
        <v>1</v>
      </c>
      <c r="BM229" s="64">
        <f t="shared" si="34"/>
        <v>0</v>
      </c>
      <c r="BN229" s="64">
        <f t="shared" si="35"/>
        <v>0</v>
      </c>
      <c r="BO229" s="64">
        <f t="shared" si="36"/>
        <v>0</v>
      </c>
      <c r="BP229" s="64">
        <f t="shared" si="37"/>
        <v>0</v>
      </c>
    </row>
    <row r="230" spans="1:68" ht="37.5" hidden="1" customHeight="1" x14ac:dyDescent="0.25">
      <c r="A230" s="54" t="s">
        <v>394</v>
      </c>
      <c r="B230" s="54" t="s">
        <v>395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63</v>
      </c>
      <c r="L230" s="32"/>
      <c r="M230" s="33" t="s">
        <v>64</v>
      </c>
      <c r="N230" s="33"/>
      <c r="O230" s="32">
        <v>40</v>
      </c>
      <c r="P230" s="7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65</v>
      </c>
      <c r="X230" s="629">
        <v>0</v>
      </c>
      <c r="Y230" s="630">
        <f t="shared" si="33"/>
        <v>0</v>
      </c>
      <c r="Z230" s="36" t="str">
        <f>IFERROR(IF(Y230=0,"",ROUNDUP(Y230/H230,0)*0.00502),"")</f>
        <v/>
      </c>
      <c r="AA230" s="56"/>
      <c r="AB230" s="57"/>
      <c r="AC230" s="297" t="s">
        <v>371</v>
      </c>
      <c r="AG230" s="64"/>
      <c r="AJ230" s="68"/>
      <c r="AK230" s="68">
        <v>0</v>
      </c>
      <c r="BB230" s="298" t="s">
        <v>1</v>
      </c>
      <c r="BM230" s="64">
        <f t="shared" si="34"/>
        <v>0</v>
      </c>
      <c r="BN230" s="64">
        <f t="shared" si="35"/>
        <v>0</v>
      </c>
      <c r="BO230" s="64">
        <f t="shared" si="36"/>
        <v>0</v>
      </c>
      <c r="BP230" s="64">
        <f t="shared" si="37"/>
        <v>0</v>
      </c>
    </row>
    <row r="231" spans="1:68" ht="27" hidden="1" customHeight="1" x14ac:dyDescent="0.25">
      <c r="A231" s="54" t="s">
        <v>396</v>
      </c>
      <c r="B231" s="54" t="s">
        <v>397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75</v>
      </c>
      <c r="L231" s="32"/>
      <c r="M231" s="33" t="s">
        <v>64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65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371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398</v>
      </c>
      <c r="B232" s="54" t="s">
        <v>399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63</v>
      </c>
      <c r="L232" s="32"/>
      <c r="M232" s="33" t="s">
        <v>64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65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400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hidden="1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70</v>
      </c>
      <c r="Q233" s="647"/>
      <c r="R233" s="647"/>
      <c r="S233" s="647"/>
      <c r="T233" s="647"/>
      <c r="U233" s="647"/>
      <c r="V233" s="648"/>
      <c r="W233" s="37" t="s">
        <v>71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32"/>
      <c r="AB233" s="632"/>
      <c r="AC233" s="632"/>
    </row>
    <row r="234" spans="1:68" hidden="1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70</v>
      </c>
      <c r="Q234" s="647"/>
      <c r="R234" s="647"/>
      <c r="S234" s="647"/>
      <c r="T234" s="647"/>
      <c r="U234" s="647"/>
      <c r="V234" s="648"/>
      <c r="W234" s="37" t="s">
        <v>65</v>
      </c>
      <c r="X234" s="631">
        <f>IFERROR(SUM(X219:X232),"0")</f>
        <v>0</v>
      </c>
      <c r="Y234" s="631">
        <f>IFERROR(SUM(Y219:Y232),"0")</f>
        <v>0</v>
      </c>
      <c r="Z234" s="37"/>
      <c r="AA234" s="632"/>
      <c r="AB234" s="632"/>
      <c r="AC234" s="632"/>
    </row>
    <row r="235" spans="1:68" ht="14.25" hidden="1" customHeight="1" x14ac:dyDescent="0.25">
      <c r="A235" s="655" t="s">
        <v>72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4"/>
      <c r="AB235" s="624"/>
      <c r="AC235" s="624"/>
    </row>
    <row r="236" spans="1:68" ht="16.5" hidden="1" customHeight="1" x14ac:dyDescent="0.25">
      <c r="A236" s="54" t="s">
        <v>401</v>
      </c>
      <c r="B236" s="54" t="s">
        <v>402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114</v>
      </c>
      <c r="L236" s="32"/>
      <c r="M236" s="33" t="s">
        <v>82</v>
      </c>
      <c r="N236" s="33"/>
      <c r="O236" s="32">
        <v>35</v>
      </c>
      <c r="P236" s="69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65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403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404</v>
      </c>
      <c r="B237" s="54" t="s">
        <v>405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114</v>
      </c>
      <c r="L237" s="32"/>
      <c r="M237" s="33" t="s">
        <v>82</v>
      </c>
      <c r="N237" s="33"/>
      <c r="O237" s="32">
        <v>35</v>
      </c>
      <c r="P237" s="71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65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406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407</v>
      </c>
      <c r="B238" s="54" t="s">
        <v>408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123</v>
      </c>
      <c r="L238" s="32"/>
      <c r="M238" s="33" t="s">
        <v>82</v>
      </c>
      <c r="N238" s="33"/>
      <c r="O238" s="32">
        <v>35</v>
      </c>
      <c r="P238" s="84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65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409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410</v>
      </c>
      <c r="B239" s="54" t="s">
        <v>411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123</v>
      </c>
      <c r="L239" s="32"/>
      <c r="M239" s="33" t="s">
        <v>82</v>
      </c>
      <c r="N239" s="33"/>
      <c r="O239" s="32">
        <v>35</v>
      </c>
      <c r="P239" s="79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65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412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413</v>
      </c>
      <c r="B240" s="54" t="s">
        <v>414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123</v>
      </c>
      <c r="L240" s="32"/>
      <c r="M240" s="33" t="s">
        <v>82</v>
      </c>
      <c r="N240" s="33"/>
      <c r="O240" s="32">
        <v>35</v>
      </c>
      <c r="P240" s="7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65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406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70</v>
      </c>
      <c r="Q241" s="647"/>
      <c r="R241" s="647"/>
      <c r="S241" s="647"/>
      <c r="T241" s="647"/>
      <c r="U241" s="647"/>
      <c r="V241" s="648"/>
      <c r="W241" s="37" t="s">
        <v>71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70</v>
      </c>
      <c r="Q242" s="647"/>
      <c r="R242" s="647"/>
      <c r="S242" s="647"/>
      <c r="T242" s="647"/>
      <c r="U242" s="647"/>
      <c r="V242" s="648"/>
      <c r="W242" s="37" t="s">
        <v>65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5" t="s">
        <v>269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4"/>
      <c r="AB243" s="624"/>
      <c r="AC243" s="624"/>
    </row>
    <row r="244" spans="1:68" ht="27" hidden="1" customHeight="1" x14ac:dyDescent="0.25">
      <c r="A244" s="54" t="s">
        <v>415</v>
      </c>
      <c r="B244" s="54" t="s">
        <v>416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331</v>
      </c>
      <c r="L244" s="32"/>
      <c r="M244" s="33" t="s">
        <v>273</v>
      </c>
      <c r="N244" s="33"/>
      <c r="O244" s="32">
        <v>60</v>
      </c>
      <c r="P24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65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417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418</v>
      </c>
      <c r="B245" s="54" t="s">
        <v>419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331</v>
      </c>
      <c r="L245" s="32"/>
      <c r="M245" s="33" t="s">
        <v>273</v>
      </c>
      <c r="N245" s="33"/>
      <c r="O245" s="32">
        <v>90</v>
      </c>
      <c r="P245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65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420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421</v>
      </c>
      <c r="B246" s="54" t="s">
        <v>422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331</v>
      </c>
      <c r="L246" s="32"/>
      <c r="M246" s="33" t="s">
        <v>273</v>
      </c>
      <c r="N246" s="33"/>
      <c r="O246" s="32">
        <v>90</v>
      </c>
      <c r="P246" s="7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65</v>
      </c>
      <c r="X246" s="629">
        <v>0</v>
      </c>
      <c r="Y246" s="63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420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70</v>
      </c>
      <c r="Q247" s="647"/>
      <c r="R247" s="647"/>
      <c r="S247" s="647"/>
      <c r="T247" s="647"/>
      <c r="U247" s="647"/>
      <c r="V247" s="648"/>
      <c r="W247" s="37" t="s">
        <v>71</v>
      </c>
      <c r="X247" s="631">
        <f>IFERROR(X244/H244,"0")+IFERROR(X245/H245,"0")+IFERROR(X246/H246,"0")</f>
        <v>0</v>
      </c>
      <c r="Y247" s="631">
        <f>IFERROR(Y244/H244,"0")+IFERROR(Y245/H245,"0")+IFERROR(Y246/H246,"0")</f>
        <v>0</v>
      </c>
      <c r="Z247" s="631">
        <f>IFERROR(IF(Z244="",0,Z244),"0")+IFERROR(IF(Z245="",0,Z245),"0")+IFERROR(IF(Z246="",0,Z246),"0")</f>
        <v>0</v>
      </c>
      <c r="AA247" s="632"/>
      <c r="AB247" s="632"/>
      <c r="AC247" s="632"/>
    </row>
    <row r="248" spans="1:68" hidden="1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70</v>
      </c>
      <c r="Q248" s="647"/>
      <c r="R248" s="647"/>
      <c r="S248" s="647"/>
      <c r="T248" s="647"/>
      <c r="U248" s="647"/>
      <c r="V248" s="648"/>
      <c r="W248" s="37" t="s">
        <v>65</v>
      </c>
      <c r="X248" s="631">
        <f>IFERROR(SUM(X244:X246),"0")</f>
        <v>0</v>
      </c>
      <c r="Y248" s="631">
        <f>IFERROR(SUM(Y244:Y246),"0")</f>
        <v>0</v>
      </c>
      <c r="Z248" s="37"/>
      <c r="AA248" s="632"/>
      <c r="AB248" s="632"/>
      <c r="AC248" s="632"/>
    </row>
    <row r="249" spans="1:68" ht="14.25" hidden="1" customHeight="1" x14ac:dyDescent="0.25">
      <c r="A249" s="655" t="s">
        <v>423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4"/>
      <c r="AB249" s="624"/>
      <c r="AC249" s="624"/>
    </row>
    <row r="250" spans="1:68" ht="27" hidden="1" customHeight="1" x14ac:dyDescent="0.25">
      <c r="A250" s="54" t="s">
        <v>424</v>
      </c>
      <c r="B250" s="54" t="s">
        <v>425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331</v>
      </c>
      <c r="L250" s="32"/>
      <c r="M250" s="33" t="s">
        <v>273</v>
      </c>
      <c r="N250" s="33"/>
      <c r="O250" s="32">
        <v>90</v>
      </c>
      <c r="P250" s="7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65</v>
      </c>
      <c r="X250" s="629">
        <v>0</v>
      </c>
      <c r="Y250" s="630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70</v>
      </c>
      <c r="Q251" s="647"/>
      <c r="R251" s="647"/>
      <c r="S251" s="647"/>
      <c r="T251" s="647"/>
      <c r="U251" s="647"/>
      <c r="V251" s="648"/>
      <c r="W251" s="37" t="s">
        <v>71</v>
      </c>
      <c r="X251" s="631">
        <f>IFERROR(X250/H250,"0")</f>
        <v>0</v>
      </c>
      <c r="Y251" s="631">
        <f>IFERROR(Y250/H250,"0")</f>
        <v>0</v>
      </c>
      <c r="Z251" s="631">
        <f>IFERROR(IF(Z250="",0,Z250),"0")</f>
        <v>0</v>
      </c>
      <c r="AA251" s="632"/>
      <c r="AB251" s="632"/>
      <c r="AC251" s="632"/>
    </row>
    <row r="252" spans="1:68" hidden="1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70</v>
      </c>
      <c r="Q252" s="647"/>
      <c r="R252" s="647"/>
      <c r="S252" s="647"/>
      <c r="T252" s="647"/>
      <c r="U252" s="647"/>
      <c r="V252" s="648"/>
      <c r="W252" s="37" t="s">
        <v>65</v>
      </c>
      <c r="X252" s="631">
        <f>IFERROR(SUM(X250:X250),"0")</f>
        <v>0</v>
      </c>
      <c r="Y252" s="631">
        <f>IFERROR(SUM(Y250:Y250),"0")</f>
        <v>0</v>
      </c>
      <c r="Z252" s="37"/>
      <c r="AA252" s="632"/>
      <c r="AB252" s="632"/>
      <c r="AC252" s="632"/>
    </row>
    <row r="253" spans="1:68" ht="16.5" hidden="1" customHeight="1" x14ac:dyDescent="0.25">
      <c r="A253" s="649" t="s">
        <v>426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14.25" hidden="1" customHeight="1" x14ac:dyDescent="0.25">
      <c r="A254" s="655" t="s">
        <v>111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4"/>
      <c r="AB254" s="624"/>
      <c r="AC254" s="624"/>
    </row>
    <row r="255" spans="1:68" ht="27" hidden="1" customHeight="1" x14ac:dyDescent="0.25">
      <c r="A255" s="54" t="s">
        <v>427</v>
      </c>
      <c r="B255" s="54" t="s">
        <v>428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114</v>
      </c>
      <c r="L255" s="32"/>
      <c r="M255" s="33" t="s">
        <v>115</v>
      </c>
      <c r="N255" s="33"/>
      <c r="O255" s="32">
        <v>55</v>
      </c>
      <c r="P255" s="7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65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429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430</v>
      </c>
      <c r="B256" s="54" t="s">
        <v>431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75</v>
      </c>
      <c r="L256" s="32"/>
      <c r="M256" s="33" t="s">
        <v>115</v>
      </c>
      <c r="N256" s="33"/>
      <c r="O256" s="32">
        <v>55</v>
      </c>
      <c r="P256" s="8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65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429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70</v>
      </c>
      <c r="Q257" s="647"/>
      <c r="R257" s="647"/>
      <c r="S257" s="647"/>
      <c r="T257" s="647"/>
      <c r="U257" s="647"/>
      <c r="V257" s="648"/>
      <c r="W257" s="37" t="s">
        <v>71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70</v>
      </c>
      <c r="Q258" s="647"/>
      <c r="R258" s="647"/>
      <c r="S258" s="647"/>
      <c r="T258" s="647"/>
      <c r="U258" s="647"/>
      <c r="V258" s="648"/>
      <c r="W258" s="37" t="s">
        <v>65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5" t="s">
        <v>144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4"/>
      <c r="AB259" s="624"/>
      <c r="AC259" s="624"/>
    </row>
    <row r="260" spans="1:68" ht="16.5" hidden="1" customHeight="1" x14ac:dyDescent="0.25">
      <c r="A260" s="54" t="s">
        <v>432</v>
      </c>
      <c r="B260" s="54" t="s">
        <v>433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114</v>
      </c>
      <c r="L260" s="32"/>
      <c r="M260" s="33" t="s">
        <v>115</v>
      </c>
      <c r="N260" s="33"/>
      <c r="O260" s="32">
        <v>50</v>
      </c>
      <c r="P260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65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434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435</v>
      </c>
      <c r="B261" s="54" t="s">
        <v>436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75</v>
      </c>
      <c r="L261" s="32"/>
      <c r="M261" s="33" t="s">
        <v>115</v>
      </c>
      <c r="N261" s="33"/>
      <c r="O261" s="32">
        <v>50</v>
      </c>
      <c r="P261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65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434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70</v>
      </c>
      <c r="Q262" s="647"/>
      <c r="R262" s="647"/>
      <c r="S262" s="647"/>
      <c r="T262" s="647"/>
      <c r="U262" s="647"/>
      <c r="V262" s="648"/>
      <c r="W262" s="37" t="s">
        <v>71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70</v>
      </c>
      <c r="Q263" s="647"/>
      <c r="R263" s="647"/>
      <c r="S263" s="647"/>
      <c r="T263" s="647"/>
      <c r="U263" s="647"/>
      <c r="V263" s="648"/>
      <c r="W263" s="37" t="s">
        <v>65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5" t="s">
        <v>60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4"/>
      <c r="AB264" s="624"/>
      <c r="AC264" s="624"/>
    </row>
    <row r="265" spans="1:68" ht="27" hidden="1" customHeight="1" x14ac:dyDescent="0.25">
      <c r="A265" s="54" t="s">
        <v>437</v>
      </c>
      <c r="B265" s="54" t="s">
        <v>438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123</v>
      </c>
      <c r="L265" s="32"/>
      <c r="M265" s="33" t="s">
        <v>64</v>
      </c>
      <c r="N265" s="33"/>
      <c r="O265" s="32">
        <v>40</v>
      </c>
      <c r="P265" s="7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65</v>
      </c>
      <c r="X265" s="629">
        <v>0</v>
      </c>
      <c r="Y265" s="630">
        <f t="shared" ref="Y265:Y272" si="39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9" t="s">
        <v>439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0</v>
      </c>
      <c r="BN265" s="64">
        <f t="shared" ref="BN265:BN272" si="41">IFERROR(Y265*I265/H265,"0")</f>
        <v>0</v>
      </c>
      <c r="BO265" s="64">
        <f t="shared" ref="BO265:BO272" si="42">IFERROR(1/J265*(X265/H265),"0")</f>
        <v>0</v>
      </c>
      <c r="BP265" s="64">
        <f t="shared" ref="BP265:BP272" si="43">IFERROR(1/J265*(Y265/H265),"0")</f>
        <v>0</v>
      </c>
    </row>
    <row r="266" spans="1:68" ht="27" hidden="1" customHeight="1" x14ac:dyDescent="0.25">
      <c r="A266" s="54" t="s">
        <v>440</v>
      </c>
      <c r="B266" s="54" t="s">
        <v>441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123</v>
      </c>
      <c r="L266" s="32"/>
      <c r="M266" s="33" t="s">
        <v>64</v>
      </c>
      <c r="N266" s="33"/>
      <c r="O266" s="32">
        <v>40</v>
      </c>
      <c r="P266" s="7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65</v>
      </c>
      <c r="X266" s="629">
        <v>0</v>
      </c>
      <c r="Y266" s="630">
        <f t="shared" si="39"/>
        <v>0</v>
      </c>
      <c r="Z266" s="36" t="str">
        <f>IFERROR(IF(Y266=0,"",ROUNDUP(Y266/H266,0)*0.00902),"")</f>
        <v/>
      </c>
      <c r="AA266" s="56"/>
      <c r="AB266" s="57"/>
      <c r="AC266" s="331" t="s">
        <v>442</v>
      </c>
      <c r="AG266" s="64"/>
      <c r="AJ266" s="68"/>
      <c r="AK266" s="68">
        <v>0</v>
      </c>
      <c r="BB266" s="332" t="s">
        <v>1</v>
      </c>
      <c r="BM266" s="64">
        <f t="shared" si="40"/>
        <v>0</v>
      </c>
      <c r="BN266" s="64">
        <f t="shared" si="41"/>
        <v>0</v>
      </c>
      <c r="BO266" s="64">
        <f t="shared" si="42"/>
        <v>0</v>
      </c>
      <c r="BP266" s="64">
        <f t="shared" si="43"/>
        <v>0</v>
      </c>
    </row>
    <row r="267" spans="1:68" ht="27" hidden="1" customHeight="1" x14ac:dyDescent="0.25">
      <c r="A267" s="54" t="s">
        <v>443</v>
      </c>
      <c r="B267" s="54" t="s">
        <v>444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123</v>
      </c>
      <c r="L267" s="32"/>
      <c r="M267" s="33" t="s">
        <v>64</v>
      </c>
      <c r="N267" s="33"/>
      <c r="O267" s="32">
        <v>40</v>
      </c>
      <c r="P267" s="83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65</v>
      </c>
      <c r="X267" s="629">
        <v>0</v>
      </c>
      <c r="Y267" s="630">
        <f t="shared" si="39"/>
        <v>0</v>
      </c>
      <c r="Z267" s="36" t="str">
        <f>IFERROR(IF(Y267=0,"",ROUNDUP(Y267/H267,0)*0.00902),"")</f>
        <v/>
      </c>
      <c r="AA267" s="56"/>
      <c r="AB267" s="57"/>
      <c r="AC267" s="333" t="s">
        <v>445</v>
      </c>
      <c r="AG267" s="64"/>
      <c r="AJ267" s="68"/>
      <c r="AK267" s="68">
        <v>0</v>
      </c>
      <c r="BB267" s="334" t="s">
        <v>1</v>
      </c>
      <c r="BM267" s="64">
        <f t="shared" si="40"/>
        <v>0</v>
      </c>
      <c r="BN267" s="64">
        <f t="shared" si="41"/>
        <v>0</v>
      </c>
      <c r="BO267" s="64">
        <f t="shared" si="42"/>
        <v>0</v>
      </c>
      <c r="BP267" s="64">
        <f t="shared" si="43"/>
        <v>0</v>
      </c>
    </row>
    <row r="268" spans="1:68" ht="27" hidden="1" customHeight="1" x14ac:dyDescent="0.25">
      <c r="A268" s="54" t="s">
        <v>446</v>
      </c>
      <c r="B268" s="54" t="s">
        <v>447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123</v>
      </c>
      <c r="L268" s="32"/>
      <c r="M268" s="33" t="s">
        <v>64</v>
      </c>
      <c r="N268" s="33"/>
      <c r="O268" s="32">
        <v>40</v>
      </c>
      <c r="P268" s="72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65</v>
      </c>
      <c r="X268" s="629">
        <v>0</v>
      </c>
      <c r="Y268" s="630">
        <f t="shared" si="39"/>
        <v>0</v>
      </c>
      <c r="Z268" s="36" t="str">
        <f>IFERROR(IF(Y268=0,"",ROUNDUP(Y268/H268,0)*0.00902),"")</f>
        <v/>
      </c>
      <c r="AA268" s="56"/>
      <c r="AB268" s="57"/>
      <c r="AC268" s="335" t="s">
        <v>448</v>
      </c>
      <c r="AG268" s="64"/>
      <c r="AJ268" s="68"/>
      <c r="AK268" s="68">
        <v>0</v>
      </c>
      <c r="BB268" s="336" t="s">
        <v>1</v>
      </c>
      <c r="BM268" s="64">
        <f t="shared" si="40"/>
        <v>0</v>
      </c>
      <c r="BN268" s="64">
        <f t="shared" si="41"/>
        <v>0</v>
      </c>
      <c r="BO268" s="64">
        <f t="shared" si="42"/>
        <v>0</v>
      </c>
      <c r="BP268" s="64">
        <f t="shared" si="43"/>
        <v>0</v>
      </c>
    </row>
    <row r="269" spans="1:68" ht="27" hidden="1" customHeight="1" x14ac:dyDescent="0.25">
      <c r="A269" s="54" t="s">
        <v>449</v>
      </c>
      <c r="B269" s="54" t="s">
        <v>450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63</v>
      </c>
      <c r="L269" s="32"/>
      <c r="M269" s="33" t="s">
        <v>64</v>
      </c>
      <c r="N269" s="33"/>
      <c r="O269" s="32">
        <v>40</v>
      </c>
      <c r="P269" s="9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65</v>
      </c>
      <c r="X269" s="629">
        <v>0</v>
      </c>
      <c r="Y269" s="630">
        <f t="shared" si="39"/>
        <v>0</v>
      </c>
      <c r="Z269" s="36" t="str">
        <f>IFERROR(IF(Y269=0,"",ROUNDUP(Y269/H269,0)*0.00502),"")</f>
        <v/>
      </c>
      <c r="AA269" s="56"/>
      <c r="AB269" s="57"/>
      <c r="AC269" s="337" t="s">
        <v>439</v>
      </c>
      <c r="AG269" s="64"/>
      <c r="AJ269" s="68"/>
      <c r="AK269" s="68">
        <v>0</v>
      </c>
      <c r="BB269" s="338" t="s">
        <v>1</v>
      </c>
      <c r="BM269" s="64">
        <f t="shared" si="40"/>
        <v>0</v>
      </c>
      <c r="BN269" s="64">
        <f t="shared" si="41"/>
        <v>0</v>
      </c>
      <c r="BO269" s="64">
        <f t="shared" si="42"/>
        <v>0</v>
      </c>
      <c r="BP269" s="64">
        <f t="shared" si="43"/>
        <v>0</v>
      </c>
    </row>
    <row r="270" spans="1:68" ht="27" hidden="1" customHeight="1" x14ac:dyDescent="0.25">
      <c r="A270" s="54" t="s">
        <v>451</v>
      </c>
      <c r="B270" s="54" t="s">
        <v>452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63</v>
      </c>
      <c r="L270" s="32"/>
      <c r="M270" s="33" t="s">
        <v>64</v>
      </c>
      <c r="N270" s="33"/>
      <c r="O270" s="32">
        <v>40</v>
      </c>
      <c r="P270" s="92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65</v>
      </c>
      <c r="X270" s="629">
        <v>0</v>
      </c>
      <c r="Y270" s="630">
        <f t="shared" si="39"/>
        <v>0</v>
      </c>
      <c r="Z270" s="36" t="str">
        <f>IFERROR(IF(Y270=0,"",ROUNDUP(Y270/H270,0)*0.00502),"")</f>
        <v/>
      </c>
      <c r="AA270" s="56"/>
      <c r="AB270" s="57"/>
      <c r="AC270" s="339" t="s">
        <v>442</v>
      </c>
      <c r="AG270" s="64"/>
      <c r="AJ270" s="68"/>
      <c r="AK270" s="68">
        <v>0</v>
      </c>
      <c r="BB270" s="340" t="s">
        <v>1</v>
      </c>
      <c r="BM270" s="64">
        <f t="shared" si="40"/>
        <v>0</v>
      </c>
      <c r="BN270" s="64">
        <f t="shared" si="41"/>
        <v>0</v>
      </c>
      <c r="BO270" s="64">
        <f t="shared" si="42"/>
        <v>0</v>
      </c>
      <c r="BP270" s="64">
        <f t="shared" si="43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63</v>
      </c>
      <c r="L271" s="32"/>
      <c r="M271" s="33" t="s">
        <v>64</v>
      </c>
      <c r="N271" s="33"/>
      <c r="O271" s="32">
        <v>40</v>
      </c>
      <c r="P271" s="7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65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445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hidden="1" customHeight="1" x14ac:dyDescent="0.25">
      <c r="A272" s="54" t="s">
        <v>455</v>
      </c>
      <c r="B272" s="54" t="s">
        <v>456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63</v>
      </c>
      <c r="L272" s="32"/>
      <c r="M272" s="33" t="s">
        <v>64</v>
      </c>
      <c r="N272" s="33"/>
      <c r="O272" s="32">
        <v>40</v>
      </c>
      <c r="P27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65</v>
      </c>
      <c r="X272" s="629">
        <v>0</v>
      </c>
      <c r="Y272" s="630">
        <f t="shared" si="39"/>
        <v>0</v>
      </c>
      <c r="Z272" s="36" t="str">
        <f>IFERROR(IF(Y272=0,"",ROUNDUP(Y272/H272,0)*0.00502),"")</f>
        <v/>
      </c>
      <c r="AA272" s="56"/>
      <c r="AB272" s="57"/>
      <c r="AC272" s="343" t="s">
        <v>448</v>
      </c>
      <c r="AG272" s="64"/>
      <c r="AJ272" s="68"/>
      <c r="AK272" s="68">
        <v>0</v>
      </c>
      <c r="BB272" s="344" t="s">
        <v>1</v>
      </c>
      <c r="BM272" s="64">
        <f t="shared" si="40"/>
        <v>0</v>
      </c>
      <c r="BN272" s="64">
        <f t="shared" si="41"/>
        <v>0</v>
      </c>
      <c r="BO272" s="64">
        <f t="shared" si="42"/>
        <v>0</v>
      </c>
      <c r="BP272" s="64">
        <f t="shared" si="43"/>
        <v>0</v>
      </c>
    </row>
    <row r="273" spans="1:68" hidden="1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70</v>
      </c>
      <c r="Q273" s="647"/>
      <c r="R273" s="647"/>
      <c r="S273" s="647"/>
      <c r="T273" s="647"/>
      <c r="U273" s="647"/>
      <c r="V273" s="648"/>
      <c r="W273" s="37" t="s">
        <v>71</v>
      </c>
      <c r="X273" s="631">
        <f>IFERROR(X265/H265,"0")+IFERROR(X266/H266,"0")+IFERROR(X267/H267,"0")+IFERROR(X268/H268,"0")+IFERROR(X269/H269,"0")+IFERROR(X270/H270,"0")+IFERROR(X271/H271,"0")+IFERROR(X272/H272,"0")</f>
        <v>0</v>
      </c>
      <c r="Y273" s="631">
        <f>IFERROR(Y265/H265,"0")+IFERROR(Y266/H266,"0")+IFERROR(Y267/H267,"0")+IFERROR(Y268/H268,"0")+IFERROR(Y269/H269,"0")+IFERROR(Y270/H270,"0")+IFERROR(Y271/H271,"0")+IFERROR(Y272/H272,"0")</f>
        <v>0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32"/>
      <c r="AB273" s="632"/>
      <c r="AC273" s="632"/>
    </row>
    <row r="274" spans="1:68" hidden="1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70</v>
      </c>
      <c r="Q274" s="647"/>
      <c r="R274" s="647"/>
      <c r="S274" s="647"/>
      <c r="T274" s="647"/>
      <c r="U274" s="647"/>
      <c r="V274" s="648"/>
      <c r="W274" s="37" t="s">
        <v>65</v>
      </c>
      <c r="X274" s="631">
        <f>IFERROR(SUM(X265:X272),"0")</f>
        <v>0</v>
      </c>
      <c r="Y274" s="631">
        <f>IFERROR(SUM(Y265:Y272),"0")</f>
        <v>0</v>
      </c>
      <c r="Z274" s="37"/>
      <c r="AA274" s="632"/>
      <c r="AB274" s="632"/>
      <c r="AC274" s="632"/>
    </row>
    <row r="275" spans="1:68" ht="14.25" hidden="1" customHeight="1" x14ac:dyDescent="0.25">
      <c r="A275" s="655" t="s">
        <v>72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4"/>
      <c r="AB275" s="624"/>
      <c r="AC275" s="624"/>
    </row>
    <row r="276" spans="1:68" ht="27" hidden="1" customHeight="1" x14ac:dyDescent="0.25">
      <c r="A276" s="54" t="s">
        <v>457</v>
      </c>
      <c r="B276" s="54" t="s">
        <v>458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114</v>
      </c>
      <c r="L276" s="32"/>
      <c r="M276" s="33" t="s">
        <v>76</v>
      </c>
      <c r="N276" s="33"/>
      <c r="O276" s="32">
        <v>40</v>
      </c>
      <c r="P276" s="9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65</v>
      </c>
      <c r="X276" s="629">
        <v>0</v>
      </c>
      <c r="Y276" s="630">
        <f t="shared" ref="Y276:Y287" si="44">IFERROR(IF(X276="",0,CEILING((X276/$H276),1)*$H276),"")</f>
        <v>0</v>
      </c>
      <c r="Z276" s="36" t="str">
        <f>IFERROR(IF(Y276=0,"",ROUNDUP(Y276/H276,0)*0.01898),"")</f>
        <v/>
      </c>
      <c r="AA276" s="56"/>
      <c r="AB276" s="57"/>
      <c r="AC276" s="345" t="s">
        <v>459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0</v>
      </c>
      <c r="BN276" s="64">
        <f t="shared" ref="BN276:BN287" si="46">IFERROR(Y276*I276/H276,"0")</f>
        <v>0</v>
      </c>
      <c r="BO276" s="64">
        <f t="shared" ref="BO276:BO287" si="47">IFERROR(1/J276*(X276/H276),"0")</f>
        <v>0</v>
      </c>
      <c r="BP276" s="64">
        <f t="shared" ref="BP276:BP287" si="48">IFERROR(1/J276*(Y276/H276),"0")</f>
        <v>0</v>
      </c>
    </row>
    <row r="277" spans="1:68" ht="27" hidden="1" customHeight="1" x14ac:dyDescent="0.25">
      <c r="A277" s="54" t="s">
        <v>460</v>
      </c>
      <c r="B277" s="54" t="s">
        <v>461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114</v>
      </c>
      <c r="L277" s="32"/>
      <c r="M277" s="33" t="s">
        <v>76</v>
      </c>
      <c r="N277" s="33"/>
      <c r="O277" s="32">
        <v>40</v>
      </c>
      <c r="P277" s="8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65</v>
      </c>
      <c r="X277" s="629">
        <v>0</v>
      </c>
      <c r="Y277" s="630">
        <f t="shared" si="44"/>
        <v>0</v>
      </c>
      <c r="Z277" s="36" t="str">
        <f>IFERROR(IF(Y277=0,"",ROUNDUP(Y277/H277,0)*0.01898),"")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45"/>
        <v>0</v>
      </c>
      <c r="BN277" s="64">
        <f t="shared" si="46"/>
        <v>0</v>
      </c>
      <c r="BO277" s="64">
        <f t="shared" si="47"/>
        <v>0</v>
      </c>
      <c r="BP277" s="64">
        <f t="shared" si="48"/>
        <v>0</v>
      </c>
    </row>
    <row r="278" spans="1:68" ht="27" hidden="1" customHeight="1" x14ac:dyDescent="0.25">
      <c r="A278" s="54" t="s">
        <v>463</v>
      </c>
      <c r="B278" s="54" t="s">
        <v>464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114</v>
      </c>
      <c r="L278" s="32"/>
      <c r="M278" s="33" t="s">
        <v>76</v>
      </c>
      <c r="N278" s="33"/>
      <c r="O278" s="32">
        <v>45</v>
      </c>
      <c r="P278" s="9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65</v>
      </c>
      <c r="X278" s="629">
        <v>0</v>
      </c>
      <c r="Y278" s="630">
        <f t="shared" si="44"/>
        <v>0</v>
      </c>
      <c r="Z278" s="36" t="str">
        <f>IFERROR(IF(Y278=0,"",ROUNDUP(Y278/H278,0)*0.01898),"")</f>
        <v/>
      </c>
      <c r="AA278" s="56"/>
      <c r="AB278" s="57"/>
      <c r="AC278" s="349" t="s">
        <v>465</v>
      </c>
      <c r="AG278" s="64"/>
      <c r="AJ278" s="68"/>
      <c r="AK278" s="68">
        <v>0</v>
      </c>
      <c r="BB278" s="350" t="s">
        <v>1</v>
      </c>
      <c r="BM278" s="64">
        <f t="shared" si="45"/>
        <v>0</v>
      </c>
      <c r="BN278" s="64">
        <f t="shared" si="46"/>
        <v>0</v>
      </c>
      <c r="BO278" s="64">
        <f t="shared" si="47"/>
        <v>0</v>
      </c>
      <c r="BP278" s="64">
        <f t="shared" si="48"/>
        <v>0</v>
      </c>
    </row>
    <row r="279" spans="1:68" ht="27" hidden="1" customHeight="1" x14ac:dyDescent="0.25">
      <c r="A279" s="54" t="s">
        <v>466</v>
      </c>
      <c r="B279" s="54" t="s">
        <v>467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75</v>
      </c>
      <c r="L279" s="32"/>
      <c r="M279" s="33" t="s">
        <v>76</v>
      </c>
      <c r="N279" s="33"/>
      <c r="O279" s="32">
        <v>40</v>
      </c>
      <c r="P279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65</v>
      </c>
      <c r="X279" s="629">
        <v>0</v>
      </c>
      <c r="Y279" s="630">
        <f t="shared" si="44"/>
        <v>0</v>
      </c>
      <c r="Z279" s="36" t="str">
        <f>IFERROR(IF(Y279=0,"",ROUNDUP(Y279/H279,0)*0.00651),"")</f>
        <v/>
      </c>
      <c r="AA279" s="56"/>
      <c r="AB279" s="57"/>
      <c r="AC279" s="351" t="s">
        <v>459</v>
      </c>
      <c r="AG279" s="64"/>
      <c r="AJ279" s="68"/>
      <c r="AK279" s="68">
        <v>0</v>
      </c>
      <c r="BB279" s="352" t="s">
        <v>1</v>
      </c>
      <c r="BM279" s="64">
        <f t="shared" si="45"/>
        <v>0</v>
      </c>
      <c r="BN279" s="64">
        <f t="shared" si="46"/>
        <v>0</v>
      </c>
      <c r="BO279" s="64">
        <f t="shared" si="47"/>
        <v>0</v>
      </c>
      <c r="BP279" s="64">
        <f t="shared" si="48"/>
        <v>0</v>
      </c>
    </row>
    <row r="280" spans="1:68" ht="27" hidden="1" customHeight="1" x14ac:dyDescent="0.25">
      <c r="A280" s="54" t="s">
        <v>468</v>
      </c>
      <c r="B280" s="54" t="s">
        <v>469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75</v>
      </c>
      <c r="L280" s="32"/>
      <c r="M280" s="33" t="s">
        <v>82</v>
      </c>
      <c r="N280" s="33"/>
      <c r="O280" s="32">
        <v>45</v>
      </c>
      <c r="P280" s="7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65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465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123</v>
      </c>
      <c r="L281" s="32"/>
      <c r="M281" s="33" t="s">
        <v>76</v>
      </c>
      <c r="N281" s="33"/>
      <c r="O281" s="32">
        <v>45</v>
      </c>
      <c r="P281" s="7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65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472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75</v>
      </c>
      <c r="L282" s="32"/>
      <c r="M282" s="33" t="s">
        <v>76</v>
      </c>
      <c r="N282" s="33"/>
      <c r="O282" s="32">
        <v>45</v>
      </c>
      <c r="P282" s="9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65</v>
      </c>
      <c r="X282" s="629">
        <v>0</v>
      </c>
      <c r="Y282" s="630">
        <f t="shared" si="44"/>
        <v>0</v>
      </c>
      <c r="Z282" s="36" t="str">
        <f>IFERROR(IF(Y282=0,"",ROUNDUP(Y282/H282,0)*0.00651),"")</f>
        <v/>
      </c>
      <c r="AA282" s="56"/>
      <c r="AB282" s="57"/>
      <c r="AC282" s="357" t="s">
        <v>465</v>
      </c>
      <c r="AG282" s="64"/>
      <c r="AJ282" s="68"/>
      <c r="AK282" s="68">
        <v>0</v>
      </c>
      <c r="BB282" s="358" t="s">
        <v>1</v>
      </c>
      <c r="BM282" s="64">
        <f t="shared" si="45"/>
        <v>0</v>
      </c>
      <c r="BN282" s="64">
        <f t="shared" si="46"/>
        <v>0</v>
      </c>
      <c r="BO282" s="64">
        <f t="shared" si="47"/>
        <v>0</v>
      </c>
      <c r="BP282" s="64">
        <f t="shared" si="48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114</v>
      </c>
      <c r="L283" s="32"/>
      <c r="M283" s="33" t="s">
        <v>76</v>
      </c>
      <c r="N283" s="33"/>
      <c r="O283" s="32">
        <v>45</v>
      </c>
      <c r="P283" s="81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65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472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75</v>
      </c>
      <c r="L284" s="32"/>
      <c r="M284" s="33" t="s">
        <v>76</v>
      </c>
      <c r="N284" s="33"/>
      <c r="O284" s="32">
        <v>45</v>
      </c>
      <c r="P284" s="75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65</v>
      </c>
      <c r="X284" s="629">
        <v>0</v>
      </c>
      <c r="Y284" s="630">
        <f t="shared" si="44"/>
        <v>0</v>
      </c>
      <c r="Z284" s="36" t="str">
        <f>IFERROR(IF(Y284=0,"",ROUNDUP(Y284/H284,0)*0.00651),"")</f>
        <v/>
      </c>
      <c r="AA284" s="56"/>
      <c r="AB284" s="57"/>
      <c r="AC284" s="361" t="s">
        <v>465</v>
      </c>
      <c r="AG284" s="64"/>
      <c r="AJ284" s="68"/>
      <c r="AK284" s="68">
        <v>0</v>
      </c>
      <c r="BB284" s="362" t="s">
        <v>1</v>
      </c>
      <c r="BM284" s="64">
        <f t="shared" si="45"/>
        <v>0</v>
      </c>
      <c r="BN284" s="64">
        <f t="shared" si="46"/>
        <v>0</v>
      </c>
      <c r="BO284" s="64">
        <f t="shared" si="47"/>
        <v>0</v>
      </c>
      <c r="BP284" s="64">
        <f t="shared" si="48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75</v>
      </c>
      <c r="L285" s="32"/>
      <c r="M285" s="33" t="s">
        <v>82</v>
      </c>
      <c r="N285" s="33"/>
      <c r="O285" s="32">
        <v>40</v>
      </c>
      <c r="P285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65</v>
      </c>
      <c r="X285" s="629">
        <v>0</v>
      </c>
      <c r="Y285" s="630">
        <f t="shared" si="44"/>
        <v>0</v>
      </c>
      <c r="Z285" s="36" t="str">
        <f>IFERROR(IF(Y285=0,"",ROUNDUP(Y285/H285,0)*0.00651),"")</f>
        <v/>
      </c>
      <c r="AA285" s="56"/>
      <c r="AB285" s="57"/>
      <c r="AC285" s="363" t="s">
        <v>481</v>
      </c>
      <c r="AG285" s="64"/>
      <c r="AJ285" s="68"/>
      <c r="AK285" s="68">
        <v>0</v>
      </c>
      <c r="BB285" s="364" t="s">
        <v>1</v>
      </c>
      <c r="BM285" s="64">
        <f t="shared" si="45"/>
        <v>0</v>
      </c>
      <c r="BN285" s="64">
        <f t="shared" si="46"/>
        <v>0</v>
      </c>
      <c r="BO285" s="64">
        <f t="shared" si="47"/>
        <v>0</v>
      </c>
      <c r="BP285" s="64">
        <f t="shared" si="48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75</v>
      </c>
      <c r="L286" s="32"/>
      <c r="M286" s="33" t="s">
        <v>76</v>
      </c>
      <c r="N286" s="33"/>
      <c r="O286" s="32">
        <v>40</v>
      </c>
      <c r="P286" s="7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65</v>
      </c>
      <c r="X286" s="629">
        <v>0</v>
      </c>
      <c r="Y286" s="630">
        <f t="shared" si="44"/>
        <v>0</v>
      </c>
      <c r="Z286" s="36" t="str">
        <f>IFERROR(IF(Y286=0,"",ROUNDUP(Y286/H286,0)*0.00651),"")</f>
        <v/>
      </c>
      <c r="AA286" s="56"/>
      <c r="AB286" s="57"/>
      <c r="AC286" s="365" t="s">
        <v>484</v>
      </c>
      <c r="AG286" s="64"/>
      <c r="AJ286" s="68"/>
      <c r="AK286" s="68">
        <v>0</v>
      </c>
      <c r="BB286" s="366" t="s">
        <v>1</v>
      </c>
      <c r="BM286" s="64">
        <f t="shared" si="45"/>
        <v>0</v>
      </c>
      <c r="BN286" s="64">
        <f t="shared" si="46"/>
        <v>0</v>
      </c>
      <c r="BO286" s="64">
        <f t="shared" si="47"/>
        <v>0</v>
      </c>
      <c r="BP286" s="64">
        <f t="shared" si="48"/>
        <v>0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75</v>
      </c>
      <c r="L287" s="32"/>
      <c r="M287" s="33" t="s">
        <v>76</v>
      </c>
      <c r="N287" s="33"/>
      <c r="O287" s="32">
        <v>45</v>
      </c>
      <c r="P287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65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487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hidden="1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70</v>
      </c>
      <c r="Q288" s="647"/>
      <c r="R288" s="647"/>
      <c r="S288" s="647"/>
      <c r="T288" s="647"/>
      <c r="U288" s="647"/>
      <c r="V288" s="648"/>
      <c r="W288" s="37" t="s">
        <v>71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32"/>
      <c r="AB288" s="632"/>
      <c r="AC288" s="632"/>
    </row>
    <row r="289" spans="1:68" hidden="1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70</v>
      </c>
      <c r="Q289" s="647"/>
      <c r="R289" s="647"/>
      <c r="S289" s="647"/>
      <c r="T289" s="647"/>
      <c r="U289" s="647"/>
      <c r="V289" s="648"/>
      <c r="W289" s="37" t="s">
        <v>65</v>
      </c>
      <c r="X289" s="631">
        <f>IFERROR(SUM(X276:X287),"0")</f>
        <v>0</v>
      </c>
      <c r="Y289" s="631">
        <f>IFERROR(SUM(Y276:Y287),"0")</f>
        <v>0</v>
      </c>
      <c r="Z289" s="37"/>
      <c r="AA289" s="632"/>
      <c r="AB289" s="632"/>
      <c r="AC289" s="632"/>
    </row>
    <row r="290" spans="1:68" ht="14.25" hidden="1" customHeight="1" x14ac:dyDescent="0.25">
      <c r="A290" s="655" t="s">
        <v>161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4"/>
      <c r="AB290" s="624"/>
      <c r="AC290" s="624"/>
    </row>
    <row r="291" spans="1:68" ht="27" hidden="1" customHeight="1" x14ac:dyDescent="0.25">
      <c r="A291" s="54" t="s">
        <v>488</v>
      </c>
      <c r="B291" s="54" t="s">
        <v>489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75</v>
      </c>
      <c r="L291" s="32"/>
      <c r="M291" s="33" t="s">
        <v>82</v>
      </c>
      <c r="N291" s="33"/>
      <c r="O291" s="32">
        <v>40</v>
      </c>
      <c r="P291" s="9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65</v>
      </c>
      <c r="X291" s="629">
        <v>0</v>
      </c>
      <c r="Y291" s="630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9" t="s">
        <v>490</v>
      </c>
      <c r="AG291" s="64"/>
      <c r="AJ291" s="68"/>
      <c r="AK291" s="68">
        <v>0</v>
      </c>
      <c r="BB291" s="370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491</v>
      </c>
      <c r="B292" s="54" t="s">
        <v>492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75</v>
      </c>
      <c r="L292" s="32"/>
      <c r="M292" s="33" t="s">
        <v>76</v>
      </c>
      <c r="N292" s="33"/>
      <c r="O292" s="32">
        <v>40</v>
      </c>
      <c r="P292" s="9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65</v>
      </c>
      <c r="X292" s="629">
        <v>0</v>
      </c>
      <c r="Y292" s="63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1" t="s">
        <v>493</v>
      </c>
      <c r="AG292" s="64"/>
      <c r="AJ292" s="68"/>
      <c r="AK292" s="68">
        <v>0</v>
      </c>
      <c r="BB292" s="372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70</v>
      </c>
      <c r="Q293" s="647"/>
      <c r="R293" s="647"/>
      <c r="S293" s="647"/>
      <c r="T293" s="647"/>
      <c r="U293" s="647"/>
      <c r="V293" s="648"/>
      <c r="W293" s="37" t="s">
        <v>71</v>
      </c>
      <c r="X293" s="631">
        <f>IFERROR(X291/H291,"0")+IFERROR(X292/H292,"0")</f>
        <v>0</v>
      </c>
      <c r="Y293" s="631">
        <f>IFERROR(Y291/H291,"0")+IFERROR(Y292/H292,"0")</f>
        <v>0</v>
      </c>
      <c r="Z293" s="631">
        <f>IFERROR(IF(Z291="",0,Z291),"0")+IFERROR(IF(Z292="",0,Z292),"0")</f>
        <v>0</v>
      </c>
      <c r="AA293" s="632"/>
      <c r="AB293" s="632"/>
      <c r="AC293" s="632"/>
    </row>
    <row r="294" spans="1:68" hidden="1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70</v>
      </c>
      <c r="Q294" s="647"/>
      <c r="R294" s="647"/>
      <c r="S294" s="647"/>
      <c r="T294" s="647"/>
      <c r="U294" s="647"/>
      <c r="V294" s="648"/>
      <c r="W294" s="37" t="s">
        <v>65</v>
      </c>
      <c r="X294" s="631">
        <f>IFERROR(SUM(X291:X292),"0")</f>
        <v>0</v>
      </c>
      <c r="Y294" s="631">
        <f>IFERROR(SUM(Y291:Y292),"0")</f>
        <v>0</v>
      </c>
      <c r="Z294" s="37"/>
      <c r="AA294" s="632"/>
      <c r="AB294" s="632"/>
      <c r="AC294" s="632"/>
    </row>
    <row r="295" spans="1:68" ht="16.5" hidden="1" customHeight="1" x14ac:dyDescent="0.25">
      <c r="A295" s="649" t="s">
        <v>494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3"/>
      <c r="AB295" s="623"/>
      <c r="AC295" s="623"/>
    </row>
    <row r="296" spans="1:68" ht="14.25" hidden="1" customHeight="1" x14ac:dyDescent="0.25">
      <c r="A296" s="655" t="s">
        <v>111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4"/>
      <c r="AB296" s="624"/>
      <c r="AC296" s="624"/>
    </row>
    <row r="297" spans="1:68" ht="27" hidden="1" customHeight="1" x14ac:dyDescent="0.25">
      <c r="A297" s="54" t="s">
        <v>495</v>
      </c>
      <c r="B297" s="54" t="s">
        <v>496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114</v>
      </c>
      <c r="L297" s="32"/>
      <c r="M297" s="33" t="s">
        <v>115</v>
      </c>
      <c r="N297" s="33"/>
      <c r="O297" s="32">
        <v>55</v>
      </c>
      <c r="P297" s="9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65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497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hidden="1" customHeight="1" x14ac:dyDescent="0.25">
      <c r="A298" s="54" t="s">
        <v>498</v>
      </c>
      <c r="B298" s="54" t="s">
        <v>499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114</v>
      </c>
      <c r="L298" s="32"/>
      <c r="M298" s="33" t="s">
        <v>115</v>
      </c>
      <c r="N298" s="33"/>
      <c r="O298" s="32">
        <v>55</v>
      </c>
      <c r="P298" s="9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65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500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501</v>
      </c>
      <c r="B299" s="54" t="s">
        <v>502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65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355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123</v>
      </c>
      <c r="L300" s="32"/>
      <c r="M300" s="33" t="s">
        <v>115</v>
      </c>
      <c r="N300" s="33"/>
      <c r="O300" s="32">
        <v>55</v>
      </c>
      <c r="P300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65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497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505</v>
      </c>
      <c r="B301" s="54" t="s">
        <v>506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123</v>
      </c>
      <c r="L301" s="32"/>
      <c r="M301" s="33" t="s">
        <v>115</v>
      </c>
      <c r="N301" s="33"/>
      <c r="O301" s="32">
        <v>55</v>
      </c>
      <c r="P301" s="9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65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507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75</v>
      </c>
      <c r="L302" s="32"/>
      <c r="M302" s="33" t="s">
        <v>115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65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510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79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65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355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hidden="1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70</v>
      </c>
      <c r="Q304" s="647"/>
      <c r="R304" s="647"/>
      <c r="S304" s="647"/>
      <c r="T304" s="647"/>
      <c r="U304" s="647"/>
      <c r="V304" s="648"/>
      <c r="W304" s="37" t="s">
        <v>71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hidden="1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70</v>
      </c>
      <c r="Q305" s="647"/>
      <c r="R305" s="647"/>
      <c r="S305" s="647"/>
      <c r="T305" s="647"/>
      <c r="U305" s="647"/>
      <c r="V305" s="648"/>
      <c r="W305" s="37" t="s">
        <v>65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hidden="1" customHeight="1" x14ac:dyDescent="0.25">
      <c r="A306" s="655" t="s">
        <v>144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4"/>
      <c r="AB306" s="624"/>
      <c r="AC306" s="624"/>
    </row>
    <row r="307" spans="1:68" ht="27" hidden="1" customHeight="1" x14ac:dyDescent="0.25">
      <c r="A307" s="54" t="s">
        <v>513</v>
      </c>
      <c r="B307" s="54" t="s">
        <v>514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63</v>
      </c>
      <c r="L307" s="32"/>
      <c r="M307" s="33" t="s">
        <v>76</v>
      </c>
      <c r="N307" s="33"/>
      <c r="O307" s="32">
        <v>50</v>
      </c>
      <c r="P307" s="99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65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515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70</v>
      </c>
      <c r="Q308" s="647"/>
      <c r="R308" s="647"/>
      <c r="S308" s="647"/>
      <c r="T308" s="647"/>
      <c r="U308" s="647"/>
      <c r="V308" s="648"/>
      <c r="W308" s="37" t="s">
        <v>71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70</v>
      </c>
      <c r="Q309" s="647"/>
      <c r="R309" s="647"/>
      <c r="S309" s="647"/>
      <c r="T309" s="647"/>
      <c r="U309" s="647"/>
      <c r="V309" s="648"/>
      <c r="W309" s="37" t="s">
        <v>65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5" t="s">
        <v>516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4"/>
      <c r="AB310" s="624"/>
      <c r="AC310" s="624"/>
    </row>
    <row r="311" spans="1:68" ht="27" hidden="1" customHeight="1" x14ac:dyDescent="0.25">
      <c r="A311" s="54" t="s">
        <v>517</v>
      </c>
      <c r="B311" s="54" t="s">
        <v>518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331</v>
      </c>
      <c r="L311" s="32"/>
      <c r="M311" s="33" t="s">
        <v>273</v>
      </c>
      <c r="N311" s="33"/>
      <c r="O311" s="32">
        <v>45</v>
      </c>
      <c r="P311" s="8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65</v>
      </c>
      <c r="X311" s="629">
        <v>0</v>
      </c>
      <c r="Y311" s="630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9" t="s">
        <v>519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70</v>
      </c>
      <c r="Q312" s="647"/>
      <c r="R312" s="647"/>
      <c r="S312" s="647"/>
      <c r="T312" s="647"/>
      <c r="U312" s="647"/>
      <c r="V312" s="648"/>
      <c r="W312" s="37" t="s">
        <v>71</v>
      </c>
      <c r="X312" s="631">
        <f>IFERROR(X311/H311,"0")</f>
        <v>0</v>
      </c>
      <c r="Y312" s="631">
        <f>IFERROR(Y311/H311,"0")</f>
        <v>0</v>
      </c>
      <c r="Z312" s="631">
        <f>IFERROR(IF(Z311="",0,Z311),"0")</f>
        <v>0</v>
      </c>
      <c r="AA312" s="632"/>
      <c r="AB312" s="632"/>
      <c r="AC312" s="632"/>
    </row>
    <row r="313" spans="1:68" hidden="1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70</v>
      </c>
      <c r="Q313" s="647"/>
      <c r="R313" s="647"/>
      <c r="S313" s="647"/>
      <c r="T313" s="647"/>
      <c r="U313" s="647"/>
      <c r="V313" s="648"/>
      <c r="W313" s="37" t="s">
        <v>65</v>
      </c>
      <c r="X313" s="631">
        <f>IFERROR(SUM(X311:X311),"0")</f>
        <v>0</v>
      </c>
      <c r="Y313" s="631">
        <f>IFERROR(SUM(Y311:Y311),"0")</f>
        <v>0</v>
      </c>
      <c r="Z313" s="37"/>
      <c r="AA313" s="632"/>
      <c r="AB313" s="632"/>
      <c r="AC313" s="632"/>
    </row>
    <row r="314" spans="1:68" ht="14.25" hidden="1" customHeight="1" x14ac:dyDescent="0.25">
      <c r="A314" s="655" t="s">
        <v>333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4"/>
      <c r="AB314" s="624"/>
      <c r="AC314" s="624"/>
    </row>
    <row r="315" spans="1:68" ht="27" hidden="1" customHeight="1" x14ac:dyDescent="0.25">
      <c r="A315" s="54" t="s">
        <v>520</v>
      </c>
      <c r="B315" s="54" t="s">
        <v>521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331</v>
      </c>
      <c r="L315" s="32"/>
      <c r="M315" s="33" t="s">
        <v>273</v>
      </c>
      <c r="N315" s="33"/>
      <c r="O315" s="32">
        <v>90</v>
      </c>
      <c r="P315" s="6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65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522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523</v>
      </c>
      <c r="B316" s="54" t="s">
        <v>524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331</v>
      </c>
      <c r="L316" s="32"/>
      <c r="M316" s="33" t="s">
        <v>273</v>
      </c>
      <c r="N316" s="33"/>
      <c r="O316" s="32">
        <v>90</v>
      </c>
      <c r="P316" s="6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65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522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525</v>
      </c>
      <c r="B317" s="54" t="s">
        <v>526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331</v>
      </c>
      <c r="L317" s="32"/>
      <c r="M317" s="33" t="s">
        <v>273</v>
      </c>
      <c r="N317" s="33"/>
      <c r="O317" s="32">
        <v>90</v>
      </c>
      <c r="P317" s="94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65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522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70</v>
      </c>
      <c r="Q318" s="647"/>
      <c r="R318" s="647"/>
      <c r="S318" s="647"/>
      <c r="T318" s="647"/>
      <c r="U318" s="647"/>
      <c r="V318" s="648"/>
      <c r="W318" s="37" t="s">
        <v>71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70</v>
      </c>
      <c r="Q319" s="647"/>
      <c r="R319" s="647"/>
      <c r="S319" s="647"/>
      <c r="T319" s="647"/>
      <c r="U319" s="647"/>
      <c r="V319" s="648"/>
      <c r="W319" s="37" t="s">
        <v>65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49" t="s">
        <v>527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3"/>
      <c r="AB320" s="623"/>
      <c r="AC320" s="623"/>
    </row>
    <row r="321" spans="1:68" ht="14.25" hidden="1" customHeight="1" x14ac:dyDescent="0.25">
      <c r="A321" s="655" t="s">
        <v>111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4"/>
      <c r="AB321" s="624"/>
      <c r="AC321" s="624"/>
    </row>
    <row r="322" spans="1:68" ht="27" hidden="1" customHeight="1" x14ac:dyDescent="0.25">
      <c r="A322" s="54" t="s">
        <v>528</v>
      </c>
      <c r="B322" s="54" t="s">
        <v>529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114</v>
      </c>
      <c r="L322" s="32"/>
      <c r="M322" s="33" t="s">
        <v>115</v>
      </c>
      <c r="N322" s="33"/>
      <c r="O322" s="32">
        <v>55</v>
      </c>
      <c r="P322" s="8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65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530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531</v>
      </c>
      <c r="B323" s="54" t="s">
        <v>532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114</v>
      </c>
      <c r="L323" s="32"/>
      <c r="M323" s="33" t="s">
        <v>115</v>
      </c>
      <c r="N323" s="33"/>
      <c r="O323" s="32">
        <v>55</v>
      </c>
      <c r="P323" s="92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65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533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534</v>
      </c>
      <c r="B324" s="54" t="s">
        <v>535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65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536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537</v>
      </c>
      <c r="B325" s="54" t="s">
        <v>538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123</v>
      </c>
      <c r="L325" s="32"/>
      <c r="M325" s="33" t="s">
        <v>115</v>
      </c>
      <c r="N325" s="33"/>
      <c r="O325" s="32">
        <v>55</v>
      </c>
      <c r="P325" s="81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65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539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540</v>
      </c>
      <c r="B326" s="54" t="s">
        <v>541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123</v>
      </c>
      <c r="L326" s="32"/>
      <c r="M326" s="33" t="s">
        <v>115</v>
      </c>
      <c r="N326" s="33"/>
      <c r="O326" s="32">
        <v>55</v>
      </c>
      <c r="P326" s="6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65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542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70</v>
      </c>
      <c r="Q327" s="647"/>
      <c r="R327" s="647"/>
      <c r="S327" s="647"/>
      <c r="T327" s="647"/>
      <c r="U327" s="647"/>
      <c r="V327" s="648"/>
      <c r="W327" s="37" t="s">
        <v>71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70</v>
      </c>
      <c r="Q328" s="647"/>
      <c r="R328" s="647"/>
      <c r="S328" s="647"/>
      <c r="T328" s="647"/>
      <c r="U328" s="647"/>
      <c r="V328" s="648"/>
      <c r="W328" s="37" t="s">
        <v>65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49" t="s">
        <v>543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3"/>
      <c r="AB329" s="623"/>
      <c r="AC329" s="623"/>
    </row>
    <row r="330" spans="1:68" ht="14.25" hidden="1" customHeight="1" x14ac:dyDescent="0.25">
      <c r="A330" s="655" t="s">
        <v>72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4"/>
      <c r="AB330" s="624"/>
      <c r="AC330" s="624"/>
    </row>
    <row r="331" spans="1:68" ht="27" hidden="1" customHeight="1" x14ac:dyDescent="0.25">
      <c r="A331" s="54" t="s">
        <v>544</v>
      </c>
      <c r="B331" s="54" t="s">
        <v>545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75</v>
      </c>
      <c r="L331" s="32"/>
      <c r="M331" s="33" t="s">
        <v>76</v>
      </c>
      <c r="N331" s="33"/>
      <c r="O331" s="32">
        <v>45</v>
      </c>
      <c r="P331" s="7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65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546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547</v>
      </c>
      <c r="B332" s="54" t="s">
        <v>548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75</v>
      </c>
      <c r="L332" s="32"/>
      <c r="M332" s="33" t="s">
        <v>82</v>
      </c>
      <c r="N332" s="33"/>
      <c r="O332" s="32">
        <v>40</v>
      </c>
      <c r="P332" s="8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65</v>
      </c>
      <c r="X332" s="629">
        <v>0</v>
      </c>
      <c r="Y332" s="63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549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550</v>
      </c>
      <c r="B333" s="54" t="s">
        <v>551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75</v>
      </c>
      <c r="L333" s="32"/>
      <c r="M333" s="33" t="s">
        <v>76</v>
      </c>
      <c r="N333" s="33"/>
      <c r="O333" s="32">
        <v>45</v>
      </c>
      <c r="P333" s="90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65</v>
      </c>
      <c r="X333" s="629">
        <v>0</v>
      </c>
      <c r="Y333" s="630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546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70</v>
      </c>
      <c r="Q334" s="647"/>
      <c r="R334" s="647"/>
      <c r="S334" s="647"/>
      <c r="T334" s="647"/>
      <c r="U334" s="647"/>
      <c r="V334" s="648"/>
      <c r="W334" s="37" t="s">
        <v>71</v>
      </c>
      <c r="X334" s="631">
        <f>IFERROR(X331/H331,"0")+IFERROR(X332/H332,"0")+IFERROR(X333/H333,"0")</f>
        <v>0</v>
      </c>
      <c r="Y334" s="631">
        <f>IFERROR(Y331/H331,"0")+IFERROR(Y332/H332,"0")+IFERROR(Y333/H333,"0")</f>
        <v>0</v>
      </c>
      <c r="Z334" s="631">
        <f>IFERROR(IF(Z331="",0,Z331),"0")+IFERROR(IF(Z332="",0,Z332),"0")+IFERROR(IF(Z333="",0,Z333),"0")</f>
        <v>0</v>
      </c>
      <c r="AA334" s="632"/>
      <c r="AB334" s="632"/>
      <c r="AC334" s="632"/>
    </row>
    <row r="335" spans="1:68" hidden="1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70</v>
      </c>
      <c r="Q335" s="647"/>
      <c r="R335" s="647"/>
      <c r="S335" s="647"/>
      <c r="T335" s="647"/>
      <c r="U335" s="647"/>
      <c r="V335" s="648"/>
      <c r="W335" s="37" t="s">
        <v>65</v>
      </c>
      <c r="X335" s="631">
        <f>IFERROR(SUM(X331:X333),"0")</f>
        <v>0</v>
      </c>
      <c r="Y335" s="631">
        <f>IFERROR(SUM(Y331:Y333),"0")</f>
        <v>0</v>
      </c>
      <c r="Z335" s="37"/>
      <c r="AA335" s="632"/>
      <c r="AB335" s="632"/>
      <c r="AC335" s="632"/>
    </row>
    <row r="336" spans="1:68" ht="16.5" hidden="1" customHeight="1" x14ac:dyDescent="0.25">
      <c r="A336" s="649" t="s">
        <v>552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3"/>
      <c r="AB336" s="623"/>
      <c r="AC336" s="623"/>
    </row>
    <row r="337" spans="1:68" ht="14.25" hidden="1" customHeight="1" x14ac:dyDescent="0.25">
      <c r="A337" s="655" t="s">
        <v>60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4"/>
      <c r="AB337" s="624"/>
      <c r="AC337" s="624"/>
    </row>
    <row r="338" spans="1:68" ht="27" hidden="1" customHeight="1" x14ac:dyDescent="0.25">
      <c r="A338" s="54" t="s">
        <v>553</v>
      </c>
      <c r="B338" s="54" t="s">
        <v>554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63</v>
      </c>
      <c r="L338" s="32"/>
      <c r="M338" s="33" t="s">
        <v>64</v>
      </c>
      <c r="N338" s="33"/>
      <c r="O338" s="32">
        <v>45</v>
      </c>
      <c r="P338" s="9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65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387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555</v>
      </c>
      <c r="B339" s="54" t="s">
        <v>556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63</v>
      </c>
      <c r="L339" s="32"/>
      <c r="M339" s="33" t="s">
        <v>64</v>
      </c>
      <c r="N339" s="33"/>
      <c r="O339" s="32">
        <v>40</v>
      </c>
      <c r="P339" s="70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65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557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558</v>
      </c>
      <c r="B340" s="54" t="s">
        <v>559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63</v>
      </c>
      <c r="L340" s="32"/>
      <c r="M340" s="33" t="s">
        <v>64</v>
      </c>
      <c r="N340" s="33"/>
      <c r="O340" s="32">
        <v>40</v>
      </c>
      <c r="P340" s="7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65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560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561</v>
      </c>
      <c r="B341" s="54" t="s">
        <v>562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75</v>
      </c>
      <c r="L341" s="32"/>
      <c r="M341" s="33" t="s">
        <v>64</v>
      </c>
      <c r="N341" s="33"/>
      <c r="O341" s="32">
        <v>40</v>
      </c>
      <c r="P341" s="92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65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563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564</v>
      </c>
      <c r="B342" s="54" t="s">
        <v>565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63</v>
      </c>
      <c r="L342" s="32"/>
      <c r="M342" s="33" t="s">
        <v>64</v>
      </c>
      <c r="N342" s="33"/>
      <c r="O342" s="32">
        <v>40</v>
      </c>
      <c r="P342" s="95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65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566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70</v>
      </c>
      <c r="Q343" s="647"/>
      <c r="R343" s="647"/>
      <c r="S343" s="647"/>
      <c r="T343" s="647"/>
      <c r="U343" s="647"/>
      <c r="V343" s="648"/>
      <c r="W343" s="37" t="s">
        <v>71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70</v>
      </c>
      <c r="Q344" s="647"/>
      <c r="R344" s="647"/>
      <c r="S344" s="647"/>
      <c r="T344" s="647"/>
      <c r="U344" s="647"/>
      <c r="V344" s="648"/>
      <c r="W344" s="37" t="s">
        <v>65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5" t="s">
        <v>72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4"/>
      <c r="AB345" s="624"/>
      <c r="AC345" s="624"/>
    </row>
    <row r="346" spans="1:68" ht="27" hidden="1" customHeight="1" x14ac:dyDescent="0.25">
      <c r="A346" s="54" t="s">
        <v>567</v>
      </c>
      <c r="B346" s="54" t="s">
        <v>568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123</v>
      </c>
      <c r="L346" s="32"/>
      <c r="M346" s="33" t="s">
        <v>76</v>
      </c>
      <c r="N346" s="33"/>
      <c r="O346" s="32">
        <v>45</v>
      </c>
      <c r="P346" s="9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65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569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570</v>
      </c>
      <c r="B347" s="54" t="s">
        <v>571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123</v>
      </c>
      <c r="L347" s="32"/>
      <c r="M347" s="33" t="s">
        <v>76</v>
      </c>
      <c r="N347" s="33"/>
      <c r="O347" s="32">
        <v>45</v>
      </c>
      <c r="P347" s="94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65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572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70</v>
      </c>
      <c r="Q348" s="647"/>
      <c r="R348" s="647"/>
      <c r="S348" s="647"/>
      <c r="T348" s="647"/>
      <c r="U348" s="647"/>
      <c r="V348" s="648"/>
      <c r="W348" s="37" t="s">
        <v>71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70</v>
      </c>
      <c r="Q349" s="647"/>
      <c r="R349" s="647"/>
      <c r="S349" s="647"/>
      <c r="T349" s="647"/>
      <c r="U349" s="647"/>
      <c r="V349" s="648"/>
      <c r="W349" s="37" t="s">
        <v>65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49" t="s">
        <v>573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3"/>
      <c r="AB350" s="623"/>
      <c r="AC350" s="623"/>
    </row>
    <row r="351" spans="1:68" ht="14.25" hidden="1" customHeight="1" x14ac:dyDescent="0.25">
      <c r="A351" s="655" t="s">
        <v>111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4"/>
      <c r="AB351" s="624"/>
      <c r="AC351" s="624"/>
    </row>
    <row r="352" spans="1:68" ht="27" hidden="1" customHeight="1" x14ac:dyDescent="0.25">
      <c r="A352" s="54" t="s">
        <v>574</v>
      </c>
      <c r="B352" s="54" t="s">
        <v>575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114</v>
      </c>
      <c r="L352" s="32"/>
      <c r="M352" s="33" t="s">
        <v>76</v>
      </c>
      <c r="N352" s="33"/>
      <c r="O352" s="32">
        <v>60</v>
      </c>
      <c r="P352" s="76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65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346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576</v>
      </c>
      <c r="B353" s="54" t="s">
        <v>577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114</v>
      </c>
      <c r="L353" s="32"/>
      <c r="M353" s="33" t="s">
        <v>76</v>
      </c>
      <c r="N353" s="33"/>
      <c r="O353" s="32">
        <v>60</v>
      </c>
      <c r="P353" s="7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65</v>
      </c>
      <c r="X353" s="629">
        <v>0</v>
      </c>
      <c r="Y353" s="63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9" t="s">
        <v>578</v>
      </c>
      <c r="AG353" s="64"/>
      <c r="AJ353" s="68"/>
      <c r="AK353" s="68">
        <v>0</v>
      </c>
      <c r="BB353" s="430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579</v>
      </c>
      <c r="B354" s="54" t="s">
        <v>580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114</v>
      </c>
      <c r="L354" s="32"/>
      <c r="M354" s="33" t="s">
        <v>76</v>
      </c>
      <c r="N354" s="33"/>
      <c r="O354" s="32">
        <v>60</v>
      </c>
      <c r="P354" s="9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65</v>
      </c>
      <c r="X354" s="629">
        <v>0</v>
      </c>
      <c r="Y354" s="63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581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70</v>
      </c>
      <c r="Q355" s="647"/>
      <c r="R355" s="647"/>
      <c r="S355" s="647"/>
      <c r="T355" s="647"/>
      <c r="U355" s="647"/>
      <c r="V355" s="648"/>
      <c r="W355" s="37" t="s">
        <v>71</v>
      </c>
      <c r="X355" s="631">
        <f>IFERROR(X352/H352,"0")+IFERROR(X353/H353,"0")+IFERROR(X354/H354,"0")</f>
        <v>0</v>
      </c>
      <c r="Y355" s="631">
        <f>IFERROR(Y352/H352,"0")+IFERROR(Y353/H353,"0")+IFERROR(Y354/H354,"0")</f>
        <v>0</v>
      </c>
      <c r="Z355" s="631">
        <f>IFERROR(IF(Z352="",0,Z352),"0")+IFERROR(IF(Z353="",0,Z353),"0")+IFERROR(IF(Z354="",0,Z354),"0")</f>
        <v>0</v>
      </c>
      <c r="AA355" s="632"/>
      <c r="AB355" s="632"/>
      <c r="AC355" s="632"/>
    </row>
    <row r="356" spans="1:68" hidden="1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70</v>
      </c>
      <c r="Q356" s="647"/>
      <c r="R356" s="647"/>
      <c r="S356" s="647"/>
      <c r="T356" s="647"/>
      <c r="U356" s="647"/>
      <c r="V356" s="648"/>
      <c r="W356" s="37" t="s">
        <v>65</v>
      </c>
      <c r="X356" s="631">
        <f>IFERROR(SUM(X352:X354),"0")</f>
        <v>0</v>
      </c>
      <c r="Y356" s="631">
        <f>IFERROR(SUM(Y352:Y354),"0")</f>
        <v>0</v>
      </c>
      <c r="Z356" s="37"/>
      <c r="AA356" s="632"/>
      <c r="AB356" s="632"/>
      <c r="AC356" s="632"/>
    </row>
    <row r="357" spans="1:68" ht="16.5" hidden="1" customHeight="1" x14ac:dyDescent="0.25">
      <c r="A357" s="649" t="s">
        <v>582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3"/>
      <c r="AB357" s="623"/>
      <c r="AC357" s="623"/>
    </row>
    <row r="358" spans="1:68" ht="14.25" hidden="1" customHeight="1" x14ac:dyDescent="0.25">
      <c r="A358" s="655" t="s">
        <v>111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4"/>
      <c r="AB358" s="624"/>
      <c r="AC358" s="624"/>
    </row>
    <row r="359" spans="1:68" ht="27" hidden="1" customHeight="1" x14ac:dyDescent="0.25">
      <c r="A359" s="54" t="s">
        <v>583</v>
      </c>
      <c r="B359" s="54" t="s">
        <v>584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114</v>
      </c>
      <c r="L359" s="32"/>
      <c r="M359" s="33" t="s">
        <v>115</v>
      </c>
      <c r="N359" s="33"/>
      <c r="O359" s="32">
        <v>55</v>
      </c>
      <c r="P359" s="91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65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585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586</v>
      </c>
      <c r="B360" s="54" t="s">
        <v>587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114</v>
      </c>
      <c r="L360" s="32"/>
      <c r="M360" s="33" t="s">
        <v>115</v>
      </c>
      <c r="N360" s="33"/>
      <c r="O360" s="32">
        <v>55</v>
      </c>
      <c r="P360" s="98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65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588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589</v>
      </c>
      <c r="B361" s="54" t="s">
        <v>590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114</v>
      </c>
      <c r="L361" s="32"/>
      <c r="M361" s="33" t="s">
        <v>76</v>
      </c>
      <c r="N361" s="33"/>
      <c r="O361" s="32">
        <v>55</v>
      </c>
      <c r="P361" s="83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65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591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592</v>
      </c>
      <c r="B362" s="54" t="s">
        <v>593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123</v>
      </c>
      <c r="L362" s="32"/>
      <c r="M362" s="33" t="s">
        <v>115</v>
      </c>
      <c r="N362" s="33"/>
      <c r="O362" s="32">
        <v>55</v>
      </c>
      <c r="P362" s="94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65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585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123</v>
      </c>
      <c r="L363" s="32"/>
      <c r="M363" s="33" t="s">
        <v>115</v>
      </c>
      <c r="N363" s="33"/>
      <c r="O363" s="32">
        <v>55</v>
      </c>
      <c r="P363" s="9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65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70</v>
      </c>
      <c r="Q364" s="647"/>
      <c r="R364" s="647"/>
      <c r="S364" s="647"/>
      <c r="T364" s="647"/>
      <c r="U364" s="647"/>
      <c r="V364" s="648"/>
      <c r="W364" s="37" t="s">
        <v>71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hidden="1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70</v>
      </c>
      <c r="Q365" s="647"/>
      <c r="R365" s="647"/>
      <c r="S365" s="647"/>
      <c r="T365" s="647"/>
      <c r="U365" s="647"/>
      <c r="V365" s="648"/>
      <c r="W365" s="37" t="s">
        <v>65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hidden="1" customHeight="1" x14ac:dyDescent="0.25">
      <c r="A366" s="655" t="s">
        <v>60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4"/>
      <c r="AB366" s="624"/>
      <c r="AC366" s="624"/>
    </row>
    <row r="367" spans="1:68" ht="27" hidden="1" customHeight="1" x14ac:dyDescent="0.25">
      <c r="A367" s="54" t="s">
        <v>597</v>
      </c>
      <c r="B367" s="54" t="s">
        <v>598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123</v>
      </c>
      <c r="L367" s="32"/>
      <c r="M367" s="33" t="s">
        <v>64</v>
      </c>
      <c r="N367" s="33"/>
      <c r="O367" s="32">
        <v>35</v>
      </c>
      <c r="P367" s="9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65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599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123</v>
      </c>
      <c r="L368" s="32"/>
      <c r="M368" s="33" t="s">
        <v>64</v>
      </c>
      <c r="N368" s="33"/>
      <c r="O368" s="32">
        <v>40</v>
      </c>
      <c r="P368" s="9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65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602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hidden="1" customHeight="1" x14ac:dyDescent="0.25">
      <c r="A369" s="54" t="s">
        <v>603</v>
      </c>
      <c r="B369" s="54" t="s">
        <v>604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123</v>
      </c>
      <c r="L369" s="32"/>
      <c r="M369" s="33" t="s">
        <v>64</v>
      </c>
      <c r="N369" s="33"/>
      <c r="O369" s="32">
        <v>45</v>
      </c>
      <c r="P369" s="93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65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605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606</v>
      </c>
      <c r="B370" s="54" t="s">
        <v>607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63</v>
      </c>
      <c r="L370" s="32"/>
      <c r="M370" s="33" t="s">
        <v>64</v>
      </c>
      <c r="N370" s="33"/>
      <c r="O370" s="32">
        <v>40</v>
      </c>
      <c r="P370" s="9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65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602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63</v>
      </c>
      <c r="L371" s="32"/>
      <c r="M371" s="33" t="s">
        <v>64</v>
      </c>
      <c r="N371" s="33"/>
      <c r="O371" s="32">
        <v>40</v>
      </c>
      <c r="P371" s="7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65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123</v>
      </c>
      <c r="L372" s="32"/>
      <c r="M372" s="33" t="s">
        <v>64</v>
      </c>
      <c r="N372" s="33"/>
      <c r="O372" s="32">
        <v>45</v>
      </c>
      <c r="P372" s="8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65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75</v>
      </c>
      <c r="L373" s="32"/>
      <c r="M373" s="33" t="s">
        <v>64</v>
      </c>
      <c r="N373" s="33"/>
      <c r="O373" s="32">
        <v>40</v>
      </c>
      <c r="P373" s="9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65</v>
      </c>
      <c r="X373" s="629">
        <v>0</v>
      </c>
      <c r="Y373" s="630">
        <f t="shared" si="54"/>
        <v>0</v>
      </c>
      <c r="Z373" s="36" t="str">
        <f>IFERROR(IF(Y373=0,"",ROUNDUP(Y373/H373,0)*0.00651),"")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55"/>
        <v>0</v>
      </c>
      <c r="BN373" s="64">
        <f t="shared" si="56"/>
        <v>0</v>
      </c>
      <c r="BO373" s="64">
        <f t="shared" si="57"/>
        <v>0</v>
      </c>
      <c r="BP373" s="64">
        <f t="shared" si="58"/>
        <v>0</v>
      </c>
    </row>
    <row r="374" spans="1:68" hidden="1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70</v>
      </c>
      <c r="Q374" s="647"/>
      <c r="R374" s="647"/>
      <c r="S374" s="647"/>
      <c r="T374" s="647"/>
      <c r="U374" s="647"/>
      <c r="V374" s="648"/>
      <c r="W374" s="37" t="s">
        <v>71</v>
      </c>
      <c r="X374" s="631">
        <f>IFERROR(X367/H367,"0")+IFERROR(X368/H368,"0")+IFERROR(X369/H369,"0")+IFERROR(X370/H370,"0")+IFERROR(X371/H371,"0")+IFERROR(X372/H372,"0")+IFERROR(X373/H373,"0")</f>
        <v>0</v>
      </c>
      <c r="Y374" s="631">
        <f>IFERROR(Y367/H367,"0")+IFERROR(Y368/H368,"0")+IFERROR(Y369/H369,"0")+IFERROR(Y370/H370,"0")+IFERROR(Y371/H371,"0")+IFERROR(Y372/H372,"0")+IFERROR(Y373/H373,"0")</f>
        <v>0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2"/>
      <c r="AB374" s="632"/>
      <c r="AC374" s="632"/>
    </row>
    <row r="375" spans="1:68" hidden="1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70</v>
      </c>
      <c r="Q375" s="647"/>
      <c r="R375" s="647"/>
      <c r="S375" s="647"/>
      <c r="T375" s="647"/>
      <c r="U375" s="647"/>
      <c r="V375" s="648"/>
      <c r="W375" s="37" t="s">
        <v>65</v>
      </c>
      <c r="X375" s="631">
        <f>IFERROR(SUM(X367:X373),"0")</f>
        <v>0</v>
      </c>
      <c r="Y375" s="631">
        <f>IFERROR(SUM(Y367:Y373),"0")</f>
        <v>0</v>
      </c>
      <c r="Z375" s="37"/>
      <c r="AA375" s="632"/>
      <c r="AB375" s="632"/>
      <c r="AC375" s="632"/>
    </row>
    <row r="376" spans="1:68" ht="14.25" hidden="1" customHeight="1" x14ac:dyDescent="0.25">
      <c r="A376" s="655" t="s">
        <v>72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4"/>
      <c r="AB376" s="624"/>
      <c r="AC376" s="624"/>
    </row>
    <row r="377" spans="1:68" ht="27" hidden="1" customHeight="1" x14ac:dyDescent="0.25">
      <c r="A377" s="54" t="s">
        <v>616</v>
      </c>
      <c r="B377" s="54" t="s">
        <v>617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114</v>
      </c>
      <c r="L377" s="32"/>
      <c r="M377" s="33" t="s">
        <v>76</v>
      </c>
      <c r="N377" s="33"/>
      <c r="O377" s="32">
        <v>40</v>
      </c>
      <c r="P377" s="8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65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618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619</v>
      </c>
      <c r="B378" s="54" t="s">
        <v>620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114</v>
      </c>
      <c r="L378" s="32"/>
      <c r="M378" s="33" t="s">
        <v>76</v>
      </c>
      <c r="N378" s="33"/>
      <c r="O378" s="32">
        <v>40</v>
      </c>
      <c r="P378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65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621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622</v>
      </c>
      <c r="B379" s="54" t="s">
        <v>623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114</v>
      </c>
      <c r="L379" s="32"/>
      <c r="M379" s="33" t="s">
        <v>76</v>
      </c>
      <c r="N379" s="33"/>
      <c r="O379" s="32">
        <v>40</v>
      </c>
      <c r="P379" s="65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65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624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75</v>
      </c>
      <c r="L380" s="32"/>
      <c r="M380" s="33" t="s">
        <v>76</v>
      </c>
      <c r="N380" s="33"/>
      <c r="O380" s="32">
        <v>40</v>
      </c>
      <c r="P380" s="8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65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618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70</v>
      </c>
      <c r="Q381" s="647"/>
      <c r="R381" s="647"/>
      <c r="S381" s="647"/>
      <c r="T381" s="647"/>
      <c r="U381" s="647"/>
      <c r="V381" s="648"/>
      <c r="W381" s="37" t="s">
        <v>71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70</v>
      </c>
      <c r="Q382" s="647"/>
      <c r="R382" s="647"/>
      <c r="S382" s="647"/>
      <c r="T382" s="647"/>
      <c r="U382" s="647"/>
      <c r="V382" s="648"/>
      <c r="W382" s="37" t="s">
        <v>65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5" t="s">
        <v>161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4"/>
      <c r="AB383" s="624"/>
      <c r="AC383" s="624"/>
    </row>
    <row r="384" spans="1:68" ht="27" hidden="1" customHeight="1" x14ac:dyDescent="0.25">
      <c r="A384" s="54" t="s">
        <v>627</v>
      </c>
      <c r="B384" s="54" t="s">
        <v>628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114</v>
      </c>
      <c r="L384" s="32"/>
      <c r="M384" s="33" t="s">
        <v>76</v>
      </c>
      <c r="N384" s="33"/>
      <c r="O384" s="32">
        <v>30</v>
      </c>
      <c r="P384" s="66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65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629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630</v>
      </c>
      <c r="B385" s="54" t="s">
        <v>631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114</v>
      </c>
      <c r="L385" s="32"/>
      <c r="M385" s="33" t="s">
        <v>76</v>
      </c>
      <c r="N385" s="33"/>
      <c r="O385" s="32">
        <v>30</v>
      </c>
      <c r="P385" s="9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65</v>
      </c>
      <c r="X385" s="629">
        <v>0</v>
      </c>
      <c r="Y385" s="630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67" t="s">
        <v>632</v>
      </c>
      <c r="AG385" s="64"/>
      <c r="AJ385" s="68"/>
      <c r="AK385" s="68">
        <v>0</v>
      </c>
      <c r="BB385" s="46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633</v>
      </c>
      <c r="B386" s="54" t="s">
        <v>634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114</v>
      </c>
      <c r="L386" s="32"/>
      <c r="M386" s="33" t="s">
        <v>82</v>
      </c>
      <c r="N386" s="33"/>
      <c r="O386" s="32">
        <v>30</v>
      </c>
      <c r="P386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65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635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70</v>
      </c>
      <c r="Q387" s="647"/>
      <c r="R387" s="647"/>
      <c r="S387" s="647"/>
      <c r="T387" s="647"/>
      <c r="U387" s="647"/>
      <c r="V387" s="648"/>
      <c r="W387" s="37" t="s">
        <v>71</v>
      </c>
      <c r="X387" s="631">
        <f>IFERROR(X384/H384,"0")+IFERROR(X385/H385,"0")+IFERROR(X386/H386,"0")</f>
        <v>0</v>
      </c>
      <c r="Y387" s="631">
        <f>IFERROR(Y384/H384,"0")+IFERROR(Y385/H385,"0")+IFERROR(Y386/H386,"0")</f>
        <v>0</v>
      </c>
      <c r="Z387" s="631">
        <f>IFERROR(IF(Z384="",0,Z384),"0")+IFERROR(IF(Z385="",0,Z385),"0")+IFERROR(IF(Z386="",0,Z386),"0")</f>
        <v>0</v>
      </c>
      <c r="AA387" s="632"/>
      <c r="AB387" s="632"/>
      <c r="AC387" s="632"/>
    </row>
    <row r="388" spans="1:68" hidden="1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70</v>
      </c>
      <c r="Q388" s="647"/>
      <c r="R388" s="647"/>
      <c r="S388" s="647"/>
      <c r="T388" s="647"/>
      <c r="U388" s="647"/>
      <c r="V388" s="648"/>
      <c r="W388" s="37" t="s">
        <v>65</v>
      </c>
      <c r="X388" s="631">
        <f>IFERROR(SUM(X384:X386),"0")</f>
        <v>0</v>
      </c>
      <c r="Y388" s="631">
        <f>IFERROR(SUM(Y384:Y386),"0")</f>
        <v>0</v>
      </c>
      <c r="Z388" s="37"/>
      <c r="AA388" s="632"/>
      <c r="AB388" s="632"/>
      <c r="AC388" s="632"/>
    </row>
    <row r="389" spans="1:68" ht="14.25" hidden="1" customHeight="1" x14ac:dyDescent="0.25">
      <c r="A389" s="655" t="s">
        <v>269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4"/>
      <c r="AB389" s="624"/>
      <c r="AC389" s="624"/>
    </row>
    <row r="390" spans="1:68" ht="27" hidden="1" customHeight="1" x14ac:dyDescent="0.25">
      <c r="A390" s="54" t="s">
        <v>636</v>
      </c>
      <c r="B390" s="54" t="s">
        <v>637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123</v>
      </c>
      <c r="L390" s="32"/>
      <c r="M390" s="33" t="s">
        <v>236</v>
      </c>
      <c r="N390" s="33"/>
      <c r="O390" s="32">
        <v>180</v>
      </c>
      <c r="P390" s="9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65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638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639</v>
      </c>
      <c r="B391" s="54" t="s">
        <v>640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123</v>
      </c>
      <c r="L391" s="32"/>
      <c r="M391" s="33" t="s">
        <v>236</v>
      </c>
      <c r="N391" s="33"/>
      <c r="O391" s="32">
        <v>180</v>
      </c>
      <c r="P391" s="66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65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638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641</v>
      </c>
      <c r="B392" s="54" t="s">
        <v>642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75</v>
      </c>
      <c r="L392" s="32"/>
      <c r="M392" s="33" t="s">
        <v>236</v>
      </c>
      <c r="N392" s="33"/>
      <c r="O392" s="32">
        <v>180</v>
      </c>
      <c r="P392" s="66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65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638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643</v>
      </c>
      <c r="B393" s="54" t="s">
        <v>644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75</v>
      </c>
      <c r="L393" s="32"/>
      <c r="M393" s="33" t="s">
        <v>236</v>
      </c>
      <c r="N393" s="33"/>
      <c r="O393" s="32">
        <v>180</v>
      </c>
      <c r="P393" s="8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65</v>
      </c>
      <c r="X393" s="629">
        <v>0</v>
      </c>
      <c r="Y393" s="630">
        <f>IFERROR(IF(X393="",0,CEILING((X393/$H393),1)*$H393),"")</f>
        <v>0</v>
      </c>
      <c r="Z393" s="36" t="str">
        <f>IFERROR(IF(Y393=0,"",ROUNDUP(Y393/H393,0)*0.00651),"")</f>
        <v/>
      </c>
      <c r="AA393" s="56"/>
      <c r="AB393" s="57"/>
      <c r="AC393" s="477" t="s">
        <v>638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70</v>
      </c>
      <c r="Q394" s="647"/>
      <c r="R394" s="647"/>
      <c r="S394" s="647"/>
      <c r="T394" s="647"/>
      <c r="U394" s="647"/>
      <c r="V394" s="648"/>
      <c r="W394" s="37" t="s">
        <v>71</v>
      </c>
      <c r="X394" s="631">
        <f>IFERROR(X390/H390,"0")+IFERROR(X391/H391,"0")+IFERROR(X392/H392,"0")+IFERROR(X393/H393,"0")</f>
        <v>0</v>
      </c>
      <c r="Y394" s="631">
        <f>IFERROR(Y390/H390,"0")+IFERROR(Y391/H391,"0")+IFERROR(Y392/H392,"0")+IFERROR(Y393/H393,"0")</f>
        <v>0</v>
      </c>
      <c r="Z394" s="631">
        <f>IFERROR(IF(Z390="",0,Z390),"0")+IFERROR(IF(Z391="",0,Z391),"0")+IFERROR(IF(Z392="",0,Z392),"0")+IFERROR(IF(Z393="",0,Z393),"0")</f>
        <v>0</v>
      </c>
      <c r="AA394" s="632"/>
      <c r="AB394" s="632"/>
      <c r="AC394" s="632"/>
    </row>
    <row r="395" spans="1:68" hidden="1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70</v>
      </c>
      <c r="Q395" s="647"/>
      <c r="R395" s="647"/>
      <c r="S395" s="647"/>
      <c r="T395" s="647"/>
      <c r="U395" s="647"/>
      <c r="V395" s="648"/>
      <c r="W395" s="37" t="s">
        <v>65</v>
      </c>
      <c r="X395" s="631">
        <f>IFERROR(SUM(X390:X393),"0")</f>
        <v>0</v>
      </c>
      <c r="Y395" s="631">
        <f>IFERROR(SUM(Y390:Y393),"0")</f>
        <v>0</v>
      </c>
      <c r="Z395" s="37"/>
      <c r="AA395" s="632"/>
      <c r="AB395" s="632"/>
      <c r="AC395" s="632"/>
    </row>
    <row r="396" spans="1:68" ht="14.25" hidden="1" customHeight="1" x14ac:dyDescent="0.25">
      <c r="A396" s="655" t="s">
        <v>645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4"/>
      <c r="AB396" s="624"/>
      <c r="AC396" s="624"/>
    </row>
    <row r="397" spans="1:68" ht="16.5" hidden="1" customHeight="1" x14ac:dyDescent="0.25">
      <c r="A397" s="54" t="s">
        <v>646</v>
      </c>
      <c r="B397" s="54" t="s">
        <v>647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75</v>
      </c>
      <c r="L397" s="32"/>
      <c r="M397" s="33" t="s">
        <v>648</v>
      </c>
      <c r="N397" s="33"/>
      <c r="O397" s="32">
        <v>731</v>
      </c>
      <c r="P397" s="8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65</v>
      </c>
      <c r="X397" s="629">
        <v>0</v>
      </c>
      <c r="Y397" s="630">
        <f>IFERROR(IF(X397="",0,CEILING((X397/$H397),1)*$H397),"")</f>
        <v>0</v>
      </c>
      <c r="Z397" s="36" t="str">
        <f>IFERROR(IF(Y397=0,"",ROUNDUP(Y397/H397,0)*0.00474),"")</f>
        <v/>
      </c>
      <c r="AA397" s="56"/>
      <c r="AB397" s="57"/>
      <c r="AC397" s="479" t="s">
        <v>649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650</v>
      </c>
      <c r="B398" s="54" t="s">
        <v>651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75</v>
      </c>
      <c r="L398" s="32"/>
      <c r="M398" s="33" t="s">
        <v>648</v>
      </c>
      <c r="N398" s="33"/>
      <c r="O398" s="32">
        <v>731</v>
      </c>
      <c r="P398" s="8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65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649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652</v>
      </c>
      <c r="B399" s="54" t="s">
        <v>653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75</v>
      </c>
      <c r="L399" s="32"/>
      <c r="M399" s="33" t="s">
        <v>648</v>
      </c>
      <c r="N399" s="33"/>
      <c r="O399" s="32">
        <v>731</v>
      </c>
      <c r="P399" s="9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65</v>
      </c>
      <c r="X399" s="629">
        <v>0</v>
      </c>
      <c r="Y399" s="63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649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70</v>
      </c>
      <c r="Q400" s="647"/>
      <c r="R400" s="647"/>
      <c r="S400" s="647"/>
      <c r="T400" s="647"/>
      <c r="U400" s="647"/>
      <c r="V400" s="648"/>
      <c r="W400" s="37" t="s">
        <v>71</v>
      </c>
      <c r="X400" s="631">
        <f>IFERROR(X397/H397,"0")+IFERROR(X398/H398,"0")+IFERROR(X399/H399,"0")</f>
        <v>0</v>
      </c>
      <c r="Y400" s="631">
        <f>IFERROR(Y397/H397,"0")+IFERROR(Y398/H398,"0")+IFERROR(Y399/H399,"0")</f>
        <v>0</v>
      </c>
      <c r="Z400" s="631">
        <f>IFERROR(IF(Z397="",0,Z397),"0")+IFERROR(IF(Z398="",0,Z398),"0")+IFERROR(IF(Z399="",0,Z399),"0")</f>
        <v>0</v>
      </c>
      <c r="AA400" s="632"/>
      <c r="AB400" s="632"/>
      <c r="AC400" s="632"/>
    </row>
    <row r="401" spans="1:68" hidden="1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70</v>
      </c>
      <c r="Q401" s="647"/>
      <c r="R401" s="647"/>
      <c r="S401" s="647"/>
      <c r="T401" s="647"/>
      <c r="U401" s="647"/>
      <c r="V401" s="648"/>
      <c r="W401" s="37" t="s">
        <v>65</v>
      </c>
      <c r="X401" s="631">
        <f>IFERROR(SUM(X397:X399),"0")</f>
        <v>0</v>
      </c>
      <c r="Y401" s="631">
        <f>IFERROR(SUM(Y397:Y399),"0")</f>
        <v>0</v>
      </c>
      <c r="Z401" s="37"/>
      <c r="AA401" s="632"/>
      <c r="AB401" s="632"/>
      <c r="AC401" s="632"/>
    </row>
    <row r="402" spans="1:68" ht="14.25" hidden="1" customHeight="1" x14ac:dyDescent="0.25">
      <c r="A402" s="655" t="s">
        <v>654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4"/>
      <c r="AB402" s="624"/>
      <c r="AC402" s="624"/>
    </row>
    <row r="403" spans="1:68" ht="27" hidden="1" customHeight="1" x14ac:dyDescent="0.25">
      <c r="A403" s="54" t="s">
        <v>655</v>
      </c>
      <c r="B403" s="54" t="s">
        <v>656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75</v>
      </c>
      <c r="L403" s="32"/>
      <c r="M403" s="33" t="s">
        <v>648</v>
      </c>
      <c r="N403" s="33"/>
      <c r="O403" s="32">
        <v>1096</v>
      </c>
      <c r="P403" s="78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65</v>
      </c>
      <c r="X403" s="629">
        <v>0</v>
      </c>
      <c r="Y403" s="630">
        <f>IFERROR(IF(X403="",0,CEILING((X403/$H403),1)*$H403),"")</f>
        <v>0</v>
      </c>
      <c r="Z403" s="36" t="str">
        <f>IFERROR(IF(Y403=0,"",ROUNDUP(Y403/H403,0)*0.0045),"")</f>
        <v/>
      </c>
      <c r="AA403" s="56"/>
      <c r="AB403" s="57"/>
      <c r="AC403" s="485" t="s">
        <v>657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658</v>
      </c>
      <c r="B404" s="54" t="s">
        <v>659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123</v>
      </c>
      <c r="L404" s="32"/>
      <c r="M404" s="33" t="s">
        <v>648</v>
      </c>
      <c r="N404" s="33"/>
      <c r="O404" s="32">
        <v>1096</v>
      </c>
      <c r="P404" s="69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65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660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661</v>
      </c>
      <c r="B405" s="54" t="s">
        <v>662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75</v>
      </c>
      <c r="L405" s="32"/>
      <c r="M405" s="33" t="s">
        <v>648</v>
      </c>
      <c r="N405" s="33"/>
      <c r="O405" s="32">
        <v>1096</v>
      </c>
      <c r="P405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65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657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70</v>
      </c>
      <c r="Q406" s="647"/>
      <c r="R406" s="647"/>
      <c r="S406" s="647"/>
      <c r="T406" s="647"/>
      <c r="U406" s="647"/>
      <c r="V406" s="648"/>
      <c r="W406" s="37" t="s">
        <v>71</v>
      </c>
      <c r="X406" s="631">
        <f>IFERROR(X403/H403,"0")+IFERROR(X404/H404,"0")+IFERROR(X405/H405,"0")</f>
        <v>0</v>
      </c>
      <c r="Y406" s="631">
        <f>IFERROR(Y403/H403,"0")+IFERROR(Y404/H404,"0")+IFERROR(Y405/H405,"0")</f>
        <v>0</v>
      </c>
      <c r="Z406" s="631">
        <f>IFERROR(IF(Z403="",0,Z403),"0")+IFERROR(IF(Z404="",0,Z404),"0")+IFERROR(IF(Z405="",0,Z405),"0")</f>
        <v>0</v>
      </c>
      <c r="AA406" s="632"/>
      <c r="AB406" s="632"/>
      <c r="AC406" s="632"/>
    </row>
    <row r="407" spans="1:68" hidden="1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70</v>
      </c>
      <c r="Q407" s="647"/>
      <c r="R407" s="647"/>
      <c r="S407" s="647"/>
      <c r="T407" s="647"/>
      <c r="U407" s="647"/>
      <c r="V407" s="648"/>
      <c r="W407" s="37" t="s">
        <v>65</v>
      </c>
      <c r="X407" s="631">
        <f>IFERROR(SUM(X403:X405),"0")</f>
        <v>0</v>
      </c>
      <c r="Y407" s="631">
        <f>IFERROR(SUM(Y403:Y405),"0")</f>
        <v>0</v>
      </c>
      <c r="Z407" s="37"/>
      <c r="AA407" s="632"/>
      <c r="AB407" s="632"/>
      <c r="AC407" s="632"/>
    </row>
    <row r="408" spans="1:68" ht="16.5" hidden="1" customHeight="1" x14ac:dyDescent="0.25">
      <c r="A408" s="649" t="s">
        <v>663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3"/>
      <c r="AB408" s="623"/>
      <c r="AC408" s="623"/>
    </row>
    <row r="409" spans="1:68" ht="14.25" hidden="1" customHeight="1" x14ac:dyDescent="0.25">
      <c r="A409" s="655" t="s">
        <v>72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4"/>
      <c r="AB409" s="624"/>
      <c r="AC409" s="624"/>
    </row>
    <row r="410" spans="1:68" ht="16.5" hidden="1" customHeight="1" x14ac:dyDescent="0.25">
      <c r="A410" s="54" t="s">
        <v>664</v>
      </c>
      <c r="B410" s="54" t="s">
        <v>665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114</v>
      </c>
      <c r="L410" s="32"/>
      <c r="M410" s="33" t="s">
        <v>76</v>
      </c>
      <c r="N410" s="33"/>
      <c r="O410" s="32">
        <v>40</v>
      </c>
      <c r="P410" s="98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65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666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667</v>
      </c>
      <c r="B411" s="54" t="s">
        <v>668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114</v>
      </c>
      <c r="L411" s="32"/>
      <c r="M411" s="33" t="s">
        <v>76</v>
      </c>
      <c r="N411" s="33"/>
      <c r="O411" s="32">
        <v>40</v>
      </c>
      <c r="P411" s="76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65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669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70</v>
      </c>
      <c r="Q412" s="647"/>
      <c r="R412" s="647"/>
      <c r="S412" s="647"/>
      <c r="T412" s="647"/>
      <c r="U412" s="647"/>
      <c r="V412" s="648"/>
      <c r="W412" s="37" t="s">
        <v>71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70</v>
      </c>
      <c r="Q413" s="647"/>
      <c r="R413" s="647"/>
      <c r="S413" s="647"/>
      <c r="T413" s="647"/>
      <c r="U413" s="647"/>
      <c r="V413" s="648"/>
      <c r="W413" s="37" t="s">
        <v>65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49" t="s">
        <v>670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3"/>
      <c r="AB414" s="623"/>
      <c r="AC414" s="623"/>
    </row>
    <row r="415" spans="1:68" ht="14.25" hidden="1" customHeight="1" x14ac:dyDescent="0.25">
      <c r="A415" s="655" t="s">
        <v>72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4"/>
      <c r="AB415" s="624"/>
      <c r="AC415" s="624"/>
    </row>
    <row r="416" spans="1:68" ht="27" hidden="1" customHeight="1" x14ac:dyDescent="0.25">
      <c r="A416" s="54" t="s">
        <v>671</v>
      </c>
      <c r="B416" s="54" t="s">
        <v>672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114</v>
      </c>
      <c r="L416" s="32"/>
      <c r="M416" s="33" t="s">
        <v>82</v>
      </c>
      <c r="N416" s="33"/>
      <c r="O416" s="32">
        <v>45</v>
      </c>
      <c r="P416" s="78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65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673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674</v>
      </c>
      <c r="B417" s="54" t="s">
        <v>675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75</v>
      </c>
      <c r="L417" s="32"/>
      <c r="M417" s="33" t="s">
        <v>76</v>
      </c>
      <c r="N417" s="33"/>
      <c r="O417" s="32">
        <v>45</v>
      </c>
      <c r="P417" s="9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65</v>
      </c>
      <c r="X417" s="629">
        <v>0</v>
      </c>
      <c r="Y417" s="630">
        <f>IFERROR(IF(X417="",0,CEILING((X417/$H417),1)*$H417),"")</f>
        <v>0</v>
      </c>
      <c r="Z417" s="36" t="str">
        <f>IFERROR(IF(Y417=0,"",ROUNDUP(Y417/H417,0)*0.00651),"")</f>
        <v/>
      </c>
      <c r="AA417" s="56"/>
      <c r="AB417" s="57"/>
      <c r="AC417" s="497" t="s">
        <v>676</v>
      </c>
      <c r="AG417" s="64"/>
      <c r="AJ417" s="68"/>
      <c r="AK417" s="68">
        <v>0</v>
      </c>
      <c r="BB417" s="498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677</v>
      </c>
      <c r="B418" s="54" t="s">
        <v>678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75</v>
      </c>
      <c r="L418" s="32"/>
      <c r="M418" s="33" t="s">
        <v>82</v>
      </c>
      <c r="N418" s="33"/>
      <c r="O418" s="32">
        <v>40</v>
      </c>
      <c r="P418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65</v>
      </c>
      <c r="X418" s="629">
        <v>0</v>
      </c>
      <c r="Y418" s="630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99" t="s">
        <v>679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70</v>
      </c>
      <c r="Q419" s="647"/>
      <c r="R419" s="647"/>
      <c r="S419" s="647"/>
      <c r="T419" s="647"/>
      <c r="U419" s="647"/>
      <c r="V419" s="648"/>
      <c r="W419" s="37" t="s">
        <v>71</v>
      </c>
      <c r="X419" s="631">
        <f>IFERROR(X416/H416,"0")+IFERROR(X417/H417,"0")+IFERROR(X418/H418,"0")</f>
        <v>0</v>
      </c>
      <c r="Y419" s="631">
        <f>IFERROR(Y416/H416,"0")+IFERROR(Y417/H417,"0")+IFERROR(Y418/H418,"0")</f>
        <v>0</v>
      </c>
      <c r="Z419" s="631">
        <f>IFERROR(IF(Z416="",0,Z416),"0")+IFERROR(IF(Z417="",0,Z417),"0")+IFERROR(IF(Z418="",0,Z418),"0")</f>
        <v>0</v>
      </c>
      <c r="AA419" s="632"/>
      <c r="AB419" s="632"/>
      <c r="AC419" s="632"/>
    </row>
    <row r="420" spans="1:68" hidden="1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70</v>
      </c>
      <c r="Q420" s="647"/>
      <c r="R420" s="647"/>
      <c r="S420" s="647"/>
      <c r="T420" s="647"/>
      <c r="U420" s="647"/>
      <c r="V420" s="648"/>
      <c r="W420" s="37" t="s">
        <v>65</v>
      </c>
      <c r="X420" s="631">
        <f>IFERROR(SUM(X416:X418),"0")</f>
        <v>0</v>
      </c>
      <c r="Y420" s="631">
        <f>IFERROR(SUM(Y416:Y418),"0")</f>
        <v>0</v>
      </c>
      <c r="Z420" s="37"/>
      <c r="AA420" s="632"/>
      <c r="AB420" s="632"/>
      <c r="AC420" s="632"/>
    </row>
    <row r="421" spans="1:68" ht="27.75" hidden="1" customHeight="1" x14ac:dyDescent="0.2">
      <c r="A421" s="651" t="s">
        <v>680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48"/>
      <c r="AB421" s="48"/>
      <c r="AC421" s="48"/>
    </row>
    <row r="422" spans="1:68" ht="16.5" hidden="1" customHeight="1" x14ac:dyDescent="0.25">
      <c r="A422" s="649" t="s">
        <v>681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3"/>
      <c r="AB422" s="623"/>
      <c r="AC422" s="623"/>
    </row>
    <row r="423" spans="1:68" ht="14.25" hidden="1" customHeight="1" x14ac:dyDescent="0.25">
      <c r="A423" s="655" t="s">
        <v>111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4"/>
      <c r="AB423" s="624"/>
      <c r="AC423" s="624"/>
    </row>
    <row r="424" spans="1:68" ht="27" hidden="1" customHeight="1" x14ac:dyDescent="0.25">
      <c r="A424" s="54" t="s">
        <v>682</v>
      </c>
      <c r="B424" s="54" t="s">
        <v>683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114</v>
      </c>
      <c r="L424" s="32"/>
      <c r="M424" s="33" t="s">
        <v>82</v>
      </c>
      <c r="N424" s="33"/>
      <c r="O424" s="32">
        <v>60</v>
      </c>
      <c r="P424" s="8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65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684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customHeight="1" x14ac:dyDescent="0.25">
      <c r="A425" s="54" t="s">
        <v>685</v>
      </c>
      <c r="B425" s="54" t="s">
        <v>686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114</v>
      </c>
      <c r="L425" s="32"/>
      <c r="M425" s="33" t="s">
        <v>64</v>
      </c>
      <c r="N425" s="33"/>
      <c r="O425" s="32">
        <v>60</v>
      </c>
      <c r="P425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65</v>
      </c>
      <c r="X425" s="629">
        <v>1200</v>
      </c>
      <c r="Y425" s="630">
        <f t="shared" si="59"/>
        <v>1200</v>
      </c>
      <c r="Z425" s="36">
        <f>IFERROR(IF(Y425=0,"",ROUNDUP(Y425/H425,0)*0.02175),"")</f>
        <v>1.7399999999999998</v>
      </c>
      <c r="AA425" s="56"/>
      <c r="AB425" s="57"/>
      <c r="AC425" s="503" t="s">
        <v>687</v>
      </c>
      <c r="AG425" s="64"/>
      <c r="AJ425" s="68"/>
      <c r="AK425" s="68">
        <v>0</v>
      </c>
      <c r="BB425" s="504" t="s">
        <v>1</v>
      </c>
      <c r="BM425" s="64">
        <f t="shared" si="60"/>
        <v>1237.5999999999999</v>
      </c>
      <c r="BN425" s="64">
        <f t="shared" si="61"/>
        <v>1237.5999999999999</v>
      </c>
      <c r="BO425" s="64">
        <f t="shared" si="62"/>
        <v>1.6666666666666665</v>
      </c>
      <c r="BP425" s="64">
        <f t="shared" si="63"/>
        <v>1.6666666666666665</v>
      </c>
    </row>
    <row r="426" spans="1:68" ht="27" customHeight="1" x14ac:dyDescent="0.25">
      <c r="A426" s="54" t="s">
        <v>688</v>
      </c>
      <c r="B426" s="54" t="s">
        <v>689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114</v>
      </c>
      <c r="L426" s="32"/>
      <c r="M426" s="33" t="s">
        <v>115</v>
      </c>
      <c r="N426" s="33"/>
      <c r="O426" s="32">
        <v>60</v>
      </c>
      <c r="P426" s="74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65</v>
      </c>
      <c r="X426" s="629">
        <v>400</v>
      </c>
      <c r="Y426" s="630">
        <f t="shared" si="59"/>
        <v>405</v>
      </c>
      <c r="Z426" s="36">
        <f>IFERROR(IF(Y426=0,"",ROUNDUP(Y426/H426,0)*0.02175),"")</f>
        <v>0.58724999999999994</v>
      </c>
      <c r="AA426" s="56"/>
      <c r="AB426" s="57"/>
      <c r="AC426" s="505" t="s">
        <v>690</v>
      </c>
      <c r="AG426" s="64"/>
      <c r="AJ426" s="68"/>
      <c r="AK426" s="68">
        <v>0</v>
      </c>
      <c r="BB426" s="506" t="s">
        <v>1</v>
      </c>
      <c r="BM426" s="64">
        <f t="shared" si="60"/>
        <v>412.53333333333336</v>
      </c>
      <c r="BN426" s="64">
        <f t="shared" si="61"/>
        <v>417.69</v>
      </c>
      <c r="BO426" s="64">
        <f t="shared" si="62"/>
        <v>0.55555555555555558</v>
      </c>
      <c r="BP426" s="64">
        <f t="shared" si="63"/>
        <v>0.5625</v>
      </c>
    </row>
    <row r="427" spans="1:68" ht="27" customHeight="1" x14ac:dyDescent="0.25">
      <c r="A427" s="54" t="s">
        <v>691</v>
      </c>
      <c r="B427" s="54" t="s">
        <v>692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114</v>
      </c>
      <c r="L427" s="32"/>
      <c r="M427" s="33" t="s">
        <v>64</v>
      </c>
      <c r="N427" s="33"/>
      <c r="O427" s="32">
        <v>60</v>
      </c>
      <c r="P427" s="81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65</v>
      </c>
      <c r="X427" s="629">
        <v>500</v>
      </c>
      <c r="Y427" s="630">
        <f t="shared" si="59"/>
        <v>510</v>
      </c>
      <c r="Z427" s="36">
        <f>IFERROR(IF(Y427=0,"",ROUNDUP(Y427/H427,0)*0.02175),"")</f>
        <v>0.73949999999999994</v>
      </c>
      <c r="AA427" s="56"/>
      <c r="AB427" s="57"/>
      <c r="AC427" s="507" t="s">
        <v>693</v>
      </c>
      <c r="AG427" s="64"/>
      <c r="AJ427" s="68"/>
      <c r="AK427" s="68">
        <v>0</v>
      </c>
      <c r="BB427" s="508" t="s">
        <v>1</v>
      </c>
      <c r="BM427" s="64">
        <f t="shared" si="60"/>
        <v>515.66666666666663</v>
      </c>
      <c r="BN427" s="64">
        <f t="shared" si="61"/>
        <v>525.98</v>
      </c>
      <c r="BO427" s="64">
        <f t="shared" si="62"/>
        <v>0.69444444444444442</v>
      </c>
      <c r="BP427" s="64">
        <f t="shared" si="63"/>
        <v>0.70833333333333326</v>
      </c>
    </row>
    <row r="428" spans="1:68" ht="27" customHeight="1" x14ac:dyDescent="0.25">
      <c r="A428" s="54" t="s">
        <v>694</v>
      </c>
      <c r="B428" s="54" t="s">
        <v>695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114</v>
      </c>
      <c r="L428" s="32"/>
      <c r="M428" s="33" t="s">
        <v>82</v>
      </c>
      <c r="N428" s="33"/>
      <c r="O428" s="32">
        <v>60</v>
      </c>
      <c r="P428" s="75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65</v>
      </c>
      <c r="X428" s="629">
        <v>300</v>
      </c>
      <c r="Y428" s="630">
        <f t="shared" si="59"/>
        <v>300</v>
      </c>
      <c r="Z428" s="36">
        <f>IFERROR(IF(Y428=0,"",ROUNDUP(Y428/H428,0)*0.02175),"")</f>
        <v>0.43499999999999994</v>
      </c>
      <c r="AA428" s="56"/>
      <c r="AB428" s="57"/>
      <c r="AC428" s="509" t="s">
        <v>696</v>
      </c>
      <c r="AG428" s="64"/>
      <c r="AJ428" s="68"/>
      <c r="AK428" s="68">
        <v>0</v>
      </c>
      <c r="BB428" s="510" t="s">
        <v>1</v>
      </c>
      <c r="BM428" s="64">
        <f t="shared" si="60"/>
        <v>309.39999999999998</v>
      </c>
      <c r="BN428" s="64">
        <f t="shared" si="61"/>
        <v>309.39999999999998</v>
      </c>
      <c r="BO428" s="64">
        <f t="shared" si="62"/>
        <v>0.41666666666666663</v>
      </c>
      <c r="BP428" s="64">
        <f t="shared" si="63"/>
        <v>0.41666666666666663</v>
      </c>
    </row>
    <row r="429" spans="1:68" ht="27" hidden="1" customHeight="1" x14ac:dyDescent="0.25">
      <c r="A429" s="54" t="s">
        <v>697</v>
      </c>
      <c r="B429" s="54" t="s">
        <v>698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123</v>
      </c>
      <c r="L429" s="32"/>
      <c r="M429" s="33" t="s">
        <v>115</v>
      </c>
      <c r="N429" s="33"/>
      <c r="O429" s="32">
        <v>90</v>
      </c>
      <c r="P429" s="74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65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699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700</v>
      </c>
      <c r="B430" s="54" t="s">
        <v>701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123</v>
      </c>
      <c r="L430" s="32"/>
      <c r="M430" s="33" t="s">
        <v>64</v>
      </c>
      <c r="N430" s="33"/>
      <c r="O430" s="32">
        <v>60</v>
      </c>
      <c r="P430" s="93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65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702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703</v>
      </c>
      <c r="B431" s="54" t="s">
        <v>704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123</v>
      </c>
      <c r="L431" s="32"/>
      <c r="M431" s="33" t="s">
        <v>64</v>
      </c>
      <c r="N431" s="33"/>
      <c r="O431" s="32">
        <v>60</v>
      </c>
      <c r="P431" s="7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65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705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70</v>
      </c>
      <c r="Q432" s="647"/>
      <c r="R432" s="647"/>
      <c r="S432" s="647"/>
      <c r="T432" s="647"/>
      <c r="U432" s="647"/>
      <c r="V432" s="648"/>
      <c r="W432" s="37" t="s">
        <v>71</v>
      </c>
      <c r="X432" s="631">
        <f>IFERROR(X424/H424,"0")+IFERROR(X425/H425,"0")+IFERROR(X426/H426,"0")+IFERROR(X427/H427,"0")+IFERROR(X428/H428,"0")+IFERROR(X429/H429,"0")+IFERROR(X430/H430,"0")+IFERROR(X431/H431,"0")</f>
        <v>160</v>
      </c>
      <c r="Y432" s="631">
        <f>IFERROR(Y424/H424,"0")+IFERROR(Y425/H425,"0")+IFERROR(Y426/H426,"0")+IFERROR(Y427/H427,"0")+IFERROR(Y428/H428,"0")+IFERROR(Y429/H429,"0")+IFERROR(Y430/H430,"0")+IFERROR(Y431/H431,"0")</f>
        <v>161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3.5017499999999999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70</v>
      </c>
      <c r="Q433" s="647"/>
      <c r="R433" s="647"/>
      <c r="S433" s="647"/>
      <c r="T433" s="647"/>
      <c r="U433" s="647"/>
      <c r="V433" s="648"/>
      <c r="W433" s="37" t="s">
        <v>65</v>
      </c>
      <c r="X433" s="631">
        <f>IFERROR(SUM(X424:X431),"0")</f>
        <v>2400</v>
      </c>
      <c r="Y433" s="631">
        <f>IFERROR(SUM(Y424:Y431),"0")</f>
        <v>2415</v>
      </c>
      <c r="Z433" s="37"/>
      <c r="AA433" s="632"/>
      <c r="AB433" s="632"/>
      <c r="AC433" s="632"/>
    </row>
    <row r="434" spans="1:68" ht="14.25" hidden="1" customHeight="1" x14ac:dyDescent="0.25">
      <c r="A434" s="655" t="s">
        <v>144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4"/>
      <c r="AB434" s="624"/>
      <c r="AC434" s="624"/>
    </row>
    <row r="435" spans="1:68" ht="27" customHeight="1" x14ac:dyDescent="0.25">
      <c r="A435" s="54" t="s">
        <v>706</v>
      </c>
      <c r="B435" s="54" t="s">
        <v>707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114</v>
      </c>
      <c r="L435" s="32"/>
      <c r="M435" s="33" t="s">
        <v>115</v>
      </c>
      <c r="N435" s="33"/>
      <c r="O435" s="32">
        <v>50</v>
      </c>
      <c r="P435" s="9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65</v>
      </c>
      <c r="X435" s="629">
        <v>700</v>
      </c>
      <c r="Y435" s="630">
        <f>IFERROR(IF(X435="",0,CEILING((X435/$H435),1)*$H435),"")</f>
        <v>705</v>
      </c>
      <c r="Z435" s="36">
        <f>IFERROR(IF(Y435=0,"",ROUNDUP(Y435/H435,0)*0.02175),"")</f>
        <v>1.0222499999999999</v>
      </c>
      <c r="AA435" s="56"/>
      <c r="AB435" s="57"/>
      <c r="AC435" s="517" t="s">
        <v>708</v>
      </c>
      <c r="AG435" s="64"/>
      <c r="AJ435" s="68"/>
      <c r="AK435" s="68">
        <v>0</v>
      </c>
      <c r="BB435" s="518" t="s">
        <v>1</v>
      </c>
      <c r="BM435" s="64">
        <f>IFERROR(X435*I435/H435,"0")</f>
        <v>721.93333333333328</v>
      </c>
      <c r="BN435" s="64">
        <f>IFERROR(Y435*I435/H435,"0")</f>
        <v>727.09</v>
      </c>
      <c r="BO435" s="64">
        <f>IFERROR(1/J435*(X435/H435),"0")</f>
        <v>0.9722222222222221</v>
      </c>
      <c r="BP435" s="64">
        <f>IFERROR(1/J435*(Y435/H435),"0")</f>
        <v>0.97916666666666663</v>
      </c>
    </row>
    <row r="436" spans="1:68" ht="27" hidden="1" customHeight="1" x14ac:dyDescent="0.25">
      <c r="A436" s="54" t="s">
        <v>709</v>
      </c>
      <c r="B436" s="54" t="s">
        <v>710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114</v>
      </c>
      <c r="L436" s="32"/>
      <c r="M436" s="33" t="s">
        <v>115</v>
      </c>
      <c r="N436" s="33"/>
      <c r="O436" s="32">
        <v>50</v>
      </c>
      <c r="P436" s="98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65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711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712</v>
      </c>
      <c r="B437" s="54" t="s">
        <v>713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123</v>
      </c>
      <c r="L437" s="32"/>
      <c r="M437" s="33" t="s">
        <v>115</v>
      </c>
      <c r="N437" s="33"/>
      <c r="O437" s="32">
        <v>50</v>
      </c>
      <c r="P437" s="6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65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714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70</v>
      </c>
      <c r="Q438" s="647"/>
      <c r="R438" s="647"/>
      <c r="S438" s="647"/>
      <c r="T438" s="647"/>
      <c r="U438" s="647"/>
      <c r="V438" s="648"/>
      <c r="W438" s="37" t="s">
        <v>71</v>
      </c>
      <c r="X438" s="631">
        <f>IFERROR(X435/H435,"0")+IFERROR(X436/H436,"0")+IFERROR(X437/H437,"0")</f>
        <v>46.666666666666664</v>
      </c>
      <c r="Y438" s="631">
        <f>IFERROR(Y435/H435,"0")+IFERROR(Y436/H436,"0")+IFERROR(Y437/H437,"0")</f>
        <v>47</v>
      </c>
      <c r="Z438" s="631">
        <f>IFERROR(IF(Z435="",0,Z435),"0")+IFERROR(IF(Z436="",0,Z436),"0")+IFERROR(IF(Z437="",0,Z437),"0")</f>
        <v>1.0222499999999999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70</v>
      </c>
      <c r="Q439" s="647"/>
      <c r="R439" s="647"/>
      <c r="S439" s="647"/>
      <c r="T439" s="647"/>
      <c r="U439" s="647"/>
      <c r="V439" s="648"/>
      <c r="W439" s="37" t="s">
        <v>65</v>
      </c>
      <c r="X439" s="631">
        <f>IFERROR(SUM(X435:X437),"0")</f>
        <v>700</v>
      </c>
      <c r="Y439" s="631">
        <f>IFERROR(SUM(Y435:Y437),"0")</f>
        <v>705</v>
      </c>
      <c r="Z439" s="37"/>
      <c r="AA439" s="632"/>
      <c r="AB439" s="632"/>
      <c r="AC439" s="632"/>
    </row>
    <row r="440" spans="1:68" ht="14.25" hidden="1" customHeight="1" x14ac:dyDescent="0.25">
      <c r="A440" s="655" t="s">
        <v>72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4"/>
      <c r="AB440" s="624"/>
      <c r="AC440" s="624"/>
    </row>
    <row r="441" spans="1:68" ht="27" hidden="1" customHeight="1" x14ac:dyDescent="0.25">
      <c r="A441" s="54" t="s">
        <v>715</v>
      </c>
      <c r="B441" s="54" t="s">
        <v>716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114</v>
      </c>
      <c r="L441" s="32"/>
      <c r="M441" s="33" t="s">
        <v>76</v>
      </c>
      <c r="N441" s="33"/>
      <c r="O441" s="32">
        <v>40</v>
      </c>
      <c r="P441" s="8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65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717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114</v>
      </c>
      <c r="L442" s="32"/>
      <c r="M442" s="33" t="s">
        <v>76</v>
      </c>
      <c r="N442" s="33"/>
      <c r="O442" s="32">
        <v>40</v>
      </c>
      <c r="P442" s="7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65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720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721</v>
      </c>
      <c r="B443" s="54" t="s">
        <v>722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114</v>
      </c>
      <c r="L443" s="32"/>
      <c r="M443" s="33" t="s">
        <v>76</v>
      </c>
      <c r="N443" s="33"/>
      <c r="O443" s="32">
        <v>45</v>
      </c>
      <c r="P443" s="66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65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723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70</v>
      </c>
      <c r="Q444" s="647"/>
      <c r="R444" s="647"/>
      <c r="S444" s="647"/>
      <c r="T444" s="647"/>
      <c r="U444" s="647"/>
      <c r="V444" s="648"/>
      <c r="W444" s="37" t="s">
        <v>71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hidden="1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70</v>
      </c>
      <c r="Q445" s="647"/>
      <c r="R445" s="647"/>
      <c r="S445" s="647"/>
      <c r="T445" s="647"/>
      <c r="U445" s="647"/>
      <c r="V445" s="648"/>
      <c r="W445" s="37" t="s">
        <v>65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hidden="1" customHeight="1" x14ac:dyDescent="0.25">
      <c r="A446" s="655" t="s">
        <v>161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4"/>
      <c r="AB446" s="624"/>
      <c r="AC446" s="624"/>
    </row>
    <row r="447" spans="1:68" ht="27" hidden="1" customHeight="1" x14ac:dyDescent="0.25">
      <c r="A447" s="54" t="s">
        <v>724</v>
      </c>
      <c r="B447" s="54" t="s">
        <v>725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114</v>
      </c>
      <c r="L447" s="32"/>
      <c r="M447" s="33" t="s">
        <v>76</v>
      </c>
      <c r="N447" s="33"/>
      <c r="O447" s="32">
        <v>30</v>
      </c>
      <c r="P447" s="98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65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726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hidden="1" customHeight="1" x14ac:dyDescent="0.25">
      <c r="A448" s="54" t="s">
        <v>727</v>
      </c>
      <c r="B448" s="54" t="s">
        <v>728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114</v>
      </c>
      <c r="L448" s="32"/>
      <c r="M448" s="33" t="s">
        <v>76</v>
      </c>
      <c r="N448" s="33"/>
      <c r="O448" s="32">
        <v>40</v>
      </c>
      <c r="P448" s="85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65</v>
      </c>
      <c r="X448" s="629">
        <v>0</v>
      </c>
      <c r="Y448" s="630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1" t="s">
        <v>729</v>
      </c>
      <c r="AG448" s="64"/>
      <c r="AJ448" s="68"/>
      <c r="AK448" s="68">
        <v>0</v>
      </c>
      <c r="BB448" s="532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70</v>
      </c>
      <c r="Q449" s="647"/>
      <c r="R449" s="647"/>
      <c r="S449" s="647"/>
      <c r="T449" s="647"/>
      <c r="U449" s="647"/>
      <c r="V449" s="648"/>
      <c r="W449" s="37" t="s">
        <v>71</v>
      </c>
      <c r="X449" s="631">
        <f>IFERROR(X447/H447,"0")+IFERROR(X448/H448,"0")</f>
        <v>0</v>
      </c>
      <c r="Y449" s="631">
        <f>IFERROR(Y447/H447,"0")+IFERROR(Y448/H448,"0")</f>
        <v>0</v>
      </c>
      <c r="Z449" s="631">
        <f>IFERROR(IF(Z447="",0,Z447),"0")+IFERROR(IF(Z448="",0,Z448),"0")</f>
        <v>0</v>
      </c>
      <c r="AA449" s="632"/>
      <c r="AB449" s="632"/>
      <c r="AC449" s="632"/>
    </row>
    <row r="450" spans="1:68" hidden="1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70</v>
      </c>
      <c r="Q450" s="647"/>
      <c r="R450" s="647"/>
      <c r="S450" s="647"/>
      <c r="T450" s="647"/>
      <c r="U450" s="647"/>
      <c r="V450" s="648"/>
      <c r="W450" s="37" t="s">
        <v>65</v>
      </c>
      <c r="X450" s="631">
        <f>IFERROR(SUM(X447:X448),"0")</f>
        <v>0</v>
      </c>
      <c r="Y450" s="631">
        <f>IFERROR(SUM(Y447:Y448),"0")</f>
        <v>0</v>
      </c>
      <c r="Z450" s="37"/>
      <c r="AA450" s="632"/>
      <c r="AB450" s="632"/>
      <c r="AC450" s="632"/>
    </row>
    <row r="451" spans="1:68" ht="16.5" hidden="1" customHeight="1" x14ac:dyDescent="0.25">
      <c r="A451" s="649" t="s">
        <v>730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3"/>
      <c r="AB451" s="623"/>
      <c r="AC451" s="623"/>
    </row>
    <row r="452" spans="1:68" ht="14.25" hidden="1" customHeight="1" x14ac:dyDescent="0.25">
      <c r="A452" s="655" t="s">
        <v>111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4"/>
      <c r="AB452" s="624"/>
      <c r="AC452" s="624"/>
    </row>
    <row r="453" spans="1:68" ht="27" hidden="1" customHeight="1" x14ac:dyDescent="0.25">
      <c r="A453" s="54" t="s">
        <v>731</v>
      </c>
      <c r="B453" s="54" t="s">
        <v>732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114</v>
      </c>
      <c r="L453" s="32"/>
      <c r="M453" s="33" t="s">
        <v>64</v>
      </c>
      <c r="N453" s="33"/>
      <c r="O453" s="32">
        <v>60</v>
      </c>
      <c r="P453" s="72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65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733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734</v>
      </c>
      <c r="B454" s="54" t="s">
        <v>735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123</v>
      </c>
      <c r="L454" s="32"/>
      <c r="M454" s="33" t="s">
        <v>64</v>
      </c>
      <c r="N454" s="33"/>
      <c r="O454" s="32">
        <v>60</v>
      </c>
      <c r="P454" s="6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65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733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70</v>
      </c>
      <c r="Q455" s="647"/>
      <c r="R455" s="647"/>
      <c r="S455" s="647"/>
      <c r="T455" s="647"/>
      <c r="U455" s="647"/>
      <c r="V455" s="648"/>
      <c r="W455" s="37" t="s">
        <v>71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70</v>
      </c>
      <c r="Q456" s="647"/>
      <c r="R456" s="647"/>
      <c r="S456" s="647"/>
      <c r="T456" s="647"/>
      <c r="U456" s="647"/>
      <c r="V456" s="648"/>
      <c r="W456" s="37" t="s">
        <v>65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5" t="s">
        <v>60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4"/>
      <c r="AB457" s="624"/>
      <c r="AC457" s="624"/>
    </row>
    <row r="458" spans="1:68" ht="27" hidden="1" customHeight="1" x14ac:dyDescent="0.25">
      <c r="A458" s="54" t="s">
        <v>736</v>
      </c>
      <c r="B458" s="54" t="s">
        <v>737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123</v>
      </c>
      <c r="L458" s="32"/>
      <c r="M458" s="33" t="s">
        <v>64</v>
      </c>
      <c r="N458" s="33"/>
      <c r="O458" s="32">
        <v>50</v>
      </c>
      <c r="P458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65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738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70</v>
      </c>
      <c r="Q459" s="647"/>
      <c r="R459" s="647"/>
      <c r="S459" s="647"/>
      <c r="T459" s="647"/>
      <c r="U459" s="647"/>
      <c r="V459" s="648"/>
      <c r="W459" s="37" t="s">
        <v>71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70</v>
      </c>
      <c r="Q460" s="647"/>
      <c r="R460" s="647"/>
      <c r="S460" s="647"/>
      <c r="T460" s="647"/>
      <c r="U460" s="647"/>
      <c r="V460" s="648"/>
      <c r="W460" s="37" t="s">
        <v>65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5" t="s">
        <v>72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4"/>
      <c r="AB461" s="624"/>
      <c r="AC461" s="624"/>
    </row>
    <row r="462" spans="1:68" ht="27" hidden="1" customHeight="1" x14ac:dyDescent="0.25">
      <c r="A462" s="54" t="s">
        <v>739</v>
      </c>
      <c r="B462" s="54" t="s">
        <v>740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114</v>
      </c>
      <c r="L462" s="32"/>
      <c r="M462" s="33" t="s">
        <v>76</v>
      </c>
      <c r="N462" s="33"/>
      <c r="O462" s="32">
        <v>40</v>
      </c>
      <c r="P462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65</v>
      </c>
      <c r="X462" s="629">
        <v>0</v>
      </c>
      <c r="Y462" s="630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741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742</v>
      </c>
      <c r="B463" s="54" t="s">
        <v>743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75</v>
      </c>
      <c r="L463" s="32"/>
      <c r="M463" s="33" t="s">
        <v>76</v>
      </c>
      <c r="N463" s="33"/>
      <c r="O463" s="32">
        <v>40</v>
      </c>
      <c r="P463" s="91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65</v>
      </c>
      <c r="X463" s="629">
        <v>0</v>
      </c>
      <c r="Y463" s="630">
        <f>IFERROR(IF(X463="",0,CEILING((X463/$H463),1)*$H463),"")</f>
        <v>0</v>
      </c>
      <c r="Z463" s="36" t="str">
        <f>IFERROR(IF(Y463=0,"",ROUNDUP(Y463/H463,0)*0.00651),"")</f>
        <v/>
      </c>
      <c r="AA463" s="56"/>
      <c r="AB463" s="57"/>
      <c r="AC463" s="541" t="s">
        <v>741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742</v>
      </c>
      <c r="B464" s="54" t="s">
        <v>744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75</v>
      </c>
      <c r="L464" s="32"/>
      <c r="M464" s="33" t="s">
        <v>76</v>
      </c>
      <c r="N464" s="33"/>
      <c r="O464" s="32">
        <v>40</v>
      </c>
      <c r="P464" s="7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65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745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70</v>
      </c>
      <c r="Q465" s="647"/>
      <c r="R465" s="647"/>
      <c r="S465" s="647"/>
      <c r="T465" s="647"/>
      <c r="U465" s="647"/>
      <c r="V465" s="648"/>
      <c r="W465" s="37" t="s">
        <v>71</v>
      </c>
      <c r="X465" s="631">
        <f>IFERROR(X462/H462,"0")+IFERROR(X463/H463,"0")+IFERROR(X464/H464,"0")</f>
        <v>0</v>
      </c>
      <c r="Y465" s="631">
        <f>IFERROR(Y462/H462,"0")+IFERROR(Y463/H463,"0")+IFERROR(Y464/H464,"0")</f>
        <v>0</v>
      </c>
      <c r="Z465" s="631">
        <f>IFERROR(IF(Z462="",0,Z462),"0")+IFERROR(IF(Z463="",0,Z463),"0")+IFERROR(IF(Z464="",0,Z464),"0")</f>
        <v>0</v>
      </c>
      <c r="AA465" s="632"/>
      <c r="AB465" s="632"/>
      <c r="AC465" s="632"/>
    </row>
    <row r="466" spans="1:68" hidden="1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70</v>
      </c>
      <c r="Q466" s="647"/>
      <c r="R466" s="647"/>
      <c r="S466" s="647"/>
      <c r="T466" s="647"/>
      <c r="U466" s="647"/>
      <c r="V466" s="648"/>
      <c r="W466" s="37" t="s">
        <v>65</v>
      </c>
      <c r="X466" s="631">
        <f>IFERROR(SUM(X462:X464),"0")</f>
        <v>0</v>
      </c>
      <c r="Y466" s="631">
        <f>IFERROR(SUM(Y462:Y464),"0")</f>
        <v>0</v>
      </c>
      <c r="Z466" s="37"/>
      <c r="AA466" s="632"/>
      <c r="AB466" s="632"/>
      <c r="AC466" s="632"/>
    </row>
    <row r="467" spans="1:68" ht="27.75" hidden="1" customHeight="1" x14ac:dyDescent="0.2">
      <c r="A467" s="651" t="s">
        <v>746</v>
      </c>
      <c r="B467" s="652"/>
      <c r="C467" s="652"/>
      <c r="D467" s="652"/>
      <c r="E467" s="652"/>
      <c r="F467" s="652"/>
      <c r="G467" s="652"/>
      <c r="H467" s="652"/>
      <c r="I467" s="652"/>
      <c r="J467" s="652"/>
      <c r="K467" s="652"/>
      <c r="L467" s="652"/>
      <c r="M467" s="652"/>
      <c r="N467" s="652"/>
      <c r="O467" s="652"/>
      <c r="P467" s="652"/>
      <c r="Q467" s="652"/>
      <c r="R467" s="652"/>
      <c r="S467" s="652"/>
      <c r="T467" s="652"/>
      <c r="U467" s="652"/>
      <c r="V467" s="652"/>
      <c r="W467" s="652"/>
      <c r="X467" s="652"/>
      <c r="Y467" s="652"/>
      <c r="Z467" s="652"/>
      <c r="AA467" s="48"/>
      <c r="AB467" s="48"/>
      <c r="AC467" s="48"/>
    </row>
    <row r="468" spans="1:68" ht="16.5" hidden="1" customHeight="1" x14ac:dyDescent="0.25">
      <c r="A468" s="649" t="s">
        <v>747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3"/>
      <c r="AB468" s="623"/>
      <c r="AC468" s="623"/>
    </row>
    <row r="469" spans="1:68" ht="14.25" hidden="1" customHeight="1" x14ac:dyDescent="0.25">
      <c r="A469" s="655" t="s">
        <v>60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4"/>
      <c r="AB469" s="624"/>
      <c r="AC469" s="624"/>
    </row>
    <row r="470" spans="1:68" ht="27" hidden="1" customHeight="1" x14ac:dyDescent="0.25">
      <c r="A470" s="54" t="s">
        <v>748</v>
      </c>
      <c r="B470" s="54" t="s">
        <v>749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123</v>
      </c>
      <c r="L470" s="32"/>
      <c r="M470" s="33" t="s">
        <v>64</v>
      </c>
      <c r="N470" s="33"/>
      <c r="O470" s="32">
        <v>50</v>
      </c>
      <c r="P470" s="91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65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750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hidden="1" customHeight="1" x14ac:dyDescent="0.25">
      <c r="A471" s="54" t="s">
        <v>751</v>
      </c>
      <c r="B471" s="54" t="s">
        <v>752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123</v>
      </c>
      <c r="L471" s="32"/>
      <c r="M471" s="33" t="s">
        <v>64</v>
      </c>
      <c r="N471" s="33"/>
      <c r="O471" s="32">
        <v>50</v>
      </c>
      <c r="P471" s="73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65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753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754</v>
      </c>
      <c r="B472" s="54" t="s">
        <v>755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63</v>
      </c>
      <c r="L472" s="32"/>
      <c r="M472" s="33" t="s">
        <v>64</v>
      </c>
      <c r="N472" s="33"/>
      <c r="O472" s="32">
        <v>50</v>
      </c>
      <c r="P472" s="8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65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750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756</v>
      </c>
      <c r="B473" s="54" t="s">
        <v>757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63</v>
      </c>
      <c r="L473" s="32"/>
      <c r="M473" s="33" t="s">
        <v>64</v>
      </c>
      <c r="N473" s="33"/>
      <c r="O473" s="32">
        <v>50</v>
      </c>
      <c r="P473" s="71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65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758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759</v>
      </c>
      <c r="B474" s="54" t="s">
        <v>760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63</v>
      </c>
      <c r="L474" s="32"/>
      <c r="M474" s="33" t="s">
        <v>64</v>
      </c>
      <c r="N474" s="33"/>
      <c r="O474" s="32">
        <v>50</v>
      </c>
      <c r="P474" s="73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65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761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762</v>
      </c>
      <c r="B475" s="54" t="s">
        <v>763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63</v>
      </c>
      <c r="L475" s="32"/>
      <c r="M475" s="33" t="s">
        <v>64</v>
      </c>
      <c r="N475" s="33"/>
      <c r="O475" s="32">
        <v>50</v>
      </c>
      <c r="P475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65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758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hidden="1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70</v>
      </c>
      <c r="Q476" s="647"/>
      <c r="R476" s="647"/>
      <c r="S476" s="647"/>
      <c r="T476" s="647"/>
      <c r="U476" s="647"/>
      <c r="V476" s="648"/>
      <c r="W476" s="37" t="s">
        <v>71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hidden="1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70</v>
      </c>
      <c r="Q477" s="647"/>
      <c r="R477" s="647"/>
      <c r="S477" s="647"/>
      <c r="T477" s="647"/>
      <c r="U477" s="647"/>
      <c r="V477" s="648"/>
      <c r="W477" s="37" t="s">
        <v>65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hidden="1" customHeight="1" x14ac:dyDescent="0.25">
      <c r="A478" s="655" t="s">
        <v>72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4"/>
      <c r="AB478" s="624"/>
      <c r="AC478" s="624"/>
    </row>
    <row r="479" spans="1:68" ht="27" hidden="1" customHeight="1" x14ac:dyDescent="0.25">
      <c r="A479" s="54" t="s">
        <v>764</v>
      </c>
      <c r="B479" s="54" t="s">
        <v>765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123</v>
      </c>
      <c r="L479" s="32"/>
      <c r="M479" s="33" t="s">
        <v>76</v>
      </c>
      <c r="N479" s="33"/>
      <c r="O479" s="32">
        <v>45</v>
      </c>
      <c r="P479" s="7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65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766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767</v>
      </c>
      <c r="B480" s="54" t="s">
        <v>768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75</v>
      </c>
      <c r="L480" s="32"/>
      <c r="M480" s="33" t="s">
        <v>76</v>
      </c>
      <c r="N480" s="33"/>
      <c r="O480" s="32">
        <v>45</v>
      </c>
      <c r="P480" s="7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65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769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70</v>
      </c>
      <c r="Q481" s="647"/>
      <c r="R481" s="647"/>
      <c r="S481" s="647"/>
      <c r="T481" s="647"/>
      <c r="U481" s="647"/>
      <c r="V481" s="648"/>
      <c r="W481" s="37" t="s">
        <v>71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70</v>
      </c>
      <c r="Q482" s="647"/>
      <c r="R482" s="647"/>
      <c r="S482" s="647"/>
      <c r="T482" s="647"/>
      <c r="U482" s="647"/>
      <c r="V482" s="648"/>
      <c r="W482" s="37" t="s">
        <v>65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49" t="s">
        <v>770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3"/>
      <c r="AB483" s="623"/>
      <c r="AC483" s="623"/>
    </row>
    <row r="484" spans="1:68" ht="14.25" hidden="1" customHeight="1" x14ac:dyDescent="0.25">
      <c r="A484" s="655" t="s">
        <v>144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4"/>
      <c r="AB484" s="624"/>
      <c r="AC484" s="624"/>
    </row>
    <row r="485" spans="1:68" ht="27" hidden="1" customHeight="1" x14ac:dyDescent="0.25">
      <c r="A485" s="54" t="s">
        <v>771</v>
      </c>
      <c r="B485" s="54" t="s">
        <v>772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75</v>
      </c>
      <c r="L485" s="32"/>
      <c r="M485" s="33" t="s">
        <v>64</v>
      </c>
      <c r="N485" s="33"/>
      <c r="O485" s="32">
        <v>40</v>
      </c>
      <c r="P485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65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773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70</v>
      </c>
      <c r="Q486" s="647"/>
      <c r="R486" s="647"/>
      <c r="S486" s="647"/>
      <c r="T486" s="647"/>
      <c r="U486" s="647"/>
      <c r="V486" s="648"/>
      <c r="W486" s="37" t="s">
        <v>71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70</v>
      </c>
      <c r="Q487" s="647"/>
      <c r="R487" s="647"/>
      <c r="S487" s="647"/>
      <c r="T487" s="647"/>
      <c r="U487" s="647"/>
      <c r="V487" s="648"/>
      <c r="W487" s="37" t="s">
        <v>65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5" t="s">
        <v>60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4"/>
      <c r="AB488" s="624"/>
      <c r="AC488" s="624"/>
    </row>
    <row r="489" spans="1:68" ht="27" hidden="1" customHeight="1" x14ac:dyDescent="0.25">
      <c r="A489" s="54" t="s">
        <v>774</v>
      </c>
      <c r="B489" s="54" t="s">
        <v>775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123</v>
      </c>
      <c r="L489" s="32"/>
      <c r="M489" s="33" t="s">
        <v>64</v>
      </c>
      <c r="N489" s="33"/>
      <c r="O489" s="32">
        <v>50</v>
      </c>
      <c r="P489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65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776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hidden="1" customHeight="1" x14ac:dyDescent="0.25">
      <c r="A490" s="54" t="s">
        <v>777</v>
      </c>
      <c r="B490" s="54" t="s">
        <v>778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63</v>
      </c>
      <c r="L490" s="32"/>
      <c r="M490" s="33" t="s">
        <v>64</v>
      </c>
      <c r="N490" s="33"/>
      <c r="O490" s="32">
        <v>50</v>
      </c>
      <c r="P490" s="9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65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779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780</v>
      </c>
      <c r="B491" s="54" t="s">
        <v>781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63</v>
      </c>
      <c r="L491" s="32"/>
      <c r="M491" s="33" t="s">
        <v>64</v>
      </c>
      <c r="N491" s="33"/>
      <c r="O491" s="32">
        <v>50</v>
      </c>
      <c r="P491" s="8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65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779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70</v>
      </c>
      <c r="Q492" s="647"/>
      <c r="R492" s="647"/>
      <c r="S492" s="647"/>
      <c r="T492" s="647"/>
      <c r="U492" s="647"/>
      <c r="V492" s="648"/>
      <c r="W492" s="37" t="s">
        <v>71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hidden="1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70</v>
      </c>
      <c r="Q493" s="647"/>
      <c r="R493" s="647"/>
      <c r="S493" s="647"/>
      <c r="T493" s="647"/>
      <c r="U493" s="647"/>
      <c r="V493" s="648"/>
      <c r="W493" s="37" t="s">
        <v>65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hidden="1" customHeight="1" x14ac:dyDescent="0.2">
      <c r="A494" s="651" t="s">
        <v>782</v>
      </c>
      <c r="B494" s="652"/>
      <c r="C494" s="652"/>
      <c r="D494" s="652"/>
      <c r="E494" s="652"/>
      <c r="F494" s="652"/>
      <c r="G494" s="652"/>
      <c r="H494" s="652"/>
      <c r="I494" s="652"/>
      <c r="J494" s="652"/>
      <c r="K494" s="652"/>
      <c r="L494" s="652"/>
      <c r="M494" s="652"/>
      <c r="N494" s="652"/>
      <c r="O494" s="652"/>
      <c r="P494" s="652"/>
      <c r="Q494" s="652"/>
      <c r="R494" s="652"/>
      <c r="S494" s="652"/>
      <c r="T494" s="652"/>
      <c r="U494" s="652"/>
      <c r="V494" s="652"/>
      <c r="W494" s="652"/>
      <c r="X494" s="652"/>
      <c r="Y494" s="652"/>
      <c r="Z494" s="652"/>
      <c r="AA494" s="48"/>
      <c r="AB494" s="48"/>
      <c r="AC494" s="48"/>
    </row>
    <row r="495" spans="1:68" ht="16.5" hidden="1" customHeight="1" x14ac:dyDescent="0.25">
      <c r="A495" s="649" t="s">
        <v>782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3"/>
      <c r="AB495" s="623"/>
      <c r="AC495" s="623"/>
    </row>
    <row r="496" spans="1:68" ht="14.25" hidden="1" customHeight="1" x14ac:dyDescent="0.25">
      <c r="A496" s="655" t="s">
        <v>111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4"/>
      <c r="AB496" s="624"/>
      <c r="AC496" s="624"/>
    </row>
    <row r="497" spans="1:68" ht="27" hidden="1" customHeight="1" x14ac:dyDescent="0.25">
      <c r="A497" s="54" t="s">
        <v>783</v>
      </c>
      <c r="B497" s="54" t="s">
        <v>784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114</v>
      </c>
      <c r="L497" s="32"/>
      <c r="M497" s="33" t="s">
        <v>76</v>
      </c>
      <c r="N497" s="33"/>
      <c r="O497" s="32">
        <v>60</v>
      </c>
      <c r="P497" s="97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65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116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hidden="1" customHeight="1" x14ac:dyDescent="0.25">
      <c r="A498" s="54" t="s">
        <v>785</v>
      </c>
      <c r="B498" s="54" t="s">
        <v>786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114</v>
      </c>
      <c r="L498" s="32"/>
      <c r="M498" s="33" t="s">
        <v>115</v>
      </c>
      <c r="N498" s="33"/>
      <c r="O498" s="32">
        <v>60</v>
      </c>
      <c r="P498" s="76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65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787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hidden="1" customHeight="1" x14ac:dyDescent="0.25">
      <c r="A499" s="54" t="s">
        <v>788</v>
      </c>
      <c r="B499" s="54" t="s">
        <v>789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114</v>
      </c>
      <c r="L499" s="32"/>
      <c r="M499" s="33" t="s">
        <v>115</v>
      </c>
      <c r="N499" s="33"/>
      <c r="O499" s="32">
        <v>60</v>
      </c>
      <c r="P499" s="100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65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790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customHeight="1" x14ac:dyDescent="0.25">
      <c r="A500" s="54" t="s">
        <v>791</v>
      </c>
      <c r="B500" s="54" t="s">
        <v>792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9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65</v>
      </c>
      <c r="X500" s="629">
        <v>200</v>
      </c>
      <c r="Y500" s="630">
        <f t="shared" si="69"/>
        <v>200.64000000000001</v>
      </c>
      <c r="Z500" s="36">
        <f t="shared" si="70"/>
        <v>0.45448</v>
      </c>
      <c r="AA500" s="56"/>
      <c r="AB500" s="57"/>
      <c r="AC500" s="575" t="s">
        <v>793</v>
      </c>
      <c r="AG500" s="64"/>
      <c r="AJ500" s="68"/>
      <c r="AK500" s="68">
        <v>0</v>
      </c>
      <c r="BB500" s="576" t="s">
        <v>1</v>
      </c>
      <c r="BM500" s="64">
        <f t="shared" si="71"/>
        <v>213.25757575757575</v>
      </c>
      <c r="BN500" s="64">
        <f t="shared" si="72"/>
        <v>213.94</v>
      </c>
      <c r="BO500" s="64">
        <f t="shared" si="73"/>
        <v>0.36421911421911418</v>
      </c>
      <c r="BP500" s="64">
        <f t="shared" si="74"/>
        <v>0.36538461538461542</v>
      </c>
    </row>
    <row r="501" spans="1:68" ht="16.5" hidden="1" customHeight="1" x14ac:dyDescent="0.25">
      <c r="A501" s="54" t="s">
        <v>794</v>
      </c>
      <c r="B501" s="54" t="s">
        <v>795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114</v>
      </c>
      <c r="L501" s="32"/>
      <c r="M501" s="33" t="s">
        <v>76</v>
      </c>
      <c r="N501" s="33"/>
      <c r="O501" s="32">
        <v>60</v>
      </c>
      <c r="P501" s="82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65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796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hidden="1" customHeight="1" x14ac:dyDescent="0.25">
      <c r="A502" s="54" t="s">
        <v>797</v>
      </c>
      <c r="B502" s="54" t="s">
        <v>798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65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799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hidden="1" customHeight="1" x14ac:dyDescent="0.25">
      <c r="A503" s="54" t="s">
        <v>800</v>
      </c>
      <c r="B503" s="54" t="s">
        <v>801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75</v>
      </c>
      <c r="L503" s="32"/>
      <c r="M503" s="33" t="s">
        <v>76</v>
      </c>
      <c r="N503" s="33"/>
      <c r="O503" s="32">
        <v>60</v>
      </c>
      <c r="P503" s="6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65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116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hidden="1" customHeight="1" x14ac:dyDescent="0.25">
      <c r="A504" s="54" t="s">
        <v>802</v>
      </c>
      <c r="B504" s="54" t="s">
        <v>803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123</v>
      </c>
      <c r="L504" s="32"/>
      <c r="M504" s="33" t="s">
        <v>76</v>
      </c>
      <c r="N504" s="33"/>
      <c r="O504" s="32">
        <v>60</v>
      </c>
      <c r="P504" s="8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65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hidden="1" customHeight="1" x14ac:dyDescent="0.25">
      <c r="A505" s="54" t="s">
        <v>804</v>
      </c>
      <c r="B505" s="54" t="s">
        <v>805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123</v>
      </c>
      <c r="L505" s="32"/>
      <c r="M505" s="33" t="s">
        <v>115</v>
      </c>
      <c r="N505" s="33"/>
      <c r="O505" s="32">
        <v>60</v>
      </c>
      <c r="P505" s="98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65</v>
      </c>
      <c r="X505" s="629">
        <v>0</v>
      </c>
      <c r="Y505" s="630">
        <f t="shared" si="69"/>
        <v>0</v>
      </c>
      <c r="Z505" s="36" t="str">
        <f>IFERROR(IF(Y505=0,"",ROUNDUP(Y505/H505,0)*0.00902),"")</f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1"/>
        <v>0</v>
      </c>
      <c r="BN505" s="64">
        <f t="shared" si="72"/>
        <v>0</v>
      </c>
      <c r="BO505" s="64">
        <f t="shared" si="73"/>
        <v>0</v>
      </c>
      <c r="BP505" s="64">
        <f t="shared" si="74"/>
        <v>0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70</v>
      </c>
      <c r="Q506" s="647"/>
      <c r="R506" s="647"/>
      <c r="S506" s="647"/>
      <c r="T506" s="647"/>
      <c r="U506" s="647"/>
      <c r="V506" s="648"/>
      <c r="W506" s="37" t="s">
        <v>71</v>
      </c>
      <c r="X506" s="631">
        <f>IFERROR(X497/H497,"0")+IFERROR(X498/H498,"0")+IFERROR(X499/H499,"0")+IFERROR(X500/H500,"0")+IFERROR(X501/H501,"0")+IFERROR(X502/H502,"0")+IFERROR(X503/H503,"0")+IFERROR(X504/H504,"0")+IFERROR(X505/H505,"0")</f>
        <v>37.878787878787875</v>
      </c>
      <c r="Y506" s="631">
        <f>IFERROR(Y497/H497,"0")+IFERROR(Y498/H498,"0")+IFERROR(Y499/H499,"0")+IFERROR(Y500/H500,"0")+IFERROR(Y501/H501,"0")+IFERROR(Y502/H502,"0")+IFERROR(Y503/H503,"0")+IFERROR(Y504/H504,"0")+IFERROR(Y505/H505,"0")</f>
        <v>38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0.45448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70</v>
      </c>
      <c r="Q507" s="647"/>
      <c r="R507" s="647"/>
      <c r="S507" s="647"/>
      <c r="T507" s="647"/>
      <c r="U507" s="647"/>
      <c r="V507" s="648"/>
      <c r="W507" s="37" t="s">
        <v>65</v>
      </c>
      <c r="X507" s="631">
        <f>IFERROR(SUM(X497:X505),"0")</f>
        <v>200</v>
      </c>
      <c r="Y507" s="631">
        <f>IFERROR(SUM(Y497:Y505),"0")</f>
        <v>200.64000000000001</v>
      </c>
      <c r="Z507" s="37"/>
      <c r="AA507" s="632"/>
      <c r="AB507" s="632"/>
      <c r="AC507" s="632"/>
    </row>
    <row r="508" spans="1:68" ht="14.25" hidden="1" customHeight="1" x14ac:dyDescent="0.25">
      <c r="A508" s="655" t="s">
        <v>144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4"/>
      <c r="AB508" s="624"/>
      <c r="AC508" s="624"/>
    </row>
    <row r="509" spans="1:68" ht="16.5" hidden="1" customHeight="1" x14ac:dyDescent="0.25">
      <c r="A509" s="54" t="s">
        <v>806</v>
      </c>
      <c r="B509" s="54" t="s">
        <v>807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114</v>
      </c>
      <c r="L509" s="32"/>
      <c r="M509" s="33" t="s">
        <v>76</v>
      </c>
      <c r="N509" s="33"/>
      <c r="O509" s="32">
        <v>70</v>
      </c>
      <c r="P509" s="9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65</v>
      </c>
      <c r="X509" s="629">
        <v>0</v>
      </c>
      <c r="Y509" s="630">
        <f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7" t="s">
        <v>808</v>
      </c>
      <c r="AG509" s="64"/>
      <c r="AJ509" s="68"/>
      <c r="AK509" s="68">
        <v>0</v>
      </c>
      <c r="BB509" s="588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t="16.5" hidden="1" customHeight="1" x14ac:dyDescent="0.25">
      <c r="A510" s="54" t="s">
        <v>809</v>
      </c>
      <c r="B510" s="54" t="s">
        <v>810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75</v>
      </c>
      <c r="L510" s="32"/>
      <c r="M510" s="33" t="s">
        <v>115</v>
      </c>
      <c r="N510" s="33"/>
      <c r="O510" s="32">
        <v>70</v>
      </c>
      <c r="P510" s="9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65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808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hidden="1" customHeight="1" x14ac:dyDescent="0.25">
      <c r="A511" s="54" t="s">
        <v>811</v>
      </c>
      <c r="B511" s="54" t="s">
        <v>812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123</v>
      </c>
      <c r="L511" s="32"/>
      <c r="M511" s="33" t="s">
        <v>115</v>
      </c>
      <c r="N511" s="33"/>
      <c r="O511" s="32">
        <v>70</v>
      </c>
      <c r="P511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65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808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70</v>
      </c>
      <c r="Q512" s="647"/>
      <c r="R512" s="647"/>
      <c r="S512" s="647"/>
      <c r="T512" s="647"/>
      <c r="U512" s="647"/>
      <c r="V512" s="648"/>
      <c r="W512" s="37" t="s">
        <v>71</v>
      </c>
      <c r="X512" s="631">
        <f>IFERROR(X509/H509,"0")+IFERROR(X510/H510,"0")+IFERROR(X511/H511,"0")</f>
        <v>0</v>
      </c>
      <c r="Y512" s="631">
        <f>IFERROR(Y509/H509,"0")+IFERROR(Y510/H510,"0")+IFERROR(Y511/H511,"0")</f>
        <v>0</v>
      </c>
      <c r="Z512" s="631">
        <f>IFERROR(IF(Z509="",0,Z509),"0")+IFERROR(IF(Z510="",0,Z510),"0")+IFERROR(IF(Z511="",0,Z511),"0")</f>
        <v>0</v>
      </c>
      <c r="AA512" s="632"/>
      <c r="AB512" s="632"/>
      <c r="AC512" s="632"/>
    </row>
    <row r="513" spans="1:68" hidden="1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70</v>
      </c>
      <c r="Q513" s="647"/>
      <c r="R513" s="647"/>
      <c r="S513" s="647"/>
      <c r="T513" s="647"/>
      <c r="U513" s="647"/>
      <c r="V513" s="648"/>
      <c r="W513" s="37" t="s">
        <v>65</v>
      </c>
      <c r="X513" s="631">
        <f>IFERROR(SUM(X509:X511),"0")</f>
        <v>0</v>
      </c>
      <c r="Y513" s="631">
        <f>IFERROR(SUM(Y509:Y511),"0")</f>
        <v>0</v>
      </c>
      <c r="Z513" s="37"/>
      <c r="AA513" s="632"/>
      <c r="AB513" s="632"/>
      <c r="AC513" s="632"/>
    </row>
    <row r="514" spans="1:68" ht="14.25" hidden="1" customHeight="1" x14ac:dyDescent="0.25">
      <c r="A514" s="655" t="s">
        <v>60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4"/>
      <c r="AB514" s="624"/>
      <c r="AC514" s="624"/>
    </row>
    <row r="515" spans="1:68" ht="27" hidden="1" customHeight="1" x14ac:dyDescent="0.25">
      <c r="A515" s="54" t="s">
        <v>813</v>
      </c>
      <c r="B515" s="54" t="s">
        <v>814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114</v>
      </c>
      <c r="L515" s="32"/>
      <c r="M515" s="33" t="s">
        <v>115</v>
      </c>
      <c r="N515" s="33"/>
      <c r="O515" s="32">
        <v>70</v>
      </c>
      <c r="P515" s="9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65</v>
      </c>
      <c r="X515" s="629">
        <v>0</v>
      </c>
      <c r="Y515" s="630">
        <f t="shared" ref="Y515:Y521" si="75"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3" t="s">
        <v>815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0</v>
      </c>
      <c r="BN515" s="64">
        <f t="shared" ref="BN515:BN521" si="77">IFERROR(Y515*I515/H515,"0")</f>
        <v>0</v>
      </c>
      <c r="BO515" s="64">
        <f t="shared" ref="BO515:BO521" si="78">IFERROR(1/J515*(X515/H515),"0")</f>
        <v>0</v>
      </c>
      <c r="BP515" s="64">
        <f t="shared" ref="BP515:BP521" si="79">IFERROR(1/J515*(Y515/H515),"0")</f>
        <v>0</v>
      </c>
    </row>
    <row r="516" spans="1:68" ht="27" hidden="1" customHeight="1" x14ac:dyDescent="0.25">
      <c r="A516" s="54" t="s">
        <v>816</v>
      </c>
      <c r="B516" s="54" t="s">
        <v>817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114</v>
      </c>
      <c r="L516" s="32"/>
      <c r="M516" s="33" t="s">
        <v>64</v>
      </c>
      <c r="N516" s="33"/>
      <c r="O516" s="32">
        <v>70</v>
      </c>
      <c r="P516" s="84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65</v>
      </c>
      <c r="X516" s="629">
        <v>0</v>
      </c>
      <c r="Y516" s="630">
        <f t="shared" si="75"/>
        <v>0</v>
      </c>
      <c r="Z516" s="36" t="str">
        <f>IFERROR(IF(Y516=0,"",ROUNDUP(Y516/H516,0)*0.01196),"")</f>
        <v/>
      </c>
      <c r="AA516" s="56"/>
      <c r="AB516" s="57"/>
      <c r="AC516" s="595" t="s">
        <v>818</v>
      </c>
      <c r="AG516" s="64"/>
      <c r="AJ516" s="68"/>
      <c r="AK516" s="68">
        <v>0</v>
      </c>
      <c r="BB516" s="596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819</v>
      </c>
      <c r="B517" s="54" t="s">
        <v>820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114</v>
      </c>
      <c r="L517" s="32"/>
      <c r="M517" s="33" t="s">
        <v>64</v>
      </c>
      <c r="N517" s="33"/>
      <c r="O517" s="32">
        <v>70</v>
      </c>
      <c r="P517" s="8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65</v>
      </c>
      <c r="X517" s="629">
        <v>0</v>
      </c>
      <c r="Y517" s="630">
        <f t="shared" si="75"/>
        <v>0</v>
      </c>
      <c r="Z517" s="36" t="str">
        <f>IFERROR(IF(Y517=0,"",ROUNDUP(Y517/H517,0)*0.01196),"")</f>
        <v/>
      </c>
      <c r="AA517" s="56"/>
      <c r="AB517" s="57"/>
      <c r="AC517" s="597" t="s">
        <v>821</v>
      </c>
      <c r="AG517" s="64"/>
      <c r="AJ517" s="68"/>
      <c r="AK517" s="68">
        <v>0</v>
      </c>
      <c r="BB517" s="598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ht="27" hidden="1" customHeight="1" x14ac:dyDescent="0.25">
      <c r="A518" s="54" t="s">
        <v>822</v>
      </c>
      <c r="B518" s="54" t="s">
        <v>823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65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815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824</v>
      </c>
      <c r="B519" s="54" t="s">
        <v>825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123</v>
      </c>
      <c r="L519" s="32"/>
      <c r="M519" s="33" t="s">
        <v>64</v>
      </c>
      <c r="N519" s="33"/>
      <c r="O519" s="32">
        <v>70</v>
      </c>
      <c r="P519" s="81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65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818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824</v>
      </c>
      <c r="B520" s="54" t="s">
        <v>826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123</v>
      </c>
      <c r="L520" s="32"/>
      <c r="M520" s="33" t="s">
        <v>64</v>
      </c>
      <c r="N520" s="33"/>
      <c r="O520" s="32">
        <v>70</v>
      </c>
      <c r="P520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65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818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827</v>
      </c>
      <c r="B521" s="54" t="s">
        <v>828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123</v>
      </c>
      <c r="L521" s="32"/>
      <c r="M521" s="33" t="s">
        <v>64</v>
      </c>
      <c r="N521" s="33"/>
      <c r="O521" s="32">
        <v>70</v>
      </c>
      <c r="P521" s="6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65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821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hidden="1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70</v>
      </c>
      <c r="Q522" s="647"/>
      <c r="R522" s="647"/>
      <c r="S522" s="647"/>
      <c r="T522" s="647"/>
      <c r="U522" s="647"/>
      <c r="V522" s="648"/>
      <c r="W522" s="37" t="s">
        <v>71</v>
      </c>
      <c r="X522" s="631">
        <f>IFERROR(X515/H515,"0")+IFERROR(X516/H516,"0")+IFERROR(X517/H517,"0")+IFERROR(X518/H518,"0")+IFERROR(X519/H519,"0")+IFERROR(X520/H520,"0")+IFERROR(X521/H521,"0")</f>
        <v>0</v>
      </c>
      <c r="Y522" s="631">
        <f>IFERROR(Y515/H515,"0")+IFERROR(Y516/H516,"0")+IFERROR(Y517/H517,"0")+IFERROR(Y518/H518,"0")+IFERROR(Y519/H519,"0")+IFERROR(Y520/H520,"0")+IFERROR(Y521/H521,"0")</f>
        <v>0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32"/>
      <c r="AB522" s="632"/>
      <c r="AC522" s="632"/>
    </row>
    <row r="523" spans="1:68" hidden="1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70</v>
      </c>
      <c r="Q523" s="647"/>
      <c r="R523" s="647"/>
      <c r="S523" s="647"/>
      <c r="T523" s="647"/>
      <c r="U523" s="647"/>
      <c r="V523" s="648"/>
      <c r="W523" s="37" t="s">
        <v>65</v>
      </c>
      <c r="X523" s="631">
        <f>IFERROR(SUM(X515:X521),"0")</f>
        <v>0</v>
      </c>
      <c r="Y523" s="631">
        <f>IFERROR(SUM(Y515:Y521),"0")</f>
        <v>0</v>
      </c>
      <c r="Z523" s="37"/>
      <c r="AA523" s="632"/>
      <c r="AB523" s="632"/>
      <c r="AC523" s="632"/>
    </row>
    <row r="524" spans="1:68" ht="27.75" hidden="1" customHeight="1" x14ac:dyDescent="0.2">
      <c r="A524" s="651" t="s">
        <v>829</v>
      </c>
      <c r="B524" s="652"/>
      <c r="C524" s="652"/>
      <c r="D524" s="652"/>
      <c r="E524" s="652"/>
      <c r="F524" s="652"/>
      <c r="G524" s="652"/>
      <c r="H524" s="652"/>
      <c r="I524" s="652"/>
      <c r="J524" s="652"/>
      <c r="K524" s="652"/>
      <c r="L524" s="652"/>
      <c r="M524" s="652"/>
      <c r="N524" s="652"/>
      <c r="O524" s="652"/>
      <c r="P524" s="652"/>
      <c r="Q524" s="652"/>
      <c r="R524" s="652"/>
      <c r="S524" s="652"/>
      <c r="T524" s="652"/>
      <c r="U524" s="652"/>
      <c r="V524" s="652"/>
      <c r="W524" s="652"/>
      <c r="X524" s="652"/>
      <c r="Y524" s="652"/>
      <c r="Z524" s="652"/>
      <c r="AA524" s="48"/>
      <c r="AB524" s="48"/>
      <c r="AC524" s="48"/>
    </row>
    <row r="525" spans="1:68" ht="16.5" hidden="1" customHeight="1" x14ac:dyDescent="0.25">
      <c r="A525" s="649" t="s">
        <v>829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3"/>
      <c r="AB525" s="623"/>
      <c r="AC525" s="623"/>
    </row>
    <row r="526" spans="1:68" ht="14.25" hidden="1" customHeight="1" x14ac:dyDescent="0.25">
      <c r="A526" s="655" t="s">
        <v>111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4"/>
      <c r="AB526" s="624"/>
      <c r="AC526" s="624"/>
    </row>
    <row r="527" spans="1:68" ht="27" hidden="1" customHeight="1" x14ac:dyDescent="0.25">
      <c r="A527" s="54" t="s">
        <v>830</v>
      </c>
      <c r="B527" s="54" t="s">
        <v>831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114</v>
      </c>
      <c r="L527" s="32"/>
      <c r="M527" s="33" t="s">
        <v>115</v>
      </c>
      <c r="N527" s="33"/>
      <c r="O527" s="32">
        <v>50</v>
      </c>
      <c r="P527" s="7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65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832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70</v>
      </c>
      <c r="Q528" s="647"/>
      <c r="R528" s="647"/>
      <c r="S528" s="647"/>
      <c r="T528" s="647"/>
      <c r="U528" s="647"/>
      <c r="V528" s="648"/>
      <c r="W528" s="37" t="s">
        <v>71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70</v>
      </c>
      <c r="Q529" s="647"/>
      <c r="R529" s="647"/>
      <c r="S529" s="647"/>
      <c r="T529" s="647"/>
      <c r="U529" s="647"/>
      <c r="V529" s="648"/>
      <c r="W529" s="37" t="s">
        <v>65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5" t="s">
        <v>144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4"/>
      <c r="AB530" s="624"/>
      <c r="AC530" s="624"/>
    </row>
    <row r="531" spans="1:68" ht="27" hidden="1" customHeight="1" x14ac:dyDescent="0.25">
      <c r="A531" s="54" t="s">
        <v>833</v>
      </c>
      <c r="B531" s="54" t="s">
        <v>834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114</v>
      </c>
      <c r="L531" s="32"/>
      <c r="M531" s="33" t="s">
        <v>115</v>
      </c>
      <c r="N531" s="33"/>
      <c r="O531" s="32">
        <v>50</v>
      </c>
      <c r="P531" s="68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65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835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70</v>
      </c>
      <c r="Q532" s="647"/>
      <c r="R532" s="647"/>
      <c r="S532" s="647"/>
      <c r="T532" s="647"/>
      <c r="U532" s="647"/>
      <c r="V532" s="648"/>
      <c r="W532" s="37" t="s">
        <v>71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70</v>
      </c>
      <c r="Q533" s="647"/>
      <c r="R533" s="647"/>
      <c r="S533" s="647"/>
      <c r="T533" s="647"/>
      <c r="U533" s="647"/>
      <c r="V533" s="648"/>
      <c r="W533" s="37" t="s">
        <v>65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5" t="s">
        <v>60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4"/>
      <c r="AB534" s="624"/>
      <c r="AC534" s="624"/>
    </row>
    <row r="535" spans="1:68" ht="27" hidden="1" customHeight="1" x14ac:dyDescent="0.25">
      <c r="A535" s="54" t="s">
        <v>836</v>
      </c>
      <c r="B535" s="54" t="s">
        <v>837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123</v>
      </c>
      <c r="L535" s="32"/>
      <c r="M535" s="33" t="s">
        <v>64</v>
      </c>
      <c r="N535" s="33"/>
      <c r="O535" s="32">
        <v>40</v>
      </c>
      <c r="P535" s="86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65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838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70</v>
      </c>
      <c r="Q536" s="647"/>
      <c r="R536" s="647"/>
      <c r="S536" s="647"/>
      <c r="T536" s="647"/>
      <c r="U536" s="647"/>
      <c r="V536" s="648"/>
      <c r="W536" s="37" t="s">
        <v>71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70</v>
      </c>
      <c r="Q537" s="647"/>
      <c r="R537" s="647"/>
      <c r="S537" s="647"/>
      <c r="T537" s="647"/>
      <c r="U537" s="647"/>
      <c r="V537" s="648"/>
      <c r="W537" s="37" t="s">
        <v>65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5" t="s">
        <v>72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4"/>
      <c r="AB538" s="624"/>
      <c r="AC538" s="624"/>
    </row>
    <row r="539" spans="1:68" ht="27" hidden="1" customHeight="1" x14ac:dyDescent="0.25">
      <c r="A539" s="54" t="s">
        <v>839</v>
      </c>
      <c r="B539" s="54" t="s">
        <v>840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114</v>
      </c>
      <c r="L539" s="32"/>
      <c r="M539" s="33" t="s">
        <v>76</v>
      </c>
      <c r="N539" s="33"/>
      <c r="O539" s="32">
        <v>45</v>
      </c>
      <c r="P539" s="7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65</v>
      </c>
      <c r="X539" s="629">
        <v>0</v>
      </c>
      <c r="Y539" s="630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3" t="s">
        <v>841</v>
      </c>
      <c r="AG539" s="64"/>
      <c r="AJ539" s="68"/>
      <c r="AK539" s="68">
        <v>0</v>
      </c>
      <c r="BB539" s="614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70</v>
      </c>
      <c r="Q540" s="647"/>
      <c r="R540" s="647"/>
      <c r="S540" s="647"/>
      <c r="T540" s="647"/>
      <c r="U540" s="647"/>
      <c r="V540" s="648"/>
      <c r="W540" s="37" t="s">
        <v>71</v>
      </c>
      <c r="X540" s="631">
        <f>IFERROR(X539/H539,"0")</f>
        <v>0</v>
      </c>
      <c r="Y540" s="631">
        <f>IFERROR(Y539/H539,"0")</f>
        <v>0</v>
      </c>
      <c r="Z540" s="631">
        <f>IFERROR(IF(Z539="",0,Z539),"0")</f>
        <v>0</v>
      </c>
      <c r="AA540" s="632"/>
      <c r="AB540" s="632"/>
      <c r="AC540" s="632"/>
    </row>
    <row r="541" spans="1:68" hidden="1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70</v>
      </c>
      <c r="Q541" s="647"/>
      <c r="R541" s="647"/>
      <c r="S541" s="647"/>
      <c r="T541" s="647"/>
      <c r="U541" s="647"/>
      <c r="V541" s="648"/>
      <c r="W541" s="37" t="s">
        <v>65</v>
      </c>
      <c r="X541" s="631">
        <f>IFERROR(SUM(X539:X539),"0")</f>
        <v>0</v>
      </c>
      <c r="Y541" s="631">
        <f>IFERROR(SUM(Y539:Y539),"0")</f>
        <v>0</v>
      </c>
      <c r="Z541" s="37"/>
      <c r="AA541" s="632"/>
      <c r="AB541" s="632"/>
      <c r="AC541" s="632"/>
    </row>
    <row r="542" spans="1:68" ht="14.25" hidden="1" customHeight="1" x14ac:dyDescent="0.25">
      <c r="A542" s="655" t="s">
        <v>161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4"/>
      <c r="AB542" s="624"/>
      <c r="AC542" s="624"/>
    </row>
    <row r="543" spans="1:68" ht="27" hidden="1" customHeight="1" x14ac:dyDescent="0.25">
      <c r="A543" s="54" t="s">
        <v>842</v>
      </c>
      <c r="B543" s="54" t="s">
        <v>843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114</v>
      </c>
      <c r="L543" s="32"/>
      <c r="M543" s="33" t="s">
        <v>76</v>
      </c>
      <c r="N543" s="33"/>
      <c r="O543" s="32">
        <v>40</v>
      </c>
      <c r="P543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65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844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845</v>
      </c>
      <c r="B544" s="54" t="s">
        <v>846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114</v>
      </c>
      <c r="L544" s="32"/>
      <c r="M544" s="33" t="s">
        <v>76</v>
      </c>
      <c r="N544" s="33"/>
      <c r="O544" s="32">
        <v>40</v>
      </c>
      <c r="P544" s="8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65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847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70</v>
      </c>
      <c r="Q545" s="647"/>
      <c r="R545" s="647"/>
      <c r="S545" s="647"/>
      <c r="T545" s="647"/>
      <c r="U545" s="647"/>
      <c r="V545" s="648"/>
      <c r="W545" s="37" t="s">
        <v>71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70</v>
      </c>
      <c r="Q546" s="647"/>
      <c r="R546" s="647"/>
      <c r="S546" s="647"/>
      <c r="T546" s="647"/>
      <c r="U546" s="647"/>
      <c r="V546" s="648"/>
      <c r="W546" s="37" t="s">
        <v>65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49" t="s">
        <v>848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3"/>
      <c r="AB547" s="623"/>
      <c r="AC547" s="623"/>
    </row>
    <row r="548" spans="1:68" ht="14.25" hidden="1" customHeight="1" x14ac:dyDescent="0.25">
      <c r="A548" s="655" t="s">
        <v>144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4"/>
      <c r="AB548" s="624"/>
      <c r="AC548" s="624"/>
    </row>
    <row r="549" spans="1:68" ht="27" hidden="1" customHeight="1" x14ac:dyDescent="0.25">
      <c r="A549" s="54" t="s">
        <v>849</v>
      </c>
      <c r="B549" s="54" t="s">
        <v>850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114</v>
      </c>
      <c r="L549" s="32"/>
      <c r="M549" s="33" t="s">
        <v>115</v>
      </c>
      <c r="N549" s="33"/>
      <c r="O549" s="32">
        <v>50</v>
      </c>
      <c r="P549" s="68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65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851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70</v>
      </c>
      <c r="Q550" s="647"/>
      <c r="R550" s="647"/>
      <c r="S550" s="647"/>
      <c r="T550" s="647"/>
      <c r="U550" s="647"/>
      <c r="V550" s="648"/>
      <c r="W550" s="37" t="s">
        <v>71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70</v>
      </c>
      <c r="Q551" s="647"/>
      <c r="R551" s="647"/>
      <c r="S551" s="647"/>
      <c r="T551" s="647"/>
      <c r="U551" s="647"/>
      <c r="V551" s="648"/>
      <c r="W551" s="37" t="s">
        <v>65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7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4"/>
      <c r="P552" s="737" t="s">
        <v>852</v>
      </c>
      <c r="Q552" s="738"/>
      <c r="R552" s="738"/>
      <c r="S552" s="738"/>
      <c r="T552" s="738"/>
      <c r="U552" s="738"/>
      <c r="V552" s="739"/>
      <c r="W552" s="37" t="s">
        <v>65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3495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3517.74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4"/>
      <c r="P553" s="737" t="s">
        <v>853</v>
      </c>
      <c r="Q553" s="738"/>
      <c r="R553" s="738"/>
      <c r="S553" s="738"/>
      <c r="T553" s="738"/>
      <c r="U553" s="738"/>
      <c r="V553" s="739"/>
      <c r="W553" s="37" t="s">
        <v>65</v>
      </c>
      <c r="X553" s="631">
        <f>IFERROR(SUM(BM22:BM549),"0")</f>
        <v>3615.2853535353534</v>
      </c>
      <c r="Y553" s="631">
        <f>IFERROR(SUM(BN22:BN549),"0")</f>
        <v>3638.8240000000005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4"/>
      <c r="P554" s="737" t="s">
        <v>854</v>
      </c>
      <c r="Q554" s="738"/>
      <c r="R554" s="738"/>
      <c r="S554" s="738"/>
      <c r="T554" s="738"/>
      <c r="U554" s="738"/>
      <c r="V554" s="739"/>
      <c r="W554" s="37" t="s">
        <v>855</v>
      </c>
      <c r="X554" s="38">
        <f>ROUNDUP(SUM(BO22:BO549),0)</f>
        <v>5</v>
      </c>
      <c r="Y554" s="38">
        <f>ROUNDUP(SUM(BP22:BP549),0)</f>
        <v>6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4"/>
      <c r="P555" s="737" t="s">
        <v>856</v>
      </c>
      <c r="Q555" s="738"/>
      <c r="R555" s="738"/>
      <c r="S555" s="738"/>
      <c r="T555" s="738"/>
      <c r="U555" s="738"/>
      <c r="V555" s="739"/>
      <c r="W555" s="37" t="s">
        <v>65</v>
      </c>
      <c r="X555" s="631">
        <f>GrossWeightTotal+PalletQtyTotal*25</f>
        <v>3740.2853535353534</v>
      </c>
      <c r="Y555" s="631">
        <f>GrossWeightTotalR+PalletQtyTotalR*25</f>
        <v>3788.8240000000005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74"/>
      <c r="P556" s="737" t="s">
        <v>857</v>
      </c>
      <c r="Q556" s="738"/>
      <c r="R556" s="738"/>
      <c r="S556" s="738"/>
      <c r="T556" s="738"/>
      <c r="U556" s="738"/>
      <c r="V556" s="739"/>
      <c r="W556" s="37" t="s">
        <v>855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275.10101010101005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277</v>
      </c>
      <c r="Z556" s="37"/>
      <c r="AA556" s="632"/>
      <c r="AB556" s="632"/>
      <c r="AC556" s="632"/>
    </row>
    <row r="557" spans="1:68" ht="15.6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74"/>
      <c r="P557" s="737" t="s">
        <v>858</v>
      </c>
      <c r="Q557" s="738"/>
      <c r="R557" s="738"/>
      <c r="S557" s="738"/>
      <c r="T557" s="738"/>
      <c r="U557" s="738"/>
      <c r="V557" s="739"/>
      <c r="W557" s="39" t="s">
        <v>859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5.35487</v>
      </c>
      <c r="AA557" s="632"/>
      <c r="AB557" s="632"/>
      <c r="AC557" s="632"/>
    </row>
    <row r="558" spans="1:68" ht="13.9" customHeight="1" thickBot="1" x14ac:dyDescent="0.25"/>
    <row r="559" spans="1:68" ht="28.9" customHeight="1" thickTop="1" thickBot="1" x14ac:dyDescent="0.25">
      <c r="A559" s="40" t="s">
        <v>860</v>
      </c>
      <c r="B559" s="621" t="s">
        <v>59</v>
      </c>
      <c r="C559" s="621" t="s">
        <v>90</v>
      </c>
      <c r="D559" s="687" t="s">
        <v>109</v>
      </c>
      <c r="E559" s="709"/>
      <c r="F559" s="709"/>
      <c r="G559" s="709"/>
      <c r="H559" s="709"/>
      <c r="I559" s="709"/>
      <c r="J559" s="710"/>
      <c r="K559" s="687" t="s">
        <v>337</v>
      </c>
      <c r="L559" s="709"/>
      <c r="M559" s="709"/>
      <c r="N559" s="709"/>
      <c r="O559" s="709"/>
      <c r="P559" s="709"/>
      <c r="Q559" s="709"/>
      <c r="R559" s="709"/>
      <c r="S559" s="709"/>
      <c r="T559" s="709"/>
      <c r="U559" s="709"/>
      <c r="V559" s="710"/>
      <c r="W559" s="687" t="s">
        <v>680</v>
      </c>
      <c r="X559" s="710"/>
      <c r="Y559" s="687" t="s">
        <v>746</v>
      </c>
      <c r="Z559" s="710"/>
      <c r="AA559" s="621" t="s">
        <v>782</v>
      </c>
      <c r="AB559" s="687" t="s">
        <v>829</v>
      </c>
      <c r="AC559" s="710"/>
      <c r="AF559" s="622"/>
    </row>
    <row r="560" spans="1:68" ht="14.25" customHeight="1" thickTop="1" x14ac:dyDescent="0.2">
      <c r="A560" s="702" t="s">
        <v>861</v>
      </c>
      <c r="B560" s="687" t="s">
        <v>59</v>
      </c>
      <c r="C560" s="687" t="s">
        <v>91</v>
      </c>
      <c r="D560" s="687" t="s">
        <v>110</v>
      </c>
      <c r="E560" s="687" t="s">
        <v>126</v>
      </c>
      <c r="F560" s="687" t="s">
        <v>168</v>
      </c>
      <c r="G560" s="687" t="s">
        <v>189</v>
      </c>
      <c r="H560" s="687" t="s">
        <v>229</v>
      </c>
      <c r="I560" s="687" t="s">
        <v>253</v>
      </c>
      <c r="J560" s="687" t="s">
        <v>109</v>
      </c>
      <c r="K560" s="687" t="s">
        <v>338</v>
      </c>
      <c r="L560" s="687" t="s">
        <v>359</v>
      </c>
      <c r="M560" s="687" t="s">
        <v>426</v>
      </c>
      <c r="N560" s="622"/>
      <c r="O560" s="687" t="s">
        <v>494</v>
      </c>
      <c r="P560" s="687" t="s">
        <v>527</v>
      </c>
      <c r="Q560" s="687" t="s">
        <v>543</v>
      </c>
      <c r="R560" s="687" t="s">
        <v>552</v>
      </c>
      <c r="S560" s="687" t="s">
        <v>573</v>
      </c>
      <c r="T560" s="687" t="s">
        <v>582</v>
      </c>
      <c r="U560" s="687" t="s">
        <v>663</v>
      </c>
      <c r="V560" s="687" t="s">
        <v>670</v>
      </c>
      <c r="W560" s="687" t="s">
        <v>681</v>
      </c>
      <c r="X560" s="687" t="s">
        <v>730</v>
      </c>
      <c r="Y560" s="687" t="s">
        <v>747</v>
      </c>
      <c r="Z560" s="687" t="s">
        <v>770</v>
      </c>
      <c r="AA560" s="687" t="s">
        <v>782</v>
      </c>
      <c r="AB560" s="687" t="s">
        <v>829</v>
      </c>
      <c r="AC560" s="687" t="s">
        <v>848</v>
      </c>
      <c r="AF560" s="622"/>
    </row>
    <row r="561" spans="1:32" ht="13.9" customHeight="1" thickBot="1" x14ac:dyDescent="0.25">
      <c r="A561" s="703"/>
      <c r="B561" s="688"/>
      <c r="C561" s="688"/>
      <c r="D561" s="688"/>
      <c r="E561" s="688"/>
      <c r="F561" s="688"/>
      <c r="G561" s="688"/>
      <c r="H561" s="688"/>
      <c r="I561" s="688"/>
      <c r="J561" s="688"/>
      <c r="K561" s="688"/>
      <c r="L561" s="688"/>
      <c r="M561" s="688"/>
      <c r="N561" s="622"/>
      <c r="O561" s="688"/>
      <c r="P561" s="688"/>
      <c r="Q561" s="688"/>
      <c r="R561" s="688"/>
      <c r="S561" s="688"/>
      <c r="T561" s="688"/>
      <c r="U561" s="688"/>
      <c r="V561" s="688"/>
      <c r="W561" s="688"/>
      <c r="X561" s="688"/>
      <c r="Y561" s="688"/>
      <c r="Z561" s="688"/>
      <c r="AA561" s="688"/>
      <c r="AB561" s="688"/>
      <c r="AC561" s="688"/>
      <c r="AF561" s="622"/>
    </row>
    <row r="562" spans="1:32" ht="15" customHeight="1" thickTop="1" thickBot="1" x14ac:dyDescent="0.25">
      <c r="A562" s="40" t="s">
        <v>862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0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151.20000000000002</v>
      </c>
      <c r="F562" s="46">
        <f>IFERROR(Y83*1,"0")+IFERROR(Y84*1,"0")+IFERROR(Y85*1,"0")+IFERROR(Y86*1,"0")+IFERROR(Y90*1,"0")+IFERROR(Y91*1,"0")+IFERROR(Y92*1,"0")+IFERROR(Y93*1,"0")</f>
        <v>45.900000000000006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46">
        <f>IFERROR(Y128*1,"0")+IFERROR(Y129*1,"0")+IFERROR(Y130*1,"0")+IFERROR(Y134*1,"0")+IFERROR(Y135*1,"0")+IFERROR(Y136*1,"0")+IFERROR(Y137*1,"0")+IFERROR(Y141*1,"0")+IFERROR(Y142*1,"0")+IFERROR(Y143*1,"0")</f>
        <v>0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622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0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0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46">
        <f>IFERROR(Y410*1,"0")+IFERROR(Y411*1,"0")</f>
        <v>0</v>
      </c>
      <c r="V562" s="46">
        <f>IFERROR(Y416*1,"0")+IFERROR(Y417*1,"0")+IFERROR(Y418*1,"0")</f>
        <v>0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3120</v>
      </c>
      <c r="X562" s="46">
        <f>IFERROR(Y453*1,"0")+IFERROR(Y454*1,"0")+IFERROR(Y458*1,"0")+IFERROR(Y462*1,"0")+IFERROR(Y463*1,"0")+IFERROR(Y464*1,"0")</f>
        <v>0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200.64000000000001</v>
      </c>
      <c r="AB562" s="46">
        <f>IFERROR(Y527*1,"0")+IFERROR(Y531*1,"0")+IFERROR(Y535*1,"0")+IFERROR(Y539*1,"0")+IFERROR(Y543*1,"0")+IFERROR(Y544*1,"0")</f>
        <v>0</v>
      </c>
      <c r="AC562" s="46">
        <f>IFERROR(Y549*1,"0")</f>
        <v>0</v>
      </c>
      <c r="AF562" s="622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3,89"/>
        <filter val="150,00"/>
        <filter val="16,67"/>
        <filter val="160,00"/>
        <filter val="2 400,00"/>
        <filter val="200,00"/>
        <filter val="275,10"/>
        <filter val="3 495,00"/>
        <filter val="3 615,29"/>
        <filter val="3 740,29"/>
        <filter val="300,00"/>
        <filter val="37,88"/>
        <filter val="400,00"/>
        <filter val="45,00"/>
        <filter val="46,67"/>
        <filter val="5"/>
        <filter val="500,00"/>
        <filter val="700,00"/>
      </filters>
    </filterColumn>
    <filterColumn colId="29" showButton="0"/>
    <filterColumn colId="30" showButton="0"/>
  </autoFilter>
  <mergeCells count="989">
    <mergeCell ref="P500:T500"/>
    <mergeCell ref="D50:E50"/>
    <mergeCell ref="A494:Z494"/>
    <mergeCell ref="P307:T307"/>
    <mergeCell ref="P373:T373"/>
    <mergeCell ref="D286:E286"/>
    <mergeCell ref="P387:V387"/>
    <mergeCell ref="U17:V17"/>
    <mergeCell ref="Y17:Y18"/>
    <mergeCell ref="D331:E331"/>
    <mergeCell ref="D57:E57"/>
    <mergeCell ref="P136:T136"/>
    <mergeCell ref="P305:V305"/>
    <mergeCell ref="D244:E244"/>
    <mergeCell ref="P228:T228"/>
    <mergeCell ref="P499:T499"/>
    <mergeCell ref="D342:E342"/>
    <mergeCell ref="O560:O561"/>
    <mergeCell ref="Q560:Q561"/>
    <mergeCell ref="P360:T360"/>
    <mergeCell ref="P138:V138"/>
    <mergeCell ref="P151:T151"/>
    <mergeCell ref="D268:E268"/>
    <mergeCell ref="P374:V374"/>
    <mergeCell ref="A10:C10"/>
    <mergeCell ref="A484:Z484"/>
    <mergeCell ref="P69:V69"/>
    <mergeCell ref="A21:Z21"/>
    <mergeCell ref="P438:V438"/>
    <mergeCell ref="D184:E184"/>
    <mergeCell ref="P505:T505"/>
    <mergeCell ref="A355:O356"/>
    <mergeCell ref="A415:Z415"/>
    <mergeCell ref="D549:E549"/>
    <mergeCell ref="A478:Z478"/>
    <mergeCell ref="A24:O25"/>
    <mergeCell ref="P65:T65"/>
    <mergeCell ref="D17:E18"/>
    <mergeCell ref="D515:E515"/>
    <mergeCell ref="D471:E471"/>
    <mergeCell ref="A449:O450"/>
    <mergeCell ref="A440:Z440"/>
    <mergeCell ref="P419:V419"/>
    <mergeCell ref="P145:V145"/>
    <mergeCell ref="P381:V381"/>
    <mergeCell ref="P368:T368"/>
    <mergeCell ref="A8:C8"/>
    <mergeCell ref="P385:T385"/>
    <mergeCell ref="P410:T410"/>
    <mergeCell ref="P447:T447"/>
    <mergeCell ref="X17:X18"/>
    <mergeCell ref="D123:E123"/>
    <mergeCell ref="P58:T58"/>
    <mergeCell ref="A35:Z35"/>
    <mergeCell ref="P510:T510"/>
    <mergeCell ref="N17:N18"/>
    <mergeCell ref="D49:E49"/>
    <mergeCell ref="Q5:R5"/>
    <mergeCell ref="F17:F18"/>
    <mergeCell ref="P72:T72"/>
    <mergeCell ref="P370:T370"/>
    <mergeCell ref="P497:T497"/>
    <mergeCell ref="P297:T297"/>
    <mergeCell ref="P435:T435"/>
    <mergeCell ref="D278:E278"/>
    <mergeCell ref="D163:E163"/>
    <mergeCell ref="P291:T291"/>
    <mergeCell ref="D405:E405"/>
    <mergeCell ref="Q6:R6"/>
    <mergeCell ref="P308:V308"/>
    <mergeCell ref="P185:V185"/>
    <mergeCell ref="P160:V160"/>
    <mergeCell ref="P216:V216"/>
    <mergeCell ref="P83:T83"/>
    <mergeCell ref="D271:E271"/>
    <mergeCell ref="V12:W12"/>
    <mergeCell ref="D458:E458"/>
    <mergeCell ref="P43:V43"/>
    <mergeCell ref="P529:V529"/>
    <mergeCell ref="P110:T110"/>
    <mergeCell ref="P53:V53"/>
    <mergeCell ref="A127:Z127"/>
    <mergeCell ref="A249:Z249"/>
    <mergeCell ref="A320:Z320"/>
    <mergeCell ref="P289:V289"/>
    <mergeCell ref="A314:Z314"/>
    <mergeCell ref="P60:T60"/>
    <mergeCell ref="A469:Z469"/>
    <mergeCell ref="P131:V131"/>
    <mergeCell ref="D323:E323"/>
    <mergeCell ref="D223:E223"/>
    <mergeCell ref="D279:E279"/>
    <mergeCell ref="P406:V406"/>
    <mergeCell ref="P134:T134"/>
    <mergeCell ref="P513:V513"/>
    <mergeCell ref="A124:O125"/>
    <mergeCell ref="P436:T436"/>
    <mergeCell ref="A251:O252"/>
    <mergeCell ref="P292:T292"/>
    <mergeCell ref="D102:E102"/>
    <mergeCell ref="P450:V450"/>
    <mergeCell ref="A534:Z534"/>
    <mergeCell ref="A64:Z64"/>
    <mergeCell ref="P432:V432"/>
    <mergeCell ref="A107:Z107"/>
    <mergeCell ref="D276:E276"/>
    <mergeCell ref="D170:E170"/>
    <mergeCell ref="D341:E341"/>
    <mergeCell ref="P132:V132"/>
    <mergeCell ref="D237:E237"/>
    <mergeCell ref="A310:Z310"/>
    <mergeCell ref="A337:Z337"/>
    <mergeCell ref="P85:T85"/>
    <mergeCell ref="D291:E291"/>
    <mergeCell ref="D239:E239"/>
    <mergeCell ref="P174:T174"/>
    <mergeCell ref="D521:E521"/>
    <mergeCell ref="A254:Z254"/>
    <mergeCell ref="P181:T181"/>
    <mergeCell ref="P105:V105"/>
    <mergeCell ref="D215:E215"/>
    <mergeCell ref="D386:E386"/>
    <mergeCell ref="A364:O365"/>
    <mergeCell ref="P492:V492"/>
    <mergeCell ref="A409:Z409"/>
    <mergeCell ref="D29:E29"/>
    <mergeCell ref="D23:E23"/>
    <mergeCell ref="D265:E265"/>
    <mergeCell ref="P515:T515"/>
    <mergeCell ref="P195:V195"/>
    <mergeCell ref="A20:Z20"/>
    <mergeCell ref="P493:V493"/>
    <mergeCell ref="P123:T123"/>
    <mergeCell ref="P149:T149"/>
    <mergeCell ref="P74:V74"/>
    <mergeCell ref="D266:E266"/>
    <mergeCell ref="D42:E42"/>
    <mergeCell ref="P356:V356"/>
    <mergeCell ref="P363:T363"/>
    <mergeCell ref="P338:T338"/>
    <mergeCell ref="P390:T390"/>
    <mergeCell ref="P241:V241"/>
    <mergeCell ref="D504:E504"/>
    <mergeCell ref="D298:E298"/>
    <mergeCell ref="D181:E181"/>
    <mergeCell ref="P91:T91"/>
    <mergeCell ref="A351:Z351"/>
    <mergeCell ref="P252:V252"/>
    <mergeCell ref="A444:O445"/>
    <mergeCell ref="AB560:AB561"/>
    <mergeCell ref="A201:Z201"/>
    <mergeCell ref="P128:T128"/>
    <mergeCell ref="A52:O53"/>
    <mergeCell ref="D503:E503"/>
    <mergeCell ref="AD17:AF18"/>
    <mergeCell ref="P167:V167"/>
    <mergeCell ref="D101:E101"/>
    <mergeCell ref="A481:O482"/>
    <mergeCell ref="P365:V365"/>
    <mergeCell ref="A488:Z488"/>
    <mergeCell ref="P144:V144"/>
    <mergeCell ref="P67:T67"/>
    <mergeCell ref="D430:E430"/>
    <mergeCell ref="P509:T509"/>
    <mergeCell ref="D175:E175"/>
    <mergeCell ref="A334:O335"/>
    <mergeCell ref="D221:E221"/>
    <mergeCell ref="D392:E392"/>
    <mergeCell ref="P57:T57"/>
    <mergeCell ref="P367:T367"/>
    <mergeCell ref="D165:E165"/>
    <mergeCell ref="D475:E475"/>
    <mergeCell ref="P342:T342"/>
    <mergeCell ref="P2:W3"/>
    <mergeCell ref="P298:T298"/>
    <mergeCell ref="D437:E437"/>
    <mergeCell ref="P198:T198"/>
    <mergeCell ref="P369:T369"/>
    <mergeCell ref="P347:T347"/>
    <mergeCell ref="D539:E539"/>
    <mergeCell ref="P418:T418"/>
    <mergeCell ref="D228:E228"/>
    <mergeCell ref="D333:E333"/>
    <mergeCell ref="P312:V312"/>
    <mergeCell ref="D404:E404"/>
    <mergeCell ref="D10:E10"/>
    <mergeCell ref="F10:G10"/>
    <mergeCell ref="P135:T135"/>
    <mergeCell ref="P362:T362"/>
    <mergeCell ref="A308:O309"/>
    <mergeCell ref="D99:E99"/>
    <mergeCell ref="D270:E270"/>
    <mergeCell ref="D397:E397"/>
    <mergeCell ref="F5:G5"/>
    <mergeCell ref="V11:W11"/>
    <mergeCell ref="P317:T317"/>
    <mergeCell ref="D152:E152"/>
    <mergeCell ref="E560:E561"/>
    <mergeCell ref="P258:V258"/>
    <mergeCell ref="G560:G561"/>
    <mergeCell ref="P556:V556"/>
    <mergeCell ref="P52:V52"/>
    <mergeCell ref="P430:T430"/>
    <mergeCell ref="A235:Z235"/>
    <mergeCell ref="P102:T102"/>
    <mergeCell ref="P417:T417"/>
    <mergeCell ref="P481:V481"/>
    <mergeCell ref="D531:E531"/>
    <mergeCell ref="P456:V456"/>
    <mergeCell ref="A508:Z508"/>
    <mergeCell ref="D177:E177"/>
    <mergeCell ref="A483:Z483"/>
    <mergeCell ref="P183:T183"/>
    <mergeCell ref="D226:E226"/>
    <mergeCell ref="D164:E164"/>
    <mergeCell ref="P354:T354"/>
    <mergeCell ref="P523:V523"/>
    <mergeCell ref="D462:E462"/>
    <mergeCell ref="D544:E544"/>
    <mergeCell ref="A550:O551"/>
    <mergeCell ref="Z560:Z561"/>
    <mergeCell ref="Q13:R13"/>
    <mergeCell ref="P401:V401"/>
    <mergeCell ref="A318:O319"/>
    <mergeCell ref="P176:T176"/>
    <mergeCell ref="P41:T41"/>
    <mergeCell ref="D84:E84"/>
    <mergeCell ref="D22:E22"/>
    <mergeCell ref="A157:Z157"/>
    <mergeCell ref="A62:O63"/>
    <mergeCell ref="D149:E149"/>
    <mergeCell ref="P301:T301"/>
    <mergeCell ref="D385:E385"/>
    <mergeCell ref="P178:T178"/>
    <mergeCell ref="P276:T276"/>
    <mergeCell ref="D86:E86"/>
    <mergeCell ref="P270:T270"/>
    <mergeCell ref="A400:O401"/>
    <mergeCell ref="P341:T341"/>
    <mergeCell ref="D384:E384"/>
    <mergeCell ref="D151:E151"/>
    <mergeCell ref="P192:V192"/>
    <mergeCell ref="A191:O192"/>
    <mergeCell ref="A387:O388"/>
    <mergeCell ref="P49:T49"/>
    <mergeCell ref="AA560:AA561"/>
    <mergeCell ref="A241:O242"/>
    <mergeCell ref="P111:T111"/>
    <mergeCell ref="D154:E154"/>
    <mergeCell ref="D225:E225"/>
    <mergeCell ref="P282:T282"/>
    <mergeCell ref="A412:O413"/>
    <mergeCell ref="AC560:AC561"/>
    <mergeCell ref="P61:T61"/>
    <mergeCell ref="P359:T359"/>
    <mergeCell ref="D436:E436"/>
    <mergeCell ref="D292:E292"/>
    <mergeCell ref="A105:O106"/>
    <mergeCell ref="P346:T346"/>
    <mergeCell ref="A476:O477"/>
    <mergeCell ref="P490:T490"/>
    <mergeCell ref="D227:E227"/>
    <mergeCell ref="P262:V262"/>
    <mergeCell ref="D373:E373"/>
    <mergeCell ref="P112:T112"/>
    <mergeCell ref="D500:E500"/>
    <mergeCell ref="P273:V273"/>
    <mergeCell ref="A465:O466"/>
    <mergeCell ref="P323:T323"/>
    <mergeCell ref="P553:V553"/>
    <mergeCell ref="A296:Z296"/>
    <mergeCell ref="A467:Z467"/>
    <mergeCell ref="A461:Z461"/>
    <mergeCell ref="P59:T59"/>
    <mergeCell ref="P130:T130"/>
    <mergeCell ref="D136:E136"/>
    <mergeCell ref="P190:T190"/>
    <mergeCell ref="P482:V482"/>
    <mergeCell ref="A113:O114"/>
    <mergeCell ref="A414:Z414"/>
    <mergeCell ref="D231:E231"/>
    <mergeCell ref="P70:V70"/>
    <mergeCell ref="P537:V537"/>
    <mergeCell ref="A389:Z389"/>
    <mergeCell ref="P470:T470"/>
    <mergeCell ref="D447:E447"/>
    <mergeCell ref="A457:Z457"/>
    <mergeCell ref="P463:T463"/>
    <mergeCell ref="A166:O167"/>
    <mergeCell ref="D150:E150"/>
    <mergeCell ref="P278:T278"/>
    <mergeCell ref="P63:V63"/>
    <mergeCell ref="P101:T101"/>
    <mergeCell ref="F560:F561"/>
    <mergeCell ref="P93:T93"/>
    <mergeCell ref="P226:T226"/>
    <mergeCell ref="D85:E85"/>
    <mergeCell ref="P164:T164"/>
    <mergeCell ref="D207:E207"/>
    <mergeCell ref="P120:V120"/>
    <mergeCell ref="D256:E256"/>
    <mergeCell ref="P269:T269"/>
    <mergeCell ref="P462:T462"/>
    <mergeCell ref="D299:E299"/>
    <mergeCell ref="H560:H561"/>
    <mergeCell ref="D370:E370"/>
    <mergeCell ref="D222:E222"/>
    <mergeCell ref="P476:V476"/>
    <mergeCell ref="A295:Z295"/>
    <mergeCell ref="P333:T333"/>
    <mergeCell ref="P399:T399"/>
    <mergeCell ref="P171:V171"/>
    <mergeCell ref="P242:V242"/>
    <mergeCell ref="P413:V413"/>
    <mergeCell ref="W559:X559"/>
    <mergeCell ref="P407:V407"/>
    <mergeCell ref="P121:V121"/>
    <mergeCell ref="H5:M5"/>
    <mergeCell ref="P98:T98"/>
    <mergeCell ref="P522:V522"/>
    <mergeCell ref="A214:Z214"/>
    <mergeCell ref="P225:T225"/>
    <mergeCell ref="D317:E317"/>
    <mergeCell ref="D510:E510"/>
    <mergeCell ref="D6:M6"/>
    <mergeCell ref="A306:Z306"/>
    <mergeCell ref="P175:T175"/>
    <mergeCell ref="P95:V95"/>
    <mergeCell ref="D83:E83"/>
    <mergeCell ref="D143:E143"/>
    <mergeCell ref="P227:T227"/>
    <mergeCell ref="P398:T398"/>
    <mergeCell ref="D441:E441"/>
    <mergeCell ref="D368:E368"/>
    <mergeCell ref="P177:T177"/>
    <mergeCell ref="P475:T475"/>
    <mergeCell ref="G17:G18"/>
    <mergeCell ref="P188:T188"/>
    <mergeCell ref="P382:V382"/>
    <mergeCell ref="P48:T48"/>
    <mergeCell ref="A9:C9"/>
    <mergeCell ref="U560:U561"/>
    <mergeCell ref="P445:V445"/>
    <mergeCell ref="D153:E153"/>
    <mergeCell ref="V6:W9"/>
    <mergeCell ref="D128:E128"/>
    <mergeCell ref="P256:T256"/>
    <mergeCell ref="P38:T38"/>
    <mergeCell ref="P109:T109"/>
    <mergeCell ref="P234:V234"/>
    <mergeCell ref="A348:O349"/>
    <mergeCell ref="A155:O156"/>
    <mergeCell ref="D435:E435"/>
    <mergeCell ref="D497:E497"/>
    <mergeCell ref="P84:T84"/>
    <mergeCell ref="P222:T222"/>
    <mergeCell ref="P22:T22"/>
    <mergeCell ref="D65:E65"/>
    <mergeCell ref="P40:T40"/>
    <mergeCell ref="D428:E428"/>
    <mergeCell ref="P334:V334"/>
    <mergeCell ref="K559:V559"/>
    <mergeCell ref="P394:V394"/>
    <mergeCell ref="A455:O456"/>
    <mergeCell ref="D194:E194"/>
    <mergeCell ref="P535:T535"/>
    <mergeCell ref="A144:O145"/>
    <mergeCell ref="H10:M10"/>
    <mergeCell ref="AA17:AA18"/>
    <mergeCell ref="P552:V552"/>
    <mergeCell ref="AC17:AC18"/>
    <mergeCell ref="P485:T485"/>
    <mergeCell ref="A122:Z122"/>
    <mergeCell ref="P108:T108"/>
    <mergeCell ref="P279:T279"/>
    <mergeCell ref="D393:E393"/>
    <mergeCell ref="D418:E418"/>
    <mergeCell ref="P472:T472"/>
    <mergeCell ref="Z17:Z18"/>
    <mergeCell ref="AB17:AB18"/>
    <mergeCell ref="A54:Z54"/>
    <mergeCell ref="P94:V94"/>
    <mergeCell ref="P44:V44"/>
    <mergeCell ref="P550:V550"/>
    <mergeCell ref="D367:E367"/>
    <mergeCell ref="A528:O529"/>
    <mergeCell ref="A530:Z530"/>
    <mergeCell ref="D58:E58"/>
    <mergeCell ref="P32:V32"/>
    <mergeCell ref="S560:S561"/>
    <mergeCell ref="A273:O274"/>
    <mergeCell ref="P143:T143"/>
    <mergeCell ref="A514:Z514"/>
    <mergeCell ref="D362:E362"/>
    <mergeCell ref="P441:T441"/>
    <mergeCell ref="D51:E51"/>
    <mergeCell ref="P328:V328"/>
    <mergeCell ref="P455:V455"/>
    <mergeCell ref="A147:Z147"/>
    <mergeCell ref="A451:Z451"/>
    <mergeCell ref="P207:T207"/>
    <mergeCell ref="A131:O132"/>
    <mergeCell ref="P172:V172"/>
    <mergeCell ref="P299:T299"/>
    <mergeCell ref="P393:T393"/>
    <mergeCell ref="P232:T232"/>
    <mergeCell ref="A82:Z82"/>
    <mergeCell ref="A275:Z275"/>
    <mergeCell ref="D267:E267"/>
    <mergeCell ref="P517:T517"/>
    <mergeCell ref="D509:E509"/>
    <mergeCell ref="D425:E425"/>
    <mergeCell ref="D359:E359"/>
    <mergeCell ref="J9:M9"/>
    <mergeCell ref="D112:E112"/>
    <mergeCell ref="D283:E283"/>
    <mergeCell ref="D519:E519"/>
    <mergeCell ref="A532:O533"/>
    <mergeCell ref="P141:T141"/>
    <mergeCell ref="D56:E56"/>
    <mergeCell ref="P206:T206"/>
    <mergeCell ref="P377:T377"/>
    <mergeCell ref="P448:T448"/>
    <mergeCell ref="P37:T37"/>
    <mergeCell ref="D176:E176"/>
    <mergeCell ref="D347:E347"/>
    <mergeCell ref="P155:V155"/>
    <mergeCell ref="D285:E285"/>
    <mergeCell ref="D491:E491"/>
    <mergeCell ref="P504:T504"/>
    <mergeCell ref="H17:H18"/>
    <mergeCell ref="P90:T90"/>
    <mergeCell ref="A146:Z146"/>
    <mergeCell ref="D204:E204"/>
    <mergeCell ref="P261:T261"/>
    <mergeCell ref="P332:T332"/>
    <mergeCell ref="D198:E198"/>
    <mergeCell ref="R560:R561"/>
    <mergeCell ref="P511:T511"/>
    <mergeCell ref="T560:T561"/>
    <mergeCell ref="P507:V507"/>
    <mergeCell ref="A506:O507"/>
    <mergeCell ref="A350:Z350"/>
    <mergeCell ref="P313:V313"/>
    <mergeCell ref="P380:T380"/>
    <mergeCell ref="A13:M13"/>
    <mergeCell ref="P444:V444"/>
    <mergeCell ref="A496:Z496"/>
    <mergeCell ref="P536:V536"/>
    <mergeCell ref="P79:V79"/>
    <mergeCell ref="A548:Z548"/>
    <mergeCell ref="D250:E250"/>
    <mergeCell ref="D61:E61"/>
    <mergeCell ref="A15:M15"/>
    <mergeCell ref="P238:T238"/>
    <mergeCell ref="D48:E48"/>
    <mergeCell ref="D490:E490"/>
    <mergeCell ref="D346:E346"/>
    <mergeCell ref="P229:T229"/>
    <mergeCell ref="P77:T77"/>
    <mergeCell ref="A133:Z133"/>
    <mergeCell ref="Q10:R10"/>
    <mergeCell ref="D41:E41"/>
    <mergeCell ref="A486:O487"/>
    <mergeCell ref="P25:V25"/>
    <mergeCell ref="D277:E277"/>
    <mergeCell ref="P318:V318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68:E68"/>
    <mergeCell ref="A203:Z203"/>
    <mergeCell ref="D372:E372"/>
    <mergeCell ref="P449:V449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V5:W5"/>
    <mergeCell ref="D190:E190"/>
    <mergeCell ref="D246:E246"/>
    <mergeCell ref="P294:V294"/>
    <mergeCell ref="I560:I561"/>
    <mergeCell ref="D40:E40"/>
    <mergeCell ref="D111:E111"/>
    <mergeCell ref="D282:E282"/>
    <mergeCell ref="P212:V212"/>
    <mergeCell ref="D338:E338"/>
    <mergeCell ref="P361:T361"/>
    <mergeCell ref="Q8:R8"/>
    <mergeCell ref="D183:E183"/>
    <mergeCell ref="P311:T311"/>
    <mergeCell ref="P267:T267"/>
    <mergeCell ref="A257:O258"/>
    <mergeCell ref="D219:E219"/>
    <mergeCell ref="D104:E104"/>
    <mergeCell ref="A288:O289"/>
    <mergeCell ref="P425:T425"/>
    <mergeCell ref="T6:U9"/>
    <mergeCell ref="D340:E340"/>
    <mergeCell ref="A12:M12"/>
    <mergeCell ref="A495:Z495"/>
    <mergeCell ref="P355:V355"/>
    <mergeCell ref="P501:T501"/>
    <mergeCell ref="P293:V293"/>
    <mergeCell ref="P397:T397"/>
    <mergeCell ref="A538:Z538"/>
    <mergeCell ref="P200:V200"/>
    <mergeCell ref="A19:Z19"/>
    <mergeCell ref="P372:T372"/>
    <mergeCell ref="D182:E182"/>
    <mergeCell ref="A14:M14"/>
    <mergeCell ref="D109:E109"/>
    <mergeCell ref="P163:T163"/>
    <mergeCell ref="D280:E280"/>
    <mergeCell ref="D480:E480"/>
    <mergeCell ref="P528:V528"/>
    <mergeCell ref="P424:T424"/>
    <mergeCell ref="P319:V319"/>
    <mergeCell ref="P512:V512"/>
    <mergeCell ref="P491:T491"/>
    <mergeCell ref="P322:T322"/>
    <mergeCell ref="P260:T260"/>
    <mergeCell ref="D399:E399"/>
    <mergeCell ref="A536:O537"/>
    <mergeCell ref="D416:E416"/>
    <mergeCell ref="P427:T427"/>
    <mergeCell ref="P544:T544"/>
    <mergeCell ref="P283:T283"/>
    <mergeCell ref="D93:E93"/>
    <mergeCell ref="P277:T277"/>
    <mergeCell ref="D220:E220"/>
    <mergeCell ref="D391:E391"/>
    <mergeCell ref="P199:V199"/>
    <mergeCell ref="A394:O395"/>
    <mergeCell ref="P519:T519"/>
    <mergeCell ref="P288:V288"/>
    <mergeCell ref="P285:T285"/>
    <mergeCell ref="P263:V263"/>
    <mergeCell ref="A126:Z126"/>
    <mergeCell ref="A259:Z259"/>
    <mergeCell ref="A253:Z253"/>
    <mergeCell ref="D178:E178"/>
    <mergeCell ref="P153:T153"/>
    <mergeCell ref="P324:T324"/>
    <mergeCell ref="D463:E463"/>
    <mergeCell ref="A199:O200"/>
    <mergeCell ref="A193:Z193"/>
    <mergeCell ref="P15:T16"/>
    <mergeCell ref="P208:T208"/>
    <mergeCell ref="D116:E116"/>
    <mergeCell ref="D352:E352"/>
    <mergeCell ref="D91:E91"/>
    <mergeCell ref="P23:T23"/>
    <mergeCell ref="P219:T219"/>
    <mergeCell ref="A69:O70"/>
    <mergeCell ref="P272:T272"/>
    <mergeCell ref="P210:T210"/>
    <mergeCell ref="D59:E59"/>
    <mergeCell ref="P51:T51"/>
    <mergeCell ref="P204:T204"/>
    <mergeCell ref="P179:T179"/>
    <mergeCell ref="A264:Z264"/>
    <mergeCell ref="D269:E269"/>
    <mergeCell ref="P27:T27"/>
    <mergeCell ref="P154:T154"/>
    <mergeCell ref="P325:T325"/>
    <mergeCell ref="D206:E206"/>
    <mergeCell ref="P247:V247"/>
    <mergeCell ref="D39:E39"/>
    <mergeCell ref="M17:M18"/>
    <mergeCell ref="O17:O18"/>
    <mergeCell ref="F9:G9"/>
    <mergeCell ref="D180:E180"/>
    <mergeCell ref="A47:Z47"/>
    <mergeCell ref="A419:O420"/>
    <mergeCell ref="D232:E232"/>
    <mergeCell ref="D403:E403"/>
    <mergeCell ref="A406:O407"/>
    <mergeCell ref="P68:T68"/>
    <mergeCell ref="P239:T239"/>
    <mergeCell ref="P186:V186"/>
    <mergeCell ref="D38:E38"/>
    <mergeCell ref="A185:O186"/>
    <mergeCell ref="A247:O248"/>
    <mergeCell ref="D169:E169"/>
    <mergeCell ref="A312:O313"/>
    <mergeCell ref="P353:T353"/>
    <mergeCell ref="A262:O263"/>
    <mergeCell ref="P303:T303"/>
    <mergeCell ref="A357:Z357"/>
    <mergeCell ref="P75:V75"/>
    <mergeCell ref="P304:V304"/>
    <mergeCell ref="A329:Z329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P349:V349"/>
    <mergeCell ref="A423:Z423"/>
    <mergeCell ref="P420:V420"/>
    <mergeCell ref="D464:E464"/>
    <mergeCell ref="A17:A18"/>
    <mergeCell ref="K17:K18"/>
    <mergeCell ref="P300:T300"/>
    <mergeCell ref="C17:C18"/>
    <mergeCell ref="P364:V364"/>
    <mergeCell ref="P371:T371"/>
    <mergeCell ref="D103:E103"/>
    <mergeCell ref="D37:E37"/>
    <mergeCell ref="P431:T431"/>
    <mergeCell ref="D230:E230"/>
    <mergeCell ref="D339:E339"/>
    <mergeCell ref="A6:C6"/>
    <mergeCell ref="D322:E322"/>
    <mergeCell ref="D453:E453"/>
    <mergeCell ref="P465:V465"/>
    <mergeCell ref="P180:T180"/>
    <mergeCell ref="M560:M561"/>
    <mergeCell ref="P118:T118"/>
    <mergeCell ref="A96:Z96"/>
    <mergeCell ref="P416:T416"/>
    <mergeCell ref="P142:T142"/>
    <mergeCell ref="D148:E148"/>
    <mergeCell ref="A161:Z161"/>
    <mergeCell ref="D324:E324"/>
    <mergeCell ref="P378:T378"/>
    <mergeCell ref="P403:T403"/>
    <mergeCell ref="D517:E517"/>
    <mergeCell ref="P117:T117"/>
    <mergeCell ref="D311:E311"/>
    <mergeCell ref="P182:T182"/>
    <mergeCell ref="P480:T480"/>
    <mergeCell ref="Q12:R12"/>
    <mergeCell ref="P280:T280"/>
    <mergeCell ref="D90:E90"/>
    <mergeCell ref="P169:T169"/>
    <mergeCell ref="Q9:R9"/>
    <mergeCell ref="D255:E255"/>
    <mergeCell ref="A524:Z524"/>
    <mergeCell ref="P78:T78"/>
    <mergeCell ref="A97:Z97"/>
    <mergeCell ref="K560:K561"/>
    <mergeCell ref="Q11:R11"/>
    <mergeCell ref="P205:T205"/>
    <mergeCell ref="D260:E260"/>
    <mergeCell ref="A195:O196"/>
    <mergeCell ref="A290:Z290"/>
    <mergeCell ref="D261:E261"/>
    <mergeCell ref="P411:T411"/>
    <mergeCell ref="P442:T442"/>
    <mergeCell ref="P196:V196"/>
    <mergeCell ref="D448:E448"/>
    <mergeCell ref="P119:T119"/>
    <mergeCell ref="A43:O44"/>
    <mergeCell ref="P246:T246"/>
    <mergeCell ref="P62:V62"/>
    <mergeCell ref="D390:E390"/>
    <mergeCell ref="A552:O557"/>
    <mergeCell ref="P66:T66"/>
    <mergeCell ref="D9:E9"/>
    <mergeCell ref="I17:I18"/>
    <mergeCell ref="D141:E141"/>
    <mergeCell ref="D135:E135"/>
    <mergeCell ref="P189:T189"/>
    <mergeCell ref="P114:V114"/>
    <mergeCell ref="D377:E377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D27:E27"/>
    <mergeCell ref="A162:Z162"/>
    <mergeCell ref="D325:E325"/>
    <mergeCell ref="A138:O139"/>
    <mergeCell ref="D398:E398"/>
    <mergeCell ref="P439:V439"/>
    <mergeCell ref="A438:O439"/>
    <mergeCell ref="B560:B561"/>
    <mergeCell ref="P255:T255"/>
    <mergeCell ref="P426:T426"/>
    <mergeCell ref="A542:Z542"/>
    <mergeCell ref="D560:D561"/>
    <mergeCell ref="AB559:AC559"/>
    <mergeCell ref="A336:Z336"/>
    <mergeCell ref="A293:O294"/>
    <mergeCell ref="P125:V125"/>
    <mergeCell ref="P557:V557"/>
    <mergeCell ref="P428:T428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D158:E158"/>
    <mergeCell ref="P286:T286"/>
    <mergeCell ref="D229:E229"/>
    <mergeCell ref="A402:Z402"/>
    <mergeCell ref="P479:T479"/>
    <mergeCell ref="D1:F1"/>
    <mergeCell ref="P474:T474"/>
    <mergeCell ref="A71:Z71"/>
    <mergeCell ref="A512:O513"/>
    <mergeCell ref="J17:J18"/>
    <mergeCell ref="L17:L18"/>
    <mergeCell ref="P555:V555"/>
    <mergeCell ref="A327:O328"/>
    <mergeCell ref="D240:E240"/>
    <mergeCell ref="D511:E511"/>
    <mergeCell ref="A115:Z115"/>
    <mergeCell ref="D100:E100"/>
    <mergeCell ref="P17:T18"/>
    <mergeCell ref="P50:T50"/>
    <mergeCell ref="D31:E31"/>
    <mergeCell ref="D77:E77"/>
    <mergeCell ref="D108:E108"/>
    <mergeCell ref="P429:T429"/>
    <mergeCell ref="D369:E369"/>
    <mergeCell ref="A304:O305"/>
    <mergeCell ref="P223:T223"/>
    <mergeCell ref="A168:Z168"/>
    <mergeCell ref="A540:O541"/>
    <mergeCell ref="P139:V139"/>
    <mergeCell ref="W560:W561"/>
    <mergeCell ref="P335:V335"/>
    <mergeCell ref="P560:P561"/>
    <mergeCell ref="A45:Z45"/>
    <mergeCell ref="A452:Z452"/>
    <mergeCell ref="Y559:Z559"/>
    <mergeCell ref="D316:E316"/>
    <mergeCell ref="A218:Z218"/>
    <mergeCell ref="D272:E272"/>
    <mergeCell ref="D443:E443"/>
    <mergeCell ref="D210:E210"/>
    <mergeCell ref="A345:Z345"/>
    <mergeCell ref="A492:O493"/>
    <mergeCell ref="A46:Z46"/>
    <mergeCell ref="A89:Z89"/>
    <mergeCell ref="D209:E209"/>
    <mergeCell ref="D380:E380"/>
    <mergeCell ref="P464:T464"/>
    <mergeCell ref="D245:E245"/>
    <mergeCell ref="D301:E301"/>
    <mergeCell ref="D516:E516"/>
    <mergeCell ref="P116:T116"/>
    <mergeCell ref="P551:V551"/>
    <mergeCell ref="A376:Z376"/>
    <mergeCell ref="V560:V561"/>
    <mergeCell ref="D28:E28"/>
    <mergeCell ref="X560:X561"/>
    <mergeCell ref="D326:E326"/>
    <mergeCell ref="P405:T405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P148:T148"/>
    <mergeCell ref="P240:T240"/>
    <mergeCell ref="H1:Q1"/>
    <mergeCell ref="A330:Z330"/>
    <mergeCell ref="A243:Z243"/>
    <mergeCell ref="P274:V274"/>
    <mergeCell ref="P541:V541"/>
    <mergeCell ref="A366:Z366"/>
    <mergeCell ref="D284:E284"/>
    <mergeCell ref="P539:T539"/>
    <mergeCell ref="D520:E520"/>
    <mergeCell ref="D501:E501"/>
    <mergeCell ref="D5:E5"/>
    <mergeCell ref="D498:E498"/>
    <mergeCell ref="D354:E354"/>
    <mergeCell ref="P460:V460"/>
    <mergeCell ref="P106:V106"/>
    <mergeCell ref="P33:V33"/>
    <mergeCell ref="D527:E527"/>
    <mergeCell ref="P39:T39"/>
    <mergeCell ref="D224:E224"/>
    <mergeCell ref="A26:Z26"/>
    <mergeCell ref="P103:T103"/>
    <mergeCell ref="A233:O234"/>
    <mergeCell ref="P230:T230"/>
    <mergeCell ref="P268:T268"/>
    <mergeCell ref="A560:A561"/>
    <mergeCell ref="P265:T265"/>
    <mergeCell ref="C560:C561"/>
    <mergeCell ref="D208:E208"/>
    <mergeCell ref="D8:M8"/>
    <mergeCell ref="D379:E379"/>
    <mergeCell ref="A211:O212"/>
    <mergeCell ref="P458:T458"/>
    <mergeCell ref="D559:J559"/>
    <mergeCell ref="D300:E300"/>
    <mergeCell ref="P237:T237"/>
    <mergeCell ref="P31:T31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331:T331"/>
    <mergeCell ref="D470:E470"/>
    <mergeCell ref="P502:T502"/>
    <mergeCell ref="P546:V546"/>
    <mergeCell ref="D110:E110"/>
    <mergeCell ref="A321:Z321"/>
    <mergeCell ref="D142:E142"/>
    <mergeCell ref="A120:O121"/>
    <mergeCell ref="D378:E378"/>
    <mergeCell ref="D7:M7"/>
    <mergeCell ref="D129:E129"/>
    <mergeCell ref="P236:T236"/>
    <mergeCell ref="A81:Z81"/>
    <mergeCell ref="P92:T92"/>
    <mergeCell ref="P156:V156"/>
    <mergeCell ref="P327:V327"/>
    <mergeCell ref="D315:E315"/>
    <mergeCell ref="D442:E442"/>
    <mergeCell ref="P521:T521"/>
    <mergeCell ref="D502:E502"/>
    <mergeCell ref="D302:E302"/>
    <mergeCell ref="D429:E429"/>
    <mergeCell ref="A159:O160"/>
    <mergeCell ref="P29:T29"/>
    <mergeCell ref="P100:T100"/>
    <mergeCell ref="P271:T271"/>
    <mergeCell ref="P339:T339"/>
    <mergeCell ref="P549:T549"/>
    <mergeCell ref="P400:V400"/>
    <mergeCell ref="D98:E98"/>
    <mergeCell ref="P30:T30"/>
    <mergeCell ref="D73:E73"/>
    <mergeCell ref="P152:T152"/>
    <mergeCell ref="P375:V375"/>
    <mergeCell ref="A374:O375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R1:T1"/>
    <mergeCell ref="P28:T28"/>
    <mergeCell ref="P150:T150"/>
    <mergeCell ref="P221:T221"/>
    <mergeCell ref="A74:O75"/>
    <mergeCell ref="P326:T326"/>
    <mergeCell ref="P215:T215"/>
    <mergeCell ref="D307:E307"/>
    <mergeCell ref="D332:E332"/>
    <mergeCell ref="P165:T165"/>
    <mergeCell ref="B17:B18"/>
    <mergeCell ref="P56:T56"/>
    <mergeCell ref="A197:Z197"/>
    <mergeCell ref="D189:E189"/>
    <mergeCell ref="P99:T99"/>
    <mergeCell ref="D287:E287"/>
    <mergeCell ref="P170:T170"/>
    <mergeCell ref="A94:O95"/>
    <mergeCell ref="D66:E66"/>
    <mergeCell ref="P113:V113"/>
    <mergeCell ref="P316:T316"/>
    <mergeCell ref="P159:V159"/>
    <mergeCell ref="P209:T209"/>
    <mergeCell ref="W17:W18"/>
    <mergeCell ref="P545:V545"/>
    <mergeCell ref="P88:V88"/>
    <mergeCell ref="A79:O80"/>
    <mergeCell ref="P220:T220"/>
    <mergeCell ref="P391:T391"/>
    <mergeCell ref="D505:E505"/>
    <mergeCell ref="P518:T518"/>
    <mergeCell ref="D499:E499"/>
    <mergeCell ref="D238:E238"/>
    <mergeCell ref="D426:E426"/>
    <mergeCell ref="A216:O217"/>
    <mergeCell ref="P86:T86"/>
    <mergeCell ref="D134:E134"/>
    <mergeCell ref="A343:O344"/>
    <mergeCell ref="D205:E205"/>
    <mergeCell ref="P384:T384"/>
    <mergeCell ref="D363:E363"/>
    <mergeCell ref="P520:T520"/>
    <mergeCell ref="A87:O88"/>
    <mergeCell ref="P386:T386"/>
    <mergeCell ref="P392:T392"/>
    <mergeCell ref="A381:O382"/>
    <mergeCell ref="D543:E543"/>
    <mergeCell ref="D518:E518"/>
    <mergeCell ref="A34:Z34"/>
    <mergeCell ref="D410:E410"/>
    <mergeCell ref="D472:E472"/>
    <mergeCell ref="H9:I9"/>
    <mergeCell ref="P24:V24"/>
    <mergeCell ref="D281:E281"/>
    <mergeCell ref="P211:V211"/>
    <mergeCell ref="A36:Z36"/>
    <mergeCell ref="P309:V309"/>
    <mergeCell ref="A383:Z383"/>
    <mergeCell ref="P454:T454"/>
    <mergeCell ref="D297:E297"/>
    <mergeCell ref="D78:E78"/>
    <mergeCell ref="A55:Z55"/>
    <mergeCell ref="V10:W10"/>
    <mergeCell ref="P379:T379"/>
    <mergeCell ref="D360:E360"/>
    <mergeCell ref="D431:E431"/>
    <mergeCell ref="A422:Z422"/>
    <mergeCell ref="P443:T443"/>
    <mergeCell ref="D411:E411"/>
    <mergeCell ref="P395:V395"/>
    <mergeCell ref="A434:Z434"/>
    <mergeCell ref="P217:V217"/>
    <mergeCell ref="D535:E535"/>
    <mergeCell ref="D473:E473"/>
    <mergeCell ref="D60:E60"/>
    <mergeCell ref="P73:T73"/>
    <mergeCell ref="P244:T244"/>
    <mergeCell ref="P315:T315"/>
    <mergeCell ref="P437:T437"/>
    <mergeCell ref="P231:T231"/>
    <mergeCell ref="A432:O433"/>
    <mergeCell ref="D174:E174"/>
    <mergeCell ref="P302:T302"/>
    <mergeCell ref="P87:V87"/>
    <mergeCell ref="D474:E474"/>
    <mergeCell ref="A522:O523"/>
    <mergeCell ref="P532:V532"/>
    <mergeCell ref="A213:Z213"/>
    <mergeCell ref="P388:V388"/>
    <mergeCell ref="P459:V459"/>
    <mergeCell ref="A468:Z468"/>
    <mergeCell ref="P433:V433"/>
    <mergeCell ref="D454:E454"/>
    <mergeCell ref="P503:T503"/>
    <mergeCell ref="D489:E489"/>
    <mergeCell ref="D427:E42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863</v>
      </c>
      <c r="H1" s="52"/>
    </row>
    <row r="3" spans="2:8" x14ac:dyDescent="0.2">
      <c r="B3" s="47" t="s">
        <v>864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865</v>
      </c>
      <c r="C6" s="47" t="s">
        <v>866</v>
      </c>
      <c r="D6" s="47" t="s">
        <v>867</v>
      </c>
      <c r="E6" s="47"/>
    </row>
    <row r="7" spans="2:8" x14ac:dyDescent="0.2">
      <c r="B7" s="47" t="s">
        <v>868</v>
      </c>
      <c r="C7" s="47" t="s">
        <v>869</v>
      </c>
      <c r="D7" s="47" t="s">
        <v>870</v>
      </c>
      <c r="E7" s="47"/>
    </row>
    <row r="8" spans="2:8" x14ac:dyDescent="0.2">
      <c r="B8" s="47" t="s">
        <v>871</v>
      </c>
      <c r="C8" s="47" t="s">
        <v>872</v>
      </c>
      <c r="D8" s="47" t="s">
        <v>873</v>
      </c>
      <c r="E8" s="47"/>
    </row>
    <row r="9" spans="2:8" x14ac:dyDescent="0.2">
      <c r="B9" s="47" t="s">
        <v>874</v>
      </c>
      <c r="C9" s="47" t="s">
        <v>875</v>
      </c>
      <c r="D9" s="47" t="s">
        <v>876</v>
      </c>
      <c r="E9" s="47"/>
    </row>
    <row r="10" spans="2:8" x14ac:dyDescent="0.2">
      <c r="B10" s="47" t="s">
        <v>877</v>
      </c>
      <c r="C10" s="47" t="s">
        <v>878</v>
      </c>
      <c r="D10" s="47" t="s">
        <v>879</v>
      </c>
      <c r="E10" s="47"/>
    </row>
    <row r="11" spans="2:8" x14ac:dyDescent="0.2">
      <c r="B11" s="47" t="s">
        <v>880</v>
      </c>
      <c r="C11" s="47" t="s">
        <v>881</v>
      </c>
      <c r="D11" s="47" t="s">
        <v>882</v>
      </c>
      <c r="E11" s="47"/>
    </row>
    <row r="12" spans="2:8" x14ac:dyDescent="0.2">
      <c r="B12" s="47" t="s">
        <v>883</v>
      </c>
      <c r="C12" s="47" t="s">
        <v>884</v>
      </c>
      <c r="D12" s="47" t="s">
        <v>885</v>
      </c>
      <c r="E12" s="47"/>
    </row>
    <row r="14" spans="2:8" x14ac:dyDescent="0.2">
      <c r="B14" s="47" t="s">
        <v>886</v>
      </c>
      <c r="C14" s="47" t="s">
        <v>866</v>
      </c>
      <c r="D14" s="47"/>
      <c r="E14" s="47"/>
    </row>
    <row r="16" spans="2:8" x14ac:dyDescent="0.2">
      <c r="B16" s="47" t="s">
        <v>887</v>
      </c>
      <c r="C16" s="47" t="s">
        <v>869</v>
      </c>
      <c r="D16" s="47"/>
      <c r="E16" s="47"/>
    </row>
    <row r="18" spans="2:5" x14ac:dyDescent="0.2">
      <c r="B18" s="47" t="s">
        <v>888</v>
      </c>
      <c r="C18" s="47" t="s">
        <v>872</v>
      </c>
      <c r="D18" s="47"/>
      <c r="E18" s="47"/>
    </row>
    <row r="20" spans="2:5" x14ac:dyDescent="0.2">
      <c r="B20" s="47" t="s">
        <v>889</v>
      </c>
      <c r="C20" s="47" t="s">
        <v>875</v>
      </c>
      <c r="D20" s="47"/>
      <c r="E20" s="47"/>
    </row>
    <row r="22" spans="2:5" x14ac:dyDescent="0.2">
      <c r="B22" s="47" t="s">
        <v>890</v>
      </c>
      <c r="C22" s="47" t="s">
        <v>878</v>
      </c>
      <c r="D22" s="47"/>
      <c r="E22" s="47"/>
    </row>
    <row r="24" spans="2:5" x14ac:dyDescent="0.2">
      <c r="B24" s="47" t="s">
        <v>891</v>
      </c>
      <c r="C24" s="47" t="s">
        <v>881</v>
      </c>
      <c r="D24" s="47"/>
      <c r="E24" s="47"/>
    </row>
    <row r="26" spans="2:5" x14ac:dyDescent="0.2">
      <c r="B26" s="47" t="s">
        <v>892</v>
      </c>
      <c r="C26" s="47" t="s">
        <v>884</v>
      </c>
      <c r="D26" s="47"/>
      <c r="E26" s="47"/>
    </row>
    <row r="28" spans="2:5" x14ac:dyDescent="0.2">
      <c r="B28" s="47" t="s">
        <v>893</v>
      </c>
      <c r="C28" s="47"/>
      <c r="D28" s="47"/>
      <c r="E28" s="47"/>
    </row>
    <row r="29" spans="2:5" x14ac:dyDescent="0.2">
      <c r="B29" s="47" t="s">
        <v>894</v>
      </c>
      <c r="C29" s="47"/>
      <c r="D29" s="47"/>
      <c r="E29" s="47"/>
    </row>
    <row r="30" spans="2:5" x14ac:dyDescent="0.2">
      <c r="B30" s="47" t="s">
        <v>895</v>
      </c>
      <c r="C30" s="47"/>
      <c r="D30" s="47"/>
      <c r="E30" s="47"/>
    </row>
    <row r="31" spans="2:5" x14ac:dyDescent="0.2">
      <c r="B31" s="47" t="s">
        <v>896</v>
      </c>
      <c r="C31" s="47"/>
      <c r="D31" s="47"/>
      <c r="E31" s="47"/>
    </row>
    <row r="32" spans="2:5" x14ac:dyDescent="0.2">
      <c r="B32" s="47" t="s">
        <v>897</v>
      </c>
      <c r="C32" s="47"/>
      <c r="D32" s="47"/>
      <c r="E32" s="47"/>
    </row>
    <row r="33" spans="2:5" x14ac:dyDescent="0.2">
      <c r="B33" s="47" t="s">
        <v>898</v>
      </c>
      <c r="C33" s="47"/>
      <c r="D33" s="47"/>
      <c r="E33" s="47"/>
    </row>
    <row r="34" spans="2:5" x14ac:dyDescent="0.2">
      <c r="B34" s="47" t="s">
        <v>899</v>
      </c>
      <c r="C34" s="47"/>
      <c r="D34" s="47"/>
      <c r="E34" s="47"/>
    </row>
    <row r="35" spans="2:5" x14ac:dyDescent="0.2">
      <c r="B35" s="47" t="s">
        <v>900</v>
      </c>
      <c r="C35" s="47"/>
      <c r="D35" s="47"/>
      <c r="E35" s="47"/>
    </row>
    <row r="36" spans="2:5" x14ac:dyDescent="0.2">
      <c r="B36" s="47" t="s">
        <v>901</v>
      </c>
      <c r="C36" s="47"/>
      <c r="D36" s="47"/>
      <c r="E36" s="47"/>
    </row>
    <row r="37" spans="2:5" x14ac:dyDescent="0.2">
      <c r="B37" s="47" t="s">
        <v>902</v>
      </c>
      <c r="C37" s="47"/>
      <c r="D37" s="47"/>
      <c r="E37" s="47"/>
    </row>
    <row r="38" spans="2:5" x14ac:dyDescent="0.2">
      <c r="B38" s="47" t="s">
        <v>903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2026-08-24T12:41:09Z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