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C8FFC1-64B7-4D56-88DA-8DBAAB03C9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Z465" i="2" s="1"/>
  <c r="P465" i="2"/>
  <c r="BO464" i="2"/>
  <c r="BM464" i="2"/>
  <c r="Y464" i="2"/>
  <c r="P464" i="2"/>
  <c r="BO463" i="2"/>
  <c r="BM463" i="2"/>
  <c r="Y463" i="2"/>
  <c r="Y467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BN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Y408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N261" i="2" s="1"/>
  <c r="P261" i="2"/>
  <c r="BO260" i="2"/>
  <c r="BM260" i="2"/>
  <c r="Y260" i="2"/>
  <c r="P260" i="2"/>
  <c r="X258" i="2"/>
  <c r="X257" i="2"/>
  <c r="BO256" i="2"/>
  <c r="BM256" i="2"/>
  <c r="Y256" i="2"/>
  <c r="P256" i="2"/>
  <c r="BO255" i="2"/>
  <c r="BM255" i="2"/>
  <c r="Y255" i="2"/>
  <c r="BN255" i="2" s="1"/>
  <c r="P255" i="2"/>
  <c r="X252" i="2"/>
  <c r="X251" i="2"/>
  <c r="BO250" i="2"/>
  <c r="BM250" i="2"/>
  <c r="Y250" i="2"/>
  <c r="BN250" i="2" s="1"/>
  <c r="P250" i="2"/>
  <c r="X248" i="2"/>
  <c r="X247" i="2"/>
  <c r="BO246" i="2"/>
  <c r="BM246" i="2"/>
  <c r="Y246" i="2"/>
  <c r="P246" i="2"/>
  <c r="BO245" i="2"/>
  <c r="BM245" i="2"/>
  <c r="Y245" i="2"/>
  <c r="Z245" i="2" s="1"/>
  <c r="P245" i="2"/>
  <c r="BO244" i="2"/>
  <c r="BM244" i="2"/>
  <c r="Y244" i="2"/>
  <c r="Z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Z169" i="2" s="1"/>
  <c r="P169" i="2"/>
  <c r="X167" i="2"/>
  <c r="X166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BO83" i="2"/>
  <c r="BM83" i="2"/>
  <c r="Y83" i="2"/>
  <c r="BP83" i="2" s="1"/>
  <c r="P83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P58" i="2"/>
  <c r="BO57" i="2"/>
  <c r="BM57" i="2"/>
  <c r="Y57" i="2"/>
  <c r="P57" i="2"/>
  <c r="BO56" i="2"/>
  <c r="BM56" i="2"/>
  <c r="Y56" i="2"/>
  <c r="P56" i="2"/>
  <c r="X53" i="2"/>
  <c r="X52" i="2"/>
  <c r="BO51" i="2"/>
  <c r="BM51" i="2"/>
  <c r="Y51" i="2"/>
  <c r="P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F10" i="2" s="1"/>
  <c r="D7" i="2"/>
  <c r="Q6" i="2"/>
  <c r="P2" i="2"/>
  <c r="Y421" i="2" l="1"/>
  <c r="Y507" i="2"/>
  <c r="Y70" i="2"/>
  <c r="Z270" i="2"/>
  <c r="BN270" i="2"/>
  <c r="Z182" i="2"/>
  <c r="BN182" i="2"/>
  <c r="Z380" i="2"/>
  <c r="BN380" i="2"/>
  <c r="Z137" i="2"/>
  <c r="BN137" i="2"/>
  <c r="Z227" i="2"/>
  <c r="BN227" i="2"/>
  <c r="Z324" i="2"/>
  <c r="BN324" i="2"/>
  <c r="BP325" i="2"/>
  <c r="Z436" i="2"/>
  <c r="BN436" i="2"/>
  <c r="Z68" i="2"/>
  <c r="Z206" i="2"/>
  <c r="BN206" i="2"/>
  <c r="BP255" i="2"/>
  <c r="BP285" i="2"/>
  <c r="Z360" i="2"/>
  <c r="BN360" i="2"/>
  <c r="BP411" i="2"/>
  <c r="Z476" i="2"/>
  <c r="BN476" i="2"/>
  <c r="Z38" i="2"/>
  <c r="BN38" i="2"/>
  <c r="Z104" i="2"/>
  <c r="BN104" i="2"/>
  <c r="X555" i="2"/>
  <c r="X553" i="2"/>
  <c r="Z60" i="2"/>
  <c r="BN60" i="2"/>
  <c r="Z93" i="2"/>
  <c r="BN93" i="2"/>
  <c r="BP118" i="2"/>
  <c r="Z178" i="2"/>
  <c r="Z189" i="2"/>
  <c r="Z191" i="2" s="1"/>
  <c r="Z223" i="2"/>
  <c r="Z240" i="2"/>
  <c r="BN240" i="2"/>
  <c r="Z266" i="2"/>
  <c r="Z307" i="2"/>
  <c r="Z308" i="2" s="1"/>
  <c r="Z339" i="2"/>
  <c r="BP371" i="2"/>
  <c r="Z393" i="2"/>
  <c r="Z498" i="2"/>
  <c r="BN498" i="2"/>
  <c r="BP498" i="2"/>
  <c r="BP31" i="2"/>
  <c r="Z41" i="2"/>
  <c r="BN41" i="2"/>
  <c r="Z50" i="2"/>
  <c r="BN50" i="2"/>
  <c r="Z67" i="2"/>
  <c r="BP78" i="2"/>
  <c r="BP85" i="2"/>
  <c r="Z398" i="2"/>
  <c r="BN398" i="2"/>
  <c r="Z400" i="2"/>
  <c r="BN400" i="2"/>
  <c r="Y401" i="2"/>
  <c r="Y402" i="2"/>
  <c r="Z417" i="2"/>
  <c r="Z432" i="2"/>
  <c r="Z444" i="2"/>
  <c r="BN444" i="2"/>
  <c r="BP449" i="2"/>
  <c r="Z473" i="2"/>
  <c r="BN473" i="2"/>
  <c r="BP491" i="2"/>
  <c r="Z501" i="2"/>
  <c r="BN501" i="2"/>
  <c r="Z504" i="2"/>
  <c r="BN504" i="2"/>
  <c r="Z506" i="2"/>
  <c r="BN506" i="2"/>
  <c r="Z511" i="2"/>
  <c r="BN511" i="2"/>
  <c r="Z83" i="2"/>
  <c r="BN83" i="2"/>
  <c r="BP129" i="2"/>
  <c r="Z149" i="2"/>
  <c r="BN149" i="2"/>
  <c r="Z179" i="2"/>
  <c r="BP204" i="2"/>
  <c r="Z209" i="2"/>
  <c r="BN209" i="2"/>
  <c r="Z224" i="2"/>
  <c r="Z230" i="2"/>
  <c r="BN230" i="2"/>
  <c r="Z237" i="2"/>
  <c r="BN237" i="2"/>
  <c r="Z250" i="2"/>
  <c r="Z251" i="2" s="1"/>
  <c r="BP261" i="2"/>
  <c r="Z267" i="2"/>
  <c r="Z276" i="2"/>
  <c r="Z280" i="2"/>
  <c r="BN280" i="2"/>
  <c r="Z300" i="2"/>
  <c r="BN300" i="2"/>
  <c r="BP322" i="2"/>
  <c r="BP333" i="2"/>
  <c r="Z352" i="2"/>
  <c r="BN352" i="2"/>
  <c r="Y356" i="2"/>
  <c r="Z363" i="2"/>
  <c r="BN363" i="2"/>
  <c r="Z369" i="2"/>
  <c r="BN369" i="2"/>
  <c r="BP378" i="2"/>
  <c r="BP22" i="2"/>
  <c r="BN22" i="2"/>
  <c r="Z22" i="2"/>
  <c r="BP29" i="2"/>
  <c r="BN29" i="2"/>
  <c r="Z29" i="2"/>
  <c r="BN30" i="2"/>
  <c r="C563" i="2"/>
  <c r="BP37" i="2"/>
  <c r="BN37" i="2"/>
  <c r="Z37" i="2"/>
  <c r="BN51" i="2"/>
  <c r="BP51" i="2"/>
  <c r="BN57" i="2"/>
  <c r="Z57" i="2"/>
  <c r="BP61" i="2"/>
  <c r="BN61" i="2"/>
  <c r="Z61" i="2"/>
  <c r="BN66" i="2"/>
  <c r="BP84" i="2"/>
  <c r="BN84" i="2"/>
  <c r="Z84" i="2"/>
  <c r="BP91" i="2"/>
  <c r="Z91" i="2"/>
  <c r="BP102" i="2"/>
  <c r="Z102" i="2"/>
  <c r="BP112" i="2"/>
  <c r="Z112" i="2"/>
  <c r="BN134" i="2"/>
  <c r="Z134" i="2"/>
  <c r="Y145" i="2"/>
  <c r="Z141" i="2"/>
  <c r="BN154" i="2"/>
  <c r="BP165" i="2"/>
  <c r="BN165" i="2"/>
  <c r="Z165" i="2"/>
  <c r="BN177" i="2"/>
  <c r="BN183" i="2"/>
  <c r="BP183" i="2"/>
  <c r="BN190" i="2"/>
  <c r="BP190" i="2"/>
  <c r="BN198" i="2"/>
  <c r="BP205" i="2"/>
  <c r="BN205" i="2"/>
  <c r="Z205" i="2"/>
  <c r="BN222" i="2"/>
  <c r="BN228" i="2"/>
  <c r="BP228" i="2"/>
  <c r="BN232" i="2"/>
  <c r="BP232" i="2"/>
  <c r="Y241" i="2"/>
  <c r="BP238" i="2"/>
  <c r="BP256" i="2"/>
  <c r="BN256" i="2"/>
  <c r="Z256" i="2"/>
  <c r="Y257" i="2"/>
  <c r="Y258" i="2"/>
  <c r="Y263" i="2"/>
  <c r="BP260" i="2"/>
  <c r="BN260" i="2"/>
  <c r="Z260" i="2"/>
  <c r="X554" i="2"/>
  <c r="BN39" i="2"/>
  <c r="BP39" i="2"/>
  <c r="D563" i="2"/>
  <c r="BN48" i="2"/>
  <c r="BP48" i="2"/>
  <c r="BP49" i="2"/>
  <c r="BN49" i="2"/>
  <c r="Z49" i="2"/>
  <c r="BP57" i="2"/>
  <c r="BP58" i="2"/>
  <c r="Z58" i="2"/>
  <c r="Z77" i="2"/>
  <c r="Y80" i="2"/>
  <c r="BN77" i="2"/>
  <c r="BN90" i="2"/>
  <c r="Z90" i="2"/>
  <c r="G563" i="2"/>
  <c r="BP98" i="2"/>
  <c r="BN101" i="2"/>
  <c r="Z101" i="2"/>
  <c r="BN108" i="2"/>
  <c r="BP108" i="2"/>
  <c r="BN111" i="2"/>
  <c r="Z111" i="2"/>
  <c r="BP123" i="2"/>
  <c r="BN123" i="2"/>
  <c r="Z123" i="2"/>
  <c r="Z124" i="2" s="1"/>
  <c r="Y124" i="2"/>
  <c r="Y125" i="2"/>
  <c r="H563" i="2"/>
  <c r="BP128" i="2"/>
  <c r="BN128" i="2"/>
  <c r="Z128" i="2"/>
  <c r="BP134" i="2"/>
  <c r="BP135" i="2"/>
  <c r="Z135" i="2"/>
  <c r="BP141" i="2"/>
  <c r="BN143" i="2"/>
  <c r="BN152" i="2"/>
  <c r="Z152" i="2"/>
  <c r="Z171" i="2"/>
  <c r="BN170" i="2"/>
  <c r="BP170" i="2"/>
  <c r="Y186" i="2"/>
  <c r="BN175" i="2"/>
  <c r="Z175" i="2"/>
  <c r="BN180" i="2"/>
  <c r="BP180" i="2"/>
  <c r="BP181" i="2"/>
  <c r="BN181" i="2"/>
  <c r="Z181" i="2"/>
  <c r="BN207" i="2"/>
  <c r="BP207" i="2"/>
  <c r="BN215" i="2"/>
  <c r="BP215" i="2"/>
  <c r="Y233" i="2"/>
  <c r="BN220" i="2"/>
  <c r="Z220" i="2"/>
  <c r="BN225" i="2"/>
  <c r="BP225" i="2"/>
  <c r="BP226" i="2"/>
  <c r="BN226" i="2"/>
  <c r="Z226" i="2"/>
  <c r="Y234" i="2"/>
  <c r="BP236" i="2"/>
  <c r="BN236" i="2"/>
  <c r="Z236" i="2"/>
  <c r="BN245" i="2"/>
  <c r="BP245" i="2"/>
  <c r="BP246" i="2"/>
  <c r="BN246" i="2"/>
  <c r="Z246" i="2"/>
  <c r="Y274" i="2"/>
  <c r="BN265" i="2"/>
  <c r="BN268" i="2"/>
  <c r="BP268" i="2"/>
  <c r="BN278" i="2"/>
  <c r="BP278" i="2"/>
  <c r="BN284" i="2"/>
  <c r="BP297" i="2"/>
  <c r="Y304" i="2"/>
  <c r="Y313" i="2"/>
  <c r="BN317" i="2"/>
  <c r="Y334" i="2"/>
  <c r="Z331" i="2"/>
  <c r="BN338" i="2"/>
  <c r="BN342" i="2"/>
  <c r="Z342" i="2"/>
  <c r="T563" i="2"/>
  <c r="BP359" i="2"/>
  <c r="BN359" i="2"/>
  <c r="Z359" i="2"/>
  <c r="BP370" i="2"/>
  <c r="BN370" i="2"/>
  <c r="Z370" i="2"/>
  <c r="BN381" i="2"/>
  <c r="BP381" i="2"/>
  <c r="BN386" i="2"/>
  <c r="Z386" i="2"/>
  <c r="BP405" i="2"/>
  <c r="BN405" i="2"/>
  <c r="Z405" i="2"/>
  <c r="BN406" i="2"/>
  <c r="BP412" i="2"/>
  <c r="BN412" i="2"/>
  <c r="Z412" i="2"/>
  <c r="BN431" i="2"/>
  <c r="BN443" i="2"/>
  <c r="BP443" i="2"/>
  <c r="BP448" i="2"/>
  <c r="BN448" i="2"/>
  <c r="Z448" i="2"/>
  <c r="BN455" i="2"/>
  <c r="Z455" i="2"/>
  <c r="BN474" i="2"/>
  <c r="BP474" i="2"/>
  <c r="X557" i="2"/>
  <c r="BN42" i="2"/>
  <c r="E563" i="2"/>
  <c r="BN56" i="2"/>
  <c r="Y63" i="2"/>
  <c r="BN59" i="2"/>
  <c r="BP59" i="2"/>
  <c r="Y62" i="2"/>
  <c r="BP67" i="2"/>
  <c r="F563" i="2"/>
  <c r="BN92" i="2"/>
  <c r="BP92" i="2"/>
  <c r="BN100" i="2"/>
  <c r="BN103" i="2"/>
  <c r="BP103" i="2"/>
  <c r="Y114" i="2"/>
  <c r="BN110" i="2"/>
  <c r="BN136" i="2"/>
  <c r="BP136" i="2"/>
  <c r="Y156" i="2"/>
  <c r="J563" i="2"/>
  <c r="Y167" i="2"/>
  <c r="Y171" i="2"/>
  <c r="BP178" i="2"/>
  <c r="Y191" i="2"/>
  <c r="BP188" i="2"/>
  <c r="BN210" i="2"/>
  <c r="BP223" i="2"/>
  <c r="BN231" i="2"/>
  <c r="Y248" i="2"/>
  <c r="BP250" i="2"/>
  <c r="Y251" i="2"/>
  <c r="BP266" i="2"/>
  <c r="Z269" i="2"/>
  <c r="BN269" i="2"/>
  <c r="BP271" i="2"/>
  <c r="BP276" i="2"/>
  <c r="Y289" i="2"/>
  <c r="Z279" i="2"/>
  <c r="BN279" i="2"/>
  <c r="Z283" i="2"/>
  <c r="BN283" i="2"/>
  <c r="Z286" i="2"/>
  <c r="BN286" i="2"/>
  <c r="Z297" i="2"/>
  <c r="Z298" i="2"/>
  <c r="Y305" i="2"/>
  <c r="BN299" i="2"/>
  <c r="BP299" i="2"/>
  <c r="Z301" i="2"/>
  <c r="BN301" i="2"/>
  <c r="BP307" i="2"/>
  <c r="Y308" i="2"/>
  <c r="Z311" i="2"/>
  <c r="Z312" i="2" s="1"/>
  <c r="BN311" i="2"/>
  <c r="BP311" i="2"/>
  <c r="Z316" i="2"/>
  <c r="BN316" i="2"/>
  <c r="Z323" i="2"/>
  <c r="BN323" i="2"/>
  <c r="BP331" i="2"/>
  <c r="BP332" i="2"/>
  <c r="Z332" i="2"/>
  <c r="BP342" i="2"/>
  <c r="BP346" i="2"/>
  <c r="BN346" i="2"/>
  <c r="Z346" i="2"/>
  <c r="Z348" i="2" s="1"/>
  <c r="BN354" i="2"/>
  <c r="BP354" i="2"/>
  <c r="BN361" i="2"/>
  <c r="BP361" i="2"/>
  <c r="BN368" i="2"/>
  <c r="BP368" i="2"/>
  <c r="BP373" i="2"/>
  <c r="BN373" i="2"/>
  <c r="Z373" i="2"/>
  <c r="BN374" i="2"/>
  <c r="BP379" i="2"/>
  <c r="BN379" i="2"/>
  <c r="Z379" i="2"/>
  <c r="BP386" i="2"/>
  <c r="BP387" i="2"/>
  <c r="Z387" i="2"/>
  <c r="BN392" i="2"/>
  <c r="W563" i="2"/>
  <c r="BP426" i="2"/>
  <c r="BN426" i="2"/>
  <c r="Z426" i="2"/>
  <c r="BN429" i="2"/>
  <c r="Z429" i="2"/>
  <c r="BN438" i="2"/>
  <c r="Y450" i="2"/>
  <c r="BP455" i="2"/>
  <c r="Y460" i="2"/>
  <c r="BP459" i="2"/>
  <c r="BN459" i="2"/>
  <c r="Z459" i="2"/>
  <c r="Z460" i="2" s="1"/>
  <c r="Y461" i="2"/>
  <c r="BP464" i="2"/>
  <c r="BN464" i="2"/>
  <c r="Z464" i="2"/>
  <c r="BN465" i="2"/>
  <c r="BP472" i="2"/>
  <c r="BN472" i="2"/>
  <c r="Z472" i="2"/>
  <c r="BN481" i="2"/>
  <c r="BP481" i="2"/>
  <c r="BN490" i="2"/>
  <c r="BP492" i="2"/>
  <c r="BN492" i="2"/>
  <c r="Z492" i="2"/>
  <c r="Y493" i="2"/>
  <c r="BN499" i="2"/>
  <c r="BP499" i="2"/>
  <c r="BN503" i="2"/>
  <c r="BP503" i="2"/>
  <c r="BN516" i="2"/>
  <c r="BP516" i="2"/>
  <c r="BP521" i="2"/>
  <c r="BN521" i="2"/>
  <c r="Z521" i="2"/>
  <c r="Y529" i="2"/>
  <c r="BP528" i="2"/>
  <c r="BP339" i="2"/>
  <c r="BN341" i="2"/>
  <c r="BN353" i="2"/>
  <c r="BN364" i="2"/>
  <c r="Y389" i="2"/>
  <c r="BN385" i="2"/>
  <c r="Y388" i="2"/>
  <c r="BP393" i="2"/>
  <c r="BP417" i="2"/>
  <c r="BN419" i="2"/>
  <c r="BN428" i="2"/>
  <c r="BP432" i="2"/>
  <c r="BN442" i="2"/>
  <c r="Y445" i="2"/>
  <c r="X563" i="2"/>
  <c r="BN454" i="2"/>
  <c r="Y477" i="2"/>
  <c r="Y482" i="2"/>
  <c r="Z563" i="2"/>
  <c r="BN486" i="2"/>
  <c r="AA563" i="2"/>
  <c r="BN502" i="2"/>
  <c r="BN512" i="2"/>
  <c r="BN517" i="2"/>
  <c r="BP517" i="2"/>
  <c r="BN518" i="2"/>
  <c r="BP518" i="2"/>
  <c r="BN519" i="2"/>
  <c r="Z247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Z456" i="2" s="1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445" i="2" l="1"/>
  <c r="Z24" i="2"/>
  <c r="Z513" i="2"/>
  <c r="Z401" i="2"/>
  <c r="Z450" i="2"/>
  <c r="Z262" i="2"/>
  <c r="Z413" i="2"/>
  <c r="Z355" i="2"/>
  <c r="Z257" i="2"/>
  <c r="Z439" i="2"/>
  <c r="Z407" i="2"/>
  <c r="Z94" i="2"/>
  <c r="X556" i="2"/>
  <c r="Z144" i="2"/>
  <c r="Z138" i="2"/>
  <c r="Z365" i="2"/>
  <c r="Z43" i="2"/>
  <c r="Z507" i="2"/>
  <c r="Z241" i="2"/>
  <c r="Z87" i="2"/>
  <c r="Z105" i="2"/>
  <c r="Z523" i="2"/>
  <c r="Z382" i="2"/>
  <c r="Z334" i="2"/>
  <c r="Z304" i="2"/>
  <c r="Z79" i="2"/>
  <c r="Z466" i="2"/>
  <c r="Z318" i="2"/>
  <c r="Z52" i="2"/>
  <c r="Z273" i="2"/>
  <c r="Z120" i="2"/>
  <c r="Y554" i="2"/>
  <c r="Z288" i="2"/>
  <c r="Z388" i="2"/>
  <c r="Z62" i="2"/>
  <c r="Z493" i="2"/>
  <c r="Z395" i="2"/>
  <c r="Y555" i="2"/>
  <c r="Z433" i="2"/>
  <c r="Z420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<sst xmlns="http://schemas.openxmlformats.org/spreadsheetml/2006/main" count="4209" uniqueCount="889">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</sst>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="92" zoomScaleNormal="92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888</v>
      </c>
      <c r="I5" s="997"/>
      <c r="J5" s="997"/>
      <c r="K5" s="997"/>
      <c r="L5" s="997"/>
      <c r="M5" s="997"/>
      <c r="N5" s="72"/>
      <c r="P5" s="27" t="s">
        <v>4</v>
      </c>
      <c r="Q5" s="999">
        <v>46258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870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35</v>
      </c>
      <c r="Y48" s="55">
        <f>IFERROR(IF(X48="",0,CEILING((X48/$H48),1)*$H48),"")</f>
        <v>43.2</v>
      </c>
      <c r="Z48" s="41">
        <f>IFERROR(IF(Y48=0,"",ROUNDUP(Y48/H48,0)*0.01898),"")</f>
        <v>7.5920000000000001E-2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36.328703703703702</v>
      </c>
      <c r="BN48" s="78">
        <f>IFERROR(Y48*I48/H48,"0")</f>
        <v>44.84</v>
      </c>
      <c r="BO48" s="78">
        <f>IFERROR(1/J48*(X48/H48),"0")</f>
        <v>5.063657407407407E-2</v>
      </c>
      <c r="BP48" s="78">
        <f>IFERROR(1/J48*(Y48/H48),"0")</f>
        <v>6.25E-2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16</v>
      </c>
      <c r="Y50" s="55">
        <f>IFERROR(IF(X50="",0,CEILING((X50/$H50),1)*$H50),"")</f>
        <v>16</v>
      </c>
      <c r="Z50" s="41">
        <f>IFERROR(IF(Y50=0,"",ROUNDUP(Y50/H50,0)*0.00902),"")</f>
        <v>3.6080000000000001E-2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16.760000000000002</v>
      </c>
      <c r="BN50" s="78">
        <f>IFERROR(Y50*I50/H50,"0")</f>
        <v>16.760000000000002</v>
      </c>
      <c r="BO50" s="78">
        <f>IFERROR(1/J50*(X50/H50),"0")</f>
        <v>3.0303030303030304E-2</v>
      </c>
      <c r="BP50" s="78">
        <f>IFERROR(1/J50*(Y50/H50),"0")</f>
        <v>3.0303030303030304E-2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7.2407407407407405</v>
      </c>
      <c r="Y52" s="43">
        <f>IFERROR(Y48/H48,"0")+IFERROR(Y49/H49,"0")+IFERROR(Y50/H50,"0")+IFERROR(Y51/H51,"0")</f>
        <v>8</v>
      </c>
      <c r="Z52" s="43">
        <f>IFERROR(IF(Z48="",0,Z48),"0")+IFERROR(IF(Z49="",0,Z49),"0")+IFERROR(IF(Z50="",0,Z50),"0")+IFERROR(IF(Z51="",0,Z51),"0")</f>
        <v>0.112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51</v>
      </c>
      <c r="Y53" s="43">
        <f>IFERROR(SUM(Y48:Y51),"0")</f>
        <v>59.2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30</v>
      </c>
      <c r="Y57" s="55">
        <f t="shared" si="6"/>
        <v>32.400000000000006</v>
      </c>
      <c r="Z57" s="41">
        <f>IFERROR(IF(Y57=0,"",ROUNDUP(Y57/H57,0)*0.01898),"")</f>
        <v>5.6940000000000004E-2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31.138888888888889</v>
      </c>
      <c r="BN57" s="78">
        <f t="shared" si="8"/>
        <v>33.630000000000003</v>
      </c>
      <c r="BO57" s="78">
        <f t="shared" si="9"/>
        <v>4.3402777777777776E-2</v>
      </c>
      <c r="BP57" s="78">
        <f t="shared" si="10"/>
        <v>4.6875000000000007E-2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2.7777777777777777</v>
      </c>
      <c r="Y62" s="43">
        <f>IFERROR(Y56/H56,"0")+IFERROR(Y57/H57,"0")+IFERROR(Y58/H58,"0")+IFERROR(Y59/H59,"0")+IFERROR(Y60/H60,"0")+IFERROR(Y61/H61,"0")</f>
        <v>3.0000000000000004</v>
      </c>
      <c r="Z62" s="43">
        <f>IFERROR(IF(Z56="",0,Z56),"0")+IFERROR(IF(Z57="",0,Z57),"0")+IFERROR(IF(Z58="",0,Z58),"0")+IFERROR(IF(Z59="",0,Z59),"0")+IFERROR(IF(Z60="",0,Z60),"0")+IFERROR(IF(Z61="",0,Z61),"0")</f>
        <v>5.6940000000000004E-2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30</v>
      </c>
      <c r="Y63" s="43">
        <f>IFERROR(SUM(Y56:Y61),"0")</f>
        <v>32.400000000000006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9</v>
      </c>
      <c r="Y68" s="55">
        <f>IFERROR(IF(X68="",0,CEILING((X68/$H68),1)*$H68),"")</f>
        <v>10.8</v>
      </c>
      <c r="Z68" s="41">
        <f>IFERROR(IF(Y68=0,"",ROUNDUP(Y68/H68,0)*0.00651),"")</f>
        <v>2.6040000000000001E-2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9.5999999999999979</v>
      </c>
      <c r="BN68" s="78">
        <f>IFERROR(Y68*I68/H68,"0")</f>
        <v>11.52</v>
      </c>
      <c r="BO68" s="78">
        <f>IFERROR(1/J68*(X68/H68),"0")</f>
        <v>1.8315018315018316E-2</v>
      </c>
      <c r="BP68" s="78">
        <f>IFERROR(1/J68*(Y68/H68),"0")</f>
        <v>2.197802197802198E-2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3.333333333333333</v>
      </c>
      <c r="Y69" s="43">
        <f>IFERROR(Y65/H65,"0")+IFERROR(Y66/H66,"0")+IFERROR(Y67/H67,"0")+IFERROR(Y68/H68,"0")</f>
        <v>4</v>
      </c>
      <c r="Z69" s="43">
        <f>IFERROR(IF(Z65="",0,Z65),"0")+IFERROR(IF(Z66="",0,Z66),"0")+IFERROR(IF(Z67="",0,Z67),"0")+IFERROR(IF(Z68="",0,Z68),"0")</f>
        <v>2.6040000000000001E-2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9</v>
      </c>
      <c r="Y70" s="43">
        <f>IFERROR(SUM(Y65:Y68),"0")</f>
        <v>10.8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30</v>
      </c>
      <c r="Y83" s="55">
        <f>IFERROR(IF(X83="",0,CEILING((X83/$H83),1)*$H83),"")</f>
        <v>32.400000000000006</v>
      </c>
      <c r="Z83" s="41">
        <f>IFERROR(IF(Y83=0,"",ROUNDUP(Y83/H83,0)*0.01898),"")</f>
        <v>5.6940000000000004E-2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31.138888888888889</v>
      </c>
      <c r="BN83" s="78">
        <f>IFERROR(Y83*I83/H83,"0")</f>
        <v>33.630000000000003</v>
      </c>
      <c r="BO83" s="78">
        <f>IFERROR(1/J83*(X83/H83),"0")</f>
        <v>4.3402777777777776E-2</v>
      </c>
      <c r="BP83" s="78">
        <f>IFERROR(1/J83*(Y83/H83),"0")</f>
        <v>4.6875000000000007E-2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9</v>
      </c>
      <c r="Y86" s="55">
        <f>IFERROR(IF(X86="",0,CEILING((X86/$H86),1)*$H86),"")</f>
        <v>9</v>
      </c>
      <c r="Z86" s="41">
        <f>IFERROR(IF(Y86=0,"",ROUNDUP(Y86/H86,0)*0.00902),"")</f>
        <v>1.804E-2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9.3800000000000008</v>
      </c>
      <c r="BN86" s="78">
        <f>IFERROR(Y86*I86/H86,"0")</f>
        <v>9.3800000000000008</v>
      </c>
      <c r="BO86" s="78">
        <f>IFERROR(1/J86*(X86/H86),"0")</f>
        <v>1.5151515151515152E-2</v>
      </c>
      <c r="BP86" s="78">
        <f>IFERROR(1/J86*(Y86/H86),"0")</f>
        <v>1.5151515151515152E-2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4.7777777777777777</v>
      </c>
      <c r="Y87" s="43">
        <f>IFERROR(Y83/H83,"0")+IFERROR(Y84/H84,"0")+IFERROR(Y85/H85,"0")+IFERROR(Y86/H86,"0")</f>
        <v>5</v>
      </c>
      <c r="Z87" s="43">
        <f>IFERROR(IF(Z83="",0,Z83),"0")+IFERROR(IF(Z84="",0,Z84),"0")+IFERROR(IF(Z85="",0,Z85),"0")+IFERROR(IF(Z86="",0,Z86),"0")</f>
        <v>7.4980000000000005E-2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39</v>
      </c>
      <c r="Y88" s="43">
        <f>IFERROR(SUM(Y83:Y86),"0")</f>
        <v>41.400000000000006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60</v>
      </c>
      <c r="Y90" s="55">
        <f>IFERROR(IF(X90="",0,CEILING((X90/$H90),1)*$H90),"")</f>
        <v>64.8</v>
      </c>
      <c r="Z90" s="41">
        <f>IFERROR(IF(Y90=0,"",ROUNDUP(Y90/H90,0)*0.01898),"")</f>
        <v>0.15184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63.659259259259258</v>
      </c>
      <c r="BN90" s="78">
        <f>IFERROR(Y90*I90/H90,"0")</f>
        <v>68.751999999999995</v>
      </c>
      <c r="BO90" s="78">
        <f>IFERROR(1/J90*(X90/H90),"0")</f>
        <v>0.11574074074074074</v>
      </c>
      <c r="BP90" s="78">
        <f>IFERROR(1/J90*(Y90/H90),"0")</f>
        <v>0.125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7.4074074074074074</v>
      </c>
      <c r="Y94" s="43">
        <f>IFERROR(Y90/H90,"0")+IFERROR(Y91/H91,"0")+IFERROR(Y92/H92,"0")+IFERROR(Y93/H93,"0")</f>
        <v>8</v>
      </c>
      <c r="Z94" s="43">
        <f>IFERROR(IF(Z90="",0,Z90),"0")+IFERROR(IF(Z91="",0,Z91),"0")+IFERROR(IF(Z92="",0,Z92),"0")+IFERROR(IF(Z93="",0,Z93),"0")</f>
        <v>0.15184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60</v>
      </c>
      <c r="Y95" s="43">
        <f>IFERROR(SUM(Y90:Y93),"0")</f>
        <v>64.8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31.5</v>
      </c>
      <c r="Y103" s="55">
        <f t="shared" si="11"/>
        <v>31.5</v>
      </c>
      <c r="Z103" s="41">
        <f>IFERROR(IF(Y103=0,"",ROUNDUP(Y103/H103,0)*0.00902),"")</f>
        <v>6.3140000000000002E-2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32.830000000000005</v>
      </c>
      <c r="BN103" s="78">
        <f t="shared" si="13"/>
        <v>32.830000000000005</v>
      </c>
      <c r="BO103" s="78">
        <f t="shared" si="14"/>
        <v>5.3030303030303032E-2</v>
      </c>
      <c r="BP103" s="78">
        <f t="shared" si="15"/>
        <v>5.3030303030303032E-2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7</v>
      </c>
      <c r="Y105" s="43">
        <f>IFERROR(Y98/H98,"0")+IFERROR(Y99/H99,"0")+IFERROR(Y100/H100,"0")+IFERROR(Y101/H101,"0")+IFERROR(Y102/H102,"0")+IFERROR(Y103/H103,"0")+IFERROR(Y104/H104,"0")</f>
        <v>7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6.3140000000000002E-2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31.5</v>
      </c>
      <c r="Y106" s="43">
        <f>IFERROR(SUM(Y98:Y104),"0")</f>
        <v>31.5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80</v>
      </c>
      <c r="Y116" s="55">
        <f>IFERROR(IF(X116="",0,CEILING((X116/$H116),1)*$H116),"")</f>
        <v>81</v>
      </c>
      <c r="Z116" s="41">
        <f>IFERROR(IF(Y116=0,"",ROUNDUP(Y116/H116,0)*0.01898),"")</f>
        <v>0.1898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84.819753086419752</v>
      </c>
      <c r="BN116" s="78">
        <f>IFERROR(Y116*I116/H116,"0")</f>
        <v>85.88</v>
      </c>
      <c r="BO116" s="78">
        <f>IFERROR(1/J116*(X116/H116),"0")</f>
        <v>0.15432098765432101</v>
      </c>
      <c r="BP116" s="78">
        <f>IFERROR(1/J116*(Y116/H116),"0")</f>
        <v>0.15625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31.5</v>
      </c>
      <c r="Y118" s="55">
        <f>IFERROR(IF(X118="",0,CEILING((X118/$H118),1)*$H118),"")</f>
        <v>32.400000000000006</v>
      </c>
      <c r="Z118" s="41">
        <f>IFERROR(IF(Y118=0,"",ROUNDUP(Y118/H118,0)*0.00651),"")</f>
        <v>7.8119999999999995E-2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34.44</v>
      </c>
      <c r="BN118" s="78">
        <f>IFERROR(Y118*I118/H118,"0")</f>
        <v>35.424000000000007</v>
      </c>
      <c r="BO118" s="78">
        <f>IFERROR(1/J118*(X118/H118),"0")</f>
        <v>6.4102564102564111E-2</v>
      </c>
      <c r="BP118" s="78">
        <f>IFERROR(1/J118*(Y118/H118),"0")</f>
        <v>6.593406593406595E-2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21.543209876543209</v>
      </c>
      <c r="Y120" s="43">
        <f>IFERROR(Y116/H116,"0")+IFERROR(Y117/H117,"0")+IFERROR(Y118/H118,"0")+IFERROR(Y119/H119,"0")</f>
        <v>22</v>
      </c>
      <c r="Z120" s="43">
        <f>IFERROR(IF(Z116="",0,Z116),"0")+IFERROR(IF(Z117="",0,Z117),"0")+IFERROR(IF(Z118="",0,Z118),"0")+IFERROR(IF(Z119="",0,Z119),"0")</f>
        <v>0.26791999999999999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111.5</v>
      </c>
      <c r="Y121" s="43">
        <f>IFERROR(SUM(Y116:Y119),"0")</f>
        <v>113.4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15</v>
      </c>
      <c r="Y219" s="55">
        <f t="shared" ref="Y219:Y232" si="33">IFERROR(IF(X219="",0,CEILING((X219/$H219),1)*$H219),"")</f>
        <v>16.8</v>
      </c>
      <c r="Z219" s="41">
        <f>IFERROR(IF(Y219=0,"",ROUNDUP(Y219/H219,0)*0.00902),"")</f>
        <v>3.6080000000000001E-2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15.892857142857142</v>
      </c>
      <c r="BN219" s="78">
        <f t="shared" ref="BN219:BN232" si="35">IFERROR(Y219*I219/H219,"0")</f>
        <v>17.8</v>
      </c>
      <c r="BO219" s="78">
        <f t="shared" ref="BO219:BO232" si="36">IFERROR(1/J219*(X219/H219),"0")</f>
        <v>2.7056277056277056E-2</v>
      </c>
      <c r="BP219" s="78">
        <f t="shared" ref="BP219:BP232" si="37">IFERROR(1/J219*(Y219/H219),"0")</f>
        <v>3.0303030303030304E-2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3.5714285714285712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4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3.6080000000000001E-2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15</v>
      </c>
      <c r="Y234" s="43">
        <f>IFERROR(SUM(Y219:Y232),"0")</f>
        <v>16.8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ref="Y265:Y272" si="39">IFERROR(IF(X265="",0,CEILING((X265/$H265),1)*$H265),"")</f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51.759259259259252</v>
      </c>
      <c r="BN265" s="78">
        <f t="shared" ref="BN265:BN272" si="41">IFERROR(Y265*I265/H265,"0")</f>
        <v>55.9</v>
      </c>
      <c r="BO265" s="78">
        <f t="shared" ref="BO265:BO272" si="42">IFERROR(1/J265*(X265/H265),"0")</f>
        <v>7.0145903479236812E-2</v>
      </c>
      <c r="BP265" s="78">
        <f t="shared" ref="BP265:BP272" si="43">IFERROR(1/J265*(Y265/H265),"0")</f>
        <v>7.575757575757576E-2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9"/>
        <v>32.400000000000006</v>
      </c>
      <c r="Z266" s="41">
        <f>IFERROR(IF(Y266=0,"",ROUNDUP(Y266/H266,0)*0.00902),"")</f>
        <v>5.4120000000000001E-2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31.05555555555555</v>
      </c>
      <c r="BN266" s="78">
        <f t="shared" si="41"/>
        <v>33.54</v>
      </c>
      <c r="BO266" s="78">
        <f t="shared" si="42"/>
        <v>4.208754208754209E-2</v>
      </c>
      <c r="BP266" s="78">
        <f t="shared" si="43"/>
        <v>4.5454545454545463E-2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9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51.759259259259252</v>
      </c>
      <c r="BN267" s="78">
        <f t="shared" si="41"/>
        <v>55.9</v>
      </c>
      <c r="BO267" s="78">
        <f t="shared" si="42"/>
        <v>7.0145903479236812E-2</v>
      </c>
      <c r="BP267" s="78">
        <f t="shared" si="43"/>
        <v>7.575757575757576E-2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9"/>
        <v>32.400000000000006</v>
      </c>
      <c r="Z268" s="41">
        <f>IFERROR(IF(Y268=0,"",ROUNDUP(Y268/H268,0)*0.00902),"")</f>
        <v>5.4120000000000001E-2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31.05555555555555</v>
      </c>
      <c r="BN268" s="78">
        <f t="shared" si="41"/>
        <v>33.54</v>
      </c>
      <c r="BO268" s="78">
        <f t="shared" si="42"/>
        <v>4.208754208754209E-2</v>
      </c>
      <c r="BP268" s="78">
        <f t="shared" si="43"/>
        <v>4.5454545454545463E-2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29.629629629629633</v>
      </c>
      <c r="Y273" s="43">
        <f>IFERROR(Y265/H265,"0")+IFERROR(Y266/H266,"0")+IFERROR(Y267/H267,"0")+IFERROR(Y268/H268,"0")+IFERROR(Y269/H269,"0")+IFERROR(Y270/H270,"0")+IFERROR(Y271/H271,"0")+IFERROR(Y272/H272,"0")</f>
        <v>32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0.28864000000000001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160</v>
      </c>
      <c r="Y274" s="43">
        <f>IFERROR(SUM(Y265:Y272),"0")</f>
        <v>172.8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12</v>
      </c>
      <c r="Y286" s="55">
        <f t="shared" si="44"/>
        <v>12</v>
      </c>
      <c r="Z286" s="41">
        <f>IFERROR(IF(Y286=0,"",ROUNDUP(Y286/H286,0)*0.00651),"")</f>
        <v>3.2550000000000003E-2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13.290000000000001</v>
      </c>
      <c r="BN286" s="78">
        <f t="shared" si="46"/>
        <v>13.290000000000001</v>
      </c>
      <c r="BO286" s="78">
        <f t="shared" si="47"/>
        <v>2.7472527472527476E-2</v>
      </c>
      <c r="BP286" s="78">
        <f t="shared" si="48"/>
        <v>2.7472527472527476E-2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3.2550000000000003E-2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12</v>
      </c>
      <c r="Y289" s="43">
        <f>IFERROR(SUM(Y276:Y287),"0")</f>
        <v>12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20</v>
      </c>
      <c r="Y369" s="55">
        <f t="shared" si="59"/>
        <v>21</v>
      </c>
      <c r="Z369" s="41">
        <f>IFERROR(IF(Y369=0,"",ROUNDUP(Y369/H369,0)*0.00902),"")</f>
        <v>4.5100000000000001E-2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21.19047619047619</v>
      </c>
      <c r="BN369" s="78">
        <f t="shared" si="61"/>
        <v>22.25</v>
      </c>
      <c r="BO369" s="78">
        <f t="shared" si="62"/>
        <v>3.6075036075036072E-2</v>
      </c>
      <c r="BP369" s="78">
        <f t="shared" si="63"/>
        <v>3.787878787878788E-2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7</v>
      </c>
      <c r="Y371" s="55">
        <f t="shared" si="59"/>
        <v>8.4</v>
      </c>
      <c r="Z371" s="41">
        <f>IFERROR(IF(Y371=0,"",ROUNDUP(Y371/H371,0)*0.00502),"")</f>
        <v>2.0080000000000001E-2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7.4333333333333327</v>
      </c>
      <c r="BN371" s="78">
        <f t="shared" si="61"/>
        <v>8.92</v>
      </c>
      <c r="BO371" s="78">
        <f t="shared" si="62"/>
        <v>1.4245014245014245E-2</v>
      </c>
      <c r="BP371" s="78">
        <f t="shared" si="63"/>
        <v>1.7094017094017096E-2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8.0952380952380949</v>
      </c>
      <c r="Y375" s="43">
        <f>IFERROR(Y368/H368,"0")+IFERROR(Y369/H369,"0")+IFERROR(Y370/H370,"0")+IFERROR(Y371/H371,"0")+IFERROR(Y372/H372,"0")+IFERROR(Y373/H373,"0")+IFERROR(Y374/H374,"0")</f>
        <v>9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6.5180000000000002E-2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27</v>
      </c>
      <c r="Y376" s="43">
        <f>IFERROR(SUM(Y368:Y374),"0")</f>
        <v>29.4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25</v>
      </c>
      <c r="Y417" s="55">
        <f>IFERROR(IF(X417="",0,CEILING((X417/$H417),1)*$H417),"")</f>
        <v>32.4</v>
      </c>
      <c r="Z417" s="41">
        <f>IFERROR(IF(Y417=0,"",ROUNDUP(Y417/H417,0)*0.01898),"")</f>
        <v>7.5920000000000001E-2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26.524691358024693</v>
      </c>
      <c r="BN417" s="78">
        <f>IFERROR(Y417*I417/H417,"0")</f>
        <v>34.375999999999998</v>
      </c>
      <c r="BO417" s="78">
        <f>IFERROR(1/J417*(X417/H417),"0")</f>
        <v>4.8225308641975308E-2</v>
      </c>
      <c r="BP417" s="78">
        <f>IFERROR(1/J417*(Y417/H417),"0")</f>
        <v>6.25E-2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17.5</v>
      </c>
      <c r="Y419" s="55">
        <f>IFERROR(IF(X419="",0,CEILING((X419/$H419),1)*$H419),"")</f>
        <v>18.900000000000002</v>
      </c>
      <c r="Z419" s="41">
        <f>IFERROR(IF(Y419=0,"",ROUNDUP(Y419/H419,0)*0.00651),"")</f>
        <v>5.8590000000000003E-2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19.499999999999996</v>
      </c>
      <c r="BN419" s="78">
        <f>IFERROR(Y419*I419/H419,"0")</f>
        <v>21.06</v>
      </c>
      <c r="BO419" s="78">
        <f>IFERROR(1/J419*(X419/H419),"0")</f>
        <v>4.5787545787545784E-2</v>
      </c>
      <c r="BP419" s="78">
        <f>IFERROR(1/J419*(Y419/H419),"0")</f>
        <v>4.9450549450549455E-2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11.419753086419751</v>
      </c>
      <c r="Y420" s="43">
        <f>IFERROR(Y417/H417,"0")+IFERROR(Y418/H418,"0")+IFERROR(Y419/H419,"0")</f>
        <v>13</v>
      </c>
      <c r="Z420" s="43">
        <f>IFERROR(IF(Z417="",0,Z417),"0")+IFERROR(IF(Z418="",0,Z418),"0")+IFERROR(IF(Z419="",0,Z419),"0")</f>
        <v>0.13451000000000002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42.5</v>
      </c>
      <c r="Y421" s="43">
        <f>IFERROR(SUM(Y417:Y419),"0")</f>
        <v>51.3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200</v>
      </c>
      <c r="Y426" s="55">
        <f t="shared" si="64"/>
        <v>210</v>
      </c>
      <c r="Z426" s="41">
        <f>IFERROR(IF(Y426=0,"",ROUNDUP(Y426/H426,0)*0.02175),"")</f>
        <v>0.30449999999999999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206.26666666666668</v>
      </c>
      <c r="BN426" s="78">
        <f t="shared" si="66"/>
        <v>216.58</v>
      </c>
      <c r="BO426" s="78">
        <f t="shared" si="67"/>
        <v>0.27777777777777779</v>
      </c>
      <c r="BP426" s="78">
        <f t="shared" si="68"/>
        <v>0.29166666666666663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260</v>
      </c>
      <c r="Y427" s="55">
        <f t="shared" si="64"/>
        <v>270</v>
      </c>
      <c r="Z427" s="41">
        <f>IFERROR(IF(Y427=0,"",ROUNDUP(Y427/H427,0)*0.02175),"")</f>
        <v>0.39149999999999996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268.1466666666667</v>
      </c>
      <c r="BN427" s="78">
        <f t="shared" si="66"/>
        <v>278.46000000000004</v>
      </c>
      <c r="BO427" s="78">
        <f t="shared" si="67"/>
        <v>0.36111111111111105</v>
      </c>
      <c r="BP427" s="78">
        <f t="shared" si="68"/>
        <v>0.375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550</v>
      </c>
      <c r="Y428" s="55">
        <f t="shared" si="64"/>
        <v>555</v>
      </c>
      <c r="Z428" s="41">
        <f>IFERROR(IF(Y428=0,"",ROUNDUP(Y428/H428,0)*0.02175),"")</f>
        <v>0.80474999999999997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567.23333333333335</v>
      </c>
      <c r="BN428" s="78">
        <f t="shared" si="66"/>
        <v>572.39</v>
      </c>
      <c r="BO428" s="78">
        <f t="shared" si="67"/>
        <v>0.76388888888888884</v>
      </c>
      <c r="BP428" s="78">
        <f t="shared" si="68"/>
        <v>0.77083333333333326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67.333333333333329</v>
      </c>
      <c r="Y433" s="43">
        <f>IFERROR(Y425/H425,"0")+IFERROR(Y426/H426,"0")+IFERROR(Y427/H427,"0")+IFERROR(Y428/H428,"0")+IFERROR(Y429/H429,"0")+IFERROR(Y430/H430,"0")+IFERROR(Y431/H431,"0")+IFERROR(Y432/H432,"0")</f>
        <v>69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1.50075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1010</v>
      </c>
      <c r="Y434" s="43">
        <f>IFERROR(SUM(Y425:Y432),"0")</f>
        <v>1035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250</v>
      </c>
      <c r="Y436" s="55">
        <f>IFERROR(IF(X436="",0,CEILING((X436/$H436),1)*$H436),"")</f>
        <v>255</v>
      </c>
      <c r="Z436" s="41">
        <f>IFERROR(IF(Y436=0,"",ROUNDUP(Y436/H436,0)*0.02175),"")</f>
        <v>0.36974999999999997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257.83333333333331</v>
      </c>
      <c r="BN436" s="78">
        <f>IFERROR(Y436*I436/H436,"0")</f>
        <v>262.99</v>
      </c>
      <c r="BO436" s="78">
        <f>IFERROR(1/J436*(X436/H436),"0")</f>
        <v>0.34722222222222221</v>
      </c>
      <c r="BP436" s="78">
        <f>IFERROR(1/J436*(Y436/H436),"0")</f>
        <v>0.35416666666666663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16.666666666666668</v>
      </c>
      <c r="Y439" s="43">
        <f>IFERROR(Y436/H436,"0")+IFERROR(Y437/H437,"0")+IFERROR(Y438/H438,"0")</f>
        <v>17</v>
      </c>
      <c r="Z439" s="43">
        <f>IFERROR(IF(Z436="",0,Z436),"0")+IFERROR(IF(Z437="",0,Z437),"0")+IFERROR(IF(Z438="",0,Z438),"0")</f>
        <v>0.36974999999999997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250</v>
      </c>
      <c r="Y440" s="43">
        <f>IFERROR(SUM(Y436:Y438),"0")</f>
        <v>255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150</v>
      </c>
      <c r="Y443" s="55">
        <f>IFERROR(IF(X443="",0,CEILING((X443/$H443),1)*$H443),"")</f>
        <v>153</v>
      </c>
      <c r="Z443" s="41">
        <f>IFERROR(IF(Y443=0,"",ROUNDUP(Y443/H443,0)*0.01898),"")</f>
        <v>0.32266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158.23333333333332</v>
      </c>
      <c r="BN443" s="78">
        <f>IFERROR(Y443*I443/H443,"0")</f>
        <v>161.398</v>
      </c>
      <c r="BO443" s="78">
        <f>IFERROR(1/J443*(X443/H443),"0")</f>
        <v>0.26041666666666669</v>
      </c>
      <c r="BP443" s="78">
        <f>IFERROR(1/J443*(Y443/H443),"0")</f>
        <v>0.265625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16.666666666666668</v>
      </c>
      <c r="Y445" s="43">
        <f>IFERROR(Y442/H442,"0")+IFERROR(Y443/H443,"0")+IFERROR(Y444/H444,"0")</f>
        <v>17</v>
      </c>
      <c r="Z445" s="43">
        <f>IFERROR(IF(Z442="",0,Z442),"0")+IFERROR(IF(Z443="",0,Z443),"0")+IFERROR(IF(Z444="",0,Z444),"0")</f>
        <v>0.32266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150</v>
      </c>
      <c r="Y446" s="43">
        <f>IFERROR(SUM(Y442:Y444),"0")</f>
        <v>153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20</v>
      </c>
      <c r="Y454" s="55">
        <f>IFERROR(IF(X454="",0,CEILING((X454/$H454),1)*$H454),"")</f>
        <v>24</v>
      </c>
      <c r="Z454" s="41">
        <f>IFERROR(IF(Y454=0,"",ROUNDUP(Y454/H454,0)*0.01898),"")</f>
        <v>3.7960000000000001E-2</v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20.683333333333334</v>
      </c>
      <c r="BN454" s="78">
        <f>IFERROR(Y454*I454/H454,"0")</f>
        <v>24.820000000000004</v>
      </c>
      <c r="BO454" s="78">
        <f>IFERROR(1/J454*(X454/H454),"0")</f>
        <v>2.6041666666666668E-2</v>
      </c>
      <c r="BP454" s="78">
        <f>IFERROR(1/J454*(Y454/H454),"0")</f>
        <v>3.125E-2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1.6666666666666667</v>
      </c>
      <c r="Y456" s="43">
        <f>IFERROR(Y454/H454,"0")+IFERROR(Y455/H455,"0")</f>
        <v>2</v>
      </c>
      <c r="Z456" s="43">
        <f>IFERROR(IF(Z454="",0,Z454),"0")+IFERROR(IF(Z455="",0,Z455),"0")</f>
        <v>3.7960000000000001E-2</v>
      </c>
      <c r="AA456" s="67"/>
      <c r="AB456" s="67"/>
      <c r="AC456" s="67"/>
    </row>
    <row r="457" spans="1:68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20</v>
      </c>
      <c r="Y457" s="43">
        <f>IFERROR(SUM(Y454:Y455),"0")</f>
        <v>24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20</v>
      </c>
      <c r="Y490" s="55">
        <f>IFERROR(IF(X490="",0,CEILING((X490/$H490),1)*$H490),"")</f>
        <v>21.6</v>
      </c>
      <c r="Z490" s="41">
        <f>IFERROR(IF(Y490=0,"",ROUNDUP(Y490/H490,0)*0.00902),"")</f>
        <v>3.6080000000000001E-2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20.703703703703702</v>
      </c>
      <c r="BN490" s="78">
        <f>IFERROR(Y490*I490/H490,"0")</f>
        <v>22.36</v>
      </c>
      <c r="BO490" s="78">
        <f>IFERROR(1/J490*(X490/H490),"0")</f>
        <v>2.8058361391694722E-2</v>
      </c>
      <c r="BP490" s="78">
        <f>IFERROR(1/J490*(Y490/H490),"0")</f>
        <v>3.0303030303030304E-2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3.7037037037037033</v>
      </c>
      <c r="Y493" s="43">
        <f>IFERROR(Y490/H490,"0")+IFERROR(Y491/H491,"0")+IFERROR(Y492/H492,"0")</f>
        <v>4</v>
      </c>
      <c r="Z493" s="43">
        <f>IFERROR(IF(Z490="",0,Z490),"0")+IFERROR(IF(Z491="",0,Z491),"0")+IFERROR(IF(Z492="",0,Z492),"0")</f>
        <v>3.6080000000000001E-2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20</v>
      </c>
      <c r="Y494" s="43">
        <f>IFERROR(SUM(Y490:Y492),"0")</f>
        <v>21.6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35</v>
      </c>
      <c r="Y498" s="55">
        <f t="shared" ref="Y498:Y506" si="74">IFERROR(IF(X498="",0,CEILING((X498/$H498),1)*$H498),"")</f>
        <v>36.96</v>
      </c>
      <c r="Z498" s="41">
        <f t="shared" ref="Z498:Z503" si="75">IFERROR(IF(Y498=0,"",ROUNDUP(Y498/H498,0)*0.01196),"")</f>
        <v>8.3720000000000003E-2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37.320075757575751</v>
      </c>
      <c r="BN498" s="78">
        <f t="shared" ref="BN498:BN506" si="77">IFERROR(Y498*I498/H498,"0")</f>
        <v>39.409999999999997</v>
      </c>
      <c r="BO498" s="78">
        <f t="shared" ref="BO498:BO506" si="78">IFERROR(1/J498*(X498/H498),"0")</f>
        <v>6.3738344988344992E-2</v>
      </c>
      <c r="BP498" s="78">
        <f t="shared" ref="BP498:BP506" si="79">IFERROR(1/J498*(Y498/H498),"0")</f>
        <v>6.7307692307692318E-2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15</v>
      </c>
      <c r="Y500" s="55">
        <f t="shared" si="74"/>
        <v>15.84</v>
      </c>
      <c r="Z500" s="41">
        <f t="shared" si="75"/>
        <v>3.5880000000000002E-2</v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15.994318181818182</v>
      </c>
      <c r="BN500" s="78">
        <f t="shared" si="77"/>
        <v>16.889999999999997</v>
      </c>
      <c r="BO500" s="78">
        <f t="shared" si="78"/>
        <v>2.7316433566433568E-2</v>
      </c>
      <c r="BP500" s="78">
        <f t="shared" si="79"/>
        <v>2.8846153846153848E-2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60</v>
      </c>
      <c r="Y501" s="55">
        <f t="shared" si="74"/>
        <v>63.36</v>
      </c>
      <c r="Z501" s="41">
        <f t="shared" si="75"/>
        <v>0.14352000000000001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63.977272727272727</v>
      </c>
      <c r="BN501" s="78">
        <f t="shared" si="77"/>
        <v>67.559999999999988</v>
      </c>
      <c r="BO501" s="78">
        <f t="shared" si="78"/>
        <v>0.10926573426573427</v>
      </c>
      <c r="BP501" s="78">
        <f t="shared" si="79"/>
        <v>0.11538461538461539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20.833333333333332</v>
      </c>
      <c r="Y507" s="43">
        <f>IFERROR(Y498/H498,"0")+IFERROR(Y499/H499,"0")+IFERROR(Y500/H500,"0")+IFERROR(Y501/H501,"0")+IFERROR(Y502/H502,"0")+IFERROR(Y503/H503,"0")+IFERROR(Y504/H504,"0")+IFERROR(Y505/H505,"0")+IFERROR(Y506/H506,"0")</f>
        <v>22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0.26312000000000002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110</v>
      </c>
      <c r="Y508" s="43">
        <f>IFERROR(SUM(Y498:Y506),"0")</f>
        <v>116.16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40</v>
      </c>
      <c r="Y510" s="55">
        <f>IFERROR(IF(X510="",0,CEILING((X510/$H510),1)*$H510),"")</f>
        <v>42.24</v>
      </c>
      <c r="Z510" s="41">
        <f>IFERROR(IF(Y510=0,"",ROUNDUP(Y510/H510,0)*0.01196),"")</f>
        <v>9.5680000000000001E-2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42.651515151515149</v>
      </c>
      <c r="BN510" s="78">
        <f>IFERROR(Y510*I510/H510,"0")</f>
        <v>45.04</v>
      </c>
      <c r="BO510" s="78">
        <f>IFERROR(1/J510*(X510/H510),"0")</f>
        <v>7.2843822843822847E-2</v>
      </c>
      <c r="BP510" s="78">
        <f>IFERROR(1/J510*(Y510/H510),"0")</f>
        <v>7.6923076923076927E-2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7.5757575757575752</v>
      </c>
      <c r="Y513" s="43">
        <f>IFERROR(Y510/H510,"0")+IFERROR(Y511/H511,"0")+IFERROR(Y512/H512,"0")</f>
        <v>8</v>
      </c>
      <c r="Z513" s="43">
        <f>IFERROR(IF(Z510="",0,Z510),"0")+IFERROR(IF(Z511="",0,Z511),"0")+IFERROR(IF(Z512="",0,Z512),"0")</f>
        <v>9.5680000000000001E-2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40</v>
      </c>
      <c r="Y514" s="43">
        <f>IFERROR(SUM(Y510:Y512),"0")</f>
        <v>42.24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20</v>
      </c>
      <c r="Y516" s="55">
        <f t="shared" ref="Y516:Y522" si="80">IFERROR(IF(X516="",0,CEILING((X516/$H516),1)*$H516),"")</f>
        <v>21.12</v>
      </c>
      <c r="Z516" s="41">
        <f>IFERROR(IF(Y516=0,"",ROUNDUP(Y516/H516,0)*0.01196),"")</f>
        <v>4.7840000000000001E-2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21.325757575757574</v>
      </c>
      <c r="BN516" s="78">
        <f t="shared" ref="BN516:BN522" si="82">IFERROR(Y516*I516/H516,"0")</f>
        <v>22.52</v>
      </c>
      <c r="BO516" s="78">
        <f t="shared" ref="BO516:BO522" si="83">IFERROR(1/J516*(X516/H516),"0")</f>
        <v>3.6421911421911424E-2</v>
      </c>
      <c r="BP516" s="78">
        <f t="shared" ref="BP516:BP522" si="84">IFERROR(1/J516*(Y516/H516),"0")</f>
        <v>3.8461538461538464E-2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35</v>
      </c>
      <c r="Y518" s="55">
        <f t="shared" si="80"/>
        <v>36.96</v>
      </c>
      <c r="Z518" s="41">
        <f>IFERROR(IF(Y518=0,"",ROUNDUP(Y518/H518,0)*0.01196),"")</f>
        <v>8.3720000000000003E-2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37.320075757575751</v>
      </c>
      <c r="BN518" s="78">
        <f t="shared" si="82"/>
        <v>39.409999999999997</v>
      </c>
      <c r="BO518" s="78">
        <f t="shared" si="83"/>
        <v>6.3738344988344992E-2</v>
      </c>
      <c r="BP518" s="78">
        <f t="shared" si="84"/>
        <v>6.7307692307692318E-2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16.098484848484848</v>
      </c>
      <c r="Y523" s="43">
        <f>IFERROR(Y516/H516,"0")+IFERROR(Y517/H517,"0")+IFERROR(Y518/H518,"0")+IFERROR(Y519/H519,"0")+IFERROR(Y520/H520,"0")+IFERROR(Y521/H521,"0")+IFERROR(Y522/H522,"0")</f>
        <v>17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0.20332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85</v>
      </c>
      <c r="Y524" s="43">
        <f>IFERROR(SUM(Y516:Y522),"0")</f>
        <v>89.759999999999991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250</v>
      </c>
      <c r="Y540" s="55">
        <f>IFERROR(IF(X540="",0,CEILING((X540/$H540),1)*$H540),"")</f>
        <v>252</v>
      </c>
      <c r="Z540" s="41">
        <f>IFERROR(IF(Y540=0,"",ROUNDUP(Y540/H540,0)*0.01898),"")</f>
        <v>0.53144000000000002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263.72222222222223</v>
      </c>
      <c r="BN540" s="78">
        <f>IFERROR(Y540*I540/H540,"0")</f>
        <v>265.83199999999999</v>
      </c>
      <c r="BO540" s="78">
        <f>IFERROR(1/J540*(X540/H540),"0")</f>
        <v>0.43402777777777779</v>
      </c>
      <c r="BP540" s="78">
        <f>IFERROR(1/J540*(Y540/H540),"0")</f>
        <v>0.4375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27.777777777777779</v>
      </c>
      <c r="Y541" s="43">
        <f>IFERROR(Y540/H540,"0")</f>
        <v>28</v>
      </c>
      <c r="Z541" s="43">
        <f>IFERROR(IF(Z540="",0,Z540),"0")</f>
        <v>0.53144000000000002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250</v>
      </c>
      <c r="Y542" s="43">
        <f>IFERROR(SUM(Y540:Y540),"0")</f>
        <v>252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2523.5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2624.5599999999995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2632.9567255892248</v>
      </c>
      <c r="Y554" s="43">
        <f>IFERROR(SUM(BN22:BN550),"0")</f>
        <v>2738.6619999999994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4</v>
      </c>
      <c r="Y555" s="44">
        <f>ROUNDUP(SUM(BP22:BP550),0)</f>
        <v>5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2732.9567255892248</v>
      </c>
      <c r="Y556" s="43">
        <f>GrossWeightTotalR+PalletQtyTotalR*25</f>
        <v>2863.6619999999994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290.11868686868684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304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4.6705800000000002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59.2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43.2</v>
      </c>
      <c r="F563" s="52">
        <f>IFERROR(Y83*1,"0")+IFERROR(Y84*1,"0")+IFERROR(Y85*1,"0")+IFERROR(Y86*1,"0")+IFERROR(Y90*1,"0")+IFERROR(Y91*1,"0")+IFERROR(Y92*1,"0")+IFERROR(Y93*1,"0")</f>
        <v>106.2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144.9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16.8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184.8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29.4</v>
      </c>
      <c r="U563" s="52">
        <f>IFERROR(Y411*1,"0")+IFERROR(Y412*1,"0")</f>
        <v>0</v>
      </c>
      <c r="V563" s="52">
        <f>IFERROR(Y417*1,"0")+IFERROR(Y418*1,"0")+IFERROR(Y419*1,"0")</f>
        <v>51.3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1443</v>
      </c>
      <c r="X563" s="52">
        <f>IFERROR(Y454*1,"0")+IFERROR(Y455*1,"0")+IFERROR(Y459*1,"0")+IFERROR(Y463*1,"0")+IFERROR(Y464*1,"0")+IFERROR(Y465*1,"0")</f>
        <v>24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21.6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248.16000000000003</v>
      </c>
      <c r="AB563" s="52">
        <f>IFERROR(Y528*1,"0")+IFERROR(Y532*1,"0")+IFERROR(Y536*1,"0")+IFERROR(Y540*1,"0")+IFERROR(Y544*1,"0")+IFERROR(Y545*1,"0")</f>
        <v>252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,67"/>
        <filter val="11,42"/>
        <filter val="110,00"/>
        <filter val="111,50"/>
        <filter val="12,00"/>
        <filter val="15,00"/>
        <filter val="150,00"/>
        <filter val="16,00"/>
        <filter val="16,10"/>
        <filter val="16,67"/>
        <filter val="160,00"/>
        <filter val="17,50"/>
        <filter val="2 523,50"/>
        <filter val="2 632,96"/>
        <filter val="2 732,96"/>
        <filter val="2,78"/>
        <filter val="20,00"/>
        <filter val="20,83"/>
        <filter val="200,00"/>
        <filter val="21,54"/>
        <filter val="25,00"/>
        <filter val="250,00"/>
        <filter val="260,00"/>
        <filter val="27,00"/>
        <filter val="27,78"/>
        <filter val="29,63"/>
        <filter val="290,12"/>
        <filter val="3,33"/>
        <filter val="3,57"/>
        <filter val="3,70"/>
        <filter val="30,00"/>
        <filter val="31,50"/>
        <filter val="35,00"/>
        <filter val="39,00"/>
        <filter val="4"/>
        <filter val="4,78"/>
        <filter val="40,00"/>
        <filter val="42,50"/>
        <filter val="5,00"/>
        <filter val="50,00"/>
        <filter val="51,00"/>
        <filter val="550,00"/>
        <filter val="60,00"/>
        <filter val="67,33"/>
        <filter val="7,00"/>
        <filter val="7,24"/>
        <filter val="7,41"/>
        <filter val="7,58"/>
        <filter val="8,10"/>
        <filter val="80,00"/>
        <filter val="85,00"/>
        <filter val="9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