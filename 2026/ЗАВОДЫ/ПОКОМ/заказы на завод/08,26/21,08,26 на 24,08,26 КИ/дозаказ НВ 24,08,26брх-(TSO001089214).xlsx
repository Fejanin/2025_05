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385975-9D47-4551-9B67-4407EADE030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O544" i="1"/>
  <c r="BN544" i="1"/>
  <c r="BM544" i="1"/>
  <c r="Y544" i="1"/>
  <c r="BP544" i="1" s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N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N502" i="1"/>
  <c r="BM502" i="1"/>
  <c r="Y502" i="1"/>
  <c r="BP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N479" i="1"/>
  <c r="BM479" i="1"/>
  <c r="Y479" i="1"/>
  <c r="BP479" i="1" s="1"/>
  <c r="P479" i="1"/>
  <c r="X477" i="1"/>
  <c r="X476" i="1"/>
  <c r="BO475" i="1"/>
  <c r="BM475" i="1"/>
  <c r="Y475" i="1"/>
  <c r="P475" i="1"/>
  <c r="BO474" i="1"/>
  <c r="BM474" i="1"/>
  <c r="Y474" i="1"/>
  <c r="P474" i="1"/>
  <c r="BO473" i="1"/>
  <c r="BN473" i="1"/>
  <c r="BM473" i="1"/>
  <c r="Y473" i="1"/>
  <c r="BP473" i="1" s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N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N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X420" i="1"/>
  <c r="X419" i="1"/>
  <c r="BO418" i="1"/>
  <c r="BN418" i="1"/>
  <c r="BM418" i="1"/>
  <c r="Y418" i="1"/>
  <c r="BP418" i="1" s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BN392" i="1" s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N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N370" i="1"/>
  <c r="BM370" i="1"/>
  <c r="Y370" i="1"/>
  <c r="BP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BN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Y342" i="1"/>
  <c r="BN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O338" i="1"/>
  <c r="BN338" i="1"/>
  <c r="BM338" i="1"/>
  <c r="Y338" i="1"/>
  <c r="BP338" i="1" s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BN331" i="1" s="1"/>
  <c r="P331" i="1"/>
  <c r="X328" i="1"/>
  <c r="X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BN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BN269" i="1" s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P260" i="1"/>
  <c r="X258" i="1"/>
  <c r="X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Y248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N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BP189" i="1" s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Y171" i="1" s="1"/>
  <c r="P169" i="1"/>
  <c r="X167" i="1"/>
  <c r="X166" i="1"/>
  <c r="BO165" i="1"/>
  <c r="BM165" i="1"/>
  <c r="Y165" i="1"/>
  <c r="BP165" i="1" s="1"/>
  <c r="P165" i="1"/>
  <c r="BO164" i="1"/>
  <c r="BM164" i="1"/>
  <c r="Y164" i="1"/>
  <c r="Z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O134" i="1"/>
  <c r="BM134" i="1"/>
  <c r="Y134" i="1"/>
  <c r="P134" i="1"/>
  <c r="X132" i="1"/>
  <c r="X131" i="1"/>
  <c r="BO130" i="1"/>
  <c r="BM130" i="1"/>
  <c r="Y130" i="1"/>
  <c r="BN130" i="1" s="1"/>
  <c r="P130" i="1"/>
  <c r="BO129" i="1"/>
  <c r="BM129" i="1"/>
  <c r="Y129" i="1"/>
  <c r="BP129" i="1" s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BP48" i="1" s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6" i="1" s="1"/>
  <c r="BO23" i="1"/>
  <c r="BM23" i="1"/>
  <c r="Y23" i="1"/>
  <c r="BP23" i="1" s="1"/>
  <c r="P23" i="1"/>
  <c r="BO22" i="1"/>
  <c r="BM22" i="1"/>
  <c r="Y22" i="1"/>
  <c r="BP22" i="1" s="1"/>
  <c r="P22" i="1"/>
  <c r="H10" i="1"/>
  <c r="J9" i="1"/>
  <c r="A9" i="1"/>
  <c r="A10" i="1" s="1"/>
  <c r="D7" i="1"/>
  <c r="Q6" i="1"/>
  <c r="P2" i="1"/>
  <c r="F10" i="1" l="1"/>
  <c r="F9" i="1"/>
  <c r="Z38" i="1"/>
  <c r="BP38" i="1"/>
  <c r="Z50" i="1"/>
  <c r="BP50" i="1"/>
  <c r="E562" i="1"/>
  <c r="BN65" i="1"/>
  <c r="BN84" i="1"/>
  <c r="Z99" i="1"/>
  <c r="BP99" i="1"/>
  <c r="Z111" i="1"/>
  <c r="BP111" i="1"/>
  <c r="Z130" i="1"/>
  <c r="BP130" i="1"/>
  <c r="Y138" i="1"/>
  <c r="Z149" i="1"/>
  <c r="BP149" i="1"/>
  <c r="BN165" i="1"/>
  <c r="Z179" i="1"/>
  <c r="BP179" i="1"/>
  <c r="BN205" i="1"/>
  <c r="Z222" i="1"/>
  <c r="BP222" i="1"/>
  <c r="BN230" i="1"/>
  <c r="BN240" i="1"/>
  <c r="Z250" i="1"/>
  <c r="Z251" i="1" s="1"/>
  <c r="BP250" i="1"/>
  <c r="BN255" i="1"/>
  <c r="Z269" i="1"/>
  <c r="BP269" i="1"/>
  <c r="Z280" i="1"/>
  <c r="BP280" i="1"/>
  <c r="Z292" i="1"/>
  <c r="BP292" i="1"/>
  <c r="BN297" i="1"/>
  <c r="BN307" i="1"/>
  <c r="Y308" i="1"/>
  <c r="Z311" i="1"/>
  <c r="Z312" i="1" s="1"/>
  <c r="BP311" i="1"/>
  <c r="BN315" i="1"/>
  <c r="Z331" i="1"/>
  <c r="BP331" i="1"/>
  <c r="Z342" i="1"/>
  <c r="BP342" i="1"/>
  <c r="Z362" i="1"/>
  <c r="BP362" i="1"/>
  <c r="Z392" i="1"/>
  <c r="BP392" i="1"/>
  <c r="Z463" i="1"/>
  <c r="BP463" i="1"/>
  <c r="Z518" i="1"/>
  <c r="BP518" i="1"/>
  <c r="Z338" i="1"/>
  <c r="Z370" i="1"/>
  <c r="Z442" i="1"/>
  <c r="Z473" i="1"/>
  <c r="Z544" i="1"/>
  <c r="Z65" i="1"/>
  <c r="Z84" i="1"/>
  <c r="Z165" i="1"/>
  <c r="Z205" i="1"/>
  <c r="Z230" i="1"/>
  <c r="Z240" i="1"/>
  <c r="BN250" i="1"/>
  <c r="Y251" i="1"/>
  <c r="Z255" i="1"/>
  <c r="Z297" i="1"/>
  <c r="Z307" i="1"/>
  <c r="Z308" i="1" s="1"/>
  <c r="BP307" i="1"/>
  <c r="BN311" i="1"/>
  <c r="Y312" i="1"/>
  <c r="Z315" i="1"/>
  <c r="Z378" i="1"/>
  <c r="Z418" i="1"/>
  <c r="Z430" i="1"/>
  <c r="Z479" i="1"/>
  <c r="Z502" i="1"/>
  <c r="Y247" i="1"/>
  <c r="BP322" i="1"/>
  <c r="BN322" i="1"/>
  <c r="Z322" i="1"/>
  <c r="BP333" i="1"/>
  <c r="BN333" i="1"/>
  <c r="Z333" i="1"/>
  <c r="Y348" i="1"/>
  <c r="BP346" i="1"/>
  <c r="BN346" i="1"/>
  <c r="Z346" i="1"/>
  <c r="BP368" i="1"/>
  <c r="BN368" i="1"/>
  <c r="Z368" i="1"/>
  <c r="BP380" i="1"/>
  <c r="BN380" i="1"/>
  <c r="Z380" i="1"/>
  <c r="BP398" i="1"/>
  <c r="BN398" i="1"/>
  <c r="Z398" i="1"/>
  <c r="BP424" i="1"/>
  <c r="BN424" i="1"/>
  <c r="Z424" i="1"/>
  <c r="BP436" i="1"/>
  <c r="BN436" i="1"/>
  <c r="Z436" i="1"/>
  <c r="BP471" i="1"/>
  <c r="BN471" i="1"/>
  <c r="Z471" i="1"/>
  <c r="BP490" i="1"/>
  <c r="BN490" i="1"/>
  <c r="Z490" i="1"/>
  <c r="BP504" i="1"/>
  <c r="BN504" i="1"/>
  <c r="Z504" i="1"/>
  <c r="BP520" i="1"/>
  <c r="BN520" i="1"/>
  <c r="Z520" i="1"/>
  <c r="Z22" i="1"/>
  <c r="BN22" i="1"/>
  <c r="Y32" i="1"/>
  <c r="Z30" i="1"/>
  <c r="BN30" i="1"/>
  <c r="C562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F562" i="1"/>
  <c r="Z86" i="1"/>
  <c r="BN86" i="1"/>
  <c r="Y94" i="1"/>
  <c r="Z92" i="1"/>
  <c r="BN92" i="1"/>
  <c r="G56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BN128" i="1"/>
  <c r="Z134" i="1"/>
  <c r="BN134" i="1"/>
  <c r="BP134" i="1"/>
  <c r="Z142" i="1"/>
  <c r="BN142" i="1"/>
  <c r="I562" i="1"/>
  <c r="Z151" i="1"/>
  <c r="BN151" i="1"/>
  <c r="Z169" i="1"/>
  <c r="BN169" i="1"/>
  <c r="BP169" i="1"/>
  <c r="Z177" i="1"/>
  <c r="BN177" i="1"/>
  <c r="Z181" i="1"/>
  <c r="BN181" i="1"/>
  <c r="Z189" i="1"/>
  <c r="BN189" i="1"/>
  <c r="Z207" i="1"/>
  <c r="BN207" i="1"/>
  <c r="Z220" i="1"/>
  <c r="BN220" i="1"/>
  <c r="Z224" i="1"/>
  <c r="BN224" i="1"/>
  <c r="Z228" i="1"/>
  <c r="BN228" i="1"/>
  <c r="Z232" i="1"/>
  <c r="BN232" i="1"/>
  <c r="Y242" i="1"/>
  <c r="Z238" i="1"/>
  <c r="BN238" i="1"/>
  <c r="Z244" i="1"/>
  <c r="BN244" i="1"/>
  <c r="BP244" i="1"/>
  <c r="Z261" i="1"/>
  <c r="BN261" i="1"/>
  <c r="Z267" i="1"/>
  <c r="BN267" i="1"/>
  <c r="Z271" i="1"/>
  <c r="BN271" i="1"/>
  <c r="Z278" i="1"/>
  <c r="BN278" i="1"/>
  <c r="Z282" i="1"/>
  <c r="BN282" i="1"/>
  <c r="Z286" i="1"/>
  <c r="BN286" i="1"/>
  <c r="Z299" i="1"/>
  <c r="BN299" i="1"/>
  <c r="Z303" i="1"/>
  <c r="BN303" i="1"/>
  <c r="Y319" i="1"/>
  <c r="Y318" i="1"/>
  <c r="Z317" i="1"/>
  <c r="BN317" i="1"/>
  <c r="BP326" i="1"/>
  <c r="BN326" i="1"/>
  <c r="Z326" i="1"/>
  <c r="BP340" i="1"/>
  <c r="BN340" i="1"/>
  <c r="Z340" i="1"/>
  <c r="BP360" i="1"/>
  <c r="BN360" i="1"/>
  <c r="Z360" i="1"/>
  <c r="BP372" i="1"/>
  <c r="BN372" i="1"/>
  <c r="Z372" i="1"/>
  <c r="BP386" i="1"/>
  <c r="BN386" i="1"/>
  <c r="Z386" i="1"/>
  <c r="BP390" i="1"/>
  <c r="BN390" i="1"/>
  <c r="Z390" i="1"/>
  <c r="BP411" i="1"/>
  <c r="BN411" i="1"/>
  <c r="Z411" i="1"/>
  <c r="BP416" i="1"/>
  <c r="BN416" i="1"/>
  <c r="Z416" i="1"/>
  <c r="BP428" i="1"/>
  <c r="BN428" i="1"/>
  <c r="Z428" i="1"/>
  <c r="BP448" i="1"/>
  <c r="BN448" i="1"/>
  <c r="Z448" i="1"/>
  <c r="BP453" i="1"/>
  <c r="BN453" i="1"/>
  <c r="Z453" i="1"/>
  <c r="BP475" i="1"/>
  <c r="BN475" i="1"/>
  <c r="Z475" i="1"/>
  <c r="BP500" i="1"/>
  <c r="BN500" i="1"/>
  <c r="Z500" i="1"/>
  <c r="BP516" i="1"/>
  <c r="BN516" i="1"/>
  <c r="Z516" i="1"/>
  <c r="P562" i="1"/>
  <c r="Y388" i="1"/>
  <c r="Y387" i="1"/>
  <c r="Y25" i="1"/>
  <c r="Y62" i="1"/>
  <c r="Y70" i="1"/>
  <c r="Y74" i="1"/>
  <c r="Y80" i="1"/>
  <c r="Y87" i="1"/>
  <c r="Y106" i="1"/>
  <c r="Y114" i="1"/>
  <c r="Y120" i="1"/>
  <c r="Y131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Y419" i="1"/>
  <c r="Y33" i="1"/>
  <c r="Y43" i="1"/>
  <c r="Y53" i="1"/>
  <c r="Y95" i="1"/>
  <c r="Y139" i="1"/>
  <c r="Y145" i="1"/>
  <c r="Y156" i="1"/>
  <c r="H9" i="1"/>
  <c r="B562" i="1"/>
  <c r="X553" i="1"/>
  <c r="X554" i="1"/>
  <c r="Z23" i="1"/>
  <c r="Z24" i="1" s="1"/>
  <c r="BN23" i="1"/>
  <c r="Y24" i="1"/>
  <c r="X552" i="1"/>
  <c r="Z27" i="1"/>
  <c r="BN27" i="1"/>
  <c r="BP27" i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04" i="1" s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247" i="1" l="1"/>
  <c r="Z62" i="1"/>
  <c r="Z327" i="1"/>
  <c r="Z419" i="1"/>
  <c r="Z69" i="1"/>
  <c r="Y553" i="1"/>
  <c r="Z288" i="1"/>
  <c r="Z476" i="1"/>
  <c r="Z438" i="1"/>
  <c r="Z432" i="1"/>
  <c r="Z381" i="1"/>
  <c r="Z241" i="1"/>
  <c r="Z171" i="1"/>
  <c r="Z138" i="1"/>
  <c r="Z94" i="1"/>
  <c r="Z79" i="1"/>
  <c r="Z52" i="1"/>
  <c r="Y554" i="1"/>
  <c r="X555" i="1"/>
  <c r="Z506" i="1"/>
  <c r="Z492" i="1"/>
  <c r="Z374" i="1"/>
  <c r="Z364" i="1"/>
  <c r="Z273" i="1"/>
  <c r="Z211" i="1"/>
  <c r="Z144" i="1"/>
  <c r="Z113" i="1"/>
  <c r="Z105" i="1"/>
  <c r="Z87" i="1"/>
  <c r="Z32" i="1"/>
  <c r="Y556" i="1"/>
  <c r="Z406" i="1"/>
  <c r="Z233" i="1"/>
  <c r="Z522" i="1"/>
  <c r="Z465" i="1"/>
  <c r="Z444" i="1"/>
  <c r="Z185" i="1"/>
  <c r="Z191" i="1"/>
  <c r="Y552" i="1"/>
  <c r="Z557" i="1" l="1"/>
  <c r="Y555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<sst xmlns="http://schemas.openxmlformats.org/spreadsheetml/2006/main" count="2499" uniqueCount="906">
  <si>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</si>
  <si>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</si>
  <si>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</si>
  <si>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</si>
  <si>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</si>
  <si>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</si>
  <si>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</si>
  <si>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</si>
  <si>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</si>
  <si>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</si>
  <si>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</si>
  <si>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</si>
  <si>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</si>
  <si>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</si>
  <si>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</si>
  <si>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</si>
  <si>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</si>
  <si>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</si>
  <si>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</si>
  <si>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</si>
  <si>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</si>
  <si>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</si>
  <si>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</si>
  <si>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</si>
  <si>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</si>
  <si>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</si>
  <si>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</si>
  <si>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</si>
  <si>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</si>
  <si>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</si>
  <si>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</si>
  <si>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</si>
  <si>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</si>
  <si>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</si>
  <si>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</si>
  <si>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</si>
  <si>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</si>
  <si>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</si>
  <si>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</si>
  <si>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</si>
  <si>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</si>
  <si>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</si>
  <si>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</si>
  <si>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</si>
  <si>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</si>
  <si>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</si>
  <si>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</si>
  <si>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</si>
  <si>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</si>
  <si>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</si>
  <si>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</si>
  <si>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</si>
  <si>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</si>
  <si>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</si>
  <si>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</si>
  <si>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</si>
  <si>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</si>
  <si>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</si>
  <si>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</si>
  <si>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</si>
  <si>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</si>
  <si>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</si>
  <si>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</si>
  <si>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</si>
  <si>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</si>
  <si>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</si>
  <si>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</si>
  <si>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</si>
  <si>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</si>
  <si>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</si>
  <si>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</si>
  <si>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</si>
  <si>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</si>
  <si>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</si>
  <si>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</si>
  <si>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</si>
  <si>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</si>
  <si>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</si>
  <si>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</si>
  <si>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</si>
  <si>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</si>
  <si>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</si>
  <si>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</si>
  <si>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</si>
  <si>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</si>
  <si>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</si>
  <si>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</si>
  <si>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</si>
  <si>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</si>
  <si>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</si>
  <si>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</si>
  <si>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</si>
  <si>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</si>
  <si>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</si>
  <si>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</si>
  <si>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</si>
  <si>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</si>
  <si>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</si>
  <si>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</si>
  <si>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</si>
  <si>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</si>
  <si>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</si>
  <si>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</si>
  <si>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</si>
  <si>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</si>
  <si>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</si>
  <si>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</si>
  <si>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</si>
  <si>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</si>
  <si>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</si>
  <si>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</si>
  <si>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</si>
  <si>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</si>
  <si>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</si>
  <si>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</si>
  <si>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</si>
  <si>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</si>
  <si>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</si>
  <si>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</si>
  <si>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</si>
  <si>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</si>
  <si>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</si>
  <si>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</si>
  <si>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</si>
  <si>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</si>
  <si>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</si>
  <si>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</si>
  <si>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</si>
  <si>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</si>
  <si>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</si>
  <si>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</si>
  <si>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</si>
  <si>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</si>
  <si>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</si>
  <si>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</si>
  <si>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</si>
  <si>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</si>
  <si>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</si>
  <si>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</si>
  <si>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</si>
  <si>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</si>
  <si>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</si>
  <si>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</si>
  <si>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</si>
  <si>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</si>
  <si>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</si>
  <si>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</si>
  <si>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</si>
  <si>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</si>
  <si>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</si>
  <si>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</si>
  <si>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</si>
  <si>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</si>
  <si>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</si>
  <si>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</si>
  <si>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</si>
  <si>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</si>
  <si>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</si>
  <si>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</si>
  <si>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</si>
  <si>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</si>
  <si>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</si>
  <si>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</si>
  <si>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</si>
  <si>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</si>
  <si>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</si>
  <si>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</si>
  <si>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</si>
  <si>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</si>
  <si>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</si>
  <si>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</si>
  <si>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</si>
  <si>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</si>
  <si>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</si>
  <si>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</si>
  <si>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</si>
  <si>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</si>
  <si>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</si>
  <si>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</si>
  <si>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</si>
  <si>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</si>
  <si>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</si>
  <si>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</si>
  <si>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</si>
  <si>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</si>
  <si>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</si>
  <si>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</si>
  <si>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</si>
  <si>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</si>
  <si>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</si>
  <si>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</si>
  <si>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</si>
  <si>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</si>
  <si>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</si>
  <si>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</si>
  <si>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</si>
  <si>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</si>
  <si>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</si>
  <si>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</si>
  <si>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</si>
  <si>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</si>
  <si>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</si>
  <si>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</si>
  <si>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</si>
  <si>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</si>
  <si>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</si>
  <si>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</si>
  <si>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</si>
  <si>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</si>
  <si>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</si>
  <si>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</si>
  <si>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</si>
  <si>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</si>
  <si>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</si>
  <si>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</si>
  <si>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</si>
  <si>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</si>
  <si>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</si>
  <si>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</si>
  <si>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</si>
  <si>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</si>
  <si>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</si>
  <si>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</si>
  <si>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</si>
  <si>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</si>
  <si>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</si>
  <si>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</si>
  <si>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</si>
  <si>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</si>
  <si>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</si>
  <si>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</si>
  <si>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</si>
  <si>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</si>
  <si>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</si>
  <si>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</si>
  <si>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</si>
  <si>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</si>
  <si>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</si>
  <si>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</si>
  <si>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</si>
  <si>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</si>
  <si>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</si>
  <si>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</si>
  <si>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</si>
  <si>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</si>
  <si>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</si>
  <si>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</si>
  <si>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</si>
  <si>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</si>
  <si>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</si>
  <si>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</si>
  <si>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</si>
  <si>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</si>
  <si>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</si>
  <si>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</si>
  <si>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</si>
  <si>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</si>
  <si>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</si>
  <si>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</si>
  <si>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</si>
  <si>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</si>
  <si>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</si>
  <si>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</si>
  <si>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</si>
  <si>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</si>
  <si>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</si>
  <si>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</si>
  <si>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</si>
  <si>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</si>
  <si>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</si>
  <si>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</si>
  <si>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</si>
  <si>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</si>
  <si>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</si>
  <si>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</si>
  <si>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</si>
  <si>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</si>
  <si>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</si>
  <si>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</si>
  <si>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</si>
  <si>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</si>
  <si>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</si>
  <si>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</si>
  <si>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</si>
  <si>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</si>
  <si>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</si>
  <si>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</si>
  <si>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</si>
  <si>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</si>
  <si>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</si>
  <si>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</si>
  <si>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</si>
  <si>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</si>
  <si>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</si>
  <si>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</si>
  <si>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</si>
  <si>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</si>
  <si>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</si>
  <si>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</si>
  <si>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</si>
  <si>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</si>
  <si>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</si>
  <si>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</si>
  <si>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</si>
  <si>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</si>
  <si>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</si>
  <si>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</si>
  <si>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</si>
  <si>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</si>
  <si>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</si>
  <si>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</si>
  <si>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</si>
  <si>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</si>
  <si>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</si>
  <si>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</si>
  <si>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</si>
  <si>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</si>
  <si>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</si>
  <si>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</si>
  <si>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</si>
  <si>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</si>
  <si>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</si>
  <si>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</si>
  <si>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</si>
  <si>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</si>
  <si>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</si>
  <si>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</si>
  <si>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</si>
  <si>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</si>
  <si>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</si>
  <si>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</si>
  <si>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</si>
  <si>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</si>
  <si>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</si>
  <si>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</si>
  <si>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</si>
  <si>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</si>
  <si>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</si>
  <si>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</si>
  <si>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</si>
  <si>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</si>
  <si>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</si>
  <si>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</si>
  <si>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</si>
  <si>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</si>
  <si>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</si>
  <si>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</si>
  <si>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</si>
  <si>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</si>
  <si>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</si>
  <si>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</si>
  <si>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</si>
  <si>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</si>
  <si>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</si>
  <si>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</si>
  <si>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</si>
  <si>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</si>
  <si>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</si>
  <si>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</si>
  <si>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</si>
  <si>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</si>
  <si>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</si>
  <si>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</si>
  <si>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</si>
  <si>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</si>
  <si>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</si>
  <si>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</si>
  <si>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</si>
  <si>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</si>
  <si>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</si>
  <si>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</si>
  <si>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</si>
  <si>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</si>
  <si>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</si>
  <si>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</si>
  <si>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</si>
  <si>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</si>
  <si>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</si>
  <si>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</si>
  <si>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</si>
  <si>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</si>
  <si>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</si>
  <si>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</si>
  <si>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</si>
  <si>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</si>
  <si>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</si>
  <si>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</si>
  <si>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</si>
  <si>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</si>
  <si>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</si>
  <si>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</si>
  <si>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</si>
  <si>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</si>
  <si>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</si>
  <si>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</si>
  <si>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</si>
  <si>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</si>
  <si>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</si>
  <si>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</si>
  <si>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</si>
  <si>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</si>
  <si>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</si>
  <si>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</si>
  <si>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</si>
  <si>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</si>
  <si>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</si>
  <si>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</si>
  <si>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</si>
  <si>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</si>
  <si>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</si>
  <si>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</si>
  <si>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</si>
  <si>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</si>
  <si>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</si>
  <si>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</si>
  <si>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</si>
  <si>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</si>
  <si>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</si>
  <si>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</si>
  <si>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</si>
  <si>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</si>
  <si>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</si>
  <si>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</si>
  <si>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</si>
  <si>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</si>
  <si>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</si>
  <si>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</si>
  <si>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</si>
  <si>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</si>
  <si>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</si>
  <si>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</si>
  <si>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</si>
  <si>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</si>
  <si>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</si>
  <si>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</si>
  <si>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</si>
  <si>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</si>
  <si>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</si>
  <si>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</si>
  <si>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</si>
  <si>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</si>
  <si>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</si>
  <si>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</si>
  <si>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</si>
  <si>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</si>
  <si>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</si>
  <si>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</si>
  <si>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</si>
  <si>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</si>
  <si>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</si>
  <si>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</si>
  <si>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</si>
  <si>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</si>
  <si>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</si>
  <si>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</si>
  <si>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</si>
  <si>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</si>
  <si>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</si>
  <si>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</si>
  <si>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</si>
  <si>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</si>
  <si>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</si>
  <si>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</si>
  <si>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</si>
  <si>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</si>
  <si>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</si>
  <si>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</si>
  <si>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</si>
  <si>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</si>
  <si>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</si>
  <si>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</si>
  <si>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</si>
  <si>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</si>
  <si>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</si>
  <si>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</si>
  <si>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</si>
  <si>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</si>
  <si>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</si>
  <si>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</si>
  <si>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</si>
  <si>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</si>
  <si>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</si>
  <si>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</si>
  <si>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</si>
  <si>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</si>
  <si>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</si>
  <si>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</si>
  <si>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</si>
  <si>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</si>
  <si>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</si>
  <si>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</si>
  <si>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</si>
  <si>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</si>
  <si>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</si>
  <si>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</si>
  <si>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</si>
  <si>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</si>
  <si>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</si>
  <si>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</si>
  <si>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</si>
  <si>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</si>
  <si>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</si>
  <si>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</si>
  <si>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</si>
  <si>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</si>
  <si>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</si>
  <si>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</si>
  <si>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</si>
  <si>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</si>
  <si>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</si>
  <si>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</si>
  <si>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</si>
  <si>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</si>
  <si>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</si>
  <si>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</si>
  <si>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</si>
  <si>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</si>
  <si>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</si>
  <si>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</si>
  <si>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</si>
  <si>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</si>
  <si>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</si>
  <si>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</si>
  <si>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</si>
  <si>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</si>
  <si>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</si>
  <si>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</si>
  <si>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</si>
  <si>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</si>
  <si>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</si>
  <si>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</si>
  <si>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</si>
  <si>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</si>
  <si>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</si>
  <si>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</si>
  <si>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</si>
  <si>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</si>
  <si>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</si>
  <si>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</si>
  <si>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</si>
  <si>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</si>
  <si>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</si>
  <si>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</si>
  <si>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</si>
  <si>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</si>
  <si>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</si>
  <si>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</si>
  <si>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</si>
  <si>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</si>
  <si>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</si>
  <si>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</si>
  <si>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</si>
  <si>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</si>
  <si>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</si>
  <si>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</si>
  <si>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</si>
  <si>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</si>
  <si>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</si>
  <si>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</si>
  <si>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</si>
  <si>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</si>
  <si>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</si>
  <si>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</si>
  <si>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</si>
  <si>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</si>
  <si>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</si>
  <si>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</si>
  <si>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</si>
  <si>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</si>
  <si>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</si>
  <si>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</si>
  <si>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</si>
  <si>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</si>
  <si>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</si>
  <si>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</si>
  <si>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</si>
  <si>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</si>
  <si>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</si>
  <si>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</si>
  <si>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</si>
  <si>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</si>
  <si>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</si>
  <si>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</si>
  <si>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</si>
  <si>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</si>
  <si>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</si>
  <si>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</si>
  <si>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</si>
  <si>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</si>
  <si>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</si>
  <si>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</si>
  <si>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</si>
  <si>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</si>
  <si>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</si>
  <si>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</si>
  <si>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</si>
  <si>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</si>
  <si>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</si>
  <si>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</si>
  <si>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</si>
  <si>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</si>
  <si>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</si>
  <si>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</si>
  <si>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</si>
  <si>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</si>
  <si>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</si>
  <si>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</si>
  <si>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</si>
  <si>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</si>
  <si>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</si>
  <si>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</si>
  <si>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</si>
  <si>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</si>
  <si>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</si>
  <si>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</si>
  <si>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</si>
  <si>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</si>
  <si>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</si>
  <si>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</si>
  <si>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</si>
  <si>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</si>
  <si>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</si>
  <si>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</si>
  <si>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</si>
  <si>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</si>
  <si>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</si>
  <si>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</si>
  <si>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</si>
  <si>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</si>
  <si>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</si>
  <si>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</si>
  <si>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</si>
  <si>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</si>
  <si>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</si>
  <si>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</si>
  <si>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</si>
  <si>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</si>
  <si>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</si>
  <si>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</si>
  <si>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</si>
  <si>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</si>
  <si>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</si>
  <si>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</si>
  <si>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</si>
  <si>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</si>
  <si>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</si>
  <si>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</si>
  <si>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</si>
  <si>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</si>
  <si>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</si>
  <si>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</si>
  <si>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</si>
  <si>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</si>
  <si>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</si>
  <si>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</si>
  <si>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</si>
  <si>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</si>
  <si>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</si>
  <si>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</si>
  <si>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</si>
  <si>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</si>
  <si>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</si>
  <si>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</si>
  <si>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</si>
  <si>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</si>
  <si>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</si>
  <si>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</si>
  <si>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</si>
  <si>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</si>
  <si>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</si>
  <si>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</si>
  <si>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</si>
  <si>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</si>
  <si>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</si>
  <si>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</si>
  <si>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</si>
  <si>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</si>
  <si>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</si>
  <si>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</si>
  <si>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</si>
  <si>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</si>
  <si>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</si>
  <si>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</si>
  <si>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</si>
  <si>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</si>
  <si>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</si>
  <si>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</si>
  <si>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</si>
  <si>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</si>
  <si>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</si>
  <si>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</si>
  <si>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</si>
  <si>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</si>
  <si>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</si>
  <si>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</si>
  <si>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</si>
  <si>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</si>
  <si>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</si>
  <si>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</si>
  <si>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</si>
  <si>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</si>
  <si>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</si>
  <si>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</si>
  <si>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</si>
  <si>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</si>
  <si>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</si>
  <si>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</si>
  <si>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</si>
  <si>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</si>
  <si>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</si>
  <si>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</si>
  <si>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</si>
  <si>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</si>
  <si>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</si>
  <si>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</si>
  <si>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</si>
  <si>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</si>
  <si>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</si>
  <si>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</si>
  <si>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</si>
  <si>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</si>
  <si>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</si>
  <si>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</si>
  <si>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</si>
  <si>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</si>
  <si>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</si>
  <si>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</si>
  <si>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</si>
  <si>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</si>
  <si>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</si>
  <si>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</si>
  <si>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</si>
  <si>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</si>
  <si>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</si>
  <si>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</si>
  <si>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</si>
  <si>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</si>
  <si>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</si>
  <si>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</si>
  <si>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</si>
  <si>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</si>
  <si>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</si>
  <si>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</si>
  <si>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</si>
  <si>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</si>
  <si>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</si>
  <si>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</si>
  <si>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</si>
  <si>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</si>
  <si>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</si>
  <si>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</si>
  <si>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</si>
  <si>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</si>
  <si>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</si>
  <si>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</si>
  <si>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</si>
  <si>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</si>
  <si>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</si>
  <si>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</si>
  <si>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</si>
  <si>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</si>
  <si>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</si>
  <si>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</si>
  <si>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</si>
  <si>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</si>
  <si>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</si>
  <si>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</si>
  <si>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</si>
  <si>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</si>
  <si>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</si>
  <si>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</si>
  <si>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</si>
  <si>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</si>
  <si>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</si>
  <si>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</si>
  <si>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</si>
  <si>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</si>
  <si>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</si>
  <si>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</si>
  <si>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</si>
  <si>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</si>
  <si>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</si>
  <si>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</si>
  <si>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</si>
  <si>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</si>
  <si>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</si>
  <si>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</si>
  <si>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</si>
  <si>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</si>
  <si>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</si>
  <si>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</si>
  <si>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</si>
  <si>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</si>
  <si>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</si>
  <si>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</si>
  <si>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</si>
  <si>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</si>
  <si>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</si>
  <si>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</si>
  <si>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</si>
  <si>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</si>
  <si>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</si>
  <si>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</si>
  <si>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</si>
  <si>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</si>
  <si>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</si>
  <si>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</si>
  <si>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</si>
  <si>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</si>
  <si>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</si>
  <si>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</si>
  <si>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</si>
  <si>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</si>
  <si>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</si>
  <si>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</si>
  <si>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</si>
  <si>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</si>
  <si>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</si>
  <si>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</si>
  <si>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</si>
  <si>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</si>
  <si>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</si>
  <si>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</si>
  <si>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</si>
  <si>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</si>
  <si>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</si>
  <si>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</si>
  <si>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</si>
  <si>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</si>
  <si>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</si>
  <si>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</si>
  <si>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</si>
  <si>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</si>
  <si>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</si>
  <si>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</si>
  <si>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</si>
  <si>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</si>
  <si>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</si>
  <si>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</si>
  <si>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</si>
  <si>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</si>
  <si>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</si>
  <si>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</si>
  <si>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</si>
  <si>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</si>
  <si>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</si>
  <si>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</si>
  <si>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</si>
  <si>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</si>
  <si>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</si>
  <si>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</si>
  <si>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</si>
  <si>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</si>
  <si>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</si>
  <si>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</si>
  <si>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</si>
  <si>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</si>
  <si>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</si>
  <si>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</si>
  <si>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</si>
  <si>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</si>
  <si>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</si>
  <si>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</si>
  <si>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</si>
  <si>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</si>
  <si>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</si>
  <si>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</si>
  <si>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</si>
  <si>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</si>
  <si>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</si>
  <si>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</si>
  <si>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</si>
  <si>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</si>
  <si>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</si>
  <si>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</si>
  <si>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</si>
  <si>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</si>
  <si>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</si>
  <si>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</si>
  <si>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</si>
  <si>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</si>
  <si>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</si>
  <si>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</si>
  <si>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</si>
  <si>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</si>
  <si>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</si>
  <si>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</si>
  <si>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</si>
  <si>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</si>
  <si>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</si>
  <si>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</si>
  <si>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</si>
  <si>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</si>
  <si>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</si>
  <si>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</si>
  <si>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</si>
  <si>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</si>
  <si>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</si>
  <si>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</si>
  <si>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</si>
  <si>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</si>
  <si>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</si>
  <si>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</si>
  <si>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</si>
  <si>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 TSO001089214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</si>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</sst>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2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9" t="s">
        <v>0</v>
      </c>
      <c r="E1" s="670"/>
      <c r="F1" s="670"/>
      <c r="G1" s="12" t="s">
        <v>1</v>
      </c>
      <c r="H1" s="719" t="s">
        <v>2</v>
      </c>
      <c r="I1" s="670"/>
      <c r="J1" s="670"/>
      <c r="K1" s="670"/>
      <c r="L1" s="670"/>
      <c r="M1" s="670"/>
      <c r="N1" s="670"/>
      <c r="O1" s="670"/>
      <c r="P1" s="670"/>
      <c r="Q1" s="670"/>
      <c r="R1" s="669" t="s">
        <v>3</v>
      </c>
      <c r="S1" s="670"/>
      <c r="T1" s="6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77" t="s">
        <v>7</v>
      </c>
      <c r="B5" s="738"/>
      <c r="C5" s="739"/>
      <c r="D5" s="721"/>
      <c r="E5" s="722"/>
      <c r="F5" s="944" t="s">
        <v>8</v>
      </c>
      <c r="G5" s="739"/>
      <c r="H5" s="721" t="s">
        <v>904</v>
      </c>
      <c r="I5" s="888"/>
      <c r="J5" s="888"/>
      <c r="K5" s="888"/>
      <c r="L5" s="888"/>
      <c r="M5" s="722"/>
      <c r="N5" s="58"/>
      <c r="P5" s="24" t="s">
        <v>9</v>
      </c>
      <c r="Q5" s="970">
        <v>46258</v>
      </c>
      <c r="R5" s="767"/>
      <c r="T5" s="830" t="s">
        <v>10</v>
      </c>
      <c r="U5" s="774"/>
      <c r="V5" s="831" t="s">
        <v>11</v>
      </c>
      <c r="W5" s="767"/>
      <c r="AB5" s="51"/>
      <c r="AC5" s="51"/>
      <c r="AD5" s="51"/>
      <c r="AE5" s="51"/>
    </row>
    <row r="6" spans="1:32" s="626" customFormat="1" ht="24" customHeight="1" x14ac:dyDescent="0.2">
      <c r="A6" s="777" t="s">
        <v>12</v>
      </c>
      <c r="B6" s="738"/>
      <c r="C6" s="739"/>
      <c r="D6" s="891" t="s">
        <v>865</v>
      </c>
      <c r="E6" s="892"/>
      <c r="F6" s="892"/>
      <c r="G6" s="892"/>
      <c r="H6" s="892"/>
      <c r="I6" s="892"/>
      <c r="J6" s="892"/>
      <c r="K6" s="892"/>
      <c r="L6" s="892"/>
      <c r="M6" s="767"/>
      <c r="N6" s="59"/>
      <c r="P6" s="24" t="s">
        <v>13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36" t="s">
        <v>14</v>
      </c>
      <c r="U6" s="774"/>
      <c r="V6" s="876" t="s">
        <v>15</v>
      </c>
      <c r="W6" s="658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2" t="str">
        <f>IFERROR(VLOOKUP(DeliveryAddress,Table,3,0),1)</f>
        <v>1</v>
      </c>
      <c r="E7" s="693"/>
      <c r="F7" s="693"/>
      <c r="G7" s="693"/>
      <c r="H7" s="693"/>
      <c r="I7" s="693"/>
      <c r="J7" s="693"/>
      <c r="K7" s="693"/>
      <c r="L7" s="693"/>
      <c r="M7" s="694"/>
      <c r="N7" s="60"/>
      <c r="P7" s="24"/>
      <c r="Q7" s="42"/>
      <c r="R7" s="42"/>
      <c r="T7" s="643"/>
      <c r="U7" s="774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3" t="s">
        <v>16</v>
      </c>
      <c r="B8" s="647"/>
      <c r="C8" s="648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17</v>
      </c>
      <c r="Q8" s="787">
        <v>0.66666666666666663</v>
      </c>
      <c r="R8" s="694"/>
      <c r="T8" s="643"/>
      <c r="U8" s="774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6"/>
      <c r="E9" s="654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3" t="str">
        <f>IF(AND($A$9="Тип доверенности/получателя при получении в адресе перегруза:",$D$9="Разовая доверенность"),"Введите ФИО","")</f>
        <v/>
      </c>
      <c r="I9" s="654"/>
      <c r="J9" s="6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4"/>
      <c r="L9" s="654"/>
      <c r="M9" s="654"/>
      <c r="N9" s="627"/>
      <c r="P9" s="26" t="s">
        <v>18</v>
      </c>
      <c r="Q9" s="763"/>
      <c r="R9" s="764"/>
      <c r="T9" s="643"/>
      <c r="U9" s="774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6"/>
      <c r="E10" s="654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7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37"/>
      <c r="R10" s="838"/>
      <c r="U10" s="24" t="s">
        <v>20</v>
      </c>
      <c r="V10" s="657" t="s">
        <v>21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6"/>
      <c r="R11" s="767"/>
      <c r="U11" s="24" t="s">
        <v>24</v>
      </c>
      <c r="V11" s="922" t="s">
        <v>905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21" t="s">
        <v>25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26</v>
      </c>
      <c r="Q12" s="787"/>
      <c r="R12" s="694"/>
      <c r="S12" s="23"/>
      <c r="U12" s="24"/>
      <c r="V12" s="670"/>
      <c r="W12" s="643"/>
      <c r="AB12" s="51"/>
      <c r="AC12" s="51"/>
      <c r="AD12" s="51"/>
      <c r="AE12" s="51"/>
    </row>
    <row r="13" spans="1:32" s="626" customFormat="1" ht="23.25" customHeight="1" x14ac:dyDescent="0.2">
      <c r="A13" s="821" t="s">
        <v>27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28</v>
      </c>
      <c r="Q13" s="92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21" t="s">
        <v>29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6" t="s">
        <v>30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00" t="s">
        <v>31</v>
      </c>
      <c r="Q15" s="670"/>
      <c r="R15" s="670"/>
      <c r="S15" s="670"/>
      <c r="T15" s="6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32</v>
      </c>
      <c r="B17" s="677" t="s">
        <v>33</v>
      </c>
      <c r="C17" s="792" t="s">
        <v>34</v>
      </c>
      <c r="D17" s="677" t="s">
        <v>35</v>
      </c>
      <c r="E17" s="741"/>
      <c r="F17" s="677" t="s">
        <v>36</v>
      </c>
      <c r="G17" s="677" t="s">
        <v>37</v>
      </c>
      <c r="H17" s="677" t="s">
        <v>38</v>
      </c>
      <c r="I17" s="677" t="s">
        <v>39</v>
      </c>
      <c r="J17" s="677" t="s">
        <v>40</v>
      </c>
      <c r="K17" s="677" t="s">
        <v>41</v>
      </c>
      <c r="L17" s="677" t="s">
        <v>42</v>
      </c>
      <c r="M17" s="677" t="s">
        <v>43</v>
      </c>
      <c r="N17" s="677" t="s">
        <v>44</v>
      </c>
      <c r="O17" s="677" t="s">
        <v>45</v>
      </c>
      <c r="P17" s="677" t="s">
        <v>46</v>
      </c>
      <c r="Q17" s="740"/>
      <c r="R17" s="740"/>
      <c r="S17" s="740"/>
      <c r="T17" s="741"/>
      <c r="U17" s="995" t="s">
        <v>47</v>
      </c>
      <c r="V17" s="739"/>
      <c r="W17" s="677" t="s">
        <v>48</v>
      </c>
      <c r="X17" s="677" t="s">
        <v>49</v>
      </c>
      <c r="Y17" s="996" t="s">
        <v>50</v>
      </c>
      <c r="Z17" s="874" t="s">
        <v>51</v>
      </c>
      <c r="AA17" s="868" t="s">
        <v>52</v>
      </c>
      <c r="AB17" s="868" t="s">
        <v>53</v>
      </c>
      <c r="AC17" s="868" t="s">
        <v>54</v>
      </c>
      <c r="AD17" s="868" t="s">
        <v>55</v>
      </c>
      <c r="AE17" s="947"/>
      <c r="AF17" s="948"/>
      <c r="AG17" s="66"/>
      <c r="BD17" s="65" t="s">
        <v>56</v>
      </c>
    </row>
    <row r="18" spans="1:68" ht="14.25" customHeight="1" x14ac:dyDescent="0.2">
      <c r="A18" s="678"/>
      <c r="B18" s="678"/>
      <c r="C18" s="678"/>
      <c r="D18" s="742"/>
      <c r="E18" s="74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42"/>
      <c r="Q18" s="743"/>
      <c r="R18" s="743"/>
      <c r="S18" s="743"/>
      <c r="T18" s="744"/>
      <c r="U18" s="67" t="s">
        <v>57</v>
      </c>
      <c r="V18" s="67" t="s">
        <v>58</v>
      </c>
      <c r="W18" s="678"/>
      <c r="X18" s="678"/>
      <c r="Y18" s="997"/>
      <c r="Z18" s="875"/>
      <c r="AA18" s="869"/>
      <c r="AB18" s="869"/>
      <c r="AC18" s="869"/>
      <c r="AD18" s="949"/>
      <c r="AE18" s="950"/>
      <c r="AF18" s="951"/>
      <c r="AG18" s="66"/>
      <c r="BD18" s="65"/>
    </row>
    <row r="19" spans="1:68" ht="27.75" hidden="1" customHeight="1" x14ac:dyDescent="0.2">
      <c r="A19" s="651" t="s">
        <v>59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49" t="s">
        <v>59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5" t="s">
        <v>60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61</v>
      </c>
      <c r="B22" s="54" t="s">
        <v>62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63</v>
      </c>
      <c r="L22" s="32"/>
      <c r="M22" s="33" t="s">
        <v>64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65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66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67</v>
      </c>
      <c r="B23" s="54" t="s">
        <v>68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63</v>
      </c>
      <c r="L23" s="32"/>
      <c r="M23" s="33" t="s">
        <v>64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65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69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70</v>
      </c>
      <c r="Q24" s="647"/>
      <c r="R24" s="647"/>
      <c r="S24" s="647"/>
      <c r="T24" s="647"/>
      <c r="U24" s="647"/>
      <c r="V24" s="648"/>
      <c r="W24" s="37" t="s">
        <v>71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70</v>
      </c>
      <c r="Q25" s="647"/>
      <c r="R25" s="647"/>
      <c r="S25" s="647"/>
      <c r="T25" s="647"/>
      <c r="U25" s="647"/>
      <c r="V25" s="648"/>
      <c r="W25" s="37" t="s">
        <v>65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5" t="s">
        <v>72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73</v>
      </c>
      <c r="B27" s="54" t="s">
        <v>74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81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65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77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78</v>
      </c>
      <c r="B28" s="54" t="s">
        <v>79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75</v>
      </c>
      <c r="L28" s="32"/>
      <c r="M28" s="33" t="s">
        <v>76</v>
      </c>
      <c r="N28" s="33"/>
      <c r="O28" s="32">
        <v>40</v>
      </c>
      <c r="P28" s="6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65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80</v>
      </c>
      <c r="B29" s="54" t="s">
        <v>81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75</v>
      </c>
      <c r="L29" s="32"/>
      <c r="M29" s="33" t="s">
        <v>82</v>
      </c>
      <c r="N29" s="33"/>
      <c r="O29" s="32">
        <v>40</v>
      </c>
      <c r="P29" s="6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65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83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84</v>
      </c>
      <c r="B30" s="54" t="s">
        <v>85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75</v>
      </c>
      <c r="L30" s="32"/>
      <c r="M30" s="33" t="s">
        <v>82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65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86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87</v>
      </c>
      <c r="B31" s="54" t="s">
        <v>88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75</v>
      </c>
      <c r="L31" s="32"/>
      <c r="M31" s="33" t="s">
        <v>76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65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89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70</v>
      </c>
      <c r="Q32" s="647"/>
      <c r="R32" s="647"/>
      <c r="S32" s="647"/>
      <c r="T32" s="647"/>
      <c r="U32" s="647"/>
      <c r="V32" s="648"/>
      <c r="W32" s="37" t="s">
        <v>71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70</v>
      </c>
      <c r="Q33" s="647"/>
      <c r="R33" s="647"/>
      <c r="S33" s="647"/>
      <c r="T33" s="647"/>
      <c r="U33" s="647"/>
      <c r="V33" s="648"/>
      <c r="W33" s="37" t="s">
        <v>65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1" t="s">
        <v>90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49" t="s">
        <v>91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5" t="s">
        <v>72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92</v>
      </c>
      <c r="B37" s="54" t="s">
        <v>93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75</v>
      </c>
      <c r="L37" s="32"/>
      <c r="M37" s="33" t="s">
        <v>82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65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95</v>
      </c>
      <c r="B38" s="54" t="s">
        <v>96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75</v>
      </c>
      <c r="L38" s="32"/>
      <c r="M38" s="33" t="s">
        <v>76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65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97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98</v>
      </c>
      <c r="B39" s="54" t="s">
        <v>99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75</v>
      </c>
      <c r="L39" s="32"/>
      <c r="M39" s="33" t="s">
        <v>76</v>
      </c>
      <c r="N39" s="33"/>
      <c r="O39" s="32">
        <v>40</v>
      </c>
      <c r="P39" s="72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65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75</v>
      </c>
      <c r="L40" s="32"/>
      <c r="M40" s="33" t="s">
        <v>76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65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100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103</v>
      </c>
      <c r="B41" s="54" t="s">
        <v>104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75</v>
      </c>
      <c r="L41" s="32"/>
      <c r="M41" s="33" t="s">
        <v>76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65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105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106</v>
      </c>
      <c r="B42" s="54" t="s">
        <v>107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75</v>
      </c>
      <c r="L42" s="32"/>
      <c r="M42" s="33" t="s">
        <v>76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65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108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70</v>
      </c>
      <c r="Q43" s="647"/>
      <c r="R43" s="647"/>
      <c r="S43" s="647"/>
      <c r="T43" s="647"/>
      <c r="U43" s="647"/>
      <c r="V43" s="648"/>
      <c r="W43" s="37" t="s">
        <v>71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70</v>
      </c>
      <c r="Q44" s="647"/>
      <c r="R44" s="647"/>
      <c r="S44" s="647"/>
      <c r="T44" s="647"/>
      <c r="U44" s="647"/>
      <c r="V44" s="648"/>
      <c r="W44" s="37" t="s">
        <v>65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1" t="s">
        <v>109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48"/>
      <c r="AB45" s="48"/>
      <c r="AC45" s="48"/>
    </row>
    <row r="46" spans="1:68" ht="16.5" hidden="1" customHeight="1" x14ac:dyDescent="0.25">
      <c r="A46" s="649" t="s">
        <v>110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5" t="s">
        <v>111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112</v>
      </c>
      <c r="B48" s="54" t="s">
        <v>113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114</v>
      </c>
      <c r="L48" s="32"/>
      <c r="M48" s="33" t="s">
        <v>115</v>
      </c>
      <c r="N48" s="33"/>
      <c r="O48" s="32">
        <v>50</v>
      </c>
      <c r="P48" s="8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65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116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117</v>
      </c>
      <c r="B49" s="54" t="s">
        <v>118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119</v>
      </c>
      <c r="L49" s="32"/>
      <c r="M49" s="33" t="s">
        <v>64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65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120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121</v>
      </c>
      <c r="B50" s="54" t="s">
        <v>122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123</v>
      </c>
      <c r="L50" s="32"/>
      <c r="M50" s="33" t="s">
        <v>76</v>
      </c>
      <c r="N50" s="33"/>
      <c r="O50" s="32">
        <v>50</v>
      </c>
      <c r="P50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65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124</v>
      </c>
      <c r="B51" s="54" t="s">
        <v>125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123</v>
      </c>
      <c r="L51" s="32"/>
      <c r="M51" s="33" t="s">
        <v>76</v>
      </c>
      <c r="N51" s="33"/>
      <c r="O51" s="32">
        <v>50</v>
      </c>
      <c r="P51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65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116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70</v>
      </c>
      <c r="Q52" s="647"/>
      <c r="R52" s="647"/>
      <c r="S52" s="647"/>
      <c r="T52" s="647"/>
      <c r="U52" s="647"/>
      <c r="V52" s="648"/>
      <c r="W52" s="37" t="s">
        <v>71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70</v>
      </c>
      <c r="Q53" s="647"/>
      <c r="R53" s="647"/>
      <c r="S53" s="647"/>
      <c r="T53" s="647"/>
      <c r="U53" s="647"/>
      <c r="V53" s="648"/>
      <c r="W53" s="37" t="s">
        <v>65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49" t="s">
        <v>126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5" t="s">
        <v>111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127</v>
      </c>
      <c r="B56" s="54" t="s">
        <v>128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65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129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130</v>
      </c>
      <c r="B57" s="54" t="s">
        <v>131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65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132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133</v>
      </c>
      <c r="B58" s="54" t="s">
        <v>134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99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65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135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136</v>
      </c>
      <c r="B59" s="54" t="s">
        <v>137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65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138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75</v>
      </c>
      <c r="L60" s="32"/>
      <c r="M60" s="33" t="s">
        <v>115</v>
      </c>
      <c r="N60" s="33"/>
      <c r="O60" s="32">
        <v>50</v>
      </c>
      <c r="P60" s="96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65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141</v>
      </c>
      <c r="B61" s="54" t="s">
        <v>142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65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143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70</v>
      </c>
      <c r="Q62" s="647"/>
      <c r="R62" s="647"/>
      <c r="S62" s="647"/>
      <c r="T62" s="647"/>
      <c r="U62" s="647"/>
      <c r="V62" s="648"/>
      <c r="W62" s="37" t="s">
        <v>71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70</v>
      </c>
      <c r="Q63" s="647"/>
      <c r="R63" s="647"/>
      <c r="S63" s="647"/>
      <c r="T63" s="647"/>
      <c r="U63" s="647"/>
      <c r="V63" s="648"/>
      <c r="W63" s="37" t="s">
        <v>65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5" t="s">
        <v>144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145</v>
      </c>
      <c r="B65" s="54" t="s">
        <v>146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65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148</v>
      </c>
      <c r="B66" s="54" t="s">
        <v>149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75</v>
      </c>
      <c r="L66" s="32"/>
      <c r="M66" s="33" t="s">
        <v>76</v>
      </c>
      <c r="N66" s="33"/>
      <c r="O66" s="32">
        <v>50</v>
      </c>
      <c r="P66" s="7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65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147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119</v>
      </c>
      <c r="L67" s="32"/>
      <c r="M67" s="33" t="s">
        <v>64</v>
      </c>
      <c r="N67" s="33"/>
      <c r="O67" s="32">
        <v>30</v>
      </c>
      <c r="P67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65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75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65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147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70</v>
      </c>
      <c r="Q69" s="647"/>
      <c r="R69" s="647"/>
      <c r="S69" s="647"/>
      <c r="T69" s="647"/>
      <c r="U69" s="647"/>
      <c r="V69" s="648"/>
      <c r="W69" s="37" t="s">
        <v>71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70</v>
      </c>
      <c r="Q70" s="647"/>
      <c r="R70" s="647"/>
      <c r="S70" s="647"/>
      <c r="T70" s="647"/>
      <c r="U70" s="647"/>
      <c r="V70" s="648"/>
      <c r="W70" s="37" t="s">
        <v>65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5" t="s">
        <v>72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75</v>
      </c>
      <c r="L72" s="32"/>
      <c r="M72" s="33" t="s">
        <v>76</v>
      </c>
      <c r="N72" s="33"/>
      <c r="O72" s="32">
        <v>40</v>
      </c>
      <c r="P72" s="9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65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65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70</v>
      </c>
      <c r="Q74" s="647"/>
      <c r="R74" s="647"/>
      <c r="S74" s="647"/>
      <c r="T74" s="647"/>
      <c r="U74" s="647"/>
      <c r="V74" s="648"/>
      <c r="W74" s="37" t="s">
        <v>71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70</v>
      </c>
      <c r="Q75" s="647"/>
      <c r="R75" s="647"/>
      <c r="S75" s="647"/>
      <c r="T75" s="647"/>
      <c r="U75" s="647"/>
      <c r="V75" s="648"/>
      <c r="W75" s="37" t="s">
        <v>65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5" t="s">
        <v>161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114</v>
      </c>
      <c r="L77" s="32"/>
      <c r="M77" s="33" t="s">
        <v>82</v>
      </c>
      <c r="N77" s="33"/>
      <c r="O77" s="32">
        <v>30</v>
      </c>
      <c r="P77" s="84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65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165</v>
      </c>
      <c r="B78" s="54" t="s">
        <v>166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123</v>
      </c>
      <c r="L78" s="32"/>
      <c r="M78" s="33" t="s">
        <v>76</v>
      </c>
      <c r="N78" s="33"/>
      <c r="O78" s="32">
        <v>30</v>
      </c>
      <c r="P78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65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70</v>
      </c>
      <c r="Q79" s="647"/>
      <c r="R79" s="647"/>
      <c r="S79" s="647"/>
      <c r="T79" s="647"/>
      <c r="U79" s="647"/>
      <c r="V79" s="648"/>
      <c r="W79" s="37" t="s">
        <v>71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70</v>
      </c>
      <c r="Q80" s="647"/>
      <c r="R80" s="647"/>
      <c r="S80" s="647"/>
      <c r="T80" s="647"/>
      <c r="U80" s="647"/>
      <c r="V80" s="648"/>
      <c r="W80" s="37" t="s">
        <v>65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49" t="s">
        <v>168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5" t="s">
        <v>111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169</v>
      </c>
      <c r="B83" s="54" t="s">
        <v>170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114</v>
      </c>
      <c r="L83" s="32"/>
      <c r="M83" s="33" t="s">
        <v>82</v>
      </c>
      <c r="N83" s="33"/>
      <c r="O83" s="32">
        <v>50</v>
      </c>
      <c r="P83" s="9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65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171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172</v>
      </c>
      <c r="B84" s="54" t="s">
        <v>173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119</v>
      </c>
      <c r="L84" s="32"/>
      <c r="M84" s="33" t="s">
        <v>64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65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123</v>
      </c>
      <c r="L85" s="32"/>
      <c r="M85" s="33" t="s">
        <v>76</v>
      </c>
      <c r="N85" s="33"/>
      <c r="O85" s="32">
        <v>50</v>
      </c>
      <c r="P85" s="9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65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171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123</v>
      </c>
      <c r="L86" s="32"/>
      <c r="M86" s="33" t="s">
        <v>82</v>
      </c>
      <c r="N86" s="33"/>
      <c r="O86" s="32">
        <v>50</v>
      </c>
      <c r="P86" s="66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65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171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70</v>
      </c>
      <c r="Q87" s="647"/>
      <c r="R87" s="647"/>
      <c r="S87" s="647"/>
      <c r="T87" s="647"/>
      <c r="U87" s="647"/>
      <c r="V87" s="648"/>
      <c r="W87" s="37" t="s">
        <v>71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70</v>
      </c>
      <c r="Q88" s="647"/>
      <c r="R88" s="647"/>
      <c r="S88" s="647"/>
      <c r="T88" s="647"/>
      <c r="U88" s="647"/>
      <c r="V88" s="648"/>
      <c r="W88" s="37" t="s">
        <v>65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5" t="s">
        <v>72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179</v>
      </c>
      <c r="B90" s="54" t="s">
        <v>180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114</v>
      </c>
      <c r="L90" s="32"/>
      <c r="M90" s="33" t="s">
        <v>82</v>
      </c>
      <c r="N90" s="33"/>
      <c r="O90" s="32">
        <v>45</v>
      </c>
      <c r="P90" s="85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65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181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182</v>
      </c>
      <c r="B91" s="54" t="s">
        <v>183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75</v>
      </c>
      <c r="L91" s="32"/>
      <c r="M91" s="33" t="s">
        <v>76</v>
      </c>
      <c r="N91" s="33"/>
      <c r="O91" s="32">
        <v>45</v>
      </c>
      <c r="P91" s="9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65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181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75</v>
      </c>
      <c r="L92" s="32"/>
      <c r="M92" s="33" t="s">
        <v>82</v>
      </c>
      <c r="N92" s="33"/>
      <c r="O92" s="32">
        <v>45</v>
      </c>
      <c r="P92" s="69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65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181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186</v>
      </c>
      <c r="B93" s="54" t="s">
        <v>187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75</v>
      </c>
      <c r="L93" s="32"/>
      <c r="M93" s="33" t="s">
        <v>76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65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188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idden="1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70</v>
      </c>
      <c r="Q94" s="647"/>
      <c r="R94" s="647"/>
      <c r="S94" s="647"/>
      <c r="T94" s="647"/>
      <c r="U94" s="647"/>
      <c r="V94" s="648"/>
      <c r="W94" s="37" t="s">
        <v>71</v>
      </c>
      <c r="X94" s="631">
        <f>IFERROR(X90/H90,"0")+IFERROR(X91/H91,"0")+IFERROR(X92/H92,"0")+IFERROR(X93/H93,"0")</f>
        <v>0</v>
      </c>
      <c r="Y94" s="631">
        <f>IFERROR(Y90/H90,"0")+IFERROR(Y91/H91,"0")+IFERROR(Y92/H92,"0")+IFERROR(Y93/H93,"0")</f>
        <v>0</v>
      </c>
      <c r="Z94" s="631">
        <f>IFERROR(IF(Z90="",0,Z90),"0")+IFERROR(IF(Z91="",0,Z91),"0")+IFERROR(IF(Z92="",0,Z92),"0")+IFERROR(IF(Z93="",0,Z93),"0")</f>
        <v>0</v>
      </c>
      <c r="AA94" s="632"/>
      <c r="AB94" s="632"/>
      <c r="AC94" s="632"/>
    </row>
    <row r="95" spans="1:68" hidden="1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70</v>
      </c>
      <c r="Q95" s="647"/>
      <c r="R95" s="647"/>
      <c r="S95" s="647"/>
      <c r="T95" s="647"/>
      <c r="U95" s="647"/>
      <c r="V95" s="648"/>
      <c r="W95" s="37" t="s">
        <v>65</v>
      </c>
      <c r="X95" s="631">
        <f>IFERROR(SUM(X90:X93),"0")</f>
        <v>0</v>
      </c>
      <c r="Y95" s="631">
        <f>IFERROR(SUM(Y90:Y93),"0")</f>
        <v>0</v>
      </c>
      <c r="Z95" s="37"/>
      <c r="AA95" s="632"/>
      <c r="AB95" s="632"/>
      <c r="AC95" s="632"/>
    </row>
    <row r="96" spans="1:68" ht="16.5" hidden="1" customHeight="1" x14ac:dyDescent="0.25">
      <c r="A96" s="649" t="s">
        <v>189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5" t="s">
        <v>111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190</v>
      </c>
      <c r="B98" s="54" t="s">
        <v>191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114</v>
      </c>
      <c r="L98" s="32"/>
      <c r="M98" s="33" t="s">
        <v>115</v>
      </c>
      <c r="N98" s="33"/>
      <c r="O98" s="32">
        <v>50</v>
      </c>
      <c r="P98" s="8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65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192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193</v>
      </c>
      <c r="B99" s="54" t="s">
        <v>194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119</v>
      </c>
      <c r="L99" s="32"/>
      <c r="M99" s="33" t="s">
        <v>64</v>
      </c>
      <c r="N99" s="33"/>
      <c r="O99" s="32">
        <v>30</v>
      </c>
      <c r="P99" s="68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65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193</v>
      </c>
      <c r="B100" s="54" t="s">
        <v>196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119</v>
      </c>
      <c r="L100" s="32"/>
      <c r="M100" s="33" t="s">
        <v>64</v>
      </c>
      <c r="N100" s="33"/>
      <c r="O100" s="32">
        <v>30</v>
      </c>
      <c r="P100" s="69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65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195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193</v>
      </c>
      <c r="B101" s="54" t="s">
        <v>197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119</v>
      </c>
      <c r="L101" s="32"/>
      <c r="M101" s="33" t="s">
        <v>64</v>
      </c>
      <c r="N101" s="33"/>
      <c r="O101" s="32">
        <v>30</v>
      </c>
      <c r="P101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65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195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123</v>
      </c>
      <c r="L102" s="32"/>
      <c r="M102" s="33" t="s">
        <v>76</v>
      </c>
      <c r="N102" s="33"/>
      <c r="O102" s="32">
        <v>50</v>
      </c>
      <c r="P102" s="9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65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192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123</v>
      </c>
      <c r="L103" s="32"/>
      <c r="M103" s="33" t="s">
        <v>76</v>
      </c>
      <c r="N103" s="33"/>
      <c r="O103" s="32">
        <v>50</v>
      </c>
      <c r="P103" s="72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65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192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123</v>
      </c>
      <c r="L104" s="32"/>
      <c r="M104" s="33" t="s">
        <v>76</v>
      </c>
      <c r="N104" s="33"/>
      <c r="O104" s="32">
        <v>50</v>
      </c>
      <c r="P104" s="6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65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192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70</v>
      </c>
      <c r="Q105" s="647"/>
      <c r="R105" s="647"/>
      <c r="S105" s="647"/>
      <c r="T105" s="647"/>
      <c r="U105" s="647"/>
      <c r="V105" s="648"/>
      <c r="W105" s="37" t="s">
        <v>71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70</v>
      </c>
      <c r="Q106" s="647"/>
      <c r="R106" s="647"/>
      <c r="S106" s="647"/>
      <c r="T106" s="647"/>
      <c r="U106" s="647"/>
      <c r="V106" s="648"/>
      <c r="W106" s="37" t="s">
        <v>65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5" t="s">
        <v>144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204</v>
      </c>
      <c r="B108" s="54" t="s">
        <v>205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114</v>
      </c>
      <c r="L108" s="32"/>
      <c r="M108" s="33" t="s">
        <v>115</v>
      </c>
      <c r="N108" s="33"/>
      <c r="O108" s="32">
        <v>55</v>
      </c>
      <c r="P108" s="87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65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206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209</v>
      </c>
      <c r="L109" s="32"/>
      <c r="M109" s="33" t="s">
        <v>64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65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207</v>
      </c>
      <c r="B110" s="54" t="s">
        <v>211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209</v>
      </c>
      <c r="L110" s="32"/>
      <c r="M110" s="33" t="s">
        <v>64</v>
      </c>
      <c r="N110" s="33"/>
      <c r="O110" s="32">
        <v>30</v>
      </c>
      <c r="P110" s="9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65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212</v>
      </c>
      <c r="B111" s="54" t="s">
        <v>213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63</v>
      </c>
      <c r="L111" s="32"/>
      <c r="M111" s="33" t="s">
        <v>115</v>
      </c>
      <c r="N111" s="33"/>
      <c r="O111" s="32">
        <v>55</v>
      </c>
      <c r="P111" s="9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65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206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75</v>
      </c>
      <c r="L112" s="32"/>
      <c r="M112" s="33" t="s">
        <v>115</v>
      </c>
      <c r="N112" s="33"/>
      <c r="O112" s="32">
        <v>55</v>
      </c>
      <c r="P112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65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206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70</v>
      </c>
      <c r="Q113" s="647"/>
      <c r="R113" s="647"/>
      <c r="S113" s="647"/>
      <c r="T113" s="647"/>
      <c r="U113" s="647"/>
      <c r="V113" s="648"/>
      <c r="W113" s="37" t="s">
        <v>71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70</v>
      </c>
      <c r="Q114" s="647"/>
      <c r="R114" s="647"/>
      <c r="S114" s="647"/>
      <c r="T114" s="647"/>
      <c r="U114" s="647"/>
      <c r="V114" s="648"/>
      <c r="W114" s="37" t="s">
        <v>65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5" t="s">
        <v>72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216</v>
      </c>
      <c r="B116" s="54" t="s">
        <v>217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114</v>
      </c>
      <c r="L116" s="32"/>
      <c r="M116" s="33" t="s">
        <v>82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65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219</v>
      </c>
      <c r="B117" s="54" t="s">
        <v>220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75</v>
      </c>
      <c r="L117" s="32"/>
      <c r="M117" s="33" t="s">
        <v>82</v>
      </c>
      <c r="N117" s="33"/>
      <c r="O117" s="32">
        <v>45</v>
      </c>
      <c r="P117" s="7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65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75</v>
      </c>
      <c r="L118" s="32"/>
      <c r="M118" s="33" t="s">
        <v>82</v>
      </c>
      <c r="N118" s="33"/>
      <c r="O118" s="32">
        <v>45</v>
      </c>
      <c r="P118" s="7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65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223</v>
      </c>
      <c r="B119" s="54" t="s">
        <v>224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65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70</v>
      </c>
      <c r="Q120" s="647"/>
      <c r="R120" s="647"/>
      <c r="S120" s="647"/>
      <c r="T120" s="647"/>
      <c r="U120" s="647"/>
      <c r="V120" s="648"/>
      <c r="W120" s="37" t="s">
        <v>71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70</v>
      </c>
      <c r="Q121" s="647"/>
      <c r="R121" s="647"/>
      <c r="S121" s="647"/>
      <c r="T121" s="647"/>
      <c r="U121" s="647"/>
      <c r="V121" s="648"/>
      <c r="W121" s="37" t="s">
        <v>65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5" t="s">
        <v>161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226</v>
      </c>
      <c r="B123" s="54" t="s">
        <v>227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75</v>
      </c>
      <c r="L123" s="32"/>
      <c r="M123" s="33" t="s">
        <v>76</v>
      </c>
      <c r="N123" s="33"/>
      <c r="O123" s="32">
        <v>40</v>
      </c>
      <c r="P123" s="9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65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228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70</v>
      </c>
      <c r="Q124" s="647"/>
      <c r="R124" s="647"/>
      <c r="S124" s="647"/>
      <c r="T124" s="647"/>
      <c r="U124" s="647"/>
      <c r="V124" s="648"/>
      <c r="W124" s="37" t="s">
        <v>71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70</v>
      </c>
      <c r="Q125" s="647"/>
      <c r="R125" s="647"/>
      <c r="S125" s="647"/>
      <c r="T125" s="647"/>
      <c r="U125" s="647"/>
      <c r="V125" s="648"/>
      <c r="W125" s="37" t="s">
        <v>65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49" t="s">
        <v>229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5" t="s">
        <v>111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230</v>
      </c>
      <c r="B128" s="54" t="s">
        <v>231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114</v>
      </c>
      <c r="L128" s="32"/>
      <c r="M128" s="33" t="s">
        <v>232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65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233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234</v>
      </c>
      <c r="B129" s="54" t="s">
        <v>235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75</v>
      </c>
      <c r="L129" s="32"/>
      <c r="M129" s="33" t="s">
        <v>236</v>
      </c>
      <c r="N129" s="33"/>
      <c r="O129" s="32">
        <v>90</v>
      </c>
      <c r="P129" s="75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65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237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234</v>
      </c>
      <c r="B130" s="54" t="s">
        <v>238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75</v>
      </c>
      <c r="L130" s="32"/>
      <c r="M130" s="33" t="s">
        <v>236</v>
      </c>
      <c r="N130" s="33"/>
      <c r="O130" s="32">
        <v>90</v>
      </c>
      <c r="P130" s="90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65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237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70</v>
      </c>
      <c r="Q131" s="647"/>
      <c r="R131" s="647"/>
      <c r="S131" s="647"/>
      <c r="T131" s="647"/>
      <c r="U131" s="647"/>
      <c r="V131" s="648"/>
      <c r="W131" s="37" t="s">
        <v>71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70</v>
      </c>
      <c r="Q132" s="647"/>
      <c r="R132" s="647"/>
      <c r="S132" s="647"/>
      <c r="T132" s="647"/>
      <c r="U132" s="647"/>
      <c r="V132" s="648"/>
      <c r="W132" s="37" t="s">
        <v>65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5" t="s">
        <v>60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239</v>
      </c>
      <c r="B134" s="54" t="s">
        <v>240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114</v>
      </c>
      <c r="L134" s="32"/>
      <c r="M134" s="33" t="s">
        <v>232</v>
      </c>
      <c r="N134" s="33"/>
      <c r="O134" s="32">
        <v>90</v>
      </c>
      <c r="P134" s="97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65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241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243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75</v>
      </c>
      <c r="L135" s="32"/>
      <c r="M135" s="33" t="s">
        <v>236</v>
      </c>
      <c r="N135" s="33"/>
      <c r="O135" s="32">
        <v>90</v>
      </c>
      <c r="P135" s="94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65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242</v>
      </c>
      <c r="B136" s="54" t="s">
        <v>245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75</v>
      </c>
      <c r="L136" s="32"/>
      <c r="M136" s="33" t="s">
        <v>236</v>
      </c>
      <c r="N136" s="33"/>
      <c r="O136" s="32">
        <v>90</v>
      </c>
      <c r="P136" s="9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65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246</v>
      </c>
      <c r="B137" s="54" t="s">
        <v>247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63</v>
      </c>
      <c r="L137" s="32"/>
      <c r="M137" s="33" t="s">
        <v>232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65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241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70</v>
      </c>
      <c r="Q138" s="647"/>
      <c r="R138" s="647"/>
      <c r="S138" s="647"/>
      <c r="T138" s="647"/>
      <c r="U138" s="647"/>
      <c r="V138" s="648"/>
      <c r="W138" s="37" t="s">
        <v>71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70</v>
      </c>
      <c r="Q139" s="647"/>
      <c r="R139" s="647"/>
      <c r="S139" s="647"/>
      <c r="T139" s="647"/>
      <c r="U139" s="647"/>
      <c r="V139" s="648"/>
      <c r="W139" s="37" t="s">
        <v>65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5" t="s">
        <v>72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248</v>
      </c>
      <c r="B141" s="54" t="s">
        <v>249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75</v>
      </c>
      <c r="L141" s="32"/>
      <c r="M141" s="33" t="s">
        <v>232</v>
      </c>
      <c r="N141" s="33"/>
      <c r="O141" s="32">
        <v>90</v>
      </c>
      <c r="P141" s="85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65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250</v>
      </c>
      <c r="B142" s="54" t="s">
        <v>251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75</v>
      </c>
      <c r="L142" s="32"/>
      <c r="M142" s="33" t="s">
        <v>236</v>
      </c>
      <c r="N142" s="33"/>
      <c r="O142" s="32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65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237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250</v>
      </c>
      <c r="B143" s="54" t="s">
        <v>252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75</v>
      </c>
      <c r="L143" s="32"/>
      <c r="M143" s="33" t="s">
        <v>236</v>
      </c>
      <c r="N143" s="33"/>
      <c r="O143" s="32">
        <v>60</v>
      </c>
      <c r="P143" s="8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65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237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70</v>
      </c>
      <c r="Q144" s="647"/>
      <c r="R144" s="647"/>
      <c r="S144" s="647"/>
      <c r="T144" s="647"/>
      <c r="U144" s="647"/>
      <c r="V144" s="648"/>
      <c r="W144" s="37" t="s">
        <v>71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70</v>
      </c>
      <c r="Q145" s="647"/>
      <c r="R145" s="647"/>
      <c r="S145" s="647"/>
      <c r="T145" s="647"/>
      <c r="U145" s="647"/>
      <c r="V145" s="648"/>
      <c r="W145" s="37" t="s">
        <v>65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49" t="s">
        <v>253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5" t="s">
        <v>72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254</v>
      </c>
      <c r="B148" s="54" t="s">
        <v>255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75</v>
      </c>
      <c r="L148" s="32"/>
      <c r="M148" s="33" t="s">
        <v>82</v>
      </c>
      <c r="N148" s="33"/>
      <c r="O148" s="32">
        <v>40</v>
      </c>
      <c r="P148" s="73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65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75</v>
      </c>
      <c r="L149" s="32"/>
      <c r="M149" s="33" t="s">
        <v>82</v>
      </c>
      <c r="N149" s="33"/>
      <c r="O149" s="32">
        <v>40</v>
      </c>
      <c r="P149" s="9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65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257</v>
      </c>
      <c r="B150" s="54" t="s">
        <v>260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75</v>
      </c>
      <c r="L150" s="32"/>
      <c r="M150" s="33" t="s">
        <v>82</v>
      </c>
      <c r="N150" s="33"/>
      <c r="O150" s="32">
        <v>40</v>
      </c>
      <c r="P150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65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75</v>
      </c>
      <c r="L151" s="32"/>
      <c r="M151" s="33" t="s">
        <v>82</v>
      </c>
      <c r="N151" s="33"/>
      <c r="O151" s="32">
        <v>40</v>
      </c>
      <c r="P151" s="9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65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263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261</v>
      </c>
      <c r="B152" s="54" t="s">
        <v>264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75</v>
      </c>
      <c r="L152" s="32"/>
      <c r="M152" s="33" t="s">
        <v>82</v>
      </c>
      <c r="N152" s="33"/>
      <c r="O152" s="32">
        <v>40</v>
      </c>
      <c r="P152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65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263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75</v>
      </c>
      <c r="L153" s="32"/>
      <c r="M153" s="33" t="s">
        <v>82</v>
      </c>
      <c r="N153" s="33"/>
      <c r="O153" s="32">
        <v>40</v>
      </c>
      <c r="P153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65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267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265</v>
      </c>
      <c r="B154" s="54" t="s">
        <v>268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75</v>
      </c>
      <c r="L154" s="32"/>
      <c r="M154" s="33" t="s">
        <v>82</v>
      </c>
      <c r="N154" s="33"/>
      <c r="O154" s="32">
        <v>40</v>
      </c>
      <c r="P154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65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267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70</v>
      </c>
      <c r="Q155" s="647"/>
      <c r="R155" s="647"/>
      <c r="S155" s="647"/>
      <c r="T155" s="647"/>
      <c r="U155" s="647"/>
      <c r="V155" s="648"/>
      <c r="W155" s="37" t="s">
        <v>71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70</v>
      </c>
      <c r="Q156" s="647"/>
      <c r="R156" s="647"/>
      <c r="S156" s="647"/>
      <c r="T156" s="647"/>
      <c r="U156" s="647"/>
      <c r="V156" s="648"/>
      <c r="W156" s="37" t="s">
        <v>65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5" t="s">
        <v>269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270</v>
      </c>
      <c r="B158" s="54" t="s">
        <v>271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272</v>
      </c>
      <c r="L158" s="32"/>
      <c r="M158" s="33" t="s">
        <v>273</v>
      </c>
      <c r="N158" s="33"/>
      <c r="O158" s="32">
        <v>120</v>
      </c>
      <c r="P158" s="71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65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274</v>
      </c>
      <c r="AG158" s="64"/>
      <c r="AJ158" s="68"/>
      <c r="AK158" s="68">
        <v>0</v>
      </c>
      <c r="BB158" s="216" t="s">
        <v>275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70</v>
      </c>
      <c r="Q159" s="647"/>
      <c r="R159" s="647"/>
      <c r="S159" s="647"/>
      <c r="T159" s="647"/>
      <c r="U159" s="647"/>
      <c r="V159" s="648"/>
      <c r="W159" s="37" t="s">
        <v>71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70</v>
      </c>
      <c r="Q160" s="647"/>
      <c r="R160" s="647"/>
      <c r="S160" s="647"/>
      <c r="T160" s="647"/>
      <c r="U160" s="647"/>
      <c r="V160" s="648"/>
      <c r="W160" s="37" t="s">
        <v>65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49" t="s">
        <v>109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5" t="s">
        <v>111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276</v>
      </c>
      <c r="B163" s="54" t="s">
        <v>277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65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278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279</v>
      </c>
      <c r="B164" s="54" t="s">
        <v>280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65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282</v>
      </c>
      <c r="B165" s="54" t="s">
        <v>283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75</v>
      </c>
      <c r="L165" s="32"/>
      <c r="M165" s="33" t="s">
        <v>76</v>
      </c>
      <c r="N165" s="33"/>
      <c r="O165" s="32">
        <v>55</v>
      </c>
      <c r="P165" s="6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65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70</v>
      </c>
      <c r="Q166" s="647"/>
      <c r="R166" s="647"/>
      <c r="S166" s="647"/>
      <c r="T166" s="647"/>
      <c r="U166" s="647"/>
      <c r="V166" s="648"/>
      <c r="W166" s="37" t="s">
        <v>71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70</v>
      </c>
      <c r="Q167" s="647"/>
      <c r="R167" s="647"/>
      <c r="S167" s="647"/>
      <c r="T167" s="647"/>
      <c r="U167" s="647"/>
      <c r="V167" s="648"/>
      <c r="W167" s="37" t="s">
        <v>65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5" t="s">
        <v>144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285</v>
      </c>
      <c r="B169" s="54" t="s">
        <v>286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63</v>
      </c>
      <c r="L169" s="32"/>
      <c r="M169" s="33" t="s">
        <v>64</v>
      </c>
      <c r="N169" s="33"/>
      <c r="O169" s="32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65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287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288</v>
      </c>
      <c r="B170" s="54" t="s">
        <v>289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63</v>
      </c>
      <c r="L170" s="32"/>
      <c r="M170" s="33" t="s">
        <v>115</v>
      </c>
      <c r="N170" s="33"/>
      <c r="O170" s="32">
        <v>55</v>
      </c>
      <c r="P170" s="6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65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70</v>
      </c>
      <c r="Q171" s="647"/>
      <c r="R171" s="647"/>
      <c r="S171" s="647"/>
      <c r="T171" s="647"/>
      <c r="U171" s="647"/>
      <c r="V171" s="648"/>
      <c r="W171" s="37" t="s">
        <v>71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70</v>
      </c>
      <c r="Q172" s="647"/>
      <c r="R172" s="647"/>
      <c r="S172" s="647"/>
      <c r="T172" s="647"/>
      <c r="U172" s="647"/>
      <c r="V172" s="648"/>
      <c r="W172" s="37" t="s">
        <v>65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5" t="s">
        <v>60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291</v>
      </c>
      <c r="B174" s="54" t="s">
        <v>292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123</v>
      </c>
      <c r="L174" s="32"/>
      <c r="M174" s="33" t="s">
        <v>64</v>
      </c>
      <c r="N174" s="33"/>
      <c r="O174" s="32">
        <v>40</v>
      </c>
      <c r="P174" s="9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65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293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123</v>
      </c>
      <c r="L175" s="32"/>
      <c r="M175" s="33" t="s">
        <v>64</v>
      </c>
      <c r="N175" s="33"/>
      <c r="O175" s="32">
        <v>45</v>
      </c>
      <c r="P175" s="89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65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123</v>
      </c>
      <c r="L176" s="32"/>
      <c r="M176" s="33" t="s">
        <v>64</v>
      </c>
      <c r="N176" s="33"/>
      <c r="O176" s="32">
        <v>40</v>
      </c>
      <c r="P176" s="92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65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123</v>
      </c>
      <c r="L177" s="32"/>
      <c r="M177" s="33" t="s">
        <v>64</v>
      </c>
      <c r="N177" s="33"/>
      <c r="O177" s="32">
        <v>40</v>
      </c>
      <c r="P177" s="89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65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119</v>
      </c>
      <c r="L178" s="32"/>
      <c r="M178" s="33" t="s">
        <v>64</v>
      </c>
      <c r="N178" s="33"/>
      <c r="O178" s="32">
        <v>45</v>
      </c>
      <c r="P178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65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63</v>
      </c>
      <c r="L179" s="32"/>
      <c r="M179" s="33" t="s">
        <v>64</v>
      </c>
      <c r="N179" s="33"/>
      <c r="O179" s="32">
        <v>40</v>
      </c>
      <c r="P179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65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293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119</v>
      </c>
      <c r="L180" s="32"/>
      <c r="M180" s="33" t="s">
        <v>64</v>
      </c>
      <c r="N180" s="33"/>
      <c r="O180" s="32">
        <v>45</v>
      </c>
      <c r="P180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65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310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308</v>
      </c>
      <c r="B181" s="54" t="s">
        <v>311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119</v>
      </c>
      <c r="L181" s="32"/>
      <c r="M181" s="33" t="s">
        <v>64</v>
      </c>
      <c r="N181" s="33"/>
      <c r="O181" s="32">
        <v>45</v>
      </c>
      <c r="P181" s="9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65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310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63</v>
      </c>
      <c r="L182" s="32"/>
      <c r="M182" s="33" t="s">
        <v>64</v>
      </c>
      <c r="N182" s="33"/>
      <c r="O182" s="32">
        <v>40</v>
      </c>
      <c r="P182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65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119</v>
      </c>
      <c r="L183" s="32"/>
      <c r="M183" s="33" t="s">
        <v>64</v>
      </c>
      <c r="N183" s="33"/>
      <c r="O183" s="32">
        <v>45</v>
      </c>
      <c r="P183" s="9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65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63</v>
      </c>
      <c r="L184" s="32"/>
      <c r="M184" s="33" t="s">
        <v>64</v>
      </c>
      <c r="N184" s="33"/>
      <c r="O184" s="32">
        <v>45</v>
      </c>
      <c r="P184" s="7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65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70</v>
      </c>
      <c r="Q185" s="647"/>
      <c r="R185" s="647"/>
      <c r="S185" s="647"/>
      <c r="T185" s="647"/>
      <c r="U185" s="647"/>
      <c r="V185" s="648"/>
      <c r="W185" s="37" t="s">
        <v>71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70</v>
      </c>
      <c r="Q186" s="647"/>
      <c r="R186" s="647"/>
      <c r="S186" s="647"/>
      <c r="T186" s="647"/>
      <c r="U186" s="647"/>
      <c r="V186" s="648"/>
      <c r="W186" s="37" t="s">
        <v>65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5" t="s">
        <v>72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320</v>
      </c>
      <c r="B188" s="54" t="s">
        <v>321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75</v>
      </c>
      <c r="L188" s="32"/>
      <c r="M188" s="33" t="s">
        <v>82</v>
      </c>
      <c r="N188" s="33"/>
      <c r="O188" s="32">
        <v>40</v>
      </c>
      <c r="P188" s="8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65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322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323</v>
      </c>
      <c r="B189" s="54" t="s">
        <v>324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75</v>
      </c>
      <c r="L189" s="32"/>
      <c r="M189" s="33" t="s">
        <v>82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65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325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326</v>
      </c>
      <c r="B190" s="54" t="s">
        <v>327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75</v>
      </c>
      <c r="L190" s="32"/>
      <c r="M190" s="33" t="s">
        <v>76</v>
      </c>
      <c r="N190" s="33"/>
      <c r="O190" s="32">
        <v>45</v>
      </c>
      <c r="P190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65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328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70</v>
      </c>
      <c r="Q191" s="647"/>
      <c r="R191" s="647"/>
      <c r="S191" s="647"/>
      <c r="T191" s="647"/>
      <c r="U191" s="647"/>
      <c r="V191" s="648"/>
      <c r="W191" s="37" t="s">
        <v>71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70</v>
      </c>
      <c r="Q192" s="647"/>
      <c r="R192" s="647"/>
      <c r="S192" s="647"/>
      <c r="T192" s="647"/>
      <c r="U192" s="647"/>
      <c r="V192" s="648"/>
      <c r="W192" s="37" t="s">
        <v>65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5" t="s">
        <v>269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329</v>
      </c>
      <c r="B194" s="54" t="s">
        <v>330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331</v>
      </c>
      <c r="L194" s="32"/>
      <c r="M194" s="33" t="s">
        <v>273</v>
      </c>
      <c r="N194" s="33"/>
      <c r="O194" s="32">
        <v>60</v>
      </c>
      <c r="P194" s="7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65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70</v>
      </c>
      <c r="Q195" s="647"/>
      <c r="R195" s="647"/>
      <c r="S195" s="647"/>
      <c r="T195" s="647"/>
      <c r="U195" s="647"/>
      <c r="V195" s="648"/>
      <c r="W195" s="37" t="s">
        <v>71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70</v>
      </c>
      <c r="Q196" s="647"/>
      <c r="R196" s="647"/>
      <c r="S196" s="647"/>
      <c r="T196" s="647"/>
      <c r="U196" s="647"/>
      <c r="V196" s="648"/>
      <c r="W196" s="37" t="s">
        <v>65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5" t="s">
        <v>333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334</v>
      </c>
      <c r="B198" s="54" t="s">
        <v>335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331</v>
      </c>
      <c r="L198" s="32"/>
      <c r="M198" s="33" t="s">
        <v>273</v>
      </c>
      <c r="N198" s="33"/>
      <c r="O198" s="32">
        <v>60</v>
      </c>
      <c r="P198" s="93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65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336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70</v>
      </c>
      <c r="Q199" s="647"/>
      <c r="R199" s="647"/>
      <c r="S199" s="647"/>
      <c r="T199" s="647"/>
      <c r="U199" s="647"/>
      <c r="V199" s="648"/>
      <c r="W199" s="37" t="s">
        <v>71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70</v>
      </c>
      <c r="Q200" s="647"/>
      <c r="R200" s="647"/>
      <c r="S200" s="647"/>
      <c r="T200" s="647"/>
      <c r="U200" s="647"/>
      <c r="V200" s="648"/>
      <c r="W200" s="37" t="s">
        <v>65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1" t="s">
        <v>337</v>
      </c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2"/>
      <c r="P201" s="652"/>
      <c r="Q201" s="652"/>
      <c r="R201" s="652"/>
      <c r="S201" s="652"/>
      <c r="T201" s="652"/>
      <c r="U201" s="652"/>
      <c r="V201" s="652"/>
      <c r="W201" s="652"/>
      <c r="X201" s="652"/>
      <c r="Y201" s="652"/>
      <c r="Z201" s="652"/>
      <c r="AA201" s="48"/>
      <c r="AB201" s="48"/>
      <c r="AC201" s="48"/>
    </row>
    <row r="202" spans="1:68" ht="16.5" hidden="1" customHeight="1" x14ac:dyDescent="0.25">
      <c r="A202" s="649" t="s">
        <v>338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5" t="s">
        <v>111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339</v>
      </c>
      <c r="B204" s="54" t="s">
        <v>340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114</v>
      </c>
      <c r="L204" s="32"/>
      <c r="M204" s="33" t="s">
        <v>76</v>
      </c>
      <c r="N204" s="33"/>
      <c r="O204" s="32">
        <v>35</v>
      </c>
      <c r="P204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65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116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114</v>
      </c>
      <c r="L205" s="32"/>
      <c r="M205" s="33" t="s">
        <v>76</v>
      </c>
      <c r="N205" s="33"/>
      <c r="O205" s="32">
        <v>35</v>
      </c>
      <c r="P205" s="7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65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343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114</v>
      </c>
      <c r="L206" s="32"/>
      <c r="M206" s="33" t="s">
        <v>76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65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346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114</v>
      </c>
      <c r="L207" s="32"/>
      <c r="M207" s="33" t="s">
        <v>76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65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349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350</v>
      </c>
      <c r="B208" s="54" t="s">
        <v>351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114</v>
      </c>
      <c r="L208" s="32"/>
      <c r="M208" s="33" t="s">
        <v>76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65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352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353</v>
      </c>
      <c r="B209" s="54" t="s">
        <v>354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114</v>
      </c>
      <c r="L209" s="32"/>
      <c r="M209" s="33" t="s">
        <v>76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65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355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356</v>
      </c>
      <c r="B210" s="54" t="s">
        <v>357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114</v>
      </c>
      <c r="L210" s="32"/>
      <c r="M210" s="33" t="s">
        <v>76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65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358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70</v>
      </c>
      <c r="Q211" s="647"/>
      <c r="R211" s="647"/>
      <c r="S211" s="647"/>
      <c r="T211" s="647"/>
      <c r="U211" s="647"/>
      <c r="V211" s="648"/>
      <c r="W211" s="37" t="s">
        <v>71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70</v>
      </c>
      <c r="Q212" s="647"/>
      <c r="R212" s="647"/>
      <c r="S212" s="647"/>
      <c r="T212" s="647"/>
      <c r="U212" s="647"/>
      <c r="V212" s="648"/>
      <c r="W212" s="37" t="s">
        <v>65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49" t="s">
        <v>359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5" t="s">
        <v>144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360</v>
      </c>
      <c r="B215" s="54" t="s">
        <v>361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63</v>
      </c>
      <c r="L215" s="32"/>
      <c r="M215" s="33" t="s">
        <v>64</v>
      </c>
      <c r="N215" s="33"/>
      <c r="O215" s="32">
        <v>40</v>
      </c>
      <c r="P215" s="6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65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362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70</v>
      </c>
      <c r="Q216" s="647"/>
      <c r="R216" s="647"/>
      <c r="S216" s="647"/>
      <c r="T216" s="647"/>
      <c r="U216" s="647"/>
      <c r="V216" s="648"/>
      <c r="W216" s="37" t="s">
        <v>71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70</v>
      </c>
      <c r="Q217" s="647"/>
      <c r="R217" s="647"/>
      <c r="S217" s="647"/>
      <c r="T217" s="647"/>
      <c r="U217" s="647"/>
      <c r="V217" s="648"/>
      <c r="W217" s="37" t="s">
        <v>65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5" t="s">
        <v>60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363</v>
      </c>
      <c r="B219" s="54" t="s">
        <v>364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123</v>
      </c>
      <c r="L219" s="32"/>
      <c r="M219" s="33" t="s">
        <v>64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65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365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123</v>
      </c>
      <c r="L220" s="32"/>
      <c r="M220" s="33" t="s">
        <v>64</v>
      </c>
      <c r="N220" s="33"/>
      <c r="O220" s="32">
        <v>40</v>
      </c>
      <c r="P220" s="6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65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123</v>
      </c>
      <c r="L221" s="32"/>
      <c r="M221" s="33" t="s">
        <v>64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65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371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372</v>
      </c>
      <c r="B222" s="54" t="s">
        <v>373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63</v>
      </c>
      <c r="L222" s="32"/>
      <c r="M222" s="33" t="s">
        <v>64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65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374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63</v>
      </c>
      <c r="L223" s="32"/>
      <c r="M223" s="33" t="s">
        <v>64</v>
      </c>
      <c r="N223" s="33"/>
      <c r="O223" s="32">
        <v>40</v>
      </c>
      <c r="P223" s="7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65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365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377</v>
      </c>
      <c r="B224" s="54" t="s">
        <v>378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63</v>
      </c>
      <c r="L224" s="32"/>
      <c r="M224" s="33" t="s">
        <v>64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65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63</v>
      </c>
      <c r="L225" s="32"/>
      <c r="M225" s="33" t="s">
        <v>64</v>
      </c>
      <c r="N225" s="33"/>
      <c r="O225" s="32">
        <v>40</v>
      </c>
      <c r="P225" s="8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65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368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63</v>
      </c>
      <c r="L226" s="32"/>
      <c r="M226" s="33" t="s">
        <v>64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65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63</v>
      </c>
      <c r="L227" s="32"/>
      <c r="M227" s="33" t="s">
        <v>64</v>
      </c>
      <c r="N227" s="33"/>
      <c r="O227" s="32">
        <v>45</v>
      </c>
      <c r="P227" s="8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65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387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388</v>
      </c>
      <c r="B228" s="54" t="s">
        <v>389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63</v>
      </c>
      <c r="L228" s="32"/>
      <c r="M228" s="33" t="s">
        <v>64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65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390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391</v>
      </c>
      <c r="B229" s="54" t="s">
        <v>392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119</v>
      </c>
      <c r="L229" s="32"/>
      <c r="M229" s="33" t="s">
        <v>64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65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393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394</v>
      </c>
      <c r="B230" s="54" t="s">
        <v>395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63</v>
      </c>
      <c r="L230" s="32"/>
      <c r="M230" s="33" t="s">
        <v>64</v>
      </c>
      <c r="N230" s="33"/>
      <c r="O230" s="32">
        <v>40</v>
      </c>
      <c r="P230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65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371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75</v>
      </c>
      <c r="L231" s="32"/>
      <c r="M231" s="33" t="s">
        <v>64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65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371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63</v>
      </c>
      <c r="L232" s="32"/>
      <c r="M232" s="33" t="s">
        <v>64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65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400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70</v>
      </c>
      <c r="Q233" s="647"/>
      <c r="R233" s="647"/>
      <c r="S233" s="647"/>
      <c r="T233" s="647"/>
      <c r="U233" s="647"/>
      <c r="V233" s="648"/>
      <c r="W233" s="37" t="s">
        <v>71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70</v>
      </c>
      <c r="Q234" s="647"/>
      <c r="R234" s="647"/>
      <c r="S234" s="647"/>
      <c r="T234" s="647"/>
      <c r="U234" s="647"/>
      <c r="V234" s="648"/>
      <c r="W234" s="37" t="s">
        <v>65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5" t="s">
        <v>72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401</v>
      </c>
      <c r="B236" s="54" t="s">
        <v>402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114</v>
      </c>
      <c r="L236" s="32"/>
      <c r="M236" s="33" t="s">
        <v>82</v>
      </c>
      <c r="N236" s="33"/>
      <c r="O236" s="32">
        <v>35</v>
      </c>
      <c r="P236" s="69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65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403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114</v>
      </c>
      <c r="L237" s="32"/>
      <c r="M237" s="33" t="s">
        <v>82</v>
      </c>
      <c r="N237" s="33"/>
      <c r="O237" s="32">
        <v>35</v>
      </c>
      <c r="P237" s="71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65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406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123</v>
      </c>
      <c r="L238" s="32"/>
      <c r="M238" s="33" t="s">
        <v>82</v>
      </c>
      <c r="N238" s="33"/>
      <c r="O238" s="32">
        <v>35</v>
      </c>
      <c r="P238" s="84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65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409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123</v>
      </c>
      <c r="L239" s="32"/>
      <c r="M239" s="33" t="s">
        <v>82</v>
      </c>
      <c r="N239" s="33"/>
      <c r="O239" s="32">
        <v>35</v>
      </c>
      <c r="P239" s="79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65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412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123</v>
      </c>
      <c r="L240" s="32"/>
      <c r="M240" s="33" t="s">
        <v>82</v>
      </c>
      <c r="N240" s="33"/>
      <c r="O240" s="32">
        <v>35</v>
      </c>
      <c r="P240" s="7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65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70</v>
      </c>
      <c r="Q241" s="647"/>
      <c r="R241" s="647"/>
      <c r="S241" s="647"/>
      <c r="T241" s="647"/>
      <c r="U241" s="647"/>
      <c r="V241" s="648"/>
      <c r="W241" s="37" t="s">
        <v>71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70</v>
      </c>
      <c r="Q242" s="647"/>
      <c r="R242" s="647"/>
      <c r="S242" s="647"/>
      <c r="T242" s="647"/>
      <c r="U242" s="647"/>
      <c r="V242" s="648"/>
      <c r="W242" s="37" t="s">
        <v>65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5" t="s">
        <v>269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415</v>
      </c>
      <c r="B244" s="54" t="s">
        <v>416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331</v>
      </c>
      <c r="L244" s="32"/>
      <c r="M244" s="33" t="s">
        <v>273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65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417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418</v>
      </c>
      <c r="B245" s="54" t="s">
        <v>419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331</v>
      </c>
      <c r="L245" s="32"/>
      <c r="M245" s="33" t="s">
        <v>273</v>
      </c>
      <c r="N245" s="33"/>
      <c r="O245" s="32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65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420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331</v>
      </c>
      <c r="L246" s="32"/>
      <c r="M246" s="33" t="s">
        <v>273</v>
      </c>
      <c r="N246" s="33"/>
      <c r="O246" s="32">
        <v>90</v>
      </c>
      <c r="P246" s="7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65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420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70</v>
      </c>
      <c r="Q247" s="647"/>
      <c r="R247" s="647"/>
      <c r="S247" s="647"/>
      <c r="T247" s="647"/>
      <c r="U247" s="647"/>
      <c r="V247" s="648"/>
      <c r="W247" s="37" t="s">
        <v>71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70</v>
      </c>
      <c r="Q248" s="647"/>
      <c r="R248" s="647"/>
      <c r="S248" s="647"/>
      <c r="T248" s="647"/>
      <c r="U248" s="647"/>
      <c r="V248" s="648"/>
      <c r="W248" s="37" t="s">
        <v>65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5" t="s">
        <v>423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424</v>
      </c>
      <c r="B250" s="54" t="s">
        <v>425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331</v>
      </c>
      <c r="L250" s="32"/>
      <c r="M250" s="33" t="s">
        <v>273</v>
      </c>
      <c r="N250" s="33"/>
      <c r="O250" s="32">
        <v>90</v>
      </c>
      <c r="P250" s="7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65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70</v>
      </c>
      <c r="Q251" s="647"/>
      <c r="R251" s="647"/>
      <c r="S251" s="647"/>
      <c r="T251" s="647"/>
      <c r="U251" s="647"/>
      <c r="V251" s="648"/>
      <c r="W251" s="37" t="s">
        <v>71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70</v>
      </c>
      <c r="Q252" s="647"/>
      <c r="R252" s="647"/>
      <c r="S252" s="647"/>
      <c r="T252" s="647"/>
      <c r="U252" s="647"/>
      <c r="V252" s="648"/>
      <c r="W252" s="37" t="s">
        <v>65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49" t="s">
        <v>426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5" t="s">
        <v>111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427</v>
      </c>
      <c r="B255" s="54" t="s">
        <v>428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114</v>
      </c>
      <c r="L255" s="32"/>
      <c r="M255" s="33" t="s">
        <v>115</v>
      </c>
      <c r="N255" s="33"/>
      <c r="O255" s="32">
        <v>55</v>
      </c>
      <c r="P255" s="7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65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429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430</v>
      </c>
      <c r="B256" s="54" t="s">
        <v>431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75</v>
      </c>
      <c r="L256" s="32"/>
      <c r="M256" s="33" t="s">
        <v>115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65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429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70</v>
      </c>
      <c r="Q257" s="647"/>
      <c r="R257" s="647"/>
      <c r="S257" s="647"/>
      <c r="T257" s="647"/>
      <c r="U257" s="647"/>
      <c r="V257" s="648"/>
      <c r="W257" s="37" t="s">
        <v>71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70</v>
      </c>
      <c r="Q258" s="647"/>
      <c r="R258" s="647"/>
      <c r="S258" s="647"/>
      <c r="T258" s="647"/>
      <c r="U258" s="647"/>
      <c r="V258" s="648"/>
      <c r="W258" s="37" t="s">
        <v>65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5" t="s">
        <v>144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432</v>
      </c>
      <c r="B260" s="54" t="s">
        <v>433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114</v>
      </c>
      <c r="L260" s="32"/>
      <c r="M260" s="33" t="s">
        <v>115</v>
      </c>
      <c r="N260" s="33"/>
      <c r="O260" s="32">
        <v>50</v>
      </c>
      <c r="P260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65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434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435</v>
      </c>
      <c r="B261" s="54" t="s">
        <v>436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75</v>
      </c>
      <c r="L261" s="32"/>
      <c r="M261" s="33" t="s">
        <v>115</v>
      </c>
      <c r="N261" s="33"/>
      <c r="O261" s="32">
        <v>50</v>
      </c>
      <c r="P261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65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434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70</v>
      </c>
      <c r="Q262" s="647"/>
      <c r="R262" s="647"/>
      <c r="S262" s="647"/>
      <c r="T262" s="647"/>
      <c r="U262" s="647"/>
      <c r="V262" s="648"/>
      <c r="W262" s="37" t="s">
        <v>71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70</v>
      </c>
      <c r="Q263" s="647"/>
      <c r="R263" s="647"/>
      <c r="S263" s="647"/>
      <c r="T263" s="647"/>
      <c r="U263" s="647"/>
      <c r="V263" s="648"/>
      <c r="W263" s="37" t="s">
        <v>65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5" t="s">
        <v>60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437</v>
      </c>
      <c r="B265" s="54" t="s">
        <v>438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123</v>
      </c>
      <c r="L265" s="32"/>
      <c r="M265" s="33" t="s">
        <v>64</v>
      </c>
      <c r="N265" s="33"/>
      <c r="O265" s="32">
        <v>40</v>
      </c>
      <c r="P265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65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439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440</v>
      </c>
      <c r="B266" s="54" t="s">
        <v>441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123</v>
      </c>
      <c r="L266" s="32"/>
      <c r="M266" s="33" t="s">
        <v>64</v>
      </c>
      <c r="N266" s="33"/>
      <c r="O266" s="32">
        <v>40</v>
      </c>
      <c r="P266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65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442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443</v>
      </c>
      <c r="B267" s="54" t="s">
        <v>444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123</v>
      </c>
      <c r="L267" s="32"/>
      <c r="M267" s="33" t="s">
        <v>64</v>
      </c>
      <c r="N267" s="33"/>
      <c r="O267" s="32">
        <v>40</v>
      </c>
      <c r="P267" s="8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65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445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123</v>
      </c>
      <c r="L268" s="32"/>
      <c r="M268" s="33" t="s">
        <v>64</v>
      </c>
      <c r="N268" s="33"/>
      <c r="O268" s="32">
        <v>40</v>
      </c>
      <c r="P268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65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448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63</v>
      </c>
      <c r="L269" s="32"/>
      <c r="M269" s="33" t="s">
        <v>64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65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439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63</v>
      </c>
      <c r="L270" s="32"/>
      <c r="M270" s="33" t="s">
        <v>64</v>
      </c>
      <c r="N270" s="33"/>
      <c r="O270" s="32">
        <v>40</v>
      </c>
      <c r="P270" s="9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65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442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63</v>
      </c>
      <c r="L271" s="32"/>
      <c r="M271" s="33" t="s">
        <v>64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65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445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63</v>
      </c>
      <c r="L272" s="32"/>
      <c r="M272" s="33" t="s">
        <v>64</v>
      </c>
      <c r="N272" s="33"/>
      <c r="O272" s="32">
        <v>40</v>
      </c>
      <c r="P27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65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448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70</v>
      </c>
      <c r="Q273" s="647"/>
      <c r="R273" s="647"/>
      <c r="S273" s="647"/>
      <c r="T273" s="647"/>
      <c r="U273" s="647"/>
      <c r="V273" s="648"/>
      <c r="W273" s="37" t="s">
        <v>71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70</v>
      </c>
      <c r="Q274" s="647"/>
      <c r="R274" s="647"/>
      <c r="S274" s="647"/>
      <c r="T274" s="647"/>
      <c r="U274" s="647"/>
      <c r="V274" s="648"/>
      <c r="W274" s="37" t="s">
        <v>65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5" t="s">
        <v>72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457</v>
      </c>
      <c r="B276" s="54" t="s">
        <v>458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114</v>
      </c>
      <c r="L276" s="32"/>
      <c r="M276" s="33" t="s">
        <v>76</v>
      </c>
      <c r="N276" s="33"/>
      <c r="O276" s="32">
        <v>40</v>
      </c>
      <c r="P276" s="9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65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459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460</v>
      </c>
      <c r="B277" s="54" t="s">
        <v>461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114</v>
      </c>
      <c r="L277" s="32"/>
      <c r="M277" s="33" t="s">
        <v>76</v>
      </c>
      <c r="N277" s="33"/>
      <c r="O277" s="32">
        <v>40</v>
      </c>
      <c r="P27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65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114</v>
      </c>
      <c r="L278" s="32"/>
      <c r="M278" s="33" t="s">
        <v>76</v>
      </c>
      <c r="N278" s="33"/>
      <c r="O278" s="32">
        <v>45</v>
      </c>
      <c r="P278" s="9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65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465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75</v>
      </c>
      <c r="L279" s="32"/>
      <c r="M279" s="33" t="s">
        <v>76</v>
      </c>
      <c r="N279" s="33"/>
      <c r="O279" s="32">
        <v>40</v>
      </c>
      <c r="P279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65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459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75</v>
      </c>
      <c r="L280" s="32"/>
      <c r="M280" s="33" t="s">
        <v>82</v>
      </c>
      <c r="N280" s="33"/>
      <c r="O280" s="32">
        <v>45</v>
      </c>
      <c r="P280" s="7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65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465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123</v>
      </c>
      <c r="L281" s="32"/>
      <c r="M281" s="33" t="s">
        <v>76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65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472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75</v>
      </c>
      <c r="L282" s="32"/>
      <c r="M282" s="33" t="s">
        <v>76</v>
      </c>
      <c r="N282" s="33"/>
      <c r="O282" s="32">
        <v>45</v>
      </c>
      <c r="P282" s="9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65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465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114</v>
      </c>
      <c r="L283" s="32"/>
      <c r="M283" s="33" t="s">
        <v>76</v>
      </c>
      <c r="N283" s="33"/>
      <c r="O283" s="32">
        <v>45</v>
      </c>
      <c r="P283" s="81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65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472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75</v>
      </c>
      <c r="L284" s="32"/>
      <c r="M284" s="33" t="s">
        <v>76</v>
      </c>
      <c r="N284" s="33"/>
      <c r="O284" s="32">
        <v>45</v>
      </c>
      <c r="P284" s="7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65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465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75</v>
      </c>
      <c r="L285" s="32"/>
      <c r="M285" s="33" t="s">
        <v>82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65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481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75</v>
      </c>
      <c r="L286" s="32"/>
      <c r="M286" s="33" t="s">
        <v>76</v>
      </c>
      <c r="N286" s="33"/>
      <c r="O286" s="32">
        <v>40</v>
      </c>
      <c r="P286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65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484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75</v>
      </c>
      <c r="L287" s="32"/>
      <c r="M287" s="33" t="s">
        <v>76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65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487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70</v>
      </c>
      <c r="Q288" s="647"/>
      <c r="R288" s="647"/>
      <c r="S288" s="647"/>
      <c r="T288" s="647"/>
      <c r="U288" s="647"/>
      <c r="V288" s="648"/>
      <c r="W288" s="37" t="s">
        <v>71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70</v>
      </c>
      <c r="Q289" s="647"/>
      <c r="R289" s="647"/>
      <c r="S289" s="647"/>
      <c r="T289" s="647"/>
      <c r="U289" s="647"/>
      <c r="V289" s="648"/>
      <c r="W289" s="37" t="s">
        <v>65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5" t="s">
        <v>161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488</v>
      </c>
      <c r="B291" s="54" t="s">
        <v>489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75</v>
      </c>
      <c r="L291" s="32"/>
      <c r="M291" s="33" t="s">
        <v>82</v>
      </c>
      <c r="N291" s="33"/>
      <c r="O291" s="32">
        <v>40</v>
      </c>
      <c r="P291" s="9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65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490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75</v>
      </c>
      <c r="L292" s="32"/>
      <c r="M292" s="33" t="s">
        <v>76</v>
      </c>
      <c r="N292" s="33"/>
      <c r="O292" s="32">
        <v>40</v>
      </c>
      <c r="P292" s="9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65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493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70</v>
      </c>
      <c r="Q293" s="647"/>
      <c r="R293" s="647"/>
      <c r="S293" s="647"/>
      <c r="T293" s="647"/>
      <c r="U293" s="647"/>
      <c r="V293" s="648"/>
      <c r="W293" s="37" t="s">
        <v>71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70</v>
      </c>
      <c r="Q294" s="647"/>
      <c r="R294" s="647"/>
      <c r="S294" s="647"/>
      <c r="T294" s="647"/>
      <c r="U294" s="647"/>
      <c r="V294" s="648"/>
      <c r="W294" s="37" t="s">
        <v>65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49" t="s">
        <v>494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5" t="s">
        <v>111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495</v>
      </c>
      <c r="B297" s="54" t="s">
        <v>496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114</v>
      </c>
      <c r="L297" s="32"/>
      <c r="M297" s="33" t="s">
        <v>115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65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497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498</v>
      </c>
      <c r="B298" s="54" t="s">
        <v>499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65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500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65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355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123</v>
      </c>
      <c r="L300" s="32"/>
      <c r="M300" s="33" t="s">
        <v>115</v>
      </c>
      <c r="N300" s="33"/>
      <c r="O300" s="32">
        <v>55</v>
      </c>
      <c r="P300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65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497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65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507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75</v>
      </c>
      <c r="L302" s="32"/>
      <c r="M302" s="33" t="s">
        <v>115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65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510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65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355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70</v>
      </c>
      <c r="Q304" s="647"/>
      <c r="R304" s="647"/>
      <c r="S304" s="647"/>
      <c r="T304" s="647"/>
      <c r="U304" s="647"/>
      <c r="V304" s="648"/>
      <c r="W304" s="37" t="s">
        <v>71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70</v>
      </c>
      <c r="Q305" s="647"/>
      <c r="R305" s="647"/>
      <c r="S305" s="647"/>
      <c r="T305" s="647"/>
      <c r="U305" s="647"/>
      <c r="V305" s="648"/>
      <c r="W305" s="37" t="s">
        <v>65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5" t="s">
        <v>144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513</v>
      </c>
      <c r="B307" s="54" t="s">
        <v>514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63</v>
      </c>
      <c r="L307" s="32"/>
      <c r="M307" s="33" t="s">
        <v>76</v>
      </c>
      <c r="N307" s="33"/>
      <c r="O307" s="32">
        <v>50</v>
      </c>
      <c r="P307" s="9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65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515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70</v>
      </c>
      <c r="Q308" s="647"/>
      <c r="R308" s="647"/>
      <c r="S308" s="647"/>
      <c r="T308" s="647"/>
      <c r="U308" s="647"/>
      <c r="V308" s="648"/>
      <c r="W308" s="37" t="s">
        <v>71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70</v>
      </c>
      <c r="Q309" s="647"/>
      <c r="R309" s="647"/>
      <c r="S309" s="647"/>
      <c r="T309" s="647"/>
      <c r="U309" s="647"/>
      <c r="V309" s="648"/>
      <c r="W309" s="37" t="s">
        <v>65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5" t="s">
        <v>516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517</v>
      </c>
      <c r="B311" s="54" t="s">
        <v>518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331</v>
      </c>
      <c r="L311" s="32"/>
      <c r="M311" s="33" t="s">
        <v>273</v>
      </c>
      <c r="N311" s="33"/>
      <c r="O311" s="32">
        <v>45</v>
      </c>
      <c r="P311" s="8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65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519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70</v>
      </c>
      <c r="Q312" s="647"/>
      <c r="R312" s="647"/>
      <c r="S312" s="647"/>
      <c r="T312" s="647"/>
      <c r="U312" s="647"/>
      <c r="V312" s="648"/>
      <c r="W312" s="37" t="s">
        <v>71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70</v>
      </c>
      <c r="Q313" s="647"/>
      <c r="R313" s="647"/>
      <c r="S313" s="647"/>
      <c r="T313" s="647"/>
      <c r="U313" s="647"/>
      <c r="V313" s="648"/>
      <c r="W313" s="37" t="s">
        <v>65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5" t="s">
        <v>333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520</v>
      </c>
      <c r="B315" s="54" t="s">
        <v>521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331</v>
      </c>
      <c r="L315" s="32"/>
      <c r="M315" s="33" t="s">
        <v>273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65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522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331</v>
      </c>
      <c r="L316" s="32"/>
      <c r="M316" s="33" t="s">
        <v>273</v>
      </c>
      <c r="N316" s="33"/>
      <c r="O316" s="32">
        <v>90</v>
      </c>
      <c r="P316" s="6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65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522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525</v>
      </c>
      <c r="B317" s="54" t="s">
        <v>526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331</v>
      </c>
      <c r="L317" s="32"/>
      <c r="M317" s="33" t="s">
        <v>273</v>
      </c>
      <c r="N317" s="33"/>
      <c r="O317" s="32">
        <v>90</v>
      </c>
      <c r="P317" s="9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65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522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70</v>
      </c>
      <c r="Q318" s="647"/>
      <c r="R318" s="647"/>
      <c r="S318" s="647"/>
      <c r="T318" s="647"/>
      <c r="U318" s="647"/>
      <c r="V318" s="648"/>
      <c r="W318" s="37" t="s">
        <v>71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70</v>
      </c>
      <c r="Q319" s="647"/>
      <c r="R319" s="647"/>
      <c r="S319" s="647"/>
      <c r="T319" s="647"/>
      <c r="U319" s="647"/>
      <c r="V319" s="648"/>
      <c r="W319" s="37" t="s">
        <v>65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49" t="s">
        <v>527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5" t="s">
        <v>111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528</v>
      </c>
      <c r="B322" s="54" t="s">
        <v>529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65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530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531</v>
      </c>
      <c r="B323" s="54" t="s">
        <v>532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65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533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534</v>
      </c>
      <c r="B324" s="54" t="s">
        <v>535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65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536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537</v>
      </c>
      <c r="B325" s="54" t="s">
        <v>538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65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539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540</v>
      </c>
      <c r="B326" s="54" t="s">
        <v>541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65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542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70</v>
      </c>
      <c r="Q327" s="647"/>
      <c r="R327" s="647"/>
      <c r="S327" s="647"/>
      <c r="T327" s="647"/>
      <c r="U327" s="647"/>
      <c r="V327" s="648"/>
      <c r="W327" s="37" t="s">
        <v>71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70</v>
      </c>
      <c r="Q328" s="647"/>
      <c r="R328" s="647"/>
      <c r="S328" s="647"/>
      <c r="T328" s="647"/>
      <c r="U328" s="647"/>
      <c r="V328" s="648"/>
      <c r="W328" s="37" t="s">
        <v>65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49" t="s">
        <v>543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5" t="s">
        <v>72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544</v>
      </c>
      <c r="B331" s="54" t="s">
        <v>545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75</v>
      </c>
      <c r="L331" s="32"/>
      <c r="M331" s="33" t="s">
        <v>76</v>
      </c>
      <c r="N331" s="33"/>
      <c r="O331" s="32">
        <v>45</v>
      </c>
      <c r="P331" s="7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65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546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75</v>
      </c>
      <c r="L332" s="32"/>
      <c r="M332" s="33" t="s">
        <v>82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65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549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550</v>
      </c>
      <c r="B333" s="54" t="s">
        <v>551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75</v>
      </c>
      <c r="L333" s="32"/>
      <c r="M333" s="33" t="s">
        <v>76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65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546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70</v>
      </c>
      <c r="Q334" s="647"/>
      <c r="R334" s="647"/>
      <c r="S334" s="647"/>
      <c r="T334" s="647"/>
      <c r="U334" s="647"/>
      <c r="V334" s="648"/>
      <c r="W334" s="37" t="s">
        <v>71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70</v>
      </c>
      <c r="Q335" s="647"/>
      <c r="R335" s="647"/>
      <c r="S335" s="647"/>
      <c r="T335" s="647"/>
      <c r="U335" s="647"/>
      <c r="V335" s="648"/>
      <c r="W335" s="37" t="s">
        <v>65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49" t="s">
        <v>552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5" t="s">
        <v>60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553</v>
      </c>
      <c r="B338" s="54" t="s">
        <v>554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63</v>
      </c>
      <c r="L338" s="32"/>
      <c r="M338" s="33" t="s">
        <v>64</v>
      </c>
      <c r="N338" s="33"/>
      <c r="O338" s="32">
        <v>45</v>
      </c>
      <c r="P338" s="9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65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387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555</v>
      </c>
      <c r="B339" s="54" t="s">
        <v>556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63</v>
      </c>
      <c r="L339" s="32"/>
      <c r="M339" s="33" t="s">
        <v>64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65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557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558</v>
      </c>
      <c r="B340" s="54" t="s">
        <v>559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63</v>
      </c>
      <c r="L340" s="32"/>
      <c r="M340" s="33" t="s">
        <v>64</v>
      </c>
      <c r="N340" s="33"/>
      <c r="O340" s="32">
        <v>40</v>
      </c>
      <c r="P340" s="7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65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560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561</v>
      </c>
      <c r="B341" s="54" t="s">
        <v>562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75</v>
      </c>
      <c r="L341" s="32"/>
      <c r="M341" s="33" t="s">
        <v>64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65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563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564</v>
      </c>
      <c r="B342" s="54" t="s">
        <v>565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63</v>
      </c>
      <c r="L342" s="32"/>
      <c r="M342" s="33" t="s">
        <v>64</v>
      </c>
      <c r="N342" s="33"/>
      <c r="O342" s="32">
        <v>40</v>
      </c>
      <c r="P342" s="9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65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566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70</v>
      </c>
      <c r="Q343" s="647"/>
      <c r="R343" s="647"/>
      <c r="S343" s="647"/>
      <c r="T343" s="647"/>
      <c r="U343" s="647"/>
      <c r="V343" s="648"/>
      <c r="W343" s="37" t="s">
        <v>71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70</v>
      </c>
      <c r="Q344" s="647"/>
      <c r="R344" s="647"/>
      <c r="S344" s="647"/>
      <c r="T344" s="647"/>
      <c r="U344" s="647"/>
      <c r="V344" s="648"/>
      <c r="W344" s="37" t="s">
        <v>65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5" t="s">
        <v>72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567</v>
      </c>
      <c r="B346" s="54" t="s">
        <v>568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123</v>
      </c>
      <c r="L346" s="32"/>
      <c r="M346" s="33" t="s">
        <v>76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65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569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123</v>
      </c>
      <c r="L347" s="32"/>
      <c r="M347" s="33" t="s">
        <v>76</v>
      </c>
      <c r="N347" s="33"/>
      <c r="O347" s="32">
        <v>45</v>
      </c>
      <c r="P347" s="94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65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572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70</v>
      </c>
      <c r="Q348" s="647"/>
      <c r="R348" s="647"/>
      <c r="S348" s="647"/>
      <c r="T348" s="647"/>
      <c r="U348" s="647"/>
      <c r="V348" s="648"/>
      <c r="W348" s="37" t="s">
        <v>71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70</v>
      </c>
      <c r="Q349" s="647"/>
      <c r="R349" s="647"/>
      <c r="S349" s="647"/>
      <c r="T349" s="647"/>
      <c r="U349" s="647"/>
      <c r="V349" s="648"/>
      <c r="W349" s="37" t="s">
        <v>65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49" t="s">
        <v>573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5" t="s">
        <v>111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574</v>
      </c>
      <c r="B352" s="54" t="s">
        <v>575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114</v>
      </c>
      <c r="L352" s="32"/>
      <c r="M352" s="33" t="s">
        <v>76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65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346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576</v>
      </c>
      <c r="B353" s="54" t="s">
        <v>577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114</v>
      </c>
      <c r="L353" s="32"/>
      <c r="M353" s="33" t="s">
        <v>76</v>
      </c>
      <c r="N353" s="33"/>
      <c r="O353" s="32">
        <v>60</v>
      </c>
      <c r="P353" s="7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65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578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579</v>
      </c>
      <c r="B354" s="54" t="s">
        <v>580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114</v>
      </c>
      <c r="L354" s="32"/>
      <c r="M354" s="33" t="s">
        <v>76</v>
      </c>
      <c r="N354" s="33"/>
      <c r="O354" s="32">
        <v>60</v>
      </c>
      <c r="P354" s="9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65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70</v>
      </c>
      <c r="Q355" s="647"/>
      <c r="R355" s="647"/>
      <c r="S355" s="647"/>
      <c r="T355" s="647"/>
      <c r="U355" s="647"/>
      <c r="V355" s="648"/>
      <c r="W355" s="37" t="s">
        <v>71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70</v>
      </c>
      <c r="Q356" s="647"/>
      <c r="R356" s="647"/>
      <c r="S356" s="647"/>
      <c r="T356" s="647"/>
      <c r="U356" s="647"/>
      <c r="V356" s="648"/>
      <c r="W356" s="37" t="s">
        <v>65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49" t="s">
        <v>582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5" t="s">
        <v>111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583</v>
      </c>
      <c r="B359" s="54" t="s">
        <v>584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1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65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585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586</v>
      </c>
      <c r="B360" s="54" t="s">
        <v>587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8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65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588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114</v>
      </c>
      <c r="L361" s="32"/>
      <c r="M361" s="33" t="s">
        <v>76</v>
      </c>
      <c r="N361" s="33"/>
      <c r="O361" s="32">
        <v>55</v>
      </c>
      <c r="P361" s="8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65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591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592</v>
      </c>
      <c r="B362" s="54" t="s">
        <v>593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123</v>
      </c>
      <c r="L362" s="32"/>
      <c r="M362" s="33" t="s">
        <v>115</v>
      </c>
      <c r="N362" s="33"/>
      <c r="O362" s="32">
        <v>55</v>
      </c>
      <c r="P362" s="94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65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585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123</v>
      </c>
      <c r="L363" s="32"/>
      <c r="M363" s="33" t="s">
        <v>115</v>
      </c>
      <c r="N363" s="33"/>
      <c r="O363" s="32">
        <v>55</v>
      </c>
      <c r="P363" s="9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65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70</v>
      </c>
      <c r="Q364" s="647"/>
      <c r="R364" s="647"/>
      <c r="S364" s="647"/>
      <c r="T364" s="647"/>
      <c r="U364" s="647"/>
      <c r="V364" s="648"/>
      <c r="W364" s="37" t="s">
        <v>71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70</v>
      </c>
      <c r="Q365" s="647"/>
      <c r="R365" s="647"/>
      <c r="S365" s="647"/>
      <c r="T365" s="647"/>
      <c r="U365" s="647"/>
      <c r="V365" s="648"/>
      <c r="W365" s="37" t="s">
        <v>65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5" t="s">
        <v>60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597</v>
      </c>
      <c r="B367" s="54" t="s">
        <v>598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123</v>
      </c>
      <c r="L367" s="32"/>
      <c r="M367" s="33" t="s">
        <v>64</v>
      </c>
      <c r="N367" s="33"/>
      <c r="O367" s="32">
        <v>35</v>
      </c>
      <c r="P367" s="9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65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599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123</v>
      </c>
      <c r="L368" s="32"/>
      <c r="M368" s="33" t="s">
        <v>64</v>
      </c>
      <c r="N368" s="33"/>
      <c r="O368" s="32">
        <v>40</v>
      </c>
      <c r="P368" s="9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65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602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603</v>
      </c>
      <c r="B369" s="54" t="s">
        <v>604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123</v>
      </c>
      <c r="L369" s="32"/>
      <c r="M369" s="33" t="s">
        <v>64</v>
      </c>
      <c r="N369" s="33"/>
      <c r="O369" s="32">
        <v>45</v>
      </c>
      <c r="P369" s="9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65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605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63</v>
      </c>
      <c r="L370" s="32"/>
      <c r="M370" s="33" t="s">
        <v>64</v>
      </c>
      <c r="N370" s="33"/>
      <c r="O370" s="32">
        <v>40</v>
      </c>
      <c r="P370" s="9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65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602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63</v>
      </c>
      <c r="L371" s="32"/>
      <c r="M371" s="33" t="s">
        <v>64</v>
      </c>
      <c r="N371" s="33"/>
      <c r="O371" s="32">
        <v>40</v>
      </c>
      <c r="P37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65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123</v>
      </c>
      <c r="L372" s="32"/>
      <c r="M372" s="33" t="s">
        <v>64</v>
      </c>
      <c r="N372" s="33"/>
      <c r="O372" s="32">
        <v>45</v>
      </c>
      <c r="P372" s="8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65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75</v>
      </c>
      <c r="L373" s="32"/>
      <c r="M373" s="33" t="s">
        <v>64</v>
      </c>
      <c r="N373" s="33"/>
      <c r="O373" s="32">
        <v>40</v>
      </c>
      <c r="P373" s="9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65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70</v>
      </c>
      <c r="Q374" s="647"/>
      <c r="R374" s="647"/>
      <c r="S374" s="647"/>
      <c r="T374" s="647"/>
      <c r="U374" s="647"/>
      <c r="V374" s="648"/>
      <c r="W374" s="37" t="s">
        <v>71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70</v>
      </c>
      <c r="Q375" s="647"/>
      <c r="R375" s="647"/>
      <c r="S375" s="647"/>
      <c r="T375" s="647"/>
      <c r="U375" s="647"/>
      <c r="V375" s="648"/>
      <c r="W375" s="37" t="s">
        <v>65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5" t="s">
        <v>72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616</v>
      </c>
      <c r="B377" s="54" t="s">
        <v>617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114</v>
      </c>
      <c r="L377" s="32"/>
      <c r="M377" s="33" t="s">
        <v>76</v>
      </c>
      <c r="N377" s="33"/>
      <c r="O377" s="32">
        <v>40</v>
      </c>
      <c r="P377" s="8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65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618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114</v>
      </c>
      <c r="L378" s="32"/>
      <c r="M378" s="33" t="s">
        <v>76</v>
      </c>
      <c r="N378" s="33"/>
      <c r="O378" s="32">
        <v>40</v>
      </c>
      <c r="P378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65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621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114</v>
      </c>
      <c r="L379" s="32"/>
      <c r="M379" s="33" t="s">
        <v>76</v>
      </c>
      <c r="N379" s="33"/>
      <c r="O379" s="32">
        <v>40</v>
      </c>
      <c r="P379" s="6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65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624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75</v>
      </c>
      <c r="L380" s="32"/>
      <c r="M380" s="33" t="s">
        <v>76</v>
      </c>
      <c r="N380" s="33"/>
      <c r="O380" s="32">
        <v>40</v>
      </c>
      <c r="P380" s="8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65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618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70</v>
      </c>
      <c r="Q381" s="647"/>
      <c r="R381" s="647"/>
      <c r="S381" s="647"/>
      <c r="T381" s="647"/>
      <c r="U381" s="647"/>
      <c r="V381" s="648"/>
      <c r="W381" s="37" t="s">
        <v>71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70</v>
      </c>
      <c r="Q382" s="647"/>
      <c r="R382" s="647"/>
      <c r="S382" s="647"/>
      <c r="T382" s="647"/>
      <c r="U382" s="647"/>
      <c r="V382" s="648"/>
      <c r="W382" s="37" t="s">
        <v>65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5" t="s">
        <v>161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627</v>
      </c>
      <c r="B384" s="54" t="s">
        <v>628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114</v>
      </c>
      <c r="L384" s="32"/>
      <c r="M384" s="33" t="s">
        <v>76</v>
      </c>
      <c r="N384" s="33"/>
      <c r="O384" s="32">
        <v>30</v>
      </c>
      <c r="P384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65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629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630</v>
      </c>
      <c r="B385" s="54" t="s">
        <v>631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114</v>
      </c>
      <c r="L385" s="32"/>
      <c r="M385" s="33" t="s">
        <v>76</v>
      </c>
      <c r="N385" s="33"/>
      <c r="O385" s="32">
        <v>30</v>
      </c>
      <c r="P385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65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632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633</v>
      </c>
      <c r="B386" s="54" t="s">
        <v>634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114</v>
      </c>
      <c r="L386" s="32"/>
      <c r="M386" s="33" t="s">
        <v>82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65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635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70</v>
      </c>
      <c r="Q387" s="647"/>
      <c r="R387" s="647"/>
      <c r="S387" s="647"/>
      <c r="T387" s="647"/>
      <c r="U387" s="647"/>
      <c r="V387" s="648"/>
      <c r="W387" s="37" t="s">
        <v>71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70</v>
      </c>
      <c r="Q388" s="647"/>
      <c r="R388" s="647"/>
      <c r="S388" s="647"/>
      <c r="T388" s="647"/>
      <c r="U388" s="647"/>
      <c r="V388" s="648"/>
      <c r="W388" s="37" t="s">
        <v>65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5" t="s">
        <v>269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636</v>
      </c>
      <c r="B390" s="54" t="s">
        <v>637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123</v>
      </c>
      <c r="L390" s="32"/>
      <c r="M390" s="33" t="s">
        <v>236</v>
      </c>
      <c r="N390" s="33"/>
      <c r="O390" s="32">
        <v>180</v>
      </c>
      <c r="P390" s="9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65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638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123</v>
      </c>
      <c r="L391" s="32"/>
      <c r="M391" s="33" t="s">
        <v>236</v>
      </c>
      <c r="N391" s="33"/>
      <c r="O391" s="32">
        <v>180</v>
      </c>
      <c r="P391" s="6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65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638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641</v>
      </c>
      <c r="B392" s="54" t="s">
        <v>642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75</v>
      </c>
      <c r="L392" s="32"/>
      <c r="M392" s="33" t="s">
        <v>236</v>
      </c>
      <c r="N392" s="33"/>
      <c r="O392" s="32">
        <v>180</v>
      </c>
      <c r="P392" s="6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65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638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75</v>
      </c>
      <c r="L393" s="32"/>
      <c r="M393" s="33" t="s">
        <v>236</v>
      </c>
      <c r="N393" s="33"/>
      <c r="O393" s="32">
        <v>180</v>
      </c>
      <c r="P393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65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638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70</v>
      </c>
      <c r="Q394" s="647"/>
      <c r="R394" s="647"/>
      <c r="S394" s="647"/>
      <c r="T394" s="647"/>
      <c r="U394" s="647"/>
      <c r="V394" s="648"/>
      <c r="W394" s="37" t="s">
        <v>71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70</v>
      </c>
      <c r="Q395" s="647"/>
      <c r="R395" s="647"/>
      <c r="S395" s="647"/>
      <c r="T395" s="647"/>
      <c r="U395" s="647"/>
      <c r="V395" s="648"/>
      <c r="W395" s="37" t="s">
        <v>65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5" t="s">
        <v>645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646</v>
      </c>
      <c r="B397" s="54" t="s">
        <v>647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75</v>
      </c>
      <c r="L397" s="32"/>
      <c r="M397" s="33" t="s">
        <v>648</v>
      </c>
      <c r="N397" s="33"/>
      <c r="O397" s="32">
        <v>731</v>
      </c>
      <c r="P397" s="8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65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649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650</v>
      </c>
      <c r="B398" s="54" t="s">
        <v>651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75</v>
      </c>
      <c r="L398" s="32"/>
      <c r="M398" s="33" t="s">
        <v>648</v>
      </c>
      <c r="N398" s="33"/>
      <c r="O398" s="32">
        <v>731</v>
      </c>
      <c r="P398" s="8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65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649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652</v>
      </c>
      <c r="B399" s="54" t="s">
        <v>653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75</v>
      </c>
      <c r="L399" s="32"/>
      <c r="M399" s="33" t="s">
        <v>648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65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649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70</v>
      </c>
      <c r="Q400" s="647"/>
      <c r="R400" s="647"/>
      <c r="S400" s="647"/>
      <c r="T400" s="647"/>
      <c r="U400" s="647"/>
      <c r="V400" s="648"/>
      <c r="W400" s="37" t="s">
        <v>71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70</v>
      </c>
      <c r="Q401" s="647"/>
      <c r="R401" s="647"/>
      <c r="S401" s="647"/>
      <c r="T401" s="647"/>
      <c r="U401" s="647"/>
      <c r="V401" s="648"/>
      <c r="W401" s="37" t="s">
        <v>65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5" t="s">
        <v>654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655</v>
      </c>
      <c r="B403" s="54" t="s">
        <v>656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75</v>
      </c>
      <c r="L403" s="32"/>
      <c r="M403" s="33" t="s">
        <v>648</v>
      </c>
      <c r="N403" s="33"/>
      <c r="O403" s="32">
        <v>1096</v>
      </c>
      <c r="P403" s="78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65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657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123</v>
      </c>
      <c r="L404" s="32"/>
      <c r="M404" s="33" t="s">
        <v>648</v>
      </c>
      <c r="N404" s="33"/>
      <c r="O404" s="32">
        <v>1096</v>
      </c>
      <c r="P404" s="6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65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660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661</v>
      </c>
      <c r="B405" s="54" t="s">
        <v>662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75</v>
      </c>
      <c r="L405" s="32"/>
      <c r="M405" s="33" t="s">
        <v>648</v>
      </c>
      <c r="N405" s="33"/>
      <c r="O405" s="32">
        <v>1096</v>
      </c>
      <c r="P405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65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657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70</v>
      </c>
      <c r="Q406" s="647"/>
      <c r="R406" s="647"/>
      <c r="S406" s="647"/>
      <c r="T406" s="647"/>
      <c r="U406" s="647"/>
      <c r="V406" s="648"/>
      <c r="W406" s="37" t="s">
        <v>71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70</v>
      </c>
      <c r="Q407" s="647"/>
      <c r="R407" s="647"/>
      <c r="S407" s="647"/>
      <c r="T407" s="647"/>
      <c r="U407" s="647"/>
      <c r="V407" s="648"/>
      <c r="W407" s="37" t="s">
        <v>65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49" t="s">
        <v>663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5" t="s">
        <v>72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664</v>
      </c>
      <c r="B410" s="54" t="s">
        <v>665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114</v>
      </c>
      <c r="L410" s="32"/>
      <c r="M410" s="33" t="s">
        <v>76</v>
      </c>
      <c r="N410" s="33"/>
      <c r="O410" s="32">
        <v>40</v>
      </c>
      <c r="P410" s="98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65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666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667</v>
      </c>
      <c r="B411" s="54" t="s">
        <v>668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114</v>
      </c>
      <c r="L411" s="32"/>
      <c r="M411" s="33" t="s">
        <v>76</v>
      </c>
      <c r="N411" s="33"/>
      <c r="O411" s="32">
        <v>40</v>
      </c>
      <c r="P411" s="76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65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669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70</v>
      </c>
      <c r="Q412" s="647"/>
      <c r="R412" s="647"/>
      <c r="S412" s="647"/>
      <c r="T412" s="647"/>
      <c r="U412" s="647"/>
      <c r="V412" s="648"/>
      <c r="W412" s="37" t="s">
        <v>71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70</v>
      </c>
      <c r="Q413" s="647"/>
      <c r="R413" s="647"/>
      <c r="S413" s="647"/>
      <c r="T413" s="647"/>
      <c r="U413" s="647"/>
      <c r="V413" s="648"/>
      <c r="W413" s="37" t="s">
        <v>65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49" t="s">
        <v>670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5" t="s">
        <v>72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671</v>
      </c>
      <c r="B416" s="54" t="s">
        <v>672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114</v>
      </c>
      <c r="L416" s="32"/>
      <c r="M416" s="33" t="s">
        <v>82</v>
      </c>
      <c r="N416" s="33"/>
      <c r="O416" s="32">
        <v>45</v>
      </c>
      <c r="P416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65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673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75</v>
      </c>
      <c r="L417" s="32"/>
      <c r="M417" s="33" t="s">
        <v>76</v>
      </c>
      <c r="N417" s="33"/>
      <c r="O417" s="32">
        <v>45</v>
      </c>
      <c r="P417" s="9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65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676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677</v>
      </c>
      <c r="B418" s="54" t="s">
        <v>678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75</v>
      </c>
      <c r="L418" s="32"/>
      <c r="M418" s="33" t="s">
        <v>82</v>
      </c>
      <c r="N418" s="33"/>
      <c r="O418" s="32">
        <v>40</v>
      </c>
      <c r="P418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65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679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70</v>
      </c>
      <c r="Q419" s="647"/>
      <c r="R419" s="647"/>
      <c r="S419" s="647"/>
      <c r="T419" s="647"/>
      <c r="U419" s="647"/>
      <c r="V419" s="648"/>
      <c r="W419" s="37" t="s">
        <v>71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70</v>
      </c>
      <c r="Q420" s="647"/>
      <c r="R420" s="647"/>
      <c r="S420" s="647"/>
      <c r="T420" s="647"/>
      <c r="U420" s="647"/>
      <c r="V420" s="648"/>
      <c r="W420" s="37" t="s">
        <v>65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51" t="s">
        <v>680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48"/>
      <c r="AB421" s="48"/>
      <c r="AC421" s="48"/>
    </row>
    <row r="422" spans="1:68" ht="16.5" hidden="1" customHeight="1" x14ac:dyDescent="0.25">
      <c r="A422" s="649" t="s">
        <v>681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5" t="s">
        <v>111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682</v>
      </c>
      <c r="B424" s="54" t="s">
        <v>683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114</v>
      </c>
      <c r="L424" s="32"/>
      <c r="M424" s="33" t="s">
        <v>82</v>
      </c>
      <c r="N424" s="33"/>
      <c r="O424" s="32">
        <v>60</v>
      </c>
      <c r="P424" s="8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65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684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685</v>
      </c>
      <c r="B425" s="54" t="s">
        <v>686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114</v>
      </c>
      <c r="L425" s="32"/>
      <c r="M425" s="33" t="s">
        <v>64</v>
      </c>
      <c r="N425" s="33"/>
      <c r="O425" s="32">
        <v>60</v>
      </c>
      <c r="P425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65</v>
      </c>
      <c r="X425" s="629">
        <v>400</v>
      </c>
      <c r="Y425" s="630">
        <f t="shared" si="59"/>
        <v>405</v>
      </c>
      <c r="Z425" s="36">
        <f>IFERROR(IF(Y425=0,"",ROUNDUP(Y425/H425,0)*0.02175),"")</f>
        <v>0.58724999999999994</v>
      </c>
      <c r="AA425" s="56"/>
      <c r="AB425" s="57"/>
      <c r="AC425" s="503" t="s">
        <v>687</v>
      </c>
      <c r="AG425" s="64"/>
      <c r="AJ425" s="68"/>
      <c r="AK425" s="68">
        <v>0</v>
      </c>
      <c r="BB425" s="504" t="s">
        <v>1</v>
      </c>
      <c r="BM425" s="64">
        <f t="shared" si="60"/>
        <v>412.53333333333336</v>
      </c>
      <c r="BN425" s="64">
        <f t="shared" si="61"/>
        <v>417.69</v>
      </c>
      <c r="BO425" s="64">
        <f t="shared" si="62"/>
        <v>0.55555555555555558</v>
      </c>
      <c r="BP425" s="64">
        <f t="shared" si="63"/>
        <v>0.5625</v>
      </c>
    </row>
    <row r="426" spans="1:68" ht="27" customHeight="1" x14ac:dyDescent="0.25">
      <c r="A426" s="54" t="s">
        <v>688</v>
      </c>
      <c r="B426" s="54" t="s">
        <v>689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114</v>
      </c>
      <c r="L426" s="32"/>
      <c r="M426" s="33" t="s">
        <v>115</v>
      </c>
      <c r="N426" s="33"/>
      <c r="O426" s="32">
        <v>60</v>
      </c>
      <c r="P426" s="7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65</v>
      </c>
      <c r="X426" s="629">
        <v>300</v>
      </c>
      <c r="Y426" s="630">
        <f t="shared" si="59"/>
        <v>300</v>
      </c>
      <c r="Z426" s="36">
        <f>IFERROR(IF(Y426=0,"",ROUNDUP(Y426/H426,0)*0.02175),"")</f>
        <v>0.43499999999999994</v>
      </c>
      <c r="AA426" s="56"/>
      <c r="AB426" s="57"/>
      <c r="AC426" s="505" t="s">
        <v>690</v>
      </c>
      <c r="AG426" s="64"/>
      <c r="AJ426" s="68"/>
      <c r="AK426" s="68">
        <v>0</v>
      </c>
      <c r="BB426" s="506" t="s">
        <v>1</v>
      </c>
      <c r="BM426" s="64">
        <f t="shared" si="60"/>
        <v>309.39999999999998</v>
      </c>
      <c r="BN426" s="64">
        <f t="shared" si="61"/>
        <v>309.39999999999998</v>
      </c>
      <c r="BO426" s="64">
        <f t="shared" si="62"/>
        <v>0.41666666666666663</v>
      </c>
      <c r="BP426" s="64">
        <f t="shared" si="63"/>
        <v>0.41666666666666663</v>
      </c>
    </row>
    <row r="427" spans="1:68" ht="27" customHeight="1" x14ac:dyDescent="0.25">
      <c r="A427" s="54" t="s">
        <v>691</v>
      </c>
      <c r="B427" s="54" t="s">
        <v>692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114</v>
      </c>
      <c r="L427" s="32"/>
      <c r="M427" s="33" t="s">
        <v>64</v>
      </c>
      <c r="N427" s="33"/>
      <c r="O427" s="32">
        <v>60</v>
      </c>
      <c r="P427" s="81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65</v>
      </c>
      <c r="X427" s="629">
        <v>200</v>
      </c>
      <c r="Y427" s="630">
        <f t="shared" si="59"/>
        <v>210</v>
      </c>
      <c r="Z427" s="36">
        <f>IFERROR(IF(Y427=0,"",ROUNDUP(Y427/H427,0)*0.02175),"")</f>
        <v>0.30449999999999999</v>
      </c>
      <c r="AA427" s="56"/>
      <c r="AB427" s="57"/>
      <c r="AC427" s="507" t="s">
        <v>693</v>
      </c>
      <c r="AG427" s="64"/>
      <c r="AJ427" s="68"/>
      <c r="AK427" s="68">
        <v>0</v>
      </c>
      <c r="BB427" s="508" t="s">
        <v>1</v>
      </c>
      <c r="BM427" s="64">
        <f t="shared" si="60"/>
        <v>206.26666666666668</v>
      </c>
      <c r="BN427" s="64">
        <f t="shared" si="61"/>
        <v>216.58</v>
      </c>
      <c r="BO427" s="64">
        <f t="shared" si="62"/>
        <v>0.27777777777777779</v>
      </c>
      <c r="BP427" s="64">
        <f t="shared" si="63"/>
        <v>0.29166666666666663</v>
      </c>
    </row>
    <row r="428" spans="1:68" ht="27" customHeight="1" x14ac:dyDescent="0.25">
      <c r="A428" s="54" t="s">
        <v>694</v>
      </c>
      <c r="B428" s="54" t="s">
        <v>695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114</v>
      </c>
      <c r="L428" s="32"/>
      <c r="M428" s="33" t="s">
        <v>82</v>
      </c>
      <c r="N428" s="33"/>
      <c r="O428" s="32">
        <v>60</v>
      </c>
      <c r="P428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65</v>
      </c>
      <c r="X428" s="629">
        <v>200</v>
      </c>
      <c r="Y428" s="630">
        <f t="shared" si="59"/>
        <v>210</v>
      </c>
      <c r="Z428" s="36">
        <f>IFERROR(IF(Y428=0,"",ROUNDUP(Y428/H428,0)*0.02175),"")</f>
        <v>0.30449999999999999</v>
      </c>
      <c r="AA428" s="56"/>
      <c r="AB428" s="57"/>
      <c r="AC428" s="509" t="s">
        <v>696</v>
      </c>
      <c r="AG428" s="64"/>
      <c r="AJ428" s="68"/>
      <c r="AK428" s="68">
        <v>0</v>
      </c>
      <c r="BB428" s="510" t="s">
        <v>1</v>
      </c>
      <c r="BM428" s="64">
        <f t="shared" si="60"/>
        <v>206.26666666666668</v>
      </c>
      <c r="BN428" s="64">
        <f t="shared" si="61"/>
        <v>216.58</v>
      </c>
      <c r="BO428" s="64">
        <f t="shared" si="62"/>
        <v>0.27777777777777779</v>
      </c>
      <c r="BP428" s="64">
        <f t="shared" si="63"/>
        <v>0.29166666666666663</v>
      </c>
    </row>
    <row r="429" spans="1:68" ht="27" hidden="1" customHeight="1" x14ac:dyDescent="0.25">
      <c r="A429" s="54" t="s">
        <v>697</v>
      </c>
      <c r="B429" s="54" t="s">
        <v>698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123</v>
      </c>
      <c r="L429" s="32"/>
      <c r="M429" s="33" t="s">
        <v>115</v>
      </c>
      <c r="N429" s="33"/>
      <c r="O429" s="32">
        <v>90</v>
      </c>
      <c r="P429" s="7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65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699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123</v>
      </c>
      <c r="L430" s="32"/>
      <c r="M430" s="33" t="s">
        <v>64</v>
      </c>
      <c r="N430" s="33"/>
      <c r="O430" s="32">
        <v>60</v>
      </c>
      <c r="P430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65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702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703</v>
      </c>
      <c r="B431" s="54" t="s">
        <v>704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123</v>
      </c>
      <c r="L431" s="32"/>
      <c r="M431" s="33" t="s">
        <v>64</v>
      </c>
      <c r="N431" s="33"/>
      <c r="O431" s="32">
        <v>60</v>
      </c>
      <c r="P431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65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705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70</v>
      </c>
      <c r="Q432" s="647"/>
      <c r="R432" s="647"/>
      <c r="S432" s="647"/>
      <c r="T432" s="647"/>
      <c r="U432" s="647"/>
      <c r="V432" s="648"/>
      <c r="W432" s="37" t="s">
        <v>71</v>
      </c>
      <c r="X432" s="631">
        <f>IFERROR(X424/H424,"0")+IFERROR(X425/H425,"0")+IFERROR(X426/H426,"0")+IFERROR(X427/H427,"0")+IFERROR(X428/H428,"0")+IFERROR(X429/H429,"0")+IFERROR(X430/H430,"0")+IFERROR(X431/H431,"0")</f>
        <v>73.333333333333343</v>
      </c>
      <c r="Y432" s="631">
        <f>IFERROR(Y424/H424,"0")+IFERROR(Y425/H425,"0")+IFERROR(Y426/H426,"0")+IFERROR(Y427/H427,"0")+IFERROR(Y428/H428,"0")+IFERROR(Y429/H429,"0")+IFERROR(Y430/H430,"0")+IFERROR(Y431/H431,"0")</f>
        <v>75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1.6312499999999999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70</v>
      </c>
      <c r="Q433" s="647"/>
      <c r="R433" s="647"/>
      <c r="S433" s="647"/>
      <c r="T433" s="647"/>
      <c r="U433" s="647"/>
      <c r="V433" s="648"/>
      <c r="W433" s="37" t="s">
        <v>65</v>
      </c>
      <c r="X433" s="631">
        <f>IFERROR(SUM(X424:X431),"0")</f>
        <v>1100</v>
      </c>
      <c r="Y433" s="631">
        <f>IFERROR(SUM(Y424:Y431),"0")</f>
        <v>1125</v>
      </c>
      <c r="Z433" s="37"/>
      <c r="AA433" s="632"/>
      <c r="AB433" s="632"/>
      <c r="AC433" s="632"/>
    </row>
    <row r="434" spans="1:68" ht="14.25" hidden="1" customHeight="1" x14ac:dyDescent="0.25">
      <c r="A434" s="655" t="s">
        <v>144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706</v>
      </c>
      <c r="B435" s="54" t="s">
        <v>707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114</v>
      </c>
      <c r="L435" s="32"/>
      <c r="M435" s="33" t="s">
        <v>115</v>
      </c>
      <c r="N435" s="33"/>
      <c r="O435" s="32">
        <v>50</v>
      </c>
      <c r="P435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65</v>
      </c>
      <c r="X435" s="629">
        <v>450</v>
      </c>
      <c r="Y435" s="630">
        <f>IFERROR(IF(X435="",0,CEILING((X435/$H435),1)*$H435),"")</f>
        <v>450</v>
      </c>
      <c r="Z435" s="36">
        <f>IFERROR(IF(Y435=0,"",ROUNDUP(Y435/H435,0)*0.02175),"")</f>
        <v>0.65249999999999997</v>
      </c>
      <c r="AA435" s="56"/>
      <c r="AB435" s="57"/>
      <c r="AC435" s="517" t="s">
        <v>708</v>
      </c>
      <c r="AG435" s="64"/>
      <c r="AJ435" s="68"/>
      <c r="AK435" s="68">
        <v>0</v>
      </c>
      <c r="BB435" s="518" t="s">
        <v>1</v>
      </c>
      <c r="BM435" s="64">
        <f>IFERROR(X435*I435/H435,"0")</f>
        <v>464.1</v>
      </c>
      <c r="BN435" s="64">
        <f>IFERROR(Y435*I435/H435,"0")</f>
        <v>464.1</v>
      </c>
      <c r="BO435" s="64">
        <f>IFERROR(1/J435*(X435/H435),"0")</f>
        <v>0.625</v>
      </c>
      <c r="BP435" s="64">
        <f>IFERROR(1/J435*(Y435/H435),"0")</f>
        <v>0.625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114</v>
      </c>
      <c r="L436" s="32"/>
      <c r="M436" s="33" t="s">
        <v>115</v>
      </c>
      <c r="N436" s="33"/>
      <c r="O436" s="32">
        <v>50</v>
      </c>
      <c r="P436" s="98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65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711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65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714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70</v>
      </c>
      <c r="Q438" s="647"/>
      <c r="R438" s="647"/>
      <c r="S438" s="647"/>
      <c r="T438" s="647"/>
      <c r="U438" s="647"/>
      <c r="V438" s="648"/>
      <c r="W438" s="37" t="s">
        <v>71</v>
      </c>
      <c r="X438" s="631">
        <f>IFERROR(X435/H435,"0")+IFERROR(X436/H436,"0")+IFERROR(X437/H437,"0")</f>
        <v>30</v>
      </c>
      <c r="Y438" s="631">
        <f>IFERROR(Y435/H435,"0")+IFERROR(Y436/H436,"0")+IFERROR(Y437/H437,"0")</f>
        <v>30</v>
      </c>
      <c r="Z438" s="631">
        <f>IFERROR(IF(Z435="",0,Z435),"0")+IFERROR(IF(Z436="",0,Z436),"0")+IFERROR(IF(Z437="",0,Z437),"0")</f>
        <v>0.65249999999999997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70</v>
      </c>
      <c r="Q439" s="647"/>
      <c r="R439" s="647"/>
      <c r="S439" s="647"/>
      <c r="T439" s="647"/>
      <c r="U439" s="647"/>
      <c r="V439" s="648"/>
      <c r="W439" s="37" t="s">
        <v>65</v>
      </c>
      <c r="X439" s="631">
        <f>IFERROR(SUM(X435:X437),"0")</f>
        <v>450</v>
      </c>
      <c r="Y439" s="631">
        <f>IFERROR(SUM(Y435:Y437),"0")</f>
        <v>450</v>
      </c>
      <c r="Z439" s="37"/>
      <c r="AA439" s="632"/>
      <c r="AB439" s="632"/>
      <c r="AC439" s="632"/>
    </row>
    <row r="440" spans="1:68" ht="14.25" hidden="1" customHeight="1" x14ac:dyDescent="0.25">
      <c r="A440" s="655" t="s">
        <v>72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715</v>
      </c>
      <c r="B441" s="54" t="s">
        <v>716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114</v>
      </c>
      <c r="L441" s="32"/>
      <c r="M441" s="33" t="s">
        <v>76</v>
      </c>
      <c r="N441" s="33"/>
      <c r="O441" s="32">
        <v>40</v>
      </c>
      <c r="P441" s="8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65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717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114</v>
      </c>
      <c r="L442" s="32"/>
      <c r="M442" s="33" t="s">
        <v>76</v>
      </c>
      <c r="N442" s="33"/>
      <c r="O442" s="32">
        <v>40</v>
      </c>
      <c r="P442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65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720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114</v>
      </c>
      <c r="L443" s="32"/>
      <c r="M443" s="33" t="s">
        <v>76</v>
      </c>
      <c r="N443" s="33"/>
      <c r="O443" s="32">
        <v>45</v>
      </c>
      <c r="P443" s="66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65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723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70</v>
      </c>
      <c r="Q444" s="647"/>
      <c r="R444" s="647"/>
      <c r="S444" s="647"/>
      <c r="T444" s="647"/>
      <c r="U444" s="647"/>
      <c r="V444" s="648"/>
      <c r="W444" s="37" t="s">
        <v>71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70</v>
      </c>
      <c r="Q445" s="647"/>
      <c r="R445" s="647"/>
      <c r="S445" s="647"/>
      <c r="T445" s="647"/>
      <c r="U445" s="647"/>
      <c r="V445" s="648"/>
      <c r="W445" s="37" t="s">
        <v>65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5" t="s">
        <v>161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724</v>
      </c>
      <c r="B447" s="54" t="s">
        <v>725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114</v>
      </c>
      <c r="L447" s="32"/>
      <c r="M447" s="33" t="s">
        <v>76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65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726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727</v>
      </c>
      <c r="B448" s="54" t="s">
        <v>728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114</v>
      </c>
      <c r="L448" s="32"/>
      <c r="M448" s="33" t="s">
        <v>76</v>
      </c>
      <c r="N448" s="33"/>
      <c r="O448" s="32">
        <v>40</v>
      </c>
      <c r="P448" s="8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65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729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70</v>
      </c>
      <c r="Q449" s="647"/>
      <c r="R449" s="647"/>
      <c r="S449" s="647"/>
      <c r="T449" s="647"/>
      <c r="U449" s="647"/>
      <c r="V449" s="648"/>
      <c r="W449" s="37" t="s">
        <v>71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70</v>
      </c>
      <c r="Q450" s="647"/>
      <c r="R450" s="647"/>
      <c r="S450" s="647"/>
      <c r="T450" s="647"/>
      <c r="U450" s="647"/>
      <c r="V450" s="648"/>
      <c r="W450" s="37" t="s">
        <v>65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49" t="s">
        <v>730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5" t="s">
        <v>111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731</v>
      </c>
      <c r="B453" s="54" t="s">
        <v>732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114</v>
      </c>
      <c r="L453" s="32"/>
      <c r="M453" s="33" t="s">
        <v>64</v>
      </c>
      <c r="N453" s="33"/>
      <c r="O453" s="32">
        <v>60</v>
      </c>
      <c r="P453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65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733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734</v>
      </c>
      <c r="B454" s="54" t="s">
        <v>735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123</v>
      </c>
      <c r="L454" s="32"/>
      <c r="M454" s="33" t="s">
        <v>64</v>
      </c>
      <c r="N454" s="33"/>
      <c r="O454" s="32">
        <v>60</v>
      </c>
      <c r="P454" s="6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65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733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70</v>
      </c>
      <c r="Q455" s="647"/>
      <c r="R455" s="647"/>
      <c r="S455" s="647"/>
      <c r="T455" s="647"/>
      <c r="U455" s="647"/>
      <c r="V455" s="648"/>
      <c r="W455" s="37" t="s">
        <v>71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70</v>
      </c>
      <c r="Q456" s="647"/>
      <c r="R456" s="647"/>
      <c r="S456" s="647"/>
      <c r="T456" s="647"/>
      <c r="U456" s="647"/>
      <c r="V456" s="648"/>
      <c r="W456" s="37" t="s">
        <v>65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5" t="s">
        <v>60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736</v>
      </c>
      <c r="B458" s="54" t="s">
        <v>737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123</v>
      </c>
      <c r="L458" s="32"/>
      <c r="M458" s="33" t="s">
        <v>64</v>
      </c>
      <c r="N458" s="33"/>
      <c r="O458" s="32">
        <v>50</v>
      </c>
      <c r="P458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65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738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70</v>
      </c>
      <c r="Q459" s="647"/>
      <c r="R459" s="647"/>
      <c r="S459" s="647"/>
      <c r="T459" s="647"/>
      <c r="U459" s="647"/>
      <c r="V459" s="648"/>
      <c r="W459" s="37" t="s">
        <v>71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70</v>
      </c>
      <c r="Q460" s="647"/>
      <c r="R460" s="647"/>
      <c r="S460" s="647"/>
      <c r="T460" s="647"/>
      <c r="U460" s="647"/>
      <c r="V460" s="648"/>
      <c r="W460" s="37" t="s">
        <v>65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5" t="s">
        <v>72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739</v>
      </c>
      <c r="B462" s="54" t="s">
        <v>740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114</v>
      </c>
      <c r="L462" s="32"/>
      <c r="M462" s="33" t="s">
        <v>76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65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741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742</v>
      </c>
      <c r="B463" s="54" t="s">
        <v>743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75</v>
      </c>
      <c r="L463" s="32"/>
      <c r="M463" s="33" t="s">
        <v>76</v>
      </c>
      <c r="N463" s="33"/>
      <c r="O463" s="32">
        <v>40</v>
      </c>
      <c r="P463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65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741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742</v>
      </c>
      <c r="B464" s="54" t="s">
        <v>744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75</v>
      </c>
      <c r="L464" s="32"/>
      <c r="M464" s="33" t="s">
        <v>76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65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745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70</v>
      </c>
      <c r="Q465" s="647"/>
      <c r="R465" s="647"/>
      <c r="S465" s="647"/>
      <c r="T465" s="647"/>
      <c r="U465" s="647"/>
      <c r="V465" s="648"/>
      <c r="W465" s="37" t="s">
        <v>71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70</v>
      </c>
      <c r="Q466" s="647"/>
      <c r="R466" s="647"/>
      <c r="S466" s="647"/>
      <c r="T466" s="647"/>
      <c r="U466" s="647"/>
      <c r="V466" s="648"/>
      <c r="W466" s="37" t="s">
        <v>65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51" t="s">
        <v>746</v>
      </c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2"/>
      <c r="P467" s="652"/>
      <c r="Q467" s="652"/>
      <c r="R467" s="652"/>
      <c r="S467" s="652"/>
      <c r="T467" s="652"/>
      <c r="U467" s="652"/>
      <c r="V467" s="652"/>
      <c r="W467" s="652"/>
      <c r="X467" s="652"/>
      <c r="Y467" s="652"/>
      <c r="Z467" s="652"/>
      <c r="AA467" s="48"/>
      <c r="AB467" s="48"/>
      <c r="AC467" s="48"/>
    </row>
    <row r="468" spans="1:68" ht="16.5" hidden="1" customHeight="1" x14ac:dyDescent="0.25">
      <c r="A468" s="649" t="s">
        <v>747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5" t="s">
        <v>60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748</v>
      </c>
      <c r="B470" s="54" t="s">
        <v>749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123</v>
      </c>
      <c r="L470" s="32"/>
      <c r="M470" s="33" t="s">
        <v>64</v>
      </c>
      <c r="N470" s="33"/>
      <c r="O470" s="32">
        <v>50</v>
      </c>
      <c r="P470" s="9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65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750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751</v>
      </c>
      <c r="B471" s="54" t="s">
        <v>752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123</v>
      </c>
      <c r="L471" s="32"/>
      <c r="M471" s="33" t="s">
        <v>64</v>
      </c>
      <c r="N471" s="33"/>
      <c r="O471" s="32">
        <v>50</v>
      </c>
      <c r="P471" s="7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65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753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754</v>
      </c>
      <c r="B472" s="54" t="s">
        <v>755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63</v>
      </c>
      <c r="L472" s="32"/>
      <c r="M472" s="33" t="s">
        <v>64</v>
      </c>
      <c r="N472" s="33"/>
      <c r="O472" s="32">
        <v>50</v>
      </c>
      <c r="P472" s="8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65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750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756</v>
      </c>
      <c r="B473" s="54" t="s">
        <v>757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63</v>
      </c>
      <c r="L473" s="32"/>
      <c r="M473" s="33" t="s">
        <v>64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65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758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759</v>
      </c>
      <c r="B474" s="54" t="s">
        <v>760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63</v>
      </c>
      <c r="L474" s="32"/>
      <c r="M474" s="33" t="s">
        <v>64</v>
      </c>
      <c r="N474" s="33"/>
      <c r="O474" s="32">
        <v>50</v>
      </c>
      <c r="P474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65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761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762</v>
      </c>
      <c r="B475" s="54" t="s">
        <v>763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63</v>
      </c>
      <c r="L475" s="32"/>
      <c r="M475" s="33" t="s">
        <v>64</v>
      </c>
      <c r="N475" s="33"/>
      <c r="O475" s="32">
        <v>50</v>
      </c>
      <c r="P475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65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758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70</v>
      </c>
      <c r="Q476" s="647"/>
      <c r="R476" s="647"/>
      <c r="S476" s="647"/>
      <c r="T476" s="647"/>
      <c r="U476" s="647"/>
      <c r="V476" s="648"/>
      <c r="W476" s="37" t="s">
        <v>71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70</v>
      </c>
      <c r="Q477" s="647"/>
      <c r="R477" s="647"/>
      <c r="S477" s="647"/>
      <c r="T477" s="647"/>
      <c r="U477" s="647"/>
      <c r="V477" s="648"/>
      <c r="W477" s="37" t="s">
        <v>65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5" t="s">
        <v>72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764</v>
      </c>
      <c r="B479" s="54" t="s">
        <v>765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123</v>
      </c>
      <c r="L479" s="32"/>
      <c r="M479" s="33" t="s">
        <v>76</v>
      </c>
      <c r="N479" s="33"/>
      <c r="O479" s="32">
        <v>45</v>
      </c>
      <c r="P479" s="7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65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766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767</v>
      </c>
      <c r="B480" s="54" t="s">
        <v>768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75</v>
      </c>
      <c r="L480" s="32"/>
      <c r="M480" s="33" t="s">
        <v>76</v>
      </c>
      <c r="N480" s="33"/>
      <c r="O480" s="32">
        <v>45</v>
      </c>
      <c r="P480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65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769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70</v>
      </c>
      <c r="Q481" s="647"/>
      <c r="R481" s="647"/>
      <c r="S481" s="647"/>
      <c r="T481" s="647"/>
      <c r="U481" s="647"/>
      <c r="V481" s="648"/>
      <c r="W481" s="37" t="s">
        <v>71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70</v>
      </c>
      <c r="Q482" s="647"/>
      <c r="R482" s="647"/>
      <c r="S482" s="647"/>
      <c r="T482" s="647"/>
      <c r="U482" s="647"/>
      <c r="V482" s="648"/>
      <c r="W482" s="37" t="s">
        <v>65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49" t="s">
        <v>770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5" t="s">
        <v>144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771</v>
      </c>
      <c r="B485" s="54" t="s">
        <v>772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75</v>
      </c>
      <c r="L485" s="32"/>
      <c r="M485" s="33" t="s">
        <v>64</v>
      </c>
      <c r="N485" s="33"/>
      <c r="O485" s="32">
        <v>40</v>
      </c>
      <c r="P485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65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773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70</v>
      </c>
      <c r="Q486" s="647"/>
      <c r="R486" s="647"/>
      <c r="S486" s="647"/>
      <c r="T486" s="647"/>
      <c r="U486" s="647"/>
      <c r="V486" s="648"/>
      <c r="W486" s="37" t="s">
        <v>71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70</v>
      </c>
      <c r="Q487" s="647"/>
      <c r="R487" s="647"/>
      <c r="S487" s="647"/>
      <c r="T487" s="647"/>
      <c r="U487" s="647"/>
      <c r="V487" s="648"/>
      <c r="W487" s="37" t="s">
        <v>65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5" t="s">
        <v>60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774</v>
      </c>
      <c r="B489" s="54" t="s">
        <v>775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123</v>
      </c>
      <c r="L489" s="32"/>
      <c r="M489" s="33" t="s">
        <v>64</v>
      </c>
      <c r="N489" s="33"/>
      <c r="O489" s="32">
        <v>50</v>
      </c>
      <c r="P489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65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776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777</v>
      </c>
      <c r="B490" s="54" t="s">
        <v>778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63</v>
      </c>
      <c r="L490" s="32"/>
      <c r="M490" s="33" t="s">
        <v>64</v>
      </c>
      <c r="N490" s="33"/>
      <c r="O490" s="32">
        <v>50</v>
      </c>
      <c r="P490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65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779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780</v>
      </c>
      <c r="B491" s="54" t="s">
        <v>781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63</v>
      </c>
      <c r="L491" s="32"/>
      <c r="M491" s="33" t="s">
        <v>64</v>
      </c>
      <c r="N491" s="33"/>
      <c r="O491" s="32">
        <v>50</v>
      </c>
      <c r="P491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65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779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70</v>
      </c>
      <c r="Q492" s="647"/>
      <c r="R492" s="647"/>
      <c r="S492" s="647"/>
      <c r="T492" s="647"/>
      <c r="U492" s="647"/>
      <c r="V492" s="648"/>
      <c r="W492" s="37" t="s">
        <v>71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70</v>
      </c>
      <c r="Q493" s="647"/>
      <c r="R493" s="647"/>
      <c r="S493" s="647"/>
      <c r="T493" s="647"/>
      <c r="U493" s="647"/>
      <c r="V493" s="648"/>
      <c r="W493" s="37" t="s">
        <v>65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1" t="s">
        <v>782</v>
      </c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2"/>
      <c r="P494" s="652"/>
      <c r="Q494" s="652"/>
      <c r="R494" s="652"/>
      <c r="S494" s="652"/>
      <c r="T494" s="652"/>
      <c r="U494" s="652"/>
      <c r="V494" s="652"/>
      <c r="W494" s="652"/>
      <c r="X494" s="652"/>
      <c r="Y494" s="652"/>
      <c r="Z494" s="652"/>
      <c r="AA494" s="48"/>
      <c r="AB494" s="48"/>
      <c r="AC494" s="48"/>
    </row>
    <row r="495" spans="1:68" ht="16.5" hidden="1" customHeight="1" x14ac:dyDescent="0.25">
      <c r="A495" s="649" t="s">
        <v>782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5" t="s">
        <v>111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783</v>
      </c>
      <c r="B497" s="54" t="s">
        <v>784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114</v>
      </c>
      <c r="L497" s="32"/>
      <c r="M497" s="33" t="s">
        <v>76</v>
      </c>
      <c r="N497" s="33"/>
      <c r="O497" s="32">
        <v>60</v>
      </c>
      <c r="P497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65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116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785</v>
      </c>
      <c r="B498" s="54" t="s">
        <v>786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114</v>
      </c>
      <c r="L498" s="32"/>
      <c r="M498" s="33" t="s">
        <v>115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65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787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788</v>
      </c>
      <c r="B499" s="54" t="s">
        <v>789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114</v>
      </c>
      <c r="L499" s="32"/>
      <c r="M499" s="33" t="s">
        <v>115</v>
      </c>
      <c r="N499" s="33"/>
      <c r="O499" s="32">
        <v>60</v>
      </c>
      <c r="P499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65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790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791</v>
      </c>
      <c r="B500" s="54" t="s">
        <v>792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65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793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794</v>
      </c>
      <c r="B501" s="54" t="s">
        <v>795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114</v>
      </c>
      <c r="L501" s="32"/>
      <c r="M501" s="33" t="s">
        <v>76</v>
      </c>
      <c r="N501" s="33"/>
      <c r="O501" s="32">
        <v>60</v>
      </c>
      <c r="P501" s="8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65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796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797</v>
      </c>
      <c r="B502" s="54" t="s">
        <v>798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65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799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800</v>
      </c>
      <c r="B503" s="54" t="s">
        <v>801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75</v>
      </c>
      <c r="L503" s="32"/>
      <c r="M503" s="33" t="s">
        <v>76</v>
      </c>
      <c r="N503" s="33"/>
      <c r="O503" s="32">
        <v>60</v>
      </c>
      <c r="P503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65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116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802</v>
      </c>
      <c r="B504" s="54" t="s">
        <v>803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123</v>
      </c>
      <c r="L504" s="32"/>
      <c r="M504" s="33" t="s">
        <v>76</v>
      </c>
      <c r="N504" s="33"/>
      <c r="O504" s="32">
        <v>60</v>
      </c>
      <c r="P504" s="8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65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804</v>
      </c>
      <c r="B505" s="54" t="s">
        <v>805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123</v>
      </c>
      <c r="L505" s="32"/>
      <c r="M505" s="33" t="s">
        <v>115</v>
      </c>
      <c r="N505" s="33"/>
      <c r="O505" s="32">
        <v>60</v>
      </c>
      <c r="P505" s="9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65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70</v>
      </c>
      <c r="Q506" s="647"/>
      <c r="R506" s="647"/>
      <c r="S506" s="647"/>
      <c r="T506" s="647"/>
      <c r="U506" s="647"/>
      <c r="V506" s="648"/>
      <c r="W506" s="37" t="s">
        <v>71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70</v>
      </c>
      <c r="Q507" s="647"/>
      <c r="R507" s="647"/>
      <c r="S507" s="647"/>
      <c r="T507" s="647"/>
      <c r="U507" s="647"/>
      <c r="V507" s="648"/>
      <c r="W507" s="37" t="s">
        <v>65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5" t="s">
        <v>144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806</v>
      </c>
      <c r="B509" s="54" t="s">
        <v>807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114</v>
      </c>
      <c r="L509" s="32"/>
      <c r="M509" s="33" t="s">
        <v>76</v>
      </c>
      <c r="N509" s="33"/>
      <c r="O509" s="32">
        <v>70</v>
      </c>
      <c r="P509" s="9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65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808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75</v>
      </c>
      <c r="L510" s="32"/>
      <c r="M510" s="33" t="s">
        <v>115</v>
      </c>
      <c r="N510" s="33"/>
      <c r="O510" s="32">
        <v>70</v>
      </c>
      <c r="P510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65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808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811</v>
      </c>
      <c r="B511" s="54" t="s">
        <v>812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123</v>
      </c>
      <c r="L511" s="32"/>
      <c r="M511" s="33" t="s">
        <v>115</v>
      </c>
      <c r="N511" s="33"/>
      <c r="O511" s="32">
        <v>70</v>
      </c>
      <c r="P511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65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808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70</v>
      </c>
      <c r="Q512" s="647"/>
      <c r="R512" s="647"/>
      <c r="S512" s="647"/>
      <c r="T512" s="647"/>
      <c r="U512" s="647"/>
      <c r="V512" s="648"/>
      <c r="W512" s="37" t="s">
        <v>71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70</v>
      </c>
      <c r="Q513" s="647"/>
      <c r="R513" s="647"/>
      <c r="S513" s="647"/>
      <c r="T513" s="647"/>
      <c r="U513" s="647"/>
      <c r="V513" s="648"/>
      <c r="W513" s="37" t="s">
        <v>65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5" t="s">
        <v>60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813</v>
      </c>
      <c r="B515" s="54" t="s">
        <v>814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114</v>
      </c>
      <c r="L515" s="32"/>
      <c r="M515" s="33" t="s">
        <v>115</v>
      </c>
      <c r="N515" s="33"/>
      <c r="O515" s="32">
        <v>70</v>
      </c>
      <c r="P515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65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815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816</v>
      </c>
      <c r="B516" s="54" t="s">
        <v>817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114</v>
      </c>
      <c r="L516" s="32"/>
      <c r="M516" s="33" t="s">
        <v>64</v>
      </c>
      <c r="N516" s="33"/>
      <c r="O516" s="32">
        <v>70</v>
      </c>
      <c r="P516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65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818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819</v>
      </c>
      <c r="B517" s="54" t="s">
        <v>820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114</v>
      </c>
      <c r="L517" s="32"/>
      <c r="M517" s="33" t="s">
        <v>64</v>
      </c>
      <c r="N517" s="33"/>
      <c r="O517" s="32">
        <v>70</v>
      </c>
      <c r="P517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65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821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822</v>
      </c>
      <c r="B518" s="54" t="s">
        <v>823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65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815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123</v>
      </c>
      <c r="L519" s="32"/>
      <c r="M519" s="33" t="s">
        <v>64</v>
      </c>
      <c r="N519" s="33"/>
      <c r="O519" s="32">
        <v>70</v>
      </c>
      <c r="P519" s="8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65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818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824</v>
      </c>
      <c r="B520" s="54" t="s">
        <v>826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123</v>
      </c>
      <c r="L520" s="32"/>
      <c r="M520" s="33" t="s">
        <v>64</v>
      </c>
      <c r="N520" s="33"/>
      <c r="O520" s="32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65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818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827</v>
      </c>
      <c r="B521" s="54" t="s">
        <v>828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123</v>
      </c>
      <c r="L521" s="32"/>
      <c r="M521" s="33" t="s">
        <v>64</v>
      </c>
      <c r="N521" s="33"/>
      <c r="O521" s="32">
        <v>70</v>
      </c>
      <c r="P521" s="6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65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821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70</v>
      </c>
      <c r="Q522" s="647"/>
      <c r="R522" s="647"/>
      <c r="S522" s="647"/>
      <c r="T522" s="647"/>
      <c r="U522" s="647"/>
      <c r="V522" s="648"/>
      <c r="W522" s="37" t="s">
        <v>71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70</v>
      </c>
      <c r="Q523" s="647"/>
      <c r="R523" s="647"/>
      <c r="S523" s="647"/>
      <c r="T523" s="647"/>
      <c r="U523" s="647"/>
      <c r="V523" s="648"/>
      <c r="W523" s="37" t="s">
        <v>65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51" t="s">
        <v>829</v>
      </c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2"/>
      <c r="P524" s="652"/>
      <c r="Q524" s="652"/>
      <c r="R524" s="652"/>
      <c r="S524" s="652"/>
      <c r="T524" s="652"/>
      <c r="U524" s="652"/>
      <c r="V524" s="652"/>
      <c r="W524" s="652"/>
      <c r="X524" s="652"/>
      <c r="Y524" s="652"/>
      <c r="Z524" s="652"/>
      <c r="AA524" s="48"/>
      <c r="AB524" s="48"/>
      <c r="AC524" s="48"/>
    </row>
    <row r="525" spans="1:68" ht="16.5" hidden="1" customHeight="1" x14ac:dyDescent="0.25">
      <c r="A525" s="649" t="s">
        <v>829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5" t="s">
        <v>111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830</v>
      </c>
      <c r="B527" s="54" t="s">
        <v>831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114</v>
      </c>
      <c r="L527" s="32"/>
      <c r="M527" s="33" t="s">
        <v>115</v>
      </c>
      <c r="N527" s="33"/>
      <c r="O527" s="32">
        <v>50</v>
      </c>
      <c r="P527" s="7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65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832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70</v>
      </c>
      <c r="Q528" s="647"/>
      <c r="R528" s="647"/>
      <c r="S528" s="647"/>
      <c r="T528" s="647"/>
      <c r="U528" s="647"/>
      <c r="V528" s="648"/>
      <c r="W528" s="37" t="s">
        <v>71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70</v>
      </c>
      <c r="Q529" s="647"/>
      <c r="R529" s="647"/>
      <c r="S529" s="647"/>
      <c r="T529" s="647"/>
      <c r="U529" s="647"/>
      <c r="V529" s="648"/>
      <c r="W529" s="37" t="s">
        <v>65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5" t="s">
        <v>144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833</v>
      </c>
      <c r="B531" s="54" t="s">
        <v>834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114</v>
      </c>
      <c r="L531" s="32"/>
      <c r="M531" s="33" t="s">
        <v>115</v>
      </c>
      <c r="N531" s="33"/>
      <c r="O531" s="32">
        <v>50</v>
      </c>
      <c r="P531" s="68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65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835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70</v>
      </c>
      <c r="Q532" s="647"/>
      <c r="R532" s="647"/>
      <c r="S532" s="647"/>
      <c r="T532" s="647"/>
      <c r="U532" s="647"/>
      <c r="V532" s="648"/>
      <c r="W532" s="37" t="s">
        <v>71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70</v>
      </c>
      <c r="Q533" s="647"/>
      <c r="R533" s="647"/>
      <c r="S533" s="647"/>
      <c r="T533" s="647"/>
      <c r="U533" s="647"/>
      <c r="V533" s="648"/>
      <c r="W533" s="37" t="s">
        <v>65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5" t="s">
        <v>60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836</v>
      </c>
      <c r="B535" s="54" t="s">
        <v>837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123</v>
      </c>
      <c r="L535" s="32"/>
      <c r="M535" s="33" t="s">
        <v>64</v>
      </c>
      <c r="N535" s="33"/>
      <c r="O535" s="32">
        <v>40</v>
      </c>
      <c r="P535" s="86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65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838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70</v>
      </c>
      <c r="Q536" s="647"/>
      <c r="R536" s="647"/>
      <c r="S536" s="647"/>
      <c r="T536" s="647"/>
      <c r="U536" s="647"/>
      <c r="V536" s="648"/>
      <c r="W536" s="37" t="s">
        <v>71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70</v>
      </c>
      <c r="Q537" s="647"/>
      <c r="R537" s="647"/>
      <c r="S537" s="647"/>
      <c r="T537" s="647"/>
      <c r="U537" s="647"/>
      <c r="V537" s="648"/>
      <c r="W537" s="37" t="s">
        <v>65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5" t="s">
        <v>72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839</v>
      </c>
      <c r="B539" s="54" t="s">
        <v>840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114</v>
      </c>
      <c r="L539" s="32"/>
      <c r="M539" s="33" t="s">
        <v>76</v>
      </c>
      <c r="N539" s="33"/>
      <c r="O539" s="32">
        <v>45</v>
      </c>
      <c r="P539" s="7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65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841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70</v>
      </c>
      <c r="Q540" s="647"/>
      <c r="R540" s="647"/>
      <c r="S540" s="647"/>
      <c r="T540" s="647"/>
      <c r="U540" s="647"/>
      <c r="V540" s="648"/>
      <c r="W540" s="37" t="s">
        <v>71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70</v>
      </c>
      <c r="Q541" s="647"/>
      <c r="R541" s="647"/>
      <c r="S541" s="647"/>
      <c r="T541" s="647"/>
      <c r="U541" s="647"/>
      <c r="V541" s="648"/>
      <c r="W541" s="37" t="s">
        <v>65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5" t="s">
        <v>161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842</v>
      </c>
      <c r="B543" s="54" t="s">
        <v>843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114</v>
      </c>
      <c r="L543" s="32"/>
      <c r="M543" s="33" t="s">
        <v>76</v>
      </c>
      <c r="N543" s="33"/>
      <c r="O543" s="32">
        <v>40</v>
      </c>
      <c r="P543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65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844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845</v>
      </c>
      <c r="B544" s="54" t="s">
        <v>846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114</v>
      </c>
      <c r="L544" s="32"/>
      <c r="M544" s="33" t="s">
        <v>76</v>
      </c>
      <c r="N544" s="33"/>
      <c r="O544" s="32">
        <v>40</v>
      </c>
      <c r="P544" s="8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65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847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70</v>
      </c>
      <c r="Q545" s="647"/>
      <c r="R545" s="647"/>
      <c r="S545" s="647"/>
      <c r="T545" s="647"/>
      <c r="U545" s="647"/>
      <c r="V545" s="648"/>
      <c r="W545" s="37" t="s">
        <v>71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70</v>
      </c>
      <c r="Q546" s="647"/>
      <c r="R546" s="647"/>
      <c r="S546" s="647"/>
      <c r="T546" s="647"/>
      <c r="U546" s="647"/>
      <c r="V546" s="648"/>
      <c r="W546" s="37" t="s">
        <v>65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49" t="s">
        <v>848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5" t="s">
        <v>144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849</v>
      </c>
      <c r="B549" s="54" t="s">
        <v>850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114</v>
      </c>
      <c r="L549" s="32"/>
      <c r="M549" s="33" t="s">
        <v>115</v>
      </c>
      <c r="N549" s="33"/>
      <c r="O549" s="32">
        <v>50</v>
      </c>
      <c r="P549" s="6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65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851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70</v>
      </c>
      <c r="Q550" s="647"/>
      <c r="R550" s="647"/>
      <c r="S550" s="647"/>
      <c r="T550" s="647"/>
      <c r="U550" s="647"/>
      <c r="V550" s="648"/>
      <c r="W550" s="37" t="s">
        <v>71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70</v>
      </c>
      <c r="Q551" s="647"/>
      <c r="R551" s="647"/>
      <c r="S551" s="647"/>
      <c r="T551" s="647"/>
      <c r="U551" s="647"/>
      <c r="V551" s="648"/>
      <c r="W551" s="37" t="s">
        <v>65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7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4"/>
      <c r="P552" s="737" t="s">
        <v>852</v>
      </c>
      <c r="Q552" s="738"/>
      <c r="R552" s="738"/>
      <c r="S552" s="738"/>
      <c r="T552" s="738"/>
      <c r="U552" s="738"/>
      <c r="V552" s="739"/>
      <c r="W552" s="37" t="s">
        <v>65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1550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1575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4"/>
      <c r="P553" s="737" t="s">
        <v>853</v>
      </c>
      <c r="Q553" s="738"/>
      <c r="R553" s="738"/>
      <c r="S553" s="738"/>
      <c r="T553" s="738"/>
      <c r="U553" s="738"/>
      <c r="V553" s="739"/>
      <c r="W553" s="37" t="s">
        <v>65</v>
      </c>
      <c r="X553" s="631">
        <f>IFERROR(SUM(BM22:BM549),"0")</f>
        <v>1598.5666666666666</v>
      </c>
      <c r="Y553" s="631">
        <f>IFERROR(SUM(BN22:BN549),"0")</f>
        <v>1624.35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4"/>
      <c r="P554" s="737" t="s">
        <v>854</v>
      </c>
      <c r="Q554" s="738"/>
      <c r="R554" s="738"/>
      <c r="S554" s="738"/>
      <c r="T554" s="738"/>
      <c r="U554" s="738"/>
      <c r="V554" s="739"/>
      <c r="W554" s="37" t="s">
        <v>855</v>
      </c>
      <c r="X554" s="38">
        <f>ROUNDUP(SUM(BO22:BO549),0)</f>
        <v>3</v>
      </c>
      <c r="Y554" s="38">
        <f>ROUNDUP(SUM(BP22:BP549),0)</f>
        <v>3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4"/>
      <c r="P555" s="737" t="s">
        <v>856</v>
      </c>
      <c r="Q555" s="738"/>
      <c r="R555" s="738"/>
      <c r="S555" s="738"/>
      <c r="T555" s="738"/>
      <c r="U555" s="738"/>
      <c r="V555" s="739"/>
      <c r="W555" s="37" t="s">
        <v>65</v>
      </c>
      <c r="X555" s="631">
        <f>GrossWeightTotal+PalletQtyTotal*25</f>
        <v>1673.5666666666666</v>
      </c>
      <c r="Y555" s="631">
        <f>GrossWeightTotalR+PalletQtyTotalR*25</f>
        <v>1699.35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74"/>
      <c r="P556" s="737" t="s">
        <v>857</v>
      </c>
      <c r="Q556" s="738"/>
      <c r="R556" s="738"/>
      <c r="S556" s="738"/>
      <c r="T556" s="738"/>
      <c r="U556" s="738"/>
      <c r="V556" s="739"/>
      <c r="W556" s="37" t="s">
        <v>855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103.33333333333334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105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74"/>
      <c r="P557" s="737" t="s">
        <v>858</v>
      </c>
      <c r="Q557" s="738"/>
      <c r="R557" s="738"/>
      <c r="S557" s="738"/>
      <c r="T557" s="738"/>
      <c r="U557" s="738"/>
      <c r="V557" s="739"/>
      <c r="W557" s="39" t="s">
        <v>859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2.2837499999999999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860</v>
      </c>
      <c r="B559" s="621" t="s">
        <v>59</v>
      </c>
      <c r="C559" s="621" t="s">
        <v>90</v>
      </c>
      <c r="D559" s="687" t="s">
        <v>109</v>
      </c>
      <c r="E559" s="709"/>
      <c r="F559" s="709"/>
      <c r="G559" s="709"/>
      <c r="H559" s="709"/>
      <c r="I559" s="709"/>
      <c r="J559" s="710"/>
      <c r="K559" s="687" t="s">
        <v>337</v>
      </c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10"/>
      <c r="W559" s="687" t="s">
        <v>680</v>
      </c>
      <c r="X559" s="710"/>
      <c r="Y559" s="687" t="s">
        <v>746</v>
      </c>
      <c r="Z559" s="710"/>
      <c r="AA559" s="621" t="s">
        <v>782</v>
      </c>
      <c r="AB559" s="687" t="s">
        <v>829</v>
      </c>
      <c r="AC559" s="710"/>
      <c r="AF559" s="622"/>
    </row>
    <row r="560" spans="1:68" ht="14.25" customHeight="1" thickTop="1" x14ac:dyDescent="0.2">
      <c r="A560" s="702" t="s">
        <v>861</v>
      </c>
      <c r="B560" s="687" t="s">
        <v>59</v>
      </c>
      <c r="C560" s="687" t="s">
        <v>91</v>
      </c>
      <c r="D560" s="687" t="s">
        <v>110</v>
      </c>
      <c r="E560" s="687" t="s">
        <v>126</v>
      </c>
      <c r="F560" s="687" t="s">
        <v>168</v>
      </c>
      <c r="G560" s="687" t="s">
        <v>189</v>
      </c>
      <c r="H560" s="687" t="s">
        <v>229</v>
      </c>
      <c r="I560" s="687" t="s">
        <v>253</v>
      </c>
      <c r="J560" s="687" t="s">
        <v>109</v>
      </c>
      <c r="K560" s="687" t="s">
        <v>338</v>
      </c>
      <c r="L560" s="687" t="s">
        <v>359</v>
      </c>
      <c r="M560" s="687" t="s">
        <v>426</v>
      </c>
      <c r="N560" s="622"/>
      <c r="O560" s="687" t="s">
        <v>494</v>
      </c>
      <c r="P560" s="687" t="s">
        <v>527</v>
      </c>
      <c r="Q560" s="687" t="s">
        <v>543</v>
      </c>
      <c r="R560" s="687" t="s">
        <v>552</v>
      </c>
      <c r="S560" s="687" t="s">
        <v>573</v>
      </c>
      <c r="T560" s="687" t="s">
        <v>582</v>
      </c>
      <c r="U560" s="687" t="s">
        <v>663</v>
      </c>
      <c r="V560" s="687" t="s">
        <v>670</v>
      </c>
      <c r="W560" s="687" t="s">
        <v>681</v>
      </c>
      <c r="X560" s="687" t="s">
        <v>730</v>
      </c>
      <c r="Y560" s="687" t="s">
        <v>747</v>
      </c>
      <c r="Z560" s="687" t="s">
        <v>770</v>
      </c>
      <c r="AA560" s="687" t="s">
        <v>782</v>
      </c>
      <c r="AB560" s="687" t="s">
        <v>829</v>
      </c>
      <c r="AC560" s="687" t="s">
        <v>848</v>
      </c>
      <c r="AF560" s="622"/>
    </row>
    <row r="561" spans="1:32" ht="13.9" customHeight="1" thickBot="1" x14ac:dyDescent="0.25">
      <c r="A561" s="703"/>
      <c r="B561" s="688"/>
      <c r="C561" s="688"/>
      <c r="D561" s="688"/>
      <c r="E561" s="688"/>
      <c r="F561" s="688"/>
      <c r="G561" s="688"/>
      <c r="H561" s="688"/>
      <c r="I561" s="688"/>
      <c r="J561" s="688"/>
      <c r="K561" s="688"/>
      <c r="L561" s="688"/>
      <c r="M561" s="688"/>
      <c r="N561" s="622"/>
      <c r="O561" s="688"/>
      <c r="P561" s="688"/>
      <c r="Q561" s="688"/>
      <c r="R561" s="688"/>
      <c r="S561" s="688"/>
      <c r="T561" s="688"/>
      <c r="U561" s="688"/>
      <c r="V561" s="688"/>
      <c r="W561" s="688"/>
      <c r="X561" s="688"/>
      <c r="Y561" s="688"/>
      <c r="Z561" s="688"/>
      <c r="AA561" s="688"/>
      <c r="AB561" s="688"/>
      <c r="AC561" s="688"/>
      <c r="AF561" s="622"/>
    </row>
    <row r="562" spans="1:32" ht="15" customHeight="1" thickTop="1" thickBot="1" x14ac:dyDescent="0.25">
      <c r="A562" s="40" t="s">
        <v>862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0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1575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550,00"/>
        <filter val="1 598,57"/>
        <filter val="1 673,57"/>
        <filter val="103,33"/>
        <filter val="200,00"/>
        <filter val="3"/>
        <filter val="30,00"/>
        <filter val="300,00"/>
        <filter val="400,00"/>
        <filter val="450,00"/>
        <filter val="73,33"/>
      </filters>
    </filterColumn>
    <filterColumn colId="29" showButton="0"/>
    <filterColumn colId="30" showButton="0"/>
  </autoFilter>
  <mergeCells count="989"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P136:T136"/>
    <mergeCell ref="P305:V305"/>
    <mergeCell ref="D244:E244"/>
    <mergeCell ref="P228:T228"/>
    <mergeCell ref="P499:T499"/>
    <mergeCell ref="D342:E342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D17:E18"/>
    <mergeCell ref="D515:E515"/>
    <mergeCell ref="D471:E471"/>
    <mergeCell ref="A449:O450"/>
    <mergeCell ref="A440:Z440"/>
    <mergeCell ref="P419:V419"/>
    <mergeCell ref="P145:V145"/>
    <mergeCell ref="P381:V381"/>
    <mergeCell ref="P368:T368"/>
    <mergeCell ref="A8:C8"/>
    <mergeCell ref="P385:T385"/>
    <mergeCell ref="P410:T410"/>
    <mergeCell ref="P447:T447"/>
    <mergeCell ref="X17:X18"/>
    <mergeCell ref="D123:E123"/>
    <mergeCell ref="P58:T58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P60:T60"/>
    <mergeCell ref="A469:Z469"/>
    <mergeCell ref="P131:V131"/>
    <mergeCell ref="D323:E323"/>
    <mergeCell ref="D223:E223"/>
    <mergeCell ref="D279:E279"/>
    <mergeCell ref="P406:V406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D291:E291"/>
    <mergeCell ref="D239:E239"/>
    <mergeCell ref="P174:T174"/>
    <mergeCell ref="D521:E521"/>
    <mergeCell ref="A254:Z254"/>
    <mergeCell ref="P181:T181"/>
    <mergeCell ref="P105:V105"/>
    <mergeCell ref="D215:E215"/>
    <mergeCell ref="D386:E386"/>
    <mergeCell ref="A364:O365"/>
    <mergeCell ref="P492:V492"/>
    <mergeCell ref="A409:Z409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52"/>
    </row>
    <row r="3" spans="2:8" x14ac:dyDescent="0.2">
      <c r="B3" s="47" t="s">
        <v>864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865</v>
      </c>
      <c r="C6" s="47" t="s">
        <v>866</v>
      </c>
      <c r="D6" s="47" t="s">
        <v>867</v>
      </c>
      <c r="E6" s="47"/>
    </row>
    <row r="7" spans="2:8" x14ac:dyDescent="0.2">
      <c r="B7" s="47" t="s">
        <v>868</v>
      </c>
      <c r="C7" s="47" t="s">
        <v>869</v>
      </c>
      <c r="D7" s="47" t="s">
        <v>870</v>
      </c>
      <c r="E7" s="47"/>
    </row>
    <row r="8" spans="2:8" x14ac:dyDescent="0.2">
      <c r="B8" s="47" t="s">
        <v>871</v>
      </c>
      <c r="C8" s="47" t="s">
        <v>872</v>
      </c>
      <c r="D8" s="47" t="s">
        <v>873</v>
      </c>
      <c r="E8" s="47"/>
    </row>
    <row r="9" spans="2:8" x14ac:dyDescent="0.2">
      <c r="B9" s="47" t="s">
        <v>874</v>
      </c>
      <c r="C9" s="47" t="s">
        <v>875</v>
      </c>
      <c r="D9" s="47" t="s">
        <v>876</v>
      </c>
      <c r="E9" s="47"/>
    </row>
    <row r="10" spans="2:8" x14ac:dyDescent="0.2">
      <c r="B10" s="47" t="s">
        <v>877</v>
      </c>
      <c r="C10" s="47" t="s">
        <v>878</v>
      </c>
      <c r="D10" s="47" t="s">
        <v>879</v>
      </c>
      <c r="E10" s="47"/>
    </row>
    <row r="11" spans="2:8" x14ac:dyDescent="0.2">
      <c r="B11" s="47" t="s">
        <v>880</v>
      </c>
      <c r="C11" s="47" t="s">
        <v>881</v>
      </c>
      <c r="D11" s="47" t="s">
        <v>882</v>
      </c>
      <c r="E11" s="47"/>
    </row>
    <row r="12" spans="2:8" x14ac:dyDescent="0.2">
      <c r="B12" s="47" t="s">
        <v>883</v>
      </c>
      <c r="C12" s="47" t="s">
        <v>884</v>
      </c>
      <c r="D12" s="47" t="s">
        <v>885</v>
      </c>
      <c r="E12" s="47"/>
    </row>
    <row r="14" spans="2:8" x14ac:dyDescent="0.2">
      <c r="B14" s="47" t="s">
        <v>886</v>
      </c>
      <c r="C14" s="47" t="s">
        <v>866</v>
      </c>
      <c r="D14" s="47"/>
      <c r="E14" s="47"/>
    </row>
    <row r="16" spans="2:8" x14ac:dyDescent="0.2">
      <c r="B16" s="47" t="s">
        <v>887</v>
      </c>
      <c r="C16" s="47" t="s">
        <v>869</v>
      </c>
      <c r="D16" s="47"/>
      <c r="E16" s="47"/>
    </row>
    <row r="18" spans="2:5" x14ac:dyDescent="0.2">
      <c r="B18" s="47" t="s">
        <v>888</v>
      </c>
      <c r="C18" s="47" t="s">
        <v>872</v>
      </c>
      <c r="D18" s="47"/>
      <c r="E18" s="47"/>
    </row>
    <row r="20" spans="2:5" x14ac:dyDescent="0.2">
      <c r="B20" s="47" t="s">
        <v>889</v>
      </c>
      <c r="C20" s="47" t="s">
        <v>875</v>
      </c>
      <c r="D20" s="47"/>
      <c r="E20" s="47"/>
    </row>
    <row r="22" spans="2:5" x14ac:dyDescent="0.2">
      <c r="B22" s="47" t="s">
        <v>890</v>
      </c>
      <c r="C22" s="47" t="s">
        <v>878</v>
      </c>
      <c r="D22" s="47"/>
      <c r="E22" s="47"/>
    </row>
    <row r="24" spans="2:5" x14ac:dyDescent="0.2">
      <c r="B24" s="47" t="s">
        <v>891</v>
      </c>
      <c r="C24" s="47" t="s">
        <v>881</v>
      </c>
      <c r="D24" s="47"/>
      <c r="E24" s="47"/>
    </row>
    <row r="26" spans="2:5" x14ac:dyDescent="0.2">
      <c r="B26" s="47" t="s">
        <v>892</v>
      </c>
      <c r="C26" s="47" t="s">
        <v>884</v>
      </c>
      <c r="D26" s="47"/>
      <c r="E26" s="47"/>
    </row>
    <row r="28" spans="2:5" x14ac:dyDescent="0.2">
      <c r="B28" s="47" t="s">
        <v>893</v>
      </c>
      <c r="C28" s="47"/>
      <c r="D28" s="47"/>
      <c r="E28" s="47"/>
    </row>
    <row r="29" spans="2:5" x14ac:dyDescent="0.2">
      <c r="B29" s="47" t="s">
        <v>894</v>
      </c>
      <c r="C29" s="47"/>
      <c r="D29" s="47"/>
      <c r="E29" s="47"/>
    </row>
    <row r="30" spans="2:5" x14ac:dyDescent="0.2">
      <c r="B30" s="47" t="s">
        <v>895</v>
      </c>
      <c r="C30" s="47"/>
      <c r="D30" s="47"/>
      <c r="E30" s="47"/>
    </row>
    <row r="31" spans="2:5" x14ac:dyDescent="0.2">
      <c r="B31" s="47" t="s">
        <v>896</v>
      </c>
      <c r="C31" s="47"/>
      <c r="D31" s="47"/>
      <c r="E31" s="47"/>
    </row>
    <row r="32" spans="2:5" x14ac:dyDescent="0.2">
      <c r="B32" s="47" t="s">
        <v>897</v>
      </c>
      <c r="C32" s="47"/>
      <c r="D32" s="47"/>
      <c r="E32" s="47"/>
    </row>
    <row r="33" spans="2:5" x14ac:dyDescent="0.2">
      <c r="B33" s="47" t="s">
        <v>898</v>
      </c>
      <c r="C33" s="47"/>
      <c r="D33" s="47"/>
      <c r="E33" s="47"/>
    </row>
    <row r="34" spans="2:5" x14ac:dyDescent="0.2">
      <c r="B34" s="47" t="s">
        <v>899</v>
      </c>
      <c r="C34" s="47"/>
      <c r="D34" s="47"/>
      <c r="E34" s="47"/>
    </row>
    <row r="35" spans="2:5" x14ac:dyDescent="0.2">
      <c r="B35" s="47" t="s">
        <v>900</v>
      </c>
      <c r="C35" s="47"/>
      <c r="D35" s="47"/>
      <c r="E35" s="47"/>
    </row>
    <row r="36" spans="2:5" x14ac:dyDescent="0.2">
      <c r="B36" s="47" t="s">
        <v>901</v>
      </c>
      <c r="C36" s="47"/>
      <c r="D36" s="47"/>
      <c r="E36" s="47"/>
    </row>
    <row r="37" spans="2:5" x14ac:dyDescent="0.2">
      <c r="B37" s="47" t="s">
        <v>902</v>
      </c>
      <c r="C37" s="47"/>
      <c r="D37" s="47"/>
      <c r="E37" s="47"/>
    </row>
    <row r="38" spans="2:5" x14ac:dyDescent="0.2">
      <c r="B38" s="47" t="s">
        <v>903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