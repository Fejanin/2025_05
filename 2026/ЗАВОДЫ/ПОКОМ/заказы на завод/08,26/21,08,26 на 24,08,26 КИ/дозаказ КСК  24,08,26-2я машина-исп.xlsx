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E72595-F401-4C3E-8C15-2A679D091A3C}" xr6:coauthVersionLast="47" xr6:coauthVersionMax="47" xr10:uidLastSave="{00000000-0000-0000-0000-000000000000}"/>
  <bookViews>
    <workbookView xWindow="1350" yWindow="60" windowWidth="27315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N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18" i="2" l="1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<sst xmlns="http://schemas.openxmlformats.org/spreadsheetml/2006/main" count="4194" uniqueCount="891">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</sst>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9" zoomScaleNormal="100" zoomScaleSheetLayoutView="100" workbookViewId="0">
      <selection activeCell="X552" sqref="X55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46258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0.45833333333333331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1200</v>
      </c>
      <c r="Y66" s="55">
        <f t="shared" si="0"/>
        <v>1201.5</v>
      </c>
      <c r="Z66" s="41">
        <f>IFERROR(IF(Y66=0,"",ROUNDUP(Y66/H66,0)*0.00902),"")</f>
        <v>2.4083399999999999</v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1250.666666666667</v>
      </c>
      <c r="BN66" s="78">
        <f t="shared" si="2"/>
        <v>1252.2300000000002</v>
      </c>
      <c r="BO66" s="78">
        <f t="shared" si="3"/>
        <v>2.0202020202020203</v>
      </c>
      <c r="BP66" s="78">
        <f t="shared" si="4"/>
        <v>2.0227272727272729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266.66666666666669</v>
      </c>
      <c r="Y67" s="43">
        <f>IFERROR(Y59/H59,"0")+IFERROR(Y60/H60,"0")+IFERROR(Y61/H61,"0")+IFERROR(Y62/H62,"0")+IFERROR(Y63/H63,"0")+IFERROR(Y64/H64,"0")+IFERROR(Y65/H65,"0")+IFERROR(Y66/H66,"0")</f>
        <v>267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2.4083399999999999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1200</v>
      </c>
      <c r="Y68" s="43">
        <f>IFERROR(SUM(Y59:Y66),"0")</f>
        <v>1201.5</v>
      </c>
      <c r="Z68" s="42"/>
      <c r="AA68" s="67"/>
      <c r="AB68" s="67"/>
      <c r="AC68" s="67"/>
    </row>
    <row r="69" spans="1:68" ht="14.25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1200</v>
      </c>
      <c r="Y91" s="55">
        <f>IFERROR(IF(X91="",0,CEILING((X91/$H91),1)*$H91),"")</f>
        <v>1201.5</v>
      </c>
      <c r="Z91" s="41">
        <f>IFERROR(IF(Y91=0,"",ROUNDUP(Y91/H91,0)*0.00902),"")</f>
        <v>2.4083399999999999</v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1250.666666666667</v>
      </c>
      <c r="BN91" s="78">
        <f>IFERROR(Y91*I91/H91,"0")</f>
        <v>1252.2300000000002</v>
      </c>
      <c r="BO91" s="78">
        <f>IFERROR(1/J91*(X91/H91),"0")</f>
        <v>2.0202020202020203</v>
      </c>
      <c r="BP91" s="78">
        <f>IFERROR(1/J91*(Y91/H91),"0")</f>
        <v>2.0227272727272729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266.66666666666669</v>
      </c>
      <c r="Y92" s="43">
        <f>IFERROR(Y88/H88,"0")+IFERROR(Y89/H89,"0")+IFERROR(Y90/H90,"0")+IFERROR(Y91/H91,"0")</f>
        <v>267</v>
      </c>
      <c r="Z92" s="43">
        <f>IFERROR(IF(Z88="",0,Z88),"0")+IFERROR(IF(Z89="",0,Z89),"0")+IFERROR(IF(Z90="",0,Z90),"0")+IFERROR(IF(Z91="",0,Z91),"0")</f>
        <v>2.4083399999999999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1200</v>
      </c>
      <c r="Y93" s="43">
        <f>IFERROR(SUM(Y88:Y91),"0")</f>
        <v>1201.5</v>
      </c>
      <c r="Z93" s="42"/>
      <c r="AA93" s="67"/>
      <c r="AB93" s="67"/>
      <c r="AC93" s="67"/>
    </row>
    <row r="94" spans="1:68" ht="14.25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700</v>
      </c>
      <c r="Y95" s="55">
        <f>IFERROR(IF(X95="",0,CEILING((X95/$H95),1)*$H95),"")</f>
        <v>704.69999999999993</v>
      </c>
      <c r="Z95" s="41">
        <f>IFERROR(IF(Y95=0,"",ROUNDUP(Y95/H95,0)*0.01898),"")</f>
        <v>1.65126</v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742.69135802469134</v>
      </c>
      <c r="BN95" s="78">
        <f>IFERROR(Y95*I95/H95,"0")</f>
        <v>747.67799999999988</v>
      </c>
      <c r="BO95" s="78">
        <f>IFERROR(1/J95*(X95/H95),"0")</f>
        <v>1.3503086419753088</v>
      </c>
      <c r="BP95" s="78">
        <f>IFERROR(1/J95*(Y95/H95),"0")</f>
        <v>1.359375</v>
      </c>
    </row>
    <row r="96" spans="1:68" ht="27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1200</v>
      </c>
      <c r="Y97" s="55">
        <f>IFERROR(IF(X97="",0,CEILING((X97/$H97),1)*$H97),"")</f>
        <v>1201.5</v>
      </c>
      <c r="Z97" s="41">
        <f>IFERROR(IF(Y97=0,"",ROUNDUP(Y97/H97,0)*0.00651),"")</f>
        <v>2.8969499999999999</v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1312</v>
      </c>
      <c r="BN97" s="78">
        <f>IFERROR(Y97*I97/H97,"0")</f>
        <v>1313.6399999999999</v>
      </c>
      <c r="BO97" s="78">
        <f>IFERROR(1/J97*(X97/H97),"0")</f>
        <v>2.4420024420024418</v>
      </c>
      <c r="BP97" s="78">
        <f>IFERROR(1/J97*(Y97/H97),"0")</f>
        <v>2.4450549450549448</v>
      </c>
    </row>
    <row r="98" spans="1:68" ht="16.5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530.8641975308642</v>
      </c>
      <c r="Y99" s="43">
        <f>IFERROR(Y95/H95,"0")+IFERROR(Y96/H96,"0")+IFERROR(Y97/H97,"0")+IFERROR(Y98/H98,"0")</f>
        <v>532</v>
      </c>
      <c r="Z99" s="43">
        <f>IFERROR(IF(Z95="",0,Z95),"0")+IFERROR(IF(Z96="",0,Z96),"0")+IFERROR(IF(Z97="",0,Z97),"0")+IFERROR(IF(Z98="",0,Z98),"0")</f>
        <v>4.5482100000000001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1900</v>
      </c>
      <c r="Y100" s="43">
        <f>IFERROR(SUM(Y95:Y98),"0")</f>
        <v>1906.1999999999998</v>
      </c>
      <c r="Z100" s="42"/>
      <c r="AA100" s="67"/>
      <c r="AB100" s="67"/>
      <c r="AC100" s="67"/>
    </row>
    <row r="101" spans="1:68" ht="16.5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500</v>
      </c>
      <c r="Y122" s="55">
        <f>IFERROR(IF(X122="",0,CEILING((X122/$H122),1)*$H122),"")</f>
        <v>502.20000000000005</v>
      </c>
      <c r="Z122" s="41">
        <f>IFERROR(IF(Y122=0,"",ROUNDUP(Y122/H122,0)*0.00651),"")</f>
        <v>1.21086</v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546.66666666666663</v>
      </c>
      <c r="BN122" s="78">
        <f>IFERROR(Y122*I122/H122,"0")</f>
        <v>549.072</v>
      </c>
      <c r="BO122" s="78">
        <f>IFERROR(1/J122*(X122/H122),"0")</f>
        <v>1.0175010175010175</v>
      </c>
      <c r="BP122" s="78">
        <f>IFERROR(1/J122*(Y122/H122),"0")</f>
        <v>1.0219780219780221</v>
      </c>
    </row>
    <row r="123" spans="1:68" ht="16.5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185.18518518518516</v>
      </c>
      <c r="Y124" s="43">
        <f>IFERROR(Y120/H120,"0")+IFERROR(Y121/H121,"0")+IFERROR(Y122/H122,"0")+IFERROR(Y123/H123,"0")</f>
        <v>186</v>
      </c>
      <c r="Z124" s="43">
        <f>IFERROR(IF(Z120="",0,Z120),"0")+IFERROR(IF(Z121="",0,Z121),"0")+IFERROR(IF(Z122="",0,Z122),"0")+IFERROR(IF(Z123="",0,Z123),"0")</f>
        <v>1.21086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500</v>
      </c>
      <c r="Y125" s="43">
        <f>IFERROR(SUM(Y120:Y123),"0")</f>
        <v>502.20000000000005</v>
      </c>
      <c r="Z125" s="42"/>
      <c r="AA125" s="67"/>
      <c r="AB125" s="67"/>
      <c r="AC125" s="67"/>
    </row>
    <row r="126" spans="1:68" ht="14.25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4800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4811.3999999999996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5102.6913580246919</v>
      </c>
      <c r="Y552" s="43">
        <f>IFERROR(SUM(BN22:BN548),"0")</f>
        <v>5114.8500000000004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9</v>
      </c>
      <c r="Y553" s="44">
        <f>ROUNDUP(SUM(BP22:BP548),0)</f>
        <v>9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5327.6913580246919</v>
      </c>
      <c r="Y554" s="43">
        <f>GrossWeightTotalR+PalletQtyTotalR*25</f>
        <v>5339.85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1249.3827160493829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1252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10.575749999999999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1201.5</v>
      </c>
      <c r="F561" s="52">
        <f>IFERROR(Y88*1,"0")+IFERROR(Y89*1,"0")+IFERROR(Y90*1,"0")+IFERROR(Y91*1,"0")+IFERROR(Y95*1,"0")+IFERROR(Y96*1,"0")+IFERROR(Y97*1,"0")+IFERROR(Y98*1,"0")</f>
        <v>3107.7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502.20000000000005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1148</vt:i4>
      </vt:variant>
    </vt:vector>
  </HeadingPairs>
  <TitlesOfParts>
    <vt:vector size="115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2026-08-24T07:37:30Z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