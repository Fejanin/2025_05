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01501E7-DC49-4876-8A4A-D215BA3AE48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Y396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P35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Y320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P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Y80" i="2" s="1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Z94" i="2" l="1"/>
  <c r="BN94" i="2"/>
  <c r="Z101" i="2"/>
  <c r="BN101" i="2"/>
  <c r="Z288" i="2"/>
  <c r="BN288" i="2"/>
  <c r="Z299" i="2"/>
  <c r="Z217" i="2"/>
  <c r="Z218" i="2" s="1"/>
  <c r="Z38" i="2"/>
  <c r="BN38" i="2"/>
  <c r="Z241" i="2"/>
  <c r="Z344" i="2"/>
  <c r="BP22" i="2"/>
  <c r="Y25" i="2"/>
  <c r="Z50" i="2"/>
  <c r="BN50" i="2"/>
  <c r="Z180" i="2"/>
  <c r="Z232" i="2"/>
  <c r="Z258" i="2"/>
  <c r="BP319" i="2"/>
  <c r="Z327" i="2"/>
  <c r="Z356" i="2"/>
  <c r="Z474" i="2"/>
  <c r="Z84" i="2"/>
  <c r="BN84" i="2"/>
  <c r="Z31" i="2"/>
  <c r="BN31" i="2"/>
  <c r="Z67" i="2"/>
  <c r="BN67" i="2"/>
  <c r="Z112" i="2"/>
  <c r="Z170" i="2"/>
  <c r="Z172" i="2" s="1"/>
  <c r="Z210" i="2"/>
  <c r="BN210" i="2"/>
  <c r="Z223" i="2"/>
  <c r="BN223" i="2"/>
  <c r="Z234" i="2"/>
  <c r="Y254" i="2"/>
  <c r="Z274" i="2"/>
  <c r="Z309" i="2"/>
  <c r="Z310" i="2" s="1"/>
  <c r="Y310" i="2"/>
  <c r="Y311" i="2"/>
  <c r="Z363" i="2"/>
  <c r="Z375" i="2"/>
  <c r="Z388" i="2"/>
  <c r="Z406" i="2"/>
  <c r="BN406" i="2"/>
  <c r="Z512" i="2"/>
  <c r="BN512" i="2"/>
  <c r="Z513" i="2"/>
  <c r="BN27" i="2"/>
  <c r="BN37" i="2"/>
  <c r="BN39" i="2"/>
  <c r="BN85" i="2"/>
  <c r="BP109" i="2"/>
  <c r="BN109" i="2"/>
  <c r="Z109" i="2"/>
  <c r="BN138" i="2"/>
  <c r="Z138" i="2"/>
  <c r="BN144" i="2"/>
  <c r="Z144" i="2"/>
  <c r="BN155" i="2"/>
  <c r="Z155" i="2"/>
  <c r="BN176" i="2"/>
  <c r="Z176" i="2"/>
  <c r="BP206" i="2"/>
  <c r="BN206" i="2"/>
  <c r="Z206" i="2"/>
  <c r="BN257" i="2"/>
  <c r="Z257" i="2"/>
  <c r="Z259" i="2" s="1"/>
  <c r="BN280" i="2"/>
  <c r="Z280" i="2"/>
  <c r="BP301" i="2"/>
  <c r="BN301" i="2"/>
  <c r="Z301" i="2"/>
  <c r="BN335" i="2"/>
  <c r="Z335" i="2"/>
  <c r="BN343" i="2"/>
  <c r="Z343" i="2"/>
  <c r="BN355" i="2"/>
  <c r="BP355" i="2"/>
  <c r="BN364" i="2"/>
  <c r="Z364" i="2"/>
  <c r="BP373" i="2"/>
  <c r="Z373" i="2"/>
  <c r="BP387" i="2"/>
  <c r="Z387" i="2"/>
  <c r="BN401" i="2"/>
  <c r="BP401" i="2"/>
  <c r="BP443" i="2"/>
  <c r="Z443" i="2"/>
  <c r="BP456" i="2"/>
  <c r="BN456" i="2"/>
  <c r="Z456" i="2"/>
  <c r="BN505" i="2"/>
  <c r="Z48" i="2"/>
  <c r="Z57" i="2"/>
  <c r="BN57" i="2"/>
  <c r="Z78" i="2"/>
  <c r="BN78" i="2"/>
  <c r="BP78" i="2"/>
  <c r="Z92" i="2"/>
  <c r="BP113" i="2"/>
  <c r="Z113" i="2"/>
  <c r="BN119" i="2"/>
  <c r="Z119" i="2"/>
  <c r="BP138" i="2"/>
  <c r="BN142" i="2"/>
  <c r="Z142" i="2"/>
  <c r="BP144" i="2"/>
  <c r="I564" i="2"/>
  <c r="BN150" i="2"/>
  <c r="Z150" i="2"/>
  <c r="BN153" i="2"/>
  <c r="Z153" i="2"/>
  <c r="BP155" i="2"/>
  <c r="BP166" i="2"/>
  <c r="BN166" i="2"/>
  <c r="Z166" i="2"/>
  <c r="BP176" i="2"/>
  <c r="BP178" i="2"/>
  <c r="BN178" i="2"/>
  <c r="Z178" i="2"/>
  <c r="BN212" i="2"/>
  <c r="BP212" i="2"/>
  <c r="BP225" i="2"/>
  <c r="Z225" i="2"/>
  <c r="BN238" i="2"/>
  <c r="BP268" i="2"/>
  <c r="Z268" i="2"/>
  <c r="BP280" i="2"/>
  <c r="BP284" i="2"/>
  <c r="BN284" i="2"/>
  <c r="Z284" i="2"/>
  <c r="BP317" i="2"/>
  <c r="BN317" i="2"/>
  <c r="Z317" i="2"/>
  <c r="BP335" i="2"/>
  <c r="BN342" i="2"/>
  <c r="Z342" i="2"/>
  <c r="S564" i="2"/>
  <c r="Y358" i="2"/>
  <c r="Z354" i="2"/>
  <c r="BP364" i="2"/>
  <c r="BN365" i="2"/>
  <c r="Z365" i="2"/>
  <c r="Y389" i="2"/>
  <c r="Z386" i="2"/>
  <c r="BP394" i="2"/>
  <c r="Z394" i="2"/>
  <c r="BN407" i="2"/>
  <c r="Y421" i="2"/>
  <c r="BP418" i="2"/>
  <c r="BN418" i="2"/>
  <c r="Z418" i="2"/>
  <c r="BN487" i="2"/>
  <c r="Z487" i="2"/>
  <c r="Z488" i="2" s="1"/>
  <c r="BN493" i="2"/>
  <c r="Y114" i="2"/>
  <c r="BN137" i="2"/>
  <c r="BN151" i="2"/>
  <c r="BN191" i="2"/>
  <c r="BP217" i="2"/>
  <c r="BP232" i="2"/>
  <c r="BP241" i="2"/>
  <c r="BP274" i="2"/>
  <c r="BN334" i="2"/>
  <c r="BP375" i="2"/>
  <c r="BN380" i="2"/>
  <c r="Y409" i="2"/>
  <c r="BN419" i="2"/>
  <c r="BN430" i="2"/>
  <c r="BN445" i="2"/>
  <c r="BN500" i="2"/>
  <c r="Z519" i="2"/>
  <c r="BN521" i="2"/>
  <c r="BP529" i="2"/>
  <c r="Z533" i="2"/>
  <c r="Z534" i="2" s="1"/>
  <c r="BN533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76" i="2"/>
  <c r="BP491" i="2"/>
  <c r="Z501" i="2"/>
  <c r="Z511" i="2"/>
  <c r="Z514" i="2" s="1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295" i="2" s="1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Z24" i="2" s="1"/>
  <c r="BN48" i="2"/>
  <c r="Y51" i="2"/>
  <c r="BN59" i="2"/>
  <c r="BN69" i="2"/>
  <c r="Z7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32" i="2"/>
  <c r="BN444" i="2"/>
  <c r="Z455" i="2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Z402" i="2" s="1"/>
  <c r="BN427" i="2"/>
  <c r="BN437" i="2"/>
  <c r="Y440" i="2"/>
  <c r="BN460" i="2"/>
  <c r="Z472" i="2"/>
  <c r="Z482" i="2"/>
  <c r="Y488" i="2"/>
  <c r="BN507" i="2"/>
  <c r="Z517" i="2"/>
  <c r="Z529" i="2"/>
  <c r="Z530" i="2" s="1"/>
  <c r="Y534" i="2"/>
  <c r="Z541" i="2"/>
  <c r="Z542" i="2" s="1"/>
  <c r="Z546" i="2"/>
  <c r="Z37" i="2"/>
  <c r="Z49" i="2"/>
  <c r="Z60" i="2"/>
  <c r="Y75" i="2"/>
  <c r="Z93" i="2"/>
  <c r="Z95" i="2" s="1"/>
  <c r="Z104" i="2"/>
  <c r="Z137" i="2"/>
  <c r="Z226" i="2"/>
  <c r="Z246" i="2"/>
  <c r="Z249" i="2" s="1"/>
  <c r="Y260" i="2"/>
  <c r="Z269" i="2"/>
  <c r="Z279" i="2"/>
  <c r="Z300" i="2"/>
  <c r="Z334" i="2"/>
  <c r="Y350" i="2"/>
  <c r="Z369" i="2"/>
  <c r="Z379" i="2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88" i="2" l="1"/>
  <c r="Z383" i="2"/>
  <c r="Z306" i="2"/>
  <c r="Z275" i="2"/>
  <c r="Z139" i="2"/>
  <c r="Z483" i="2"/>
  <c r="Z434" i="2"/>
  <c r="Z366" i="2"/>
  <c r="Z329" i="2"/>
  <c r="Z32" i="2"/>
  <c r="Z186" i="2"/>
  <c r="Z421" i="2"/>
  <c r="Z357" i="2"/>
  <c r="Z320" i="2"/>
  <c r="Z197" i="2"/>
  <c r="Z467" i="2"/>
  <c r="Z114" i="2"/>
  <c r="X557" i="2"/>
  <c r="Z51" i="2"/>
  <c r="Z547" i="2"/>
  <c r="Z478" i="2"/>
  <c r="Z243" i="2"/>
  <c r="Z457" i="2"/>
  <c r="Z167" i="2"/>
  <c r="Z446" i="2"/>
  <c r="Z336" i="2"/>
  <c r="Z440" i="2"/>
  <c r="Z80" i="2"/>
  <c r="Z70" i="2"/>
  <c r="Z345" i="2"/>
  <c r="Z145" i="2"/>
  <c r="Z414" i="2"/>
  <c r="Z389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<sst xmlns="http://schemas.openxmlformats.org/spreadsheetml/2006/main" count="4264" uniqueCount="914">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</sst>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84" sqref="AA8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 t="s">
        <v>913</v>
      </c>
      <c r="I5" s="1000"/>
      <c r="J5" s="1000"/>
      <c r="K5" s="1000"/>
      <c r="L5" s="1000"/>
      <c r="M5" s="1000"/>
      <c r="N5" s="72"/>
      <c r="P5" s="27" t="s">
        <v>4</v>
      </c>
      <c r="Q5" s="1002">
        <v>46258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 t="s">
        <v>886</v>
      </c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 t="str">
        <f>IFERROR(VLOOKUP(DeliveryAddress,Table,3,0),1)</f>
        <v>5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0.54166666666666663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50</v>
      </c>
      <c r="Y84" s="55">
        <f>IFERROR(IF(X84="",0,CEILING((X84/$H84),1)*$H84),"")</f>
        <v>54</v>
      </c>
      <c r="Z84" s="41">
        <f>IFERROR(IF(Y84=0,"",ROUNDUP(Y84/H84,0)*0.01898),"")</f>
        <v>9.4899999999999998E-2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51.898148148148145</v>
      </c>
      <c r="BN84" s="78">
        <f>IFERROR(Y84*I84/H84,"0")</f>
        <v>56.05</v>
      </c>
      <c r="BO84" s="78">
        <f>IFERROR(1/J84*(X84/H84),"0")</f>
        <v>7.2337962962962965E-2</v>
      </c>
      <c r="BP84" s="78">
        <f>IFERROR(1/J84*(Y84/H84),"0")</f>
        <v>7.8125E-2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4.6296296296296298</v>
      </c>
      <c r="Y88" s="43">
        <f>IFERROR(Y84/H84,"0")+IFERROR(Y85/H85,"0")+IFERROR(Y86/H86,"0")+IFERROR(Y87/H87,"0")</f>
        <v>5</v>
      </c>
      <c r="Z88" s="43">
        <f>IFERROR(IF(Z84="",0,Z84),"0")+IFERROR(IF(Z85="",0,Z85),"0")+IFERROR(IF(Z86="",0,Z86),"0")+IFERROR(IF(Z87="",0,Z87),"0")</f>
        <v>9.4899999999999998E-2</v>
      </c>
      <c r="AA88" s="67"/>
      <c r="AB88" s="67"/>
      <c r="AC88" s="67"/>
    </row>
    <row r="89" spans="1:68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50</v>
      </c>
      <c r="Y89" s="43">
        <f>IFERROR(SUM(Y84:Y87),"0")</f>
        <v>54</v>
      </c>
      <c r="Z89" s="42"/>
      <c r="AA89" s="67"/>
      <c r="AB89" s="67"/>
      <c r="AC89" s="67"/>
    </row>
    <row r="90" spans="1:68" ht="14.25" hidden="1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40</v>
      </c>
      <c r="Y117" s="55">
        <f>IFERROR(IF(X117="",0,CEILING((X117/$H117),1)*$H117),"")</f>
        <v>40.5</v>
      </c>
      <c r="Z117" s="41">
        <f>IFERROR(IF(Y117=0,"",ROUNDUP(Y117/H117,0)*0.01898),"")</f>
        <v>9.4899999999999998E-2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42.409876543209876</v>
      </c>
      <c r="BN117" s="78">
        <f>IFERROR(Y117*I117/H117,"0")</f>
        <v>42.94</v>
      </c>
      <c r="BO117" s="78">
        <f>IFERROR(1/J117*(X117/H117),"0")</f>
        <v>7.7160493827160503E-2</v>
      </c>
      <c r="BP117" s="78">
        <f>IFERROR(1/J117*(Y117/H117),"0")</f>
        <v>7.8125E-2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4.9382716049382722</v>
      </c>
      <c r="Y121" s="43">
        <f>IFERROR(Y117/H117,"0")+IFERROR(Y118/H118,"0")+IFERROR(Y119/H119,"0")+IFERROR(Y120/H120,"0")</f>
        <v>5</v>
      </c>
      <c r="Z121" s="43">
        <f>IFERROR(IF(Z117="",0,Z117),"0")+IFERROR(IF(Z118="",0,Z118),"0")+IFERROR(IF(Z119="",0,Z119),"0")+IFERROR(IF(Z120="",0,Z120),"0")</f>
        <v>9.4899999999999998E-2</v>
      </c>
      <c r="AA121" s="67"/>
      <c r="AB121" s="67"/>
      <c r="AC121" s="67"/>
    </row>
    <row r="122" spans="1:68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40</v>
      </c>
      <c r="Y122" s="43">
        <f>IFERROR(SUM(Y117:Y120),"0")</f>
        <v>40.5</v>
      </c>
      <c r="Z122" s="42"/>
      <c r="AA122" s="67"/>
      <c r="AB122" s="67"/>
      <c r="AC122" s="67"/>
    </row>
    <row r="123" spans="1:68" ht="14.25" hidden="1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15</v>
      </c>
      <c r="Y269" s="55">
        <f t="shared" si="33"/>
        <v>16.200000000000003</v>
      </c>
      <c r="Z269" s="41">
        <f>IFERROR(IF(Y269=0,"",ROUNDUP(Y269/H269,0)*0.00902),"")</f>
        <v>2.7060000000000001E-2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15.527777777777775</v>
      </c>
      <c r="BN269" s="78">
        <f t="shared" si="35"/>
        <v>16.77</v>
      </c>
      <c r="BO269" s="78">
        <f t="shared" si="36"/>
        <v>2.1043771043771045E-2</v>
      </c>
      <c r="BP269" s="78">
        <f t="shared" si="37"/>
        <v>2.2727272727272731E-2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15</v>
      </c>
      <c r="Y270" s="55">
        <f t="shared" si="33"/>
        <v>16.200000000000003</v>
      </c>
      <c r="Z270" s="41">
        <f>IFERROR(IF(Y270=0,"",ROUNDUP(Y270/H270,0)*0.00902),"")</f>
        <v>2.7060000000000001E-2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15.527777777777775</v>
      </c>
      <c r="BN270" s="78">
        <f t="shared" si="35"/>
        <v>16.77</v>
      </c>
      <c r="BO270" s="78">
        <f t="shared" si="36"/>
        <v>2.1043771043771045E-2</v>
      </c>
      <c r="BP270" s="78">
        <f t="shared" si="37"/>
        <v>2.2727272727272731E-2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5.5555555555555554</v>
      </c>
      <c r="Y275" s="43">
        <f>IFERROR(Y267/H267,"0")+IFERROR(Y268/H268,"0")+IFERROR(Y269/H269,"0")+IFERROR(Y270/H270,"0")+IFERROR(Y271/H271,"0")+IFERROR(Y272/H272,"0")+IFERROR(Y273/H273,"0")+IFERROR(Y274/H274,"0")</f>
        <v>6.0000000000000009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5.4120000000000001E-2</v>
      </c>
      <c r="AA275" s="67"/>
      <c r="AB275" s="67"/>
      <c r="AC275" s="67"/>
    </row>
    <row r="276" spans="1:68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30</v>
      </c>
      <c r="Y276" s="43">
        <f>IFERROR(SUM(Y267:Y274),"0")</f>
        <v>32.400000000000006</v>
      </c>
      <c r="Z276" s="42"/>
      <c r="AA276" s="67"/>
      <c r="AB276" s="67"/>
      <c r="AC276" s="67"/>
    </row>
    <row r="277" spans="1:68" ht="14.25" hidden="1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48</v>
      </c>
      <c r="Y284" s="55">
        <f t="shared" si="38"/>
        <v>48</v>
      </c>
      <c r="Z284" s="41">
        <f>IFERROR(IF(Y284=0,"",ROUNDUP(Y284/H284,0)*0.00651),"")</f>
        <v>0.13020000000000001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53.040000000000006</v>
      </c>
      <c r="BN284" s="78">
        <f t="shared" si="40"/>
        <v>53.040000000000006</v>
      </c>
      <c r="BO284" s="78">
        <f t="shared" si="41"/>
        <v>0.1098901098901099</v>
      </c>
      <c r="BP284" s="78">
        <f t="shared" si="42"/>
        <v>0.1098901098901099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0.13020000000000001</v>
      </c>
      <c r="AA290" s="67"/>
      <c r="AB290" s="67"/>
      <c r="AC290" s="67"/>
    </row>
    <row r="291" spans="1:68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48</v>
      </c>
      <c r="Y291" s="43">
        <f>IFERROR(SUM(Y278:Y289),"0")</f>
        <v>48</v>
      </c>
      <c r="Z291" s="42"/>
      <c r="AA291" s="67"/>
      <c r="AB291" s="67"/>
      <c r="AC291" s="67"/>
    </row>
    <row r="292" spans="1:68" ht="14.25" hidden="1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hidden="1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50</v>
      </c>
      <c r="Y387" s="55">
        <f>IFERROR(IF(X387="",0,CEILING((X387/$H387),1)*$H387),"")</f>
        <v>54.6</v>
      </c>
      <c r="Z387" s="41">
        <f>IFERROR(IF(Y387=0,"",ROUNDUP(Y387/H387,0)*0.01898),"")</f>
        <v>0.13286000000000001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53.166666666666671</v>
      </c>
      <c r="BN387" s="78">
        <f>IFERROR(Y387*I387/H387,"0")</f>
        <v>58.058000000000007</v>
      </c>
      <c r="BO387" s="78">
        <f>IFERROR(1/J387*(X387/H387),"0")</f>
        <v>0.10016025641025642</v>
      </c>
      <c r="BP387" s="78">
        <f>IFERROR(1/J387*(Y387/H387),"0")</f>
        <v>0.109375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6.4102564102564106</v>
      </c>
      <c r="Y389" s="43">
        <f>IFERROR(Y386/H386,"0")+IFERROR(Y387/H387,"0")+IFERROR(Y388/H388,"0")</f>
        <v>7</v>
      </c>
      <c r="Z389" s="43">
        <f>IFERROR(IF(Z386="",0,Z386),"0")+IFERROR(IF(Z387="",0,Z387),"0")+IFERROR(IF(Z388="",0,Z388),"0")</f>
        <v>0.13286000000000001</v>
      </c>
      <c r="AA389" s="67"/>
      <c r="AB389" s="67"/>
      <c r="AC389" s="67"/>
    </row>
    <row r="390" spans="1:68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50</v>
      </c>
      <c r="Y390" s="43">
        <f>IFERROR(SUM(Y386:Y388),"0")</f>
        <v>54.6</v>
      </c>
      <c r="Z390" s="42"/>
      <c r="AA390" s="67"/>
      <c r="AB390" s="67"/>
      <c r="AC390" s="67"/>
    </row>
    <row r="391" spans="1:68" ht="14.25" hidden="1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120</v>
      </c>
      <c r="Y427" s="55">
        <f t="shared" si="53"/>
        <v>120</v>
      </c>
      <c r="Z427" s="41">
        <f>IFERROR(IF(Y427=0,"",ROUNDUP(Y427/H427,0)*0.02175),"")</f>
        <v>0.17399999999999999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123.76</v>
      </c>
      <c r="BN427" s="78">
        <f t="shared" si="55"/>
        <v>123.76</v>
      </c>
      <c r="BO427" s="78">
        <f t="shared" si="56"/>
        <v>0.16666666666666666</v>
      </c>
      <c r="BP427" s="78">
        <f t="shared" si="57"/>
        <v>0.16666666666666666</v>
      </c>
    </row>
    <row r="428" spans="1:68" ht="27" hidden="1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150</v>
      </c>
      <c r="Y429" s="55">
        <f t="shared" si="53"/>
        <v>150</v>
      </c>
      <c r="Z429" s="41">
        <f>IFERROR(IF(Y429=0,"",ROUNDUP(Y429/H429,0)*0.02175),"")</f>
        <v>0.21749999999999997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154.69999999999999</v>
      </c>
      <c r="BN429" s="78">
        <f t="shared" si="55"/>
        <v>154.69999999999999</v>
      </c>
      <c r="BO429" s="78">
        <f t="shared" si="56"/>
        <v>0.20833333333333331</v>
      </c>
      <c r="BP429" s="78">
        <f t="shared" si="57"/>
        <v>0.20833333333333331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18</v>
      </c>
      <c r="Y434" s="43">
        <f>IFERROR(Y426/H426,"0")+IFERROR(Y427/H427,"0")+IFERROR(Y428/H428,"0")+IFERROR(Y429/H429,"0")+IFERROR(Y430/H430,"0")+IFERROR(Y431/H431,"0")+IFERROR(Y432/H432,"0")+IFERROR(Y433/H433,"0")</f>
        <v>18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0.39149999999999996</v>
      </c>
      <c r="AA434" s="67"/>
      <c r="AB434" s="67"/>
      <c r="AC434" s="67"/>
    </row>
    <row r="435" spans="1:68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270</v>
      </c>
      <c r="Y435" s="43">
        <f>IFERROR(SUM(Y426:Y433),"0")</f>
        <v>270</v>
      </c>
      <c r="Z435" s="42"/>
      <c r="AA435" s="67"/>
      <c r="AB435" s="67"/>
      <c r="AC435" s="67"/>
    </row>
    <row r="436" spans="1:68" ht="14.25" hidden="1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120</v>
      </c>
      <c r="Y437" s="55">
        <f>IFERROR(IF(X437="",0,CEILING((X437/$H437),1)*$H437),"")</f>
        <v>120</v>
      </c>
      <c r="Z437" s="41">
        <f>IFERROR(IF(Y437=0,"",ROUNDUP(Y437/H437,0)*0.02175),"")</f>
        <v>0.17399999999999999</v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123.76</v>
      </c>
      <c r="BN437" s="78">
        <f>IFERROR(Y437*I437/H437,"0")</f>
        <v>123.76</v>
      </c>
      <c r="BO437" s="78">
        <f>IFERROR(1/J437*(X437/H437),"0")</f>
        <v>0.16666666666666666</v>
      </c>
      <c r="BP437" s="78">
        <f>IFERROR(1/J437*(Y437/H437),"0")</f>
        <v>0.16666666666666666</v>
      </c>
    </row>
    <row r="438" spans="1:68" ht="27" hidden="1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8</v>
      </c>
      <c r="Y440" s="43">
        <f>IFERROR(Y437/H437,"0")+IFERROR(Y438/H438,"0")+IFERROR(Y439/H439,"0")</f>
        <v>8</v>
      </c>
      <c r="Z440" s="43">
        <f>IFERROR(IF(Z437="",0,Z437),"0")+IFERROR(IF(Z438="",0,Z438),"0")+IFERROR(IF(Z439="",0,Z439),"0")</f>
        <v>0.17399999999999999</v>
      </c>
      <c r="AA440" s="67"/>
      <c r="AB440" s="67"/>
      <c r="AC440" s="67"/>
    </row>
    <row r="441" spans="1:68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120</v>
      </c>
      <c r="Y441" s="43">
        <f>IFERROR(SUM(Y437:Y439),"0")</f>
        <v>120</v>
      </c>
      <c r="Z441" s="42"/>
      <c r="AA441" s="67"/>
      <c r="AB441" s="67"/>
      <c r="AC441" s="67"/>
    </row>
    <row r="442" spans="1:68" ht="14.25" hidden="1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300</v>
      </c>
      <c r="Y464" s="55">
        <f>IFERROR(IF(X464="",0,CEILING((X464/$H464),1)*$H464),"")</f>
        <v>306</v>
      </c>
      <c r="Z464" s="41">
        <f>IFERROR(IF(Y464=0,"",ROUNDUP(Y464/H464,0)*0.01898),"")</f>
        <v>0.64532</v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316.46666666666664</v>
      </c>
      <c r="BN464" s="78">
        <f>IFERROR(Y464*I464/H464,"0")</f>
        <v>322.79599999999999</v>
      </c>
      <c r="BO464" s="78">
        <f>IFERROR(1/J464*(X464/H464),"0")</f>
        <v>0.52083333333333337</v>
      </c>
      <c r="BP464" s="78">
        <f>IFERROR(1/J464*(Y464/H464),"0")</f>
        <v>0.53125</v>
      </c>
    </row>
    <row r="465" spans="1:68" ht="27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48</v>
      </c>
      <c r="Y465" s="55">
        <f>IFERROR(IF(X465="",0,CEILING((X465/$H465),1)*$H465),"")</f>
        <v>48</v>
      </c>
      <c r="Z465" s="41">
        <f>IFERROR(IF(Y465=0,"",ROUNDUP(Y465/H465,0)*0.00651),"")</f>
        <v>0.13020000000000001</v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53.280000000000008</v>
      </c>
      <c r="BN465" s="78">
        <f>IFERROR(Y465*I465/H465,"0")</f>
        <v>53.280000000000008</v>
      </c>
      <c r="BO465" s="78">
        <f>IFERROR(1/J465*(X465/H465),"0")</f>
        <v>0.1098901098901099</v>
      </c>
      <c r="BP465" s="78">
        <f>IFERROR(1/J465*(Y465/H465),"0")</f>
        <v>0.1098901098901099</v>
      </c>
    </row>
    <row r="466" spans="1:68" ht="27" hidden="1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53.333333333333336</v>
      </c>
      <c r="Y467" s="43">
        <f>IFERROR(Y464/H464,"0")+IFERROR(Y465/H465,"0")+IFERROR(Y466/H466,"0")</f>
        <v>54</v>
      </c>
      <c r="Z467" s="43">
        <f>IFERROR(IF(Z464="",0,Z464),"0")+IFERROR(IF(Z465="",0,Z465),"0")+IFERROR(IF(Z466="",0,Z466),"0")</f>
        <v>0.77551999999999999</v>
      </c>
      <c r="AA467" s="67"/>
      <c r="AB467" s="67"/>
      <c r="AC467" s="67"/>
    </row>
    <row r="468" spans="1:68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348</v>
      </c>
      <c r="Y468" s="43">
        <f>IFERROR(SUM(Y464:Y466),"0")</f>
        <v>354</v>
      </c>
      <c r="Z468" s="42"/>
      <c r="AA468" s="67"/>
      <c r="AB468" s="67"/>
      <c r="AC468" s="67"/>
    </row>
    <row r="469" spans="1:68" ht="27.75" hidden="1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50</v>
      </c>
      <c r="Y499" s="55">
        <f t="shared" ref="Y499:Y507" si="63">IFERROR(IF(X499="",0,CEILING((X499/$H499),1)*$H499),"")</f>
        <v>52.800000000000004</v>
      </c>
      <c r="Z499" s="41">
        <f t="shared" ref="Z499:Z504" si="64">IFERROR(IF(Y499=0,"",ROUNDUP(Y499/H499,0)*0.01196),"")</f>
        <v>0.1196</v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53.314393939393938</v>
      </c>
      <c r="BN499" s="78">
        <f t="shared" ref="BN499:BN507" si="66">IFERROR(Y499*I499/H499,"0")</f>
        <v>56.3</v>
      </c>
      <c r="BO499" s="78">
        <f t="shared" ref="BO499:BO507" si="67">IFERROR(1/J499*(X499/H499),"0")</f>
        <v>9.1054778554778545E-2</v>
      </c>
      <c r="BP499" s="78">
        <f t="shared" ref="BP499:BP507" si="68">IFERROR(1/J499*(Y499/H499),"0")</f>
        <v>9.6153846153846159E-2</v>
      </c>
    </row>
    <row r="500" spans="1:68" ht="16.5" hidden="1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30</v>
      </c>
      <c r="Y501" s="55">
        <f t="shared" si="63"/>
        <v>31.68</v>
      </c>
      <c r="Z501" s="41">
        <f t="shared" si="64"/>
        <v>7.1760000000000004E-2</v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31.988636363636363</v>
      </c>
      <c r="BN501" s="78">
        <f t="shared" si="66"/>
        <v>33.779999999999994</v>
      </c>
      <c r="BO501" s="78">
        <f t="shared" si="67"/>
        <v>5.4632867132867136E-2</v>
      </c>
      <c r="BP501" s="78">
        <f t="shared" si="68"/>
        <v>5.7692307692307696E-2</v>
      </c>
    </row>
    <row r="502" spans="1:68" ht="27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120</v>
      </c>
      <c r="Y502" s="55">
        <f t="shared" si="63"/>
        <v>121.44000000000001</v>
      </c>
      <c r="Z502" s="41">
        <f t="shared" si="64"/>
        <v>0.27507999999999999</v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127.95454545454545</v>
      </c>
      <c r="BN502" s="78">
        <f t="shared" si="66"/>
        <v>129.49</v>
      </c>
      <c r="BO502" s="78">
        <f t="shared" si="67"/>
        <v>0.21853146853146854</v>
      </c>
      <c r="BP502" s="78">
        <f t="shared" si="68"/>
        <v>0.22115384615384617</v>
      </c>
    </row>
    <row r="503" spans="1:68" ht="16.5" hidden="1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150</v>
      </c>
      <c r="Y504" s="55">
        <f t="shared" si="63"/>
        <v>153.12</v>
      </c>
      <c r="Z504" s="41">
        <f t="shared" si="64"/>
        <v>0.34683999999999998</v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159.94318181818181</v>
      </c>
      <c r="BN504" s="78">
        <f t="shared" si="66"/>
        <v>163.26999999999998</v>
      </c>
      <c r="BO504" s="78">
        <f t="shared" si="67"/>
        <v>0.27316433566433568</v>
      </c>
      <c r="BP504" s="78">
        <f t="shared" si="68"/>
        <v>0.27884615384615385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66.287878787878782</v>
      </c>
      <c r="Y508" s="43">
        <f>IFERROR(Y499/H499,"0")+IFERROR(Y500/H500,"0")+IFERROR(Y501/H501,"0")+IFERROR(Y502/H502,"0")+IFERROR(Y503/H503,"0")+IFERROR(Y504/H504,"0")+IFERROR(Y505/H505,"0")+IFERROR(Y506/H506,"0")+IFERROR(Y507/H507,"0")</f>
        <v>68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0.81328</v>
      </c>
      <c r="AA508" s="67"/>
      <c r="AB508" s="67"/>
      <c r="AC508" s="67"/>
    </row>
    <row r="509" spans="1:68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350</v>
      </c>
      <c r="Y509" s="43">
        <f>IFERROR(SUM(Y499:Y507),"0")</f>
        <v>359.04</v>
      </c>
      <c r="Z509" s="42"/>
      <c r="AA509" s="67"/>
      <c r="AB509" s="67"/>
      <c r="AC509" s="67"/>
    </row>
    <row r="510" spans="1:68" ht="14.25" hidden="1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100</v>
      </c>
      <c r="Y511" s="55">
        <f>IFERROR(IF(X511="",0,CEILING((X511/$H511),1)*$H511),"")</f>
        <v>100.32000000000001</v>
      </c>
      <c r="Z511" s="41">
        <f>IFERROR(IF(Y511=0,"",ROUNDUP(Y511/H511,0)*0.01196),"")</f>
        <v>0.22724</v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106.62878787878788</v>
      </c>
      <c r="BN511" s="78">
        <f>IFERROR(Y511*I511/H511,"0")</f>
        <v>106.97</v>
      </c>
      <c r="BO511" s="78">
        <f>IFERROR(1/J511*(X511/H511),"0")</f>
        <v>0.18210955710955709</v>
      </c>
      <c r="BP511" s="78">
        <f>IFERROR(1/J511*(Y511/H511),"0")</f>
        <v>0.18269230769230771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18.939393939393938</v>
      </c>
      <c r="Y514" s="43">
        <f>IFERROR(Y511/H511,"0")+IFERROR(Y512/H512,"0")+IFERROR(Y513/H513,"0")</f>
        <v>19</v>
      </c>
      <c r="Z514" s="43">
        <f>IFERROR(IF(Z511="",0,Z511),"0")+IFERROR(IF(Z512="",0,Z512),"0")+IFERROR(IF(Z513="",0,Z513),"0")</f>
        <v>0.22724</v>
      </c>
      <c r="AA514" s="67"/>
      <c r="AB514" s="67"/>
      <c r="AC514" s="67"/>
    </row>
    <row r="515" spans="1:68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100</v>
      </c>
      <c r="Y515" s="43">
        <f>IFERROR(SUM(Y511:Y513),"0")</f>
        <v>100.32000000000001</v>
      </c>
      <c r="Z515" s="42"/>
      <c r="AA515" s="67"/>
      <c r="AB515" s="67"/>
      <c r="AC515" s="67"/>
    </row>
    <row r="516" spans="1:68" ht="14.25" hidden="1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50</v>
      </c>
      <c r="Y517" s="55">
        <f t="shared" ref="Y517:Y523" si="69">IFERROR(IF(X517="",0,CEILING((X517/$H517),1)*$H517),"")</f>
        <v>52.800000000000004</v>
      </c>
      <c r="Z517" s="41">
        <f>IFERROR(IF(Y517=0,"",ROUNDUP(Y517/H517,0)*0.01196),"")</f>
        <v>0.1196</v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53.314393939393938</v>
      </c>
      <c r="BN517" s="78">
        <f t="shared" ref="BN517:BN523" si="71">IFERROR(Y517*I517/H517,"0")</f>
        <v>56.3</v>
      </c>
      <c r="BO517" s="78">
        <f t="shared" ref="BO517:BO523" si="72">IFERROR(1/J517*(X517/H517),"0")</f>
        <v>9.1054778554778545E-2</v>
      </c>
      <c r="BP517" s="78">
        <f t="shared" ref="BP517:BP523" si="73">IFERROR(1/J517*(Y517/H517),"0")</f>
        <v>9.6153846153846159E-2</v>
      </c>
    </row>
    <row r="518" spans="1:68" ht="27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70</v>
      </c>
      <c r="Y518" s="55">
        <f t="shared" si="69"/>
        <v>73.92</v>
      </c>
      <c r="Z518" s="41">
        <f>IFERROR(IF(Y518=0,"",ROUNDUP(Y518/H518,0)*0.01196),"")</f>
        <v>0.16744000000000001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74.640151515151501</v>
      </c>
      <c r="BN518" s="78">
        <f t="shared" si="71"/>
        <v>78.819999999999993</v>
      </c>
      <c r="BO518" s="78">
        <f t="shared" si="72"/>
        <v>0.12747668997668998</v>
      </c>
      <c r="BP518" s="78">
        <f t="shared" si="73"/>
        <v>0.13461538461538464</v>
      </c>
    </row>
    <row r="519" spans="1:68" ht="27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50</v>
      </c>
      <c r="Y519" s="55">
        <f t="shared" si="69"/>
        <v>52.800000000000004</v>
      </c>
      <c r="Z519" s="41">
        <f>IFERROR(IF(Y519=0,"",ROUNDUP(Y519/H519,0)*0.01196),"")</f>
        <v>0.1196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53.314393939393938</v>
      </c>
      <c r="BN519" s="78">
        <f t="shared" si="71"/>
        <v>56.3</v>
      </c>
      <c r="BO519" s="78">
        <f t="shared" si="72"/>
        <v>9.1054778554778545E-2</v>
      </c>
      <c r="BP519" s="78">
        <f t="shared" si="73"/>
        <v>9.6153846153846159E-2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32.196969696969695</v>
      </c>
      <c r="Y524" s="43">
        <f>IFERROR(Y517/H517,"0")+IFERROR(Y518/H518,"0")+IFERROR(Y519/H519,"0")+IFERROR(Y520/H520,"0")+IFERROR(Y521/H521,"0")+IFERROR(Y522/H522,"0")+IFERROR(Y523/H523,"0")</f>
        <v>34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0.40664</v>
      </c>
      <c r="AA524" s="67"/>
      <c r="AB524" s="67"/>
      <c r="AC524" s="67"/>
    </row>
    <row r="525" spans="1:68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170</v>
      </c>
      <c r="Y525" s="43">
        <f>IFERROR(SUM(Y517:Y523),"0")</f>
        <v>179.52</v>
      </c>
      <c r="Z525" s="42"/>
      <c r="AA525" s="67"/>
      <c r="AB525" s="67"/>
      <c r="AC525" s="67"/>
    </row>
    <row r="526" spans="1:68" ht="27.75" hidden="1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1576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1612.3799999999999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1664.6353984287316</v>
      </c>
      <c r="Y555" s="43">
        <f>IFERROR(SUM(BN22:BN551),"0")</f>
        <v>1703.1539999999998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3</v>
      </c>
      <c r="Y556" s="44">
        <f>ROUNDUP(SUM(BP22:BP551),0)</f>
        <v>3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1739.6353984287316</v>
      </c>
      <c r="Y557" s="43">
        <f>GrossWeightTotalR+PalletQtyTotalR*25</f>
        <v>1778.1539999999998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238.2912889579556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244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3.2951599999999996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54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40.5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80.400000000000006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54.6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390</v>
      </c>
      <c r="X564" s="52">
        <f>IFERROR(Y455*1,"0")+IFERROR(Y456*1,"0")+IFERROR(Y460*1,"0")+IFERROR(Y464*1,"0")+IFERROR(Y465*1,"0")+IFERROR(Y466*1,"0")</f>
        <v>354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638.87999999999988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76,00"/>
        <filter val="1 664,64"/>
        <filter val="1 739,64"/>
        <filter val="100,00"/>
        <filter val="120,00"/>
        <filter val="15,00"/>
        <filter val="150,00"/>
        <filter val="170,00"/>
        <filter val="18,00"/>
        <filter val="18,94"/>
        <filter val="20,00"/>
        <filter val="238,29"/>
        <filter val="270,00"/>
        <filter val="3"/>
        <filter val="30,00"/>
        <filter val="300,00"/>
        <filter val="32,20"/>
        <filter val="348,00"/>
        <filter val="350,00"/>
        <filter val="4,63"/>
        <filter val="4,94"/>
        <filter val="40,00"/>
        <filter val="48,00"/>
        <filter val="5,56"/>
        <filter val="50,00"/>
        <filter val="53,33"/>
        <filter val="6,41"/>
        <filter val="66,29"/>
        <filter val="70,00"/>
        <filter val="8,00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2026-08-14T14:21:03Z</cp:lastPrinted>
  <dcterms:created xsi:type="dcterms:W3CDTF">2021-11-12T12:13:19Z</dcterms:created>
  <dcterms:modified xsi:type="dcterms:W3CDTF">2026-08-21T11:50:12Z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