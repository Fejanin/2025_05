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E34A5F-4F29-4FDC-8D8B-4997E121C74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Z465" i="2" s="1"/>
  <c r="P465" i="2"/>
  <c r="BO464" i="2"/>
  <c r="BM464" i="2"/>
  <c r="Y464" i="2"/>
  <c r="P464" i="2"/>
  <c r="BO463" i="2"/>
  <c r="BM463" i="2"/>
  <c r="Y463" i="2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BN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Y408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Y319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BN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N261" i="2" s="1"/>
  <c r="P261" i="2"/>
  <c r="BO260" i="2"/>
  <c r="BM260" i="2"/>
  <c r="Y260" i="2"/>
  <c r="P260" i="2"/>
  <c r="X258" i="2"/>
  <c r="X257" i="2"/>
  <c r="BO256" i="2"/>
  <c r="BM256" i="2"/>
  <c r="Y256" i="2"/>
  <c r="P256" i="2"/>
  <c r="BO255" i="2"/>
  <c r="BM255" i="2"/>
  <c r="Y255" i="2"/>
  <c r="BN255" i="2" s="1"/>
  <c r="P255" i="2"/>
  <c r="X252" i="2"/>
  <c r="X251" i="2"/>
  <c r="BO250" i="2"/>
  <c r="BM250" i="2"/>
  <c r="Y250" i="2"/>
  <c r="BN250" i="2" s="1"/>
  <c r="P250" i="2"/>
  <c r="X248" i="2"/>
  <c r="X247" i="2"/>
  <c r="BO246" i="2"/>
  <c r="BM246" i="2"/>
  <c r="Y246" i="2"/>
  <c r="P246" i="2"/>
  <c r="BO245" i="2"/>
  <c r="BM245" i="2"/>
  <c r="Y245" i="2"/>
  <c r="Z245" i="2" s="1"/>
  <c r="P245" i="2"/>
  <c r="BO244" i="2"/>
  <c r="BM244" i="2"/>
  <c r="Y244" i="2"/>
  <c r="Z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Z169" i="2" s="1"/>
  <c r="P169" i="2"/>
  <c r="X167" i="2"/>
  <c r="X166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BO83" i="2"/>
  <c r="BM83" i="2"/>
  <c r="Y83" i="2"/>
  <c r="BP83" i="2" s="1"/>
  <c r="P83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P56" i="2"/>
  <c r="X53" i="2"/>
  <c r="X52" i="2"/>
  <c r="BO51" i="2"/>
  <c r="BM51" i="2"/>
  <c r="Y51" i="2"/>
  <c r="P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F10" i="2" s="1"/>
  <c r="D7" i="2"/>
  <c r="Q6" i="2"/>
  <c r="P2" i="2"/>
  <c r="Y514" i="2" l="1"/>
  <c r="Y467" i="2"/>
  <c r="Z270" i="2"/>
  <c r="BN270" i="2"/>
  <c r="Z67" i="2"/>
  <c r="Z511" i="2"/>
  <c r="BN511" i="2"/>
  <c r="Z179" i="2"/>
  <c r="Z380" i="2"/>
  <c r="BN380" i="2"/>
  <c r="BP129" i="2"/>
  <c r="Z227" i="2"/>
  <c r="BN227" i="2"/>
  <c r="Z324" i="2"/>
  <c r="BN324" i="2"/>
  <c r="BP325" i="2"/>
  <c r="Z444" i="2"/>
  <c r="BN444" i="2"/>
  <c r="BP449" i="2"/>
  <c r="Z38" i="2"/>
  <c r="BN38" i="2"/>
  <c r="BP85" i="2"/>
  <c r="Z149" i="2"/>
  <c r="BN149" i="2"/>
  <c r="BP204" i="2"/>
  <c r="BP255" i="2"/>
  <c r="BP285" i="2"/>
  <c r="Z360" i="2"/>
  <c r="BN360" i="2"/>
  <c r="BP491" i="2"/>
  <c r="BP78" i="2"/>
  <c r="Z104" i="2"/>
  <c r="BN104" i="2"/>
  <c r="Z137" i="2"/>
  <c r="BN137" i="2"/>
  <c r="Y186" i="2"/>
  <c r="Z209" i="2"/>
  <c r="BN209" i="2"/>
  <c r="Z223" i="2"/>
  <c r="Z240" i="2"/>
  <c r="BN240" i="2"/>
  <c r="Z266" i="2"/>
  <c r="Z307" i="2"/>
  <c r="Z308" i="2" s="1"/>
  <c r="Z339" i="2"/>
  <c r="BP371" i="2"/>
  <c r="Z398" i="2"/>
  <c r="BN398" i="2"/>
  <c r="Z400" i="2"/>
  <c r="BN400" i="2"/>
  <c r="Y401" i="2"/>
  <c r="Y402" i="2"/>
  <c r="Z432" i="2"/>
  <c r="Z473" i="2"/>
  <c r="BN473" i="2"/>
  <c r="Z501" i="2"/>
  <c r="BN501" i="2"/>
  <c r="Z504" i="2"/>
  <c r="BN504" i="2"/>
  <c r="Z506" i="2"/>
  <c r="BN506" i="2"/>
  <c r="D563" i="2"/>
  <c r="Y507" i="2"/>
  <c r="X554" i="2"/>
  <c r="BP31" i="2"/>
  <c r="Z41" i="2"/>
  <c r="BN41" i="2"/>
  <c r="Z50" i="2"/>
  <c r="BN50" i="2"/>
  <c r="Z60" i="2"/>
  <c r="BN60" i="2"/>
  <c r="Y70" i="2"/>
  <c r="Z68" i="2"/>
  <c r="Z83" i="2"/>
  <c r="BN83" i="2"/>
  <c r="Z93" i="2"/>
  <c r="BN93" i="2"/>
  <c r="BP118" i="2"/>
  <c r="Z178" i="2"/>
  <c r="Z182" i="2"/>
  <c r="BN182" i="2"/>
  <c r="Z189" i="2"/>
  <c r="Z191" i="2" s="1"/>
  <c r="Z206" i="2"/>
  <c r="BN206" i="2"/>
  <c r="Y233" i="2"/>
  <c r="Z224" i="2"/>
  <c r="Z230" i="2"/>
  <c r="BN230" i="2"/>
  <c r="Z237" i="2"/>
  <c r="BN237" i="2"/>
  <c r="Z250" i="2"/>
  <c r="Z251" i="2" s="1"/>
  <c r="BP261" i="2"/>
  <c r="Z267" i="2"/>
  <c r="Z276" i="2"/>
  <c r="Z280" i="2"/>
  <c r="BN280" i="2"/>
  <c r="Z300" i="2"/>
  <c r="BN300" i="2"/>
  <c r="BP322" i="2"/>
  <c r="BP333" i="2"/>
  <c r="Z352" i="2"/>
  <c r="BN352" i="2"/>
  <c r="Y356" i="2"/>
  <c r="Z363" i="2"/>
  <c r="BN363" i="2"/>
  <c r="Z369" i="2"/>
  <c r="BN369" i="2"/>
  <c r="BP378" i="2"/>
  <c r="Z393" i="2"/>
  <c r="BP411" i="2"/>
  <c r="Y421" i="2"/>
  <c r="Z436" i="2"/>
  <c r="BN436" i="2"/>
  <c r="Z476" i="2"/>
  <c r="BN476" i="2"/>
  <c r="Z498" i="2"/>
  <c r="BN498" i="2"/>
  <c r="BN39" i="2"/>
  <c r="BP39" i="2"/>
  <c r="BN48" i="2"/>
  <c r="BP48" i="2"/>
  <c r="BP49" i="2"/>
  <c r="BN49" i="2"/>
  <c r="Z49" i="2"/>
  <c r="BP58" i="2"/>
  <c r="Z58" i="2"/>
  <c r="Z77" i="2"/>
  <c r="Y80" i="2"/>
  <c r="BN77" i="2"/>
  <c r="BN90" i="2"/>
  <c r="Z90" i="2"/>
  <c r="G563" i="2"/>
  <c r="BP98" i="2"/>
  <c r="BN101" i="2"/>
  <c r="Z101" i="2"/>
  <c r="BN108" i="2"/>
  <c r="BP108" i="2"/>
  <c r="BN111" i="2"/>
  <c r="Z111" i="2"/>
  <c r="BP123" i="2"/>
  <c r="BN123" i="2"/>
  <c r="Z123" i="2"/>
  <c r="Z124" i="2" s="1"/>
  <c r="Y124" i="2"/>
  <c r="Y125" i="2"/>
  <c r="H563" i="2"/>
  <c r="BP128" i="2"/>
  <c r="BN128" i="2"/>
  <c r="Z128" i="2"/>
  <c r="BP135" i="2"/>
  <c r="Z135" i="2"/>
  <c r="BN143" i="2"/>
  <c r="BN152" i="2"/>
  <c r="Z152" i="2"/>
  <c r="Z171" i="2"/>
  <c r="BN170" i="2"/>
  <c r="BP170" i="2"/>
  <c r="BN175" i="2"/>
  <c r="Z175" i="2"/>
  <c r="BN180" i="2"/>
  <c r="BP180" i="2"/>
  <c r="BP181" i="2"/>
  <c r="BN181" i="2"/>
  <c r="Z181" i="2"/>
  <c r="BN207" i="2"/>
  <c r="BP207" i="2"/>
  <c r="BN215" i="2"/>
  <c r="BP215" i="2"/>
  <c r="BN220" i="2"/>
  <c r="Z220" i="2"/>
  <c r="BN225" i="2"/>
  <c r="BP225" i="2"/>
  <c r="BP226" i="2"/>
  <c r="BN226" i="2"/>
  <c r="Z226" i="2"/>
  <c r="Y234" i="2"/>
  <c r="BP236" i="2"/>
  <c r="BN236" i="2"/>
  <c r="Z236" i="2"/>
  <c r="BN245" i="2"/>
  <c r="BP245" i="2"/>
  <c r="BP246" i="2"/>
  <c r="BN246" i="2"/>
  <c r="Z246" i="2"/>
  <c r="Z247" i="2" s="1"/>
  <c r="Y274" i="2"/>
  <c r="BN265" i="2"/>
  <c r="BP22" i="2"/>
  <c r="BN22" i="2"/>
  <c r="Z22" i="2"/>
  <c r="X555" i="2"/>
  <c r="X553" i="2"/>
  <c r="BP29" i="2"/>
  <c r="BN29" i="2"/>
  <c r="Z29" i="2"/>
  <c r="BN30" i="2"/>
  <c r="C563" i="2"/>
  <c r="BP37" i="2"/>
  <c r="BN37" i="2"/>
  <c r="Z37" i="2"/>
  <c r="BN51" i="2"/>
  <c r="BP51" i="2"/>
  <c r="BN57" i="2"/>
  <c r="Z57" i="2"/>
  <c r="BP61" i="2"/>
  <c r="BN61" i="2"/>
  <c r="Z61" i="2"/>
  <c r="BN66" i="2"/>
  <c r="BP84" i="2"/>
  <c r="BN84" i="2"/>
  <c r="Z84" i="2"/>
  <c r="BP90" i="2"/>
  <c r="BP91" i="2"/>
  <c r="Z91" i="2"/>
  <c r="BP101" i="2"/>
  <c r="BP102" i="2"/>
  <c r="Z102" i="2"/>
  <c r="BP111" i="2"/>
  <c r="BP112" i="2"/>
  <c r="Z112" i="2"/>
  <c r="BN134" i="2"/>
  <c r="Z134" i="2"/>
  <c r="Y145" i="2"/>
  <c r="Z141" i="2"/>
  <c r="BP152" i="2"/>
  <c r="BN154" i="2"/>
  <c r="BP165" i="2"/>
  <c r="BN165" i="2"/>
  <c r="Z165" i="2"/>
  <c r="BP175" i="2"/>
  <c r="BN177" i="2"/>
  <c r="BN183" i="2"/>
  <c r="BP183" i="2"/>
  <c r="BN190" i="2"/>
  <c r="BP190" i="2"/>
  <c r="BN198" i="2"/>
  <c r="BP205" i="2"/>
  <c r="BN205" i="2"/>
  <c r="Z205" i="2"/>
  <c r="BP220" i="2"/>
  <c r="BN222" i="2"/>
  <c r="BN228" i="2"/>
  <c r="BP228" i="2"/>
  <c r="BN232" i="2"/>
  <c r="BP232" i="2"/>
  <c r="Y241" i="2"/>
  <c r="BP238" i="2"/>
  <c r="BP256" i="2"/>
  <c r="BN256" i="2"/>
  <c r="Z256" i="2"/>
  <c r="Y257" i="2"/>
  <c r="Y258" i="2"/>
  <c r="Y263" i="2"/>
  <c r="BP260" i="2"/>
  <c r="BN260" i="2"/>
  <c r="Z260" i="2"/>
  <c r="BN268" i="2"/>
  <c r="BP268" i="2"/>
  <c r="BN278" i="2"/>
  <c r="BP278" i="2"/>
  <c r="BN284" i="2"/>
  <c r="BP297" i="2"/>
  <c r="Y304" i="2"/>
  <c r="Y313" i="2"/>
  <c r="BN317" i="2"/>
  <c r="Y334" i="2"/>
  <c r="Z331" i="2"/>
  <c r="BN338" i="2"/>
  <c r="BN342" i="2"/>
  <c r="Z342" i="2"/>
  <c r="T563" i="2"/>
  <c r="BP359" i="2"/>
  <c r="BN359" i="2"/>
  <c r="Z359" i="2"/>
  <c r="BP370" i="2"/>
  <c r="BN370" i="2"/>
  <c r="Z370" i="2"/>
  <c r="BN381" i="2"/>
  <c r="BP381" i="2"/>
  <c r="BN386" i="2"/>
  <c r="Z386" i="2"/>
  <c r="BP405" i="2"/>
  <c r="BN405" i="2"/>
  <c r="Z405" i="2"/>
  <c r="BN406" i="2"/>
  <c r="BP412" i="2"/>
  <c r="BN412" i="2"/>
  <c r="Z412" i="2"/>
  <c r="BN431" i="2"/>
  <c r="BN443" i="2"/>
  <c r="BP443" i="2"/>
  <c r="BP448" i="2"/>
  <c r="BN448" i="2"/>
  <c r="Z448" i="2"/>
  <c r="BN455" i="2"/>
  <c r="Z455" i="2"/>
  <c r="BN474" i="2"/>
  <c r="BP474" i="2"/>
  <c r="X557" i="2"/>
  <c r="BN42" i="2"/>
  <c r="E563" i="2"/>
  <c r="BN56" i="2"/>
  <c r="Y63" i="2"/>
  <c r="BN59" i="2"/>
  <c r="BP59" i="2"/>
  <c r="Y62" i="2"/>
  <c r="BP67" i="2"/>
  <c r="F563" i="2"/>
  <c r="BN92" i="2"/>
  <c r="BP92" i="2"/>
  <c r="BN100" i="2"/>
  <c r="BN103" i="2"/>
  <c r="BP103" i="2"/>
  <c r="Y114" i="2"/>
  <c r="BN110" i="2"/>
  <c r="BN136" i="2"/>
  <c r="BP136" i="2"/>
  <c r="Y156" i="2"/>
  <c r="J563" i="2"/>
  <c r="Y167" i="2"/>
  <c r="Y171" i="2"/>
  <c r="BP178" i="2"/>
  <c r="Y191" i="2"/>
  <c r="BP188" i="2"/>
  <c r="BN210" i="2"/>
  <c r="BP223" i="2"/>
  <c r="BN231" i="2"/>
  <c r="Y248" i="2"/>
  <c r="BP250" i="2"/>
  <c r="Y251" i="2"/>
  <c r="BP266" i="2"/>
  <c r="Z269" i="2"/>
  <c r="BN269" i="2"/>
  <c r="BP271" i="2"/>
  <c r="BP276" i="2"/>
  <c r="Y289" i="2"/>
  <c r="Z279" i="2"/>
  <c r="BN279" i="2"/>
  <c r="Z283" i="2"/>
  <c r="BN283" i="2"/>
  <c r="Z286" i="2"/>
  <c r="BN286" i="2"/>
  <c r="Z297" i="2"/>
  <c r="Z298" i="2"/>
  <c r="Y305" i="2"/>
  <c r="BN299" i="2"/>
  <c r="BP299" i="2"/>
  <c r="Z301" i="2"/>
  <c r="BN301" i="2"/>
  <c r="BP307" i="2"/>
  <c r="Y308" i="2"/>
  <c r="Z311" i="2"/>
  <c r="Z312" i="2" s="1"/>
  <c r="BN311" i="2"/>
  <c r="BP311" i="2"/>
  <c r="Z316" i="2"/>
  <c r="BN316" i="2"/>
  <c r="Z323" i="2"/>
  <c r="BN323" i="2"/>
  <c r="BP331" i="2"/>
  <c r="BP332" i="2"/>
  <c r="Z332" i="2"/>
  <c r="BP342" i="2"/>
  <c r="BP346" i="2"/>
  <c r="BN346" i="2"/>
  <c r="Z346" i="2"/>
  <c r="Z348" i="2" s="1"/>
  <c r="BN354" i="2"/>
  <c r="BP354" i="2"/>
  <c r="BN361" i="2"/>
  <c r="BP361" i="2"/>
  <c r="BN368" i="2"/>
  <c r="BP368" i="2"/>
  <c r="BP373" i="2"/>
  <c r="BN373" i="2"/>
  <c r="Z373" i="2"/>
  <c r="BN374" i="2"/>
  <c r="BP379" i="2"/>
  <c r="BN379" i="2"/>
  <c r="Z379" i="2"/>
  <c r="BP386" i="2"/>
  <c r="BP387" i="2"/>
  <c r="Z387" i="2"/>
  <c r="BN392" i="2"/>
  <c r="W563" i="2"/>
  <c r="BP426" i="2"/>
  <c r="BN426" i="2"/>
  <c r="Z426" i="2"/>
  <c r="BN429" i="2"/>
  <c r="Z429" i="2"/>
  <c r="BN438" i="2"/>
  <c r="Y450" i="2"/>
  <c r="BP455" i="2"/>
  <c r="Y460" i="2"/>
  <c r="BP459" i="2"/>
  <c r="BN459" i="2"/>
  <c r="Z459" i="2"/>
  <c r="Z460" i="2" s="1"/>
  <c r="Y461" i="2"/>
  <c r="BP464" i="2"/>
  <c r="BN464" i="2"/>
  <c r="Z464" i="2"/>
  <c r="BN465" i="2"/>
  <c r="BP472" i="2"/>
  <c r="BN472" i="2"/>
  <c r="Z472" i="2"/>
  <c r="BN481" i="2"/>
  <c r="BP481" i="2"/>
  <c r="BN490" i="2"/>
  <c r="BP492" i="2"/>
  <c r="BN492" i="2"/>
  <c r="Z492" i="2"/>
  <c r="Y493" i="2"/>
  <c r="BN499" i="2"/>
  <c r="BP499" i="2"/>
  <c r="BN503" i="2"/>
  <c r="BP503" i="2"/>
  <c r="BN516" i="2"/>
  <c r="BP516" i="2"/>
  <c r="BP521" i="2"/>
  <c r="BN521" i="2"/>
  <c r="Z521" i="2"/>
  <c r="Y529" i="2"/>
  <c r="BP528" i="2"/>
  <c r="BP339" i="2"/>
  <c r="BN341" i="2"/>
  <c r="BN353" i="2"/>
  <c r="BN364" i="2"/>
  <c r="Y389" i="2"/>
  <c r="BN385" i="2"/>
  <c r="Y388" i="2"/>
  <c r="BP393" i="2"/>
  <c r="BP417" i="2"/>
  <c r="BN419" i="2"/>
  <c r="BN428" i="2"/>
  <c r="BP432" i="2"/>
  <c r="BN442" i="2"/>
  <c r="Y445" i="2"/>
  <c r="X563" i="2"/>
  <c r="BN454" i="2"/>
  <c r="Y477" i="2"/>
  <c r="Y482" i="2"/>
  <c r="Z563" i="2"/>
  <c r="BN486" i="2"/>
  <c r="AA563" i="2"/>
  <c r="BN502" i="2"/>
  <c r="BN512" i="2"/>
  <c r="BN517" i="2"/>
  <c r="BP517" i="2"/>
  <c r="BN518" i="2"/>
  <c r="BP518" i="2"/>
  <c r="BN519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445" i="2" l="1"/>
  <c r="Z94" i="2"/>
  <c r="Z401" i="2"/>
  <c r="Z450" i="2"/>
  <c r="Z262" i="2"/>
  <c r="Z43" i="2"/>
  <c r="Z413" i="2"/>
  <c r="Z257" i="2"/>
  <c r="Z439" i="2"/>
  <c r="Z407" i="2"/>
  <c r="X556" i="2"/>
  <c r="Z365" i="2"/>
  <c r="Z388" i="2"/>
  <c r="Z493" i="2"/>
  <c r="Z355" i="2"/>
  <c r="Z395" i="2"/>
  <c r="Z420" i="2"/>
  <c r="Z138" i="2"/>
  <c r="Z523" i="2"/>
  <c r="Z334" i="2"/>
  <c r="Z79" i="2"/>
  <c r="Z466" i="2"/>
  <c r="Z318" i="2"/>
  <c r="Z144" i="2"/>
  <c r="Z62" i="2"/>
  <c r="Y555" i="2"/>
  <c r="Z433" i="2"/>
  <c r="Z507" i="2"/>
  <c r="Z241" i="2"/>
  <c r="Z87" i="2"/>
  <c r="Z105" i="2"/>
  <c r="Z382" i="2"/>
  <c r="Z304" i="2"/>
  <c r="Z52" i="2"/>
  <c r="Z456" i="2"/>
  <c r="Z273" i="2"/>
  <c r="Z120" i="2"/>
  <c r="Y554" i="2"/>
  <c r="Y556" i="2" s="1"/>
  <c r="Z24" i="2"/>
  <c r="Z288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Z558" i="2" l="1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<sst xmlns="http://schemas.openxmlformats.org/spreadsheetml/2006/main" count="4209" uniqueCount="889">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</sst>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topLeftCell="A439" zoomScale="90" zoomScaleNormal="90" zoomScaleSheetLayoutView="100" workbookViewId="0">
      <selection activeCell="AC559" sqref="AC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888</v>
      </c>
      <c r="I5" s="997"/>
      <c r="J5" s="997"/>
      <c r="K5" s="997"/>
      <c r="L5" s="997"/>
      <c r="M5" s="997"/>
      <c r="N5" s="72"/>
      <c r="P5" s="27" t="s">
        <v>4</v>
      </c>
      <c r="Q5" s="999">
        <v>46258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870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8</v>
      </c>
      <c r="Y50" s="55">
        <f>IFERROR(IF(X50="",0,CEILING((X50/$H50),1)*$H50),"")</f>
        <v>8</v>
      </c>
      <c r="Z50" s="41">
        <f>IFERROR(IF(Y50=0,"",ROUNDUP(Y50/H50,0)*0.00902),"")</f>
        <v>1.804E-2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8.3800000000000008</v>
      </c>
      <c r="BN50" s="78">
        <f>IFERROR(Y50*I50/H50,"0")</f>
        <v>8.3800000000000008</v>
      </c>
      <c r="BO50" s="78">
        <f>IFERROR(1/J50*(X50/H50),"0")</f>
        <v>1.5151515151515152E-2</v>
      </c>
      <c r="BP50" s="78">
        <f>IFERROR(1/J50*(Y50/H50),"0")</f>
        <v>1.5151515151515152E-2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2</v>
      </c>
      <c r="Y52" s="43">
        <f>IFERROR(Y48/H48,"0")+IFERROR(Y49/H49,"0")+IFERROR(Y50/H50,"0")+IFERROR(Y51/H51,"0")</f>
        <v>2</v>
      </c>
      <c r="Z52" s="43">
        <f>IFERROR(IF(Z48="",0,Z48),"0")+IFERROR(IF(Z49="",0,Z49),"0")+IFERROR(IF(Z50="",0,Z50),"0")+IFERROR(IF(Z51="",0,Z51),"0")</f>
        <v>1.804E-2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8</v>
      </c>
      <c r="Y53" s="43">
        <f>IFERROR(SUM(Y48:Y51),"0")</f>
        <v>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70</v>
      </c>
      <c r="Y57" s="55">
        <f t="shared" si="6"/>
        <v>75.600000000000009</v>
      </c>
      <c r="Z57" s="41">
        <f>IFERROR(IF(Y57=0,"",ROUNDUP(Y57/H57,0)*0.01898),"")</f>
        <v>0.13286000000000001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72.657407407407405</v>
      </c>
      <c r="BN57" s="78">
        <f t="shared" si="8"/>
        <v>78.47</v>
      </c>
      <c r="BO57" s="78">
        <f t="shared" si="9"/>
        <v>0.10127314814814814</v>
      </c>
      <c r="BP57" s="78">
        <f t="shared" si="10"/>
        <v>0.109375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6.481481481481481</v>
      </c>
      <c r="Y62" s="43">
        <f>IFERROR(Y56/H56,"0")+IFERROR(Y57/H57,"0")+IFERROR(Y58/H58,"0")+IFERROR(Y59/H59,"0")+IFERROR(Y60/H60,"0")+IFERROR(Y61/H61,"0")</f>
        <v>7</v>
      </c>
      <c r="Z62" s="43">
        <f>IFERROR(IF(Z56="",0,Z56),"0")+IFERROR(IF(Z57="",0,Z57),"0")+IFERROR(IF(Z58="",0,Z58),"0")+IFERROR(IF(Z59="",0,Z59),"0")+IFERROR(IF(Z60="",0,Z60),"0")+IFERROR(IF(Z61="",0,Z61),"0")</f>
        <v>0.13286000000000001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70</v>
      </c>
      <c r="Y63" s="43">
        <f>IFERROR(SUM(Y56:Y61),"0")</f>
        <v>75.600000000000009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30</v>
      </c>
      <c r="Y65" s="55">
        <f>IFERROR(IF(X65="",0,CEILING((X65/$H65),1)*$H65),"")</f>
        <v>32.400000000000006</v>
      </c>
      <c r="Z65" s="41">
        <f>IFERROR(IF(Y65=0,"",ROUNDUP(Y65/H65,0)*0.01898),"")</f>
        <v>5.6940000000000004E-2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31.138888888888889</v>
      </c>
      <c r="BN65" s="78">
        <f>IFERROR(Y65*I65/H65,"0")</f>
        <v>33.630000000000003</v>
      </c>
      <c r="BO65" s="78">
        <f>IFERROR(1/J65*(X65/H65),"0")</f>
        <v>4.3402777777777776E-2</v>
      </c>
      <c r="BP65" s="78">
        <f>IFERROR(1/J65*(Y65/H65),"0")</f>
        <v>4.6875000000000007E-2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2.7777777777777777</v>
      </c>
      <c r="Y69" s="43">
        <f>IFERROR(Y65/H65,"0")+IFERROR(Y66/H66,"0")+IFERROR(Y67/H67,"0")+IFERROR(Y68/H68,"0")</f>
        <v>3.0000000000000004</v>
      </c>
      <c r="Z69" s="43">
        <f>IFERROR(IF(Z65="",0,Z65),"0")+IFERROR(IF(Z66="",0,Z66),"0")+IFERROR(IF(Z67="",0,Z67),"0")+IFERROR(IF(Z68="",0,Z68),"0")</f>
        <v>5.6940000000000004E-2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30</v>
      </c>
      <c r="Y70" s="43">
        <f>IFERROR(SUM(Y65:Y68),"0")</f>
        <v>32.400000000000006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60</v>
      </c>
      <c r="Y98" s="55">
        <f t="shared" ref="Y98:Y104" si="11">IFERROR(IF(X98="",0,CEILING((X98/$H98),1)*$H98),"")</f>
        <v>64.800000000000011</v>
      </c>
      <c r="Z98" s="41">
        <f>IFERROR(IF(Y98=0,"",ROUNDUP(Y98/H98,0)*0.01898),"")</f>
        <v>0.11388000000000001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62.277777777777779</v>
      </c>
      <c r="BN98" s="78">
        <f t="shared" ref="BN98:BN104" si="13">IFERROR(Y98*I98/H98,"0")</f>
        <v>67.260000000000005</v>
      </c>
      <c r="BO98" s="78">
        <f t="shared" ref="BO98:BO104" si="14">IFERROR(1/J98*(X98/H98),"0")</f>
        <v>8.6805555555555552E-2</v>
      </c>
      <c r="BP98" s="78">
        <f t="shared" ref="BP98:BP104" si="15">IFERROR(1/J98*(Y98/H98),"0")</f>
        <v>9.3750000000000014E-2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36</v>
      </c>
      <c r="Y103" s="55">
        <f t="shared" si="11"/>
        <v>36</v>
      </c>
      <c r="Z103" s="41">
        <f>IFERROR(IF(Y103=0,"",ROUNDUP(Y103/H103,0)*0.00902),"")</f>
        <v>7.2160000000000002E-2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37.520000000000003</v>
      </c>
      <c r="BN103" s="78">
        <f t="shared" si="13"/>
        <v>37.520000000000003</v>
      </c>
      <c r="BO103" s="78">
        <f t="shared" si="14"/>
        <v>6.0606060606060608E-2</v>
      </c>
      <c r="BP103" s="78">
        <f t="shared" si="15"/>
        <v>6.0606060606060608E-2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13.555555555555555</v>
      </c>
      <c r="Y105" s="43">
        <f>IFERROR(Y98/H98,"0")+IFERROR(Y99/H99,"0")+IFERROR(Y100/H100,"0")+IFERROR(Y101/H101,"0")+IFERROR(Y102/H102,"0")+IFERROR(Y103/H103,"0")+IFERROR(Y104/H104,"0")</f>
        <v>14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0.18604000000000001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96</v>
      </c>
      <c r="Y106" s="43">
        <f>IFERROR(SUM(Y98:Y104),"0")</f>
        <v>100.80000000000001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15</v>
      </c>
      <c r="Y174" s="55">
        <f t="shared" ref="Y174:Y184" si="22">IFERROR(IF(X174="",0,CEILING((X174/$H174),1)*$H174),"")</f>
        <v>17.5</v>
      </c>
      <c r="Z174" s="41">
        <f>IFERROR(IF(Y174=0,"",ROUNDUP(Y174/H174,0)*0.00902),"")</f>
        <v>4.5100000000000001E-2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15.814285714285715</v>
      </c>
      <c r="BN174" s="78">
        <f t="shared" ref="BN174:BN184" si="24">IFERROR(Y174*I174/H174,"0")</f>
        <v>18.45</v>
      </c>
      <c r="BO174" s="78">
        <f t="shared" ref="BO174:BO184" si="25">IFERROR(1/J174*(X174/H174),"0")</f>
        <v>3.2467532467532464E-2</v>
      </c>
      <c r="BP174" s="78">
        <f t="shared" ref="BP174:BP184" si="26">IFERROR(1/J174*(Y174/H174),"0")</f>
        <v>3.787878787878788E-2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4.2857142857142856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5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4.5100000000000001E-2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15</v>
      </c>
      <c r="Y186" s="43">
        <f>IFERROR(SUM(Y174:Y184),"0")</f>
        <v>17.5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20</v>
      </c>
      <c r="Y219" s="55">
        <f t="shared" ref="Y219:Y232" si="33">IFERROR(IF(X219="",0,CEILING((X219/$H219),1)*$H219),"")</f>
        <v>21</v>
      </c>
      <c r="Z219" s="41">
        <f>IFERROR(IF(Y219=0,"",ROUNDUP(Y219/H219,0)*0.00902),"")</f>
        <v>4.5100000000000001E-2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21.19047619047619</v>
      </c>
      <c r="BN219" s="78">
        <f t="shared" ref="BN219:BN232" si="35">IFERROR(Y219*I219/H219,"0")</f>
        <v>22.25</v>
      </c>
      <c r="BO219" s="78">
        <f t="shared" ref="BO219:BO232" si="36">IFERROR(1/J219*(X219/H219),"0")</f>
        <v>3.6075036075036072E-2</v>
      </c>
      <c r="BP219" s="78">
        <f t="shared" ref="BP219:BP232" si="37">IFERROR(1/J219*(Y219/H219),"0")</f>
        <v>3.787878787878788E-2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4.7619047619047619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4.5100000000000001E-2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20</v>
      </c>
      <c r="Y234" s="43">
        <f>IFERROR(SUM(Y219:Y232),"0")</f>
        <v>21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40</v>
      </c>
      <c r="Y265" s="55">
        <f t="shared" ref="Y265:Y272" si="39">IFERROR(IF(X265="",0,CEILING((X265/$H265),1)*$H265),"")</f>
        <v>43.2</v>
      </c>
      <c r="Z265" s="41">
        <f>IFERROR(IF(Y265=0,"",ROUNDUP(Y265/H265,0)*0.00902),"")</f>
        <v>7.2160000000000002E-2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41.407407407407405</v>
      </c>
      <c r="BN265" s="78">
        <f t="shared" ref="BN265:BN272" si="41">IFERROR(Y265*I265/H265,"0")</f>
        <v>44.72</v>
      </c>
      <c r="BO265" s="78">
        <f t="shared" ref="BO265:BO272" si="42">IFERROR(1/J265*(X265/H265),"0")</f>
        <v>5.6116722783389444E-2</v>
      </c>
      <c r="BP265" s="78">
        <f t="shared" ref="BP265:BP272" si="43">IFERROR(1/J265*(Y265/H265),"0")</f>
        <v>6.0606060606060608E-2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9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51.759259259259252</v>
      </c>
      <c r="BN266" s="78">
        <f t="shared" si="41"/>
        <v>55.9</v>
      </c>
      <c r="BO266" s="78">
        <f t="shared" si="42"/>
        <v>7.0145903479236812E-2</v>
      </c>
      <c r="BP266" s="78">
        <f t="shared" si="43"/>
        <v>7.575757575757576E-2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9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51.759259259259252</v>
      </c>
      <c r="BN267" s="78">
        <f t="shared" si="41"/>
        <v>55.9</v>
      </c>
      <c r="BO267" s="78">
        <f t="shared" si="42"/>
        <v>7.0145903479236812E-2</v>
      </c>
      <c r="BP267" s="78">
        <f t="shared" si="43"/>
        <v>7.575757575757576E-2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25.925925925925924</v>
      </c>
      <c r="Y273" s="43">
        <f>IFERROR(Y265/H265,"0")+IFERROR(Y266/H266,"0")+IFERROR(Y267/H267,"0")+IFERROR(Y268/H268,"0")+IFERROR(Y269/H269,"0")+IFERROR(Y270/H270,"0")+IFERROR(Y271/H271,"0")+IFERROR(Y272/H272,"0")</f>
        <v>28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0.25256000000000001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140</v>
      </c>
      <c r="Y274" s="43">
        <f>IFERROR(SUM(Y265:Y272),"0")</f>
        <v>151.19999999999999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40</v>
      </c>
      <c r="Y278" s="55">
        <f t="shared" si="44"/>
        <v>43.5</v>
      </c>
      <c r="Z278" s="41">
        <f>IFERROR(IF(Y278=0,"",ROUNDUP(Y278/H278,0)*0.01898),"")</f>
        <v>9.4899999999999998E-2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42.271264367816102</v>
      </c>
      <c r="BN278" s="78">
        <f t="shared" si="46"/>
        <v>45.970000000000006</v>
      </c>
      <c r="BO278" s="78">
        <f t="shared" si="47"/>
        <v>7.1839080459770124E-2</v>
      </c>
      <c r="BP278" s="78">
        <f t="shared" si="48"/>
        <v>7.8125E-2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12</v>
      </c>
      <c r="Y284" s="55">
        <f t="shared" si="44"/>
        <v>12</v>
      </c>
      <c r="Z284" s="41">
        <f>IFERROR(IF(Y284=0,"",ROUNDUP(Y284/H284,0)*0.00651),"")</f>
        <v>3.2550000000000003E-2</v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13.260000000000002</v>
      </c>
      <c r="BN284" s="78">
        <f t="shared" si="46"/>
        <v>13.260000000000002</v>
      </c>
      <c r="BO284" s="78">
        <f t="shared" si="47"/>
        <v>2.7472527472527476E-2</v>
      </c>
      <c r="BP284" s="78">
        <f t="shared" si="48"/>
        <v>2.7472527472527476E-2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12</v>
      </c>
      <c r="Y285" s="55">
        <f t="shared" si="44"/>
        <v>12</v>
      </c>
      <c r="Z285" s="41">
        <f>IFERROR(IF(Y285=0,"",ROUNDUP(Y285/H285,0)*0.00651),"")</f>
        <v>3.2550000000000003E-2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13.260000000000002</v>
      </c>
      <c r="BN285" s="78">
        <f t="shared" si="46"/>
        <v>13.260000000000002</v>
      </c>
      <c r="BO285" s="78">
        <f t="shared" si="47"/>
        <v>2.7472527472527476E-2</v>
      </c>
      <c r="BP285" s="78">
        <f t="shared" si="48"/>
        <v>2.7472527472527476E-2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32</v>
      </c>
      <c r="Y286" s="55">
        <f t="shared" si="44"/>
        <v>33.6</v>
      </c>
      <c r="Z286" s="41">
        <f>IFERROR(IF(Y286=0,"",ROUNDUP(Y286/H286,0)*0.00651),"")</f>
        <v>9.1139999999999999E-2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35.44</v>
      </c>
      <c r="BN286" s="78">
        <f t="shared" si="46"/>
        <v>37.212000000000003</v>
      </c>
      <c r="BO286" s="78">
        <f t="shared" si="47"/>
        <v>7.3260073260073263E-2</v>
      </c>
      <c r="BP286" s="78">
        <f t="shared" si="48"/>
        <v>7.6923076923076941E-2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27.931034482758619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29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0.25114000000000003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96</v>
      </c>
      <c r="Y289" s="43">
        <f>IFERROR(SUM(Y276:Y287),"0")</f>
        <v>101.1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2.4</v>
      </c>
      <c r="Y311" s="55">
        <f>IFERROR(IF(X311="",0,CEILING((X311/$H311),1)*$H311),"")</f>
        <v>3.6</v>
      </c>
      <c r="Z311" s="41">
        <f>IFERROR(IF(Y311=0,"",ROUNDUP(Y311/H311,0)*0.0059),"")</f>
        <v>1.18E-2</v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2.6333333333333333</v>
      </c>
      <c r="BN311" s="78">
        <f>IFERROR(Y311*I311/H311,"0")</f>
        <v>3.95</v>
      </c>
      <c r="BO311" s="78">
        <f>IFERROR(1/J311*(X311/H311),"0")</f>
        <v>6.1728395061728392E-3</v>
      </c>
      <c r="BP311" s="78">
        <f>IFERROR(1/J311*(Y311/H311),"0")</f>
        <v>9.2592592592592587E-3</v>
      </c>
    </row>
    <row r="312" spans="1:68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1.3333333333333333</v>
      </c>
      <c r="Y312" s="43">
        <f>IFERROR(Y311/H311,"0")</f>
        <v>2</v>
      </c>
      <c r="Z312" s="43">
        <f>IFERROR(IF(Z311="",0,Z311),"0")</f>
        <v>1.18E-2</v>
      </c>
      <c r="AA312" s="67"/>
      <c r="AB312" s="67"/>
      <c r="AC312" s="67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2.4</v>
      </c>
      <c r="Y313" s="43">
        <f>IFERROR(SUM(Y311:Y311),"0")</f>
        <v>3.6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20</v>
      </c>
      <c r="Y352" s="55">
        <f>IFERROR(IF(X352="",0,CEILING((X352/$H352),1)*$H352),"")</f>
        <v>23.4</v>
      </c>
      <c r="Z352" s="41">
        <f>IFERROR(IF(Y352=0,"",ROUNDUP(Y352/H352,0)*0.01898),"")</f>
        <v>5.6940000000000004E-2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21.051282051282055</v>
      </c>
      <c r="BN352" s="78">
        <f>IFERROR(Y352*I352/H352,"0")</f>
        <v>24.630000000000003</v>
      </c>
      <c r="BO352" s="78">
        <f>IFERROR(1/J352*(X352/H352),"0")</f>
        <v>4.0064102564102567E-2</v>
      </c>
      <c r="BP352" s="78">
        <f>IFERROR(1/J352*(Y352/H352),"0")</f>
        <v>4.6875E-2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20</v>
      </c>
      <c r="Y353" s="55">
        <f>IFERROR(IF(X353="",0,CEILING((X353/$H353),1)*$H353),"")</f>
        <v>23.4</v>
      </c>
      <c r="Z353" s="41">
        <f>IFERROR(IF(Y353=0,"",ROUNDUP(Y353/H353,0)*0.01898),"")</f>
        <v>5.6940000000000004E-2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21.051282051282055</v>
      </c>
      <c r="BN353" s="78">
        <f>IFERROR(Y353*I353/H353,"0")</f>
        <v>24.630000000000003</v>
      </c>
      <c r="BO353" s="78">
        <f>IFERROR(1/J353*(X353/H353),"0")</f>
        <v>4.0064102564102567E-2</v>
      </c>
      <c r="BP353" s="78">
        <f>IFERROR(1/J353*(Y353/H353),"0")</f>
        <v>4.6875E-2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5.1282051282051286</v>
      </c>
      <c r="Y355" s="43">
        <f>IFERROR(Y352/H352,"0")+IFERROR(Y353/H353,"0")+IFERROR(Y354/H354,"0")</f>
        <v>6</v>
      </c>
      <c r="Z355" s="43">
        <f>IFERROR(IF(Z352="",0,Z352),"0")+IFERROR(IF(Z353="",0,Z353),"0")+IFERROR(IF(Z354="",0,Z354),"0")</f>
        <v>0.11388000000000001</v>
      </c>
      <c r="AA355" s="67"/>
      <c r="AB355" s="67"/>
      <c r="AC355" s="67"/>
    </row>
    <row r="356" spans="1:68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40</v>
      </c>
      <c r="Y356" s="43">
        <f>IFERROR(SUM(Y352:Y354),"0")</f>
        <v>46.8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40</v>
      </c>
      <c r="Y369" s="55">
        <f t="shared" si="59"/>
        <v>42</v>
      </c>
      <c r="Z369" s="41">
        <f>IFERROR(IF(Y369=0,"",ROUNDUP(Y369/H369,0)*0.00902),"")</f>
        <v>9.0200000000000002E-2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42.38095238095238</v>
      </c>
      <c r="BN369" s="78">
        <f t="shared" si="61"/>
        <v>44.5</v>
      </c>
      <c r="BO369" s="78">
        <f t="shared" si="62"/>
        <v>7.2150072150072145E-2</v>
      </c>
      <c r="BP369" s="78">
        <f t="shared" si="63"/>
        <v>7.575757575757576E-2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14</v>
      </c>
      <c r="Y371" s="55">
        <f t="shared" si="59"/>
        <v>14.700000000000001</v>
      </c>
      <c r="Z371" s="41">
        <f>IFERROR(IF(Y371=0,"",ROUNDUP(Y371/H371,0)*0.00502),"")</f>
        <v>3.5140000000000005E-2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14.866666666666665</v>
      </c>
      <c r="BN371" s="78">
        <f t="shared" si="61"/>
        <v>15.61</v>
      </c>
      <c r="BO371" s="78">
        <f t="shared" si="62"/>
        <v>2.8490028490028491E-2</v>
      </c>
      <c r="BP371" s="78">
        <f t="shared" si="63"/>
        <v>2.9914529914529919E-2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21</v>
      </c>
      <c r="Y374" s="55">
        <f t="shared" si="59"/>
        <v>21.6</v>
      </c>
      <c r="Z374" s="41">
        <f>IFERROR(IF(Y374=0,"",ROUNDUP(Y374/H374,0)*0.00651),"")</f>
        <v>7.8119999999999995E-2</v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23.66</v>
      </c>
      <c r="BN374" s="78">
        <f t="shared" si="61"/>
        <v>24.335999999999999</v>
      </c>
      <c r="BO374" s="78">
        <f t="shared" si="62"/>
        <v>6.4102564102564111E-2</v>
      </c>
      <c r="BP374" s="78">
        <f t="shared" si="63"/>
        <v>6.5934065934065936E-2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27.857142857142854</v>
      </c>
      <c r="Y375" s="43">
        <f>IFERROR(Y368/H368,"0")+IFERROR(Y369/H369,"0")+IFERROR(Y370/H370,"0")+IFERROR(Y371/H371,"0")+IFERROR(Y372/H372,"0")+IFERROR(Y373/H373,"0")+IFERROR(Y374/H374,"0")</f>
        <v>29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0.20346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75</v>
      </c>
      <c r="Y376" s="43">
        <f>IFERROR(SUM(Y368:Y374),"0")</f>
        <v>78.300000000000011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20</v>
      </c>
      <c r="Y381" s="55">
        <f>IFERROR(IF(X381="",0,CEILING((X381/$H381),1)*$H381),"")</f>
        <v>21</v>
      </c>
      <c r="Z381" s="41">
        <f>IFERROR(IF(Y381=0,"",ROUNDUP(Y381/H381,0)*0.00651),"")</f>
        <v>4.5569999999999999E-2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21.64</v>
      </c>
      <c r="BN381" s="78">
        <f>IFERROR(Y381*I381/H381,"0")</f>
        <v>22.721999999999998</v>
      </c>
      <c r="BO381" s="78">
        <f>IFERROR(1/J381*(X381/H381),"0")</f>
        <v>3.6630036630036632E-2</v>
      </c>
      <c r="BP381" s="78">
        <f>IFERROR(1/J381*(Y381/H381),"0")</f>
        <v>3.8461538461538464E-2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6.666666666666667</v>
      </c>
      <c r="Y382" s="43">
        <f>IFERROR(Y378/H378,"0")+IFERROR(Y379/H379,"0")+IFERROR(Y380/H380,"0")+IFERROR(Y381/H381,"0")</f>
        <v>7</v>
      </c>
      <c r="Z382" s="43">
        <f>IFERROR(IF(Z378="",0,Z378),"0")+IFERROR(IF(Z379="",0,Z379),"0")+IFERROR(IF(Z380="",0,Z380),"0")+IFERROR(IF(Z381="",0,Z381),"0")</f>
        <v>4.5569999999999999E-2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20</v>
      </c>
      <c r="Y383" s="43">
        <f>IFERROR(SUM(Y378:Y381),"0")</f>
        <v>21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80</v>
      </c>
      <c r="Y386" s="55">
        <f>IFERROR(IF(X386="",0,CEILING((X386/$H386),1)*$H386),"")</f>
        <v>85.8</v>
      </c>
      <c r="Z386" s="41">
        <f>IFERROR(IF(Y386=0,"",ROUNDUP(Y386/H386,0)*0.01898),"")</f>
        <v>0.20877999999999999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85.066666666666663</v>
      </c>
      <c r="BN386" s="78">
        <f>IFERROR(Y386*I386/H386,"0")</f>
        <v>91.234000000000009</v>
      </c>
      <c r="BO386" s="78">
        <f>IFERROR(1/J386*(X386/H386),"0")</f>
        <v>0.16025641025641027</v>
      </c>
      <c r="BP386" s="78">
        <f>IFERROR(1/J386*(Y386/H386),"0")</f>
        <v>0.171875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10.256410256410257</v>
      </c>
      <c r="Y388" s="43">
        <f>IFERROR(Y385/H385,"0")+IFERROR(Y386/H386,"0")+IFERROR(Y387/H387,"0")</f>
        <v>11</v>
      </c>
      <c r="Z388" s="43">
        <f>IFERROR(IF(Z385="",0,Z385),"0")+IFERROR(IF(Z386="",0,Z386),"0")+IFERROR(IF(Z387="",0,Z387),"0")</f>
        <v>0.20877999999999999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80</v>
      </c>
      <c r="Y389" s="43">
        <f>IFERROR(SUM(Y385:Y387),"0")</f>
        <v>85.8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35</v>
      </c>
      <c r="Y417" s="55">
        <f>IFERROR(IF(X417="",0,CEILING((X417/$H417),1)*$H417),"")</f>
        <v>40.5</v>
      </c>
      <c r="Z417" s="41">
        <f>IFERROR(IF(Y417=0,"",ROUNDUP(Y417/H417,0)*0.01898),"")</f>
        <v>9.4899999999999998E-2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37.134567901234568</v>
      </c>
      <c r="BN417" s="78">
        <f>IFERROR(Y417*I417/H417,"0")</f>
        <v>42.97</v>
      </c>
      <c r="BO417" s="78">
        <f>IFERROR(1/J417*(X417/H417),"0")</f>
        <v>6.751543209876544E-2</v>
      </c>
      <c r="BP417" s="78">
        <f>IFERROR(1/J417*(Y417/H417),"0")</f>
        <v>7.8125E-2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35</v>
      </c>
      <c r="Y419" s="55">
        <f>IFERROR(IF(X419="",0,CEILING((X419/$H419),1)*$H419),"")</f>
        <v>35.700000000000003</v>
      </c>
      <c r="Z419" s="41">
        <f>IFERROR(IF(Y419=0,"",ROUNDUP(Y419/H419,0)*0.00651),"")</f>
        <v>0.11067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38.999999999999993</v>
      </c>
      <c r="BN419" s="78">
        <f>IFERROR(Y419*I419/H419,"0")</f>
        <v>39.779999999999994</v>
      </c>
      <c r="BO419" s="78">
        <f>IFERROR(1/J419*(X419/H419),"0")</f>
        <v>9.1575091575091569E-2</v>
      </c>
      <c r="BP419" s="78">
        <f>IFERROR(1/J419*(Y419/H419),"0")</f>
        <v>9.3406593406593408E-2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20.987654320987652</v>
      </c>
      <c r="Y420" s="43">
        <f>IFERROR(Y417/H417,"0")+IFERROR(Y418/H418,"0")+IFERROR(Y419/H419,"0")</f>
        <v>22</v>
      </c>
      <c r="Z420" s="43">
        <f>IFERROR(IF(Z417="",0,Z417),"0")+IFERROR(IF(Z418="",0,Z418),"0")+IFERROR(IF(Z419="",0,Z419),"0")</f>
        <v>0.20557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70</v>
      </c>
      <c r="Y421" s="43">
        <f>IFERROR(SUM(Y417:Y419),"0")</f>
        <v>76.2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600</v>
      </c>
      <c r="Y426" s="55">
        <f t="shared" si="64"/>
        <v>600</v>
      </c>
      <c r="Z426" s="41">
        <f>IFERROR(IF(Y426=0,"",ROUNDUP(Y426/H426,0)*0.02175),"")</f>
        <v>0.86999999999999988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618.79999999999995</v>
      </c>
      <c r="BN426" s="78">
        <f t="shared" si="66"/>
        <v>618.79999999999995</v>
      </c>
      <c r="BO426" s="78">
        <f t="shared" si="67"/>
        <v>0.83333333333333326</v>
      </c>
      <c r="BP426" s="78">
        <f t="shared" si="68"/>
        <v>0.83333333333333326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500</v>
      </c>
      <c r="Y427" s="55">
        <f t="shared" si="64"/>
        <v>510</v>
      </c>
      <c r="Z427" s="41">
        <f>IFERROR(IF(Y427=0,"",ROUNDUP(Y427/H427,0)*0.02175),"")</f>
        <v>0.73949999999999994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515.66666666666663</v>
      </c>
      <c r="BN427" s="78">
        <f t="shared" si="66"/>
        <v>525.98</v>
      </c>
      <c r="BO427" s="78">
        <f t="shared" si="67"/>
        <v>0.69444444444444442</v>
      </c>
      <c r="BP427" s="78">
        <f t="shared" si="68"/>
        <v>0.70833333333333326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73.333333333333343</v>
      </c>
      <c r="Y433" s="43">
        <f>IFERROR(Y425/H425,"0")+IFERROR(Y426/H426,"0")+IFERROR(Y427/H427,"0")+IFERROR(Y428/H428,"0")+IFERROR(Y429/H429,"0")+IFERROR(Y430/H430,"0")+IFERROR(Y431/H431,"0")+IFERROR(Y432/H432,"0")</f>
        <v>74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1.6094999999999997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1100</v>
      </c>
      <c r="Y434" s="43">
        <f>IFERROR(SUM(Y425:Y432),"0")</f>
        <v>1110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500</v>
      </c>
      <c r="Y436" s="55">
        <f>IFERROR(IF(X436="",0,CEILING((X436/$H436),1)*$H436),"")</f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515.66666666666663</v>
      </c>
      <c r="BN436" s="78">
        <f>IFERROR(Y436*I436/H436,"0")</f>
        <v>525.98</v>
      </c>
      <c r="BO436" s="78">
        <f>IFERROR(1/J436*(X436/H436),"0")</f>
        <v>0.69444444444444442</v>
      </c>
      <c r="BP436" s="78">
        <f>IFERROR(1/J436*(Y436/H436),"0")</f>
        <v>0.70833333333333326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15</v>
      </c>
      <c r="Y437" s="55">
        <f>IFERROR(IF(X437="",0,CEILING((X437/$H437),1)*$H437),"")</f>
        <v>15</v>
      </c>
      <c r="Z437" s="41">
        <f>IFERROR(IF(Y437=0,"",ROUNDUP(Y437/H437,0)*0.02175),"")</f>
        <v>2.1749999999999999E-2</v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15.47</v>
      </c>
      <c r="BN437" s="78">
        <f>IFERROR(Y437*I437/H437,"0")</f>
        <v>15.47</v>
      </c>
      <c r="BO437" s="78">
        <f>IFERROR(1/J437*(X437/H437),"0")</f>
        <v>2.0833333333333332E-2</v>
      </c>
      <c r="BP437" s="78">
        <f>IFERROR(1/J437*(Y437/H437),"0")</f>
        <v>2.0833333333333332E-2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34.333333333333336</v>
      </c>
      <c r="Y439" s="43">
        <f>IFERROR(Y436/H436,"0")+IFERROR(Y437/H437,"0")+IFERROR(Y438/H438,"0")</f>
        <v>35</v>
      </c>
      <c r="Z439" s="43">
        <f>IFERROR(IF(Z436="",0,Z436),"0")+IFERROR(IF(Z437="",0,Z437),"0")+IFERROR(IF(Z438="",0,Z438),"0")</f>
        <v>0.76124999999999998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515</v>
      </c>
      <c r="Y440" s="43">
        <f>IFERROR(SUM(Y436:Y438),"0")</f>
        <v>525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150</v>
      </c>
      <c r="Y443" s="55">
        <f>IFERROR(IF(X443="",0,CEILING((X443/$H443),1)*$H443),"")</f>
        <v>153</v>
      </c>
      <c r="Z443" s="41">
        <f>IFERROR(IF(Y443=0,"",ROUNDUP(Y443/H443,0)*0.01898),"")</f>
        <v>0.32266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158.23333333333332</v>
      </c>
      <c r="BN443" s="78">
        <f>IFERROR(Y443*I443/H443,"0")</f>
        <v>161.398</v>
      </c>
      <c r="BO443" s="78">
        <f>IFERROR(1/J443*(X443/H443),"0")</f>
        <v>0.26041666666666669</v>
      </c>
      <c r="BP443" s="78">
        <f>IFERROR(1/J443*(Y443/H443),"0")</f>
        <v>0.265625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16.666666666666668</v>
      </c>
      <c r="Y445" s="43">
        <f>IFERROR(Y442/H442,"0")+IFERROR(Y443/H443,"0")+IFERROR(Y444/H444,"0")</f>
        <v>17</v>
      </c>
      <c r="Z445" s="43">
        <f>IFERROR(IF(Z442="",0,Z442),"0")+IFERROR(IF(Z443="",0,Z443),"0")+IFERROR(IF(Z444="",0,Z444),"0")</f>
        <v>0.32266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150</v>
      </c>
      <c r="Y446" s="43">
        <f>IFERROR(SUM(Y442:Y444),"0")</f>
        <v>153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50</v>
      </c>
      <c r="Y463" s="55">
        <f>IFERROR(IF(X463="",0,CEILING((X463/$H463),1)*$H463),"")</f>
        <v>54</v>
      </c>
      <c r="Z463" s="41">
        <f>IFERROR(IF(Y463=0,"",ROUNDUP(Y463/H463,0)*0.01898),"")</f>
        <v>0.11388000000000001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52.74444444444444</v>
      </c>
      <c r="BN463" s="78">
        <f>IFERROR(Y463*I463/H463,"0")</f>
        <v>56.963999999999992</v>
      </c>
      <c r="BO463" s="78">
        <f>IFERROR(1/J463*(X463/H463),"0")</f>
        <v>8.6805555555555552E-2</v>
      </c>
      <c r="BP463" s="78">
        <f>IFERROR(1/J463*(Y463/H463),"0")</f>
        <v>9.375E-2</v>
      </c>
    </row>
    <row r="464" spans="1:68" ht="27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12</v>
      </c>
      <c r="Y464" s="55">
        <f>IFERROR(IF(X464="",0,CEILING((X464/$H464),1)*$H464),"")</f>
        <v>12</v>
      </c>
      <c r="Z464" s="41">
        <f>IFERROR(IF(Y464=0,"",ROUNDUP(Y464/H464,0)*0.00651),"")</f>
        <v>3.2550000000000003E-2</v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13.320000000000002</v>
      </c>
      <c r="BN464" s="78">
        <f>IFERROR(Y464*I464/H464,"0")</f>
        <v>13.320000000000002</v>
      </c>
      <c r="BO464" s="78">
        <f>IFERROR(1/J464*(X464/H464),"0")</f>
        <v>2.7472527472527476E-2</v>
      </c>
      <c r="BP464" s="78">
        <f>IFERROR(1/J464*(Y464/H464),"0")</f>
        <v>2.7472527472527476E-2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10.555555555555555</v>
      </c>
      <c r="Y466" s="43">
        <f>IFERROR(Y463/H463,"0")+IFERROR(Y464/H464,"0")+IFERROR(Y465/H465,"0")</f>
        <v>11</v>
      </c>
      <c r="Z466" s="43">
        <f>IFERROR(IF(Z463="",0,Z463),"0")+IFERROR(IF(Z464="",0,Z464),"0")+IFERROR(IF(Z465="",0,Z465),"0")</f>
        <v>0.14643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62</v>
      </c>
      <c r="Y467" s="43">
        <f>IFERROR(SUM(Y463:Y465),"0")</f>
        <v>66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10.5</v>
      </c>
      <c r="Y476" s="55">
        <f t="shared" si="69"/>
        <v>10.5</v>
      </c>
      <c r="Z476" s="41">
        <f>IFERROR(IF(Y476=0,"",ROUNDUP(Y476/H476,0)*0.00502),"")</f>
        <v>2.5100000000000001E-2</v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11.149999999999999</v>
      </c>
      <c r="BN476" s="78">
        <f t="shared" si="71"/>
        <v>11.149999999999999</v>
      </c>
      <c r="BO476" s="78">
        <f t="shared" si="72"/>
        <v>2.1367521367521368E-2</v>
      </c>
      <c r="BP476" s="78">
        <f t="shared" si="73"/>
        <v>2.1367521367521368E-2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5</v>
      </c>
      <c r="Y477" s="43">
        <f>IFERROR(Y471/H471,"0")+IFERROR(Y472/H472,"0")+IFERROR(Y473/H473,"0")+IFERROR(Y474/H474,"0")+IFERROR(Y475/H475,"0")+IFERROR(Y476/H476,"0")</f>
        <v>5</v>
      </c>
      <c r="Z477" s="43">
        <f>IFERROR(IF(Z471="",0,Z471),"0")+IFERROR(IF(Z472="",0,Z472),"0")+IFERROR(IF(Z473="",0,Z473),"0")+IFERROR(IF(Z474="",0,Z474),"0")+IFERROR(IF(Z475="",0,Z475),"0")+IFERROR(IF(Z476="",0,Z476),"0")</f>
        <v>2.5100000000000001E-2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10.5</v>
      </c>
      <c r="Y478" s="43">
        <f>IFERROR(SUM(Y471:Y476),"0")</f>
        <v>10.5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30</v>
      </c>
      <c r="Y490" s="55">
        <f>IFERROR(IF(X490="",0,CEILING((X490/$H490),1)*$H490),"")</f>
        <v>32.400000000000006</v>
      </c>
      <c r="Z490" s="41">
        <f>IFERROR(IF(Y490=0,"",ROUNDUP(Y490/H490,0)*0.00902),"")</f>
        <v>5.4120000000000001E-2</v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31.05555555555555</v>
      </c>
      <c r="BN490" s="78">
        <f>IFERROR(Y490*I490/H490,"0")</f>
        <v>33.54</v>
      </c>
      <c r="BO490" s="78">
        <f>IFERROR(1/J490*(X490/H490),"0")</f>
        <v>4.208754208754209E-2</v>
      </c>
      <c r="BP490" s="78">
        <f>IFERROR(1/J490*(Y490/H490),"0")</f>
        <v>4.5454545454545463E-2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14</v>
      </c>
      <c r="Y492" s="55">
        <f>IFERROR(IF(X492="",0,CEILING((X492/$H492),1)*$H492),"")</f>
        <v>14.700000000000001</v>
      </c>
      <c r="Z492" s="41">
        <f>IFERROR(IF(Y492=0,"",ROUNDUP(Y492/H492,0)*0.00502),"")</f>
        <v>3.5140000000000005E-2</v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14.866666666666665</v>
      </c>
      <c r="BN492" s="78">
        <f>IFERROR(Y492*I492/H492,"0")</f>
        <v>15.61</v>
      </c>
      <c r="BO492" s="78">
        <f>IFERROR(1/J492*(X492/H492),"0")</f>
        <v>2.8490028490028491E-2</v>
      </c>
      <c r="BP492" s="78">
        <f>IFERROR(1/J492*(Y492/H492),"0")</f>
        <v>2.9914529914529919E-2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12.222222222222221</v>
      </c>
      <c r="Y493" s="43">
        <f>IFERROR(Y490/H490,"0")+IFERROR(Y491/H491,"0")+IFERROR(Y492/H492,"0")</f>
        <v>13</v>
      </c>
      <c r="Z493" s="43">
        <f>IFERROR(IF(Z490="",0,Z490),"0")+IFERROR(IF(Z491="",0,Z491),"0")+IFERROR(IF(Z492="",0,Z492),"0")</f>
        <v>8.9260000000000006E-2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44</v>
      </c>
      <c r="Y494" s="43">
        <f>IFERROR(SUM(Y490:Y492),"0")</f>
        <v>47.100000000000009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60</v>
      </c>
      <c r="Y501" s="55">
        <f t="shared" si="74"/>
        <v>63.36</v>
      </c>
      <c r="Z501" s="41">
        <f t="shared" si="75"/>
        <v>0.14352000000000001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63.977272727272727</v>
      </c>
      <c r="BN501" s="78">
        <f t="shared" si="77"/>
        <v>67.559999999999988</v>
      </c>
      <c r="BO501" s="78">
        <f t="shared" si="78"/>
        <v>0.10926573426573427</v>
      </c>
      <c r="BP501" s="78">
        <f t="shared" si="79"/>
        <v>0.11538461538461539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80</v>
      </c>
      <c r="Y503" s="55">
        <f t="shared" si="74"/>
        <v>84.48</v>
      </c>
      <c r="Z503" s="41">
        <f t="shared" si="75"/>
        <v>0.19136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85.303030303030297</v>
      </c>
      <c r="BN503" s="78">
        <f t="shared" si="77"/>
        <v>90.08</v>
      </c>
      <c r="BO503" s="78">
        <f t="shared" si="78"/>
        <v>0.14568764568764569</v>
      </c>
      <c r="BP503" s="78">
        <f t="shared" si="79"/>
        <v>0.15384615384615385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26.515151515151516</v>
      </c>
      <c r="Y507" s="43">
        <f>IFERROR(Y498/H498,"0")+IFERROR(Y499/H499,"0")+IFERROR(Y500/H500,"0")+IFERROR(Y501/H501,"0")+IFERROR(Y502/H502,"0")+IFERROR(Y503/H503,"0")+IFERROR(Y504/H504,"0")+IFERROR(Y505/H505,"0")+IFERROR(Y506/H506,"0")</f>
        <v>28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0.33488000000000001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140</v>
      </c>
      <c r="Y508" s="43">
        <f>IFERROR(SUM(Y498:Y506),"0")</f>
        <v>147.84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20</v>
      </c>
      <c r="Y536" s="55">
        <f>IFERROR(IF(X536="",0,CEILING((X536/$H536),1)*$H536),"")</f>
        <v>21</v>
      </c>
      <c r="Z536" s="41">
        <f>IFERROR(IF(Y536=0,"",ROUNDUP(Y536/H536,0)*0.00902),"")</f>
        <v>4.5100000000000001E-2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21.19047619047619</v>
      </c>
      <c r="BN536" s="78">
        <f>IFERROR(Y536*I536/H536,"0")</f>
        <v>22.25</v>
      </c>
      <c r="BO536" s="78">
        <f>IFERROR(1/J536*(X536/H536),"0")</f>
        <v>3.6075036075036072E-2</v>
      </c>
      <c r="BP536" s="78">
        <f>IFERROR(1/J536*(Y536/H536),"0")</f>
        <v>3.787878787878788E-2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4.7619047619047619</v>
      </c>
      <c r="Y537" s="43">
        <f>IFERROR(Y536/H536,"0")</f>
        <v>5</v>
      </c>
      <c r="Z537" s="43">
        <f>IFERROR(IF(Z536="",0,Z536),"0")</f>
        <v>4.5100000000000001E-2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20</v>
      </c>
      <c r="Y538" s="43">
        <f>IFERROR(SUM(Y536:Y536),"0")</f>
        <v>21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700</v>
      </c>
      <c r="Y540" s="55">
        <f>IFERROR(IF(X540="",0,CEILING((X540/$H540),1)*$H540),"")</f>
        <v>702</v>
      </c>
      <c r="Z540" s="41">
        <f>IFERROR(IF(Y540=0,"",ROUNDUP(Y540/H540,0)*0.01898),"")</f>
        <v>1.48044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738.42222222222222</v>
      </c>
      <c r="BN540" s="78">
        <f>IFERROR(Y540*I540/H540,"0")</f>
        <v>740.53199999999993</v>
      </c>
      <c r="BO540" s="78">
        <f>IFERROR(1/J540*(X540/H540),"0")</f>
        <v>1.2152777777777777</v>
      </c>
      <c r="BP540" s="78">
        <f>IFERROR(1/J540*(Y540/H540),"0")</f>
        <v>1.21875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77.777777777777771</v>
      </c>
      <c r="Y541" s="43">
        <f>IFERROR(Y540/H540,"0")</f>
        <v>78</v>
      </c>
      <c r="Z541" s="43">
        <f>IFERROR(IF(Z540="",0,Z540),"0")</f>
        <v>1.48044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700</v>
      </c>
      <c r="Y542" s="43">
        <f>IFERROR(SUM(Y540:Y540),"0")</f>
        <v>702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3503.9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3601.7400000000002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3662.4871121003307</v>
      </c>
      <c r="Y554" s="43">
        <f>IFERROR(SUM(BN22:BN550),"0")</f>
        <v>3765.1779999999999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6</v>
      </c>
      <c r="Y555" s="44">
        <f>ROUNDUP(SUM(BP22:BP550),0)</f>
        <v>6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3812.4871121003307</v>
      </c>
      <c r="Y556" s="43">
        <f>GrossWeightTotalR+PalletQtyTotalR*25</f>
        <v>3915.1779999999999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421.11475199980941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436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6.5914599999999988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108.00000000000001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100.80000000000001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17.5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21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252.29999999999998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3.6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46.8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185.10000000000002</v>
      </c>
      <c r="U563" s="52">
        <f>IFERROR(Y411*1,"0")+IFERROR(Y412*1,"0")</f>
        <v>0</v>
      </c>
      <c r="V563" s="52">
        <f>IFERROR(Y417*1,"0")+IFERROR(Y418*1,"0")+IFERROR(Y419*1,"0")</f>
        <v>76.2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1788</v>
      </c>
      <c r="X563" s="52">
        <f>IFERROR(Y454*1,"0")+IFERROR(Y455*1,"0")+IFERROR(Y459*1,"0")+IFERROR(Y463*1,"0")+IFERROR(Y464*1,"0")+IFERROR(Y465*1,"0")</f>
        <v>66</v>
      </c>
      <c r="Y563" s="52">
        <f>IFERROR(Y471*1,"0")+IFERROR(Y472*1,"0")+IFERROR(Y473*1,"0")+IFERROR(Y474*1,"0")+IFERROR(Y475*1,"0")+IFERROR(Y476*1,"0")+IFERROR(Y480*1,"0")+IFERROR(Y481*1,"0")</f>
        <v>10.5</v>
      </c>
      <c r="Z563" s="52">
        <f>IFERROR(Y486*1,"0")+IFERROR(Y490*1,"0")+IFERROR(Y491*1,"0")+IFERROR(Y492*1,"0")</f>
        <v>47.100000000000009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147.84</v>
      </c>
      <c r="AB563" s="52">
        <f>IFERROR(Y528*1,"0")+IFERROR(Y532*1,"0")+IFERROR(Y536*1,"0")+IFERROR(Y540*1,"0")+IFERROR(Y544*1,"0")+IFERROR(Y545*1,"0")</f>
        <v>723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,33"/>
        <filter val="10,26"/>
        <filter val="10,50"/>
        <filter val="10,56"/>
        <filter val="12,00"/>
        <filter val="12,22"/>
        <filter val="13,56"/>
        <filter val="14,00"/>
        <filter val="140,00"/>
        <filter val="15,00"/>
        <filter val="150,00"/>
        <filter val="16,67"/>
        <filter val="2,00"/>
        <filter val="2,40"/>
        <filter val="2,78"/>
        <filter val="20,00"/>
        <filter val="20,99"/>
        <filter val="21,00"/>
        <filter val="25,93"/>
        <filter val="26,52"/>
        <filter val="27,86"/>
        <filter val="27,93"/>
        <filter val="3 503,90"/>
        <filter val="3 662,49"/>
        <filter val="3 812,49"/>
        <filter val="30,00"/>
        <filter val="32,00"/>
        <filter val="34,33"/>
        <filter val="35,00"/>
        <filter val="36,00"/>
        <filter val="4,29"/>
        <filter val="4,76"/>
        <filter val="40,00"/>
        <filter val="421,11"/>
        <filter val="44,00"/>
        <filter val="5,00"/>
        <filter val="5,13"/>
        <filter val="50,00"/>
        <filter val="500,00"/>
        <filter val="515,00"/>
        <filter val="6"/>
        <filter val="6,48"/>
        <filter val="6,67"/>
        <filter val="60,00"/>
        <filter val="600,00"/>
        <filter val="62,00"/>
        <filter val="70,00"/>
        <filter val="700,00"/>
        <filter val="73,33"/>
        <filter val="75,00"/>
        <filter val="77,78"/>
        <filter val="8,00"/>
        <filter val="80,00"/>
        <filter val="96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