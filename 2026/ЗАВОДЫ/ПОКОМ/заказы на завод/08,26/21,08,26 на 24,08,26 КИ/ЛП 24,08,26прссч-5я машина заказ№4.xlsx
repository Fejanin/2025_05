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2606227-C5EB-41BC-BB92-1B272ED4C85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516" i="2" l="1"/>
  <c r="Y351" i="2"/>
  <c r="Y358" i="2"/>
  <c r="Y480" i="2"/>
  <c r="Z159" i="2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74" i="2"/>
  <c r="BP124" i="2"/>
  <c r="BN190" i="2"/>
  <c r="BN240" i="2"/>
  <c r="Y253" i="2"/>
  <c r="BP283" i="2"/>
  <c r="BN289" i="2"/>
  <c r="BN299" i="2"/>
  <c r="BN39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93" i="2"/>
  <c r="BN113" i="2"/>
  <c r="Y122" i="2"/>
  <c r="BN136" i="2"/>
  <c r="BP152" i="2"/>
  <c r="BN153" i="2"/>
  <c r="BN225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295" i="2" l="1"/>
  <c r="Z114" i="2"/>
  <c r="Z422" i="2"/>
  <c r="Z357" i="2"/>
  <c r="Z441" i="2"/>
  <c r="Z409" i="2"/>
  <c r="Z447" i="2"/>
  <c r="Z548" i="2"/>
  <c r="Z24" i="2"/>
  <c r="Z95" i="2"/>
  <c r="Z435" i="2"/>
  <c r="Z415" i="2"/>
  <c r="Z259" i="2"/>
  <c r="Z377" i="2"/>
  <c r="Z329" i="2"/>
  <c r="Z484" i="2"/>
  <c r="Z384" i="2"/>
  <c r="Z515" i="2"/>
  <c r="Z350" i="2"/>
  <c r="Z197" i="2"/>
  <c r="Z367" i="2"/>
  <c r="Z167" i="2"/>
  <c r="Z264" i="2"/>
  <c r="X558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<sst xmlns="http://schemas.openxmlformats.org/spreadsheetml/2006/main" count="4245" uniqueCount="901">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</sst>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9" t="s">
        <v>26</v>
      </c>
      <c r="E1" s="639"/>
      <c r="F1" s="639"/>
      <c r="G1" s="14" t="s">
        <v>67</v>
      </c>
      <c r="H1" s="639" t="s">
        <v>47</v>
      </c>
      <c r="I1" s="639"/>
      <c r="J1" s="639"/>
      <c r="K1" s="639"/>
      <c r="L1" s="639"/>
      <c r="M1" s="639"/>
      <c r="N1" s="639"/>
      <c r="O1" s="639"/>
      <c r="P1" s="639"/>
      <c r="Q1" s="639"/>
      <c r="R1" s="640" t="s">
        <v>68</v>
      </c>
      <c r="S1" s="641"/>
      <c r="T1" s="64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2"/>
      <c r="Q3" s="642"/>
      <c r="R3" s="642"/>
      <c r="S3" s="642"/>
      <c r="T3" s="642"/>
      <c r="U3" s="642"/>
      <c r="V3" s="642"/>
      <c r="W3" s="64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3" t="s">
        <v>8</v>
      </c>
      <c r="B5" s="643"/>
      <c r="C5" s="643"/>
      <c r="D5" s="644"/>
      <c r="E5" s="644"/>
      <c r="F5" s="645" t="s">
        <v>14</v>
      </c>
      <c r="G5" s="645"/>
      <c r="H5" s="644" t="s">
        <v>900</v>
      </c>
      <c r="I5" s="644"/>
      <c r="J5" s="644"/>
      <c r="K5" s="644"/>
      <c r="L5" s="644"/>
      <c r="M5" s="644"/>
      <c r="N5" s="69"/>
      <c r="P5" s="26" t="s">
        <v>4</v>
      </c>
      <c r="Q5" s="646">
        <v>46258</v>
      </c>
      <c r="R5" s="646"/>
      <c r="T5" s="647" t="s">
        <v>3</v>
      </c>
      <c r="U5" s="648"/>
      <c r="V5" s="649" t="s">
        <v>876</v>
      </c>
      <c r="W5" s="650"/>
      <c r="AB5" s="57"/>
      <c r="AC5" s="57"/>
      <c r="AD5" s="57"/>
      <c r="AE5" s="57"/>
    </row>
    <row r="6" spans="1:32" s="17" customFormat="1" ht="24" customHeight="1" x14ac:dyDescent="0.2">
      <c r="A6" s="643" t="s">
        <v>1</v>
      </c>
      <c r="B6" s="643"/>
      <c r="C6" s="643"/>
      <c r="D6" s="651" t="s">
        <v>883</v>
      </c>
      <c r="E6" s="651"/>
      <c r="F6" s="651"/>
      <c r="G6" s="651"/>
      <c r="H6" s="651"/>
      <c r="I6" s="651"/>
      <c r="J6" s="651"/>
      <c r="K6" s="651"/>
      <c r="L6" s="651"/>
      <c r="M6" s="651"/>
      <c r="N6" s="70"/>
      <c r="P6" s="26" t="s">
        <v>27</v>
      </c>
      <c r="Q6" s="652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653" t="s">
        <v>5</v>
      </c>
      <c r="U6" s="654"/>
      <c r="V6" s="655" t="s">
        <v>70</v>
      </c>
      <c r="W6" s="65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1" t="str">
        <f>IFERROR(VLOOKUP(DeliveryAddress,Table,3,0),1)</f>
        <v>3</v>
      </c>
      <c r="E7" s="662"/>
      <c r="F7" s="662"/>
      <c r="G7" s="662"/>
      <c r="H7" s="662"/>
      <c r="I7" s="662"/>
      <c r="J7" s="662"/>
      <c r="K7" s="662"/>
      <c r="L7" s="662"/>
      <c r="M7" s="663"/>
      <c r="N7" s="71"/>
      <c r="P7" s="26"/>
      <c r="Q7" s="46"/>
      <c r="R7" s="46"/>
      <c r="T7" s="653"/>
      <c r="U7" s="654"/>
      <c r="V7" s="657"/>
      <c r="W7" s="658"/>
      <c r="AB7" s="57"/>
      <c r="AC7" s="57"/>
      <c r="AD7" s="57"/>
      <c r="AE7" s="57"/>
    </row>
    <row r="8" spans="1:32" s="17" customFormat="1" ht="25.5" customHeight="1" x14ac:dyDescent="0.2">
      <c r="A8" s="664" t="s">
        <v>58</v>
      </c>
      <c r="B8" s="664"/>
      <c r="C8" s="664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72"/>
      <c r="P8" s="26" t="s">
        <v>11</v>
      </c>
      <c r="Q8" s="666">
        <v>0.54166666666666663</v>
      </c>
      <c r="R8" s="666"/>
      <c r="T8" s="653"/>
      <c r="U8" s="654"/>
      <c r="V8" s="657"/>
      <c r="W8" s="658"/>
      <c r="AB8" s="57"/>
      <c r="AC8" s="57"/>
      <c r="AD8" s="57"/>
      <c r="AE8" s="57"/>
    </row>
    <row r="9" spans="1:32" s="17" customFormat="1" ht="39.950000000000003" customHeight="1" x14ac:dyDescent="0.2">
      <c r="A9" s="6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7"/>
      <c r="C9" s="667"/>
      <c r="D9" s="668" t="s">
        <v>46</v>
      </c>
      <c r="E9" s="669"/>
      <c r="F9" s="6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7"/>
      <c r="H9" s="670" t="str">
        <f>IF(AND($A$9="Тип доверенности/получателя при получении в адресе перегруза:",$D$9="Разовая доверенность"),"Введите ФИО","")</f>
        <v/>
      </c>
      <c r="I9" s="670"/>
      <c r="J9" s="6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0"/>
      <c r="L9" s="670"/>
      <c r="M9" s="670"/>
      <c r="N9" s="67"/>
      <c r="P9" s="29" t="s">
        <v>15</v>
      </c>
      <c r="Q9" s="671"/>
      <c r="R9" s="671"/>
      <c r="T9" s="653"/>
      <c r="U9" s="654"/>
      <c r="V9" s="659"/>
      <c r="W9" s="66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7"/>
      <c r="C10" s="667"/>
      <c r="D10" s="668"/>
      <c r="E10" s="669"/>
      <c r="F10" s="6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7"/>
      <c r="H10" s="672" t="str">
        <f>IFERROR(VLOOKUP($D$10,Proxy,2,FALSE),"")</f>
        <v/>
      </c>
      <c r="I10" s="672"/>
      <c r="J10" s="672"/>
      <c r="K10" s="672"/>
      <c r="L10" s="672"/>
      <c r="M10" s="672"/>
      <c r="N10" s="68"/>
      <c r="P10" s="29" t="s">
        <v>32</v>
      </c>
      <c r="Q10" s="673"/>
      <c r="R10" s="673"/>
      <c r="U10" s="26" t="s">
        <v>12</v>
      </c>
      <c r="V10" s="674" t="s">
        <v>71</v>
      </c>
      <c r="W10" s="67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6"/>
      <c r="R11" s="676"/>
      <c r="U11" s="26" t="s">
        <v>28</v>
      </c>
      <c r="V11" s="677" t="s">
        <v>55</v>
      </c>
      <c r="W11" s="67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8" t="s">
        <v>72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8"/>
      <c r="N12" s="73"/>
      <c r="P12" s="26" t="s">
        <v>30</v>
      </c>
      <c r="Q12" s="666"/>
      <c r="R12" s="666"/>
      <c r="S12" s="27"/>
      <c r="T12"/>
      <c r="U12" s="26" t="s">
        <v>46</v>
      </c>
      <c r="V12" s="679"/>
      <c r="W12" s="679"/>
      <c r="X12"/>
      <c r="AB12" s="57"/>
      <c r="AC12" s="57"/>
      <c r="AD12" s="57"/>
      <c r="AE12" s="57"/>
    </row>
    <row r="13" spans="1:32" s="17" customFormat="1" ht="23.25" customHeight="1" x14ac:dyDescent="0.2">
      <c r="A13" s="678" t="s">
        <v>73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8"/>
      <c r="N13" s="73"/>
      <c r="O13" s="29"/>
      <c r="P13" s="29" t="s">
        <v>31</v>
      </c>
      <c r="Q13" s="677"/>
      <c r="R13" s="67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8" t="s">
        <v>74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0" t="s">
        <v>75</v>
      </c>
      <c r="B15" s="680"/>
      <c r="C15" s="680"/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74"/>
      <c r="O15"/>
      <c r="P15" s="681" t="s">
        <v>61</v>
      </c>
      <c r="Q15" s="681"/>
      <c r="R15" s="681"/>
      <c r="S15" s="681"/>
      <c r="T15" s="68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2"/>
      <c r="Q16" s="682"/>
      <c r="R16" s="682"/>
      <c r="S16" s="682"/>
      <c r="T16" s="6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5" t="s">
        <v>59</v>
      </c>
      <c r="B17" s="685" t="s">
        <v>49</v>
      </c>
      <c r="C17" s="687" t="s">
        <v>48</v>
      </c>
      <c r="D17" s="689" t="s">
        <v>50</v>
      </c>
      <c r="E17" s="690"/>
      <c r="F17" s="685" t="s">
        <v>21</v>
      </c>
      <c r="G17" s="685" t="s">
        <v>24</v>
      </c>
      <c r="H17" s="685" t="s">
        <v>22</v>
      </c>
      <c r="I17" s="685" t="s">
        <v>23</v>
      </c>
      <c r="J17" s="685" t="s">
        <v>16</v>
      </c>
      <c r="K17" s="685" t="s">
        <v>66</v>
      </c>
      <c r="L17" s="685" t="s">
        <v>64</v>
      </c>
      <c r="M17" s="685" t="s">
        <v>2</v>
      </c>
      <c r="N17" s="685" t="s">
        <v>63</v>
      </c>
      <c r="O17" s="685" t="s">
        <v>25</v>
      </c>
      <c r="P17" s="689" t="s">
        <v>17</v>
      </c>
      <c r="Q17" s="693"/>
      <c r="R17" s="693"/>
      <c r="S17" s="693"/>
      <c r="T17" s="690"/>
      <c r="U17" s="683" t="s">
        <v>56</v>
      </c>
      <c r="V17" s="684"/>
      <c r="W17" s="685" t="s">
        <v>6</v>
      </c>
      <c r="X17" s="685" t="s">
        <v>41</v>
      </c>
      <c r="Y17" s="695" t="s">
        <v>54</v>
      </c>
      <c r="Z17" s="697" t="s">
        <v>18</v>
      </c>
      <c r="AA17" s="699" t="s">
        <v>60</v>
      </c>
      <c r="AB17" s="699" t="s">
        <v>19</v>
      </c>
      <c r="AC17" s="699" t="s">
        <v>65</v>
      </c>
      <c r="AD17" s="701" t="s">
        <v>57</v>
      </c>
      <c r="AE17" s="702"/>
      <c r="AF17" s="703"/>
      <c r="AG17" s="77"/>
      <c r="BD17" s="76" t="s">
        <v>62</v>
      </c>
    </row>
    <row r="18" spans="1:68" ht="14.25" customHeight="1" x14ac:dyDescent="0.2">
      <c r="A18" s="686"/>
      <c r="B18" s="686"/>
      <c r="C18" s="688"/>
      <c r="D18" s="691"/>
      <c r="E18" s="692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91"/>
      <c r="Q18" s="694"/>
      <c r="R18" s="694"/>
      <c r="S18" s="694"/>
      <c r="T18" s="692"/>
      <c r="U18" s="78" t="s">
        <v>44</v>
      </c>
      <c r="V18" s="78" t="s">
        <v>43</v>
      </c>
      <c r="W18" s="686"/>
      <c r="X18" s="686"/>
      <c r="Y18" s="696"/>
      <c r="Z18" s="698"/>
      <c r="AA18" s="700"/>
      <c r="AB18" s="700"/>
      <c r="AC18" s="700"/>
      <c r="AD18" s="704"/>
      <c r="AE18" s="705"/>
      <c r="AF18" s="706"/>
      <c r="AG18" s="77"/>
      <c r="BD18" s="76"/>
    </row>
    <row r="19" spans="1:68" ht="27.75" hidden="1" customHeight="1" x14ac:dyDescent="0.2">
      <c r="A19" s="707" t="s">
        <v>76</v>
      </c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07"/>
      <c r="W19" s="707"/>
      <c r="X19" s="707"/>
      <c r="Y19" s="707"/>
      <c r="Z19" s="707"/>
      <c r="AA19" s="52"/>
      <c r="AB19" s="52"/>
      <c r="AC19" s="52"/>
    </row>
    <row r="20" spans="1:68" ht="16.5" hidden="1" customHeight="1" x14ac:dyDescent="0.25">
      <c r="A20" s="708" t="s">
        <v>76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708"/>
      <c r="AA20" s="62"/>
      <c r="AB20" s="62"/>
      <c r="AC20" s="62"/>
    </row>
    <row r="21" spans="1:68" ht="14.25" hidden="1" customHeight="1" x14ac:dyDescent="0.25">
      <c r="A21" s="709" t="s">
        <v>77</v>
      </c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0">
        <v>4680115886643</v>
      </c>
      <c r="E22" s="71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2"/>
      <c r="R22" s="712"/>
      <c r="S22" s="712"/>
      <c r="T22" s="71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0">
        <v>4680115889071</v>
      </c>
      <c r="E23" s="71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2"/>
      <c r="R23" s="712"/>
      <c r="S23" s="712"/>
      <c r="T23" s="71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8"/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718"/>
      <c r="O24" s="719"/>
      <c r="P24" s="715" t="s">
        <v>40</v>
      </c>
      <c r="Q24" s="716"/>
      <c r="R24" s="716"/>
      <c r="S24" s="716"/>
      <c r="T24" s="716"/>
      <c r="U24" s="716"/>
      <c r="V24" s="71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8"/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718"/>
      <c r="O25" s="719"/>
      <c r="P25" s="715" t="s">
        <v>40</v>
      </c>
      <c r="Q25" s="716"/>
      <c r="R25" s="716"/>
      <c r="S25" s="716"/>
      <c r="T25" s="716"/>
      <c r="U25" s="716"/>
      <c r="V25" s="71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9" t="s">
        <v>86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0">
        <v>4680115885912</v>
      </c>
      <c r="E27" s="71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2"/>
      <c r="R27" s="712"/>
      <c r="S27" s="712"/>
      <c r="T27" s="71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0">
        <v>4607091388237</v>
      </c>
      <c r="E28" s="71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2"/>
      <c r="R28" s="712"/>
      <c r="S28" s="712"/>
      <c r="T28" s="71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0">
        <v>4680115887350</v>
      </c>
      <c r="E29" s="71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2"/>
      <c r="R29" s="712"/>
      <c r="S29" s="712"/>
      <c r="T29" s="71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0">
        <v>4680115885905</v>
      </c>
      <c r="E30" s="71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2"/>
      <c r="R30" s="712"/>
      <c r="S30" s="712"/>
      <c r="T30" s="71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0">
        <v>4680115887619</v>
      </c>
      <c r="E31" s="71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2"/>
      <c r="R31" s="712"/>
      <c r="S31" s="712"/>
      <c r="T31" s="71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9"/>
      <c r="P32" s="715" t="s">
        <v>40</v>
      </c>
      <c r="Q32" s="716"/>
      <c r="R32" s="716"/>
      <c r="S32" s="716"/>
      <c r="T32" s="716"/>
      <c r="U32" s="716"/>
      <c r="V32" s="71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718"/>
      <c r="O33" s="719"/>
      <c r="P33" s="715" t="s">
        <v>40</v>
      </c>
      <c r="Q33" s="716"/>
      <c r="R33" s="716"/>
      <c r="S33" s="716"/>
      <c r="T33" s="716"/>
      <c r="U33" s="716"/>
      <c r="V33" s="71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7" t="s">
        <v>45</v>
      </c>
      <c r="B34" s="707"/>
      <c r="C34" s="707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07"/>
      <c r="W34" s="707"/>
      <c r="X34" s="707"/>
      <c r="Y34" s="707"/>
      <c r="Z34" s="707"/>
      <c r="AA34" s="52"/>
      <c r="AB34" s="52"/>
      <c r="AC34" s="52"/>
    </row>
    <row r="35" spans="1:68" ht="16.5" hidden="1" customHeight="1" x14ac:dyDescent="0.25">
      <c r="A35" s="708" t="s">
        <v>104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Y35" s="708"/>
      <c r="Z35" s="708"/>
      <c r="AA35" s="62"/>
      <c r="AB35" s="62"/>
      <c r="AC35" s="62"/>
    </row>
    <row r="36" spans="1:68" ht="14.25" hidden="1" customHeight="1" x14ac:dyDescent="0.25">
      <c r="A36" s="709" t="s">
        <v>86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0">
        <v>4680115889354</v>
      </c>
      <c r="E37" s="71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2"/>
      <c r="R37" s="712"/>
      <c r="S37" s="712"/>
      <c r="T37" s="71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0">
        <v>4680115888463</v>
      </c>
      <c r="E38" s="71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2"/>
      <c r="R38" s="712"/>
      <c r="S38" s="712"/>
      <c r="T38" s="71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710">
        <v>4680115888494</v>
      </c>
      <c r="E39" s="710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2"/>
      <c r="R39" s="712"/>
      <c r="S39" s="712"/>
      <c r="T39" s="71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0">
        <v>4680115888272</v>
      </c>
      <c r="E40" s="71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2"/>
      <c r="R40" s="712"/>
      <c r="S40" s="712"/>
      <c r="T40" s="71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0">
        <v>4680115888364</v>
      </c>
      <c r="E41" s="71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2"/>
      <c r="R41" s="712"/>
      <c r="S41" s="712"/>
      <c r="T41" s="71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18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19"/>
      <c r="P42" s="715" t="s">
        <v>40</v>
      </c>
      <c r="Q42" s="716"/>
      <c r="R42" s="716"/>
      <c r="S42" s="716"/>
      <c r="T42" s="716"/>
      <c r="U42" s="716"/>
      <c r="V42" s="71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18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8"/>
      <c r="O43" s="719"/>
      <c r="P43" s="715" t="s">
        <v>40</v>
      </c>
      <c r="Q43" s="716"/>
      <c r="R43" s="716"/>
      <c r="S43" s="716"/>
      <c r="T43" s="716"/>
      <c r="U43" s="716"/>
      <c r="V43" s="71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07" t="s">
        <v>120</v>
      </c>
      <c r="B44" s="707"/>
      <c r="C44" s="707"/>
      <c r="D44" s="707"/>
      <c r="E44" s="707"/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52"/>
      <c r="AB44" s="52"/>
      <c r="AC44" s="52"/>
    </row>
    <row r="45" spans="1:68" ht="16.5" hidden="1" customHeight="1" x14ac:dyDescent="0.25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62"/>
      <c r="AB45" s="62"/>
      <c r="AC45" s="62"/>
    </row>
    <row r="46" spans="1:68" ht="14.2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0">
        <v>4607091385670</v>
      </c>
      <c r="E47" s="71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2"/>
      <c r="R47" s="712"/>
      <c r="S47" s="712"/>
      <c r="T47" s="71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0">
        <v>4680115887725</v>
      </c>
      <c r="E48" s="71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2"/>
      <c r="R48" s="712"/>
      <c r="S48" s="712"/>
      <c r="T48" s="71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10">
        <v>4607091385687</v>
      </c>
      <c r="E49" s="71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2"/>
      <c r="R49" s="712"/>
      <c r="S49" s="712"/>
      <c r="T49" s="713"/>
      <c r="U49" s="37" t="s">
        <v>46</v>
      </c>
      <c r="V49" s="37" t="s">
        <v>46</v>
      </c>
      <c r="W49" s="38" t="s">
        <v>0</v>
      </c>
      <c r="X49" s="56">
        <v>87.6</v>
      </c>
      <c r="Y49" s="53">
        <f>IFERROR(IF(X49="",0,CEILING((X49/$H49),1)*$H49),"")</f>
        <v>88</v>
      </c>
      <c r="Z49" s="39">
        <f>IFERROR(IF(Y49=0,"",ROUNDUP(Y49/H49,0)*0.00902),"")</f>
        <v>0.19844000000000001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91.760999999999996</v>
      </c>
      <c r="BN49" s="75">
        <f>IFERROR(Y49*I49/H49,"0")</f>
        <v>92.18</v>
      </c>
      <c r="BO49" s="75">
        <f>IFERROR(1/J49*(X49/H49),"0")</f>
        <v>0.16590909090909089</v>
      </c>
      <c r="BP49" s="75">
        <f>IFERROR(1/J49*(Y49/H49),"0")</f>
        <v>0.16666666666666669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0">
        <v>4680115882539</v>
      </c>
      <c r="E50" s="71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2"/>
      <c r="R50" s="712"/>
      <c r="S50" s="712"/>
      <c r="T50" s="71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9"/>
      <c r="P51" s="715" t="s">
        <v>40</v>
      </c>
      <c r="Q51" s="716"/>
      <c r="R51" s="716"/>
      <c r="S51" s="716"/>
      <c r="T51" s="716"/>
      <c r="U51" s="716"/>
      <c r="V51" s="717"/>
      <c r="W51" s="40" t="s">
        <v>39</v>
      </c>
      <c r="X51" s="41">
        <f>IFERROR(X47/H47,"0")+IFERROR(X48/H48,"0")+IFERROR(X49/H49,"0")+IFERROR(X50/H50,"0")</f>
        <v>21.9</v>
      </c>
      <c r="Y51" s="41">
        <f>IFERROR(Y47/H47,"0")+IFERROR(Y48/H48,"0")+IFERROR(Y49/H49,"0")+IFERROR(Y50/H50,"0")</f>
        <v>22</v>
      </c>
      <c r="Z51" s="41">
        <f>IFERROR(IF(Z47="",0,Z47),"0")+IFERROR(IF(Z48="",0,Z48),"0")+IFERROR(IF(Z49="",0,Z49),"0")+IFERROR(IF(Z50="",0,Z50),"0")</f>
        <v>0.19844000000000001</v>
      </c>
      <c r="AA51" s="64"/>
      <c r="AB51" s="64"/>
      <c r="AC51" s="64"/>
    </row>
    <row r="52" spans="1:68" x14ac:dyDescent="0.2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9"/>
      <c r="P52" s="715" t="s">
        <v>40</v>
      </c>
      <c r="Q52" s="716"/>
      <c r="R52" s="716"/>
      <c r="S52" s="716"/>
      <c r="T52" s="716"/>
      <c r="U52" s="716"/>
      <c r="V52" s="717"/>
      <c r="W52" s="40" t="s">
        <v>0</v>
      </c>
      <c r="X52" s="41">
        <f>IFERROR(SUM(X47:X50),"0")</f>
        <v>87.6</v>
      </c>
      <c r="Y52" s="41">
        <f>IFERROR(SUM(Y47:Y50),"0")</f>
        <v>88</v>
      </c>
      <c r="Z52" s="40"/>
      <c r="AA52" s="64"/>
      <c r="AB52" s="64"/>
      <c r="AC52" s="64"/>
    </row>
    <row r="53" spans="1:68" ht="16.5" hidden="1" customHeight="1" x14ac:dyDescent="0.25">
      <c r="A53" s="708" t="s">
        <v>137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Y53" s="708"/>
      <c r="Z53" s="708"/>
      <c r="AA53" s="62"/>
      <c r="AB53" s="62"/>
      <c r="AC53" s="62"/>
    </row>
    <row r="54" spans="1:68" ht="14.25" hidden="1" customHeight="1" x14ac:dyDescent="0.25">
      <c r="A54" s="709" t="s">
        <v>122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710">
        <v>4680115885882</v>
      </c>
      <c r="E55" s="71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2"/>
      <c r="R55" s="712"/>
      <c r="S55" s="712"/>
      <c r="T55" s="71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710">
        <v>4680115885882</v>
      </c>
      <c r="E56" s="710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2"/>
      <c r="R56" s="712"/>
      <c r="S56" s="712"/>
      <c r="T56" s="71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4301011816</v>
      </c>
      <c r="D57" s="710">
        <v>4680115881426</v>
      </c>
      <c r="E57" s="71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2"/>
      <c r="R57" s="712"/>
      <c r="S57" s="712"/>
      <c r="T57" s="71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710">
        <v>4680115880283</v>
      </c>
      <c r="E58" s="71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2"/>
      <c r="R58" s="712"/>
      <c r="S58" s="712"/>
      <c r="T58" s="71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710">
        <v>4680115880283</v>
      </c>
      <c r="E59" s="710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2"/>
      <c r="R59" s="712"/>
      <c r="S59" s="712"/>
      <c r="T59" s="71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710">
        <v>4680115881525</v>
      </c>
      <c r="E60" s="71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2"/>
      <c r="R60" s="712"/>
      <c r="S60" s="712"/>
      <c r="T60" s="71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0">
        <v>4680115885899</v>
      </c>
      <c r="E61" s="71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2"/>
      <c r="R61" s="712"/>
      <c r="S61" s="712"/>
      <c r="T61" s="71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710">
        <v>4680115881419</v>
      </c>
      <c r="E62" s="71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2"/>
      <c r="R62" s="712"/>
      <c r="S62" s="712"/>
      <c r="T62" s="71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9"/>
      <c r="P63" s="715" t="s">
        <v>40</v>
      </c>
      <c r="Q63" s="716"/>
      <c r="R63" s="716"/>
      <c r="S63" s="716"/>
      <c r="T63" s="716"/>
      <c r="U63" s="716"/>
      <c r="V63" s="717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9"/>
      <c r="P64" s="715" t="s">
        <v>40</v>
      </c>
      <c r="Q64" s="716"/>
      <c r="R64" s="716"/>
      <c r="S64" s="716"/>
      <c r="T64" s="716"/>
      <c r="U64" s="716"/>
      <c r="V64" s="717"/>
      <c r="W64" s="40" t="s">
        <v>0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709" t="s">
        <v>158</v>
      </c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709"/>
      <c r="AA65" s="63"/>
      <c r="AB65" s="63"/>
      <c r="AC65" s="63"/>
    </row>
    <row r="66" spans="1:68" ht="16.5" hidden="1" customHeight="1" x14ac:dyDescent="0.25">
      <c r="A66" s="60" t="s">
        <v>159</v>
      </c>
      <c r="B66" s="60" t="s">
        <v>160</v>
      </c>
      <c r="C66" s="34">
        <v>4301020298</v>
      </c>
      <c r="D66" s="710">
        <v>4680115881440</v>
      </c>
      <c r="E66" s="710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2"/>
      <c r="R66" s="712"/>
      <c r="S66" s="712"/>
      <c r="T66" s="71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710">
        <v>4680115885950</v>
      </c>
      <c r="E67" s="710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2"/>
      <c r="R67" s="712"/>
      <c r="S67" s="712"/>
      <c r="T67" s="71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710">
        <v>4680115887688</v>
      </c>
      <c r="E68" s="710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2"/>
      <c r="R68" s="712"/>
      <c r="S68" s="712"/>
      <c r="T68" s="713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167</v>
      </c>
      <c r="B69" s="60" t="s">
        <v>168</v>
      </c>
      <c r="C69" s="34">
        <v>4301020296</v>
      </c>
      <c r="D69" s="710">
        <v>4680115881433</v>
      </c>
      <c r="E69" s="710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2"/>
      <c r="R69" s="712"/>
      <c r="S69" s="712"/>
      <c r="T69" s="71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9"/>
      <c r="P70" s="715" t="s">
        <v>40</v>
      </c>
      <c r="Q70" s="716"/>
      <c r="R70" s="716"/>
      <c r="S70" s="716"/>
      <c r="T70" s="716"/>
      <c r="U70" s="716"/>
      <c r="V70" s="717"/>
      <c r="W70" s="40" t="s">
        <v>39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9"/>
      <c r="P71" s="715" t="s">
        <v>40</v>
      </c>
      <c r="Q71" s="716"/>
      <c r="R71" s="716"/>
      <c r="S71" s="716"/>
      <c r="T71" s="716"/>
      <c r="U71" s="716"/>
      <c r="V71" s="717"/>
      <c r="W71" s="40" t="s">
        <v>0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709" t="s">
        <v>86</v>
      </c>
      <c r="B72" s="709"/>
      <c r="C72" s="709"/>
      <c r="D72" s="709"/>
      <c r="E72" s="709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  <c r="AA72" s="63"/>
      <c r="AB72" s="63"/>
      <c r="AC72" s="63"/>
    </row>
    <row r="73" spans="1:68" ht="16.5" customHeight="1" x14ac:dyDescent="0.25">
      <c r="A73" s="60" t="s">
        <v>169</v>
      </c>
      <c r="B73" s="60" t="s">
        <v>170</v>
      </c>
      <c r="C73" s="34">
        <v>4301051837</v>
      </c>
      <c r="D73" s="710">
        <v>4680115884311</v>
      </c>
      <c r="E73" s="71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2"/>
      <c r="R73" s="712"/>
      <c r="S73" s="712"/>
      <c r="T73" s="713"/>
      <c r="U73" s="37" t="s">
        <v>46</v>
      </c>
      <c r="V73" s="37" t="s">
        <v>46</v>
      </c>
      <c r="W73" s="38" t="s">
        <v>0</v>
      </c>
      <c r="X73" s="56">
        <v>27</v>
      </c>
      <c r="Y73" s="53">
        <f>IFERROR(IF(X73="",0,CEILING((X73/$H73),1)*$H73),"")</f>
        <v>27</v>
      </c>
      <c r="Z73" s="39">
        <f>IFERROR(IF(Y73=0,"",ROUNDUP(Y73/H73,0)*0.00651),"")</f>
        <v>9.7650000000000001E-2</v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30.689999999999998</v>
      </c>
      <c r="BN73" s="75">
        <f>IFERROR(Y73*I73/H73,"0")</f>
        <v>30.689999999999998</v>
      </c>
      <c r="BO73" s="75">
        <f>IFERROR(1/J73*(X73/H73),"0")</f>
        <v>8.241758241758243E-2</v>
      </c>
      <c r="BP73" s="75">
        <f>IFERROR(1/J73*(Y73/H73),"0")</f>
        <v>8.241758241758243E-2</v>
      </c>
    </row>
    <row r="74" spans="1:68" ht="27" customHeight="1" x14ac:dyDescent="0.25">
      <c r="A74" s="60" t="s">
        <v>172</v>
      </c>
      <c r="B74" s="60" t="s">
        <v>173</v>
      </c>
      <c r="C74" s="34">
        <v>4301051929</v>
      </c>
      <c r="D74" s="710">
        <v>4680115884403</v>
      </c>
      <c r="E74" s="710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2"/>
      <c r="R74" s="712"/>
      <c r="S74" s="712"/>
      <c r="T74" s="713"/>
      <c r="U74" s="37" t="s">
        <v>46</v>
      </c>
      <c r="V74" s="37" t="s">
        <v>46</v>
      </c>
      <c r="W74" s="38" t="s">
        <v>0</v>
      </c>
      <c r="X74" s="56">
        <v>36</v>
      </c>
      <c r="Y74" s="53">
        <f>IFERROR(IF(X74="",0,CEILING((X74/$H74),1)*$H74),"")</f>
        <v>36</v>
      </c>
      <c r="Z74" s="39">
        <f>IFERROR(IF(Y74=0,"",ROUNDUP(Y74/H74,0)*0.00651),"")</f>
        <v>0.13020000000000001</v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39.6</v>
      </c>
      <c r="BN74" s="75">
        <f>IFERROR(Y74*I74/H74,"0")</f>
        <v>39.6</v>
      </c>
      <c r="BO74" s="75">
        <f>IFERROR(1/J74*(X74/H74),"0")</f>
        <v>0.1098901098901099</v>
      </c>
      <c r="BP74" s="75">
        <f>IFERROR(1/J74*(Y74/H74),"0")</f>
        <v>0.1098901098901099</v>
      </c>
    </row>
    <row r="75" spans="1:68" x14ac:dyDescent="0.2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9"/>
      <c r="P75" s="715" t="s">
        <v>40</v>
      </c>
      <c r="Q75" s="716"/>
      <c r="R75" s="716"/>
      <c r="S75" s="716"/>
      <c r="T75" s="716"/>
      <c r="U75" s="716"/>
      <c r="V75" s="717"/>
      <c r="W75" s="40" t="s">
        <v>39</v>
      </c>
      <c r="X75" s="41">
        <f>IFERROR(X73/H73,"0")+IFERROR(X74/H74,"0")</f>
        <v>35</v>
      </c>
      <c r="Y75" s="41">
        <f>IFERROR(Y73/H73,"0")+IFERROR(Y74/H74,"0")</f>
        <v>35</v>
      </c>
      <c r="Z75" s="41">
        <f>IFERROR(IF(Z73="",0,Z73),"0")+IFERROR(IF(Z74="",0,Z74),"0")</f>
        <v>0.22785</v>
      </c>
      <c r="AA75" s="64"/>
      <c r="AB75" s="64"/>
      <c r="AC75" s="64"/>
    </row>
    <row r="76" spans="1:68" x14ac:dyDescent="0.2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9"/>
      <c r="P76" s="715" t="s">
        <v>40</v>
      </c>
      <c r="Q76" s="716"/>
      <c r="R76" s="716"/>
      <c r="S76" s="716"/>
      <c r="T76" s="716"/>
      <c r="U76" s="716"/>
      <c r="V76" s="717"/>
      <c r="W76" s="40" t="s">
        <v>0</v>
      </c>
      <c r="X76" s="41">
        <f>IFERROR(SUM(X73:X74),"0")</f>
        <v>63</v>
      </c>
      <c r="Y76" s="41">
        <f>IFERROR(SUM(Y73:Y74),"0")</f>
        <v>63</v>
      </c>
      <c r="Z76" s="40"/>
      <c r="AA76" s="64"/>
      <c r="AB76" s="64"/>
      <c r="AC76" s="64"/>
    </row>
    <row r="77" spans="1:68" ht="14.25" hidden="1" customHeight="1" x14ac:dyDescent="0.25">
      <c r="A77" s="709" t="s">
        <v>175</v>
      </c>
      <c r="B77" s="709"/>
      <c r="C77" s="709"/>
      <c r="D77" s="709"/>
      <c r="E77" s="709"/>
      <c r="F77" s="709"/>
      <c r="G77" s="709"/>
      <c r="H77" s="709"/>
      <c r="I77" s="709"/>
      <c r="J77" s="709"/>
      <c r="K77" s="709"/>
      <c r="L77" s="709"/>
      <c r="M77" s="709"/>
      <c r="N77" s="709"/>
      <c r="O77" s="709"/>
      <c r="P77" s="709"/>
      <c r="Q77" s="709"/>
      <c r="R77" s="709"/>
      <c r="S77" s="709"/>
      <c r="T77" s="709"/>
      <c r="U77" s="709"/>
      <c r="V77" s="709"/>
      <c r="W77" s="709"/>
      <c r="X77" s="709"/>
      <c r="Y77" s="709"/>
      <c r="Z77" s="709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0">
        <v>4680115881532</v>
      </c>
      <c r="E78" s="71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2"/>
      <c r="R78" s="712"/>
      <c r="S78" s="712"/>
      <c r="T78" s="71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710">
        <v>4680115881464</v>
      </c>
      <c r="E79" s="71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2"/>
      <c r="R79" s="712"/>
      <c r="S79" s="712"/>
      <c r="T79" s="71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9"/>
      <c r="P80" s="715" t="s">
        <v>40</v>
      </c>
      <c r="Q80" s="716"/>
      <c r="R80" s="716"/>
      <c r="S80" s="716"/>
      <c r="T80" s="716"/>
      <c r="U80" s="716"/>
      <c r="V80" s="717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9"/>
      <c r="P81" s="715" t="s">
        <v>40</v>
      </c>
      <c r="Q81" s="716"/>
      <c r="R81" s="716"/>
      <c r="S81" s="716"/>
      <c r="T81" s="716"/>
      <c r="U81" s="716"/>
      <c r="V81" s="717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708" t="s">
        <v>182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2"/>
      <c r="AB82" s="62"/>
      <c r="AC82" s="62"/>
    </row>
    <row r="83" spans="1:68" ht="14.25" hidden="1" customHeight="1" x14ac:dyDescent="0.25">
      <c r="A83" s="709" t="s">
        <v>122</v>
      </c>
      <c r="B83" s="709"/>
      <c r="C83" s="709"/>
      <c r="D83" s="709"/>
      <c r="E83" s="709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709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710">
        <v>4680115881327</v>
      </c>
      <c r="E84" s="710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2"/>
      <c r="R84" s="712"/>
      <c r="S84" s="712"/>
      <c r="T84" s="713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710">
        <v>4680115887732</v>
      </c>
      <c r="E85" s="710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2"/>
      <c r="R85" s="712"/>
      <c r="S85" s="712"/>
      <c r="T85" s="71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710">
        <v>4680115881518</v>
      </c>
      <c r="E86" s="710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2"/>
      <c r="R86" s="712"/>
      <c r="S86" s="712"/>
      <c r="T86" s="71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191</v>
      </c>
      <c r="B87" s="60" t="s">
        <v>192</v>
      </c>
      <c r="C87" s="34">
        <v>4301011443</v>
      </c>
      <c r="D87" s="710">
        <v>4680115881303</v>
      </c>
      <c r="E87" s="710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2"/>
      <c r="R87" s="712"/>
      <c r="S87" s="712"/>
      <c r="T87" s="71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9"/>
      <c r="P88" s="715" t="s">
        <v>40</v>
      </c>
      <c r="Q88" s="716"/>
      <c r="R88" s="716"/>
      <c r="S88" s="716"/>
      <c r="T88" s="716"/>
      <c r="U88" s="716"/>
      <c r="V88" s="717"/>
      <c r="W88" s="40" t="s">
        <v>39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9"/>
      <c r="P89" s="715" t="s">
        <v>40</v>
      </c>
      <c r="Q89" s="716"/>
      <c r="R89" s="716"/>
      <c r="S89" s="716"/>
      <c r="T89" s="716"/>
      <c r="U89" s="716"/>
      <c r="V89" s="717"/>
      <c r="W89" s="40" t="s">
        <v>0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709" t="s">
        <v>86</v>
      </c>
      <c r="B90" s="709"/>
      <c r="C90" s="709"/>
      <c r="D90" s="709"/>
      <c r="E90" s="709"/>
      <c r="F90" s="709"/>
      <c r="G90" s="709"/>
      <c r="H90" s="709"/>
      <c r="I90" s="709"/>
      <c r="J90" s="709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09"/>
      <c r="W90" s="709"/>
      <c r="X90" s="709"/>
      <c r="Y90" s="709"/>
      <c r="Z90" s="709"/>
      <c r="AA90" s="63"/>
      <c r="AB90" s="63"/>
      <c r="AC90" s="63"/>
    </row>
    <row r="91" spans="1:68" ht="27" hidden="1" customHeight="1" x14ac:dyDescent="0.25">
      <c r="A91" s="60" t="s">
        <v>193</v>
      </c>
      <c r="B91" s="60" t="s">
        <v>194</v>
      </c>
      <c r="C91" s="34">
        <v>4301051712</v>
      </c>
      <c r="D91" s="710">
        <v>4607091386967</v>
      </c>
      <c r="E91" s="710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2"/>
      <c r="R91" s="712"/>
      <c r="S91" s="712"/>
      <c r="T91" s="71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710">
        <v>4680115884953</v>
      </c>
      <c r="E92" s="710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2"/>
      <c r="R92" s="712"/>
      <c r="S92" s="712"/>
      <c r="T92" s="71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710">
        <v>4607091385731</v>
      </c>
      <c r="E93" s="710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2"/>
      <c r="R93" s="712"/>
      <c r="S93" s="712"/>
      <c r="T93" s="713"/>
      <c r="U93" s="37" t="s">
        <v>46</v>
      </c>
      <c r="V93" s="37" t="s">
        <v>46</v>
      </c>
      <c r="W93" s="38" t="s">
        <v>0</v>
      </c>
      <c r="X93" s="56">
        <v>202.5</v>
      </c>
      <c r="Y93" s="53">
        <f>IFERROR(IF(X93="",0,CEILING((X93/$H93),1)*$H93),"")</f>
        <v>202.5</v>
      </c>
      <c r="Z93" s="39">
        <f>IFERROR(IF(Y93=0,"",ROUNDUP(Y93/H93,0)*0.00651),"")</f>
        <v>0.48825000000000002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221.39999999999998</v>
      </c>
      <c r="BN93" s="75">
        <f>IFERROR(Y93*I93/H93,"0")</f>
        <v>221.39999999999998</v>
      </c>
      <c r="BO93" s="75">
        <f>IFERROR(1/J93*(X93/H93),"0")</f>
        <v>0.41208791208791212</v>
      </c>
      <c r="BP93" s="75">
        <f>IFERROR(1/J93*(Y93/H93),"0")</f>
        <v>0.41208791208791212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710">
        <v>4680115880894</v>
      </c>
      <c r="E94" s="710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2"/>
      <c r="R94" s="712"/>
      <c r="S94" s="712"/>
      <c r="T94" s="71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9"/>
      <c r="P95" s="715" t="s">
        <v>40</v>
      </c>
      <c r="Q95" s="716"/>
      <c r="R95" s="716"/>
      <c r="S95" s="716"/>
      <c r="T95" s="716"/>
      <c r="U95" s="716"/>
      <c r="V95" s="717"/>
      <c r="W95" s="40" t="s">
        <v>39</v>
      </c>
      <c r="X95" s="41">
        <f>IFERROR(X91/H91,"0")+IFERROR(X92/H92,"0")+IFERROR(X93/H93,"0")+IFERROR(X94/H94,"0")</f>
        <v>75</v>
      </c>
      <c r="Y95" s="41">
        <f>IFERROR(Y91/H91,"0")+IFERROR(Y92/H92,"0")+IFERROR(Y93/H93,"0")+IFERROR(Y94/H94,"0")</f>
        <v>75</v>
      </c>
      <c r="Z95" s="41">
        <f>IFERROR(IF(Z91="",0,Z91),"0")+IFERROR(IF(Z92="",0,Z92),"0")+IFERROR(IF(Z93="",0,Z93),"0")+IFERROR(IF(Z94="",0,Z94),"0")</f>
        <v>0.48825000000000002</v>
      </c>
      <c r="AA95" s="64"/>
      <c r="AB95" s="64"/>
      <c r="AC95" s="64"/>
    </row>
    <row r="96" spans="1:68" x14ac:dyDescent="0.2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9"/>
      <c r="P96" s="715" t="s">
        <v>40</v>
      </c>
      <c r="Q96" s="716"/>
      <c r="R96" s="716"/>
      <c r="S96" s="716"/>
      <c r="T96" s="716"/>
      <c r="U96" s="716"/>
      <c r="V96" s="717"/>
      <c r="W96" s="40" t="s">
        <v>0</v>
      </c>
      <c r="X96" s="41">
        <f>IFERROR(SUM(X91:X94),"0")</f>
        <v>202.5</v>
      </c>
      <c r="Y96" s="41">
        <f>IFERROR(SUM(Y91:Y94),"0")</f>
        <v>202.5</v>
      </c>
      <c r="Z96" s="40"/>
      <c r="AA96" s="64"/>
      <c r="AB96" s="64"/>
      <c r="AC96" s="64"/>
    </row>
    <row r="97" spans="1:68" ht="16.5" hidden="1" customHeight="1" x14ac:dyDescent="0.25">
      <c r="A97" s="708" t="s">
        <v>203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2"/>
      <c r="AB97" s="62"/>
      <c r="AC97" s="62"/>
    </row>
    <row r="98" spans="1:68" ht="14.25" hidden="1" customHeight="1" x14ac:dyDescent="0.25">
      <c r="A98" s="709" t="s">
        <v>122</v>
      </c>
      <c r="B98" s="709"/>
      <c r="C98" s="709"/>
      <c r="D98" s="709"/>
      <c r="E98" s="709"/>
      <c r="F98" s="709"/>
      <c r="G98" s="709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710">
        <v>4680115882133</v>
      </c>
      <c r="E99" s="710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2"/>
      <c r="R99" s="712"/>
      <c r="S99" s="712"/>
      <c r="T99" s="713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207</v>
      </c>
      <c r="B100" s="60" t="s">
        <v>208</v>
      </c>
      <c r="C100" s="34">
        <v>4301012051</v>
      </c>
      <c r="D100" s="710">
        <v>4680115887718</v>
      </c>
      <c r="E100" s="710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2"/>
      <c r="R100" s="712"/>
      <c r="S100" s="712"/>
      <c r="T100" s="713"/>
      <c r="U100" s="37" t="s">
        <v>46</v>
      </c>
      <c r="V100" s="37" t="s">
        <v>46</v>
      </c>
      <c r="W100" s="38" t="s">
        <v>0</v>
      </c>
      <c r="X100" s="56">
        <v>4.4000000000000004</v>
      </c>
      <c r="Y100" s="53">
        <f t="shared" si="5"/>
        <v>4.4000000000000004</v>
      </c>
      <c r="Z100" s="39">
        <f>IFERROR(IF(Y100=0,"",ROUNDUP(Y100/H100,0)*0.00726),"")</f>
        <v>2.904E-2</v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5.24</v>
      </c>
      <c r="BN100" s="75">
        <f t="shared" si="7"/>
        <v>5.24</v>
      </c>
      <c r="BO100" s="75">
        <f t="shared" si="8"/>
        <v>2.0833333333333332E-2</v>
      </c>
      <c r="BP100" s="75">
        <f t="shared" si="9"/>
        <v>2.0833333333333332E-2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710">
        <v>4680115887718</v>
      </c>
      <c r="E101" s="710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2"/>
      <c r="R101" s="712"/>
      <c r="S101" s="712"/>
      <c r="T101" s="713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710">
        <v>4680115887718</v>
      </c>
      <c r="E102" s="710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2"/>
      <c r="R102" s="712"/>
      <c r="S102" s="712"/>
      <c r="T102" s="71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710">
        <v>4680115880269</v>
      </c>
      <c r="E103" s="71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2"/>
      <c r="R103" s="712"/>
      <c r="S103" s="712"/>
      <c r="T103" s="71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4301011415</v>
      </c>
      <c r="D104" s="710">
        <v>4680115880429</v>
      </c>
      <c r="E104" s="71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2"/>
      <c r="R104" s="712"/>
      <c r="S104" s="712"/>
      <c r="T104" s="71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710">
        <v>4680115881457</v>
      </c>
      <c r="E105" s="71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2"/>
      <c r="R105" s="712"/>
      <c r="S105" s="712"/>
      <c r="T105" s="71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9"/>
      <c r="P106" s="715" t="s">
        <v>40</v>
      </c>
      <c r="Q106" s="716"/>
      <c r="R106" s="716"/>
      <c r="S106" s="716"/>
      <c r="T106" s="716"/>
      <c r="U106" s="716"/>
      <c r="V106" s="717"/>
      <c r="W106" s="40" t="s">
        <v>39</v>
      </c>
      <c r="X106" s="41">
        <f>IFERROR(X99/H99,"0")+IFERROR(X100/H100,"0")+IFERROR(X101/H101,"0")+IFERROR(X102/H102,"0")+IFERROR(X103/H103,"0")+IFERROR(X104/H104,"0")+IFERROR(X105/H105,"0")</f>
        <v>4</v>
      </c>
      <c r="Y106" s="41">
        <f>IFERROR(Y99/H99,"0")+IFERROR(Y100/H100,"0")+IFERROR(Y101/H101,"0")+IFERROR(Y102/H102,"0")+IFERROR(Y103/H103,"0")+IFERROR(Y104/H104,"0")+IFERROR(Y105/H105,"0")</f>
        <v>4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2.904E-2</v>
      </c>
      <c r="AA106" s="64"/>
      <c r="AB106" s="64"/>
      <c r="AC106" s="64"/>
    </row>
    <row r="107" spans="1:68" x14ac:dyDescent="0.2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9"/>
      <c r="P107" s="715" t="s">
        <v>40</v>
      </c>
      <c r="Q107" s="716"/>
      <c r="R107" s="716"/>
      <c r="S107" s="716"/>
      <c r="T107" s="716"/>
      <c r="U107" s="716"/>
      <c r="V107" s="717"/>
      <c r="W107" s="40" t="s">
        <v>0</v>
      </c>
      <c r="X107" s="41">
        <f>IFERROR(SUM(X99:X105),"0")</f>
        <v>4.4000000000000004</v>
      </c>
      <c r="Y107" s="41">
        <f>IFERROR(SUM(Y99:Y105),"0")</f>
        <v>4.4000000000000004</v>
      </c>
      <c r="Z107" s="40"/>
      <c r="AA107" s="64"/>
      <c r="AB107" s="64"/>
      <c r="AC107" s="64"/>
    </row>
    <row r="108" spans="1:68" ht="14.25" hidden="1" customHeight="1" x14ac:dyDescent="0.25">
      <c r="A108" s="709" t="s">
        <v>158</v>
      </c>
      <c r="B108" s="709"/>
      <c r="C108" s="709"/>
      <c r="D108" s="709"/>
      <c r="E108" s="709"/>
      <c r="F108" s="709"/>
      <c r="G108" s="709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710">
        <v>4680115881488</v>
      </c>
      <c r="E109" s="71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2"/>
      <c r="R109" s="712"/>
      <c r="S109" s="712"/>
      <c r="T109" s="713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221</v>
      </c>
      <c r="B110" s="60" t="s">
        <v>222</v>
      </c>
      <c r="C110" s="34">
        <v>4301020186</v>
      </c>
      <c r="D110" s="710">
        <v>4680115887664</v>
      </c>
      <c r="E110" s="71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2"/>
      <c r="R110" s="712"/>
      <c r="S110" s="712"/>
      <c r="T110" s="713"/>
      <c r="U110" s="37" t="s">
        <v>46</v>
      </c>
      <c r="V110" s="37" t="s">
        <v>46</v>
      </c>
      <c r="W110" s="38" t="s">
        <v>0</v>
      </c>
      <c r="X110" s="56">
        <v>12.1</v>
      </c>
      <c r="Y110" s="53">
        <f>IFERROR(IF(X110="",0,CEILING((X110/$H110),1)*$H110),"")</f>
        <v>13</v>
      </c>
      <c r="Z110" s="39">
        <f>IFERROR(IF(Y110=0,"",ROUNDUP(Y110/H110,0)*0.00358),"")</f>
        <v>4.6539999999999998E-2</v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14.641</v>
      </c>
      <c r="BN110" s="75">
        <f>IFERROR(Y110*I110/H110,"0")</f>
        <v>15.73</v>
      </c>
      <c r="BO110" s="75">
        <f>IFERROR(1/J110*(X110/H110),"0")</f>
        <v>3.0867346938775506E-2</v>
      </c>
      <c r="BP110" s="75">
        <f>IFERROR(1/J110*(Y110/H110),"0")</f>
        <v>3.3163265306122444E-2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710">
        <v>4680115887664</v>
      </c>
      <c r="E111" s="710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2"/>
      <c r="R111" s="712"/>
      <c r="S111" s="712"/>
      <c r="T111" s="713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710">
        <v>4680115882775</v>
      </c>
      <c r="E112" s="710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2"/>
      <c r="R112" s="712"/>
      <c r="S112" s="712"/>
      <c r="T112" s="713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710">
        <v>4680115880658</v>
      </c>
      <c r="E113" s="710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2"/>
      <c r="R113" s="712"/>
      <c r="S113" s="712"/>
      <c r="T113" s="713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9"/>
      <c r="P114" s="715" t="s">
        <v>40</v>
      </c>
      <c r="Q114" s="716"/>
      <c r="R114" s="716"/>
      <c r="S114" s="716"/>
      <c r="T114" s="716"/>
      <c r="U114" s="716"/>
      <c r="V114" s="717"/>
      <c r="W114" s="40" t="s">
        <v>39</v>
      </c>
      <c r="X114" s="41">
        <f>IFERROR(X109/H109,"0")+IFERROR(X110/H110,"0")+IFERROR(X111/H111,"0")+IFERROR(X112/H112,"0")+IFERROR(X113/H113,"0")</f>
        <v>12.1</v>
      </c>
      <c r="Y114" s="41">
        <f>IFERROR(Y109/H109,"0")+IFERROR(Y110/H110,"0")+IFERROR(Y111/H111,"0")+IFERROR(Y112/H112,"0")+IFERROR(Y113/H113,"0")</f>
        <v>13</v>
      </c>
      <c r="Z114" s="41">
        <f>IFERROR(IF(Z109="",0,Z109),"0")+IFERROR(IF(Z110="",0,Z110),"0")+IFERROR(IF(Z111="",0,Z111),"0")+IFERROR(IF(Z112="",0,Z112),"0")+IFERROR(IF(Z113="",0,Z113),"0")</f>
        <v>4.6539999999999998E-2</v>
      </c>
      <c r="AA114" s="64"/>
      <c r="AB114" s="64"/>
      <c r="AC114" s="64"/>
    </row>
    <row r="115" spans="1:68" x14ac:dyDescent="0.2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9"/>
      <c r="P115" s="715" t="s">
        <v>40</v>
      </c>
      <c r="Q115" s="716"/>
      <c r="R115" s="716"/>
      <c r="S115" s="716"/>
      <c r="T115" s="716"/>
      <c r="U115" s="716"/>
      <c r="V115" s="717"/>
      <c r="W115" s="40" t="s">
        <v>0</v>
      </c>
      <c r="X115" s="41">
        <f>IFERROR(SUM(X109:X113),"0")</f>
        <v>12.1</v>
      </c>
      <c r="Y115" s="41">
        <f>IFERROR(SUM(Y109:Y113),"0")</f>
        <v>13</v>
      </c>
      <c r="Z115" s="40"/>
      <c r="AA115" s="64"/>
      <c r="AB115" s="64"/>
      <c r="AC115" s="64"/>
    </row>
    <row r="116" spans="1:68" ht="14.25" hidden="1" customHeight="1" x14ac:dyDescent="0.25">
      <c r="A116" s="709" t="s">
        <v>86</v>
      </c>
      <c r="B116" s="709"/>
      <c r="C116" s="709"/>
      <c r="D116" s="709"/>
      <c r="E116" s="709"/>
      <c r="F116" s="709"/>
      <c r="G116" s="709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63"/>
      <c r="AB116" s="63"/>
      <c r="AC116" s="63"/>
    </row>
    <row r="117" spans="1:68" ht="27" hidden="1" customHeight="1" x14ac:dyDescent="0.25">
      <c r="A117" s="60" t="s">
        <v>230</v>
      </c>
      <c r="B117" s="60" t="s">
        <v>231</v>
      </c>
      <c r="C117" s="34">
        <v>4301051724</v>
      </c>
      <c r="D117" s="710">
        <v>4607091385168</v>
      </c>
      <c r="E117" s="710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2"/>
      <c r="R117" s="712"/>
      <c r="S117" s="712"/>
      <c r="T117" s="71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710">
        <v>4607091383256</v>
      </c>
      <c r="E118" s="710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2"/>
      <c r="R118" s="712"/>
      <c r="S118" s="712"/>
      <c r="T118" s="71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235</v>
      </c>
      <c r="B119" s="60" t="s">
        <v>236</v>
      </c>
      <c r="C119" s="34">
        <v>4301051721</v>
      </c>
      <c r="D119" s="710">
        <v>4607091385748</v>
      </c>
      <c r="E119" s="710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2"/>
      <c r="R119" s="712"/>
      <c r="S119" s="712"/>
      <c r="T119" s="713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710">
        <v>4680115884533</v>
      </c>
      <c r="E120" s="710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2"/>
      <c r="R120" s="712"/>
      <c r="S120" s="712"/>
      <c r="T120" s="713"/>
      <c r="U120" s="37" t="s">
        <v>46</v>
      </c>
      <c r="V120" s="37" t="s">
        <v>46</v>
      </c>
      <c r="W120" s="38" t="s">
        <v>0</v>
      </c>
      <c r="X120" s="56">
        <v>54</v>
      </c>
      <c r="Y120" s="53">
        <f>IFERROR(IF(X120="",0,CEILING((X120/$H120),1)*$H120),"")</f>
        <v>54</v>
      </c>
      <c r="Z120" s="39">
        <f>IFERROR(IF(Y120=0,"",ROUNDUP(Y120/H120,0)*0.00651),"")</f>
        <v>0.1953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59.4</v>
      </c>
      <c r="BN120" s="75">
        <f>IFERROR(Y120*I120/H120,"0")</f>
        <v>59.4</v>
      </c>
      <c r="BO120" s="75">
        <f>IFERROR(1/J120*(X120/H120),"0")</f>
        <v>0.16483516483516486</v>
      </c>
      <c r="BP120" s="75">
        <f>IFERROR(1/J120*(Y120/H120),"0")</f>
        <v>0.16483516483516486</v>
      </c>
    </row>
    <row r="121" spans="1:68" x14ac:dyDescent="0.2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9"/>
      <c r="P121" s="715" t="s">
        <v>40</v>
      </c>
      <c r="Q121" s="716"/>
      <c r="R121" s="716"/>
      <c r="S121" s="716"/>
      <c r="T121" s="716"/>
      <c r="U121" s="716"/>
      <c r="V121" s="717"/>
      <c r="W121" s="40" t="s">
        <v>39</v>
      </c>
      <c r="X121" s="41">
        <f>IFERROR(X117/H117,"0")+IFERROR(X118/H118,"0")+IFERROR(X119/H119,"0")+IFERROR(X120/H120,"0")</f>
        <v>30</v>
      </c>
      <c r="Y121" s="41">
        <f>IFERROR(Y117/H117,"0")+IFERROR(Y118/H118,"0")+IFERROR(Y119/H119,"0")+IFERROR(Y120/H120,"0")</f>
        <v>30</v>
      </c>
      <c r="Z121" s="41">
        <f>IFERROR(IF(Z117="",0,Z117),"0")+IFERROR(IF(Z118="",0,Z118),"0")+IFERROR(IF(Z119="",0,Z119),"0")+IFERROR(IF(Z120="",0,Z120),"0")</f>
        <v>0.1953</v>
      </c>
      <c r="AA121" s="64"/>
      <c r="AB121" s="64"/>
      <c r="AC121" s="64"/>
    </row>
    <row r="122" spans="1:68" x14ac:dyDescent="0.2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9"/>
      <c r="P122" s="715" t="s">
        <v>40</v>
      </c>
      <c r="Q122" s="716"/>
      <c r="R122" s="716"/>
      <c r="S122" s="716"/>
      <c r="T122" s="716"/>
      <c r="U122" s="716"/>
      <c r="V122" s="717"/>
      <c r="W122" s="40" t="s">
        <v>0</v>
      </c>
      <c r="X122" s="41">
        <f>IFERROR(SUM(X117:X120),"0")</f>
        <v>54</v>
      </c>
      <c r="Y122" s="41">
        <f>IFERROR(SUM(Y117:Y120),"0")</f>
        <v>54</v>
      </c>
      <c r="Z122" s="40"/>
      <c r="AA122" s="64"/>
      <c r="AB122" s="64"/>
      <c r="AC122" s="64"/>
    </row>
    <row r="123" spans="1:68" ht="14.25" hidden="1" customHeight="1" x14ac:dyDescent="0.25">
      <c r="A123" s="709" t="s">
        <v>175</v>
      </c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63"/>
      <c r="AB123" s="63"/>
      <c r="AC123" s="63"/>
    </row>
    <row r="124" spans="1:68" ht="16.5" hidden="1" customHeight="1" x14ac:dyDescent="0.25">
      <c r="A124" s="60" t="s">
        <v>240</v>
      </c>
      <c r="B124" s="60" t="s">
        <v>241</v>
      </c>
      <c r="C124" s="34">
        <v>4301060317</v>
      </c>
      <c r="D124" s="710">
        <v>4680115880238</v>
      </c>
      <c r="E124" s="710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2"/>
      <c r="R124" s="712"/>
      <c r="S124" s="712"/>
      <c r="T124" s="71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9"/>
      <c r="P125" s="715" t="s">
        <v>40</v>
      </c>
      <c r="Q125" s="716"/>
      <c r="R125" s="716"/>
      <c r="S125" s="716"/>
      <c r="T125" s="716"/>
      <c r="U125" s="716"/>
      <c r="V125" s="717"/>
      <c r="W125" s="40" t="s">
        <v>39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9"/>
      <c r="P126" s="715" t="s">
        <v>40</v>
      </c>
      <c r="Q126" s="716"/>
      <c r="R126" s="716"/>
      <c r="S126" s="716"/>
      <c r="T126" s="716"/>
      <c r="U126" s="716"/>
      <c r="V126" s="717"/>
      <c r="W126" s="40" t="s">
        <v>0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708" t="s">
        <v>243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2"/>
      <c r="AB127" s="62"/>
      <c r="AC127" s="62"/>
    </row>
    <row r="128" spans="1:68" ht="14.25" hidden="1" customHeight="1" x14ac:dyDescent="0.25">
      <c r="A128" s="709" t="s">
        <v>122</v>
      </c>
      <c r="B128" s="709"/>
      <c r="C128" s="709"/>
      <c r="D128" s="709"/>
      <c r="E128" s="709"/>
      <c r="F128" s="709"/>
      <c r="G128" s="709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710">
        <v>4680115888784</v>
      </c>
      <c r="E129" s="710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2"/>
      <c r="R129" s="712"/>
      <c r="S129" s="712"/>
      <c r="T129" s="71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710">
        <v>4680115882577</v>
      </c>
      <c r="E130" s="710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2"/>
      <c r="R130" s="712"/>
      <c r="S130" s="712"/>
      <c r="T130" s="713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248</v>
      </c>
      <c r="B131" s="60" t="s">
        <v>252</v>
      </c>
      <c r="C131" s="34">
        <v>4301011564</v>
      </c>
      <c r="D131" s="710">
        <v>4680115882577</v>
      </c>
      <c r="E131" s="710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2"/>
      <c r="R131" s="712"/>
      <c r="S131" s="712"/>
      <c r="T131" s="713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9"/>
      <c r="P132" s="715" t="s">
        <v>40</v>
      </c>
      <c r="Q132" s="716"/>
      <c r="R132" s="716"/>
      <c r="S132" s="716"/>
      <c r="T132" s="716"/>
      <c r="U132" s="716"/>
      <c r="V132" s="717"/>
      <c r="W132" s="40" t="s">
        <v>39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9"/>
      <c r="P133" s="715" t="s">
        <v>40</v>
      </c>
      <c r="Q133" s="716"/>
      <c r="R133" s="716"/>
      <c r="S133" s="716"/>
      <c r="T133" s="716"/>
      <c r="U133" s="716"/>
      <c r="V133" s="717"/>
      <c r="W133" s="40" t="s">
        <v>0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709" t="s">
        <v>77</v>
      </c>
      <c r="B134" s="709"/>
      <c r="C134" s="709"/>
      <c r="D134" s="709"/>
      <c r="E134" s="709"/>
      <c r="F134" s="709"/>
      <c r="G134" s="709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710">
        <v>4680115888913</v>
      </c>
      <c r="E135" s="710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2"/>
      <c r="R135" s="712"/>
      <c r="S135" s="712"/>
      <c r="T135" s="71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256</v>
      </c>
      <c r="B136" s="60" t="s">
        <v>257</v>
      </c>
      <c r="C136" s="34">
        <v>4301031234</v>
      </c>
      <c r="D136" s="710">
        <v>4680115883444</v>
      </c>
      <c r="E136" s="710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2"/>
      <c r="R136" s="712"/>
      <c r="S136" s="712"/>
      <c r="T136" s="71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710">
        <v>4680115883444</v>
      </c>
      <c r="E137" s="71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2"/>
      <c r="R137" s="712"/>
      <c r="S137" s="712"/>
      <c r="T137" s="71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710">
        <v>4680115888920</v>
      </c>
      <c r="E138" s="710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2"/>
      <c r="R138" s="712"/>
      <c r="S138" s="712"/>
      <c r="T138" s="71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9"/>
      <c r="P139" s="715" t="s">
        <v>40</v>
      </c>
      <c r="Q139" s="716"/>
      <c r="R139" s="716"/>
      <c r="S139" s="716"/>
      <c r="T139" s="716"/>
      <c r="U139" s="716"/>
      <c r="V139" s="717"/>
      <c r="W139" s="40" t="s">
        <v>39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9"/>
      <c r="P140" s="715" t="s">
        <v>40</v>
      </c>
      <c r="Q140" s="716"/>
      <c r="R140" s="716"/>
      <c r="S140" s="716"/>
      <c r="T140" s="716"/>
      <c r="U140" s="716"/>
      <c r="V140" s="717"/>
      <c r="W140" s="40" t="s">
        <v>0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09" t="s">
        <v>86</v>
      </c>
      <c r="B141" s="709"/>
      <c r="C141" s="709"/>
      <c r="D141" s="709"/>
      <c r="E141" s="709"/>
      <c r="F141" s="709"/>
      <c r="G141" s="709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710">
        <v>4680115888944</v>
      </c>
      <c r="E142" s="710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2"/>
      <c r="R142" s="712"/>
      <c r="S142" s="712"/>
      <c r="T142" s="71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264</v>
      </c>
      <c r="B143" s="60" t="s">
        <v>265</v>
      </c>
      <c r="C143" s="34">
        <v>4301051476</v>
      </c>
      <c r="D143" s="710">
        <v>4680115882584</v>
      </c>
      <c r="E143" s="71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2"/>
      <c r="R143" s="712"/>
      <c r="S143" s="712"/>
      <c r="T143" s="71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710">
        <v>4680115882584</v>
      </c>
      <c r="E144" s="71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2"/>
      <c r="R144" s="712"/>
      <c r="S144" s="712"/>
      <c r="T144" s="71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9"/>
      <c r="P145" s="715" t="s">
        <v>40</v>
      </c>
      <c r="Q145" s="716"/>
      <c r="R145" s="716"/>
      <c r="S145" s="716"/>
      <c r="T145" s="716"/>
      <c r="U145" s="716"/>
      <c r="V145" s="717"/>
      <c r="W145" s="40" t="s">
        <v>39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9"/>
      <c r="P146" s="715" t="s">
        <v>40</v>
      </c>
      <c r="Q146" s="716"/>
      <c r="R146" s="716"/>
      <c r="S146" s="716"/>
      <c r="T146" s="716"/>
      <c r="U146" s="716"/>
      <c r="V146" s="717"/>
      <c r="W146" s="40" t="s">
        <v>0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08" t="s">
        <v>267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2"/>
      <c r="AB147" s="62"/>
      <c r="AC147" s="62"/>
    </row>
    <row r="148" spans="1:68" ht="14.25" hidden="1" customHeight="1" x14ac:dyDescent="0.25">
      <c r="A148" s="709" t="s">
        <v>86</v>
      </c>
      <c r="B148" s="709"/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710">
        <v>4680115888203</v>
      </c>
      <c r="E149" s="710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2"/>
      <c r="R149" s="712"/>
      <c r="S149" s="712"/>
      <c r="T149" s="713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710">
        <v>4680115888180</v>
      </c>
      <c r="E150" s="71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2"/>
      <c r="R150" s="712"/>
      <c r="S150" s="712"/>
      <c r="T150" s="71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710">
        <v>4680115888180</v>
      </c>
      <c r="E151" s="710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2"/>
      <c r="R151" s="712"/>
      <c r="S151" s="712"/>
      <c r="T151" s="71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710">
        <v>4680115888197</v>
      </c>
      <c r="E152" s="71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2"/>
      <c r="R152" s="712"/>
      <c r="S152" s="712"/>
      <c r="T152" s="71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710">
        <v>4680115888197</v>
      </c>
      <c r="E153" s="71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2"/>
      <c r="R153" s="712"/>
      <c r="S153" s="712"/>
      <c r="T153" s="71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710">
        <v>4680115888210</v>
      </c>
      <c r="E154" s="71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2"/>
      <c r="R154" s="712"/>
      <c r="S154" s="712"/>
      <c r="T154" s="71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710">
        <v>4680115888210</v>
      </c>
      <c r="E155" s="71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2"/>
      <c r="R155" s="712"/>
      <c r="S155" s="712"/>
      <c r="T155" s="71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9"/>
      <c r="P156" s="715" t="s">
        <v>40</v>
      </c>
      <c r="Q156" s="716"/>
      <c r="R156" s="716"/>
      <c r="S156" s="716"/>
      <c r="T156" s="716"/>
      <c r="U156" s="716"/>
      <c r="V156" s="717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9"/>
      <c r="P157" s="715" t="s">
        <v>40</v>
      </c>
      <c r="Q157" s="716"/>
      <c r="R157" s="716"/>
      <c r="S157" s="716"/>
      <c r="T157" s="716"/>
      <c r="U157" s="716"/>
      <c r="V157" s="717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709" t="s">
        <v>283</v>
      </c>
      <c r="B158" s="709"/>
      <c r="C158" s="709"/>
      <c r="D158" s="709"/>
      <c r="E158" s="709"/>
      <c r="F158" s="709"/>
      <c r="G158" s="709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710">
        <v>4680115889132</v>
      </c>
      <c r="E159" s="71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2"/>
      <c r="R159" s="712"/>
      <c r="S159" s="712"/>
      <c r="T159" s="71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9"/>
      <c r="P160" s="715" t="s">
        <v>40</v>
      </c>
      <c r="Q160" s="716"/>
      <c r="R160" s="716"/>
      <c r="S160" s="716"/>
      <c r="T160" s="716"/>
      <c r="U160" s="716"/>
      <c r="V160" s="717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9"/>
      <c r="P161" s="715" t="s">
        <v>40</v>
      </c>
      <c r="Q161" s="716"/>
      <c r="R161" s="716"/>
      <c r="S161" s="716"/>
      <c r="T161" s="716"/>
      <c r="U161" s="716"/>
      <c r="V161" s="717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708" t="s">
        <v>120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2"/>
      <c r="AB162" s="62"/>
      <c r="AC162" s="62"/>
    </row>
    <row r="163" spans="1:68" ht="14.25" hidden="1" customHeight="1" x14ac:dyDescent="0.25">
      <c r="A163" s="709" t="s">
        <v>122</v>
      </c>
      <c r="B163" s="709"/>
      <c r="C163" s="709"/>
      <c r="D163" s="709"/>
      <c r="E163" s="709"/>
      <c r="F163" s="709"/>
      <c r="G163" s="709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710">
        <v>4680115887374</v>
      </c>
      <c r="E164" s="71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2"/>
      <c r="R164" s="712"/>
      <c r="S164" s="712"/>
      <c r="T164" s="71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710">
        <v>4607091384604</v>
      </c>
      <c r="E165" s="71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2"/>
      <c r="R165" s="712"/>
      <c r="S165" s="712"/>
      <c r="T165" s="71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710">
        <v>4680115888876</v>
      </c>
      <c r="E166" s="710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2"/>
      <c r="R166" s="712"/>
      <c r="S166" s="712"/>
      <c r="T166" s="71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9"/>
      <c r="P167" s="715" t="s">
        <v>40</v>
      </c>
      <c r="Q167" s="716"/>
      <c r="R167" s="716"/>
      <c r="S167" s="716"/>
      <c r="T167" s="716"/>
      <c r="U167" s="716"/>
      <c r="V167" s="717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9"/>
      <c r="P168" s="715" t="s">
        <v>40</v>
      </c>
      <c r="Q168" s="716"/>
      <c r="R168" s="716"/>
      <c r="S168" s="716"/>
      <c r="T168" s="716"/>
      <c r="U168" s="716"/>
      <c r="V168" s="717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9" t="s">
        <v>158</v>
      </c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710">
        <v>4680115887695</v>
      </c>
      <c r="E170" s="710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2"/>
      <c r="R170" s="712"/>
      <c r="S170" s="712"/>
      <c r="T170" s="71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710">
        <v>4680115889491</v>
      </c>
      <c r="E171" s="710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2"/>
      <c r="R171" s="712"/>
      <c r="S171" s="712"/>
      <c r="T171" s="71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9"/>
      <c r="P172" s="715" t="s">
        <v>40</v>
      </c>
      <c r="Q172" s="716"/>
      <c r="R172" s="716"/>
      <c r="S172" s="716"/>
      <c r="T172" s="716"/>
      <c r="U172" s="716"/>
      <c r="V172" s="717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9"/>
      <c r="P173" s="715" t="s">
        <v>40</v>
      </c>
      <c r="Q173" s="716"/>
      <c r="R173" s="716"/>
      <c r="S173" s="716"/>
      <c r="T173" s="716"/>
      <c r="U173" s="716"/>
      <c r="V173" s="717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09" t="s">
        <v>77</v>
      </c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63"/>
      <c r="AB174" s="63"/>
      <c r="AC174" s="63"/>
    </row>
    <row r="175" spans="1:68" ht="27" hidden="1" customHeight="1" x14ac:dyDescent="0.25">
      <c r="A175" s="60" t="s">
        <v>305</v>
      </c>
      <c r="B175" s="60" t="s">
        <v>306</v>
      </c>
      <c r="C175" s="34">
        <v>4301031496</v>
      </c>
      <c r="D175" s="710">
        <v>4680115887428</v>
      </c>
      <c r="E175" s="710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2"/>
      <c r="R175" s="712"/>
      <c r="S175" s="712"/>
      <c r="T175" s="713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710">
        <v>4680115889170</v>
      </c>
      <c r="E176" s="710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2"/>
      <c r="R176" s="712"/>
      <c r="S176" s="712"/>
      <c r="T176" s="713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4301031498</v>
      </c>
      <c r="D177" s="710">
        <v>4680115887398</v>
      </c>
      <c r="E177" s="710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2"/>
      <c r="R177" s="712"/>
      <c r="S177" s="712"/>
      <c r="T177" s="71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314</v>
      </c>
      <c r="B178" s="60" t="s">
        <v>315</v>
      </c>
      <c r="C178" s="34">
        <v>4301031497</v>
      </c>
      <c r="D178" s="710">
        <v>4680115887336</v>
      </c>
      <c r="E178" s="71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2"/>
      <c r="R178" s="712"/>
      <c r="S178" s="712"/>
      <c r="T178" s="713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710">
        <v>4680115887787</v>
      </c>
      <c r="E179" s="710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2"/>
      <c r="R179" s="712"/>
      <c r="S179" s="712"/>
      <c r="T179" s="71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4301031448</v>
      </c>
      <c r="D180" s="710">
        <v>4680115887503</v>
      </c>
      <c r="E180" s="710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2"/>
      <c r="R180" s="712"/>
      <c r="S180" s="712"/>
      <c r="T180" s="71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710">
        <v>4680115887763</v>
      </c>
      <c r="E181" s="71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2"/>
      <c r="R181" s="712"/>
      <c r="S181" s="712"/>
      <c r="T181" s="71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710">
        <v>4680115887763</v>
      </c>
      <c r="E182" s="710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2"/>
      <c r="R182" s="712"/>
      <c r="S182" s="712"/>
      <c r="T182" s="71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4301031454</v>
      </c>
      <c r="D183" s="710">
        <v>4680115887480</v>
      </c>
      <c r="E183" s="710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2"/>
      <c r="R183" s="712"/>
      <c r="S183" s="712"/>
      <c r="T183" s="71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710">
        <v>4680115888067</v>
      </c>
      <c r="E184" s="710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2"/>
      <c r="R184" s="712"/>
      <c r="S184" s="712"/>
      <c r="T184" s="71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4301031451</v>
      </c>
      <c r="D185" s="710">
        <v>4680115887435</v>
      </c>
      <c r="E185" s="710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0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2"/>
      <c r="R185" s="712"/>
      <c r="S185" s="712"/>
      <c r="T185" s="71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9"/>
      <c r="P186" s="715" t="s">
        <v>40</v>
      </c>
      <c r="Q186" s="716"/>
      <c r="R186" s="716"/>
      <c r="S186" s="716"/>
      <c r="T186" s="716"/>
      <c r="U186" s="716"/>
      <c r="V186" s="717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9"/>
      <c r="P187" s="715" t="s">
        <v>40</v>
      </c>
      <c r="Q187" s="716"/>
      <c r="R187" s="716"/>
      <c r="S187" s="716"/>
      <c r="T187" s="716"/>
      <c r="U187" s="716"/>
      <c r="V187" s="717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09" t="s">
        <v>86</v>
      </c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710">
        <v>4680115888395</v>
      </c>
      <c r="E189" s="710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2"/>
      <c r="R189" s="712"/>
      <c r="S189" s="712"/>
      <c r="T189" s="713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710">
        <v>4680115888371</v>
      </c>
      <c r="E190" s="71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2"/>
      <c r="R190" s="712"/>
      <c r="S190" s="712"/>
      <c r="T190" s="71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710">
        <v>4680115887459</v>
      </c>
      <c r="E191" s="710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2"/>
      <c r="R191" s="712"/>
      <c r="S191" s="712"/>
      <c r="T191" s="71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9"/>
      <c r="P192" s="715" t="s">
        <v>40</v>
      </c>
      <c r="Q192" s="716"/>
      <c r="R192" s="716"/>
      <c r="S192" s="716"/>
      <c r="T192" s="716"/>
      <c r="U192" s="716"/>
      <c r="V192" s="717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9"/>
      <c r="P193" s="715" t="s">
        <v>40</v>
      </c>
      <c r="Q193" s="716"/>
      <c r="R193" s="716"/>
      <c r="S193" s="716"/>
      <c r="T193" s="716"/>
      <c r="U193" s="716"/>
      <c r="V193" s="717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09" t="s">
        <v>283</v>
      </c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710">
        <v>4680115889026</v>
      </c>
      <c r="E195" s="710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2"/>
      <c r="R195" s="712"/>
      <c r="S195" s="712"/>
      <c r="T195" s="71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710">
        <v>4680115889088</v>
      </c>
      <c r="E196" s="71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1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2"/>
      <c r="R196" s="712"/>
      <c r="S196" s="712"/>
      <c r="T196" s="71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9"/>
      <c r="P197" s="715" t="s">
        <v>40</v>
      </c>
      <c r="Q197" s="716"/>
      <c r="R197" s="716"/>
      <c r="S197" s="716"/>
      <c r="T197" s="716"/>
      <c r="U197" s="716"/>
      <c r="V197" s="717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9"/>
      <c r="P198" s="715" t="s">
        <v>40</v>
      </c>
      <c r="Q198" s="716"/>
      <c r="R198" s="716"/>
      <c r="S198" s="716"/>
      <c r="T198" s="716"/>
      <c r="U198" s="716"/>
      <c r="V198" s="717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709" t="s">
        <v>349</v>
      </c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710">
        <v>4680115889033</v>
      </c>
      <c r="E200" s="71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2"/>
      <c r="R200" s="712"/>
      <c r="S200" s="712"/>
      <c r="T200" s="71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9"/>
      <c r="P201" s="715" t="s">
        <v>40</v>
      </c>
      <c r="Q201" s="716"/>
      <c r="R201" s="716"/>
      <c r="S201" s="716"/>
      <c r="T201" s="716"/>
      <c r="U201" s="716"/>
      <c r="V201" s="717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9"/>
      <c r="P202" s="715" t="s">
        <v>40</v>
      </c>
      <c r="Q202" s="716"/>
      <c r="R202" s="716"/>
      <c r="S202" s="716"/>
      <c r="T202" s="716"/>
      <c r="U202" s="716"/>
      <c r="V202" s="717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07" t="s">
        <v>353</v>
      </c>
      <c r="B203" s="707"/>
      <c r="C203" s="707"/>
      <c r="D203" s="707"/>
      <c r="E203" s="707"/>
      <c r="F203" s="707"/>
      <c r="G203" s="707"/>
      <c r="H203" s="707"/>
      <c r="I203" s="707"/>
      <c r="J203" s="707"/>
      <c r="K203" s="707"/>
      <c r="L203" s="707"/>
      <c r="M203" s="707"/>
      <c r="N203" s="707"/>
      <c r="O203" s="707"/>
      <c r="P203" s="707"/>
      <c r="Q203" s="707"/>
      <c r="R203" s="707"/>
      <c r="S203" s="707"/>
      <c r="T203" s="707"/>
      <c r="U203" s="707"/>
      <c r="V203" s="707"/>
      <c r="W203" s="707"/>
      <c r="X203" s="707"/>
      <c r="Y203" s="707"/>
      <c r="Z203" s="707"/>
      <c r="AA203" s="52"/>
      <c r="AB203" s="52"/>
      <c r="AC203" s="52"/>
    </row>
    <row r="204" spans="1:68" ht="16.5" hidden="1" customHeight="1" x14ac:dyDescent="0.25">
      <c r="A204" s="708" t="s">
        <v>354</v>
      </c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708"/>
      <c r="R204" s="708"/>
      <c r="S204" s="708"/>
      <c r="T204" s="708"/>
      <c r="U204" s="708"/>
      <c r="V204" s="708"/>
      <c r="W204" s="708"/>
      <c r="X204" s="708"/>
      <c r="Y204" s="708"/>
      <c r="Z204" s="708"/>
      <c r="AA204" s="62"/>
      <c r="AB204" s="62"/>
      <c r="AC204" s="62"/>
    </row>
    <row r="205" spans="1:68" ht="14.25" hidden="1" customHeight="1" x14ac:dyDescent="0.25">
      <c r="A205" s="709" t="s">
        <v>122</v>
      </c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710">
        <v>4607091383423</v>
      </c>
      <c r="E206" s="71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2"/>
      <c r="R206" s="712"/>
      <c r="S206" s="712"/>
      <c r="T206" s="71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710">
        <v>4680115888760</v>
      </c>
      <c r="E207" s="71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1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2"/>
      <c r="R207" s="712"/>
      <c r="S207" s="712"/>
      <c r="T207" s="71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710">
        <v>4680115888807</v>
      </c>
      <c r="E208" s="71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1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2"/>
      <c r="R208" s="712"/>
      <c r="S208" s="712"/>
      <c r="T208" s="71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710">
        <v>4680115888852</v>
      </c>
      <c r="E209" s="71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1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2"/>
      <c r="R209" s="712"/>
      <c r="S209" s="712"/>
      <c r="T209" s="71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710">
        <v>4680115886957</v>
      </c>
      <c r="E210" s="71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1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2"/>
      <c r="R210" s="712"/>
      <c r="S210" s="712"/>
      <c r="T210" s="71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369</v>
      </c>
      <c r="B211" s="60" t="s">
        <v>370</v>
      </c>
      <c r="C211" s="34">
        <v>4301012098</v>
      </c>
      <c r="D211" s="710">
        <v>4680115885660</v>
      </c>
      <c r="E211" s="71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2"/>
      <c r="R211" s="712"/>
      <c r="S211" s="712"/>
      <c r="T211" s="71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710">
        <v>4680115886773</v>
      </c>
      <c r="E212" s="71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2"/>
      <c r="R212" s="712"/>
      <c r="S212" s="712"/>
      <c r="T212" s="71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9"/>
      <c r="P213" s="715" t="s">
        <v>40</v>
      </c>
      <c r="Q213" s="716"/>
      <c r="R213" s="716"/>
      <c r="S213" s="716"/>
      <c r="T213" s="716"/>
      <c r="U213" s="716"/>
      <c r="V213" s="717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9"/>
      <c r="P214" s="715" t="s">
        <v>40</v>
      </c>
      <c r="Q214" s="716"/>
      <c r="R214" s="716"/>
      <c r="S214" s="716"/>
      <c r="T214" s="716"/>
      <c r="U214" s="716"/>
      <c r="V214" s="717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708" t="s">
        <v>375</v>
      </c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708"/>
      <c r="R215" s="708"/>
      <c r="S215" s="708"/>
      <c r="T215" s="708"/>
      <c r="U215" s="708"/>
      <c r="V215" s="708"/>
      <c r="W215" s="708"/>
      <c r="X215" s="708"/>
      <c r="Y215" s="708"/>
      <c r="Z215" s="708"/>
      <c r="AA215" s="62"/>
      <c r="AB215" s="62"/>
      <c r="AC215" s="62"/>
    </row>
    <row r="216" spans="1:68" ht="14.25" hidden="1" customHeight="1" x14ac:dyDescent="0.25">
      <c r="A216" s="709" t="s">
        <v>158</v>
      </c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710">
        <v>4680115886223</v>
      </c>
      <c r="E217" s="71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2"/>
      <c r="R217" s="712"/>
      <c r="S217" s="712"/>
      <c r="T217" s="71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9"/>
      <c r="P218" s="715" t="s">
        <v>40</v>
      </c>
      <c r="Q218" s="716"/>
      <c r="R218" s="716"/>
      <c r="S218" s="716"/>
      <c r="T218" s="716"/>
      <c r="U218" s="716"/>
      <c r="V218" s="717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9"/>
      <c r="P219" s="715" t="s">
        <v>40</v>
      </c>
      <c r="Q219" s="716"/>
      <c r="R219" s="716"/>
      <c r="S219" s="716"/>
      <c r="T219" s="716"/>
      <c r="U219" s="716"/>
      <c r="V219" s="717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709" t="s">
        <v>77</v>
      </c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63"/>
      <c r="AB220" s="63"/>
      <c r="AC220" s="63"/>
    </row>
    <row r="221" spans="1:68" ht="27" hidden="1" customHeight="1" x14ac:dyDescent="0.25">
      <c r="A221" s="60" t="s">
        <v>379</v>
      </c>
      <c r="B221" s="60" t="s">
        <v>380</v>
      </c>
      <c r="C221" s="34">
        <v>4301031191</v>
      </c>
      <c r="D221" s="710">
        <v>4680115880993</v>
      </c>
      <c r="E221" s="71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2"/>
      <c r="R221" s="712"/>
      <c r="S221" s="712"/>
      <c r="T221" s="71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4301031204</v>
      </c>
      <c r="D222" s="710">
        <v>4680115881761</v>
      </c>
      <c r="E222" s="71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2"/>
      <c r="R222" s="712"/>
      <c r="S222" s="712"/>
      <c r="T222" s="713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385</v>
      </c>
      <c r="B223" s="60" t="s">
        <v>386</v>
      </c>
      <c r="C223" s="34">
        <v>4301031201</v>
      </c>
      <c r="D223" s="710">
        <v>4680115881563</v>
      </c>
      <c r="E223" s="71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2"/>
      <c r="R223" s="712"/>
      <c r="S223" s="712"/>
      <c r="T223" s="713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388</v>
      </c>
      <c r="B224" s="60" t="s">
        <v>389</v>
      </c>
      <c r="C224" s="34">
        <v>4301031447</v>
      </c>
      <c r="D224" s="710">
        <v>4680115887565</v>
      </c>
      <c r="E224" s="71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2"/>
      <c r="R224" s="712"/>
      <c r="S224" s="712"/>
      <c r="T224" s="713"/>
      <c r="U224" s="37" t="s">
        <v>46</v>
      </c>
      <c r="V224" s="37" t="s">
        <v>46</v>
      </c>
      <c r="W224" s="38" t="s">
        <v>0</v>
      </c>
      <c r="X224" s="56">
        <v>7.2</v>
      </c>
      <c r="Y224" s="53">
        <f t="shared" si="27"/>
        <v>7.2</v>
      </c>
      <c r="Z224" s="39">
        <f>IFERROR(IF(Y224=0,"",ROUNDUP(Y224/H224,0)*0.00556),"")</f>
        <v>5.0040000000000001E-2</v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8.370000000000001</v>
      </c>
      <c r="BN224" s="75">
        <f t="shared" si="29"/>
        <v>8.370000000000001</v>
      </c>
      <c r="BO224" s="75">
        <f t="shared" si="30"/>
        <v>3.5714285714285712E-2</v>
      </c>
      <c r="BP224" s="75">
        <f t="shared" si="31"/>
        <v>3.5714285714285712E-2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4301031199</v>
      </c>
      <c r="D225" s="710">
        <v>4680115880986</v>
      </c>
      <c r="E225" s="71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2"/>
      <c r="R225" s="712"/>
      <c r="S225" s="712"/>
      <c r="T225" s="71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710">
        <v>4680115887213</v>
      </c>
      <c r="E226" s="71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2"/>
      <c r="R226" s="712"/>
      <c r="S226" s="712"/>
      <c r="T226" s="71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4301031205</v>
      </c>
      <c r="D227" s="710">
        <v>4680115881785</v>
      </c>
      <c r="E227" s="71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2"/>
      <c r="R227" s="712"/>
      <c r="S227" s="712"/>
      <c r="T227" s="71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710">
        <v>4680115888432</v>
      </c>
      <c r="E228" s="71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2"/>
      <c r="R228" s="712"/>
      <c r="S228" s="712"/>
      <c r="T228" s="71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710">
        <v>4680115888104</v>
      </c>
      <c r="E229" s="71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2"/>
      <c r="R229" s="712"/>
      <c r="S229" s="712"/>
      <c r="T229" s="71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710">
        <v>4680115886537</v>
      </c>
      <c r="E230" s="71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2"/>
      <c r="R230" s="712"/>
      <c r="S230" s="712"/>
      <c r="T230" s="71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407</v>
      </c>
      <c r="B231" s="60" t="s">
        <v>408</v>
      </c>
      <c r="C231" s="34">
        <v>4301031279</v>
      </c>
      <c r="D231" s="710">
        <v>4680115887596</v>
      </c>
      <c r="E231" s="71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2"/>
      <c r="R231" s="712"/>
      <c r="S231" s="712"/>
      <c r="T231" s="713"/>
      <c r="U231" s="37" t="s">
        <v>46</v>
      </c>
      <c r="V231" s="37" t="s">
        <v>46</v>
      </c>
      <c r="W231" s="38" t="s">
        <v>0</v>
      </c>
      <c r="X231" s="56">
        <v>11.12</v>
      </c>
      <c r="Y231" s="53">
        <f t="shared" si="27"/>
        <v>11.200000000000001</v>
      </c>
      <c r="Z231" s="39">
        <f>IFERROR(IF(Y231=0,"",ROUNDUP(Y231/H231,0)*0.00417),"")</f>
        <v>5.8380000000000001E-2</v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14.038999999999998</v>
      </c>
      <c r="BN231" s="75">
        <f t="shared" si="29"/>
        <v>14.14</v>
      </c>
      <c r="BO231" s="75">
        <f t="shared" si="30"/>
        <v>4.1369047619047611E-2</v>
      </c>
      <c r="BP231" s="75">
        <f t="shared" si="31"/>
        <v>4.1666666666666664E-2</v>
      </c>
    </row>
    <row r="232" spans="1:68" ht="37.5" hidden="1" customHeight="1" x14ac:dyDescent="0.25">
      <c r="A232" s="60" t="s">
        <v>410</v>
      </c>
      <c r="B232" s="60" t="s">
        <v>411</v>
      </c>
      <c r="C232" s="34">
        <v>4301031202</v>
      </c>
      <c r="D232" s="710">
        <v>4680115881679</v>
      </c>
      <c r="E232" s="71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2"/>
      <c r="R232" s="712"/>
      <c r="S232" s="712"/>
      <c r="T232" s="71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710">
        <v>4680115880191</v>
      </c>
      <c r="E233" s="71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2"/>
      <c r="R233" s="712"/>
      <c r="S233" s="712"/>
      <c r="T233" s="71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710">
        <v>4680115883963</v>
      </c>
      <c r="E234" s="710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2"/>
      <c r="R234" s="712"/>
      <c r="S234" s="712"/>
      <c r="T234" s="71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9"/>
      <c r="P235" s="715" t="s">
        <v>40</v>
      </c>
      <c r="Q235" s="716"/>
      <c r="R235" s="716"/>
      <c r="S235" s="716"/>
      <c r="T235" s="716"/>
      <c r="U235" s="716"/>
      <c r="V235" s="717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22.9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23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0.10842</v>
      </c>
      <c r="AA235" s="64"/>
      <c r="AB235" s="64"/>
      <c r="AC235" s="64"/>
    </row>
    <row r="236" spans="1:68" x14ac:dyDescent="0.2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9"/>
      <c r="P236" s="715" t="s">
        <v>40</v>
      </c>
      <c r="Q236" s="716"/>
      <c r="R236" s="716"/>
      <c r="S236" s="716"/>
      <c r="T236" s="716"/>
      <c r="U236" s="716"/>
      <c r="V236" s="717"/>
      <c r="W236" s="40" t="s">
        <v>0</v>
      </c>
      <c r="X236" s="41">
        <f>IFERROR(SUM(X221:X234),"0")</f>
        <v>18.32</v>
      </c>
      <c r="Y236" s="41">
        <f>IFERROR(SUM(Y221:Y234),"0")</f>
        <v>18.400000000000002</v>
      </c>
      <c r="Z236" s="40"/>
      <c r="AA236" s="64"/>
      <c r="AB236" s="64"/>
      <c r="AC236" s="64"/>
    </row>
    <row r="237" spans="1:68" ht="14.25" hidden="1" customHeight="1" x14ac:dyDescent="0.25">
      <c r="A237" s="709" t="s">
        <v>86</v>
      </c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710">
        <v>4680115888692</v>
      </c>
      <c r="E238" s="710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3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2"/>
      <c r="R238" s="712"/>
      <c r="S238" s="712"/>
      <c r="T238" s="71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710">
        <v>4680115888722</v>
      </c>
      <c r="E239" s="71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2"/>
      <c r="R239" s="712"/>
      <c r="S239" s="712"/>
      <c r="T239" s="71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710">
        <v>4680115888951</v>
      </c>
      <c r="E240" s="710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3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2"/>
      <c r="R240" s="712"/>
      <c r="S240" s="712"/>
      <c r="T240" s="713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710">
        <v>4680115888975</v>
      </c>
      <c r="E241" s="710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2"/>
      <c r="R241" s="712"/>
      <c r="S241" s="712"/>
      <c r="T241" s="71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710">
        <v>4680115888982</v>
      </c>
      <c r="E242" s="710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2"/>
      <c r="R242" s="712"/>
      <c r="S242" s="712"/>
      <c r="T242" s="71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9"/>
      <c r="P243" s="715" t="s">
        <v>40</v>
      </c>
      <c r="Q243" s="716"/>
      <c r="R243" s="716"/>
      <c r="S243" s="716"/>
      <c r="T243" s="716"/>
      <c r="U243" s="716"/>
      <c r="V243" s="717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9"/>
      <c r="P244" s="715" t="s">
        <v>40</v>
      </c>
      <c r="Q244" s="716"/>
      <c r="R244" s="716"/>
      <c r="S244" s="716"/>
      <c r="T244" s="716"/>
      <c r="U244" s="716"/>
      <c r="V244" s="717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09" t="s">
        <v>283</v>
      </c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710">
        <v>4680115886780</v>
      </c>
      <c r="E246" s="710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2"/>
      <c r="R246" s="712"/>
      <c r="S246" s="712"/>
      <c r="T246" s="71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4301032051</v>
      </c>
      <c r="D247" s="710">
        <v>4680115886742</v>
      </c>
      <c r="E247" s="710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2"/>
      <c r="R247" s="712"/>
      <c r="S247" s="712"/>
      <c r="T247" s="71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4301032052</v>
      </c>
      <c r="D248" s="710">
        <v>4680115886766</v>
      </c>
      <c r="E248" s="710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2"/>
      <c r="R248" s="712"/>
      <c r="S248" s="712"/>
      <c r="T248" s="713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9"/>
      <c r="P249" s="715" t="s">
        <v>40</v>
      </c>
      <c r="Q249" s="716"/>
      <c r="R249" s="716"/>
      <c r="S249" s="716"/>
      <c r="T249" s="716"/>
      <c r="U249" s="716"/>
      <c r="V249" s="717"/>
      <c r="W249" s="40" t="s">
        <v>39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9"/>
      <c r="P250" s="715" t="s">
        <v>40</v>
      </c>
      <c r="Q250" s="716"/>
      <c r="R250" s="716"/>
      <c r="S250" s="716"/>
      <c r="T250" s="716"/>
      <c r="U250" s="716"/>
      <c r="V250" s="717"/>
      <c r="W250" s="40" t="s">
        <v>0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709" t="s">
        <v>439</v>
      </c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710">
        <v>4680115886797</v>
      </c>
      <c r="E252" s="71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2"/>
      <c r="R252" s="712"/>
      <c r="S252" s="712"/>
      <c r="T252" s="71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9"/>
      <c r="P253" s="715" t="s">
        <v>40</v>
      </c>
      <c r="Q253" s="716"/>
      <c r="R253" s="716"/>
      <c r="S253" s="716"/>
      <c r="T253" s="716"/>
      <c r="U253" s="716"/>
      <c r="V253" s="717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9"/>
      <c r="P254" s="715" t="s">
        <v>40</v>
      </c>
      <c r="Q254" s="716"/>
      <c r="R254" s="716"/>
      <c r="S254" s="716"/>
      <c r="T254" s="716"/>
      <c r="U254" s="716"/>
      <c r="V254" s="717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708" t="s">
        <v>442</v>
      </c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708"/>
      <c r="R255" s="708"/>
      <c r="S255" s="708"/>
      <c r="T255" s="708"/>
      <c r="U255" s="708"/>
      <c r="V255" s="708"/>
      <c r="W255" s="708"/>
      <c r="X255" s="708"/>
      <c r="Y255" s="708"/>
      <c r="Z255" s="708"/>
      <c r="AA255" s="62"/>
      <c r="AB255" s="62"/>
      <c r="AC255" s="62"/>
    </row>
    <row r="256" spans="1:68" ht="14.25" hidden="1" customHeight="1" x14ac:dyDescent="0.25">
      <c r="A256" s="709" t="s">
        <v>122</v>
      </c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710">
        <v>4680115881402</v>
      </c>
      <c r="E257" s="71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2"/>
      <c r="R257" s="712"/>
      <c r="S257" s="712"/>
      <c r="T257" s="71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710">
        <v>4680115881396</v>
      </c>
      <c r="E258" s="710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2"/>
      <c r="R258" s="712"/>
      <c r="S258" s="712"/>
      <c r="T258" s="713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9"/>
      <c r="P259" s="715" t="s">
        <v>40</v>
      </c>
      <c r="Q259" s="716"/>
      <c r="R259" s="716"/>
      <c r="S259" s="716"/>
      <c r="T259" s="716"/>
      <c r="U259" s="716"/>
      <c r="V259" s="717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9"/>
      <c r="P260" s="715" t="s">
        <v>40</v>
      </c>
      <c r="Q260" s="716"/>
      <c r="R260" s="716"/>
      <c r="S260" s="716"/>
      <c r="T260" s="716"/>
      <c r="U260" s="716"/>
      <c r="V260" s="717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709" t="s">
        <v>158</v>
      </c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710">
        <v>4680115882935</v>
      </c>
      <c r="E262" s="71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2"/>
      <c r="R262" s="712"/>
      <c r="S262" s="712"/>
      <c r="T262" s="71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451</v>
      </c>
      <c r="B263" s="60" t="s">
        <v>452</v>
      </c>
      <c r="C263" s="34">
        <v>4301020220</v>
      </c>
      <c r="D263" s="710">
        <v>4680115880764</v>
      </c>
      <c r="E263" s="710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2"/>
      <c r="R263" s="712"/>
      <c r="S263" s="712"/>
      <c r="T263" s="713"/>
      <c r="U263" s="37" t="s">
        <v>46</v>
      </c>
      <c r="V263" s="37" t="s">
        <v>46</v>
      </c>
      <c r="W263" s="38" t="s">
        <v>0</v>
      </c>
      <c r="X263" s="56">
        <v>29.7</v>
      </c>
      <c r="Y263" s="53">
        <f>IFERROR(IF(X263="",0,CEILING((X263/$H263),1)*$H263),"")</f>
        <v>31.5</v>
      </c>
      <c r="Z263" s="39">
        <f>IFERROR(IF(Y263=0,"",ROUNDUP(Y263/H263,0)*0.00651),"")</f>
        <v>9.7650000000000001E-2</v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32.245714285714278</v>
      </c>
      <c r="BN263" s="75">
        <f>IFERROR(Y263*I263/H263,"0")</f>
        <v>34.199999999999996</v>
      </c>
      <c r="BO263" s="75">
        <f>IFERROR(1/J263*(X263/H263),"0")</f>
        <v>7.770800627943486E-2</v>
      </c>
      <c r="BP263" s="75">
        <f>IFERROR(1/J263*(Y263/H263),"0")</f>
        <v>8.241758241758243E-2</v>
      </c>
    </row>
    <row r="264" spans="1:68" x14ac:dyDescent="0.2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9"/>
      <c r="P264" s="715" t="s">
        <v>40</v>
      </c>
      <c r="Q264" s="716"/>
      <c r="R264" s="716"/>
      <c r="S264" s="716"/>
      <c r="T264" s="716"/>
      <c r="U264" s="716"/>
      <c r="V264" s="717"/>
      <c r="W264" s="40" t="s">
        <v>39</v>
      </c>
      <c r="X264" s="41">
        <f>IFERROR(X262/H262,"0")+IFERROR(X263/H263,"0")</f>
        <v>14.142857142857142</v>
      </c>
      <c r="Y264" s="41">
        <f>IFERROR(Y262/H262,"0")+IFERROR(Y263/H263,"0")</f>
        <v>15</v>
      </c>
      <c r="Z264" s="41">
        <f>IFERROR(IF(Z262="",0,Z262),"0")+IFERROR(IF(Z263="",0,Z263),"0")</f>
        <v>9.7650000000000001E-2</v>
      </c>
      <c r="AA264" s="64"/>
      <c r="AB264" s="64"/>
      <c r="AC264" s="64"/>
    </row>
    <row r="265" spans="1:68" x14ac:dyDescent="0.2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9"/>
      <c r="P265" s="715" t="s">
        <v>40</v>
      </c>
      <c r="Q265" s="716"/>
      <c r="R265" s="716"/>
      <c r="S265" s="716"/>
      <c r="T265" s="716"/>
      <c r="U265" s="716"/>
      <c r="V265" s="717"/>
      <c r="W265" s="40" t="s">
        <v>0</v>
      </c>
      <c r="X265" s="41">
        <f>IFERROR(SUM(X262:X263),"0")</f>
        <v>29.7</v>
      </c>
      <c r="Y265" s="41">
        <f>IFERROR(SUM(Y262:Y263),"0")</f>
        <v>31.5</v>
      </c>
      <c r="Z265" s="40"/>
      <c r="AA265" s="64"/>
      <c r="AB265" s="64"/>
      <c r="AC265" s="64"/>
    </row>
    <row r="266" spans="1:68" ht="14.25" hidden="1" customHeight="1" x14ac:dyDescent="0.25">
      <c r="A266" s="709" t="s">
        <v>77</v>
      </c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63"/>
      <c r="AB266" s="63"/>
      <c r="AC266" s="63"/>
    </row>
    <row r="267" spans="1:68" ht="27" hidden="1" customHeight="1" x14ac:dyDescent="0.25">
      <c r="A267" s="60" t="s">
        <v>453</v>
      </c>
      <c r="B267" s="60" t="s">
        <v>454</v>
      </c>
      <c r="C267" s="34">
        <v>4301031224</v>
      </c>
      <c r="D267" s="710">
        <v>4680115882683</v>
      </c>
      <c r="E267" s="710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2"/>
      <c r="R267" s="712"/>
      <c r="S267" s="712"/>
      <c r="T267" s="71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4301031230</v>
      </c>
      <c r="D268" s="710">
        <v>4680115882690</v>
      </c>
      <c r="E268" s="710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2"/>
      <c r="R268" s="712"/>
      <c r="S268" s="712"/>
      <c r="T268" s="713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4301031220</v>
      </c>
      <c r="D269" s="710">
        <v>4680115882669</v>
      </c>
      <c r="E269" s="710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2"/>
      <c r="R269" s="712"/>
      <c r="S269" s="712"/>
      <c r="T269" s="71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4301031221</v>
      </c>
      <c r="D270" s="710">
        <v>4680115882676</v>
      </c>
      <c r="E270" s="710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2"/>
      <c r="R270" s="712"/>
      <c r="S270" s="712"/>
      <c r="T270" s="71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4301031223</v>
      </c>
      <c r="D271" s="710">
        <v>4680115884014</v>
      </c>
      <c r="E271" s="710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2"/>
      <c r="R271" s="712"/>
      <c r="S271" s="712"/>
      <c r="T271" s="71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4301031222</v>
      </c>
      <c r="D272" s="710">
        <v>4680115884007</v>
      </c>
      <c r="E272" s="710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2"/>
      <c r="R272" s="712"/>
      <c r="S272" s="712"/>
      <c r="T272" s="71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4301031229</v>
      </c>
      <c r="D273" s="710">
        <v>4680115884038</v>
      </c>
      <c r="E273" s="710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2"/>
      <c r="R273" s="712"/>
      <c r="S273" s="712"/>
      <c r="T273" s="71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4301031225</v>
      </c>
      <c r="D274" s="710">
        <v>4680115884021</v>
      </c>
      <c r="E274" s="710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2"/>
      <c r="R274" s="712"/>
      <c r="S274" s="712"/>
      <c r="T274" s="71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9"/>
      <c r="P275" s="715" t="s">
        <v>40</v>
      </c>
      <c r="Q275" s="716"/>
      <c r="R275" s="716"/>
      <c r="S275" s="716"/>
      <c r="T275" s="716"/>
      <c r="U275" s="716"/>
      <c r="V275" s="717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9"/>
      <c r="P276" s="715" t="s">
        <v>40</v>
      </c>
      <c r="Q276" s="716"/>
      <c r="R276" s="716"/>
      <c r="S276" s="716"/>
      <c r="T276" s="716"/>
      <c r="U276" s="716"/>
      <c r="V276" s="717"/>
      <c r="W276" s="40" t="s">
        <v>0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709" t="s">
        <v>86</v>
      </c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63"/>
      <c r="AB277" s="63"/>
      <c r="AC277" s="63"/>
    </row>
    <row r="278" spans="1:68" ht="27" hidden="1" customHeight="1" x14ac:dyDescent="0.25">
      <c r="A278" s="60" t="s">
        <v>473</v>
      </c>
      <c r="B278" s="60" t="s">
        <v>474</v>
      </c>
      <c r="C278" s="34">
        <v>4301051408</v>
      </c>
      <c r="D278" s="710">
        <v>4680115881594</v>
      </c>
      <c r="E278" s="710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2"/>
      <c r="R278" s="712"/>
      <c r="S278" s="712"/>
      <c r="T278" s="71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4301051411</v>
      </c>
      <c r="D279" s="710">
        <v>4680115881617</v>
      </c>
      <c r="E279" s="710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2"/>
      <c r="R279" s="712"/>
      <c r="S279" s="712"/>
      <c r="T279" s="71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4301051656</v>
      </c>
      <c r="D280" s="710">
        <v>4680115880573</v>
      </c>
      <c r="E280" s="710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8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2"/>
      <c r="R280" s="712"/>
      <c r="S280" s="712"/>
      <c r="T280" s="713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4301051407</v>
      </c>
      <c r="D281" s="710">
        <v>4680115882195</v>
      </c>
      <c r="E281" s="710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8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2"/>
      <c r="R281" s="712"/>
      <c r="S281" s="712"/>
      <c r="T281" s="71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710">
        <v>4680115882607</v>
      </c>
      <c r="E282" s="710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2"/>
      <c r="R282" s="712"/>
      <c r="S282" s="712"/>
      <c r="T282" s="713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710">
        <v>4680115882607</v>
      </c>
      <c r="E283" s="710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86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2"/>
      <c r="R283" s="712"/>
      <c r="S283" s="712"/>
      <c r="T283" s="71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710">
        <v>4680115880092</v>
      </c>
      <c r="E284" s="710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2"/>
      <c r="R284" s="712"/>
      <c r="S284" s="712"/>
      <c r="T284" s="713"/>
      <c r="U284" s="37" t="s">
        <v>46</v>
      </c>
      <c r="V284" s="37" t="s">
        <v>46</v>
      </c>
      <c r="W284" s="38" t="s">
        <v>0</v>
      </c>
      <c r="X284" s="56">
        <v>120</v>
      </c>
      <c r="Y284" s="53">
        <f t="shared" si="38"/>
        <v>120</v>
      </c>
      <c r="Z284" s="39">
        <f>IFERROR(IF(Y284=0,"",ROUNDUP(Y284/H284,0)*0.00651),"")</f>
        <v>0.32550000000000001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132.60000000000002</v>
      </c>
      <c r="BN284" s="75">
        <f t="shared" si="40"/>
        <v>132.60000000000002</v>
      </c>
      <c r="BO284" s="75">
        <f t="shared" si="41"/>
        <v>0.27472527472527475</v>
      </c>
      <c r="BP284" s="75">
        <f t="shared" si="42"/>
        <v>0.27472527472527475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710">
        <v>4680115889064</v>
      </c>
      <c r="E285" s="710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2"/>
      <c r="R285" s="712"/>
      <c r="S285" s="712"/>
      <c r="T285" s="71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493</v>
      </c>
      <c r="B286" s="60" t="s">
        <v>494</v>
      </c>
      <c r="C286" s="34">
        <v>4301051668</v>
      </c>
      <c r="D286" s="710">
        <v>4680115880221</v>
      </c>
      <c r="E286" s="71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2"/>
      <c r="R286" s="712"/>
      <c r="S286" s="712"/>
      <c r="T286" s="713"/>
      <c r="U286" s="37" t="s">
        <v>46</v>
      </c>
      <c r="V286" s="37" t="s">
        <v>46</v>
      </c>
      <c r="W286" s="38" t="s">
        <v>0</v>
      </c>
      <c r="X286" s="56">
        <v>72</v>
      </c>
      <c r="Y286" s="53">
        <f t="shared" si="38"/>
        <v>72</v>
      </c>
      <c r="Z286" s="39">
        <f>IFERROR(IF(Y286=0,"",ROUNDUP(Y286/H286,0)*0.00651),"")</f>
        <v>0.1953</v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79.560000000000016</v>
      </c>
      <c r="BN286" s="75">
        <f t="shared" si="40"/>
        <v>79.560000000000016</v>
      </c>
      <c r="BO286" s="75">
        <f t="shared" si="41"/>
        <v>0.16483516483516486</v>
      </c>
      <c r="BP286" s="75">
        <f t="shared" si="42"/>
        <v>0.16483516483516486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4301051945</v>
      </c>
      <c r="D287" s="710">
        <v>4680115880504</v>
      </c>
      <c r="E287" s="710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2"/>
      <c r="R287" s="712"/>
      <c r="S287" s="712"/>
      <c r="T287" s="71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4301051410</v>
      </c>
      <c r="D288" s="710">
        <v>4680115882164</v>
      </c>
      <c r="E288" s="710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2"/>
      <c r="R288" s="712"/>
      <c r="S288" s="712"/>
      <c r="T288" s="71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710">
        <v>4680115888340</v>
      </c>
      <c r="E289" s="71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2"/>
      <c r="R289" s="712"/>
      <c r="S289" s="712"/>
      <c r="T289" s="71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9"/>
      <c r="P290" s="715" t="s">
        <v>40</v>
      </c>
      <c r="Q290" s="716"/>
      <c r="R290" s="716"/>
      <c r="S290" s="716"/>
      <c r="T290" s="716"/>
      <c r="U290" s="716"/>
      <c r="V290" s="717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80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80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0.52080000000000004</v>
      </c>
      <c r="AA290" s="64"/>
      <c r="AB290" s="64"/>
      <c r="AC290" s="64"/>
    </row>
    <row r="291" spans="1:68" x14ac:dyDescent="0.2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9"/>
      <c r="P291" s="715" t="s">
        <v>40</v>
      </c>
      <c r="Q291" s="716"/>
      <c r="R291" s="716"/>
      <c r="S291" s="716"/>
      <c r="T291" s="716"/>
      <c r="U291" s="716"/>
      <c r="V291" s="717"/>
      <c r="W291" s="40" t="s">
        <v>0</v>
      </c>
      <c r="X291" s="41">
        <f>IFERROR(SUM(X278:X289),"0")</f>
        <v>192</v>
      </c>
      <c r="Y291" s="41">
        <f>IFERROR(SUM(Y278:Y289),"0")</f>
        <v>192</v>
      </c>
      <c r="Z291" s="40"/>
      <c r="AA291" s="64"/>
      <c r="AB291" s="64"/>
      <c r="AC291" s="64"/>
    </row>
    <row r="292" spans="1:68" ht="14.25" hidden="1" customHeight="1" x14ac:dyDescent="0.25">
      <c r="A292" s="709" t="s">
        <v>175</v>
      </c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63"/>
      <c r="AB292" s="63"/>
      <c r="AC292" s="63"/>
    </row>
    <row r="293" spans="1:68" ht="27" hidden="1" customHeight="1" x14ac:dyDescent="0.25">
      <c r="A293" s="60" t="s">
        <v>504</v>
      </c>
      <c r="B293" s="60" t="s">
        <v>505</v>
      </c>
      <c r="C293" s="34">
        <v>4301060463</v>
      </c>
      <c r="D293" s="710">
        <v>4680115880818</v>
      </c>
      <c r="E293" s="710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2"/>
      <c r="R293" s="712"/>
      <c r="S293" s="712"/>
      <c r="T293" s="71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4301060389</v>
      </c>
      <c r="D294" s="710">
        <v>4680115880801</v>
      </c>
      <c r="E294" s="71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2"/>
      <c r="R294" s="712"/>
      <c r="S294" s="712"/>
      <c r="T294" s="71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9"/>
      <c r="P295" s="715" t="s">
        <v>40</v>
      </c>
      <c r="Q295" s="716"/>
      <c r="R295" s="716"/>
      <c r="S295" s="716"/>
      <c r="T295" s="716"/>
      <c r="U295" s="716"/>
      <c r="V295" s="717"/>
      <c r="W295" s="40" t="s">
        <v>39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9"/>
      <c r="P296" s="715" t="s">
        <v>40</v>
      </c>
      <c r="Q296" s="716"/>
      <c r="R296" s="716"/>
      <c r="S296" s="716"/>
      <c r="T296" s="716"/>
      <c r="U296" s="716"/>
      <c r="V296" s="717"/>
      <c r="W296" s="40" t="s">
        <v>0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08" t="s">
        <v>510</v>
      </c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708"/>
      <c r="R297" s="708"/>
      <c r="S297" s="708"/>
      <c r="T297" s="708"/>
      <c r="U297" s="708"/>
      <c r="V297" s="708"/>
      <c r="W297" s="708"/>
      <c r="X297" s="708"/>
      <c r="Y297" s="708"/>
      <c r="Z297" s="708"/>
      <c r="AA297" s="62"/>
      <c r="AB297" s="62"/>
      <c r="AC297" s="62"/>
    </row>
    <row r="298" spans="1:68" ht="14.25" hidden="1" customHeight="1" x14ac:dyDescent="0.25">
      <c r="A298" s="709" t="s">
        <v>122</v>
      </c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710">
        <v>4680115884137</v>
      </c>
      <c r="E299" s="710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2"/>
      <c r="R299" s="712"/>
      <c r="S299" s="712"/>
      <c r="T299" s="713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710">
        <v>4680115884236</v>
      </c>
      <c r="E300" s="710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2"/>
      <c r="R300" s="712"/>
      <c r="S300" s="712"/>
      <c r="T300" s="713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4301011721</v>
      </c>
      <c r="D301" s="710">
        <v>4680115884175</v>
      </c>
      <c r="E301" s="710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2"/>
      <c r="R301" s="712"/>
      <c r="S301" s="712"/>
      <c r="T301" s="713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710">
        <v>4680115884144</v>
      </c>
      <c r="E302" s="710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2"/>
      <c r="R302" s="712"/>
      <c r="S302" s="712"/>
      <c r="T302" s="713"/>
      <c r="U302" s="37" t="s">
        <v>46</v>
      </c>
      <c r="V302" s="37" t="s">
        <v>46</v>
      </c>
      <c r="W302" s="38" t="s">
        <v>0</v>
      </c>
      <c r="X302" s="56">
        <v>24</v>
      </c>
      <c r="Y302" s="53">
        <f t="shared" si="43"/>
        <v>24</v>
      </c>
      <c r="Z302" s="39">
        <f>IFERROR(IF(Y302=0,"",ROUNDUP(Y302/H302,0)*0.00902),"")</f>
        <v>5.4120000000000001E-2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25.14</v>
      </c>
      <c r="BN302" s="75">
        <f t="shared" si="45"/>
        <v>25.14</v>
      </c>
      <c r="BO302" s="75">
        <f t="shared" si="46"/>
        <v>4.5454545454545456E-2</v>
      </c>
      <c r="BP302" s="75">
        <f t="shared" si="47"/>
        <v>4.5454545454545456E-2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710">
        <v>4680115886551</v>
      </c>
      <c r="E303" s="71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2"/>
      <c r="R303" s="712"/>
      <c r="S303" s="712"/>
      <c r="T303" s="713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710">
        <v>4680115887282</v>
      </c>
      <c r="E304" s="710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2"/>
      <c r="R304" s="712"/>
      <c r="S304" s="712"/>
      <c r="T304" s="71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710">
        <v>4680115884205</v>
      </c>
      <c r="E305" s="710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2"/>
      <c r="R305" s="712"/>
      <c r="S305" s="712"/>
      <c r="T305" s="713"/>
      <c r="U305" s="37" t="s">
        <v>46</v>
      </c>
      <c r="V305" s="37" t="s">
        <v>46</v>
      </c>
      <c r="W305" s="38" t="s">
        <v>0</v>
      </c>
      <c r="X305" s="56">
        <v>50.4</v>
      </c>
      <c r="Y305" s="53">
        <f t="shared" si="43"/>
        <v>52</v>
      </c>
      <c r="Z305" s="39">
        <f>IFERROR(IF(Y305=0,"",ROUNDUP(Y305/H305,0)*0.00902),"")</f>
        <v>0.11726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52.794000000000004</v>
      </c>
      <c r="BN305" s="75">
        <f t="shared" si="45"/>
        <v>54.470000000000006</v>
      </c>
      <c r="BO305" s="75">
        <f t="shared" si="46"/>
        <v>9.5454545454545459E-2</v>
      </c>
      <c r="BP305" s="75">
        <f t="shared" si="47"/>
        <v>9.8484848484848481E-2</v>
      </c>
    </row>
    <row r="306" spans="1:68" x14ac:dyDescent="0.2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9"/>
      <c r="P306" s="715" t="s">
        <v>40</v>
      </c>
      <c r="Q306" s="716"/>
      <c r="R306" s="716"/>
      <c r="S306" s="716"/>
      <c r="T306" s="716"/>
      <c r="U306" s="716"/>
      <c r="V306" s="717"/>
      <c r="W306" s="40" t="s">
        <v>39</v>
      </c>
      <c r="X306" s="41">
        <f>IFERROR(X299/H299,"0")+IFERROR(X300/H300,"0")+IFERROR(X301/H301,"0")+IFERROR(X302/H302,"0")+IFERROR(X303/H303,"0")+IFERROR(X304/H304,"0")+IFERROR(X305/H305,"0")</f>
        <v>18.600000000000001</v>
      </c>
      <c r="Y306" s="41">
        <f>IFERROR(Y299/H299,"0")+IFERROR(Y300/H300,"0")+IFERROR(Y301/H301,"0")+IFERROR(Y302/H302,"0")+IFERROR(Y303/H303,"0")+IFERROR(Y304/H304,"0")+IFERROR(Y305/H305,"0")</f>
        <v>19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0.17138</v>
      </c>
      <c r="AA306" s="64"/>
      <c r="AB306" s="64"/>
      <c r="AC306" s="64"/>
    </row>
    <row r="307" spans="1:68" x14ac:dyDescent="0.2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9"/>
      <c r="P307" s="715" t="s">
        <v>40</v>
      </c>
      <c r="Q307" s="716"/>
      <c r="R307" s="716"/>
      <c r="S307" s="716"/>
      <c r="T307" s="716"/>
      <c r="U307" s="716"/>
      <c r="V307" s="717"/>
      <c r="W307" s="40" t="s">
        <v>0</v>
      </c>
      <c r="X307" s="41">
        <f>IFERROR(SUM(X299:X305),"0")</f>
        <v>74.400000000000006</v>
      </c>
      <c r="Y307" s="41">
        <f>IFERROR(SUM(Y299:Y305),"0")</f>
        <v>76</v>
      </c>
      <c r="Z307" s="40"/>
      <c r="AA307" s="64"/>
      <c r="AB307" s="64"/>
      <c r="AC307" s="64"/>
    </row>
    <row r="308" spans="1:68" ht="14.25" hidden="1" customHeight="1" x14ac:dyDescent="0.25">
      <c r="A308" s="709" t="s">
        <v>158</v>
      </c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710">
        <v>4680115885981</v>
      </c>
      <c r="E309" s="710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2"/>
      <c r="R309" s="712"/>
      <c r="S309" s="712"/>
      <c r="T309" s="71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9"/>
      <c r="P310" s="715" t="s">
        <v>40</v>
      </c>
      <c r="Q310" s="716"/>
      <c r="R310" s="716"/>
      <c r="S310" s="716"/>
      <c r="T310" s="716"/>
      <c r="U310" s="716"/>
      <c r="V310" s="717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9"/>
      <c r="P311" s="715" t="s">
        <v>40</v>
      </c>
      <c r="Q311" s="716"/>
      <c r="R311" s="716"/>
      <c r="S311" s="716"/>
      <c r="T311" s="716"/>
      <c r="U311" s="716"/>
      <c r="V311" s="717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9" t="s">
        <v>532</v>
      </c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710">
        <v>4680115886803</v>
      </c>
      <c r="E313" s="710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2"/>
      <c r="R313" s="712"/>
      <c r="S313" s="712"/>
      <c r="T313" s="71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9"/>
      <c r="P314" s="715" t="s">
        <v>40</v>
      </c>
      <c r="Q314" s="716"/>
      <c r="R314" s="716"/>
      <c r="S314" s="716"/>
      <c r="T314" s="716"/>
      <c r="U314" s="716"/>
      <c r="V314" s="717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9"/>
      <c r="P315" s="715" t="s">
        <v>40</v>
      </c>
      <c r="Q315" s="716"/>
      <c r="R315" s="716"/>
      <c r="S315" s="716"/>
      <c r="T315" s="716"/>
      <c r="U315" s="716"/>
      <c r="V315" s="717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09" t="s">
        <v>349</v>
      </c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710">
        <v>4680115886704</v>
      </c>
      <c r="E317" s="710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8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2"/>
      <c r="R317" s="712"/>
      <c r="S317" s="712"/>
      <c r="T317" s="71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710">
        <v>4680115886681</v>
      </c>
      <c r="E318" s="71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8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2"/>
      <c r="R318" s="712"/>
      <c r="S318" s="712"/>
      <c r="T318" s="71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710">
        <v>4680115886735</v>
      </c>
      <c r="E319" s="710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8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2"/>
      <c r="R319" s="712"/>
      <c r="S319" s="712"/>
      <c r="T319" s="71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9"/>
      <c r="P320" s="715" t="s">
        <v>40</v>
      </c>
      <c r="Q320" s="716"/>
      <c r="R320" s="716"/>
      <c r="S320" s="716"/>
      <c r="T320" s="716"/>
      <c r="U320" s="716"/>
      <c r="V320" s="717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9"/>
      <c r="P321" s="715" t="s">
        <v>40</v>
      </c>
      <c r="Q321" s="716"/>
      <c r="R321" s="716"/>
      <c r="S321" s="716"/>
      <c r="T321" s="716"/>
      <c r="U321" s="716"/>
      <c r="V321" s="717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708" t="s">
        <v>543</v>
      </c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708"/>
      <c r="R322" s="708"/>
      <c r="S322" s="708"/>
      <c r="T322" s="708"/>
      <c r="U322" s="708"/>
      <c r="V322" s="708"/>
      <c r="W322" s="708"/>
      <c r="X322" s="708"/>
      <c r="Y322" s="708"/>
      <c r="Z322" s="708"/>
      <c r="AA322" s="62"/>
      <c r="AB322" s="62"/>
      <c r="AC322" s="62"/>
    </row>
    <row r="323" spans="1:68" ht="14.25" hidden="1" customHeight="1" x14ac:dyDescent="0.25">
      <c r="A323" s="709" t="s">
        <v>122</v>
      </c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710">
        <v>4680115885837</v>
      </c>
      <c r="E324" s="710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2"/>
      <c r="R324" s="712"/>
      <c r="S324" s="712"/>
      <c r="T324" s="71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710">
        <v>4680115887237</v>
      </c>
      <c r="E325" s="710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2"/>
      <c r="R325" s="712"/>
      <c r="S325" s="712"/>
      <c r="T325" s="71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710">
        <v>4680115885806</v>
      </c>
      <c r="E326" s="710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2"/>
      <c r="R326" s="712"/>
      <c r="S326" s="712"/>
      <c r="T326" s="71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710">
        <v>4680115885844</v>
      </c>
      <c r="E327" s="710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2"/>
      <c r="R327" s="712"/>
      <c r="S327" s="712"/>
      <c r="T327" s="71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710">
        <v>4680115885820</v>
      </c>
      <c r="E328" s="710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2"/>
      <c r="R328" s="712"/>
      <c r="S328" s="712"/>
      <c r="T328" s="71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9"/>
      <c r="P329" s="715" t="s">
        <v>40</v>
      </c>
      <c r="Q329" s="716"/>
      <c r="R329" s="716"/>
      <c r="S329" s="716"/>
      <c r="T329" s="716"/>
      <c r="U329" s="716"/>
      <c r="V329" s="717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9"/>
      <c r="P330" s="715" t="s">
        <v>40</v>
      </c>
      <c r="Q330" s="716"/>
      <c r="R330" s="716"/>
      <c r="S330" s="716"/>
      <c r="T330" s="716"/>
      <c r="U330" s="716"/>
      <c r="V330" s="717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08" t="s">
        <v>559</v>
      </c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708"/>
      <c r="R331" s="708"/>
      <c r="S331" s="708"/>
      <c r="T331" s="708"/>
      <c r="U331" s="708"/>
      <c r="V331" s="708"/>
      <c r="W331" s="708"/>
      <c r="X331" s="708"/>
      <c r="Y331" s="708"/>
      <c r="Z331" s="708"/>
      <c r="AA331" s="62"/>
      <c r="AB331" s="62"/>
      <c r="AC331" s="62"/>
    </row>
    <row r="332" spans="1:68" ht="14.25" hidden="1" customHeight="1" x14ac:dyDescent="0.25">
      <c r="A332" s="709" t="s">
        <v>86</v>
      </c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710">
        <v>4680115886186</v>
      </c>
      <c r="E333" s="710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2"/>
      <c r="R333" s="712"/>
      <c r="S333" s="712"/>
      <c r="T333" s="71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710">
        <v>4680115881228</v>
      </c>
      <c r="E334" s="710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2"/>
      <c r="R334" s="712"/>
      <c r="S334" s="712"/>
      <c r="T334" s="71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4301051388</v>
      </c>
      <c r="D335" s="710">
        <v>4680115881211</v>
      </c>
      <c r="E335" s="71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2"/>
      <c r="R335" s="712"/>
      <c r="S335" s="712"/>
      <c r="T335" s="713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9"/>
      <c r="P336" s="715" t="s">
        <v>40</v>
      </c>
      <c r="Q336" s="716"/>
      <c r="R336" s="716"/>
      <c r="S336" s="716"/>
      <c r="T336" s="716"/>
      <c r="U336" s="716"/>
      <c r="V336" s="717"/>
      <c r="W336" s="40" t="s">
        <v>39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9"/>
      <c r="P337" s="715" t="s">
        <v>40</v>
      </c>
      <c r="Q337" s="716"/>
      <c r="R337" s="716"/>
      <c r="S337" s="716"/>
      <c r="T337" s="716"/>
      <c r="U337" s="716"/>
      <c r="V337" s="717"/>
      <c r="W337" s="40" t="s">
        <v>0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708" t="s">
        <v>568</v>
      </c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708"/>
      <c r="R338" s="708"/>
      <c r="S338" s="708"/>
      <c r="T338" s="708"/>
      <c r="U338" s="708"/>
      <c r="V338" s="708"/>
      <c r="W338" s="708"/>
      <c r="X338" s="708"/>
      <c r="Y338" s="708"/>
      <c r="Z338" s="708"/>
      <c r="AA338" s="62"/>
      <c r="AB338" s="62"/>
      <c r="AC338" s="62"/>
    </row>
    <row r="339" spans="1:68" ht="14.25" hidden="1" customHeight="1" x14ac:dyDescent="0.25">
      <c r="A339" s="709" t="s">
        <v>77</v>
      </c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710">
        <v>4680115888319</v>
      </c>
      <c r="E340" s="710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2"/>
      <c r="R340" s="712"/>
      <c r="S340" s="712"/>
      <c r="T340" s="71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710">
        <v>4680115884700</v>
      </c>
      <c r="E341" s="710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2"/>
      <c r="R341" s="712"/>
      <c r="S341" s="712"/>
      <c r="T341" s="71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710">
        <v>4680115880344</v>
      </c>
      <c r="E342" s="710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2"/>
      <c r="R342" s="712"/>
      <c r="S342" s="712"/>
      <c r="T342" s="713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710">
        <v>4680115886919</v>
      </c>
      <c r="E343" s="710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2"/>
      <c r="R343" s="712"/>
      <c r="S343" s="712"/>
      <c r="T343" s="713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710">
        <v>4680115883970</v>
      </c>
      <c r="E344" s="710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9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2"/>
      <c r="R344" s="712"/>
      <c r="S344" s="712"/>
      <c r="T344" s="71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9"/>
      <c r="P345" s="715" t="s">
        <v>40</v>
      </c>
      <c r="Q345" s="716"/>
      <c r="R345" s="716"/>
      <c r="S345" s="716"/>
      <c r="T345" s="716"/>
      <c r="U345" s="716"/>
      <c r="V345" s="717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9"/>
      <c r="P346" s="715" t="s">
        <v>40</v>
      </c>
      <c r="Q346" s="716"/>
      <c r="R346" s="716"/>
      <c r="S346" s="716"/>
      <c r="T346" s="716"/>
      <c r="U346" s="716"/>
      <c r="V346" s="717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709" t="s">
        <v>86</v>
      </c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63"/>
      <c r="AB347" s="63"/>
      <c r="AC347" s="63"/>
    </row>
    <row r="348" spans="1:68" ht="27" customHeight="1" x14ac:dyDescent="0.25">
      <c r="A348" s="60" t="s">
        <v>583</v>
      </c>
      <c r="B348" s="60" t="s">
        <v>584</v>
      </c>
      <c r="C348" s="34">
        <v>4301051782</v>
      </c>
      <c r="D348" s="710">
        <v>4680115884618</v>
      </c>
      <c r="E348" s="710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8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2"/>
      <c r="R348" s="712"/>
      <c r="S348" s="712"/>
      <c r="T348" s="713"/>
      <c r="U348" s="37" t="s">
        <v>46</v>
      </c>
      <c r="V348" s="37" t="s">
        <v>46</v>
      </c>
      <c r="W348" s="38" t="s">
        <v>0</v>
      </c>
      <c r="X348" s="56">
        <v>48</v>
      </c>
      <c r="Y348" s="53">
        <f>IFERROR(IF(X348="",0,CEILING((X348/$H348),1)*$H348),"")</f>
        <v>50.4</v>
      </c>
      <c r="Z348" s="39">
        <f>IFERROR(IF(Y348=0,"",ROUNDUP(Y348/H348,0)*0.00902),"")</f>
        <v>0.12628</v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50.533333333333339</v>
      </c>
      <c r="BN348" s="75">
        <f>IFERROR(Y348*I348/H348,"0")</f>
        <v>53.059999999999995</v>
      </c>
      <c r="BO348" s="75">
        <f>IFERROR(1/J348*(X348/H348),"0")</f>
        <v>0.10101010101010101</v>
      </c>
      <c r="BP348" s="75">
        <f>IFERROR(1/J348*(Y348/H348),"0")</f>
        <v>0.10606060606060606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710">
        <v>4680115887114</v>
      </c>
      <c r="E349" s="710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89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2"/>
      <c r="R349" s="712"/>
      <c r="S349" s="712"/>
      <c r="T349" s="71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9"/>
      <c r="P350" s="715" t="s">
        <v>40</v>
      </c>
      <c r="Q350" s="716"/>
      <c r="R350" s="716"/>
      <c r="S350" s="716"/>
      <c r="T350" s="716"/>
      <c r="U350" s="716"/>
      <c r="V350" s="717"/>
      <c r="W350" s="40" t="s">
        <v>39</v>
      </c>
      <c r="X350" s="41">
        <f>IFERROR(X348/H348,"0")+IFERROR(X349/H349,"0")</f>
        <v>13.333333333333332</v>
      </c>
      <c r="Y350" s="41">
        <f>IFERROR(Y348/H348,"0")+IFERROR(Y349/H349,"0")</f>
        <v>14</v>
      </c>
      <c r="Z350" s="41">
        <f>IFERROR(IF(Z348="",0,Z348),"0")+IFERROR(IF(Z349="",0,Z349),"0")</f>
        <v>0.12628</v>
      </c>
      <c r="AA350" s="64"/>
      <c r="AB350" s="64"/>
      <c r="AC350" s="64"/>
    </row>
    <row r="351" spans="1:68" x14ac:dyDescent="0.2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9"/>
      <c r="P351" s="715" t="s">
        <v>40</v>
      </c>
      <c r="Q351" s="716"/>
      <c r="R351" s="716"/>
      <c r="S351" s="716"/>
      <c r="T351" s="716"/>
      <c r="U351" s="716"/>
      <c r="V351" s="717"/>
      <c r="W351" s="40" t="s">
        <v>0</v>
      </c>
      <c r="X351" s="41">
        <f>IFERROR(SUM(X348:X349),"0")</f>
        <v>48</v>
      </c>
      <c r="Y351" s="41">
        <f>IFERROR(SUM(Y348:Y349),"0")</f>
        <v>50.4</v>
      </c>
      <c r="Z351" s="40"/>
      <c r="AA351" s="64"/>
      <c r="AB351" s="64"/>
      <c r="AC351" s="64"/>
    </row>
    <row r="352" spans="1:68" ht="16.5" hidden="1" customHeight="1" x14ac:dyDescent="0.25">
      <c r="A352" s="708" t="s">
        <v>589</v>
      </c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708"/>
      <c r="R352" s="708"/>
      <c r="S352" s="708"/>
      <c r="T352" s="708"/>
      <c r="U352" s="708"/>
      <c r="V352" s="708"/>
      <c r="W352" s="708"/>
      <c r="X352" s="708"/>
      <c r="Y352" s="708"/>
      <c r="Z352" s="708"/>
      <c r="AA352" s="62"/>
      <c r="AB352" s="62"/>
      <c r="AC352" s="62"/>
    </row>
    <row r="353" spans="1:68" ht="14.25" hidden="1" customHeight="1" x14ac:dyDescent="0.25">
      <c r="A353" s="709" t="s">
        <v>122</v>
      </c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63"/>
      <c r="AB353" s="63"/>
      <c r="AC353" s="63"/>
    </row>
    <row r="354" spans="1:68" ht="27" hidden="1" customHeight="1" x14ac:dyDescent="0.25">
      <c r="A354" s="60" t="s">
        <v>590</v>
      </c>
      <c r="B354" s="60" t="s">
        <v>591</v>
      </c>
      <c r="C354" s="34">
        <v>4301012324</v>
      </c>
      <c r="D354" s="710">
        <v>4680115887947</v>
      </c>
      <c r="E354" s="710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89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2"/>
      <c r="R354" s="712"/>
      <c r="S354" s="712"/>
      <c r="T354" s="71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592</v>
      </c>
      <c r="B355" s="60" t="s">
        <v>593</v>
      </c>
      <c r="C355" s="34">
        <v>4301012325</v>
      </c>
      <c r="D355" s="710">
        <v>4680115887978</v>
      </c>
      <c r="E355" s="710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9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2"/>
      <c r="R355" s="712"/>
      <c r="S355" s="712"/>
      <c r="T355" s="713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595</v>
      </c>
      <c r="B356" s="60" t="s">
        <v>596</v>
      </c>
      <c r="C356" s="34">
        <v>4301012327</v>
      </c>
      <c r="D356" s="710">
        <v>4680115887992</v>
      </c>
      <c r="E356" s="710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2"/>
      <c r="R356" s="712"/>
      <c r="S356" s="712"/>
      <c r="T356" s="71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9"/>
      <c r="P357" s="715" t="s">
        <v>40</v>
      </c>
      <c r="Q357" s="716"/>
      <c r="R357" s="716"/>
      <c r="S357" s="716"/>
      <c r="T357" s="716"/>
      <c r="U357" s="716"/>
      <c r="V357" s="717"/>
      <c r="W357" s="40" t="s">
        <v>39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9"/>
      <c r="P358" s="715" t="s">
        <v>40</v>
      </c>
      <c r="Q358" s="716"/>
      <c r="R358" s="716"/>
      <c r="S358" s="716"/>
      <c r="T358" s="716"/>
      <c r="U358" s="716"/>
      <c r="V358" s="717"/>
      <c r="W358" s="40" t="s">
        <v>0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708" t="s">
        <v>598</v>
      </c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708"/>
      <c r="R359" s="708"/>
      <c r="S359" s="708"/>
      <c r="T359" s="708"/>
      <c r="U359" s="708"/>
      <c r="V359" s="708"/>
      <c r="W359" s="708"/>
      <c r="X359" s="708"/>
      <c r="Y359" s="708"/>
      <c r="Z359" s="708"/>
      <c r="AA359" s="62"/>
      <c r="AB359" s="62"/>
      <c r="AC359" s="62"/>
    </row>
    <row r="360" spans="1:68" ht="14.25" hidden="1" customHeight="1" x14ac:dyDescent="0.25">
      <c r="A360" s="709" t="s">
        <v>122</v>
      </c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710">
        <v>4607091386004</v>
      </c>
      <c r="E361" s="710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2"/>
      <c r="R361" s="712"/>
      <c r="S361" s="712"/>
      <c r="T361" s="713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710">
        <v>4680115887190</v>
      </c>
      <c r="E362" s="710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0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2"/>
      <c r="R362" s="712"/>
      <c r="S362" s="712"/>
      <c r="T362" s="713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710">
        <v>4680115887138</v>
      </c>
      <c r="E363" s="710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2"/>
      <c r="R363" s="712"/>
      <c r="S363" s="712"/>
      <c r="T363" s="713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710">
        <v>4680115885554</v>
      </c>
      <c r="E364" s="710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9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2"/>
      <c r="R364" s="712"/>
      <c r="S364" s="712"/>
      <c r="T364" s="713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710">
        <v>4680115887220</v>
      </c>
      <c r="E365" s="710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0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2"/>
      <c r="R365" s="712"/>
      <c r="S365" s="712"/>
      <c r="T365" s="71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710">
        <v>4680115885608</v>
      </c>
      <c r="E366" s="710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9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2"/>
      <c r="R366" s="712"/>
      <c r="S366" s="712"/>
      <c r="T366" s="71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9"/>
      <c r="P367" s="715" t="s">
        <v>40</v>
      </c>
      <c r="Q367" s="716"/>
      <c r="R367" s="716"/>
      <c r="S367" s="716"/>
      <c r="T367" s="716"/>
      <c r="U367" s="716"/>
      <c r="V367" s="717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9"/>
      <c r="P368" s="715" t="s">
        <v>40</v>
      </c>
      <c r="Q368" s="716"/>
      <c r="R368" s="716"/>
      <c r="S368" s="716"/>
      <c r="T368" s="716"/>
      <c r="U368" s="716"/>
      <c r="V368" s="717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709" t="s">
        <v>77</v>
      </c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710">
        <v>4607091387193</v>
      </c>
      <c r="E370" s="710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9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2"/>
      <c r="R370" s="712"/>
      <c r="S370" s="712"/>
      <c r="T370" s="71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710">
        <v>4607091387230</v>
      </c>
      <c r="E371" s="710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90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2"/>
      <c r="R371" s="712"/>
      <c r="S371" s="712"/>
      <c r="T371" s="71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710">
        <v>4607091387292</v>
      </c>
      <c r="E372" s="710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9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2"/>
      <c r="R372" s="712"/>
      <c r="S372" s="712"/>
      <c r="T372" s="713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710">
        <v>4607091387285</v>
      </c>
      <c r="E373" s="710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2"/>
      <c r="R373" s="712"/>
      <c r="S373" s="712"/>
      <c r="T373" s="713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710">
        <v>4607091389845</v>
      </c>
      <c r="E374" s="710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2"/>
      <c r="R374" s="712"/>
      <c r="S374" s="712"/>
      <c r="T374" s="713"/>
      <c r="U374" s="37" t="s">
        <v>46</v>
      </c>
      <c r="V374" s="37" t="s">
        <v>46</v>
      </c>
      <c r="W374" s="38" t="s">
        <v>0</v>
      </c>
      <c r="X374" s="56">
        <v>31.5</v>
      </c>
      <c r="Y374" s="53">
        <f t="shared" si="53"/>
        <v>31.5</v>
      </c>
      <c r="Z374" s="39">
        <f>IFERROR(IF(Y374=0,"",ROUNDUP(Y374/H374,0)*0.00502),"")</f>
        <v>7.5300000000000006E-2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33.000000000000007</v>
      </c>
      <c r="BN374" s="75">
        <f t="shared" si="55"/>
        <v>33.000000000000007</v>
      </c>
      <c r="BO374" s="75">
        <f t="shared" si="56"/>
        <v>6.4102564102564111E-2</v>
      </c>
      <c r="BP374" s="75">
        <f t="shared" si="57"/>
        <v>6.4102564102564111E-2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710">
        <v>4680115887442</v>
      </c>
      <c r="E375" s="710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9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2"/>
      <c r="R375" s="712"/>
      <c r="S375" s="712"/>
      <c r="T375" s="71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710">
        <v>4607091383836</v>
      </c>
      <c r="E376" s="710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9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2"/>
      <c r="R376" s="712"/>
      <c r="S376" s="712"/>
      <c r="T376" s="713"/>
      <c r="U376" s="37" t="s">
        <v>46</v>
      </c>
      <c r="V376" s="37" t="s">
        <v>46</v>
      </c>
      <c r="W376" s="38" t="s">
        <v>0</v>
      </c>
      <c r="X376" s="56">
        <v>108</v>
      </c>
      <c r="Y376" s="53">
        <f t="shared" si="53"/>
        <v>108</v>
      </c>
      <c r="Z376" s="39">
        <f>IFERROR(IF(Y376=0,"",ROUNDUP(Y376/H376,0)*0.00651),"")</f>
        <v>0.3906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121.67999999999999</v>
      </c>
      <c r="BN376" s="75">
        <f t="shared" si="55"/>
        <v>121.67999999999999</v>
      </c>
      <c r="BO376" s="75">
        <f t="shared" si="56"/>
        <v>0.32967032967032972</v>
      </c>
      <c r="BP376" s="75">
        <f t="shared" si="57"/>
        <v>0.32967032967032972</v>
      </c>
    </row>
    <row r="377" spans="1:68" x14ac:dyDescent="0.2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9"/>
      <c r="P377" s="715" t="s">
        <v>40</v>
      </c>
      <c r="Q377" s="716"/>
      <c r="R377" s="716"/>
      <c r="S377" s="716"/>
      <c r="T377" s="716"/>
      <c r="U377" s="716"/>
      <c r="V377" s="717"/>
      <c r="W377" s="40" t="s">
        <v>39</v>
      </c>
      <c r="X377" s="41">
        <f>IFERROR(X370/H370,"0")+IFERROR(X371/H371,"0")+IFERROR(X372/H372,"0")+IFERROR(X373/H373,"0")+IFERROR(X374/H374,"0")+IFERROR(X375/H375,"0")+IFERROR(X376/H376,"0")</f>
        <v>75</v>
      </c>
      <c r="Y377" s="41">
        <f>IFERROR(Y370/H370,"0")+IFERROR(Y371/H371,"0")+IFERROR(Y372/H372,"0")+IFERROR(Y373/H373,"0")+IFERROR(Y374/H374,"0")+IFERROR(Y375/H375,"0")+IFERROR(Y376/H376,"0")</f>
        <v>75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0.46589999999999998</v>
      </c>
      <c r="AA377" s="64"/>
      <c r="AB377" s="64"/>
      <c r="AC377" s="64"/>
    </row>
    <row r="378" spans="1:68" x14ac:dyDescent="0.2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9"/>
      <c r="P378" s="715" t="s">
        <v>40</v>
      </c>
      <c r="Q378" s="716"/>
      <c r="R378" s="716"/>
      <c r="S378" s="716"/>
      <c r="T378" s="716"/>
      <c r="U378" s="716"/>
      <c r="V378" s="717"/>
      <c r="W378" s="40" t="s">
        <v>0</v>
      </c>
      <c r="X378" s="41">
        <f>IFERROR(SUM(X370:X376),"0")</f>
        <v>139.5</v>
      </c>
      <c r="Y378" s="41">
        <f>IFERROR(SUM(Y370:Y376),"0")</f>
        <v>139.5</v>
      </c>
      <c r="Z378" s="40"/>
      <c r="AA378" s="64"/>
      <c r="AB378" s="64"/>
      <c r="AC378" s="64"/>
    </row>
    <row r="379" spans="1:68" ht="14.25" hidden="1" customHeight="1" x14ac:dyDescent="0.25">
      <c r="A379" s="709" t="s">
        <v>86</v>
      </c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710">
        <v>4607091387766</v>
      </c>
      <c r="E380" s="710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1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2"/>
      <c r="R380" s="712"/>
      <c r="S380" s="712"/>
      <c r="T380" s="713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710">
        <v>4607091387957</v>
      </c>
      <c r="E381" s="710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2"/>
      <c r="R381" s="712"/>
      <c r="S381" s="712"/>
      <c r="T381" s="713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710">
        <v>4607091387964</v>
      </c>
      <c r="E382" s="710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2"/>
      <c r="R382" s="712"/>
      <c r="S382" s="712"/>
      <c r="T382" s="713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710">
        <v>4680115884588</v>
      </c>
      <c r="E383" s="710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9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2"/>
      <c r="R383" s="712"/>
      <c r="S383" s="712"/>
      <c r="T383" s="71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9"/>
      <c r="P384" s="715" t="s">
        <v>40</v>
      </c>
      <c r="Q384" s="716"/>
      <c r="R384" s="716"/>
      <c r="S384" s="716"/>
      <c r="T384" s="716"/>
      <c r="U384" s="716"/>
      <c r="V384" s="717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9"/>
      <c r="P385" s="715" t="s">
        <v>40</v>
      </c>
      <c r="Q385" s="716"/>
      <c r="R385" s="716"/>
      <c r="S385" s="716"/>
      <c r="T385" s="716"/>
      <c r="U385" s="716"/>
      <c r="V385" s="717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709" t="s">
        <v>175</v>
      </c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63"/>
      <c r="AB386" s="63"/>
      <c r="AC386" s="63"/>
    </row>
    <row r="387" spans="1:68" ht="27" hidden="1" customHeight="1" x14ac:dyDescent="0.25">
      <c r="A387" s="60" t="s">
        <v>646</v>
      </c>
      <c r="B387" s="60" t="s">
        <v>647</v>
      </c>
      <c r="C387" s="34">
        <v>4301060387</v>
      </c>
      <c r="D387" s="710">
        <v>4607091380880</v>
      </c>
      <c r="E387" s="710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2"/>
      <c r="R387" s="712"/>
      <c r="S387" s="712"/>
      <c r="T387" s="71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649</v>
      </c>
      <c r="B388" s="60" t="s">
        <v>650</v>
      </c>
      <c r="C388" s="34">
        <v>4301060406</v>
      </c>
      <c r="D388" s="710">
        <v>4607091384482</v>
      </c>
      <c r="E388" s="710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9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2"/>
      <c r="R388" s="712"/>
      <c r="S388" s="712"/>
      <c r="T388" s="71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4301060484</v>
      </c>
      <c r="D389" s="710">
        <v>4607091380897</v>
      </c>
      <c r="E389" s="710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9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2"/>
      <c r="R389" s="712"/>
      <c r="S389" s="712"/>
      <c r="T389" s="713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9"/>
      <c r="P390" s="715" t="s">
        <v>40</v>
      </c>
      <c r="Q390" s="716"/>
      <c r="R390" s="716"/>
      <c r="S390" s="716"/>
      <c r="T390" s="716"/>
      <c r="U390" s="716"/>
      <c r="V390" s="717"/>
      <c r="W390" s="40" t="s">
        <v>39</v>
      </c>
      <c r="X390" s="41">
        <f>IFERROR(X387/H387,"0")+IFERROR(X388/H388,"0")+IFERROR(X389/H389,"0")</f>
        <v>0</v>
      </c>
      <c r="Y390" s="41">
        <f>IFERROR(Y387/H387,"0")+IFERROR(Y388/H388,"0")+IFERROR(Y389/H389,"0")</f>
        <v>0</v>
      </c>
      <c r="Z390" s="41">
        <f>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9"/>
      <c r="P391" s="715" t="s">
        <v>40</v>
      </c>
      <c r="Q391" s="716"/>
      <c r="R391" s="716"/>
      <c r="S391" s="716"/>
      <c r="T391" s="716"/>
      <c r="U391" s="716"/>
      <c r="V391" s="717"/>
      <c r="W391" s="40" t="s">
        <v>0</v>
      </c>
      <c r="X391" s="41">
        <f>IFERROR(SUM(X387:X389),"0")</f>
        <v>0</v>
      </c>
      <c r="Y391" s="41">
        <f>IFERROR(SUM(Y387:Y389),"0")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709" t="s">
        <v>283</v>
      </c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710">
        <v>4607091388381</v>
      </c>
      <c r="E393" s="710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9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2"/>
      <c r="R393" s="712"/>
      <c r="S393" s="712"/>
      <c r="T393" s="71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710">
        <v>4607091388374</v>
      </c>
      <c r="E394" s="710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9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2"/>
      <c r="R394" s="712"/>
      <c r="S394" s="712"/>
      <c r="T394" s="71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710">
        <v>4607091383102</v>
      </c>
      <c r="E395" s="710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9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2"/>
      <c r="R395" s="712"/>
      <c r="S395" s="712"/>
      <c r="T395" s="713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4301030233</v>
      </c>
      <c r="D396" s="710">
        <v>4607091388404</v>
      </c>
      <c r="E396" s="710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9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2"/>
      <c r="R396" s="712"/>
      <c r="S396" s="712"/>
      <c r="T396" s="713"/>
      <c r="U396" s="37" t="s">
        <v>46</v>
      </c>
      <c r="V396" s="37" t="s">
        <v>46</v>
      </c>
      <c r="W396" s="38" t="s">
        <v>0</v>
      </c>
      <c r="X396" s="56">
        <v>15.3</v>
      </c>
      <c r="Y396" s="53">
        <f>IFERROR(IF(X396="",0,CEILING((X396/$H396),1)*$H396),"")</f>
        <v>15.299999999999999</v>
      </c>
      <c r="Z396" s="39">
        <f>IFERROR(IF(Y396=0,"",ROUNDUP(Y396/H396,0)*0.00651),"")</f>
        <v>3.9059999999999997E-2</v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17.28</v>
      </c>
      <c r="BN396" s="75">
        <f>IFERROR(Y396*I396/H396,"0")</f>
        <v>17.279999999999998</v>
      </c>
      <c r="BO396" s="75">
        <f>IFERROR(1/J396*(X396/H396),"0")</f>
        <v>3.2967032967032975E-2</v>
      </c>
      <c r="BP396" s="75">
        <f>IFERROR(1/J396*(Y396/H396),"0")</f>
        <v>3.2967032967032968E-2</v>
      </c>
    </row>
    <row r="397" spans="1:68" x14ac:dyDescent="0.2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9"/>
      <c r="P397" s="715" t="s">
        <v>40</v>
      </c>
      <c r="Q397" s="716"/>
      <c r="R397" s="716"/>
      <c r="S397" s="716"/>
      <c r="T397" s="716"/>
      <c r="U397" s="716"/>
      <c r="V397" s="717"/>
      <c r="W397" s="40" t="s">
        <v>39</v>
      </c>
      <c r="X397" s="41">
        <f>IFERROR(X393/H393,"0")+IFERROR(X394/H394,"0")+IFERROR(X395/H395,"0")+IFERROR(X396/H396,"0")</f>
        <v>6.0000000000000009</v>
      </c>
      <c r="Y397" s="41">
        <f>IFERROR(Y393/H393,"0")+IFERROR(Y394/H394,"0")+IFERROR(Y395/H395,"0")+IFERROR(Y396/H396,"0")</f>
        <v>6</v>
      </c>
      <c r="Z397" s="41">
        <f>IFERROR(IF(Z393="",0,Z393),"0")+IFERROR(IF(Z394="",0,Z394),"0")+IFERROR(IF(Z395="",0,Z395),"0")+IFERROR(IF(Z396="",0,Z396),"0")</f>
        <v>3.9059999999999997E-2</v>
      </c>
      <c r="AA397" s="64"/>
      <c r="AB397" s="64"/>
      <c r="AC397" s="64"/>
    </row>
    <row r="398" spans="1:68" x14ac:dyDescent="0.2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9"/>
      <c r="P398" s="715" t="s">
        <v>40</v>
      </c>
      <c r="Q398" s="716"/>
      <c r="R398" s="716"/>
      <c r="S398" s="716"/>
      <c r="T398" s="716"/>
      <c r="U398" s="716"/>
      <c r="V398" s="717"/>
      <c r="W398" s="40" t="s">
        <v>0</v>
      </c>
      <c r="X398" s="41">
        <f>IFERROR(SUM(X393:X396),"0")</f>
        <v>15.3</v>
      </c>
      <c r="Y398" s="41">
        <f>IFERROR(SUM(Y393:Y396),"0")</f>
        <v>15.299999999999999</v>
      </c>
      <c r="Z398" s="40"/>
      <c r="AA398" s="64"/>
      <c r="AB398" s="64"/>
      <c r="AC398" s="64"/>
    </row>
    <row r="399" spans="1:68" ht="14.25" hidden="1" customHeight="1" x14ac:dyDescent="0.25">
      <c r="A399" s="709" t="s">
        <v>664</v>
      </c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710">
        <v>4680115881808</v>
      </c>
      <c r="E400" s="710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9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2"/>
      <c r="R400" s="712"/>
      <c r="S400" s="712"/>
      <c r="T400" s="71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710">
        <v>4680115881822</v>
      </c>
      <c r="E401" s="710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9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2"/>
      <c r="R401" s="712"/>
      <c r="S401" s="712"/>
      <c r="T401" s="71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4301180001</v>
      </c>
      <c r="D402" s="710">
        <v>4680115880016</v>
      </c>
      <c r="E402" s="710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9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2"/>
      <c r="R402" s="712"/>
      <c r="S402" s="712"/>
      <c r="T402" s="713"/>
      <c r="U402" s="37" t="s">
        <v>46</v>
      </c>
      <c r="V402" s="37" t="s">
        <v>46</v>
      </c>
      <c r="W402" s="38" t="s">
        <v>0</v>
      </c>
      <c r="X402" s="56">
        <v>36</v>
      </c>
      <c r="Y402" s="53">
        <f>IFERROR(IF(X402="",0,CEILING((X402/$H402),1)*$H402),"")</f>
        <v>36</v>
      </c>
      <c r="Z402" s="39">
        <f>IFERROR(IF(Y402=0,"",ROUNDUP(Y402/H402,0)*0.00474),"")</f>
        <v>8.5320000000000007E-2</v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40.320000000000007</v>
      </c>
      <c r="BN402" s="75">
        <f>IFERROR(Y402*I402/H402,"0")</f>
        <v>40.320000000000007</v>
      </c>
      <c r="BO402" s="75">
        <f>IFERROR(1/J402*(X402/H402),"0")</f>
        <v>7.5630252100840331E-2</v>
      </c>
      <c r="BP402" s="75">
        <f>IFERROR(1/J402*(Y402/H402),"0")</f>
        <v>7.5630252100840331E-2</v>
      </c>
    </row>
    <row r="403" spans="1:68" x14ac:dyDescent="0.2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9"/>
      <c r="P403" s="715" t="s">
        <v>40</v>
      </c>
      <c r="Q403" s="716"/>
      <c r="R403" s="716"/>
      <c r="S403" s="716"/>
      <c r="T403" s="716"/>
      <c r="U403" s="716"/>
      <c r="V403" s="717"/>
      <c r="W403" s="40" t="s">
        <v>39</v>
      </c>
      <c r="X403" s="41">
        <f>IFERROR(X400/H400,"0")+IFERROR(X401/H401,"0")+IFERROR(X402/H402,"0")</f>
        <v>18</v>
      </c>
      <c r="Y403" s="41">
        <f>IFERROR(Y400/H400,"0")+IFERROR(Y401/H401,"0")+IFERROR(Y402/H402,"0")</f>
        <v>18</v>
      </c>
      <c r="Z403" s="41">
        <f>IFERROR(IF(Z400="",0,Z400),"0")+IFERROR(IF(Z401="",0,Z401),"0")+IFERROR(IF(Z402="",0,Z402),"0")</f>
        <v>8.5320000000000007E-2</v>
      </c>
      <c r="AA403" s="64"/>
      <c r="AB403" s="64"/>
      <c r="AC403" s="64"/>
    </row>
    <row r="404" spans="1:68" x14ac:dyDescent="0.2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9"/>
      <c r="P404" s="715" t="s">
        <v>40</v>
      </c>
      <c r="Q404" s="716"/>
      <c r="R404" s="716"/>
      <c r="S404" s="716"/>
      <c r="T404" s="716"/>
      <c r="U404" s="716"/>
      <c r="V404" s="717"/>
      <c r="W404" s="40" t="s">
        <v>0</v>
      </c>
      <c r="X404" s="41">
        <f>IFERROR(SUM(X400:X402),"0")</f>
        <v>36</v>
      </c>
      <c r="Y404" s="41">
        <f>IFERROR(SUM(Y400:Y402),"0")</f>
        <v>36</v>
      </c>
      <c r="Z404" s="40"/>
      <c r="AA404" s="64"/>
      <c r="AB404" s="64"/>
      <c r="AC404" s="64"/>
    </row>
    <row r="405" spans="1:68" ht="14.25" hidden="1" customHeight="1" x14ac:dyDescent="0.25">
      <c r="A405" s="709" t="s">
        <v>673</v>
      </c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710">
        <v>4680115888678</v>
      </c>
      <c r="E406" s="710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92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2"/>
      <c r="R406" s="712"/>
      <c r="S406" s="712"/>
      <c r="T406" s="71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710">
        <v>4680115888654</v>
      </c>
      <c r="E407" s="710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9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2"/>
      <c r="R407" s="712"/>
      <c r="S407" s="712"/>
      <c r="T407" s="71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710">
        <v>4680115888753</v>
      </c>
      <c r="E408" s="710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9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2"/>
      <c r="R408" s="712"/>
      <c r="S408" s="712"/>
      <c r="T408" s="71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9"/>
      <c r="P409" s="715" t="s">
        <v>40</v>
      </c>
      <c r="Q409" s="716"/>
      <c r="R409" s="716"/>
      <c r="S409" s="716"/>
      <c r="T409" s="716"/>
      <c r="U409" s="716"/>
      <c r="V409" s="717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9"/>
      <c r="P410" s="715" t="s">
        <v>40</v>
      </c>
      <c r="Q410" s="716"/>
      <c r="R410" s="716"/>
      <c r="S410" s="716"/>
      <c r="T410" s="716"/>
      <c r="U410" s="716"/>
      <c r="V410" s="717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708" t="s">
        <v>682</v>
      </c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708"/>
      <c r="R411" s="708"/>
      <c r="S411" s="708"/>
      <c r="T411" s="708"/>
      <c r="U411" s="708"/>
      <c r="V411" s="708"/>
      <c r="W411" s="708"/>
      <c r="X411" s="708"/>
      <c r="Y411" s="708"/>
      <c r="Z411" s="708"/>
      <c r="AA411" s="62"/>
      <c r="AB411" s="62"/>
      <c r="AC411" s="62"/>
    </row>
    <row r="412" spans="1:68" ht="14.25" hidden="1" customHeight="1" x14ac:dyDescent="0.25">
      <c r="A412" s="709" t="s">
        <v>86</v>
      </c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710">
        <v>4680115889415</v>
      </c>
      <c r="E413" s="710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2" t="s">
        <v>685</v>
      </c>
      <c r="Q413" s="712"/>
      <c r="R413" s="712"/>
      <c r="S413" s="712"/>
      <c r="T413" s="71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710">
        <v>4680115889422</v>
      </c>
      <c r="E414" s="710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933" t="s">
        <v>690</v>
      </c>
      <c r="Q414" s="712"/>
      <c r="R414" s="712"/>
      <c r="S414" s="712"/>
      <c r="T414" s="713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9"/>
      <c r="P415" s="715" t="s">
        <v>40</v>
      </c>
      <c r="Q415" s="716"/>
      <c r="R415" s="716"/>
      <c r="S415" s="716"/>
      <c r="T415" s="716"/>
      <c r="U415" s="716"/>
      <c r="V415" s="717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9"/>
      <c r="P416" s="715" t="s">
        <v>40</v>
      </c>
      <c r="Q416" s="716"/>
      <c r="R416" s="716"/>
      <c r="S416" s="716"/>
      <c r="T416" s="716"/>
      <c r="U416" s="716"/>
      <c r="V416" s="717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708" t="s">
        <v>692</v>
      </c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708"/>
      <c r="R417" s="708"/>
      <c r="S417" s="708"/>
      <c r="T417" s="708"/>
      <c r="U417" s="708"/>
      <c r="V417" s="708"/>
      <c r="W417" s="708"/>
      <c r="X417" s="708"/>
      <c r="Y417" s="708"/>
      <c r="Z417" s="708"/>
      <c r="AA417" s="62"/>
      <c r="AB417" s="62"/>
      <c r="AC417" s="62"/>
    </row>
    <row r="418" spans="1:68" ht="14.25" hidden="1" customHeight="1" x14ac:dyDescent="0.25">
      <c r="A418" s="709" t="s">
        <v>86</v>
      </c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710">
        <v>4607091387919</v>
      </c>
      <c r="E419" s="710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9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2"/>
      <c r="R419" s="712"/>
      <c r="S419" s="712"/>
      <c r="T419" s="71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696</v>
      </c>
      <c r="B420" s="60" t="s">
        <v>697</v>
      </c>
      <c r="C420" s="34">
        <v>4301051461</v>
      </c>
      <c r="D420" s="710">
        <v>4680115883604</v>
      </c>
      <c r="E420" s="710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2"/>
      <c r="R420" s="712"/>
      <c r="S420" s="712"/>
      <c r="T420" s="713"/>
      <c r="U420" s="37" t="s">
        <v>46</v>
      </c>
      <c r="V420" s="37" t="s">
        <v>46</v>
      </c>
      <c r="W420" s="38" t="s">
        <v>0</v>
      </c>
      <c r="X420" s="56">
        <v>10.5</v>
      </c>
      <c r="Y420" s="53">
        <f>IFERROR(IF(X420="",0,CEILING((X420/$H420),1)*$H420),"")</f>
        <v>10.5</v>
      </c>
      <c r="Z420" s="39">
        <f>IFERROR(IF(Y420=0,"",ROUNDUP(Y420/H420,0)*0.00651),"")</f>
        <v>3.2550000000000003E-2</v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11.759999999999998</v>
      </c>
      <c r="BN420" s="75">
        <f>IFERROR(Y420*I420/H420,"0")</f>
        <v>11.759999999999998</v>
      </c>
      <c r="BO420" s="75">
        <f>IFERROR(1/J420*(X420/H420),"0")</f>
        <v>2.7472527472527476E-2</v>
      </c>
      <c r="BP420" s="75">
        <f>IFERROR(1/J420*(Y420/H420),"0")</f>
        <v>2.7472527472527476E-2</v>
      </c>
    </row>
    <row r="421" spans="1:68" ht="27" hidden="1" customHeight="1" x14ac:dyDescent="0.25">
      <c r="A421" s="60" t="s">
        <v>699</v>
      </c>
      <c r="B421" s="60" t="s">
        <v>700</v>
      </c>
      <c r="C421" s="34">
        <v>4301051864</v>
      </c>
      <c r="D421" s="710">
        <v>4680115883567</v>
      </c>
      <c r="E421" s="710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9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2"/>
      <c r="R421" s="712"/>
      <c r="S421" s="712"/>
      <c r="T421" s="713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9"/>
      <c r="P422" s="715" t="s">
        <v>40</v>
      </c>
      <c r="Q422" s="716"/>
      <c r="R422" s="716"/>
      <c r="S422" s="716"/>
      <c r="T422" s="716"/>
      <c r="U422" s="716"/>
      <c r="V422" s="717"/>
      <c r="W422" s="40" t="s">
        <v>39</v>
      </c>
      <c r="X422" s="41">
        <f>IFERROR(X419/H419,"0")+IFERROR(X420/H420,"0")+IFERROR(X421/H421,"0")</f>
        <v>5</v>
      </c>
      <c r="Y422" s="41">
        <f>IFERROR(Y419/H419,"0")+IFERROR(Y420/H420,"0")+IFERROR(Y421/H421,"0")</f>
        <v>5</v>
      </c>
      <c r="Z422" s="41">
        <f>IFERROR(IF(Z419="",0,Z419),"0")+IFERROR(IF(Z420="",0,Z420),"0")+IFERROR(IF(Z421="",0,Z421),"0")</f>
        <v>3.2550000000000003E-2</v>
      </c>
      <c r="AA422" s="64"/>
      <c r="AB422" s="64"/>
      <c r="AC422" s="64"/>
    </row>
    <row r="423" spans="1:68" x14ac:dyDescent="0.2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9"/>
      <c r="P423" s="715" t="s">
        <v>40</v>
      </c>
      <c r="Q423" s="716"/>
      <c r="R423" s="716"/>
      <c r="S423" s="716"/>
      <c r="T423" s="716"/>
      <c r="U423" s="716"/>
      <c r="V423" s="717"/>
      <c r="W423" s="40" t="s">
        <v>0</v>
      </c>
      <c r="X423" s="41">
        <f>IFERROR(SUM(X419:X421),"0")</f>
        <v>10.5</v>
      </c>
      <c r="Y423" s="41">
        <f>IFERROR(SUM(Y419:Y421),"0")</f>
        <v>10.5</v>
      </c>
      <c r="Z423" s="40"/>
      <c r="AA423" s="64"/>
      <c r="AB423" s="64"/>
      <c r="AC423" s="64"/>
    </row>
    <row r="424" spans="1:68" ht="27.75" hidden="1" customHeight="1" x14ac:dyDescent="0.2">
      <c r="A424" s="707" t="s">
        <v>702</v>
      </c>
      <c r="B424" s="707"/>
      <c r="C424" s="707"/>
      <c r="D424" s="707"/>
      <c r="E424" s="707"/>
      <c r="F424" s="707"/>
      <c r="G424" s="707"/>
      <c r="H424" s="707"/>
      <c r="I424" s="707"/>
      <c r="J424" s="707"/>
      <c r="K424" s="707"/>
      <c r="L424" s="707"/>
      <c r="M424" s="707"/>
      <c r="N424" s="707"/>
      <c r="O424" s="707"/>
      <c r="P424" s="707"/>
      <c r="Q424" s="707"/>
      <c r="R424" s="707"/>
      <c r="S424" s="707"/>
      <c r="T424" s="707"/>
      <c r="U424" s="707"/>
      <c r="V424" s="707"/>
      <c r="W424" s="707"/>
      <c r="X424" s="707"/>
      <c r="Y424" s="707"/>
      <c r="Z424" s="707"/>
      <c r="AA424" s="52"/>
      <c r="AB424" s="52"/>
      <c r="AC424" s="52"/>
    </row>
    <row r="425" spans="1:68" ht="16.5" hidden="1" customHeight="1" x14ac:dyDescent="0.25">
      <c r="A425" s="708" t="s">
        <v>703</v>
      </c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708"/>
      <c r="R425" s="708"/>
      <c r="S425" s="708"/>
      <c r="T425" s="708"/>
      <c r="U425" s="708"/>
      <c r="V425" s="708"/>
      <c r="W425" s="708"/>
      <c r="X425" s="708"/>
      <c r="Y425" s="708"/>
      <c r="Z425" s="708"/>
      <c r="AA425" s="62"/>
      <c r="AB425" s="62"/>
      <c r="AC425" s="62"/>
    </row>
    <row r="426" spans="1:68" ht="14.25" hidden="1" customHeight="1" x14ac:dyDescent="0.25">
      <c r="A426" s="709" t="s">
        <v>122</v>
      </c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63"/>
      <c r="AB426" s="63"/>
      <c r="AC426" s="63"/>
    </row>
    <row r="427" spans="1:68" ht="27" hidden="1" customHeight="1" x14ac:dyDescent="0.25">
      <c r="A427" s="60" t="s">
        <v>704</v>
      </c>
      <c r="B427" s="60" t="s">
        <v>705</v>
      </c>
      <c r="C427" s="34">
        <v>4301012332</v>
      </c>
      <c r="D427" s="710">
        <v>4680115888401</v>
      </c>
      <c r="E427" s="710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2"/>
      <c r="R427" s="712"/>
      <c r="S427" s="712"/>
      <c r="T427" s="713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ref="Y427:Y434" si="58">IFERROR(IF(X427="",0,CEILING((X427/$H427),1)*$H427),"")</f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0</v>
      </c>
      <c r="BN427" s="75">
        <f t="shared" ref="BN427:BN434" si="60">IFERROR(Y427*I427/H427,"0")</f>
        <v>0</v>
      </c>
      <c r="BO427" s="75">
        <f t="shared" ref="BO427:BO434" si="61">IFERROR(1/J427*(X427/H427),"0")</f>
        <v>0</v>
      </c>
      <c r="BP427" s="75">
        <f t="shared" ref="BP427:BP434" si="62">IFERROR(1/J427*(Y427/H427),"0")</f>
        <v>0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710">
        <v>4680115884847</v>
      </c>
      <c r="E428" s="710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9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2"/>
      <c r="R428" s="712"/>
      <c r="S428" s="712"/>
      <c r="T428" s="713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710">
        <v>4680115884854</v>
      </c>
      <c r="E429" s="710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9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2"/>
      <c r="R429" s="712"/>
      <c r="S429" s="712"/>
      <c r="T429" s="713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710">
        <v>4680115884830</v>
      </c>
      <c r="E430" s="710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2"/>
      <c r="R430" s="712"/>
      <c r="S430" s="712"/>
      <c r="T430" s="713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710">
        <v>4680115889231</v>
      </c>
      <c r="E431" s="710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2"/>
      <c r="R431" s="712"/>
      <c r="S431" s="712"/>
      <c r="T431" s="713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710">
        <v>4680115882638</v>
      </c>
      <c r="E432" s="710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9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2"/>
      <c r="R432" s="712"/>
      <c r="S432" s="712"/>
      <c r="T432" s="71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710">
        <v>4680115884922</v>
      </c>
      <c r="E433" s="710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2"/>
      <c r="R433" s="712"/>
      <c r="S433" s="712"/>
      <c r="T433" s="71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710">
        <v>4680115884861</v>
      </c>
      <c r="E434" s="710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2"/>
      <c r="R434" s="712"/>
      <c r="S434" s="712"/>
      <c r="T434" s="713"/>
      <c r="U434" s="37" t="s">
        <v>46</v>
      </c>
      <c r="V434" s="37" t="s">
        <v>46</v>
      </c>
      <c r="W434" s="38" t="s">
        <v>0</v>
      </c>
      <c r="X434" s="56">
        <v>120</v>
      </c>
      <c r="Y434" s="53">
        <f t="shared" si="58"/>
        <v>120</v>
      </c>
      <c r="Z434" s="39">
        <f>IFERROR(IF(Y434=0,"",ROUNDUP(Y434/H434,0)*0.00902),"")</f>
        <v>0.21648000000000001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124.56000000000002</v>
      </c>
      <c r="BN434" s="75">
        <f t="shared" si="60"/>
        <v>124.56000000000002</v>
      </c>
      <c r="BO434" s="75">
        <f t="shared" si="61"/>
        <v>0.18181818181818182</v>
      </c>
      <c r="BP434" s="75">
        <f t="shared" si="62"/>
        <v>0.18181818181818182</v>
      </c>
    </row>
    <row r="435" spans="1:68" x14ac:dyDescent="0.2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9"/>
      <c r="P435" s="715" t="s">
        <v>40</v>
      </c>
      <c r="Q435" s="716"/>
      <c r="R435" s="716"/>
      <c r="S435" s="716"/>
      <c r="T435" s="716"/>
      <c r="U435" s="716"/>
      <c r="V435" s="717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24</v>
      </c>
      <c r="Y435" s="41">
        <f>IFERROR(Y427/H427,"0")+IFERROR(Y428/H428,"0")+IFERROR(Y429/H429,"0")+IFERROR(Y430/H430,"0")+IFERROR(Y431/H431,"0")+IFERROR(Y432/H432,"0")+IFERROR(Y433/H433,"0")+IFERROR(Y434/H434,"0")</f>
        <v>24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0.21648000000000001</v>
      </c>
      <c r="AA435" s="64"/>
      <c r="AB435" s="64"/>
      <c r="AC435" s="64"/>
    </row>
    <row r="436" spans="1:68" x14ac:dyDescent="0.2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9"/>
      <c r="P436" s="715" t="s">
        <v>40</v>
      </c>
      <c r="Q436" s="716"/>
      <c r="R436" s="716"/>
      <c r="S436" s="716"/>
      <c r="T436" s="716"/>
      <c r="U436" s="716"/>
      <c r="V436" s="717"/>
      <c r="W436" s="40" t="s">
        <v>0</v>
      </c>
      <c r="X436" s="41">
        <f>IFERROR(SUM(X427:X434),"0")</f>
        <v>120</v>
      </c>
      <c r="Y436" s="41">
        <f>IFERROR(SUM(Y427:Y434),"0")</f>
        <v>120</v>
      </c>
      <c r="Z436" s="40"/>
      <c r="AA436" s="64"/>
      <c r="AB436" s="64"/>
      <c r="AC436" s="64"/>
    </row>
    <row r="437" spans="1:68" ht="14.25" hidden="1" customHeight="1" x14ac:dyDescent="0.25">
      <c r="A437" s="709" t="s">
        <v>158</v>
      </c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63"/>
      <c r="AB437" s="63"/>
      <c r="AC437" s="63"/>
    </row>
    <row r="438" spans="1:68" ht="27" hidden="1" customHeight="1" x14ac:dyDescent="0.25">
      <c r="A438" s="60" t="s">
        <v>728</v>
      </c>
      <c r="B438" s="60" t="s">
        <v>729</v>
      </c>
      <c r="C438" s="34">
        <v>4301020178</v>
      </c>
      <c r="D438" s="710">
        <v>4607091383980</v>
      </c>
      <c r="E438" s="710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2"/>
      <c r="R438" s="712"/>
      <c r="S438" s="712"/>
      <c r="T438" s="713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731</v>
      </c>
      <c r="B439" s="60" t="s">
        <v>732</v>
      </c>
      <c r="C439" s="34">
        <v>4301020355</v>
      </c>
      <c r="D439" s="710">
        <v>4680115888425</v>
      </c>
      <c r="E439" s="710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9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2"/>
      <c r="R439" s="712"/>
      <c r="S439" s="712"/>
      <c r="T439" s="713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734</v>
      </c>
      <c r="B440" s="60" t="s">
        <v>735</v>
      </c>
      <c r="C440" s="34">
        <v>4301020179</v>
      </c>
      <c r="D440" s="710">
        <v>4607091384178</v>
      </c>
      <c r="E440" s="710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2"/>
      <c r="R440" s="712"/>
      <c r="S440" s="712"/>
      <c r="T440" s="713"/>
      <c r="U440" s="37" t="s">
        <v>46</v>
      </c>
      <c r="V440" s="37" t="s">
        <v>46</v>
      </c>
      <c r="W440" s="38" t="s">
        <v>0</v>
      </c>
      <c r="X440" s="56">
        <v>24</v>
      </c>
      <c r="Y440" s="53">
        <f>IFERROR(IF(X440="",0,CEILING((X440/$H440),1)*$H440),"")</f>
        <v>24</v>
      </c>
      <c r="Z440" s="39">
        <f>IFERROR(IF(Y440=0,"",ROUNDUP(Y440/H440,0)*0.00902),"")</f>
        <v>5.4120000000000001E-2</v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25.14</v>
      </c>
      <c r="BN440" s="75">
        <f>IFERROR(Y440*I440/H440,"0")</f>
        <v>25.14</v>
      </c>
      <c r="BO440" s="75">
        <f>IFERROR(1/J440*(X440/H440),"0")</f>
        <v>4.5454545454545456E-2</v>
      </c>
      <c r="BP440" s="75">
        <f>IFERROR(1/J440*(Y440/H440),"0")</f>
        <v>4.5454545454545456E-2</v>
      </c>
    </row>
    <row r="441" spans="1:68" x14ac:dyDescent="0.2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9"/>
      <c r="P441" s="715" t="s">
        <v>40</v>
      </c>
      <c r="Q441" s="716"/>
      <c r="R441" s="716"/>
      <c r="S441" s="716"/>
      <c r="T441" s="716"/>
      <c r="U441" s="716"/>
      <c r="V441" s="717"/>
      <c r="W441" s="40" t="s">
        <v>39</v>
      </c>
      <c r="X441" s="41">
        <f>IFERROR(X438/H438,"0")+IFERROR(X439/H439,"0")+IFERROR(X440/H440,"0")</f>
        <v>6</v>
      </c>
      <c r="Y441" s="41">
        <f>IFERROR(Y438/H438,"0")+IFERROR(Y439/H439,"0")+IFERROR(Y440/H440,"0")</f>
        <v>6</v>
      </c>
      <c r="Z441" s="41">
        <f>IFERROR(IF(Z438="",0,Z438),"0")+IFERROR(IF(Z439="",0,Z439),"0")+IFERROR(IF(Z440="",0,Z440),"0")</f>
        <v>5.4120000000000001E-2</v>
      </c>
      <c r="AA441" s="64"/>
      <c r="AB441" s="64"/>
      <c r="AC441" s="64"/>
    </row>
    <row r="442" spans="1:68" x14ac:dyDescent="0.2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9"/>
      <c r="P442" s="715" t="s">
        <v>40</v>
      </c>
      <c r="Q442" s="716"/>
      <c r="R442" s="716"/>
      <c r="S442" s="716"/>
      <c r="T442" s="716"/>
      <c r="U442" s="716"/>
      <c r="V442" s="717"/>
      <c r="W442" s="40" t="s">
        <v>0</v>
      </c>
      <c r="X442" s="41">
        <f>IFERROR(SUM(X438:X440),"0")</f>
        <v>24</v>
      </c>
      <c r="Y442" s="41">
        <f>IFERROR(SUM(Y438:Y440),"0")</f>
        <v>24</v>
      </c>
      <c r="Z442" s="40"/>
      <c r="AA442" s="64"/>
      <c r="AB442" s="64"/>
      <c r="AC442" s="64"/>
    </row>
    <row r="443" spans="1:68" ht="14.25" hidden="1" customHeight="1" x14ac:dyDescent="0.25">
      <c r="A443" s="709" t="s">
        <v>86</v>
      </c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710">
        <v>4607091383928</v>
      </c>
      <c r="E444" s="710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4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2"/>
      <c r="R444" s="712"/>
      <c r="S444" s="712"/>
      <c r="T444" s="71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740</v>
      </c>
      <c r="B445" s="60" t="s">
        <v>741</v>
      </c>
      <c r="C445" s="34">
        <v>4301051897</v>
      </c>
      <c r="D445" s="710">
        <v>4607091384260</v>
      </c>
      <c r="E445" s="710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9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2"/>
      <c r="R445" s="712"/>
      <c r="S445" s="712"/>
      <c r="T445" s="71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IFERROR(IF(Y445=0,"",ROUNDUP(Y445/H445,0)*0.01898),"")</f>
        <v/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710">
        <v>4680115889538</v>
      </c>
      <c r="E446" s="710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95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2"/>
      <c r="R446" s="712"/>
      <c r="S446" s="712"/>
      <c r="T446" s="713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9"/>
      <c r="P447" s="715" t="s">
        <v>40</v>
      </c>
      <c r="Q447" s="716"/>
      <c r="R447" s="716"/>
      <c r="S447" s="716"/>
      <c r="T447" s="716"/>
      <c r="U447" s="716"/>
      <c r="V447" s="717"/>
      <c r="W447" s="40" t="s">
        <v>39</v>
      </c>
      <c r="X447" s="41">
        <f>IFERROR(X444/H444,"0")+IFERROR(X445/H445,"0")+IFERROR(X446/H446,"0")</f>
        <v>0</v>
      </c>
      <c r="Y447" s="41">
        <f>IFERROR(Y444/H444,"0")+IFERROR(Y445/H445,"0")+IFERROR(Y446/H446,"0")</f>
        <v>0</v>
      </c>
      <c r="Z447" s="41">
        <f>IFERROR(IF(Z444="",0,Z444),"0")+IFERROR(IF(Z445="",0,Z445),"0")+IFERROR(IF(Z446="",0,Z446),"0")</f>
        <v>0</v>
      </c>
      <c r="AA447" s="64"/>
      <c r="AB447" s="64"/>
      <c r="AC447" s="64"/>
    </row>
    <row r="448" spans="1:68" hidden="1" x14ac:dyDescent="0.2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9"/>
      <c r="P448" s="715" t="s">
        <v>40</v>
      </c>
      <c r="Q448" s="716"/>
      <c r="R448" s="716"/>
      <c r="S448" s="716"/>
      <c r="T448" s="716"/>
      <c r="U448" s="716"/>
      <c r="V448" s="717"/>
      <c r="W448" s="40" t="s">
        <v>0</v>
      </c>
      <c r="X448" s="41">
        <f>IFERROR(SUM(X444:X446),"0")</f>
        <v>0</v>
      </c>
      <c r="Y448" s="41">
        <f>IFERROR(SUM(Y444:Y446),"0")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709" t="s">
        <v>175</v>
      </c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710">
        <v>4680115889545</v>
      </c>
      <c r="E450" s="710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95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2"/>
      <c r="R450" s="712"/>
      <c r="S450" s="712"/>
      <c r="T450" s="71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749</v>
      </c>
      <c r="B451" s="60" t="s">
        <v>750</v>
      </c>
      <c r="C451" s="34">
        <v>4301060524</v>
      </c>
      <c r="D451" s="710">
        <v>4607091384673</v>
      </c>
      <c r="E451" s="710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9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2"/>
      <c r="R451" s="712"/>
      <c r="S451" s="712"/>
      <c r="T451" s="71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9"/>
      <c r="P452" s="715" t="s">
        <v>40</v>
      </c>
      <c r="Q452" s="716"/>
      <c r="R452" s="716"/>
      <c r="S452" s="716"/>
      <c r="T452" s="716"/>
      <c r="U452" s="716"/>
      <c r="V452" s="717"/>
      <c r="W452" s="40" t="s">
        <v>39</v>
      </c>
      <c r="X452" s="41">
        <f>IFERROR(X450/H450,"0")+IFERROR(X451/H451,"0")</f>
        <v>0</v>
      </c>
      <c r="Y452" s="41">
        <f>IFERROR(Y450/H450,"0")+IFERROR(Y451/H451,"0")</f>
        <v>0</v>
      </c>
      <c r="Z452" s="41">
        <f>IFERROR(IF(Z450="",0,Z450),"0")+IFERROR(IF(Z451="",0,Z451),"0")</f>
        <v>0</v>
      </c>
      <c r="AA452" s="64"/>
      <c r="AB452" s="64"/>
      <c r="AC452" s="64"/>
    </row>
    <row r="453" spans="1:68" hidden="1" x14ac:dyDescent="0.2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9"/>
      <c r="P453" s="715" t="s">
        <v>40</v>
      </c>
      <c r="Q453" s="716"/>
      <c r="R453" s="716"/>
      <c r="S453" s="716"/>
      <c r="T453" s="716"/>
      <c r="U453" s="716"/>
      <c r="V453" s="717"/>
      <c r="W453" s="40" t="s">
        <v>0</v>
      </c>
      <c r="X453" s="41">
        <f>IFERROR(SUM(X450:X451),"0")</f>
        <v>0</v>
      </c>
      <c r="Y453" s="41">
        <f>IFERROR(SUM(Y450:Y451),"0")</f>
        <v>0</v>
      </c>
      <c r="Z453" s="40"/>
      <c r="AA453" s="64"/>
      <c r="AB453" s="64"/>
      <c r="AC453" s="64"/>
    </row>
    <row r="454" spans="1:68" ht="16.5" hidden="1" customHeight="1" x14ac:dyDescent="0.25">
      <c r="A454" s="708" t="s">
        <v>752</v>
      </c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708"/>
      <c r="R454" s="708"/>
      <c r="S454" s="708"/>
      <c r="T454" s="708"/>
      <c r="U454" s="708"/>
      <c r="V454" s="708"/>
      <c r="W454" s="708"/>
      <c r="X454" s="708"/>
      <c r="Y454" s="708"/>
      <c r="Z454" s="708"/>
      <c r="AA454" s="62"/>
      <c r="AB454" s="62"/>
      <c r="AC454" s="62"/>
    </row>
    <row r="455" spans="1:68" ht="14.25" hidden="1" customHeight="1" x14ac:dyDescent="0.25">
      <c r="A455" s="709" t="s">
        <v>122</v>
      </c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63"/>
      <c r="AB455" s="63"/>
      <c r="AC455" s="63"/>
    </row>
    <row r="456" spans="1:68" ht="27" hidden="1" customHeight="1" x14ac:dyDescent="0.25">
      <c r="A456" s="60" t="s">
        <v>753</v>
      </c>
      <c r="B456" s="60" t="s">
        <v>754</v>
      </c>
      <c r="C456" s="34">
        <v>4301011875</v>
      </c>
      <c r="D456" s="710">
        <v>4680115884885</v>
      </c>
      <c r="E456" s="710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9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2"/>
      <c r="R456" s="712"/>
      <c r="S456" s="712"/>
      <c r="T456" s="71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710">
        <v>4680115884908</v>
      </c>
      <c r="E457" s="710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9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2"/>
      <c r="R457" s="712"/>
      <c r="S457" s="712"/>
      <c r="T457" s="713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9"/>
      <c r="P458" s="715" t="s">
        <v>40</v>
      </c>
      <c r="Q458" s="716"/>
      <c r="R458" s="716"/>
      <c r="S458" s="716"/>
      <c r="T458" s="716"/>
      <c r="U458" s="716"/>
      <c r="V458" s="717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9"/>
      <c r="P459" s="715" t="s">
        <v>40</v>
      </c>
      <c r="Q459" s="716"/>
      <c r="R459" s="716"/>
      <c r="S459" s="716"/>
      <c r="T459" s="716"/>
      <c r="U459" s="716"/>
      <c r="V459" s="717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9" t="s">
        <v>77</v>
      </c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710">
        <v>4607091384802</v>
      </c>
      <c r="E461" s="710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9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2"/>
      <c r="R461" s="712"/>
      <c r="S461" s="712"/>
      <c r="T461" s="71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9"/>
      <c r="P462" s="715" t="s">
        <v>40</v>
      </c>
      <c r="Q462" s="716"/>
      <c r="R462" s="716"/>
      <c r="S462" s="716"/>
      <c r="T462" s="716"/>
      <c r="U462" s="716"/>
      <c r="V462" s="717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9"/>
      <c r="P463" s="715" t="s">
        <v>40</v>
      </c>
      <c r="Q463" s="716"/>
      <c r="R463" s="716"/>
      <c r="S463" s="716"/>
      <c r="T463" s="716"/>
      <c r="U463" s="716"/>
      <c r="V463" s="717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09" t="s">
        <v>86</v>
      </c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63"/>
      <c r="AB464" s="63"/>
      <c r="AC464" s="63"/>
    </row>
    <row r="465" spans="1:68" ht="27" hidden="1" customHeight="1" x14ac:dyDescent="0.25">
      <c r="A465" s="60" t="s">
        <v>761</v>
      </c>
      <c r="B465" s="60" t="s">
        <v>762</v>
      </c>
      <c r="C465" s="34">
        <v>4301051899</v>
      </c>
      <c r="D465" s="710">
        <v>4607091384246</v>
      </c>
      <c r="E465" s="710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9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2"/>
      <c r="R465" s="712"/>
      <c r="S465" s="712"/>
      <c r="T465" s="713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710">
        <v>4607091384253</v>
      </c>
      <c r="E466" s="710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2"/>
      <c r="R466" s="712"/>
      <c r="S466" s="712"/>
      <c r="T466" s="71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710">
        <v>4607091384253</v>
      </c>
      <c r="E467" s="710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9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2"/>
      <c r="R467" s="712"/>
      <c r="S467" s="712"/>
      <c r="T467" s="713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9"/>
      <c r="P468" s="715" t="s">
        <v>40</v>
      </c>
      <c r="Q468" s="716"/>
      <c r="R468" s="716"/>
      <c r="S468" s="716"/>
      <c r="T468" s="716"/>
      <c r="U468" s="716"/>
      <c r="V468" s="717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9"/>
      <c r="P469" s="715" t="s">
        <v>40</v>
      </c>
      <c r="Q469" s="716"/>
      <c r="R469" s="716"/>
      <c r="S469" s="716"/>
      <c r="T469" s="716"/>
      <c r="U469" s="716"/>
      <c r="V469" s="717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27.75" hidden="1" customHeight="1" x14ac:dyDescent="0.2">
      <c r="A470" s="707" t="s">
        <v>768</v>
      </c>
      <c r="B470" s="707"/>
      <c r="C470" s="707"/>
      <c r="D470" s="707"/>
      <c r="E470" s="707"/>
      <c r="F470" s="707"/>
      <c r="G470" s="707"/>
      <c r="H470" s="707"/>
      <c r="I470" s="707"/>
      <c r="J470" s="707"/>
      <c r="K470" s="707"/>
      <c r="L470" s="707"/>
      <c r="M470" s="707"/>
      <c r="N470" s="707"/>
      <c r="O470" s="707"/>
      <c r="P470" s="707"/>
      <c r="Q470" s="707"/>
      <c r="R470" s="707"/>
      <c r="S470" s="707"/>
      <c r="T470" s="707"/>
      <c r="U470" s="707"/>
      <c r="V470" s="707"/>
      <c r="W470" s="707"/>
      <c r="X470" s="707"/>
      <c r="Y470" s="707"/>
      <c r="Z470" s="707"/>
      <c r="AA470" s="52"/>
      <c r="AB470" s="52"/>
      <c r="AC470" s="52"/>
    </row>
    <row r="471" spans="1:68" ht="16.5" hidden="1" customHeight="1" x14ac:dyDescent="0.25">
      <c r="A471" s="708" t="s">
        <v>769</v>
      </c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708"/>
      <c r="R471" s="708"/>
      <c r="S471" s="708"/>
      <c r="T471" s="708"/>
      <c r="U471" s="708"/>
      <c r="V471" s="708"/>
      <c r="W471" s="708"/>
      <c r="X471" s="708"/>
      <c r="Y471" s="708"/>
      <c r="Z471" s="708"/>
      <c r="AA471" s="62"/>
      <c r="AB471" s="62"/>
      <c r="AC471" s="62"/>
    </row>
    <row r="472" spans="1:68" ht="14.25" hidden="1" customHeight="1" x14ac:dyDescent="0.25">
      <c r="A472" s="709" t="s">
        <v>77</v>
      </c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710">
        <v>4680115886100</v>
      </c>
      <c r="E473" s="710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2"/>
      <c r="R473" s="712"/>
      <c r="S473" s="712"/>
      <c r="T473" s="713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710">
        <v>4680115886124</v>
      </c>
      <c r="E474" s="710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96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2"/>
      <c r="R474" s="712"/>
      <c r="S474" s="712"/>
      <c r="T474" s="71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710">
        <v>4607091384338</v>
      </c>
      <c r="E475" s="710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2"/>
      <c r="R475" s="712"/>
      <c r="S475" s="712"/>
      <c r="T475" s="71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710">
        <v>4680115883161</v>
      </c>
      <c r="E476" s="710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2"/>
      <c r="R476" s="712"/>
      <c r="S476" s="712"/>
      <c r="T476" s="71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710">
        <v>4607091389531</v>
      </c>
      <c r="E477" s="710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2"/>
      <c r="R477" s="712"/>
      <c r="S477" s="712"/>
      <c r="T477" s="71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customHeight="1" x14ac:dyDescent="0.25">
      <c r="A478" s="60" t="s">
        <v>784</v>
      </c>
      <c r="B478" s="60" t="s">
        <v>785</v>
      </c>
      <c r="C478" s="34">
        <v>4301031360</v>
      </c>
      <c r="D478" s="710">
        <v>4607091384345</v>
      </c>
      <c r="E478" s="710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2"/>
      <c r="R478" s="712"/>
      <c r="S478" s="712"/>
      <c r="T478" s="713"/>
      <c r="U478" s="37" t="s">
        <v>46</v>
      </c>
      <c r="V478" s="37" t="s">
        <v>46</v>
      </c>
      <c r="W478" s="38" t="s">
        <v>0</v>
      </c>
      <c r="X478" s="56">
        <v>31.5</v>
      </c>
      <c r="Y478" s="53">
        <f t="shared" si="63"/>
        <v>31.5</v>
      </c>
      <c r="Z478" s="39">
        <f>IFERROR(IF(Y478=0,"",ROUNDUP(Y478/H478,0)*0.00502),"")</f>
        <v>7.5300000000000006E-2</v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33.450000000000003</v>
      </c>
      <c r="BN478" s="75">
        <f t="shared" si="65"/>
        <v>33.450000000000003</v>
      </c>
      <c r="BO478" s="75">
        <f t="shared" si="66"/>
        <v>6.4102564102564111E-2</v>
      </c>
      <c r="BP478" s="75">
        <f t="shared" si="67"/>
        <v>6.4102564102564111E-2</v>
      </c>
    </row>
    <row r="479" spans="1:68" x14ac:dyDescent="0.2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9"/>
      <c r="P479" s="715" t="s">
        <v>40</v>
      </c>
      <c r="Q479" s="716"/>
      <c r="R479" s="716"/>
      <c r="S479" s="716"/>
      <c r="T479" s="716"/>
      <c r="U479" s="716"/>
      <c r="V479" s="717"/>
      <c r="W479" s="40" t="s">
        <v>39</v>
      </c>
      <c r="X479" s="41">
        <f>IFERROR(X473/H473,"0")+IFERROR(X474/H474,"0")+IFERROR(X475/H475,"0")+IFERROR(X476/H476,"0")+IFERROR(X477/H477,"0")+IFERROR(X478/H478,"0")</f>
        <v>15</v>
      </c>
      <c r="Y479" s="41">
        <f>IFERROR(Y473/H473,"0")+IFERROR(Y474/H474,"0")+IFERROR(Y475/H475,"0")+IFERROR(Y476/H476,"0")+IFERROR(Y477/H477,"0")+IFERROR(Y478/H478,"0")</f>
        <v>15</v>
      </c>
      <c r="Z479" s="41">
        <f>IFERROR(IF(Z473="",0,Z473),"0")+IFERROR(IF(Z474="",0,Z474),"0")+IFERROR(IF(Z475="",0,Z475),"0")+IFERROR(IF(Z476="",0,Z476),"0")+IFERROR(IF(Z477="",0,Z477),"0")+IFERROR(IF(Z478="",0,Z478),"0")</f>
        <v>7.5300000000000006E-2</v>
      </c>
      <c r="AA479" s="64"/>
      <c r="AB479" s="64"/>
      <c r="AC479" s="64"/>
    </row>
    <row r="480" spans="1:68" x14ac:dyDescent="0.2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9"/>
      <c r="P480" s="715" t="s">
        <v>40</v>
      </c>
      <c r="Q480" s="716"/>
      <c r="R480" s="716"/>
      <c r="S480" s="716"/>
      <c r="T480" s="716"/>
      <c r="U480" s="716"/>
      <c r="V480" s="717"/>
      <c r="W480" s="40" t="s">
        <v>0</v>
      </c>
      <c r="X480" s="41">
        <f>IFERROR(SUM(X473:X478),"0")</f>
        <v>31.5</v>
      </c>
      <c r="Y480" s="41">
        <f>IFERROR(SUM(Y473:Y478),"0")</f>
        <v>31.5</v>
      </c>
      <c r="Z480" s="40"/>
      <c r="AA480" s="64"/>
      <c r="AB480" s="64"/>
      <c r="AC480" s="64"/>
    </row>
    <row r="481" spans="1:68" ht="14.25" hidden="1" customHeight="1" x14ac:dyDescent="0.25">
      <c r="A481" s="709" t="s">
        <v>86</v>
      </c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63"/>
      <c r="AB481" s="63"/>
      <c r="AC481" s="63"/>
    </row>
    <row r="482" spans="1:68" ht="27" customHeight="1" x14ac:dyDescent="0.25">
      <c r="A482" s="60" t="s">
        <v>786</v>
      </c>
      <c r="B482" s="60" t="s">
        <v>787</v>
      </c>
      <c r="C482" s="34">
        <v>4301051284</v>
      </c>
      <c r="D482" s="710">
        <v>4607091384352</v>
      </c>
      <c r="E482" s="710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9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2"/>
      <c r="R482" s="712"/>
      <c r="S482" s="712"/>
      <c r="T482" s="713"/>
      <c r="U482" s="37" t="s">
        <v>46</v>
      </c>
      <c r="V482" s="37" t="s">
        <v>46</v>
      </c>
      <c r="W482" s="38" t="s">
        <v>0</v>
      </c>
      <c r="X482" s="56">
        <v>144</v>
      </c>
      <c r="Y482" s="53">
        <f>IFERROR(IF(X482="",0,CEILING((X482/$H482),1)*$H482),"")</f>
        <v>144</v>
      </c>
      <c r="Z482" s="39">
        <f>IFERROR(IF(Y482=0,"",ROUNDUP(Y482/H482,0)*0.00902),"")</f>
        <v>0.54120000000000001</v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157.56</v>
      </c>
      <c r="BN482" s="75">
        <f>IFERROR(Y482*I482/H482,"0")</f>
        <v>157.56</v>
      </c>
      <c r="BO482" s="75">
        <f>IFERROR(1/J482*(X482/H482),"0")</f>
        <v>0.45454545454545459</v>
      </c>
      <c r="BP482" s="75">
        <f>IFERROR(1/J482*(Y482/H482),"0")</f>
        <v>0.45454545454545459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710">
        <v>4607091389654</v>
      </c>
      <c r="E483" s="710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9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2"/>
      <c r="R483" s="712"/>
      <c r="S483" s="712"/>
      <c r="T483" s="71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9"/>
      <c r="P484" s="715" t="s">
        <v>40</v>
      </c>
      <c r="Q484" s="716"/>
      <c r="R484" s="716"/>
      <c r="S484" s="716"/>
      <c r="T484" s="716"/>
      <c r="U484" s="716"/>
      <c r="V484" s="717"/>
      <c r="W484" s="40" t="s">
        <v>39</v>
      </c>
      <c r="X484" s="41">
        <f>IFERROR(X482/H482,"0")+IFERROR(X483/H483,"0")</f>
        <v>60</v>
      </c>
      <c r="Y484" s="41">
        <f>IFERROR(Y482/H482,"0")+IFERROR(Y483/H483,"0")</f>
        <v>60</v>
      </c>
      <c r="Z484" s="41">
        <f>IFERROR(IF(Z482="",0,Z482),"0")+IFERROR(IF(Z483="",0,Z483),"0")</f>
        <v>0.54120000000000001</v>
      </c>
      <c r="AA484" s="64"/>
      <c r="AB484" s="64"/>
      <c r="AC484" s="64"/>
    </row>
    <row r="485" spans="1:68" x14ac:dyDescent="0.2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9"/>
      <c r="P485" s="715" t="s">
        <v>40</v>
      </c>
      <c r="Q485" s="716"/>
      <c r="R485" s="716"/>
      <c r="S485" s="716"/>
      <c r="T485" s="716"/>
      <c r="U485" s="716"/>
      <c r="V485" s="717"/>
      <c r="W485" s="40" t="s">
        <v>0</v>
      </c>
      <c r="X485" s="41">
        <f>IFERROR(SUM(X482:X483),"0")</f>
        <v>144</v>
      </c>
      <c r="Y485" s="41">
        <f>IFERROR(SUM(Y482:Y483),"0")</f>
        <v>144</v>
      </c>
      <c r="Z485" s="40"/>
      <c r="AA485" s="64"/>
      <c r="AB485" s="64"/>
      <c r="AC485" s="64"/>
    </row>
    <row r="486" spans="1:68" ht="16.5" hidden="1" customHeight="1" x14ac:dyDescent="0.25">
      <c r="A486" s="708" t="s">
        <v>792</v>
      </c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708"/>
      <c r="R486" s="708"/>
      <c r="S486" s="708"/>
      <c r="T486" s="708"/>
      <c r="U486" s="708"/>
      <c r="V486" s="708"/>
      <c r="W486" s="708"/>
      <c r="X486" s="708"/>
      <c r="Y486" s="708"/>
      <c r="Z486" s="708"/>
      <c r="AA486" s="62"/>
      <c r="AB486" s="62"/>
      <c r="AC486" s="62"/>
    </row>
    <row r="487" spans="1:68" ht="14.25" hidden="1" customHeight="1" x14ac:dyDescent="0.25">
      <c r="A487" s="709" t="s">
        <v>158</v>
      </c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710">
        <v>4680115885240</v>
      </c>
      <c r="E488" s="710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96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2"/>
      <c r="R488" s="712"/>
      <c r="S488" s="712"/>
      <c r="T488" s="71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9"/>
      <c r="P489" s="715" t="s">
        <v>40</v>
      </c>
      <c r="Q489" s="716"/>
      <c r="R489" s="716"/>
      <c r="S489" s="716"/>
      <c r="T489" s="716"/>
      <c r="U489" s="716"/>
      <c r="V489" s="717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9"/>
      <c r="P490" s="715" t="s">
        <v>40</v>
      </c>
      <c r="Q490" s="716"/>
      <c r="R490" s="716"/>
      <c r="S490" s="716"/>
      <c r="T490" s="716"/>
      <c r="U490" s="716"/>
      <c r="V490" s="717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709" t="s">
        <v>77</v>
      </c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710">
        <v>4680115886094</v>
      </c>
      <c r="E492" s="710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9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2"/>
      <c r="R492" s="712"/>
      <c r="S492" s="712"/>
      <c r="T492" s="71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710">
        <v>4680115880771</v>
      </c>
      <c r="E493" s="710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2"/>
      <c r="R493" s="712"/>
      <c r="S493" s="712"/>
      <c r="T493" s="71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710">
        <v>4607091389500</v>
      </c>
      <c r="E494" s="710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2"/>
      <c r="R494" s="712"/>
      <c r="S494" s="712"/>
      <c r="T494" s="713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9"/>
      <c r="P495" s="715" t="s">
        <v>40</v>
      </c>
      <c r="Q495" s="716"/>
      <c r="R495" s="716"/>
      <c r="S495" s="716"/>
      <c r="T495" s="716"/>
      <c r="U495" s="716"/>
      <c r="V495" s="717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9"/>
      <c r="P496" s="715" t="s">
        <v>40</v>
      </c>
      <c r="Q496" s="716"/>
      <c r="R496" s="716"/>
      <c r="S496" s="716"/>
      <c r="T496" s="716"/>
      <c r="U496" s="716"/>
      <c r="V496" s="717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707" t="s">
        <v>804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52"/>
      <c r="AB497" s="52"/>
      <c r="AC497" s="52"/>
    </row>
    <row r="498" spans="1:68" ht="16.5" hidden="1" customHeight="1" x14ac:dyDescent="0.25">
      <c r="A498" s="708" t="s">
        <v>804</v>
      </c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708"/>
      <c r="R498" s="708"/>
      <c r="S498" s="708"/>
      <c r="T498" s="708"/>
      <c r="U498" s="708"/>
      <c r="V498" s="708"/>
      <c r="W498" s="708"/>
      <c r="X498" s="708"/>
      <c r="Y498" s="708"/>
      <c r="Z498" s="708"/>
      <c r="AA498" s="62"/>
      <c r="AB498" s="62"/>
      <c r="AC498" s="62"/>
    </row>
    <row r="499" spans="1:68" ht="14.25" hidden="1" customHeight="1" x14ac:dyDescent="0.25">
      <c r="A499" s="709" t="s">
        <v>122</v>
      </c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63"/>
      <c r="AB499" s="63"/>
      <c r="AC499" s="63"/>
    </row>
    <row r="500" spans="1:68" ht="27" hidden="1" customHeight="1" x14ac:dyDescent="0.25">
      <c r="A500" s="60" t="s">
        <v>805</v>
      </c>
      <c r="B500" s="60" t="s">
        <v>806</v>
      </c>
      <c r="C500" s="34">
        <v>4301011769</v>
      </c>
      <c r="D500" s="710">
        <v>4607091389067</v>
      </c>
      <c r="E500" s="710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9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2"/>
      <c r="R500" s="712"/>
      <c r="S500" s="712"/>
      <c r="T500" s="713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ref="Y500:Y508" si="68">IFERROR(IF(X500="",0,CEILING((X500/$H500),1)*$H500),"")</f>
        <v>0</v>
      </c>
      <c r="Z500" s="39" t="str">
        <f t="shared" ref="Z500:Z505" si="69">IFERROR(IF(Y500=0,"",ROUNDUP(Y500/H500,0)*0.01196),"")</f>
        <v/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0</v>
      </c>
      <c r="BN500" s="75">
        <f t="shared" ref="BN500:BN508" si="71">IFERROR(Y500*I500/H500,"0")</f>
        <v>0</v>
      </c>
      <c r="BO500" s="75">
        <f t="shared" ref="BO500:BO508" si="72">IFERROR(1/J500*(X500/H500),"0")</f>
        <v>0</v>
      </c>
      <c r="BP500" s="75">
        <f t="shared" ref="BP500:BP508" si="73">IFERROR(1/J500*(Y500/H500),"0")</f>
        <v>0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710">
        <v>4680115889576</v>
      </c>
      <c r="E501" s="710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2"/>
      <c r="R501" s="712"/>
      <c r="S501" s="712"/>
      <c r="T501" s="713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710">
        <v>4680115885271</v>
      </c>
      <c r="E502" s="710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2"/>
      <c r="R502" s="712"/>
      <c r="S502" s="712"/>
      <c r="T502" s="713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710">
        <v>4680115885226</v>
      </c>
      <c r="E503" s="71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2"/>
      <c r="R503" s="712"/>
      <c r="S503" s="712"/>
      <c r="T503" s="713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710">
        <v>4680115884502</v>
      </c>
      <c r="E504" s="71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2"/>
      <c r="R504" s="712"/>
      <c r="S504" s="712"/>
      <c r="T504" s="713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hidden="1" customHeight="1" x14ac:dyDescent="0.25">
      <c r="A505" s="60" t="s">
        <v>819</v>
      </c>
      <c r="B505" s="60" t="s">
        <v>820</v>
      </c>
      <c r="C505" s="34">
        <v>4301011771</v>
      </c>
      <c r="D505" s="710">
        <v>4607091389104</v>
      </c>
      <c r="E505" s="71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2"/>
      <c r="R505" s="712"/>
      <c r="S505" s="712"/>
      <c r="T505" s="71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 t="shared" si="69"/>
        <v/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0</v>
      </c>
      <c r="BN505" s="75">
        <f t="shared" si="71"/>
        <v>0</v>
      </c>
      <c r="BO505" s="75">
        <f t="shared" si="72"/>
        <v>0</v>
      </c>
      <c r="BP505" s="75">
        <f t="shared" si="7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710">
        <v>4680115886391</v>
      </c>
      <c r="E506" s="710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9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2"/>
      <c r="R506" s="712"/>
      <c r="S506" s="712"/>
      <c r="T506" s="71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710">
        <v>4680115880603</v>
      </c>
      <c r="E507" s="710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9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2"/>
      <c r="R507" s="712"/>
      <c r="S507" s="712"/>
      <c r="T507" s="713"/>
      <c r="U507" s="37" t="s">
        <v>46</v>
      </c>
      <c r="V507" s="37" t="s">
        <v>46</v>
      </c>
      <c r="W507" s="38" t="s">
        <v>0</v>
      </c>
      <c r="X507" s="56">
        <v>90.6</v>
      </c>
      <c r="Y507" s="53">
        <f t="shared" si="68"/>
        <v>91.2</v>
      </c>
      <c r="Z507" s="39">
        <f>IFERROR(IF(Y507=0,"",ROUNDUP(Y507/H507,0)*0.00902),"")</f>
        <v>0.17138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130.42624999999998</v>
      </c>
      <c r="BN507" s="75">
        <f t="shared" si="71"/>
        <v>131.29000000000002</v>
      </c>
      <c r="BO507" s="75">
        <f t="shared" si="72"/>
        <v>0.14299242424242425</v>
      </c>
      <c r="BP507" s="75">
        <f t="shared" si="73"/>
        <v>0.14393939393939395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710">
        <v>4607091389982</v>
      </c>
      <c r="E508" s="710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9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2"/>
      <c r="R508" s="712"/>
      <c r="S508" s="712"/>
      <c r="T508" s="713"/>
      <c r="U508" s="37" t="s">
        <v>46</v>
      </c>
      <c r="V508" s="37" t="s">
        <v>46</v>
      </c>
      <c r="W508" s="38" t="s">
        <v>0</v>
      </c>
      <c r="X508" s="56">
        <v>270</v>
      </c>
      <c r="Y508" s="53">
        <f t="shared" si="68"/>
        <v>273.59999999999997</v>
      </c>
      <c r="Z508" s="39">
        <f>IFERROR(IF(Y508=0,"",ROUNDUP(Y508/H508,0)*0.00902),"")</f>
        <v>0.51414000000000004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388.6875</v>
      </c>
      <c r="BN508" s="75">
        <f t="shared" si="71"/>
        <v>393.86999999999995</v>
      </c>
      <c r="BO508" s="75">
        <f t="shared" si="72"/>
        <v>0.42613636363636365</v>
      </c>
      <c r="BP508" s="75">
        <f t="shared" si="73"/>
        <v>0.43181818181818177</v>
      </c>
    </row>
    <row r="509" spans="1:68" x14ac:dyDescent="0.2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9"/>
      <c r="P509" s="715" t="s">
        <v>40</v>
      </c>
      <c r="Q509" s="716"/>
      <c r="R509" s="716"/>
      <c r="S509" s="716"/>
      <c r="T509" s="716"/>
      <c r="U509" s="716"/>
      <c r="V509" s="717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75.125</v>
      </c>
      <c r="Y509" s="41">
        <f>IFERROR(Y500/H500,"0")+IFERROR(Y501/H501,"0")+IFERROR(Y502/H502,"0")+IFERROR(Y503/H503,"0")+IFERROR(Y504/H504,"0")+IFERROR(Y505/H505,"0")+IFERROR(Y506/H506,"0")+IFERROR(Y507/H507,"0")+IFERROR(Y508/H508,"0")</f>
        <v>76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0.68552000000000002</v>
      </c>
      <c r="AA509" s="64"/>
      <c r="AB509" s="64"/>
      <c r="AC509" s="64"/>
    </row>
    <row r="510" spans="1:68" x14ac:dyDescent="0.2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9"/>
      <c r="P510" s="715" t="s">
        <v>40</v>
      </c>
      <c r="Q510" s="716"/>
      <c r="R510" s="716"/>
      <c r="S510" s="716"/>
      <c r="T510" s="716"/>
      <c r="U510" s="716"/>
      <c r="V510" s="717"/>
      <c r="W510" s="40" t="s">
        <v>0</v>
      </c>
      <c r="X510" s="41">
        <f>IFERROR(SUM(X500:X508),"0")</f>
        <v>360.6</v>
      </c>
      <c r="Y510" s="41">
        <f>IFERROR(SUM(Y500:Y508),"0")</f>
        <v>364.79999999999995</v>
      </c>
      <c r="Z510" s="40"/>
      <c r="AA510" s="64"/>
      <c r="AB510" s="64"/>
      <c r="AC510" s="64"/>
    </row>
    <row r="511" spans="1:68" ht="14.25" hidden="1" customHeight="1" x14ac:dyDescent="0.25">
      <c r="A511" s="709" t="s">
        <v>158</v>
      </c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63"/>
      <c r="AB511" s="63"/>
      <c r="AC511" s="63"/>
    </row>
    <row r="512" spans="1:68" ht="16.5" hidden="1" customHeight="1" x14ac:dyDescent="0.25">
      <c r="A512" s="60" t="s">
        <v>828</v>
      </c>
      <c r="B512" s="60" t="s">
        <v>829</v>
      </c>
      <c r="C512" s="34">
        <v>4301020334</v>
      </c>
      <c r="D512" s="710">
        <v>4607091388930</v>
      </c>
      <c r="E512" s="710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9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2"/>
      <c r="R512" s="712"/>
      <c r="S512" s="712"/>
      <c r="T512" s="713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710">
        <v>4680115886407</v>
      </c>
      <c r="E513" s="710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9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2"/>
      <c r="R513" s="712"/>
      <c r="S513" s="712"/>
      <c r="T513" s="71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hidden="1" customHeight="1" x14ac:dyDescent="0.25">
      <c r="A514" s="60" t="s">
        <v>833</v>
      </c>
      <c r="B514" s="60" t="s">
        <v>834</v>
      </c>
      <c r="C514" s="34">
        <v>4301020385</v>
      </c>
      <c r="D514" s="710">
        <v>4680115880054</v>
      </c>
      <c r="E514" s="710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9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2"/>
      <c r="R514" s="712"/>
      <c r="S514" s="712"/>
      <c r="T514" s="713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9"/>
      <c r="P515" s="715" t="s">
        <v>40</v>
      </c>
      <c r="Q515" s="716"/>
      <c r="R515" s="716"/>
      <c r="S515" s="716"/>
      <c r="T515" s="716"/>
      <c r="U515" s="716"/>
      <c r="V515" s="717"/>
      <c r="W515" s="40" t="s">
        <v>39</v>
      </c>
      <c r="X515" s="41">
        <f>IFERROR(X512/H512,"0")+IFERROR(X513/H513,"0")+IFERROR(X514/H514,"0")</f>
        <v>0</v>
      </c>
      <c r="Y515" s="41">
        <f>IFERROR(Y512/H512,"0")+IFERROR(Y513/H513,"0")+IFERROR(Y514/H514,"0")</f>
        <v>0</v>
      </c>
      <c r="Z515" s="41">
        <f>IFERROR(IF(Z512="",0,Z512),"0")+IFERROR(IF(Z513="",0,Z513),"0")+IFERROR(IF(Z514="",0,Z514),"0")</f>
        <v>0</v>
      </c>
      <c r="AA515" s="64"/>
      <c r="AB515" s="64"/>
      <c r="AC515" s="64"/>
    </row>
    <row r="516" spans="1:68" hidden="1" x14ac:dyDescent="0.2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9"/>
      <c r="P516" s="715" t="s">
        <v>40</v>
      </c>
      <c r="Q516" s="716"/>
      <c r="R516" s="716"/>
      <c r="S516" s="716"/>
      <c r="T516" s="716"/>
      <c r="U516" s="716"/>
      <c r="V516" s="717"/>
      <c r="W516" s="40" t="s">
        <v>0</v>
      </c>
      <c r="X516" s="41">
        <f>IFERROR(SUM(X512:X514),"0")</f>
        <v>0</v>
      </c>
      <c r="Y516" s="41">
        <f>IFERROR(SUM(Y512:Y514),"0")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709" t="s">
        <v>77</v>
      </c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63"/>
      <c r="AB517" s="63"/>
      <c r="AC517" s="63"/>
    </row>
    <row r="518" spans="1:68" ht="27" hidden="1" customHeight="1" x14ac:dyDescent="0.25">
      <c r="A518" s="60" t="s">
        <v>835</v>
      </c>
      <c r="B518" s="60" t="s">
        <v>836</v>
      </c>
      <c r="C518" s="34">
        <v>4301031349</v>
      </c>
      <c r="D518" s="710">
        <v>4680115883116</v>
      </c>
      <c r="E518" s="710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9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2"/>
      <c r="R518" s="712"/>
      <c r="S518" s="712"/>
      <c r="T518" s="713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ref="Y518:Y524" si="74">IFERROR(IF(X518="",0,CEILING((X518/$H518),1)*$H518),"")</f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0</v>
      </c>
      <c r="BN518" s="75">
        <f t="shared" ref="BN518:BN524" si="76">IFERROR(Y518*I518/H518,"0")</f>
        <v>0</v>
      </c>
      <c r="BO518" s="75">
        <f t="shared" ref="BO518:BO524" si="77">IFERROR(1/J518*(X518/H518),"0")</f>
        <v>0</v>
      </c>
      <c r="BP518" s="75">
        <f t="shared" ref="BP518:BP524" si="78">IFERROR(1/J518*(Y518/H518),"0")</f>
        <v>0</v>
      </c>
    </row>
    <row r="519" spans="1:68" ht="27" hidden="1" customHeight="1" x14ac:dyDescent="0.25">
      <c r="A519" s="60" t="s">
        <v>838</v>
      </c>
      <c r="B519" s="60" t="s">
        <v>839</v>
      </c>
      <c r="C519" s="34">
        <v>4301031350</v>
      </c>
      <c r="D519" s="710">
        <v>4680115883093</v>
      </c>
      <c r="E519" s="710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2"/>
      <c r="R519" s="712"/>
      <c r="S519" s="712"/>
      <c r="T519" s="713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841</v>
      </c>
      <c r="B520" s="60" t="s">
        <v>842</v>
      </c>
      <c r="C520" s="34">
        <v>4301031353</v>
      </c>
      <c r="D520" s="710">
        <v>4680115883109</v>
      </c>
      <c r="E520" s="710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2"/>
      <c r="R520" s="712"/>
      <c r="S520" s="712"/>
      <c r="T520" s="713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4301031419</v>
      </c>
      <c r="D521" s="710">
        <v>4680115882072</v>
      </c>
      <c r="E521" s="710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9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2"/>
      <c r="R521" s="712"/>
      <c r="S521" s="712"/>
      <c r="T521" s="713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710">
        <v>4680115882102</v>
      </c>
      <c r="E522" s="710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2"/>
      <c r="R522" s="712"/>
      <c r="S522" s="712"/>
      <c r="T522" s="713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hidden="1" customHeight="1" x14ac:dyDescent="0.25">
      <c r="A523" s="60" t="s">
        <v>846</v>
      </c>
      <c r="B523" s="60" t="s">
        <v>848</v>
      </c>
      <c r="C523" s="34">
        <v>4301031418</v>
      </c>
      <c r="D523" s="710">
        <v>4680115882102</v>
      </c>
      <c r="E523" s="710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2"/>
      <c r="R523" s="712"/>
      <c r="S523" s="712"/>
      <c r="T523" s="71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0</v>
      </c>
      <c r="BN523" s="75">
        <f t="shared" si="76"/>
        <v>0</v>
      </c>
      <c r="BO523" s="75">
        <f t="shared" si="77"/>
        <v>0</v>
      </c>
      <c r="BP523" s="75">
        <f t="shared" si="78"/>
        <v>0</v>
      </c>
    </row>
    <row r="524" spans="1:68" ht="27" hidden="1" customHeight="1" x14ac:dyDescent="0.25">
      <c r="A524" s="60" t="s">
        <v>849</v>
      </c>
      <c r="B524" s="60" t="s">
        <v>850</v>
      </c>
      <c r="C524" s="34">
        <v>4301031417</v>
      </c>
      <c r="D524" s="710">
        <v>4680115882096</v>
      </c>
      <c r="E524" s="710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9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2"/>
      <c r="R524" s="712"/>
      <c r="S524" s="712"/>
      <c r="T524" s="71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0</v>
      </c>
      <c r="BN524" s="75">
        <f t="shared" si="76"/>
        <v>0</v>
      </c>
      <c r="BO524" s="75">
        <f t="shared" si="77"/>
        <v>0</v>
      </c>
      <c r="BP524" s="75">
        <f t="shared" si="78"/>
        <v>0</v>
      </c>
    </row>
    <row r="525" spans="1:68" hidden="1" x14ac:dyDescent="0.2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9"/>
      <c r="P525" s="715" t="s">
        <v>40</v>
      </c>
      <c r="Q525" s="716"/>
      <c r="R525" s="716"/>
      <c r="S525" s="716"/>
      <c r="T525" s="716"/>
      <c r="U525" s="716"/>
      <c r="V525" s="717"/>
      <c r="W525" s="40" t="s">
        <v>39</v>
      </c>
      <c r="X525" s="41">
        <f>IFERROR(X518/H518,"0")+IFERROR(X519/H519,"0")+IFERROR(X520/H520,"0")+IFERROR(X521/H521,"0")+IFERROR(X522/H522,"0")+IFERROR(X523/H523,"0")+IFERROR(X524/H524,"0")</f>
        <v>0</v>
      </c>
      <c r="Y525" s="41">
        <f>IFERROR(Y518/H518,"0")+IFERROR(Y519/H519,"0")+IFERROR(Y520/H520,"0")+IFERROR(Y521/H521,"0")+IFERROR(Y522/H522,"0")+IFERROR(Y523/H523,"0")+IFERROR(Y524/H524,"0")</f>
        <v>0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4"/>
      <c r="AB525" s="64"/>
      <c r="AC525" s="64"/>
    </row>
    <row r="526" spans="1:68" hidden="1" x14ac:dyDescent="0.2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9"/>
      <c r="P526" s="715" t="s">
        <v>40</v>
      </c>
      <c r="Q526" s="716"/>
      <c r="R526" s="716"/>
      <c r="S526" s="716"/>
      <c r="T526" s="716"/>
      <c r="U526" s="716"/>
      <c r="V526" s="717"/>
      <c r="W526" s="40" t="s">
        <v>0</v>
      </c>
      <c r="X526" s="41">
        <f>IFERROR(SUM(X518:X524),"0")</f>
        <v>0</v>
      </c>
      <c r="Y526" s="41">
        <f>IFERROR(SUM(Y518:Y524),"0")</f>
        <v>0</v>
      </c>
      <c r="Z526" s="40"/>
      <c r="AA526" s="64"/>
      <c r="AB526" s="64"/>
      <c r="AC526" s="64"/>
    </row>
    <row r="527" spans="1:68" ht="27.75" hidden="1" customHeight="1" x14ac:dyDescent="0.2">
      <c r="A527" s="707" t="s">
        <v>851</v>
      </c>
      <c r="B527" s="707"/>
      <c r="C527" s="707"/>
      <c r="D527" s="707"/>
      <c r="E527" s="707"/>
      <c r="F527" s="707"/>
      <c r="G527" s="707"/>
      <c r="H527" s="707"/>
      <c r="I527" s="707"/>
      <c r="J527" s="707"/>
      <c r="K527" s="707"/>
      <c r="L527" s="707"/>
      <c r="M527" s="707"/>
      <c r="N527" s="707"/>
      <c r="O527" s="707"/>
      <c r="P527" s="707"/>
      <c r="Q527" s="707"/>
      <c r="R527" s="707"/>
      <c r="S527" s="707"/>
      <c r="T527" s="707"/>
      <c r="U527" s="707"/>
      <c r="V527" s="707"/>
      <c r="W527" s="707"/>
      <c r="X527" s="707"/>
      <c r="Y527" s="707"/>
      <c r="Z527" s="707"/>
      <c r="AA527" s="52"/>
      <c r="AB527" s="52"/>
      <c r="AC527" s="52"/>
    </row>
    <row r="528" spans="1:68" ht="16.5" hidden="1" customHeight="1" x14ac:dyDescent="0.25">
      <c r="A528" s="708" t="s">
        <v>851</v>
      </c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708"/>
      <c r="R528" s="708"/>
      <c r="S528" s="708"/>
      <c r="T528" s="708"/>
      <c r="U528" s="708"/>
      <c r="V528" s="708"/>
      <c r="W528" s="708"/>
      <c r="X528" s="708"/>
      <c r="Y528" s="708"/>
      <c r="Z528" s="708"/>
      <c r="AA528" s="62"/>
      <c r="AB528" s="62"/>
      <c r="AC528" s="62"/>
    </row>
    <row r="529" spans="1:68" ht="14.25" hidden="1" customHeight="1" x14ac:dyDescent="0.25">
      <c r="A529" s="709" t="s">
        <v>122</v>
      </c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63"/>
      <c r="AB529" s="63"/>
      <c r="AC529" s="63"/>
    </row>
    <row r="530" spans="1:68" ht="27" hidden="1" customHeight="1" x14ac:dyDescent="0.25">
      <c r="A530" s="60" t="s">
        <v>852</v>
      </c>
      <c r="B530" s="60" t="s">
        <v>853</v>
      </c>
      <c r="C530" s="34">
        <v>4301011584</v>
      </c>
      <c r="D530" s="710">
        <v>4640242180564</v>
      </c>
      <c r="E530" s="710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9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2"/>
      <c r="R530" s="712"/>
      <c r="S530" s="712"/>
      <c r="T530" s="713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9"/>
      <c r="P531" s="715" t="s">
        <v>40</v>
      </c>
      <c r="Q531" s="716"/>
      <c r="R531" s="716"/>
      <c r="S531" s="716"/>
      <c r="T531" s="716"/>
      <c r="U531" s="716"/>
      <c r="V531" s="717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9"/>
      <c r="P532" s="715" t="s">
        <v>40</v>
      </c>
      <c r="Q532" s="716"/>
      <c r="R532" s="716"/>
      <c r="S532" s="716"/>
      <c r="T532" s="716"/>
      <c r="U532" s="716"/>
      <c r="V532" s="717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9" t="s">
        <v>158</v>
      </c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710">
        <v>4640242180519</v>
      </c>
      <c r="E534" s="710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9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2"/>
      <c r="R534" s="712"/>
      <c r="S534" s="712"/>
      <c r="T534" s="713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9"/>
      <c r="P535" s="715" t="s">
        <v>40</v>
      </c>
      <c r="Q535" s="716"/>
      <c r="R535" s="716"/>
      <c r="S535" s="716"/>
      <c r="T535" s="716"/>
      <c r="U535" s="716"/>
      <c r="V535" s="717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9"/>
      <c r="P536" s="715" t="s">
        <v>40</v>
      </c>
      <c r="Q536" s="716"/>
      <c r="R536" s="716"/>
      <c r="S536" s="716"/>
      <c r="T536" s="716"/>
      <c r="U536" s="716"/>
      <c r="V536" s="717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9" t="s">
        <v>77</v>
      </c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710">
        <v>4640242180595</v>
      </c>
      <c r="E538" s="710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99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2"/>
      <c r="R538" s="712"/>
      <c r="S538" s="712"/>
      <c r="T538" s="713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9"/>
      <c r="P539" s="715" t="s">
        <v>40</v>
      </c>
      <c r="Q539" s="716"/>
      <c r="R539" s="716"/>
      <c r="S539" s="716"/>
      <c r="T539" s="716"/>
      <c r="U539" s="716"/>
      <c r="V539" s="717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9"/>
      <c r="P540" s="715" t="s">
        <v>40</v>
      </c>
      <c r="Q540" s="716"/>
      <c r="R540" s="716"/>
      <c r="S540" s="716"/>
      <c r="T540" s="716"/>
      <c r="U540" s="716"/>
      <c r="V540" s="717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9" t="s">
        <v>86</v>
      </c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63"/>
      <c r="AB541" s="63"/>
      <c r="AC541" s="63"/>
    </row>
    <row r="542" spans="1:68" ht="27" hidden="1" customHeight="1" x14ac:dyDescent="0.25">
      <c r="A542" s="60" t="s">
        <v>861</v>
      </c>
      <c r="B542" s="60" t="s">
        <v>862</v>
      </c>
      <c r="C542" s="34">
        <v>4301052043</v>
      </c>
      <c r="D542" s="710">
        <v>4640242180533</v>
      </c>
      <c r="E542" s="710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9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2"/>
      <c r="R542" s="712"/>
      <c r="S542" s="712"/>
      <c r="T542" s="713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9"/>
      <c r="P543" s="715" t="s">
        <v>40</v>
      </c>
      <c r="Q543" s="716"/>
      <c r="R543" s="716"/>
      <c r="S543" s="716"/>
      <c r="T543" s="716"/>
      <c r="U543" s="716"/>
      <c r="V543" s="717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9"/>
      <c r="P544" s="715" t="s">
        <v>40</v>
      </c>
      <c r="Q544" s="716"/>
      <c r="R544" s="716"/>
      <c r="S544" s="716"/>
      <c r="T544" s="716"/>
      <c r="U544" s="716"/>
      <c r="V544" s="717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09" t="s">
        <v>175</v>
      </c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710">
        <v>4640242180120</v>
      </c>
      <c r="E546" s="710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99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2"/>
      <c r="R546" s="712"/>
      <c r="S546" s="712"/>
      <c r="T546" s="713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710">
        <v>4640242180137</v>
      </c>
      <c r="E547" s="71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9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2"/>
      <c r="R547" s="712"/>
      <c r="S547" s="712"/>
      <c r="T547" s="71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9"/>
      <c r="P548" s="715" t="s">
        <v>40</v>
      </c>
      <c r="Q548" s="716"/>
      <c r="R548" s="716"/>
      <c r="S548" s="716"/>
      <c r="T548" s="716"/>
      <c r="U548" s="716"/>
      <c r="V548" s="717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9"/>
      <c r="P549" s="715" t="s">
        <v>40</v>
      </c>
      <c r="Q549" s="716"/>
      <c r="R549" s="716"/>
      <c r="S549" s="716"/>
      <c r="T549" s="716"/>
      <c r="U549" s="716"/>
      <c r="V549" s="717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708" t="s">
        <v>870</v>
      </c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708"/>
      <c r="R550" s="708"/>
      <c r="S550" s="708"/>
      <c r="T550" s="708"/>
      <c r="U550" s="708"/>
      <c r="V550" s="708"/>
      <c r="W550" s="708"/>
      <c r="X550" s="708"/>
      <c r="Y550" s="708"/>
      <c r="Z550" s="708"/>
      <c r="AA550" s="62"/>
      <c r="AB550" s="62"/>
      <c r="AC550" s="62"/>
    </row>
    <row r="551" spans="1:68" ht="14.25" hidden="1" customHeight="1" x14ac:dyDescent="0.25">
      <c r="A551" s="709" t="s">
        <v>158</v>
      </c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710">
        <v>4640242180090</v>
      </c>
      <c r="E552" s="710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99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2"/>
      <c r="R552" s="712"/>
      <c r="S552" s="712"/>
      <c r="T552" s="71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9"/>
      <c r="P553" s="715" t="s">
        <v>40</v>
      </c>
      <c r="Q553" s="716"/>
      <c r="R553" s="716"/>
      <c r="S553" s="716"/>
      <c r="T553" s="716"/>
      <c r="U553" s="716"/>
      <c r="V553" s="717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9"/>
      <c r="P554" s="715" t="s">
        <v>40</v>
      </c>
      <c r="Q554" s="716"/>
      <c r="R554" s="716"/>
      <c r="S554" s="716"/>
      <c r="T554" s="716"/>
      <c r="U554" s="716"/>
      <c r="V554" s="717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1000"/>
      <c r="P555" s="997" t="s">
        <v>33</v>
      </c>
      <c r="Q555" s="998"/>
      <c r="R555" s="998"/>
      <c r="S555" s="998"/>
      <c r="T555" s="998"/>
      <c r="U555" s="998"/>
      <c r="V555" s="999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1667.42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1678.8</v>
      </c>
      <c r="Z555" s="40"/>
      <c r="AA555" s="64"/>
      <c r="AB555" s="64"/>
      <c r="AC555" s="64"/>
    </row>
    <row r="556" spans="1:68" x14ac:dyDescent="0.2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1000"/>
      <c r="P556" s="997" t="s">
        <v>34</v>
      </c>
      <c r="Q556" s="998"/>
      <c r="R556" s="998"/>
      <c r="S556" s="998"/>
      <c r="T556" s="998"/>
      <c r="U556" s="998"/>
      <c r="V556" s="999"/>
      <c r="W556" s="40" t="s">
        <v>0</v>
      </c>
      <c r="X556" s="41">
        <f>IFERROR(SUM(BM22:BM552),"0")</f>
        <v>1941.8777976190474</v>
      </c>
      <c r="Y556" s="41">
        <f>IFERROR(SUM(BN22:BN552),"0")</f>
        <v>1955.6899999999998</v>
      </c>
      <c r="Z556" s="40"/>
      <c r="AA556" s="64"/>
      <c r="AB556" s="64"/>
      <c r="AC556" s="64"/>
    </row>
    <row r="557" spans="1:68" x14ac:dyDescent="0.2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1000"/>
      <c r="P557" s="997" t="s">
        <v>35</v>
      </c>
      <c r="Q557" s="998"/>
      <c r="R557" s="998"/>
      <c r="S557" s="998"/>
      <c r="T557" s="998"/>
      <c r="U557" s="998"/>
      <c r="V557" s="999"/>
      <c r="W557" s="40" t="s">
        <v>20</v>
      </c>
      <c r="X557" s="42">
        <f>ROUNDUP(SUM(BO22:BO552),0)</f>
        <v>4</v>
      </c>
      <c r="Y557" s="42">
        <f>ROUNDUP(SUM(BP22:BP552),0)</f>
        <v>4</v>
      </c>
      <c r="Z557" s="40"/>
      <c r="AA557" s="64"/>
      <c r="AB557" s="64"/>
      <c r="AC557" s="64"/>
    </row>
    <row r="558" spans="1:68" x14ac:dyDescent="0.2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1000"/>
      <c r="P558" s="997" t="s">
        <v>36</v>
      </c>
      <c r="Q558" s="998"/>
      <c r="R558" s="998"/>
      <c r="S558" s="998"/>
      <c r="T558" s="998"/>
      <c r="U558" s="998"/>
      <c r="V558" s="999"/>
      <c r="W558" s="40" t="s">
        <v>0</v>
      </c>
      <c r="X558" s="41">
        <f>GrossWeightTotal+PalletQtyTotal*25</f>
        <v>2041.8777976190474</v>
      </c>
      <c r="Y558" s="41">
        <f>GrossWeightTotalR+PalletQtyTotalR*25</f>
        <v>2055.6899999999996</v>
      </c>
      <c r="Z558" s="40"/>
      <c r="AA558" s="64"/>
      <c r="AB558" s="64"/>
      <c r="AC558" s="64"/>
    </row>
    <row r="559" spans="1:68" x14ac:dyDescent="0.2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1000"/>
      <c r="P559" s="997" t="s">
        <v>37</v>
      </c>
      <c r="Q559" s="998"/>
      <c r="R559" s="998"/>
      <c r="S559" s="998"/>
      <c r="T559" s="998"/>
      <c r="U559" s="998"/>
      <c r="V559" s="999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611.10119047619048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615</v>
      </c>
      <c r="Z559" s="40"/>
      <c r="AA559" s="64"/>
      <c r="AB559" s="64"/>
      <c r="AC559" s="64"/>
    </row>
    <row r="560" spans="1:68" ht="14.25" hidden="1" x14ac:dyDescent="0.2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1000"/>
      <c r="P560" s="997" t="s">
        <v>38</v>
      </c>
      <c r="Q560" s="998"/>
      <c r="R560" s="998"/>
      <c r="S560" s="998"/>
      <c r="T560" s="998"/>
      <c r="U560" s="998"/>
      <c r="V560" s="999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4.4054000000000002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1001" t="s">
        <v>120</v>
      </c>
      <c r="E562" s="1001" t="s">
        <v>120</v>
      </c>
      <c r="F562" s="1001" t="s">
        <v>120</v>
      </c>
      <c r="G562" s="1001" t="s">
        <v>120</v>
      </c>
      <c r="H562" s="1001" t="s">
        <v>120</v>
      </c>
      <c r="I562" s="1001" t="s">
        <v>120</v>
      </c>
      <c r="J562" s="1001" t="s">
        <v>120</v>
      </c>
      <c r="K562" s="1001" t="s">
        <v>353</v>
      </c>
      <c r="L562" s="1001" t="s">
        <v>353</v>
      </c>
      <c r="M562" s="1001" t="s">
        <v>353</v>
      </c>
      <c r="N562" s="1002"/>
      <c r="O562" s="1001" t="s">
        <v>353</v>
      </c>
      <c r="P562" s="1001" t="s">
        <v>353</v>
      </c>
      <c r="Q562" s="1001" t="s">
        <v>353</v>
      </c>
      <c r="R562" s="1001" t="s">
        <v>353</v>
      </c>
      <c r="S562" s="1001" t="s">
        <v>353</v>
      </c>
      <c r="T562" s="1001" t="s">
        <v>353</v>
      </c>
      <c r="U562" s="1001" t="s">
        <v>353</v>
      </c>
      <c r="V562" s="1001" t="s">
        <v>353</v>
      </c>
      <c r="W562" s="1001" t="s">
        <v>702</v>
      </c>
      <c r="X562" s="1001" t="s">
        <v>702</v>
      </c>
      <c r="Y562" s="1001" t="s">
        <v>768</v>
      </c>
      <c r="Z562" s="1001" t="s">
        <v>768</v>
      </c>
      <c r="AA562" s="80" t="s">
        <v>804</v>
      </c>
      <c r="AB562" s="1001" t="s">
        <v>851</v>
      </c>
      <c r="AC562" s="1001" t="s">
        <v>851</v>
      </c>
      <c r="AF562" s="1"/>
    </row>
    <row r="563" spans="1:32" ht="14.25" customHeight="1" thickTop="1" x14ac:dyDescent="0.2">
      <c r="A563" s="1003" t="s">
        <v>10</v>
      </c>
      <c r="B563" s="1001" t="s">
        <v>76</v>
      </c>
      <c r="C563" s="1001" t="s">
        <v>104</v>
      </c>
      <c r="D563" s="1001" t="s">
        <v>121</v>
      </c>
      <c r="E563" s="1001" t="s">
        <v>137</v>
      </c>
      <c r="F563" s="1001" t="s">
        <v>182</v>
      </c>
      <c r="G563" s="1001" t="s">
        <v>203</v>
      </c>
      <c r="H563" s="1001" t="s">
        <v>243</v>
      </c>
      <c r="I563" s="1001" t="s">
        <v>267</v>
      </c>
      <c r="J563" s="1001" t="s">
        <v>120</v>
      </c>
      <c r="K563" s="1001" t="s">
        <v>354</v>
      </c>
      <c r="L563" s="1001" t="s">
        <v>375</v>
      </c>
      <c r="M563" s="1001" t="s">
        <v>442</v>
      </c>
      <c r="N563" s="1"/>
      <c r="O563" s="1001" t="s">
        <v>510</v>
      </c>
      <c r="P563" s="1001" t="s">
        <v>543</v>
      </c>
      <c r="Q563" s="1001" t="s">
        <v>559</v>
      </c>
      <c r="R563" s="1001" t="s">
        <v>568</v>
      </c>
      <c r="S563" s="1001" t="s">
        <v>589</v>
      </c>
      <c r="T563" s="1001" t="s">
        <v>598</v>
      </c>
      <c r="U563" s="1001" t="s">
        <v>682</v>
      </c>
      <c r="V563" s="1001" t="s">
        <v>692</v>
      </c>
      <c r="W563" s="1001" t="s">
        <v>703</v>
      </c>
      <c r="X563" s="1001" t="s">
        <v>752</v>
      </c>
      <c r="Y563" s="1001" t="s">
        <v>769</v>
      </c>
      <c r="Z563" s="1001" t="s">
        <v>792</v>
      </c>
      <c r="AA563" s="1001" t="s">
        <v>804</v>
      </c>
      <c r="AB563" s="1001" t="s">
        <v>851</v>
      </c>
      <c r="AC563" s="1001" t="s">
        <v>870</v>
      </c>
      <c r="AF563" s="1"/>
    </row>
    <row r="564" spans="1:32" ht="13.5" thickBot="1" x14ac:dyDescent="0.25">
      <c r="A564" s="1004"/>
      <c r="B564" s="1001"/>
      <c r="C564" s="1001"/>
      <c r="D564" s="1001"/>
      <c r="E564" s="1001"/>
      <c r="F564" s="1001"/>
      <c r="G564" s="1001"/>
      <c r="H564" s="1001"/>
      <c r="I564" s="1001"/>
      <c r="J564" s="1001"/>
      <c r="K564" s="1001"/>
      <c r="L564" s="1001"/>
      <c r="M564" s="1001"/>
      <c r="N564" s="1"/>
      <c r="O564" s="1001"/>
      <c r="P564" s="1001"/>
      <c r="Q564" s="1001"/>
      <c r="R564" s="1001"/>
      <c r="S564" s="1001"/>
      <c r="T564" s="1001"/>
      <c r="U564" s="1001"/>
      <c r="V564" s="1001"/>
      <c r="W564" s="1001"/>
      <c r="X564" s="1001"/>
      <c r="Y564" s="1001"/>
      <c r="Z564" s="1001"/>
      <c r="AA564" s="1001"/>
      <c r="AB564" s="1001"/>
      <c r="AC564" s="1001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0</v>
      </c>
      <c r="D565" s="50">
        <f>IFERROR(Y47*1,"0")+IFERROR(Y48*1,"0")+IFERROR(Y49*1,"0")+IFERROR(Y50*1,"0")</f>
        <v>88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</v>
      </c>
      <c r="F565" s="50">
        <f>IFERROR(Y84*1,"0")+IFERROR(Y85*1,"0")+IFERROR(Y86*1,"0")+IFERROR(Y87*1,"0")+IFERROR(Y91*1,"0")+IFERROR(Y92*1,"0")+IFERROR(Y93*1,"0")+IFERROR(Y94*1,"0")</f>
        <v>202.5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71.400000000000006</v>
      </c>
      <c r="H565" s="50">
        <f>IFERROR(Y129*1,"0")+IFERROR(Y130*1,"0")+IFERROR(Y131*1,"0")+IFERROR(Y135*1,"0")+IFERROR(Y136*1,"0")+IFERROR(Y137*1,"0")+IFERROR(Y138*1,"0")+IFERROR(Y142*1,"0")+IFERROR(Y143*1,"0")+IFERROR(Y144*1,"0")</f>
        <v>0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0">
        <f>IFERROR(Y206*1,"0")+IFERROR(Y207*1,"0")+IFERROR(Y208*1,"0")+IFERROR(Y209*1,"0")+IFERROR(Y210*1,"0")+IFERROR(Y211*1,"0")+IFERROR(Y212*1,"0")</f>
        <v>0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18.400000000000002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223.5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76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0</v>
      </c>
      <c r="R565" s="50">
        <f>IFERROR(Y340*1,"0")+IFERROR(Y341*1,"0")+IFERROR(Y342*1,"0")+IFERROR(Y343*1,"0")+IFERROR(Y344*1,"0")+IFERROR(Y348*1,"0")+IFERROR(Y349*1,"0")</f>
        <v>50.4</v>
      </c>
      <c r="S565" s="50">
        <f>IFERROR(Y354*1,"0")+IFERROR(Y355*1,"0")+IFERROR(Y356*1,"0")</f>
        <v>0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190.8</v>
      </c>
      <c r="U565" s="50">
        <f>IFERROR(Y413*1,"0")+IFERROR(Y414*1,"0")</f>
        <v>0</v>
      </c>
      <c r="V565" s="50">
        <f>IFERROR(Y419*1,"0")+IFERROR(Y420*1,"0")+IFERROR(Y421*1,"0")</f>
        <v>10.5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144</v>
      </c>
      <c r="X565" s="50">
        <f>IFERROR(Y456*1,"0")+IFERROR(Y457*1,"0")+IFERROR(Y461*1,"0")+IFERROR(Y465*1,"0")+IFERROR(Y466*1,"0")+IFERROR(Y467*1,"0")</f>
        <v>0</v>
      </c>
      <c r="Y565" s="50">
        <f>IFERROR(Y473*1,"0")+IFERROR(Y474*1,"0")+IFERROR(Y475*1,"0")+IFERROR(Y476*1,"0")+IFERROR(Y477*1,"0")+IFERROR(Y478*1,"0")+IFERROR(Y482*1,"0")+IFERROR(Y483*1,"0")</f>
        <v>175.5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364.79999999999995</v>
      </c>
      <c r="AB565" s="50">
        <f>IFERROR(Y530*1,"0")+IFERROR(Y534*1,"0")+IFERROR(Y538*1,"0")+IFERROR(Y542*1,"0")+IFERROR(Y546*1,"0")+IFERROR(Y547*1,"0")</f>
        <v>0</v>
      </c>
      <c r="AC565" s="50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67,42"/>
        <filter val="1 941,88"/>
        <filter val="10,50"/>
        <filter val="108,00"/>
        <filter val="11,12"/>
        <filter val="12,10"/>
        <filter val="120,00"/>
        <filter val="13,33"/>
        <filter val="139,50"/>
        <filter val="14,14"/>
        <filter val="144,00"/>
        <filter val="15,00"/>
        <filter val="15,30"/>
        <filter val="18,00"/>
        <filter val="18,32"/>
        <filter val="18,60"/>
        <filter val="192,00"/>
        <filter val="2 041,88"/>
        <filter val="202,50"/>
        <filter val="21,90"/>
        <filter val="22,90"/>
        <filter val="24,00"/>
        <filter val="27,00"/>
        <filter val="270,00"/>
        <filter val="29,70"/>
        <filter val="30,00"/>
        <filter val="31,50"/>
        <filter val="35,00"/>
        <filter val="36,00"/>
        <filter val="360,60"/>
        <filter val="4"/>
        <filter val="4,00"/>
        <filter val="4,40"/>
        <filter val="48,00"/>
        <filter val="5,00"/>
        <filter val="50,40"/>
        <filter val="54,00"/>
        <filter val="6,00"/>
        <filter val="60,00"/>
        <filter val="611,10"/>
        <filter val="63,00"/>
        <filter val="7,20"/>
        <filter val="72,00"/>
        <filter val="74,40"/>
        <filter val="75,00"/>
        <filter val="75,13"/>
        <filter val="80,00"/>
        <filter val="87,60"/>
        <filter val="90,6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10" spans="2:8" x14ac:dyDescent="0.2">
      <c r="B10" s="51" t="s">
        <v>886</v>
      </c>
      <c r="C10" s="51" t="s">
        <v>878</v>
      </c>
      <c r="D10" s="51" t="s">
        <v>46</v>
      </c>
      <c r="E10" s="51" t="s">
        <v>46</v>
      </c>
    </row>
    <row r="12" spans="2:8" x14ac:dyDescent="0.2">
      <c r="B12" s="51" t="s">
        <v>887</v>
      </c>
      <c r="C12" s="51" t="s">
        <v>881</v>
      </c>
      <c r="D12" s="51" t="s">
        <v>46</v>
      </c>
      <c r="E12" s="51" t="s">
        <v>46</v>
      </c>
    </row>
    <row r="14" spans="2:8" x14ac:dyDescent="0.2">
      <c r="B14" s="51" t="s">
        <v>888</v>
      </c>
      <c r="C14" s="51" t="s">
        <v>884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899</v>
      </c>
      <c r="C26" s="51" t="s">
        <v>46</v>
      </c>
      <c r="D26" s="51" t="s">
        <v>46</v>
      </c>
      <c r="E26" s="51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