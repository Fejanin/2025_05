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B74EFC-9BDB-4432-BA9A-F4E4207AA48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Z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P355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Z206" i="2"/>
  <c r="Y206" i="2"/>
  <c r="BN206" i="2" s="1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I564" i="2" s="1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Z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N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P31" i="2" l="1"/>
  <c r="BN38" i="2"/>
  <c r="BN50" i="2"/>
  <c r="BP84" i="2"/>
  <c r="BN85" i="2"/>
  <c r="BP94" i="2"/>
  <c r="BN109" i="2"/>
  <c r="BN151" i="2"/>
  <c r="BP166" i="2"/>
  <c r="BN380" i="2"/>
  <c r="BN445" i="2"/>
  <c r="BN521" i="2"/>
  <c r="BN533" i="2"/>
  <c r="Y25" i="2"/>
  <c r="BN27" i="2"/>
  <c r="Z31" i="2"/>
  <c r="BN57" i="2"/>
  <c r="Z67" i="2"/>
  <c r="BN67" i="2"/>
  <c r="Z84" i="2"/>
  <c r="Z94" i="2"/>
  <c r="Y114" i="2"/>
  <c r="BN137" i="2"/>
  <c r="Z138" i="2"/>
  <c r="Z166" i="2"/>
  <c r="Z176" i="2"/>
  <c r="BN178" i="2"/>
  <c r="BP206" i="2"/>
  <c r="BN210" i="2"/>
  <c r="BP212" i="2"/>
  <c r="Z257" i="2"/>
  <c r="Z259" i="2" s="1"/>
  <c r="Z280" i="2"/>
  <c r="BN284" i="2"/>
  <c r="Z301" i="2"/>
  <c r="BN301" i="2"/>
  <c r="Y320" i="2"/>
  <c r="BP319" i="2"/>
  <c r="BN334" i="2"/>
  <c r="Z335" i="2"/>
  <c r="Z354" i="2"/>
  <c r="Z364" i="2"/>
  <c r="Z394" i="2"/>
  <c r="Z406" i="2"/>
  <c r="BN406" i="2"/>
  <c r="BN487" i="2"/>
  <c r="BP217" i="2"/>
  <c r="Z48" i="2"/>
  <c r="Z101" i="2"/>
  <c r="BP144" i="2"/>
  <c r="BP155" i="2"/>
  <c r="Z180" i="2"/>
  <c r="Z217" i="2"/>
  <c r="Z218" i="2" s="1"/>
  <c r="Z223" i="2"/>
  <c r="BP223" i="2"/>
  <c r="Z232" i="2"/>
  <c r="Y254" i="2"/>
  <c r="Z258" i="2"/>
  <c r="Z288" i="2"/>
  <c r="Z309" i="2"/>
  <c r="Z310" i="2" s="1"/>
  <c r="Y310" i="2"/>
  <c r="BP365" i="2"/>
  <c r="Y389" i="2"/>
  <c r="BP386" i="2"/>
  <c r="Z388" i="2"/>
  <c r="Y421" i="2"/>
  <c r="Z474" i="2"/>
  <c r="Z512" i="2"/>
  <c r="BP232" i="2"/>
  <c r="BP101" i="2"/>
  <c r="Z112" i="2"/>
  <c r="BP119" i="2"/>
  <c r="Z170" i="2"/>
  <c r="BP22" i="2"/>
  <c r="BN37" i="2"/>
  <c r="Z38" i="2"/>
  <c r="BN39" i="2"/>
  <c r="Z50" i="2"/>
  <c r="Y80" i="2"/>
  <c r="Z109" i="2"/>
  <c r="Z113" i="2"/>
  <c r="Z119" i="2"/>
  <c r="Z144" i="2"/>
  <c r="Z150" i="2"/>
  <c r="Z155" i="2"/>
  <c r="Z178" i="2"/>
  <c r="BN191" i="2"/>
  <c r="BP241" i="2"/>
  <c r="Z268" i="2"/>
  <c r="BP274" i="2"/>
  <c r="Z284" i="2"/>
  <c r="Z343" i="2"/>
  <c r="Z365" i="2"/>
  <c r="Z373" i="2"/>
  <c r="BP375" i="2"/>
  <c r="Z386" i="2"/>
  <c r="BP401" i="2"/>
  <c r="Y409" i="2"/>
  <c r="Z418" i="2"/>
  <c r="BP418" i="2"/>
  <c r="BN419" i="2"/>
  <c r="BN430" i="2"/>
  <c r="Z443" i="2"/>
  <c r="BN456" i="2"/>
  <c r="BN500" i="2"/>
  <c r="Z519" i="2"/>
  <c r="Z533" i="2"/>
  <c r="Z534" i="2" s="1"/>
  <c r="Z57" i="2"/>
  <c r="Z78" i="2"/>
  <c r="BP78" i="2"/>
  <c r="BP138" i="2"/>
  <c r="BP142" i="2"/>
  <c r="BP153" i="2"/>
  <c r="BP176" i="2"/>
  <c r="Z210" i="2"/>
  <c r="Z234" i="2"/>
  <c r="BN238" i="2"/>
  <c r="Z241" i="2"/>
  <c r="Z274" i="2"/>
  <c r="BP280" i="2"/>
  <c r="BN288" i="2"/>
  <c r="Z299" i="2"/>
  <c r="Y311" i="2"/>
  <c r="Z327" i="2"/>
  <c r="BP335" i="2"/>
  <c r="BP342" i="2"/>
  <c r="Z344" i="2"/>
  <c r="S564" i="2"/>
  <c r="BP354" i="2"/>
  <c r="Z356" i="2"/>
  <c r="BP364" i="2"/>
  <c r="Y396" i="2"/>
  <c r="BN407" i="2"/>
  <c r="BN493" i="2"/>
  <c r="BN505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7" i="2" s="1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104" i="2"/>
  <c r="Z137" i="2"/>
  <c r="Z139" i="2" s="1"/>
  <c r="Z226" i="2"/>
  <c r="Z246" i="2"/>
  <c r="Y260" i="2"/>
  <c r="Z269" i="2"/>
  <c r="Z279" i="2"/>
  <c r="Z300" i="2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Z306" i="2" l="1"/>
  <c r="Z275" i="2"/>
  <c r="Z249" i="2"/>
  <c r="Z95" i="2"/>
  <c r="Z483" i="2"/>
  <c r="Z434" i="2"/>
  <c r="Z366" i="2"/>
  <c r="Z329" i="2"/>
  <c r="Z32" i="2"/>
  <c r="Z186" i="2"/>
  <c r="Z421" i="2"/>
  <c r="Z357" i="2"/>
  <c r="Z24" i="2"/>
  <c r="Z451" i="2"/>
  <c r="Z295" i="2"/>
  <c r="Z514" i="2"/>
  <c r="Z467" i="2"/>
  <c r="Z114" i="2"/>
  <c r="Z389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<sst xmlns="http://schemas.openxmlformats.org/spreadsheetml/2006/main" count="4264" uniqueCount="914">
  <si>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</si>
  <si>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</si>
  <si>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</si>
  <si>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</si>
  <si>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</si>
  <si>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</si>
  <si>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</si>
  <si>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</si>
  <si>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</si>
  <si>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</si>
  <si>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</si>
  <si>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</si>
  <si>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</si>
  <si>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</si>
  <si>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</si>
  <si>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</si>
  <si>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</si>
  <si>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</si>
  <si>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</si>
  <si>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</si>
  <si>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</si>
  <si>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</si>
  <si>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</si>
  <si>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</si>
  <si>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</si>
  <si>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</si>
  <si>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</si>
  <si>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</si>
  <si>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</si>
  <si>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</si>
  <si>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</si>
  <si>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</si>
  <si>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</si>
  <si>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</si>
  <si>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</si>
  <si>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</si>
  <si>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</si>
  <si>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</si>
  <si>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</si>
  <si>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</si>
  <si>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</si>
  <si>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</si>
  <si>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</si>
  <si>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</si>
  <si>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</si>
  <si>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</si>
  <si>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</si>
  <si>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</si>
  <si>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</si>
  <si>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</si>
  <si>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</si>
  <si>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</si>
  <si>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</si>
  <si>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</si>
  <si>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</si>
  <si>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</si>
  <si>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</si>
  <si>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</si>
  <si>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</si>
  <si>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</si>
  <si>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</si>
  <si>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</si>
  <si>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</si>
  <si>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</si>
  <si>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</si>
  <si>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</si>
  <si>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</si>
  <si>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</si>
  <si>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</si>
  <si>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</si>
  <si>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</si>
  <si>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</si>
  <si>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</si>
  <si>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</si>
  <si>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</si>
  <si>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</si>
  <si>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</si>
  <si>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</si>
  <si>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</si>
  <si>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</si>
  <si>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</si>
  <si>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</si>
  <si>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</si>
  <si>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</si>
  <si>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</si>
  <si>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</si>
  <si>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</si>
  <si>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</si>
  <si>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</si>
  <si>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</si>
  <si>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</si>
  <si>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</si>
  <si>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</si>
  <si>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</si>
  <si>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</si>
  <si>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</si>
  <si>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</si>
  <si>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</si>
  <si>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</si>
  <si>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</si>
  <si>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</si>
  <si>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</si>
  <si>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</si>
  <si>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</si>
  <si>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</si>
  <si>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</si>
  <si>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</si>
  <si>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</si>
  <si>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</si>
  <si>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</si>
  <si>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</si>
  <si>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</si>
  <si>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</si>
  <si>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</si>
  <si>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</si>
  <si>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</si>
  <si>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</si>
  <si>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</si>
  <si>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</si>
  <si>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</si>
  <si>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</si>
  <si>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</si>
  <si>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</si>
  <si>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</si>
  <si>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</si>
  <si>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</si>
  <si>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</si>
  <si>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</si>
  <si>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</si>
  <si>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</si>
  <si>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</si>
  <si>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</si>
  <si>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</si>
  <si>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</si>
  <si>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</si>
  <si>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</si>
  <si>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</si>
  <si>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</si>
  <si>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</si>
  <si>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</si>
  <si>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</si>
  <si>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</si>
  <si>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</si>
  <si>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</si>
  <si>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</si>
  <si>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</si>
  <si>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</si>
  <si>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</si>
  <si>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</si>
  <si>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</si>
  <si>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</si>
  <si>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</si>
  <si>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</si>
  <si>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</si>
  <si>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</si>
  <si>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</si>
  <si>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</si>
  <si>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</si>
  <si>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</si>
  <si>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</si>
  <si>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</si>
  <si>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</si>
  <si>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</si>
  <si>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</si>
  <si>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</si>
  <si>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</si>
  <si>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</si>
  <si>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</si>
  <si>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</si>
  <si>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</si>
  <si>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</si>
  <si>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</si>
  <si>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</si>
  <si>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</si>
  <si>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</si>
  <si>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</si>
  <si>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</si>
  <si>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</si>
  <si>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</si>
  <si>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</si>
  <si>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</si>
  <si>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</si>
  <si>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</si>
  <si>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</si>
  <si>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</si>
  <si>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</si>
  <si>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</si>
  <si>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</si>
  <si>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</si>
  <si>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</si>
  <si>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</si>
  <si>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</si>
  <si>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</si>
  <si>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</si>
  <si>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</si>
  <si>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</si>
  <si>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</si>
  <si>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</si>
  <si>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</si>
  <si>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</si>
  <si>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</si>
  <si>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</si>
  <si>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</si>
  <si>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</si>
  <si>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</si>
  <si>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</si>
  <si>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</si>
  <si>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</si>
  <si>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</si>
  <si>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</si>
  <si>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</si>
  <si>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</si>
  <si>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</si>
  <si>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</si>
  <si>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</si>
  <si>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</si>
  <si>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</si>
  <si>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</si>
  <si>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</si>
  <si>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</si>
  <si>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</si>
  <si>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</si>
  <si>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</si>
  <si>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</si>
  <si>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</si>
  <si>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</si>
  <si>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</si>
  <si>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</si>
  <si>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</si>
  <si>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</si>
  <si>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</si>
  <si>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</si>
  <si>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</si>
  <si>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</si>
  <si>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</si>
  <si>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</si>
  <si>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</si>
  <si>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</si>
  <si>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</si>
  <si>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</si>
  <si>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</si>
  <si>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</si>
  <si>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</si>
  <si>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</si>
  <si>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</si>
  <si>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</si>
  <si>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</si>
  <si>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</si>
  <si>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</si>
  <si>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</si>
  <si>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</si>
  <si>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</si>
  <si>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</si>
  <si>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</si>
  <si>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</si>
  <si>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</si>
  <si>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</si>
  <si>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</si>
  <si>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</si>
  <si>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</si>
  <si>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</si>
  <si>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</si>
  <si>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</si>
  <si>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</si>
  <si>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</si>
  <si>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</si>
  <si>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</si>
  <si>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</si>
  <si>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</si>
  <si>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</si>
  <si>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</si>
  <si>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</si>
  <si>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</si>
  <si>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</si>
  <si>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</si>
  <si>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</si>
  <si>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</si>
  <si>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</si>
  <si>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</si>
  <si>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</si>
  <si>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</si>
  <si>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</si>
  <si>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</si>
  <si>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</si>
  <si>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</si>
  <si>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</si>
  <si>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</si>
  <si>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</si>
  <si>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</si>
  <si>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</si>
  <si>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</si>
  <si>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</si>
  <si>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</si>
  <si>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</si>
  <si>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</si>
  <si>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</si>
  <si>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</si>
  <si>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</si>
  <si>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</si>
  <si>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</si>
  <si>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</si>
  <si>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</si>
  <si>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</si>
  <si>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</si>
  <si>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</si>
  <si>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</si>
  <si>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</si>
  <si>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</si>
  <si>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</si>
  <si>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</si>
  <si>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</si>
  <si>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</si>
  <si>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</si>
  <si>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</si>
  <si>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</si>
  <si>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</si>
  <si>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</si>
  <si>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</si>
  <si>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</si>
  <si>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</si>
  <si>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</si>
  <si>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</si>
  <si>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</si>
  <si>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</si>
  <si>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</si>
  <si>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</si>
  <si>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</si>
  <si>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</si>
  <si>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</si>
  <si>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</si>
  <si>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</si>
  <si>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</si>
  <si>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</si>
  <si>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</si>
  <si>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</si>
  <si>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</si>
  <si>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</si>
  <si>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</si>
  <si>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</si>
  <si>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</si>
  <si>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</si>
  <si>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</si>
  <si>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</si>
  <si>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</si>
  <si>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</si>
  <si>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</si>
  <si>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</si>
  <si>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</si>
  <si>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</si>
  <si>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</si>
  <si>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</si>
  <si>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</si>
  <si>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</si>
  <si>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</si>
  <si>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</si>
  <si>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</si>
  <si>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</si>
  <si>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</si>
  <si>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</si>
  <si>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</si>
  <si>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</si>
  <si>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</si>
  <si>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</si>
  <si>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</si>
  <si>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</si>
  <si>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</si>
  <si>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</si>
  <si>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</si>
  <si>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</si>
  <si>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</si>
  <si>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</si>
  <si>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</si>
  <si>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</si>
  <si>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</si>
  <si>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</si>
  <si>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</si>
  <si>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</si>
  <si>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</si>
  <si>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</si>
  <si>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</si>
  <si>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</si>
  <si>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</si>
  <si>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</si>
  <si>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</si>
  <si>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</si>
  <si>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</si>
  <si>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</si>
  <si>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</si>
  <si>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</si>
  <si>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</si>
  <si>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</si>
  <si>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</si>
  <si>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</si>
  <si>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</si>
  <si>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</si>
  <si>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</si>
  <si>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</si>
  <si>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</si>
  <si>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</si>
  <si>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</si>
  <si>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</si>
  <si>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</si>
  <si>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</si>
  <si>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</si>
  <si>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</si>
  <si>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</si>
  <si>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</si>
  <si>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</si>
  <si>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</si>
  <si>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</si>
  <si>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</si>
  <si>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</si>
  <si>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</si>
  <si>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</si>
  <si>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</si>
  <si>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</si>
  <si>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</si>
  <si>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</si>
  <si>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</si>
  <si>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</si>
  <si>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</si>
  <si>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</si>
  <si>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</si>
  <si>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</si>
  <si>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</si>
  <si>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</si>
  <si>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</si>
  <si>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</si>
  <si>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</si>
  <si>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</si>
  <si>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</si>
  <si>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</si>
  <si>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</si>
  <si>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</si>
  <si>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</si>
  <si>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</si>
  <si>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</si>
  <si>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</si>
  <si>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</si>
  <si>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</si>
  <si>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</si>
  <si>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</si>
  <si>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</si>
  <si>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</si>
  <si>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</si>
  <si>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</si>
  <si>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</si>
  <si>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</si>
  <si>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</si>
  <si>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</si>
  <si>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</si>
  <si>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</si>
  <si>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</si>
  <si>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</si>
  <si>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</si>
  <si>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</si>
  <si>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</si>
  <si>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</si>
  <si>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</si>
  <si>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</si>
  <si>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</si>
  <si>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</si>
  <si>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</si>
  <si>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</si>
  <si>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</si>
  <si>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</si>
  <si>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</si>
  <si>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</si>
  <si>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</si>
  <si>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</si>
  <si>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</si>
  <si>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</si>
  <si>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</si>
  <si>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</si>
  <si>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</si>
  <si>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</si>
  <si>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</si>
  <si>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</si>
  <si>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</si>
  <si>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</si>
  <si>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</si>
  <si>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</si>
  <si>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</si>
  <si>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</si>
  <si>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</si>
  <si>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</si>
  <si>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</si>
  <si>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</si>
  <si>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</si>
  <si>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</si>
  <si>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</si>
  <si>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</si>
  <si>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</si>
  <si>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</si>
  <si>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</si>
  <si>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</si>
  <si>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</si>
  <si>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</si>
  <si>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</si>
  <si>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</si>
  <si>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</si>
  <si>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</si>
  <si>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</si>
  <si>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</si>
  <si>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</si>
  <si>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</si>
  <si>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</si>
  <si>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</si>
  <si>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</si>
  <si>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</si>
  <si>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</si>
  <si>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</si>
  <si>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</si>
  <si>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</si>
  <si>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</si>
  <si>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</si>
  <si>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</si>
  <si>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</si>
  <si>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</si>
  <si>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</si>
  <si>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</si>
  <si>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</si>
  <si>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</si>
  <si>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</si>
  <si>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</si>
  <si>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</si>
  <si>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</si>
  <si>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</si>
  <si>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</si>
  <si>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</si>
  <si>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</si>
  <si>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</si>
  <si>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</si>
  <si>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</si>
  <si>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</si>
  <si>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</si>
  <si>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</si>
  <si>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</si>
  <si>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</si>
  <si>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</si>
  <si>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</si>
  <si>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</si>
  <si>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</si>
  <si>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</si>
  <si>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</si>
  <si>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</si>
  <si>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</si>
  <si>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</si>
  <si>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</si>
  <si>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</si>
  <si>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</si>
  <si>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</si>
  <si>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</si>
  <si>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</si>
  <si>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</si>
  <si>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</si>
  <si>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</si>
  <si>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</si>
  <si>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</si>
  <si>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</si>
  <si>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</si>
  <si>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</si>
  <si>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</si>
  <si>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</si>
  <si>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</si>
  <si>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</si>
  <si>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</si>
  <si>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</si>
  <si>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</si>
  <si>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</si>
  <si>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</si>
  <si>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</si>
  <si>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</si>
  <si>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</si>
  <si>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</si>
  <si>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</si>
  <si>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</si>
  <si>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</si>
  <si>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</si>
  <si>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</si>
  <si>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</si>
  <si>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</si>
  <si>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</si>
  <si>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</si>
  <si>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</si>
  <si>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</si>
  <si>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</si>
  <si>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</si>
  <si>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</si>
  <si>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</si>
  <si>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</si>
  <si>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</si>
  <si>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</si>
  <si>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</si>
  <si>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</si>
  <si>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</si>
  <si>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</si>
  <si>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</si>
  <si>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</si>
  <si>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</si>
  <si>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</si>
  <si>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</si>
  <si>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</si>
  <si>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</si>
  <si>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</si>
  <si>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</si>
  <si>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</si>
  <si>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</si>
  <si>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</si>
  <si>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</si>
  <si>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</si>
  <si>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</si>
  <si>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</si>
  <si>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</si>
  <si>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</si>
  <si>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</si>
  <si>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</si>
  <si>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</si>
  <si>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</si>
  <si>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</si>
  <si>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</si>
  <si>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</si>
  <si>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</si>
  <si>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</si>
  <si>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</si>
  <si>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</si>
  <si>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</si>
  <si>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</si>
  <si>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</si>
  <si>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</si>
  <si>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</si>
  <si>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</si>
  <si>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</si>
  <si>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</si>
  <si>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</si>
  <si>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</si>
  <si>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</si>
  <si>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</si>
  <si>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</si>
  <si>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</si>
  <si>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</si>
  <si>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</si>
  <si>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</si>
  <si>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</si>
  <si>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</si>
  <si>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</si>
  <si>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</si>
  <si>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</si>
  <si>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</si>
  <si>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</si>
  <si>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</si>
  <si>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</si>
  <si>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</si>
  <si>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</si>
  <si>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</si>
  <si>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</si>
  <si>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</si>
  <si>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</si>
  <si>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</si>
  <si>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</si>
  <si>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</si>
  <si>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</si>
  <si>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</si>
  <si>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</si>
  <si>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</si>
  <si>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</si>
  <si>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</si>
  <si>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</si>
  <si>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</si>
  <si>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</si>
  <si>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</si>
  <si>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</si>
  <si>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</si>
  <si>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</si>
  <si>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</si>
  <si>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</si>
  <si>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</si>
  <si>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</si>
  <si>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</si>
  <si>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</si>
  <si>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</si>
  <si>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</si>
  <si>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</si>
  <si>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</si>
  <si>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</si>
  <si>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</si>
  <si>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</si>
  <si>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</si>
  <si>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</si>
  <si>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</si>
  <si>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</si>
  <si>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</si>
  <si>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</si>
  <si>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</si>
  <si>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</si>
  <si>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</si>
  <si>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</si>
  <si>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</si>
  <si>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</si>
  <si>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</si>
  <si>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</si>
  <si>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</si>
  <si>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</si>
  <si>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</si>
  <si>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</si>
  <si>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</si>
  <si>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</si>
  <si>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</si>
  <si>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</si>
  <si>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</si>
  <si>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</si>
  <si>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</si>
  <si>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</si>
  <si>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</si>
  <si>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</si>
  <si>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</si>
  <si>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</si>
  <si>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</si>
  <si>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</si>
  <si>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</si>
  <si>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</si>
  <si>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</si>
  <si>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</si>
  <si>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</si>
  <si>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</si>
  <si>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</si>
  <si>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</si>
  <si>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</si>
  <si>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</si>
  <si>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</si>
  <si>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</si>
  <si>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</si>
  <si>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</si>
  <si>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</si>
  <si>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</si>
  <si>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</si>
  <si>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</si>
  <si>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</si>
  <si>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</si>
  <si>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</si>
  <si>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</si>
  <si>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</si>
  <si>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</si>
  <si>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</si>
  <si>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</si>
  <si>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</si>
  <si>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</si>
  <si>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</si>
  <si>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</si>
  <si>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</si>
  <si>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</si>
  <si>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</si>
  <si>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</si>
  <si>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</si>
  <si>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</si>
  <si>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</si>
  <si>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</si>
  <si>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</si>
  <si>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</si>
  <si>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</si>
  <si>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</si>
  <si>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</si>
  <si>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</si>
  <si>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</si>
  <si>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</si>
  <si>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</si>
  <si>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</si>
  <si>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</si>
  <si>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</si>
  <si>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</si>
  <si>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</si>
  <si>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</si>
  <si>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</si>
  <si>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</si>
  <si>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</si>
  <si>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</si>
  <si>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</si>
  <si>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</si>
  <si>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</si>
  <si>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</si>
  <si>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</si>
  <si>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</si>
  <si>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</si>
  <si>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</si>
  <si>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</si>
  <si>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</si>
  <si>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</si>
  <si>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</si>
  <si>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</si>
  <si>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</si>
  <si>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</si>
  <si>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</si>
  <si>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</si>
  <si>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</si>
  <si>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</si>
  <si>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</si>
  <si>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</si>
  <si>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</si>
  <si>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</si>
  <si>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</si>
  <si>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</si>
  <si>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</si>
  <si>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</si>
  <si>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</si>
  <si>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</si>
  <si>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</si>
  <si>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</si>
  <si>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</si>
  <si>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</si>
  <si>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</si>
  <si>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</si>
  <si>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</si>
  <si>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</si>
  <si>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</si>
  <si>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</si>
  <si>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</si>
  <si>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</si>
  <si>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</si>
  <si>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</si>
  <si>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</si>
  <si>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</si>
  <si>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</si>
  <si>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</si>
  <si>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</si>
  <si>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</si>
  <si>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</si>
  <si>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</si>
  <si>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</si>
  <si>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</si>
  <si>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</si>
  <si>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</si>
  <si>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</si>
  <si>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</si>
  <si>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</si>
  <si>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</si>
  <si>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</si>
  <si>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</si>
  <si>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</si>
  <si>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</si>
  <si>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</si>
  <si>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</si>
  <si>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</si>
  <si>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</si>
  <si>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</si>
  <si>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</si>
  <si>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</si>
  <si>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</si>
  <si>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</si>
  <si>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</si>
  <si>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</si>
  <si>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</si>
  <si>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</si>
  <si>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</si>
  <si>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</si>
  <si>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</si>
  <si>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</si>
  <si>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</si>
  <si>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</si>
  <si>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</si>
  <si>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</si>
  <si>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</si>
  <si>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</si>
  <si>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</si>
  <si>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</si>
  <si>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</si>
  <si>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</si>
  <si>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</si>
  <si>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</si>
  <si>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</si>
  <si>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</si>
  <si>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</si>
  <si>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</si>
  <si>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</si>
  <si>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</si>
  <si>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</si>
  <si>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</si>
  <si>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</si>
  <si>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</si>
  <si>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</si>
  <si>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</si>
  <si>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</si>
  <si>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</si>
  <si>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</si>
  <si>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</si>
  <si>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</si>
  <si>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</si>
  <si>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</si>
  <si>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</si>
  <si>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</si>
  <si>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</si>
  <si>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</si>
  <si>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</si>
  <si>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</si>
  <si>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</si>
  <si>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</si>
  <si>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</si>
  <si>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</si>
  <si>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</si>
  <si>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</si>
  <si>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</si>
  <si>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</si>
  <si>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</si>
  <si>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</si>
  <si>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</si>
  <si>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</si>
  <si>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</si>
  <si>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</si>
  <si>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</si>
  <si>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</si>
  <si>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</si>
  <si>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</si>
  <si>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</si>
  <si>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6290238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</si>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</sst>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8" sqref="AA4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912</v>
      </c>
      <c r="I5" s="1000"/>
      <c r="J5" s="1000"/>
      <c r="K5" s="1000"/>
      <c r="L5" s="1000"/>
      <c r="M5" s="1000"/>
      <c r="N5" s="72"/>
      <c r="P5" s="27" t="s">
        <v>4</v>
      </c>
      <c r="Q5" s="1002">
        <v>46245</v>
      </c>
      <c r="R5" s="1002"/>
      <c r="T5" s="1003" t="s">
        <v>3</v>
      </c>
      <c r="U5" s="1004"/>
      <c r="V5" s="1005" t="s">
        <v>872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885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Вторник</v>
      </c>
      <c r="R6" s="980"/>
      <c r="T6" s="981" t="s">
        <v>5</v>
      </c>
      <c r="U6" s="982"/>
      <c r="V6" s="983" t="s">
        <v>69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57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0.5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913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71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72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73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74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60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58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65</v>
      </c>
      <c r="L17" s="939" t="s">
        <v>63</v>
      </c>
      <c r="M17" s="939" t="s">
        <v>2</v>
      </c>
      <c r="N17" s="939" t="s">
        <v>62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55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59</v>
      </c>
      <c r="AB17" s="945" t="s">
        <v>19</v>
      </c>
      <c r="AC17" s="945" t="s">
        <v>64</v>
      </c>
      <c r="AD17" s="947" t="s">
        <v>56</v>
      </c>
      <c r="AE17" s="948"/>
      <c r="AF17" s="949"/>
      <c r="AG17" s="82"/>
      <c r="BD17" s="81" t="s">
        <v>61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75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75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103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119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120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136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157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85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174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181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121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85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202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121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157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85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174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242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121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76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85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282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119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121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157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282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348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352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353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374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157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76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282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438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441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121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157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76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85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174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509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121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157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531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348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542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121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558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85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567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76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85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588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121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597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121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76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85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174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282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660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669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678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85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26" t="s">
        <v>681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23" t="s">
        <v>686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688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698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699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121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703</v>
      </c>
      <c r="B427" s="63" t="s">
        <v>704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570</v>
      </c>
      <c r="Y428" s="55">
        <f t="shared" si="53"/>
        <v>570</v>
      </c>
      <c r="Z428" s="41">
        <f>IFERROR(IF(Y428=0,"",ROUNDUP(Y428/H428,0)*0.02175),"")</f>
        <v>0.8264999999999999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587.86</v>
      </c>
      <c r="BN428" s="78">
        <f t="shared" si="55"/>
        <v>587.86</v>
      </c>
      <c r="BO428" s="78">
        <f t="shared" si="56"/>
        <v>0.79166666666666663</v>
      </c>
      <c r="BP428" s="78">
        <f t="shared" si="57"/>
        <v>0.79166666666666663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38</v>
      </c>
      <c r="Y434" s="43">
        <f>IFERROR(Y426/H426,"0")+IFERROR(Y427/H427,"0")+IFERROR(Y428/H428,"0")+IFERROR(Y429/H429,"0")+IFERROR(Y430/H430,"0")+IFERROR(Y431/H431,"0")+IFERROR(Y432/H432,"0")+IFERROR(Y433/H433,"0")</f>
        <v>38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0.8264999999999999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570</v>
      </c>
      <c r="Y435" s="43">
        <f>IFERROR(SUM(Y426:Y433),"0")</f>
        <v>570</v>
      </c>
      <c r="Z435" s="42"/>
      <c r="AA435" s="67"/>
      <c r="AB435" s="67"/>
      <c r="AC435" s="67"/>
    </row>
    <row r="436" spans="1:68" ht="14.25" hidden="1" customHeight="1" x14ac:dyDescent="0.25">
      <c r="A436" s="660" t="s">
        <v>157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85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174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748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121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76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85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764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765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76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85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157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76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800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800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121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157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76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847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847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121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157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76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85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174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866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157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570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570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587.86</v>
      </c>
      <c r="Y555" s="43">
        <f>IFERROR(SUM(BN22:BN551),"0")</f>
        <v>587.86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612.86</v>
      </c>
      <c r="Y557" s="43">
        <f>GrossWeightTotalR+PalletQtyTotalR*25</f>
        <v>612.86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38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38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0.8264999999999999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2" t="s">
        <v>119</v>
      </c>
      <c r="E561" s="642" t="s">
        <v>119</v>
      </c>
      <c r="F561" s="642" t="s">
        <v>119</v>
      </c>
      <c r="G561" s="642" t="s">
        <v>119</v>
      </c>
      <c r="H561" s="642" t="s">
        <v>119</v>
      </c>
      <c r="I561" s="642" t="s">
        <v>119</v>
      </c>
      <c r="J561" s="642" t="s">
        <v>119</v>
      </c>
      <c r="K561" s="642" t="s">
        <v>352</v>
      </c>
      <c r="L561" s="642" t="s">
        <v>352</v>
      </c>
      <c r="M561" s="642" t="s">
        <v>352</v>
      </c>
      <c r="N561" s="643"/>
      <c r="O561" s="642" t="s">
        <v>352</v>
      </c>
      <c r="P561" s="642" t="s">
        <v>352</v>
      </c>
      <c r="Q561" s="642" t="s">
        <v>352</v>
      </c>
      <c r="R561" s="642" t="s">
        <v>352</v>
      </c>
      <c r="S561" s="642" t="s">
        <v>352</v>
      </c>
      <c r="T561" s="642" t="s">
        <v>352</v>
      </c>
      <c r="U561" s="642" t="s">
        <v>352</v>
      </c>
      <c r="V561" s="642" t="s">
        <v>352</v>
      </c>
      <c r="W561" s="642" t="s">
        <v>698</v>
      </c>
      <c r="X561" s="642" t="s">
        <v>698</v>
      </c>
      <c r="Y561" s="642" t="s">
        <v>764</v>
      </c>
      <c r="Z561" s="642" t="s">
        <v>764</v>
      </c>
      <c r="AA561" s="85" t="s">
        <v>800</v>
      </c>
      <c r="AB561" s="642" t="s">
        <v>847</v>
      </c>
      <c r="AC561" s="642" t="s">
        <v>847</v>
      </c>
      <c r="AF561" s="1"/>
    </row>
    <row r="562" spans="1:32" ht="14.25" customHeight="1" thickTop="1" x14ac:dyDescent="0.2">
      <c r="A562" s="644" t="s">
        <v>10</v>
      </c>
      <c r="B562" s="642" t="s">
        <v>75</v>
      </c>
      <c r="C562" s="642" t="s">
        <v>103</v>
      </c>
      <c r="D562" s="642" t="s">
        <v>120</v>
      </c>
      <c r="E562" s="642" t="s">
        <v>136</v>
      </c>
      <c r="F562" s="642" t="s">
        <v>181</v>
      </c>
      <c r="G562" s="642" t="s">
        <v>202</v>
      </c>
      <c r="H562" s="642" t="s">
        <v>242</v>
      </c>
      <c r="I562" s="642" t="s">
        <v>266</v>
      </c>
      <c r="J562" s="642" t="s">
        <v>119</v>
      </c>
      <c r="K562" s="642" t="s">
        <v>353</v>
      </c>
      <c r="L562" s="642" t="s">
        <v>374</v>
      </c>
      <c r="M562" s="642" t="s">
        <v>441</v>
      </c>
      <c r="N562" s="1"/>
      <c r="O562" s="642" t="s">
        <v>509</v>
      </c>
      <c r="P562" s="642" t="s">
        <v>542</v>
      </c>
      <c r="Q562" s="642" t="s">
        <v>558</v>
      </c>
      <c r="R562" s="642" t="s">
        <v>567</v>
      </c>
      <c r="S562" s="642" t="s">
        <v>588</v>
      </c>
      <c r="T562" s="642" t="s">
        <v>597</v>
      </c>
      <c r="U562" s="642" t="s">
        <v>678</v>
      </c>
      <c r="V562" s="642" t="s">
        <v>688</v>
      </c>
      <c r="W562" s="642" t="s">
        <v>699</v>
      </c>
      <c r="X562" s="642" t="s">
        <v>748</v>
      </c>
      <c r="Y562" s="642" t="s">
        <v>765</v>
      </c>
      <c r="Z562" s="642" t="s">
        <v>788</v>
      </c>
      <c r="AA562" s="642" t="s">
        <v>800</v>
      </c>
      <c r="AB562" s="642" t="s">
        <v>847</v>
      </c>
      <c r="AC562" s="642" t="s">
        <v>866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570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8,00"/>
        <filter val="570,00"/>
        <filter val="587,86"/>
        <filter val="612,86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