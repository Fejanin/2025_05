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CDDD769-B09D-4685-B953-856A039B21C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X452" i="1"/>
  <c r="X451" i="1"/>
  <c r="BO450" i="1"/>
  <c r="BM450" i="1"/>
  <c r="Y450" i="1"/>
  <c r="BP450" i="1" s="1"/>
  <c r="P450" i="1"/>
  <c r="BO449" i="1"/>
  <c r="BM449" i="1"/>
  <c r="Y449" i="1"/>
  <c r="Y451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O413" i="1"/>
  <c r="BM413" i="1"/>
  <c r="Y413" i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P318" i="1"/>
  <c r="BO317" i="1"/>
  <c r="BM317" i="1"/>
  <c r="Y317" i="1"/>
  <c r="P317" i="1"/>
  <c r="X315" i="1"/>
  <c r="Y314" i="1"/>
  <c r="X314" i="1"/>
  <c r="BO313" i="1"/>
  <c r="BM313" i="1"/>
  <c r="Y313" i="1"/>
  <c r="Y315" i="1" s="1"/>
  <c r="P313" i="1"/>
  <c r="X311" i="1"/>
  <c r="X310" i="1"/>
  <c r="BO309" i="1"/>
  <c r="BM309" i="1"/>
  <c r="Y309" i="1"/>
  <c r="P309" i="1"/>
  <c r="X307" i="1"/>
  <c r="X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BP294" i="1" s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BN274" i="1" s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BN271" i="1" s="1"/>
  <c r="P271" i="1"/>
  <c r="BO270" i="1"/>
  <c r="BM270" i="1"/>
  <c r="Y270" i="1"/>
  <c r="P270" i="1"/>
  <c r="BO269" i="1"/>
  <c r="BM269" i="1"/>
  <c r="Y269" i="1"/>
  <c r="BN269" i="1" s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Z263" i="1"/>
  <c r="Y263" i="1"/>
  <c r="BN263" i="1" s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Z257" i="1"/>
  <c r="Y257" i="1"/>
  <c r="BN257" i="1" s="1"/>
  <c r="P257" i="1"/>
  <c r="X254" i="1"/>
  <c r="X253" i="1"/>
  <c r="BO252" i="1"/>
  <c r="BM252" i="1"/>
  <c r="Y252" i="1"/>
  <c r="BN252" i="1" s="1"/>
  <c r="P252" i="1"/>
  <c r="X250" i="1"/>
  <c r="X249" i="1"/>
  <c r="BO248" i="1"/>
  <c r="BM248" i="1"/>
  <c r="Z248" i="1"/>
  <c r="Y248" i="1"/>
  <c r="BN248" i="1" s="1"/>
  <c r="P248" i="1"/>
  <c r="BO247" i="1"/>
  <c r="BM247" i="1"/>
  <c r="Y247" i="1"/>
  <c r="P247" i="1"/>
  <c r="BO246" i="1"/>
  <c r="BM246" i="1"/>
  <c r="Y246" i="1"/>
  <c r="BN246" i="1" s="1"/>
  <c r="P246" i="1"/>
  <c r="X244" i="1"/>
  <c r="X243" i="1"/>
  <c r="BO242" i="1"/>
  <c r="BM242" i="1"/>
  <c r="Z242" i="1"/>
  <c r="Y242" i="1"/>
  <c r="BN242" i="1" s="1"/>
  <c r="P242" i="1"/>
  <c r="BO241" i="1"/>
  <c r="BM241" i="1"/>
  <c r="Y241" i="1"/>
  <c r="P241" i="1"/>
  <c r="BO240" i="1"/>
  <c r="BM240" i="1"/>
  <c r="Y240" i="1"/>
  <c r="BN240" i="1" s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O234" i="1"/>
  <c r="BM234" i="1"/>
  <c r="Y234" i="1"/>
  <c r="BN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Z230" i="1"/>
  <c r="Y230" i="1"/>
  <c r="BN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P224" i="1"/>
  <c r="BO223" i="1"/>
  <c r="BM223" i="1"/>
  <c r="Y223" i="1"/>
  <c r="P223" i="1"/>
  <c r="BP222" i="1"/>
  <c r="BO222" i="1"/>
  <c r="BM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Z211" i="1"/>
  <c r="Y211" i="1"/>
  <c r="BN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N191" i="1" s="1"/>
  <c r="P191" i="1"/>
  <c r="BO190" i="1"/>
  <c r="BM190" i="1"/>
  <c r="Y190" i="1"/>
  <c r="Y192" i="1" s="1"/>
  <c r="P190" i="1"/>
  <c r="BO189" i="1"/>
  <c r="BM189" i="1"/>
  <c r="Y189" i="1"/>
  <c r="BN189" i="1" s="1"/>
  <c r="P189" i="1"/>
  <c r="X187" i="1"/>
  <c r="X186" i="1"/>
  <c r="BO185" i="1"/>
  <c r="BM185" i="1"/>
  <c r="Y185" i="1"/>
  <c r="BN185" i="1" s="1"/>
  <c r="P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Z179" i="1"/>
  <c r="Y179" i="1"/>
  <c r="BN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BN171" i="1" s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Z155" i="1" s="1"/>
  <c r="P155" i="1"/>
  <c r="BO154" i="1"/>
  <c r="BM154" i="1"/>
  <c r="Y154" i="1"/>
  <c r="BP154" i="1" s="1"/>
  <c r="P154" i="1"/>
  <c r="BP153" i="1"/>
  <c r="BO153" i="1"/>
  <c r="BN153" i="1"/>
  <c r="BM153" i="1"/>
  <c r="Z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N149" i="1" s="1"/>
  <c r="P149" i="1"/>
  <c r="X146" i="1"/>
  <c r="X145" i="1"/>
  <c r="BO144" i="1"/>
  <c r="BM144" i="1"/>
  <c r="Y144" i="1"/>
  <c r="P144" i="1"/>
  <c r="BO143" i="1"/>
  <c r="BM143" i="1"/>
  <c r="Y143" i="1"/>
  <c r="BP143" i="1" s="1"/>
  <c r="P143" i="1"/>
  <c r="BO142" i="1"/>
  <c r="BM142" i="1"/>
  <c r="Y142" i="1"/>
  <c r="BN142" i="1" s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BN136" i="1" s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O130" i="1"/>
  <c r="BM130" i="1"/>
  <c r="Y130" i="1"/>
  <c r="BN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N117" i="1" s="1"/>
  <c r="P117" i="1"/>
  <c r="X115" i="1"/>
  <c r="X114" i="1"/>
  <c r="BO113" i="1"/>
  <c r="BM113" i="1"/>
  <c r="Y113" i="1"/>
  <c r="BN113" i="1" s="1"/>
  <c r="P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X107" i="1"/>
  <c r="X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Z101" i="1"/>
  <c r="Y101" i="1"/>
  <c r="BN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X96" i="1"/>
  <c r="X95" i="1"/>
  <c r="BO94" i="1"/>
  <c r="BM94" i="1"/>
  <c r="Y94" i="1"/>
  <c r="BN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Z73" i="1"/>
  <c r="Y73" i="1"/>
  <c r="Y75" i="1" s="1"/>
  <c r="P73" i="1"/>
  <c r="X71" i="1"/>
  <c r="X70" i="1"/>
  <c r="BO69" i="1"/>
  <c r="BM69" i="1"/>
  <c r="Y69" i="1"/>
  <c r="P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Z59" i="1"/>
  <c r="Y59" i="1"/>
  <c r="BN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N50" i="1" s="1"/>
  <c r="P50" i="1"/>
  <c r="BO49" i="1"/>
  <c r="BM49" i="1"/>
  <c r="Y49" i="1"/>
  <c r="BP49" i="1" s="1"/>
  <c r="P49" i="1"/>
  <c r="BO48" i="1"/>
  <c r="BM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N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N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N22" i="1" s="1"/>
  <c r="P22" i="1"/>
  <c r="H10" i="1"/>
  <c r="A9" i="1"/>
  <c r="A10" i="1" s="1"/>
  <c r="D7" i="1"/>
  <c r="Q6" i="1"/>
  <c r="P2" i="1"/>
  <c r="BN67" i="1" l="1"/>
  <c r="Z67" i="1"/>
  <c r="BN92" i="1"/>
  <c r="BP103" i="1"/>
  <c r="BN103" i="1"/>
  <c r="Z103" i="1"/>
  <c r="BP109" i="1"/>
  <c r="BN109" i="1"/>
  <c r="Z109" i="1"/>
  <c r="BP165" i="1"/>
  <c r="BN165" i="1"/>
  <c r="Z165" i="1"/>
  <c r="BP181" i="1"/>
  <c r="BN181" i="1"/>
  <c r="Z181" i="1"/>
  <c r="BP224" i="1"/>
  <c r="BN224" i="1"/>
  <c r="Z224" i="1"/>
  <c r="BN228" i="1"/>
  <c r="Z228" i="1"/>
  <c r="BN267" i="1"/>
  <c r="BP282" i="1"/>
  <c r="BN282" i="1"/>
  <c r="Z282" i="1"/>
  <c r="BN286" i="1"/>
  <c r="BP305" i="1"/>
  <c r="BN305" i="1"/>
  <c r="Z305" i="1"/>
  <c r="BP326" i="1"/>
  <c r="BN326" i="1"/>
  <c r="Z326" i="1"/>
  <c r="BP333" i="1"/>
  <c r="BN333" i="1"/>
  <c r="Z333" i="1"/>
  <c r="Y336" i="1"/>
  <c r="BN344" i="1"/>
  <c r="BN362" i="1"/>
  <c r="BP388" i="1"/>
  <c r="BN388" i="1"/>
  <c r="Z388" i="1"/>
  <c r="BP455" i="1"/>
  <c r="BN455" i="1"/>
  <c r="Z455" i="1"/>
  <c r="BN473" i="1"/>
  <c r="Z473" i="1"/>
  <c r="BN481" i="1"/>
  <c r="BP506" i="1"/>
  <c r="BN506" i="1"/>
  <c r="Z506" i="1"/>
  <c r="BP522" i="1"/>
  <c r="BN522" i="1"/>
  <c r="Z522" i="1"/>
  <c r="Z38" i="1"/>
  <c r="BN38" i="1"/>
  <c r="BP48" i="1"/>
  <c r="BN48" i="1"/>
  <c r="BN55" i="1"/>
  <c r="BP67" i="1"/>
  <c r="BP69" i="1"/>
  <c r="BN69" i="1"/>
  <c r="Z69" i="1"/>
  <c r="BN144" i="1"/>
  <c r="Z144" i="1"/>
  <c r="BN151" i="1"/>
  <c r="Z151" i="1"/>
  <c r="BN207" i="1"/>
  <c r="BN222" i="1"/>
  <c r="Z222" i="1"/>
  <c r="Y253" i="1"/>
  <c r="BN299" i="1"/>
  <c r="BP374" i="1"/>
  <c r="BN374" i="1"/>
  <c r="Z374" i="1"/>
  <c r="BN406" i="1"/>
  <c r="BN412" i="1"/>
  <c r="BP413" i="1"/>
  <c r="BN413" i="1"/>
  <c r="Z413" i="1"/>
  <c r="BN426" i="1"/>
  <c r="BN432" i="1"/>
  <c r="BN450" i="1"/>
  <c r="BP473" i="1"/>
  <c r="BN475" i="1"/>
  <c r="BN500" i="1"/>
  <c r="BP59" i="1"/>
  <c r="BP73" i="1"/>
  <c r="BN84" i="1"/>
  <c r="BN105" i="1"/>
  <c r="BN111" i="1"/>
  <c r="H564" i="1"/>
  <c r="BN175" i="1"/>
  <c r="BN183" i="1"/>
  <c r="BP230" i="1"/>
  <c r="BN238" i="1"/>
  <c r="BP257" i="1"/>
  <c r="BN284" i="1"/>
  <c r="BN294" i="1"/>
  <c r="BN301" i="1"/>
  <c r="BN313" i="1"/>
  <c r="BN328" i="1"/>
  <c r="BN335" i="1"/>
  <c r="BN370" i="1"/>
  <c r="BN418" i="1"/>
  <c r="BN465" i="1"/>
  <c r="BN477" i="1"/>
  <c r="BN492" i="1"/>
  <c r="BN502" i="1"/>
  <c r="BN518" i="1"/>
  <c r="BN551" i="1"/>
  <c r="F10" i="1"/>
  <c r="Z22" i="1"/>
  <c r="BP22" i="1"/>
  <c r="Y32" i="1"/>
  <c r="Z30" i="1"/>
  <c r="BP30" i="1"/>
  <c r="C564" i="1"/>
  <c r="Z40" i="1"/>
  <c r="BP40" i="1"/>
  <c r="D564" i="1"/>
  <c r="Z50" i="1"/>
  <c r="BP50" i="1"/>
  <c r="Z57" i="1"/>
  <c r="BP57" i="1"/>
  <c r="Z79" i="1"/>
  <c r="BP79" i="1"/>
  <c r="Z86" i="1"/>
  <c r="BP86" i="1"/>
  <c r="Y96" i="1"/>
  <c r="Z94" i="1"/>
  <c r="Z99" i="1"/>
  <c r="Z106" i="1" s="1"/>
  <c r="BP99" i="1"/>
  <c r="Z130" i="1"/>
  <c r="BP138" i="1"/>
  <c r="Y146" i="1"/>
  <c r="BP142" i="1"/>
  <c r="Z142" i="1"/>
  <c r="BP171" i="1"/>
  <c r="BP185" i="1"/>
  <c r="Z185" i="1"/>
  <c r="BP191" i="1"/>
  <c r="Z191" i="1"/>
  <c r="BP209" i="1"/>
  <c r="Z209" i="1"/>
  <c r="BP226" i="1"/>
  <c r="Z226" i="1"/>
  <c r="BP234" i="1"/>
  <c r="Z234" i="1"/>
  <c r="BP240" i="1"/>
  <c r="Z240" i="1"/>
  <c r="BP271" i="1"/>
  <c r="Z274" i="1"/>
  <c r="BN280" i="1"/>
  <c r="BP280" i="1"/>
  <c r="Z280" i="1"/>
  <c r="BN303" i="1"/>
  <c r="BP303" i="1"/>
  <c r="Z303" i="1"/>
  <c r="Y330" i="1"/>
  <c r="BN324" i="1"/>
  <c r="BP324" i="1"/>
  <c r="Z324" i="1"/>
  <c r="BN355" i="1"/>
  <c r="BP355" i="1"/>
  <c r="Z355" i="1"/>
  <c r="BN386" i="1"/>
  <c r="BP386" i="1"/>
  <c r="Z386" i="1"/>
  <c r="BN420" i="1"/>
  <c r="BP420" i="1"/>
  <c r="Z420" i="1"/>
  <c r="X558" i="1"/>
  <c r="Z48" i="1"/>
  <c r="Z55" i="1"/>
  <c r="BN73" i="1"/>
  <c r="Z84" i="1"/>
  <c r="Z92" i="1"/>
  <c r="Z138" i="1"/>
  <c r="BP144" i="1"/>
  <c r="BP149" i="1"/>
  <c r="Z149" i="1"/>
  <c r="Z171" i="1"/>
  <c r="BP177" i="1"/>
  <c r="Z177" i="1"/>
  <c r="BP211" i="1"/>
  <c r="BP228" i="1"/>
  <c r="BP242" i="1"/>
  <c r="BP246" i="1"/>
  <c r="Z246" i="1"/>
  <c r="Z271" i="1"/>
  <c r="BN288" i="1"/>
  <c r="BP288" i="1"/>
  <c r="Z288" i="1"/>
  <c r="Y311" i="1"/>
  <c r="Y310" i="1"/>
  <c r="BN309" i="1"/>
  <c r="BP309" i="1"/>
  <c r="Z309" i="1"/>
  <c r="Z310" i="1" s="1"/>
  <c r="BN340" i="1"/>
  <c r="BP340" i="1"/>
  <c r="Z340" i="1"/>
  <c r="Y396" i="1"/>
  <c r="BN392" i="1"/>
  <c r="BP392" i="1"/>
  <c r="Z392" i="1"/>
  <c r="F9" i="1"/>
  <c r="BP101" i="1"/>
  <c r="BP113" i="1"/>
  <c r="Z113" i="1"/>
  <c r="BP119" i="1"/>
  <c r="Z119" i="1"/>
  <c r="BP151" i="1"/>
  <c r="BP179" i="1"/>
  <c r="BN209" i="1"/>
  <c r="BP248" i="1"/>
  <c r="Y254" i="1"/>
  <c r="BP252" i="1"/>
  <c r="Z252" i="1"/>
  <c r="Z253" i="1" s="1"/>
  <c r="BP263" i="1"/>
  <c r="BN372" i="1"/>
  <c r="BP372" i="1"/>
  <c r="Z372" i="1"/>
  <c r="BN400" i="1"/>
  <c r="BP400" i="1"/>
  <c r="Z400" i="1"/>
  <c r="BN444" i="1"/>
  <c r="BP444" i="1"/>
  <c r="Z444" i="1"/>
  <c r="BN504" i="1"/>
  <c r="BP504" i="1"/>
  <c r="Z504" i="1"/>
  <c r="BN520" i="1"/>
  <c r="BP520" i="1"/>
  <c r="Z520" i="1"/>
  <c r="J9" i="1"/>
  <c r="BP94" i="1"/>
  <c r="BP130" i="1"/>
  <c r="BP136" i="1"/>
  <c r="Z136" i="1"/>
  <c r="BP269" i="1"/>
  <c r="Z269" i="1"/>
  <c r="BP274" i="1"/>
  <c r="Y290" i="1"/>
  <c r="BP278" i="1"/>
  <c r="Z278" i="1"/>
  <c r="BN317" i="1"/>
  <c r="BP317" i="1"/>
  <c r="Z317" i="1"/>
  <c r="BN364" i="1"/>
  <c r="BP364" i="1"/>
  <c r="Z364" i="1"/>
  <c r="BN380" i="1"/>
  <c r="BP380" i="1"/>
  <c r="Z380" i="1"/>
  <c r="BN428" i="1"/>
  <c r="BP428" i="1"/>
  <c r="Z428" i="1"/>
  <c r="BN512" i="1"/>
  <c r="BP512" i="1"/>
  <c r="Z512" i="1"/>
  <c r="BN546" i="1"/>
  <c r="BP546" i="1"/>
  <c r="Z546" i="1"/>
  <c r="Y121" i="1"/>
  <c r="Y193" i="1"/>
  <c r="Z286" i="1"/>
  <c r="Z294" i="1"/>
  <c r="Z301" i="1"/>
  <c r="Z362" i="1"/>
  <c r="Z370" i="1"/>
  <c r="Z406" i="1"/>
  <c r="Z412" i="1"/>
  <c r="BP412" i="1"/>
  <c r="Y414" i="1"/>
  <c r="Z418" i="1"/>
  <c r="Z426" i="1"/>
  <c r="Z450" i="1"/>
  <c r="Z477" i="1"/>
  <c r="Z492" i="1"/>
  <c r="Z502" i="1"/>
  <c r="Z518" i="1"/>
  <c r="Z105" i="1"/>
  <c r="Y115" i="1"/>
  <c r="Z111" i="1"/>
  <c r="Z117" i="1"/>
  <c r="BP117" i="1"/>
  <c r="Z175" i="1"/>
  <c r="Z183" i="1"/>
  <c r="Z189" i="1"/>
  <c r="Z192" i="1" s="1"/>
  <c r="BP189" i="1"/>
  <c r="Z207" i="1"/>
  <c r="Z238" i="1"/>
  <c r="Z267" i="1"/>
  <c r="Z284" i="1"/>
  <c r="Z299" i="1"/>
  <c r="Z313" i="1"/>
  <c r="Z314" i="1" s="1"/>
  <c r="BP313" i="1"/>
  <c r="Z328" i="1"/>
  <c r="Z335" i="1"/>
  <c r="Z344" i="1"/>
  <c r="Z432" i="1"/>
  <c r="Z465" i="1"/>
  <c r="Z475" i="1"/>
  <c r="Z481" i="1"/>
  <c r="Z500" i="1"/>
  <c r="Z551" i="1"/>
  <c r="Z552" i="1" s="1"/>
  <c r="BP551" i="1"/>
  <c r="Y25" i="1"/>
  <c r="Y33" i="1"/>
  <c r="Y43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198" i="1"/>
  <c r="Y201" i="1"/>
  <c r="BP200" i="1"/>
  <c r="BN200" i="1"/>
  <c r="Z200" i="1"/>
  <c r="Z201" i="1" s="1"/>
  <c r="Y202" i="1"/>
  <c r="K564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Y243" i="1"/>
  <c r="BP247" i="1"/>
  <c r="BN247" i="1"/>
  <c r="Z247" i="1"/>
  <c r="Z249" i="1" s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Z320" i="1" s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34" i="1" l="1"/>
  <c r="Z306" i="1"/>
  <c r="Z389" i="1"/>
  <c r="Z243" i="1"/>
  <c r="Z145" i="1"/>
  <c r="Z121" i="1"/>
  <c r="Z114" i="1"/>
  <c r="Z80" i="1"/>
  <c r="Z32" i="1"/>
  <c r="X557" i="1"/>
  <c r="Z414" i="1"/>
  <c r="Z156" i="1"/>
  <c r="Z88" i="1"/>
  <c r="Y556" i="1"/>
  <c r="Y557" i="1" s="1"/>
  <c r="Z63" i="1"/>
  <c r="Z483" i="1"/>
  <c r="Z408" i="1"/>
  <c r="Z345" i="1"/>
  <c r="Y555" i="1"/>
  <c r="Z186" i="1"/>
  <c r="Z329" i="1"/>
  <c r="Z275" i="1"/>
  <c r="Z494" i="1"/>
  <c r="Y558" i="1"/>
  <c r="Z213" i="1"/>
  <c r="Z167" i="1"/>
  <c r="Z290" i="1"/>
  <c r="Z35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559" i="1" s="1"/>
  <c r="Z402" i="1"/>
  <c r="Y554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<sst xmlns="http://schemas.openxmlformats.org/spreadsheetml/2006/main" count="2517" uniqueCount="913">
  <si>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</si>
  <si>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</si>
  <si>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</si>
  <si>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</si>
  <si>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</si>
  <si>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</si>
  <si>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</si>
  <si>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</si>
  <si>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</si>
  <si>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</si>
  <si>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</si>
  <si>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</si>
  <si>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</si>
  <si>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</si>
  <si>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</si>
  <si>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</si>
  <si>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</si>
  <si>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</si>
  <si>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</si>
  <si>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</si>
  <si>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</si>
  <si>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</si>
  <si>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</si>
  <si>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</si>
  <si>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</si>
  <si>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</si>
  <si>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</si>
  <si>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</si>
  <si>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</si>
  <si>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</si>
  <si>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</si>
  <si>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</si>
  <si>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</si>
  <si>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</si>
  <si>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</si>
  <si>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</si>
  <si>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</si>
  <si>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</si>
  <si>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</si>
  <si>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</si>
  <si>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</si>
  <si>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</si>
  <si>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</si>
  <si>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</si>
  <si>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</si>
  <si>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</si>
  <si>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</si>
  <si>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</si>
  <si>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</si>
  <si>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</si>
  <si>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</si>
  <si>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</si>
  <si>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</si>
  <si>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</si>
  <si>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</si>
  <si>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</si>
  <si>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</si>
  <si>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</si>
  <si>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</si>
  <si>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</si>
  <si>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</si>
  <si>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</si>
  <si>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</si>
  <si>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</si>
  <si>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</si>
  <si>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</si>
  <si>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</si>
  <si>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</si>
  <si>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</si>
  <si>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</si>
  <si>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</si>
  <si>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</si>
  <si>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</si>
  <si>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</si>
  <si>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</si>
  <si>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</si>
  <si>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</si>
  <si>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</si>
  <si>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</si>
  <si>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</si>
  <si>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</si>
  <si>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</si>
  <si>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</si>
  <si>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</si>
  <si>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</si>
  <si>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</si>
  <si>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</si>
  <si>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</si>
  <si>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</si>
  <si>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</si>
  <si>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</si>
  <si>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</si>
  <si>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</si>
  <si>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</si>
  <si>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</si>
  <si>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</si>
  <si>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</si>
  <si>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</si>
  <si>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</si>
  <si>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</si>
  <si>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</si>
  <si>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</si>
  <si>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</si>
  <si>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</si>
  <si>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</si>
  <si>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</si>
  <si>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</si>
  <si>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</si>
  <si>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</si>
  <si>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</si>
  <si>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</si>
  <si>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</si>
  <si>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</si>
  <si>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</si>
  <si>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</si>
  <si>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</si>
  <si>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</si>
  <si>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</si>
  <si>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</si>
  <si>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</si>
  <si>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</si>
  <si>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</si>
  <si>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</si>
  <si>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</si>
  <si>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</si>
  <si>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</si>
  <si>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</si>
  <si>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</si>
  <si>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</si>
  <si>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</si>
  <si>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</si>
  <si>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</si>
  <si>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</si>
  <si>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</si>
  <si>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</si>
  <si>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</si>
  <si>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</si>
  <si>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</si>
  <si>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</si>
  <si>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</si>
  <si>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</si>
  <si>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</si>
  <si>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</si>
  <si>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</si>
  <si>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</si>
  <si>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</si>
  <si>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</si>
  <si>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</si>
  <si>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</si>
  <si>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</si>
  <si>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</si>
  <si>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</si>
  <si>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</si>
  <si>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</si>
  <si>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</si>
  <si>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</si>
  <si>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</si>
  <si>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</si>
  <si>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</si>
  <si>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</si>
  <si>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</si>
  <si>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</si>
  <si>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</si>
  <si>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</si>
  <si>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</si>
  <si>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</si>
  <si>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</si>
  <si>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</si>
  <si>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</si>
  <si>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</si>
  <si>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</si>
  <si>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</si>
  <si>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</si>
  <si>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</si>
  <si>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</si>
  <si>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</si>
  <si>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</si>
  <si>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</si>
  <si>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</si>
  <si>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</si>
  <si>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</si>
  <si>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</si>
  <si>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</si>
  <si>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</si>
  <si>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</si>
  <si>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</si>
  <si>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</si>
  <si>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</si>
  <si>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</si>
  <si>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</si>
  <si>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</si>
  <si>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</si>
  <si>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</si>
  <si>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</si>
  <si>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</si>
  <si>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</si>
  <si>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</si>
  <si>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</si>
  <si>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</si>
  <si>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</si>
  <si>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</si>
  <si>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</si>
  <si>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</si>
  <si>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</si>
  <si>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</si>
  <si>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</si>
  <si>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</si>
  <si>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</si>
  <si>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</si>
  <si>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</si>
  <si>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</si>
  <si>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</si>
  <si>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</si>
  <si>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</si>
  <si>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</si>
  <si>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</si>
  <si>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</si>
  <si>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</si>
  <si>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</si>
  <si>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</si>
  <si>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</si>
  <si>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</si>
  <si>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</si>
  <si>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</si>
  <si>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</si>
  <si>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</si>
  <si>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</si>
  <si>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</si>
  <si>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</si>
  <si>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</si>
  <si>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</si>
  <si>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</si>
  <si>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</si>
  <si>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</si>
  <si>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</si>
  <si>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</si>
  <si>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</si>
  <si>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</si>
  <si>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</si>
  <si>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</si>
  <si>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</si>
  <si>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</si>
  <si>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</si>
  <si>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</si>
  <si>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</si>
  <si>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</si>
  <si>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</si>
  <si>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</si>
  <si>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</si>
  <si>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</si>
  <si>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</si>
  <si>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</si>
  <si>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</si>
  <si>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</si>
  <si>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</si>
  <si>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</si>
  <si>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</si>
  <si>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</si>
  <si>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</si>
  <si>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</si>
  <si>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</si>
  <si>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</si>
  <si>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</si>
  <si>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</si>
  <si>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</si>
  <si>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</si>
  <si>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</si>
  <si>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</si>
  <si>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</si>
  <si>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</si>
  <si>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</si>
  <si>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</si>
  <si>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</si>
  <si>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</si>
  <si>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</si>
  <si>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</si>
  <si>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</si>
  <si>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</si>
  <si>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</si>
  <si>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</si>
  <si>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</si>
  <si>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</si>
  <si>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</si>
  <si>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</si>
  <si>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</si>
  <si>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</si>
  <si>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</si>
  <si>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</si>
  <si>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</si>
  <si>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</si>
  <si>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</si>
  <si>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</si>
  <si>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</si>
  <si>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</si>
  <si>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</si>
  <si>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</si>
  <si>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</si>
  <si>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</si>
  <si>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</si>
  <si>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</si>
  <si>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</si>
  <si>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</si>
  <si>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</si>
  <si>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</si>
  <si>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</si>
  <si>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</si>
  <si>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</si>
  <si>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</si>
  <si>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</si>
  <si>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</si>
  <si>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</si>
  <si>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</si>
  <si>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</si>
  <si>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</si>
  <si>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</si>
  <si>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</si>
  <si>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</si>
  <si>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</si>
  <si>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</si>
  <si>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</si>
  <si>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</si>
  <si>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</si>
  <si>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</si>
  <si>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</si>
  <si>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</si>
  <si>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</si>
  <si>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</si>
  <si>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</si>
  <si>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</si>
  <si>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</si>
  <si>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</si>
  <si>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</si>
  <si>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</si>
  <si>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</si>
  <si>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</si>
  <si>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</si>
  <si>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</si>
  <si>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</si>
  <si>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</si>
  <si>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</si>
  <si>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</si>
  <si>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</si>
  <si>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</si>
  <si>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</si>
  <si>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</si>
  <si>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</si>
  <si>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</si>
  <si>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</si>
  <si>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</si>
  <si>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</si>
  <si>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</si>
  <si>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</si>
  <si>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</si>
  <si>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</si>
  <si>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</si>
  <si>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</si>
  <si>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</si>
  <si>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</si>
  <si>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</si>
  <si>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</si>
  <si>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</si>
  <si>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</si>
  <si>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</si>
  <si>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</si>
  <si>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</si>
  <si>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</si>
  <si>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</si>
  <si>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</si>
  <si>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</si>
  <si>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</si>
  <si>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</si>
  <si>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</si>
  <si>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</si>
  <si>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</si>
  <si>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</si>
  <si>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</si>
  <si>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</si>
  <si>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</si>
  <si>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</si>
  <si>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</si>
  <si>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</si>
  <si>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</si>
  <si>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</si>
  <si>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</si>
  <si>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</si>
  <si>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</si>
  <si>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</si>
  <si>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</si>
  <si>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</si>
  <si>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</si>
  <si>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</si>
  <si>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</si>
  <si>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</si>
  <si>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</si>
  <si>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</si>
  <si>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</si>
  <si>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</si>
  <si>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</si>
  <si>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</si>
  <si>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</si>
  <si>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</si>
  <si>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</si>
  <si>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</si>
  <si>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</si>
  <si>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</si>
  <si>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</si>
  <si>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</si>
  <si>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</si>
  <si>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</si>
  <si>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</si>
  <si>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</si>
  <si>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</si>
  <si>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</si>
  <si>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</si>
  <si>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</si>
  <si>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</si>
  <si>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</si>
  <si>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</si>
  <si>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</si>
  <si>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</si>
  <si>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</si>
  <si>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</si>
  <si>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</si>
  <si>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</si>
  <si>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</si>
  <si>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</si>
  <si>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</si>
  <si>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</si>
  <si>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</si>
  <si>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</si>
  <si>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</si>
  <si>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</si>
  <si>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</si>
  <si>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</si>
  <si>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</si>
  <si>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</si>
  <si>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</si>
  <si>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</si>
  <si>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</si>
  <si>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</si>
  <si>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</si>
  <si>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</si>
  <si>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</si>
  <si>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</si>
  <si>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</si>
  <si>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</si>
  <si>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</si>
  <si>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</si>
  <si>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</si>
  <si>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</si>
  <si>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</si>
  <si>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</si>
  <si>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</si>
  <si>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</si>
  <si>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</si>
  <si>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</si>
  <si>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</si>
  <si>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</si>
  <si>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</si>
  <si>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</si>
  <si>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</si>
  <si>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</si>
  <si>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</si>
  <si>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</si>
  <si>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</si>
  <si>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</si>
  <si>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</si>
  <si>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</si>
  <si>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</si>
  <si>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</si>
  <si>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</si>
  <si>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</si>
  <si>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</si>
  <si>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</si>
  <si>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</si>
  <si>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</si>
  <si>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</si>
  <si>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</si>
  <si>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</si>
  <si>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</si>
  <si>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</si>
  <si>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</si>
  <si>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</si>
  <si>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</si>
  <si>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</si>
  <si>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</si>
  <si>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</si>
  <si>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</si>
  <si>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</si>
  <si>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</si>
  <si>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</si>
  <si>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</si>
  <si>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</si>
  <si>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</si>
  <si>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</si>
  <si>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</si>
  <si>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</si>
  <si>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</si>
  <si>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</si>
  <si>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</si>
  <si>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</si>
  <si>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</si>
  <si>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</si>
  <si>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</si>
  <si>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</si>
  <si>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</si>
  <si>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</si>
  <si>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</si>
  <si>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</si>
  <si>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</si>
  <si>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</si>
  <si>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</si>
  <si>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</si>
  <si>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</si>
  <si>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</si>
  <si>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</si>
  <si>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</si>
  <si>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</si>
  <si>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</si>
  <si>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</si>
  <si>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</si>
  <si>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</si>
  <si>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</si>
  <si>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</si>
  <si>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</si>
  <si>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</si>
  <si>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</si>
  <si>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</si>
  <si>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</si>
  <si>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</si>
  <si>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</si>
  <si>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</si>
  <si>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</si>
  <si>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</si>
  <si>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</si>
  <si>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</si>
  <si>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</si>
  <si>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</si>
  <si>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</si>
  <si>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</si>
  <si>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</si>
  <si>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</si>
  <si>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</si>
  <si>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</si>
  <si>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</si>
  <si>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</si>
  <si>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</si>
  <si>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</si>
  <si>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</si>
  <si>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</si>
  <si>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</si>
  <si>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</si>
  <si>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</si>
  <si>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</si>
  <si>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</si>
  <si>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</si>
  <si>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</si>
  <si>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</si>
  <si>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</si>
  <si>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</si>
  <si>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</si>
  <si>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</si>
  <si>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</si>
  <si>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</si>
  <si>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</si>
  <si>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</si>
  <si>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</si>
  <si>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</si>
  <si>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</si>
  <si>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</si>
  <si>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</si>
  <si>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</si>
  <si>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</si>
  <si>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</si>
  <si>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</si>
  <si>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</si>
  <si>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</si>
  <si>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</si>
  <si>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</si>
  <si>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</si>
  <si>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</si>
  <si>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</si>
  <si>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</si>
  <si>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</si>
  <si>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</si>
  <si>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</si>
  <si>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</si>
  <si>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</si>
  <si>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</si>
  <si>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</si>
  <si>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</si>
  <si>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</si>
  <si>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</si>
  <si>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</si>
  <si>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</si>
  <si>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</si>
  <si>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</si>
  <si>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</si>
  <si>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</si>
  <si>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</si>
  <si>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</si>
  <si>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</si>
  <si>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</si>
  <si>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</si>
  <si>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</si>
  <si>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</si>
  <si>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</si>
  <si>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</si>
  <si>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</si>
  <si>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</si>
  <si>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</si>
  <si>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</si>
  <si>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</si>
  <si>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</si>
  <si>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</si>
  <si>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</si>
  <si>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</si>
  <si>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</si>
  <si>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</si>
  <si>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</si>
  <si>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</si>
  <si>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</si>
  <si>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</si>
  <si>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</si>
  <si>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</si>
  <si>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</si>
  <si>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</si>
  <si>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</si>
  <si>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</si>
  <si>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</si>
  <si>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</si>
  <si>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</si>
  <si>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</si>
  <si>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</si>
  <si>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</si>
  <si>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</si>
  <si>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</si>
  <si>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</si>
  <si>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</si>
  <si>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</si>
  <si>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</si>
  <si>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</si>
  <si>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</si>
  <si>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</si>
  <si>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</si>
  <si>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</si>
  <si>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</si>
  <si>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</si>
  <si>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</si>
  <si>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</si>
  <si>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</si>
  <si>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</si>
  <si>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</si>
  <si>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</si>
  <si>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</si>
  <si>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</si>
  <si>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</si>
  <si>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</si>
  <si>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</si>
  <si>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</si>
  <si>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</si>
  <si>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</si>
  <si>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</si>
  <si>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</si>
  <si>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</si>
  <si>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</si>
  <si>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</si>
  <si>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</si>
  <si>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</si>
  <si>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</si>
  <si>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</si>
  <si>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</si>
  <si>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</si>
  <si>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</si>
  <si>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</si>
  <si>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</si>
  <si>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</si>
  <si>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</si>
  <si>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</si>
  <si>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</si>
  <si>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</si>
  <si>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</si>
  <si>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</si>
  <si>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</si>
  <si>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</si>
  <si>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</si>
  <si>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</si>
  <si>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</si>
  <si>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</si>
  <si>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</si>
  <si>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</si>
  <si>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</si>
  <si>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</si>
  <si>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</si>
  <si>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</si>
  <si>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</si>
  <si>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</si>
  <si>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</si>
  <si>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</si>
  <si>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</si>
  <si>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</si>
  <si>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</si>
  <si>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</si>
  <si>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</si>
  <si>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</si>
  <si>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</si>
  <si>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</si>
  <si>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</si>
  <si>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</si>
  <si>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</si>
  <si>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</si>
  <si>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</si>
  <si>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</si>
  <si>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</si>
  <si>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</si>
  <si>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</si>
  <si>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</si>
  <si>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</si>
  <si>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</si>
  <si>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</si>
  <si>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</si>
  <si>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</si>
  <si>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</si>
  <si>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</si>
  <si>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</si>
  <si>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</si>
  <si>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</si>
  <si>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</si>
  <si>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</si>
  <si>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</si>
  <si>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</si>
  <si>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</si>
  <si>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</si>
  <si>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</si>
  <si>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</si>
  <si>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</si>
  <si>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</si>
  <si>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</si>
  <si>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</si>
  <si>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</si>
  <si>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</si>
  <si>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</si>
  <si>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</si>
  <si>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</si>
  <si>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</si>
  <si>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</si>
  <si>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</si>
  <si>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</si>
  <si>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</si>
  <si>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</si>
  <si>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</si>
  <si>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</si>
  <si>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</si>
  <si>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</si>
  <si>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</si>
  <si>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</si>
  <si>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</si>
  <si>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</si>
  <si>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</si>
  <si>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</si>
  <si>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</si>
  <si>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</si>
  <si>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</si>
  <si>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</si>
  <si>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</si>
  <si>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</si>
  <si>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</si>
  <si>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</si>
  <si>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</si>
  <si>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</si>
  <si>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</si>
  <si>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</si>
  <si>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</si>
  <si>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</si>
  <si>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</si>
  <si>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</si>
  <si>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</si>
  <si>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</si>
  <si>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</si>
  <si>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</si>
  <si>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</si>
  <si>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</si>
  <si>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</si>
  <si>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</si>
  <si>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</si>
  <si>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</si>
  <si>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</si>
  <si>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</si>
  <si>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</si>
  <si>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</si>
  <si>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</si>
  <si>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</si>
  <si>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</si>
  <si>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</si>
  <si>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</si>
  <si>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</si>
  <si>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</si>
  <si>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</si>
  <si>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</si>
  <si>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</si>
  <si>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</si>
  <si>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</si>
  <si>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</si>
  <si>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</si>
  <si>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</si>
  <si>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</si>
  <si>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</si>
  <si>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</si>
  <si>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</si>
  <si>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</si>
  <si>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</si>
  <si>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</si>
  <si>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</si>
  <si>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</si>
  <si>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</si>
  <si>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</si>
  <si>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</si>
  <si>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</si>
  <si>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</si>
  <si>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</si>
  <si>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</si>
  <si>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</si>
  <si>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</si>
  <si>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</si>
  <si>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</si>
  <si>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</si>
  <si>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</si>
  <si>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</si>
  <si>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</si>
  <si>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</si>
  <si>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</si>
  <si>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</si>
  <si>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</si>
  <si>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</si>
  <si>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</si>
  <si>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</si>
  <si>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</si>
  <si>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</si>
  <si>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</si>
  <si>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</si>
  <si>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</si>
  <si>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</si>
  <si>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</si>
  <si>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</si>
  <si>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</si>
  <si>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</si>
  <si>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</si>
  <si>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</si>
  <si>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</si>
  <si>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</si>
  <si>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</si>
  <si>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</si>
  <si>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</si>
  <si>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</si>
  <si>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</si>
  <si>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</si>
  <si>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</si>
  <si>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</si>
  <si>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</si>
  <si>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</si>
  <si>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</si>
  <si>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</si>
  <si>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</si>
  <si>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</si>
  <si>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</si>
  <si>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</si>
  <si>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</si>
  <si>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</si>
  <si>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</si>
  <si>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</si>
  <si>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</si>
  <si>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</si>
  <si>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</si>
  <si>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</si>
  <si>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</si>
  <si>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</si>
  <si>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</si>
  <si>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</si>
  <si>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</si>
  <si>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</si>
  <si>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</si>
  <si>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</si>
  <si>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</si>
  <si>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</si>
  <si>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</si>
  <si>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</si>
  <si>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</si>
  <si>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</si>
  <si>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</si>
  <si>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</si>
  <si>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</si>
  <si>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</si>
  <si>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</si>
  <si>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</si>
  <si>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</si>
  <si>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</si>
  <si>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</si>
  <si>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</si>
  <si>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</si>
  <si>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</si>
  <si>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</si>
  <si>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</si>
  <si>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</si>
  <si>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</si>
  <si>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</si>
  <si>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</si>
  <si>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</si>
  <si>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</si>
  <si>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</si>
  <si>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</si>
  <si>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</si>
  <si>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</si>
  <si>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12 европалет,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</si>
</sst>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topLeftCell="A430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46245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873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Вторник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0.45833333333333331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hidden="1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hidden="1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25</v>
      </c>
      <c r="Y57" s="634">
        <f t="shared" si="0"/>
        <v>32.400000000000006</v>
      </c>
      <c r="Z57" s="36">
        <f>IFERROR(IF(Y57=0,"",ROUNDUP(Y57/H57,0)*0.01898),"")</f>
        <v>5.6940000000000004E-2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25.949074074074073</v>
      </c>
      <c r="BN57" s="64">
        <f t="shared" si="2"/>
        <v>33.630000000000003</v>
      </c>
      <c r="BO57" s="64">
        <f t="shared" si="3"/>
        <v>3.6168981481481483E-2</v>
      </c>
      <c r="BP57" s="64">
        <f t="shared" si="4"/>
        <v>4.6875000000000007E-2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2.3148148148148149</v>
      </c>
      <c r="Y63" s="635">
        <f>IFERROR(Y55/H55,"0")+IFERROR(Y56/H56,"0")+IFERROR(Y57/H57,"0")+IFERROR(Y58/H58,"0")+IFERROR(Y59/H59,"0")+IFERROR(Y60/H60,"0")+IFERROR(Y61/H61,"0")+IFERROR(Y62/H62,"0")</f>
        <v>3.0000000000000004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5.6940000000000004E-2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25</v>
      </c>
      <c r="Y64" s="635">
        <f>IFERROR(SUM(Y55:Y62),"0")</f>
        <v>32.400000000000006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9</v>
      </c>
      <c r="Y66" s="634">
        <f>IFERROR(IF(X66="",0,CEILING((X66/$H66),1)*$H66),"")</f>
        <v>10.8</v>
      </c>
      <c r="Z66" s="36">
        <f>IFERROR(IF(Y66=0,"",ROUNDUP(Y66/H66,0)*0.01898),"")</f>
        <v>1.898E-2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9.3416666666666668</v>
      </c>
      <c r="BN66" s="64">
        <f>IFERROR(Y66*I66/H66,"0")</f>
        <v>11.21</v>
      </c>
      <c r="BO66" s="64">
        <f>IFERROR(1/J66*(X66/H66),"0")</f>
        <v>1.3020833333333332E-2</v>
      </c>
      <c r="BP66" s="64">
        <f>IFERROR(1/J66*(Y66/H66),"0")</f>
        <v>1.5625E-2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0.83333333333333326</v>
      </c>
      <c r="Y70" s="635">
        <f>IFERROR(Y66/H66,"0")+IFERROR(Y67/H67,"0")+IFERROR(Y68/H68,"0")+IFERROR(Y69/H69,"0")</f>
        <v>1</v>
      </c>
      <c r="Z70" s="635">
        <f>IFERROR(IF(Z66="",0,Z66),"0")+IFERROR(IF(Z67="",0,Z67),"0")+IFERROR(IF(Z68="",0,Z68),"0")+IFERROR(IF(Z69="",0,Z69),"0")</f>
        <v>1.898E-2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9</v>
      </c>
      <c r="Y71" s="635">
        <f>IFERROR(SUM(Y66:Y69),"0")</f>
        <v>10.8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152</v>
      </c>
      <c r="Y78" s="634">
        <f>IFERROR(IF(X78="",0,CEILING((X78/$H78),1)*$H78),"")</f>
        <v>156</v>
      </c>
      <c r="Z78" s="36">
        <f>IFERROR(IF(Y78=0,"",ROUNDUP(Y78/H78,0)*0.01898),"")</f>
        <v>0.37959999999999999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159.9897435897436</v>
      </c>
      <c r="BN78" s="64">
        <f>IFERROR(Y78*I78/H78,"0")</f>
        <v>164.20000000000005</v>
      </c>
      <c r="BO78" s="64">
        <f>IFERROR(1/J78*(X78/H78),"0")</f>
        <v>0.30448717948717952</v>
      </c>
      <c r="BP78" s="64">
        <f>IFERROR(1/J78*(Y78/H78),"0")</f>
        <v>0.3125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19.487179487179489</v>
      </c>
      <c r="Y80" s="635">
        <f>IFERROR(Y78/H78,"0")+IFERROR(Y79/H79,"0")</f>
        <v>20</v>
      </c>
      <c r="Z80" s="635">
        <f>IFERROR(IF(Z78="",0,Z78),"0")+IFERROR(IF(Z79="",0,Z79),"0")</f>
        <v>0.37959999999999999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152</v>
      </c>
      <c r="Y81" s="635">
        <f>IFERROR(SUM(Y78:Y79),"0")</f>
        <v>156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12</v>
      </c>
      <c r="Y85" s="634">
        <f>IFERROR(IF(X85="",0,CEILING((X85/$H85),1)*$H85),"")</f>
        <v>13.6</v>
      </c>
      <c r="Z85" s="36">
        <f>IFERROR(IF(Y85=0,"",ROUNDUP(Y85/H85,0)*0.00726),"")</f>
        <v>5.808E-2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12.705882352941178</v>
      </c>
      <c r="BN85" s="64">
        <f>IFERROR(Y85*I85/H85,"0")</f>
        <v>14.4</v>
      </c>
      <c r="BO85" s="64">
        <f>IFERROR(1/J85*(X85/H85),"0")</f>
        <v>3.6764705882352935E-2</v>
      </c>
      <c r="BP85" s="64">
        <f>IFERROR(1/J85*(Y85/H85),"0")</f>
        <v>4.1666666666666664E-2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7.0588235294117645</v>
      </c>
      <c r="Y88" s="635">
        <f>IFERROR(Y84/H84,"0")+IFERROR(Y85/H85,"0")+IFERROR(Y86/H86,"0")+IFERROR(Y87/H87,"0")</f>
        <v>8</v>
      </c>
      <c r="Z88" s="635">
        <f>IFERROR(IF(Z84="",0,Z84),"0")+IFERROR(IF(Z85="",0,Z85),"0")+IFERROR(IF(Z86="",0,Z86),"0")+IFERROR(IF(Z87="",0,Z87),"0")</f>
        <v>5.808E-2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12</v>
      </c>
      <c r="Y89" s="635">
        <f>IFERROR(SUM(Y84:Y87),"0")</f>
        <v>13.6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369</v>
      </c>
      <c r="Y91" s="634">
        <f>IFERROR(IF(X91="",0,CEILING((X91/$H91),1)*$H91),"")</f>
        <v>372.59999999999997</v>
      </c>
      <c r="Z91" s="36">
        <f>IFERROR(IF(Y91=0,"",ROUNDUP(Y91/H91,0)*0.01898),"")</f>
        <v>0.87307999999999997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391.5044444444444</v>
      </c>
      <c r="BN91" s="64">
        <f>IFERROR(Y91*I91/H91,"0")</f>
        <v>395.32399999999996</v>
      </c>
      <c r="BO91" s="64">
        <f>IFERROR(1/J91*(X91/H91),"0")</f>
        <v>0.71180555555555558</v>
      </c>
      <c r="BP91" s="64">
        <f>IFERROR(1/J91*(Y91/H91),"0")</f>
        <v>0.71875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8</v>
      </c>
      <c r="Y93" s="634">
        <f>IFERROR(IF(X93="",0,CEILING((X93/$H93),1)*$H93),"")</f>
        <v>8.1000000000000014</v>
      </c>
      <c r="Z93" s="36">
        <f>IFERROR(IF(Y93=0,"",ROUNDUP(Y93/H93,0)*0.00651),"")</f>
        <v>1.9529999999999999E-2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8.7466666666666661</v>
      </c>
      <c r="BN93" s="64">
        <f>IFERROR(Y93*I93/H93,"0")</f>
        <v>8.8560000000000016</v>
      </c>
      <c r="BO93" s="64">
        <f>IFERROR(1/J93*(X93/H93),"0")</f>
        <v>1.6280016280016279E-2</v>
      </c>
      <c r="BP93" s="64">
        <f>IFERROR(1/J93*(Y93/H93),"0")</f>
        <v>1.6483516483516487E-2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48.518518518518519</v>
      </c>
      <c r="Y95" s="635">
        <f>IFERROR(Y91/H91,"0")+IFERROR(Y92/H92,"0")+IFERROR(Y93/H93,"0")+IFERROR(Y94/H94,"0")</f>
        <v>49</v>
      </c>
      <c r="Z95" s="635">
        <f>IFERROR(IF(Z91="",0,Z91),"0")+IFERROR(IF(Z92="",0,Z92),"0")+IFERROR(IF(Z93="",0,Z93),"0")+IFERROR(IF(Z94="",0,Z94),"0")</f>
        <v>0.89261000000000001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377</v>
      </c>
      <c r="Y96" s="635">
        <f>IFERROR(SUM(Y91:Y94),"0")</f>
        <v>380.7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12</v>
      </c>
      <c r="Y100" s="634">
        <f t="shared" si="5"/>
        <v>12.100000000000001</v>
      </c>
      <c r="Z100" s="36">
        <f>IFERROR(IF(Y100=0,"",ROUNDUP(Y100/H100,0)*0.00726),"")</f>
        <v>7.986E-2</v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14.290909090909091</v>
      </c>
      <c r="BN100" s="64">
        <f t="shared" si="7"/>
        <v>14.410000000000002</v>
      </c>
      <c r="BO100" s="64">
        <f t="shared" si="8"/>
        <v>5.6818181818181809E-2</v>
      </c>
      <c r="BP100" s="64">
        <f t="shared" si="9"/>
        <v>5.7291666666666664E-2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10.909090909090908</v>
      </c>
      <c r="Y106" s="635">
        <f>IFERROR(Y99/H99,"0")+IFERROR(Y100/H100,"0")+IFERROR(Y101/H101,"0")+IFERROR(Y102/H102,"0")+IFERROR(Y103/H103,"0")+IFERROR(Y104/H104,"0")+IFERROR(Y105/H105,"0")</f>
        <v>11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7.986E-2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12</v>
      </c>
      <c r="Y107" s="635">
        <f>IFERROR(SUM(Y99:Y105),"0")</f>
        <v>12.100000000000001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41</v>
      </c>
      <c r="Y109" s="634">
        <f>IFERROR(IF(X109="",0,CEILING((X109/$H109),1)*$H109),"")</f>
        <v>43.2</v>
      </c>
      <c r="Z109" s="36">
        <f>IFERROR(IF(Y109=0,"",ROUNDUP(Y109/H109,0)*0.01898),"")</f>
        <v>7.5920000000000001E-2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42.556481481481477</v>
      </c>
      <c r="BN109" s="64">
        <f>IFERROR(Y109*I109/H109,"0")</f>
        <v>44.84</v>
      </c>
      <c r="BO109" s="64">
        <f>IFERROR(1/J109*(X109/H109),"0")</f>
        <v>5.9317129629629622E-2</v>
      </c>
      <c r="BP109" s="64">
        <f>IFERROR(1/J109*(Y109/H109),"0")</f>
        <v>6.25E-2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18</v>
      </c>
      <c r="Y113" s="634">
        <f>IFERROR(IF(X113="",0,CEILING((X113/$H113),1)*$H113),"")</f>
        <v>19.2</v>
      </c>
      <c r="Z113" s="36">
        <f>IFERROR(IF(Y113=0,"",ROUNDUP(Y113/H113,0)*0.00651),"")</f>
        <v>5.2080000000000001E-2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19.350000000000001</v>
      </c>
      <c r="BN113" s="64">
        <f>IFERROR(Y113*I113/H113,"0")</f>
        <v>20.64</v>
      </c>
      <c r="BO113" s="64">
        <f>IFERROR(1/J113*(X113/H113),"0")</f>
        <v>4.1208791208791215E-2</v>
      </c>
      <c r="BP113" s="64">
        <f>IFERROR(1/J113*(Y113/H113),"0")</f>
        <v>4.3956043956043959E-2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11.296296296296296</v>
      </c>
      <c r="Y114" s="635">
        <f>IFERROR(Y109/H109,"0")+IFERROR(Y110/H110,"0")+IFERROR(Y111/H111,"0")+IFERROR(Y112/H112,"0")+IFERROR(Y113/H113,"0")</f>
        <v>12</v>
      </c>
      <c r="Z114" s="635">
        <f>IFERROR(IF(Z109="",0,Z109),"0")+IFERROR(IF(Z110="",0,Z110),"0")+IFERROR(IF(Z111="",0,Z111),"0")+IFERROR(IF(Z112="",0,Z112),"0")+IFERROR(IF(Z113="",0,Z113),"0")</f>
        <v>0.128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59</v>
      </c>
      <c r="Y115" s="635">
        <f>IFERROR(SUM(Y109:Y113),"0")</f>
        <v>62.400000000000006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373</v>
      </c>
      <c r="Y117" s="634">
        <f>IFERROR(IF(X117="",0,CEILING((X117/$H117),1)*$H117),"")</f>
        <v>380.7</v>
      </c>
      <c r="Z117" s="36">
        <f>IFERROR(IF(Y117=0,"",ROUNDUP(Y117/H117,0)*0.01898),"")</f>
        <v>0.89205999999999996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395.47209876543207</v>
      </c>
      <c r="BN117" s="64">
        <f>IFERROR(Y117*I117/H117,"0")</f>
        <v>403.63599999999997</v>
      </c>
      <c r="BO117" s="64">
        <f>IFERROR(1/J117*(X117/H117),"0")</f>
        <v>0.71952160493827166</v>
      </c>
      <c r="BP117" s="64">
        <f>IFERROR(1/J117*(Y117/H117),"0")</f>
        <v>0.734375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157</v>
      </c>
      <c r="Y119" s="634">
        <f>IFERROR(IF(X119="",0,CEILING((X119/$H119),1)*$H119),"")</f>
        <v>159.30000000000001</v>
      </c>
      <c r="Z119" s="36">
        <f>IFERROR(IF(Y119=0,"",ROUNDUP(Y119/H119,0)*0.00651),"")</f>
        <v>0.38408999999999999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171.65333333333331</v>
      </c>
      <c r="BN119" s="64">
        <f>IFERROR(Y119*I119/H119,"0")</f>
        <v>174.16799999999998</v>
      </c>
      <c r="BO119" s="64">
        <f>IFERROR(1/J119*(X119/H119),"0")</f>
        <v>0.31949531949531951</v>
      </c>
      <c r="BP119" s="64">
        <f>IFERROR(1/J119*(Y119/H119),"0")</f>
        <v>0.32417582417582419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104.19753086419753</v>
      </c>
      <c r="Y121" s="635">
        <f>IFERROR(Y117/H117,"0")+IFERROR(Y118/H118,"0")+IFERROR(Y119/H119,"0")+IFERROR(Y120/H120,"0")</f>
        <v>106</v>
      </c>
      <c r="Z121" s="635">
        <f>IFERROR(IF(Z117="",0,Z117),"0")+IFERROR(IF(Z118="",0,Z118),"0")+IFERROR(IF(Z119="",0,Z119),"0")+IFERROR(IF(Z120="",0,Z120),"0")</f>
        <v>1.2761499999999999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530</v>
      </c>
      <c r="Y122" s="635">
        <f>IFERROR(SUM(Y117:Y120),"0")</f>
        <v>540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39</v>
      </c>
      <c r="Y124" s="634">
        <f>IFERROR(IF(X124="",0,CEILING((X124/$H124),1)*$H124),"")</f>
        <v>39.6</v>
      </c>
      <c r="Z124" s="36">
        <f>IFERROR(IF(Y124=0,"",ROUNDUP(Y124/H124,0)*0.00651),"")</f>
        <v>0.13020000000000001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44.081818181818178</v>
      </c>
      <c r="BN124" s="64">
        <f>IFERROR(Y124*I124/H124,"0")</f>
        <v>44.760000000000005</v>
      </c>
      <c r="BO124" s="64">
        <f>IFERROR(1/J124*(X124/H124),"0")</f>
        <v>0.10822510822510822</v>
      </c>
      <c r="BP124" s="64">
        <f>IFERROR(1/J124*(Y124/H124),"0")</f>
        <v>0.1098901098901099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19.696969696969695</v>
      </c>
      <c r="Y125" s="635">
        <f>IFERROR(Y124/H124,"0")</f>
        <v>20</v>
      </c>
      <c r="Z125" s="635">
        <f>IFERROR(IF(Z124="",0,Z124),"0")</f>
        <v>0.13020000000000001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39</v>
      </c>
      <c r="Y126" s="635">
        <f>IFERROR(SUM(Y124:Y124),"0")</f>
        <v>39.6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44</v>
      </c>
      <c r="Y130" s="634">
        <f>IFERROR(IF(X130="",0,CEILING((X130/$H130),1)*$H130),"")</f>
        <v>44.800000000000004</v>
      </c>
      <c r="Z130" s="36">
        <f>IFERROR(IF(Y130=0,"",ROUNDUP(Y130/H130,0)*0.00651),"")</f>
        <v>9.1139999999999999E-2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46.474999999999994</v>
      </c>
      <c r="BN130" s="64">
        <f>IFERROR(Y130*I130/H130,"0")</f>
        <v>47.32</v>
      </c>
      <c r="BO130" s="64">
        <f>IFERROR(1/J130*(X130/H130),"0")</f>
        <v>7.5549450549450559E-2</v>
      </c>
      <c r="BP130" s="64">
        <f>IFERROR(1/J130*(Y130/H130),"0")</f>
        <v>7.6923076923076927E-2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13.75</v>
      </c>
      <c r="Y132" s="635">
        <f>IFERROR(Y129/H129,"0")+IFERROR(Y130/H130,"0")+IFERROR(Y131/H131,"0")</f>
        <v>14</v>
      </c>
      <c r="Z132" s="635">
        <f>IFERROR(IF(Z129="",0,Z129),"0")+IFERROR(IF(Z130="",0,Z130),"0")+IFERROR(IF(Z131="",0,Z131),"0")</f>
        <v>9.1139999999999999E-2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44</v>
      </c>
      <c r="Y133" s="635">
        <f>IFERROR(SUM(Y129:Y131),"0")</f>
        <v>44.800000000000004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102</v>
      </c>
      <c r="Y136" s="634">
        <f>IFERROR(IF(X136="",0,CEILING((X136/$H136),1)*$H136),"")</f>
        <v>103.6</v>
      </c>
      <c r="Z136" s="36">
        <f>IFERROR(IF(Y136=0,"",ROUNDUP(Y136/H136,0)*0.00651),"")</f>
        <v>0.24087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111.76285714285714</v>
      </c>
      <c r="BN136" s="64">
        <f>IFERROR(Y136*I136/H136,"0")</f>
        <v>113.51599999999999</v>
      </c>
      <c r="BO136" s="64">
        <f>IFERROR(1/J136*(X136/H136),"0")</f>
        <v>0.20015698587127162</v>
      </c>
      <c r="BP136" s="64">
        <f>IFERROR(1/J136*(Y136/H136),"0")</f>
        <v>0.20329670329670332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36.428571428571431</v>
      </c>
      <c r="Y139" s="635">
        <f>IFERROR(Y135/H135,"0")+IFERROR(Y136/H136,"0")+IFERROR(Y137/H137,"0")+IFERROR(Y138/H138,"0")</f>
        <v>37</v>
      </c>
      <c r="Z139" s="635">
        <f>IFERROR(IF(Z135="",0,Z135),"0")+IFERROR(IF(Z136="",0,Z136),"0")+IFERROR(IF(Z137="",0,Z137),"0")+IFERROR(IF(Z138="",0,Z138),"0")</f>
        <v>0.24087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102</v>
      </c>
      <c r="Y140" s="635">
        <f>IFERROR(SUM(Y135:Y138),"0")</f>
        <v>103.6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87</v>
      </c>
      <c r="Y143" s="634">
        <f>IFERROR(IF(X143="",0,CEILING((X143/$H143),1)*$H143),"")</f>
        <v>87.12</v>
      </c>
      <c r="Z143" s="36">
        <f>IFERROR(IF(Y143=0,"",ROUNDUP(Y143/H143,0)*0.00651),"")</f>
        <v>0.21482999999999999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95.831818181818164</v>
      </c>
      <c r="BN143" s="64">
        <f>IFERROR(Y143*I143/H143,"0")</f>
        <v>95.963999999999999</v>
      </c>
      <c r="BO143" s="64">
        <f>IFERROR(1/J143*(X143/H143),"0")</f>
        <v>0.18106893106893107</v>
      </c>
      <c r="BP143" s="64">
        <f>IFERROR(1/J143*(Y143/H143),"0")</f>
        <v>0.18131868131868134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32.954545454545453</v>
      </c>
      <c r="Y145" s="635">
        <f>IFERROR(Y142/H142,"0")+IFERROR(Y143/H143,"0")+IFERROR(Y144/H144,"0")</f>
        <v>33</v>
      </c>
      <c r="Z145" s="635">
        <f>IFERROR(IF(Z142="",0,Z142),"0")+IFERROR(IF(Z143="",0,Z143),"0")+IFERROR(IF(Z144="",0,Z144),"0")</f>
        <v>0.21482999999999999</v>
      </c>
      <c r="AA145" s="636"/>
      <c r="AB145" s="636"/>
      <c r="AC145" s="636"/>
    </row>
    <row r="146" spans="1:68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87</v>
      </c>
      <c r="Y146" s="635">
        <f>IFERROR(SUM(Y142:Y144),"0")</f>
        <v>87.12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110</v>
      </c>
      <c r="Y175" s="634">
        <f t="shared" ref="Y175:Y185" si="16">IFERROR(IF(X175="",0,CEILING((X175/$H175),1)*$H175),"")</f>
        <v>112</v>
      </c>
      <c r="Z175" s="36">
        <f>IFERROR(IF(Y175=0,"",ROUNDUP(Y175/H175,0)*0.00902),"")</f>
        <v>0.28864000000000001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115.97142857142856</v>
      </c>
      <c r="BN175" s="64">
        <f t="shared" ref="BN175:BN185" si="18">IFERROR(Y175*I175/H175,"0")</f>
        <v>118.08</v>
      </c>
      <c r="BO175" s="64">
        <f t="shared" ref="BO175:BO185" si="19">IFERROR(1/J175*(X175/H175),"0")</f>
        <v>0.23809523809523808</v>
      </c>
      <c r="BP175" s="64">
        <f t="shared" ref="BP175:BP185" si="20">IFERROR(1/J175*(Y175/H175),"0")</f>
        <v>0.24242424242424243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27</v>
      </c>
      <c r="Y178" s="634">
        <f t="shared" si="16"/>
        <v>28</v>
      </c>
      <c r="Z178" s="36">
        <f>IFERROR(IF(Y178=0,"",ROUNDUP(Y178/H178,0)*0.00902),"")</f>
        <v>7.2160000000000002E-2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28.465714285714284</v>
      </c>
      <c r="BN178" s="64">
        <f t="shared" si="18"/>
        <v>29.52</v>
      </c>
      <c r="BO178" s="64">
        <f t="shared" si="19"/>
        <v>5.8441558441558447E-2</v>
      </c>
      <c r="BP178" s="64">
        <f t="shared" si="20"/>
        <v>6.0606060606060608E-2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6</v>
      </c>
      <c r="Y179" s="634">
        <f t="shared" si="16"/>
        <v>6.3</v>
      </c>
      <c r="Z179" s="36">
        <f>IFERROR(IF(Y179=0,"",ROUNDUP(Y179/H179,0)*0.00417),"")</f>
        <v>2.9190000000000001E-2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7.4</v>
      </c>
      <c r="BN179" s="64">
        <f t="shared" si="18"/>
        <v>7.7700000000000005</v>
      </c>
      <c r="BO179" s="64">
        <f t="shared" si="19"/>
        <v>1.9841269841269837E-2</v>
      </c>
      <c r="BP179" s="64">
        <f t="shared" si="20"/>
        <v>2.0833333333333332E-2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29</v>
      </c>
      <c r="Y180" s="634">
        <f t="shared" si="16"/>
        <v>30.24</v>
      </c>
      <c r="Z180" s="36">
        <f>IFERROR(IF(Y180=0,"",ROUNDUP(Y180/H180,0)*0.00502),"")</f>
        <v>9.0359999999999996E-2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30.726190476190474</v>
      </c>
      <c r="BN180" s="64">
        <f t="shared" si="18"/>
        <v>32.04</v>
      </c>
      <c r="BO180" s="64">
        <f t="shared" si="19"/>
        <v>7.376882376882378E-2</v>
      </c>
      <c r="BP180" s="64">
        <f t="shared" si="20"/>
        <v>7.6923076923076927E-2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6</v>
      </c>
      <c r="Y181" s="634">
        <f t="shared" si="16"/>
        <v>6.3</v>
      </c>
      <c r="Z181" s="36">
        <f>IFERROR(IF(Y181=0,"",ROUNDUP(Y181/H181,0)*0.00417),"")</f>
        <v>2.9190000000000001E-2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7.4</v>
      </c>
      <c r="BN181" s="64">
        <f t="shared" si="18"/>
        <v>7.7700000000000005</v>
      </c>
      <c r="BO181" s="64">
        <f t="shared" si="19"/>
        <v>1.9841269841269837E-2</v>
      </c>
      <c r="BP181" s="64">
        <f t="shared" si="20"/>
        <v>2.0833333333333332E-2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6</v>
      </c>
      <c r="Y184" s="634">
        <f t="shared" si="16"/>
        <v>6.3</v>
      </c>
      <c r="Z184" s="36">
        <f>IFERROR(IF(Y184=0,"",ROUNDUP(Y184/H184,0)*0.00417),"")</f>
        <v>2.9190000000000001E-2</v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6.6666666666666661</v>
      </c>
      <c r="BN184" s="64">
        <f t="shared" si="18"/>
        <v>7</v>
      </c>
      <c r="BO184" s="64">
        <f t="shared" si="19"/>
        <v>1.9841269841269837E-2</v>
      </c>
      <c r="BP184" s="64">
        <f t="shared" si="20"/>
        <v>2.0833333333333332E-2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66</v>
      </c>
      <c r="Y185" s="634">
        <f t="shared" si="16"/>
        <v>67.2</v>
      </c>
      <c r="Z185" s="36">
        <f>IFERROR(IF(Y185=0,"",ROUNDUP(Y185/H185,0)*0.00502),"")</f>
        <v>0.20080000000000001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69.928571428571431</v>
      </c>
      <c r="BN185" s="64">
        <f t="shared" si="18"/>
        <v>71.200000000000017</v>
      </c>
      <c r="BO185" s="64">
        <f t="shared" si="19"/>
        <v>0.1678876678876679</v>
      </c>
      <c r="BP185" s="64">
        <f t="shared" si="20"/>
        <v>0.17094017094017094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115.6904761904762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119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0.73953000000000002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250</v>
      </c>
      <c r="Y187" s="635">
        <f>IFERROR(SUM(Y175:Y185),"0")</f>
        <v>256.34000000000003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55</v>
      </c>
      <c r="Y221" s="634">
        <f t="shared" ref="Y221:Y234" si="27">IFERROR(IF(X221="",0,CEILING((X221/$H221),1)*$H221),"")</f>
        <v>58.800000000000004</v>
      </c>
      <c r="Z221" s="36">
        <f>IFERROR(IF(Y221=0,"",ROUNDUP(Y221/H221,0)*0.00902),"")</f>
        <v>0.12628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58.273809523809518</v>
      </c>
      <c r="BN221" s="64">
        <f t="shared" ref="BN221:BN234" si="29">IFERROR(Y221*I221/H221,"0")</f>
        <v>62.300000000000004</v>
      </c>
      <c r="BO221" s="64">
        <f t="shared" ref="BO221:BO234" si="30">IFERROR(1/J221*(X221/H221),"0")</f>
        <v>9.9206349206349201E-2</v>
      </c>
      <c r="BP221" s="64">
        <f t="shared" ref="BP221:BP234" si="31">IFERROR(1/J221*(Y221/H221),"0")</f>
        <v>0.10606060606060606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6</v>
      </c>
      <c r="Y224" s="634">
        <f t="shared" si="27"/>
        <v>6.4</v>
      </c>
      <c r="Z224" s="36">
        <f>IFERROR(IF(Y224=0,"",ROUNDUP(Y224/H224,0)*0.00556),"")</f>
        <v>4.4479999999999999E-2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6.9749999999999996</v>
      </c>
      <c r="BN224" s="64">
        <f t="shared" si="29"/>
        <v>7.44</v>
      </c>
      <c r="BO224" s="64">
        <f t="shared" si="30"/>
        <v>2.976190476190476E-2</v>
      </c>
      <c r="BP224" s="64">
        <f t="shared" si="31"/>
        <v>3.1746031746031744E-2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54</v>
      </c>
      <c r="Y225" s="634">
        <f t="shared" si="27"/>
        <v>54.6</v>
      </c>
      <c r="Z225" s="36">
        <f t="shared" ref="Z225:Z230" si="32">IFERROR(IF(Y225=0,"",ROUNDUP(Y225/H225,0)*0.00502),"")</f>
        <v>0.13052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57.342857142857142</v>
      </c>
      <c r="BN225" s="64">
        <f t="shared" si="29"/>
        <v>57.98</v>
      </c>
      <c r="BO225" s="64">
        <f t="shared" si="30"/>
        <v>0.10989010989010989</v>
      </c>
      <c r="BP225" s="64">
        <f t="shared" si="31"/>
        <v>0.11111111111111112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24</v>
      </c>
      <c r="Y230" s="634">
        <f t="shared" si="27"/>
        <v>25.2</v>
      </c>
      <c r="Z230" s="36">
        <f t="shared" si="32"/>
        <v>7.0280000000000009E-2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25.733333333333334</v>
      </c>
      <c r="BN230" s="64">
        <f t="shared" si="29"/>
        <v>27.019999999999996</v>
      </c>
      <c r="BO230" s="64">
        <f t="shared" si="30"/>
        <v>5.6980056980056981E-2</v>
      </c>
      <c r="BP230" s="64">
        <f t="shared" si="31"/>
        <v>5.9829059829059839E-2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12</v>
      </c>
      <c r="Y231" s="634">
        <f t="shared" si="27"/>
        <v>12</v>
      </c>
      <c r="Z231" s="36">
        <f>IFERROR(IF(Y231=0,"",ROUNDUP(Y231/H231,0)*0.00417),"")</f>
        <v>6.2549999999999994E-2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15.15</v>
      </c>
      <c r="BN231" s="64">
        <f t="shared" si="29"/>
        <v>15.15</v>
      </c>
      <c r="BO231" s="64">
        <f t="shared" si="30"/>
        <v>4.4642857142857137E-2</v>
      </c>
      <c r="BP231" s="64">
        <f t="shared" si="31"/>
        <v>4.4642857142857137E-2</v>
      </c>
    </row>
    <row r="232" spans="1:68" ht="37.5" hidden="1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74.642857142857139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77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0.43411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151</v>
      </c>
      <c r="Y236" s="635">
        <f>IFERROR(SUM(Y221:Y234),"0")</f>
        <v>157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6</v>
      </c>
      <c r="Y247" s="634">
        <f>IFERROR(IF(X247="",0,CEILING((X247/$H247),1)*$H247),"")</f>
        <v>6.3</v>
      </c>
      <c r="Z247" s="36">
        <f>IFERROR(IF(Y247=0,"",ROUNDUP(Y247/H247,0)*0.0059),"")</f>
        <v>2.9499999999999998E-2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6.9047619047619042</v>
      </c>
      <c r="BN247" s="64">
        <f>IFERROR(Y247*I247/H247,"0")</f>
        <v>7.25</v>
      </c>
      <c r="BO247" s="64">
        <f>IFERROR(1/J247*(X247/H247),"0")</f>
        <v>2.2045855379188711E-2</v>
      </c>
      <c r="BP247" s="64">
        <f>IFERROR(1/J247*(Y247/H247),"0")</f>
        <v>2.3148148148148147E-2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20</v>
      </c>
      <c r="Y248" s="634">
        <f>IFERROR(IF(X248="",0,CEILING((X248/$H248),1)*$H248),"")</f>
        <v>20.16</v>
      </c>
      <c r="Z248" s="36">
        <f>IFERROR(IF(Y248=0,"",ROUNDUP(Y248/H248,0)*0.0059),"")</f>
        <v>9.4399999999999998E-2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23.015873015873016</v>
      </c>
      <c r="BN248" s="64">
        <f>IFERROR(Y248*I248/H248,"0")</f>
        <v>23.2</v>
      </c>
      <c r="BO248" s="64">
        <f>IFERROR(1/J248*(X248/H248),"0")</f>
        <v>7.3486184597295709E-2</v>
      </c>
      <c r="BP248" s="64">
        <f>IFERROR(1/J248*(Y248/H248),"0")</f>
        <v>7.407407407407407E-2</v>
      </c>
    </row>
    <row r="249" spans="1:68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20.634920634920636</v>
      </c>
      <c r="Y249" s="635">
        <f>IFERROR(Y246/H246,"0")+IFERROR(Y247/H247,"0")+IFERROR(Y248/H248,"0")</f>
        <v>21</v>
      </c>
      <c r="Z249" s="635">
        <f>IFERROR(IF(Z246="",0,Z246),"0")+IFERROR(IF(Z247="",0,Z247),"0")+IFERROR(IF(Z248="",0,Z248),"0")</f>
        <v>0.1239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26</v>
      </c>
      <c r="Y250" s="635">
        <f>IFERROR(SUM(Y246:Y248),"0")</f>
        <v>26.46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6</v>
      </c>
      <c r="Y252" s="634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4.7619047619047619</v>
      </c>
      <c r="Y253" s="635">
        <f>IFERROR(Y252/H252,"0")</f>
        <v>5</v>
      </c>
      <c r="Z253" s="635">
        <f>IFERROR(IF(Z252="",0,Z252),"0")</f>
        <v>2.9499999999999998E-2</v>
      </c>
      <c r="AA253" s="636"/>
      <c r="AB253" s="636"/>
      <c r="AC253" s="636"/>
    </row>
    <row r="254" spans="1:68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6</v>
      </c>
      <c r="Y254" s="635">
        <f>IFERROR(SUM(Y252:Y252),"0")</f>
        <v>6.3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12</v>
      </c>
      <c r="Y268" s="634">
        <f t="shared" si="33"/>
        <v>16.200000000000003</v>
      </c>
      <c r="Z268" s="36">
        <f>IFERROR(IF(Y268=0,"",ROUNDUP(Y268/H268,0)*0.00902),"")</f>
        <v>2.7060000000000001E-2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12.422222222222221</v>
      </c>
      <c r="BN268" s="64">
        <f t="shared" si="35"/>
        <v>16.77</v>
      </c>
      <c r="BO268" s="64">
        <f t="shared" si="36"/>
        <v>1.6835016835016831E-2</v>
      </c>
      <c r="BP268" s="64">
        <f t="shared" si="37"/>
        <v>2.2727272727272731E-2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233</v>
      </c>
      <c r="Y269" s="634">
        <f t="shared" si="33"/>
        <v>237.60000000000002</v>
      </c>
      <c r="Z269" s="36">
        <f>IFERROR(IF(Y269=0,"",ROUNDUP(Y269/H269,0)*0.00902),"")</f>
        <v>0.39688000000000001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241.19814814814814</v>
      </c>
      <c r="BN269" s="64">
        <f t="shared" si="35"/>
        <v>245.96</v>
      </c>
      <c r="BO269" s="64">
        <f t="shared" si="36"/>
        <v>0.32687991021324353</v>
      </c>
      <c r="BP269" s="64">
        <f t="shared" si="37"/>
        <v>0.33333333333333337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37</v>
      </c>
      <c r="Y270" s="634">
        <f t="shared" si="33"/>
        <v>37.800000000000004</v>
      </c>
      <c r="Z270" s="36">
        <f>IFERROR(IF(Y270=0,"",ROUNDUP(Y270/H270,0)*0.00902),"")</f>
        <v>6.3140000000000002E-2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38.301851851851843</v>
      </c>
      <c r="BN270" s="64">
        <f t="shared" si="35"/>
        <v>39.130000000000003</v>
      </c>
      <c r="BO270" s="64">
        <f t="shared" si="36"/>
        <v>5.1907968574635241E-2</v>
      </c>
      <c r="BP270" s="64">
        <f t="shared" si="37"/>
        <v>5.3030303030303032E-2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44</v>
      </c>
      <c r="Y271" s="634">
        <f t="shared" si="33"/>
        <v>45</v>
      </c>
      <c r="Z271" s="36">
        <f>IFERROR(IF(Y271=0,"",ROUNDUP(Y271/H271,0)*0.00502),"")</f>
        <v>0.1255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47.177777777777777</v>
      </c>
      <c r="BN271" s="64">
        <f t="shared" si="35"/>
        <v>48.249999999999993</v>
      </c>
      <c r="BO271" s="64">
        <f t="shared" si="36"/>
        <v>0.10446343779677113</v>
      </c>
      <c r="BP271" s="64">
        <f t="shared" si="37"/>
        <v>0.10683760683760685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53</v>
      </c>
      <c r="Y272" s="634">
        <f t="shared" si="33"/>
        <v>54</v>
      </c>
      <c r="Z272" s="36">
        <f>IFERROR(IF(Y272=0,"",ROUNDUP(Y272/H272,0)*0.00502),"")</f>
        <v>0.15060000000000001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55.944444444444436</v>
      </c>
      <c r="BN272" s="64">
        <f t="shared" si="35"/>
        <v>56.999999999999993</v>
      </c>
      <c r="BO272" s="64">
        <f t="shared" si="36"/>
        <v>0.12583095916429252</v>
      </c>
      <c r="BP272" s="64">
        <f t="shared" si="37"/>
        <v>0.12820512820512822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106.1111111111111</v>
      </c>
      <c r="Y275" s="635">
        <f>IFERROR(Y267/H267,"0")+IFERROR(Y268/H268,"0")+IFERROR(Y269/H269,"0")+IFERROR(Y270/H270,"0")+IFERROR(Y271/H271,"0")+IFERROR(Y272/H272,"0")+IFERROR(Y273/H273,"0")+IFERROR(Y274/H274,"0")</f>
        <v>109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0.76317999999999997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379</v>
      </c>
      <c r="Y276" s="635">
        <f>IFERROR(SUM(Y267:Y274),"0")</f>
        <v>390.6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213</v>
      </c>
      <c r="Y278" s="634">
        <f t="shared" ref="Y278:Y289" si="38">IFERROR(IF(X278="",0,CEILING((X278/$H278),1)*$H278),"")</f>
        <v>218.7</v>
      </c>
      <c r="Z278" s="36">
        <f>IFERROR(IF(Y278=0,"",ROUNDUP(Y278/H278,0)*0.01898),"")</f>
        <v>0.51246000000000003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225.99037037037039</v>
      </c>
      <c r="BN278" s="64">
        <f t="shared" ref="BN278:BN289" si="40">IFERROR(Y278*I278/H278,"0")</f>
        <v>232.03799999999998</v>
      </c>
      <c r="BO278" s="64">
        <f t="shared" ref="BO278:BO289" si="41">IFERROR(1/J278*(X278/H278),"0")</f>
        <v>0.41087962962962965</v>
      </c>
      <c r="BP278" s="64">
        <f t="shared" ref="BP278:BP289" si="42">IFERROR(1/J278*(Y278/H278),"0")</f>
        <v>0.421875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20</v>
      </c>
      <c r="Y279" s="634">
        <f t="shared" si="38"/>
        <v>24.299999999999997</v>
      </c>
      <c r="Z279" s="36">
        <f>IFERROR(IF(Y279=0,"",ROUNDUP(Y279/H279,0)*0.01898),"")</f>
        <v>5.6940000000000004E-2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21.17530864197531</v>
      </c>
      <c r="BN279" s="64">
        <f t="shared" si="40"/>
        <v>25.727999999999998</v>
      </c>
      <c r="BO279" s="64">
        <f t="shared" si="41"/>
        <v>3.8580246913580252E-2</v>
      </c>
      <c r="BP279" s="64">
        <f t="shared" si="42"/>
        <v>4.6875E-2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47</v>
      </c>
      <c r="Y280" s="634">
        <f t="shared" si="38"/>
        <v>52.199999999999996</v>
      </c>
      <c r="Z280" s="36">
        <f>IFERROR(IF(Y280=0,"",ROUNDUP(Y280/H280,0)*0.01898),"")</f>
        <v>0.11388000000000001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49.668735632183918</v>
      </c>
      <c r="BN280" s="64">
        <f t="shared" si="40"/>
        <v>55.164000000000009</v>
      </c>
      <c r="BO280" s="64">
        <f t="shared" si="41"/>
        <v>8.441091954022989E-2</v>
      </c>
      <c r="BP280" s="64">
        <f t="shared" si="42"/>
        <v>9.375E-2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29</v>
      </c>
      <c r="Y281" s="634">
        <f t="shared" si="38"/>
        <v>31.2</v>
      </c>
      <c r="Z281" s="36">
        <f>IFERROR(IF(Y281=0,"",ROUNDUP(Y281/H281,0)*0.00651),"")</f>
        <v>8.4629999999999997E-2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32.262499999999996</v>
      </c>
      <c r="BN281" s="64">
        <f t="shared" si="40"/>
        <v>34.71</v>
      </c>
      <c r="BO281" s="64">
        <f t="shared" si="41"/>
        <v>6.6391941391941406E-2</v>
      </c>
      <c r="BP281" s="64">
        <f t="shared" si="42"/>
        <v>7.1428571428571438E-2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200</v>
      </c>
      <c r="Y284" s="634">
        <f t="shared" si="38"/>
        <v>201.6</v>
      </c>
      <c r="Z284" s="36">
        <f>IFERROR(IF(Y284=0,"",ROUNDUP(Y284/H284,0)*0.00651),"")</f>
        <v>0.54683999999999999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221</v>
      </c>
      <c r="BN284" s="64">
        <f t="shared" si="40"/>
        <v>222.768</v>
      </c>
      <c r="BO284" s="64">
        <f t="shared" si="41"/>
        <v>0.45787545787545797</v>
      </c>
      <c r="BP284" s="64">
        <f t="shared" si="42"/>
        <v>0.46153846153846156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120</v>
      </c>
      <c r="Y286" s="634">
        <f t="shared" si="38"/>
        <v>120</v>
      </c>
      <c r="Z286" s="36">
        <f>IFERROR(IF(Y286=0,"",ROUNDUP(Y286/H286,0)*0.00651),"")</f>
        <v>0.32550000000000001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132.60000000000002</v>
      </c>
      <c r="BN286" s="64">
        <f t="shared" si="40"/>
        <v>132.60000000000002</v>
      </c>
      <c r="BO286" s="64">
        <f t="shared" si="41"/>
        <v>0.27472527472527475</v>
      </c>
      <c r="BP286" s="64">
        <f t="shared" si="42"/>
        <v>0.27472527472527475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48</v>
      </c>
      <c r="Y287" s="634">
        <f t="shared" si="38"/>
        <v>48</v>
      </c>
      <c r="Z287" s="36">
        <f>IFERROR(IF(Y287=0,"",ROUNDUP(Y287/H287,0)*0.00651),"")</f>
        <v>0.13020000000000001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53.040000000000006</v>
      </c>
      <c r="BN287" s="64">
        <f t="shared" si="40"/>
        <v>53.040000000000006</v>
      </c>
      <c r="BO287" s="64">
        <f t="shared" si="41"/>
        <v>0.1098901098901099</v>
      </c>
      <c r="BP287" s="64">
        <f t="shared" si="42"/>
        <v>0.1098901098901099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48</v>
      </c>
      <c r="Y288" s="634">
        <f t="shared" si="38"/>
        <v>48</v>
      </c>
      <c r="Z288" s="36">
        <f>IFERROR(IF(Y288=0,"",ROUNDUP(Y288/H288,0)*0.00651),"")</f>
        <v>0.13020000000000001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53.160000000000004</v>
      </c>
      <c r="BN288" s="64">
        <f t="shared" si="40"/>
        <v>53.160000000000004</v>
      </c>
      <c r="BO288" s="64">
        <f t="shared" si="41"/>
        <v>0.1098901098901099</v>
      </c>
      <c r="BP288" s="64">
        <f t="shared" si="42"/>
        <v>0.1098901098901099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219.58439761600681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223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1.9006500000000002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725</v>
      </c>
      <c r="Y291" s="635">
        <f>IFERROR(SUM(Y278:Y289),"0")</f>
        <v>744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16</v>
      </c>
      <c r="Y293" s="634">
        <f>IFERROR(IF(X293="",0,CEILING((X293/$H293),1)*$H293),"")</f>
        <v>16.8</v>
      </c>
      <c r="Z293" s="36">
        <f>IFERROR(IF(Y293=0,"",ROUNDUP(Y293/H293,0)*0.00651),"")</f>
        <v>4.5569999999999999E-2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17.680000000000003</v>
      </c>
      <c r="BN293" s="64">
        <f>IFERROR(Y293*I293/H293,"0")</f>
        <v>18.564000000000004</v>
      </c>
      <c r="BO293" s="64">
        <f>IFERROR(1/J293*(X293/H293),"0")</f>
        <v>3.6630036630036632E-2</v>
      </c>
      <c r="BP293" s="64">
        <f>IFERROR(1/J293*(Y293/H293),"0")</f>
        <v>3.8461538461538471E-2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19</v>
      </c>
      <c r="Y294" s="634">
        <f>IFERROR(IF(X294="",0,CEILING((X294/$H294),1)*$H294),"")</f>
        <v>19.2</v>
      </c>
      <c r="Z294" s="36">
        <f>IFERROR(IF(Y294=0,"",ROUNDUP(Y294/H294,0)*0.00651),"")</f>
        <v>5.2080000000000001E-2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20.995000000000005</v>
      </c>
      <c r="BN294" s="64">
        <f>IFERROR(Y294*I294/H294,"0")</f>
        <v>21.216000000000001</v>
      </c>
      <c r="BO294" s="64">
        <f>IFERROR(1/J294*(X294/H294),"0")</f>
        <v>4.3498168498168503E-2</v>
      </c>
      <c r="BP294" s="64">
        <f>IFERROR(1/J294*(Y294/H294),"0")</f>
        <v>4.3956043956043959E-2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14.583333333333334</v>
      </c>
      <c r="Y295" s="635">
        <f>IFERROR(Y293/H293,"0")+IFERROR(Y294/H294,"0")</f>
        <v>15</v>
      </c>
      <c r="Z295" s="635">
        <f>IFERROR(IF(Z293="",0,Z293),"0")+IFERROR(IF(Z294="",0,Z294),"0")</f>
        <v>9.7650000000000001E-2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35</v>
      </c>
      <c r="Y296" s="635">
        <f>IFERROR(SUM(Y293:Y294),"0")</f>
        <v>36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28</v>
      </c>
      <c r="Y334" s="634">
        <f>IFERROR(IF(X334="",0,CEILING((X334/$H334),1)*$H334),"")</f>
        <v>28.799999999999997</v>
      </c>
      <c r="Z334" s="36">
        <f>IFERROR(IF(Y334=0,"",ROUNDUP(Y334/H334,0)*0.00651),"")</f>
        <v>7.8119999999999995E-2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30.94</v>
      </c>
      <c r="BN334" s="64">
        <f>IFERROR(Y334*I334/H334,"0")</f>
        <v>31.824000000000002</v>
      </c>
      <c r="BO334" s="64">
        <f>IFERROR(1/J334*(X334/H334),"0")</f>
        <v>6.4102564102564111E-2</v>
      </c>
      <c r="BP334" s="64">
        <f>IFERROR(1/J334*(Y334/H334),"0")</f>
        <v>6.5934065934065936E-2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32</v>
      </c>
      <c r="Y335" s="634">
        <f>IFERROR(IF(X335="",0,CEILING((X335/$H335),1)*$H335),"")</f>
        <v>33.6</v>
      </c>
      <c r="Z335" s="36">
        <f>IFERROR(IF(Y335=0,"",ROUNDUP(Y335/H335,0)*0.00651),"")</f>
        <v>9.1139999999999999E-2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34.400000000000006</v>
      </c>
      <c r="BN335" s="64">
        <f>IFERROR(Y335*I335/H335,"0")</f>
        <v>36.120000000000005</v>
      </c>
      <c r="BO335" s="64">
        <f>IFERROR(1/J335*(X335/H335),"0")</f>
        <v>7.3260073260073263E-2</v>
      </c>
      <c r="BP335" s="64">
        <f>IFERROR(1/J335*(Y335/H335),"0")</f>
        <v>7.6923076923076941E-2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25</v>
      </c>
      <c r="Y336" s="635">
        <f>IFERROR(Y333/H333,"0")+IFERROR(Y334/H334,"0")+IFERROR(Y335/H335,"0")</f>
        <v>26</v>
      </c>
      <c r="Z336" s="635">
        <f>IFERROR(IF(Z333="",0,Z333),"0")+IFERROR(IF(Z334="",0,Z334),"0")+IFERROR(IF(Z335="",0,Z335),"0")</f>
        <v>0.16925999999999999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60</v>
      </c>
      <c r="Y337" s="635">
        <f>IFERROR(SUM(Y333:Y335),"0")</f>
        <v>62.4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28</v>
      </c>
      <c r="Y356" s="634">
        <f>IFERROR(IF(X356="",0,CEILING((X356/$H356),1)*$H356),"")</f>
        <v>31.2</v>
      </c>
      <c r="Z356" s="36">
        <f>IFERROR(IF(Y356=0,"",ROUNDUP(Y356/H356,0)*0.01898),"")</f>
        <v>7.5920000000000001E-2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29.471794871794877</v>
      </c>
      <c r="BN356" s="64">
        <f>IFERROR(Y356*I356/H356,"0")</f>
        <v>32.840000000000003</v>
      </c>
      <c r="BO356" s="64">
        <f>IFERROR(1/J356*(X356/H356),"0")</f>
        <v>5.6089743589743592E-2</v>
      </c>
      <c r="BP356" s="64">
        <f>IFERROR(1/J356*(Y356/H356),"0")</f>
        <v>6.25E-2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3.5897435897435899</v>
      </c>
      <c r="Y357" s="635">
        <f>IFERROR(Y354/H354,"0")+IFERROR(Y355/H355,"0")+IFERROR(Y356/H356,"0")</f>
        <v>4</v>
      </c>
      <c r="Z357" s="635">
        <f>IFERROR(IF(Z354="",0,Z354),"0")+IFERROR(IF(Z355="",0,Z355),"0")+IFERROR(IF(Z356="",0,Z356),"0")</f>
        <v>7.5920000000000001E-2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28</v>
      </c>
      <c r="Y358" s="635">
        <f>IFERROR(SUM(Y354:Y356),"0")</f>
        <v>31.2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23</v>
      </c>
      <c r="Y375" s="634">
        <f t="shared" si="48"/>
        <v>23.400000000000002</v>
      </c>
      <c r="Z375" s="36">
        <f>IFERROR(IF(Y375=0,"",ROUNDUP(Y375/H375,0)*0.00651),"")</f>
        <v>8.4629999999999997E-2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25.91333333333333</v>
      </c>
      <c r="BN375" s="64">
        <f t="shared" si="50"/>
        <v>26.364000000000001</v>
      </c>
      <c r="BO375" s="64">
        <f t="shared" si="51"/>
        <v>7.0207570207570208E-2</v>
      </c>
      <c r="BP375" s="64">
        <f t="shared" si="52"/>
        <v>7.1428571428571438E-2</v>
      </c>
    </row>
    <row r="376" spans="1:68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12.777777777777777</v>
      </c>
      <c r="Y376" s="635">
        <f>IFERROR(Y369/H369,"0")+IFERROR(Y370/H370,"0")+IFERROR(Y371/H371,"0")+IFERROR(Y372/H372,"0")+IFERROR(Y373/H373,"0")+IFERROR(Y374/H374,"0")+IFERROR(Y375/H375,"0")</f>
        <v>13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8.4629999999999997E-2</v>
      </c>
      <c r="AA376" s="636"/>
      <c r="AB376" s="636"/>
      <c r="AC376" s="636"/>
    </row>
    <row r="377" spans="1:68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23</v>
      </c>
      <c r="Y377" s="635">
        <f>IFERROR(SUM(Y369:Y375),"0")</f>
        <v>23.400000000000002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325</v>
      </c>
      <c r="Y386" s="634">
        <f>IFERROR(IF(X386="",0,CEILING((X386/$H386),1)*$H386),"")</f>
        <v>327.60000000000002</v>
      </c>
      <c r="Z386" s="36">
        <f>IFERROR(IF(Y386=0,"",ROUNDUP(Y386/H386,0)*0.01898),"")</f>
        <v>0.74021999999999999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344.11309523809524</v>
      </c>
      <c r="BN386" s="64">
        <f>IFERROR(Y386*I386/H386,"0")</f>
        <v>346.86600000000004</v>
      </c>
      <c r="BO386" s="64">
        <f>IFERROR(1/J386*(X386/H386),"0")</f>
        <v>0.60453869047619047</v>
      </c>
      <c r="BP386" s="64">
        <f>IFERROR(1/J386*(Y386/H386),"0")</f>
        <v>0.609375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70</v>
      </c>
      <c r="Y387" s="634">
        <f>IFERROR(IF(X387="",0,CEILING((X387/$H387),1)*$H387),"")</f>
        <v>70.2</v>
      </c>
      <c r="Z387" s="36">
        <f>IFERROR(IF(Y387=0,"",ROUNDUP(Y387/H387,0)*0.01898),"")</f>
        <v>0.17082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74.433333333333337</v>
      </c>
      <c r="BN387" s="64">
        <f>IFERROR(Y387*I387/H387,"0")</f>
        <v>74.646000000000015</v>
      </c>
      <c r="BO387" s="64">
        <f>IFERROR(1/J387*(X387/H387),"0")</f>
        <v>0.14022435897435898</v>
      </c>
      <c r="BP387" s="64">
        <f>IFERROR(1/J387*(Y387/H387),"0")</f>
        <v>0.140625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53</v>
      </c>
      <c r="Y388" s="634">
        <f>IFERROR(IF(X388="",0,CEILING((X388/$H388),1)*$H388),"")</f>
        <v>58.800000000000004</v>
      </c>
      <c r="Z388" s="36">
        <f>IFERROR(IF(Y388=0,"",ROUNDUP(Y388/H388,0)*0.01898),"")</f>
        <v>0.13286000000000001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56.116904761904763</v>
      </c>
      <c r="BN388" s="64">
        <f>IFERROR(Y388*I388/H388,"0")</f>
        <v>62.258000000000003</v>
      </c>
      <c r="BO388" s="64">
        <f>IFERROR(1/J388*(X388/H388),"0")</f>
        <v>9.8586309523809521E-2</v>
      </c>
      <c r="BP388" s="64">
        <f>IFERROR(1/J388*(Y388/H388),"0")</f>
        <v>0.109375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53.974358974358978</v>
      </c>
      <c r="Y389" s="635">
        <f>IFERROR(Y386/H386,"0")+IFERROR(Y387/H387,"0")+IFERROR(Y388/H388,"0")</f>
        <v>55</v>
      </c>
      <c r="Z389" s="635">
        <f>IFERROR(IF(Z386="",0,Z386),"0")+IFERROR(IF(Z387="",0,Z387),"0")+IFERROR(IF(Z388="",0,Z388),"0")</f>
        <v>1.0439000000000001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448</v>
      </c>
      <c r="Y390" s="635">
        <f>IFERROR(SUM(Y386:Y388),"0")</f>
        <v>456.6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11</v>
      </c>
      <c r="Y393" s="634">
        <f>IFERROR(IF(X393="",0,CEILING((X393/$H393),1)*$H393),"")</f>
        <v>12.16</v>
      </c>
      <c r="Z393" s="36">
        <f>IFERROR(IF(Y393=0,"",ROUNDUP(Y393/H393,0)*0.00902),"")</f>
        <v>3.6080000000000001E-2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11.832236842105262</v>
      </c>
      <c r="BN393" s="64">
        <f>IFERROR(Y393*I393/H393,"0")</f>
        <v>13.079999999999998</v>
      </c>
      <c r="BO393" s="64">
        <f>IFERROR(1/J393*(X393/H393),"0")</f>
        <v>2.7412280701754384E-2</v>
      </c>
      <c r="BP393" s="64">
        <f>IFERROR(1/J393*(Y393/H393),"0")</f>
        <v>3.0303030303030304E-2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6</v>
      </c>
      <c r="Y394" s="634">
        <f>IFERROR(IF(X394="",0,CEILING((X394/$H394),1)*$H394),"")</f>
        <v>7.6499999999999995</v>
      </c>
      <c r="Z394" s="36">
        <f>IFERROR(IF(Y394=0,"",ROUNDUP(Y394/H394,0)*0.00651),"")</f>
        <v>1.9529999999999999E-2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6.9529411764705893</v>
      </c>
      <c r="BN394" s="64">
        <f>IFERROR(Y394*I394/H394,"0")</f>
        <v>8.8650000000000002</v>
      </c>
      <c r="BO394" s="64">
        <f>IFERROR(1/J394*(X394/H394),"0")</f>
        <v>1.292824822236587E-2</v>
      </c>
      <c r="BP394" s="64">
        <f>IFERROR(1/J394*(Y394/H394),"0")</f>
        <v>1.6483516483516484E-2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21</v>
      </c>
      <c r="Y395" s="634">
        <f>IFERROR(IF(X395="",0,CEILING((X395/$H395),1)*$H395),"")</f>
        <v>22.95</v>
      </c>
      <c r="Z395" s="36">
        <f>IFERROR(IF(Y395=0,"",ROUNDUP(Y395/H395,0)*0.00651),"")</f>
        <v>5.8590000000000003E-2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23.71764705882353</v>
      </c>
      <c r="BN395" s="64">
        <f>IFERROR(Y395*I395/H395,"0")</f>
        <v>25.919999999999998</v>
      </c>
      <c r="BO395" s="64">
        <f>IFERROR(1/J395*(X395/H395),"0")</f>
        <v>4.5248868778280549E-2</v>
      </c>
      <c r="BP395" s="64">
        <f>IFERROR(1/J395*(Y395/H395),"0")</f>
        <v>4.9450549450549455E-2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14.206656346749227</v>
      </c>
      <c r="Y396" s="635">
        <f>IFERROR(Y392/H392,"0")+IFERROR(Y393/H393,"0")+IFERROR(Y394/H394,"0")+IFERROR(Y395/H395,"0")</f>
        <v>16</v>
      </c>
      <c r="Z396" s="635">
        <f>IFERROR(IF(Z392="",0,Z392),"0")+IFERROR(IF(Z393="",0,Z393),"0")+IFERROR(IF(Z394="",0,Z394),"0")+IFERROR(IF(Z395="",0,Z395),"0")</f>
        <v>0.1142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38</v>
      </c>
      <c r="Y397" s="635">
        <f>IFERROR(SUM(Y392:Y395),"0")</f>
        <v>42.76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21</v>
      </c>
      <c r="Y399" s="634">
        <f>IFERROR(IF(X399="",0,CEILING((X399/$H399),1)*$H399),"")</f>
        <v>22</v>
      </c>
      <c r="Z399" s="36">
        <f>IFERROR(IF(Y399=0,"",ROUNDUP(Y399/H399,0)*0.00474),"")</f>
        <v>5.2140000000000006E-2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23.520000000000003</v>
      </c>
      <c r="BN399" s="64">
        <f>IFERROR(Y399*I399/H399,"0")</f>
        <v>24.64</v>
      </c>
      <c r="BO399" s="64">
        <f>IFERROR(1/J399*(X399/H399),"0")</f>
        <v>4.4117647058823525E-2</v>
      </c>
      <c r="BP399" s="64">
        <f>IFERROR(1/J399*(Y399/H399),"0")</f>
        <v>4.6218487394957979E-2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7</v>
      </c>
      <c r="Y400" s="634">
        <f>IFERROR(IF(X400="",0,CEILING((X400/$H400),1)*$H400),"")</f>
        <v>8</v>
      </c>
      <c r="Z400" s="36">
        <f>IFERROR(IF(Y400=0,"",ROUNDUP(Y400/H400,0)*0.00474),"")</f>
        <v>1.8960000000000001E-2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7.8400000000000007</v>
      </c>
      <c r="BN400" s="64">
        <f>IFERROR(Y400*I400/H400,"0")</f>
        <v>8.9600000000000009</v>
      </c>
      <c r="BO400" s="64">
        <f>IFERROR(1/J400*(X400/H400),"0")</f>
        <v>1.4705882352941176E-2</v>
      </c>
      <c r="BP400" s="64">
        <f>IFERROR(1/J400*(Y400/H400),"0")</f>
        <v>1.680672268907563E-2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16</v>
      </c>
      <c r="Y401" s="634">
        <f>IFERROR(IF(X401="",0,CEILING((X401/$H401),1)*$H401),"")</f>
        <v>16</v>
      </c>
      <c r="Z401" s="36">
        <f>IFERROR(IF(Y401=0,"",ROUNDUP(Y401/H401,0)*0.00474),"")</f>
        <v>3.7920000000000002E-2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17.920000000000002</v>
      </c>
      <c r="BN401" s="64">
        <f>IFERROR(Y401*I401/H401,"0")</f>
        <v>17.920000000000002</v>
      </c>
      <c r="BO401" s="64">
        <f>IFERROR(1/J401*(X401/H401),"0")</f>
        <v>3.3613445378151259E-2</v>
      </c>
      <c r="BP401" s="64">
        <f>IFERROR(1/J401*(Y401/H401),"0")</f>
        <v>3.3613445378151259E-2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22</v>
      </c>
      <c r="Y402" s="635">
        <f>IFERROR(Y399/H399,"0")+IFERROR(Y400/H400,"0")+IFERROR(Y401/H401,"0")</f>
        <v>23</v>
      </c>
      <c r="Z402" s="635">
        <f>IFERROR(IF(Z399="",0,Z399),"0")+IFERROR(IF(Z400="",0,Z400),"0")+IFERROR(IF(Z401="",0,Z401),"0")</f>
        <v>0.10902000000000001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44</v>
      </c>
      <c r="Y403" s="635">
        <f>IFERROR(SUM(Y399:Y401),"0")</f>
        <v>46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150</v>
      </c>
      <c r="Y405" s="634">
        <f>IFERROR(IF(X405="",0,CEILING((X405/$H405),1)*$H405),"")</f>
        <v>150</v>
      </c>
      <c r="Z405" s="36">
        <f>IFERROR(IF(Y405=0,"",ROUNDUP(Y405/H405,0)*0.0045),"")</f>
        <v>0.22499999999999998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161.00000000000003</v>
      </c>
      <c r="BN405" s="64">
        <f>IFERROR(Y405*I405/H405,"0")</f>
        <v>161.00000000000003</v>
      </c>
      <c r="BO405" s="64">
        <f>IFERROR(1/J405*(X405/H405),"0")</f>
        <v>0.2232142857142857</v>
      </c>
      <c r="BP405" s="64">
        <f>IFERROR(1/J405*(Y405/H405),"0")</f>
        <v>0.2232142857142857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72</v>
      </c>
      <c r="Y406" s="634">
        <f>IFERROR(IF(X406="",0,CEILING((X406/$H406),1)*$H406),"")</f>
        <v>74.099999999999994</v>
      </c>
      <c r="Z406" s="36">
        <f>IFERROR(IF(Y406=0,"",ROUNDUP(Y406/H406,0)*0.006),"")</f>
        <v>0.114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76.984615384615395</v>
      </c>
      <c r="BN406" s="64">
        <f>IFERROR(Y406*I406/H406,"0")</f>
        <v>79.22999999999999</v>
      </c>
      <c r="BO406" s="64">
        <f>IFERROR(1/J406*(X406/H406),"0")</f>
        <v>0.12820512820512822</v>
      </c>
      <c r="BP406" s="64">
        <f>IFERROR(1/J406*(Y406/H406),"0")</f>
        <v>0.13194444444444445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151</v>
      </c>
      <c r="Y407" s="634">
        <f>IFERROR(IF(X407="",0,CEILING((X407/$H407),1)*$H407),"")</f>
        <v>153</v>
      </c>
      <c r="Z407" s="36">
        <f>IFERROR(IF(Y407=0,"",ROUNDUP(Y407/H407,0)*0.0045),"")</f>
        <v>0.22949999999999998</v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162.07333333333335</v>
      </c>
      <c r="BN407" s="64">
        <f>IFERROR(Y407*I407/H407,"0")</f>
        <v>164.22</v>
      </c>
      <c r="BO407" s="64">
        <f>IFERROR(1/J407*(X407/H407),"0")</f>
        <v>0.22470238095238096</v>
      </c>
      <c r="BP407" s="64">
        <f>IFERROR(1/J407*(Y407/H407),"0")</f>
        <v>0.22767857142857142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118.7948717948718</v>
      </c>
      <c r="Y408" s="635">
        <f>IFERROR(Y405/H405,"0")+IFERROR(Y406/H406,"0")+IFERROR(Y407/H407,"0")</f>
        <v>120</v>
      </c>
      <c r="Z408" s="635">
        <f>IFERROR(IF(Z405="",0,Z405),"0")+IFERROR(IF(Z406="",0,Z406),"0")+IFERROR(IF(Z407="",0,Z407),"0")</f>
        <v>0.56850000000000001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373</v>
      </c>
      <c r="Y409" s="635">
        <f>IFERROR(SUM(Y405:Y407),"0")</f>
        <v>377.1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600</v>
      </c>
      <c r="Y427" s="634">
        <f t="shared" si="53"/>
        <v>600</v>
      </c>
      <c r="Z427" s="36">
        <f>IFERROR(IF(Y427=0,"",ROUNDUP(Y427/H427,0)*0.02175),"")</f>
        <v>0.86999999999999988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618.79999999999995</v>
      </c>
      <c r="BN427" s="64">
        <f t="shared" si="55"/>
        <v>618.79999999999995</v>
      </c>
      <c r="BO427" s="64">
        <f t="shared" si="56"/>
        <v>0.83333333333333326</v>
      </c>
      <c r="BP427" s="64">
        <f t="shared" si="57"/>
        <v>0.83333333333333326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900</v>
      </c>
      <c r="Y428" s="634">
        <f t="shared" si="53"/>
        <v>900</v>
      </c>
      <c r="Z428" s="36">
        <f>IFERROR(IF(Y428=0,"",ROUNDUP(Y428/H428,0)*0.02175),"")</f>
        <v>1.3049999999999999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928.2</v>
      </c>
      <c r="BN428" s="64">
        <f t="shared" si="55"/>
        <v>928.2</v>
      </c>
      <c r="BO428" s="64">
        <f t="shared" si="56"/>
        <v>1.25</v>
      </c>
      <c r="BP428" s="64">
        <f t="shared" si="57"/>
        <v>1.25</v>
      </c>
    </row>
    <row r="429" spans="1:68" ht="27" hidden="1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250</v>
      </c>
      <c r="Y430" s="634">
        <f t="shared" si="53"/>
        <v>255</v>
      </c>
      <c r="Z430" s="36">
        <f>IFERROR(IF(Y430=0,"",ROUNDUP(Y430/H430,0)*0.02175),"")</f>
        <v>0.36974999999999997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257.83333333333331</v>
      </c>
      <c r="BN430" s="64">
        <f t="shared" si="55"/>
        <v>262.99</v>
      </c>
      <c r="BO430" s="64">
        <f t="shared" si="56"/>
        <v>0.34722222222222221</v>
      </c>
      <c r="BP430" s="64">
        <f t="shared" si="57"/>
        <v>0.35416666666666663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116.66666666666667</v>
      </c>
      <c r="Y434" s="635">
        <f>IFERROR(Y426/H426,"0")+IFERROR(Y427/H427,"0")+IFERROR(Y428/H428,"0")+IFERROR(Y429/H429,"0")+IFERROR(Y430/H430,"0")+IFERROR(Y431/H431,"0")+IFERROR(Y432/H432,"0")+IFERROR(Y433/H433,"0")</f>
        <v>117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2.5447499999999996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1750</v>
      </c>
      <c r="Y435" s="635">
        <f>IFERROR(SUM(Y426:Y433),"0")</f>
        <v>1755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hidden="1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0</v>
      </c>
      <c r="Y437" s="634">
        <f>IFERROR(IF(X437="",0,CEILING((X437/$H437),1)*$H437),"")</f>
        <v>0</v>
      </c>
      <c r="Z437" s="36" t="str">
        <f>IFERROR(IF(Y437=0,"",ROUNDUP(Y437/H437,0)*0.02175),"")</f>
        <v/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44</v>
      </c>
      <c r="Y438" s="634">
        <f>IFERROR(IF(X438="",0,CEILING((X438/$H438),1)*$H438),"")</f>
        <v>45</v>
      </c>
      <c r="Z438" s="36">
        <f>IFERROR(IF(Y438=0,"",ROUNDUP(Y438/H438,0)*0.02175),"")</f>
        <v>6.5250000000000002E-2</v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45.378666666666668</v>
      </c>
      <c r="BN438" s="64">
        <f>IFERROR(Y438*I438/H438,"0")</f>
        <v>46.41</v>
      </c>
      <c r="BO438" s="64">
        <f>IFERROR(1/J438*(X438/H438),"0")</f>
        <v>6.1111111111111102E-2</v>
      </c>
      <c r="BP438" s="64">
        <f>IFERROR(1/J438*(Y438/H438),"0")</f>
        <v>6.25E-2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2.9333333333333331</v>
      </c>
      <c r="Y440" s="635">
        <f>IFERROR(Y437/H437,"0")+IFERROR(Y438/H438,"0")+IFERROR(Y439/H439,"0")</f>
        <v>3</v>
      </c>
      <c r="Z440" s="635">
        <f>IFERROR(IF(Z437="",0,Z437),"0")+IFERROR(IF(Z438="",0,Z438),"0")+IFERROR(IF(Z439="",0,Z439),"0")</f>
        <v>6.5250000000000002E-2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44</v>
      </c>
      <c r="Y441" s="635">
        <f>IFERROR(SUM(Y437:Y439),"0")</f>
        <v>45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150</v>
      </c>
      <c r="Y450" s="634">
        <f>IFERROR(IF(X450="",0,CEILING((X450/$H450),1)*$H450),"")</f>
        <v>153</v>
      </c>
      <c r="Z450" s="36">
        <f>IFERROR(IF(Y450=0,"",ROUNDUP(Y450/H450,0)*0.01898),"")</f>
        <v>0.32266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158.23333333333332</v>
      </c>
      <c r="BN450" s="64">
        <f>IFERROR(Y450*I450/H450,"0")</f>
        <v>161.398</v>
      </c>
      <c r="BO450" s="64">
        <f>IFERROR(1/J450*(X450/H450),"0")</f>
        <v>0.26041666666666669</v>
      </c>
      <c r="BP450" s="64">
        <f>IFERROR(1/J450*(Y450/H450),"0")</f>
        <v>0.265625</v>
      </c>
    </row>
    <row r="451" spans="1:68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16.666666666666668</v>
      </c>
      <c r="Y451" s="635">
        <f>IFERROR(Y449/H449,"0")+IFERROR(Y450/H450,"0")</f>
        <v>17</v>
      </c>
      <c r="Z451" s="635">
        <f>IFERROR(IF(Z449="",0,Z449),"0")+IFERROR(IF(Z450="",0,Z450),"0")</f>
        <v>0.32266</v>
      </c>
      <c r="AA451" s="636"/>
      <c r="AB451" s="636"/>
      <c r="AC451" s="636"/>
    </row>
    <row r="452" spans="1:68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150</v>
      </c>
      <c r="Y452" s="635">
        <f>IFERROR(SUM(Y449:Y450),"0")</f>
        <v>153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300</v>
      </c>
      <c r="Y464" s="634">
        <f>IFERROR(IF(X464="",0,CEILING((X464/$H464),1)*$H464),"")</f>
        <v>306</v>
      </c>
      <c r="Z464" s="36">
        <f>IFERROR(IF(Y464=0,"",ROUNDUP(Y464/H464,0)*0.01898),"")</f>
        <v>0.64532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316.46666666666664</v>
      </c>
      <c r="BN464" s="64">
        <f>IFERROR(Y464*I464/H464,"0")</f>
        <v>322.79599999999999</v>
      </c>
      <c r="BO464" s="64">
        <f>IFERROR(1/J464*(X464/H464),"0")</f>
        <v>0.52083333333333337</v>
      </c>
      <c r="BP464" s="64">
        <f>IFERROR(1/J464*(Y464/H464),"0")</f>
        <v>0.53125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33.333333333333336</v>
      </c>
      <c r="Y467" s="635">
        <f>IFERROR(Y464/H464,"0")+IFERROR(Y465/H465,"0")+IFERROR(Y466/H466,"0")</f>
        <v>34</v>
      </c>
      <c r="Z467" s="635">
        <f>IFERROR(IF(Z464="",0,Z464),"0")+IFERROR(IF(Z465="",0,Z465),"0")+IFERROR(IF(Z466="",0,Z466),"0")</f>
        <v>0.64532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300</v>
      </c>
      <c r="Y468" s="635">
        <f>IFERROR(SUM(Y464:Y466),"0")</f>
        <v>306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104</v>
      </c>
      <c r="Y472" s="634">
        <f t="shared" ref="Y472:Y477" si="58">IFERROR(IF(X472="",0,CEILING((X472/$H472),1)*$H472),"")</f>
        <v>108</v>
      </c>
      <c r="Z472" s="36">
        <f>IFERROR(IF(Y472=0,"",ROUNDUP(Y472/H472,0)*0.00902),"")</f>
        <v>0.1804</v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107.65925925925926</v>
      </c>
      <c r="BN472" s="64">
        <f t="shared" ref="BN472:BN477" si="60">IFERROR(Y472*I472/H472,"0")</f>
        <v>111.8</v>
      </c>
      <c r="BO472" s="64">
        <f t="shared" ref="BO472:BO477" si="61">IFERROR(1/J472*(X472/H472),"0")</f>
        <v>0.14590347923681257</v>
      </c>
      <c r="BP472" s="64">
        <f t="shared" ref="BP472:BP477" si="62">IFERROR(1/J472*(Y472/H472),"0")</f>
        <v>0.15151515151515152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19.25925925925926</v>
      </c>
      <c r="Y478" s="635">
        <f>IFERROR(Y472/H472,"0")+IFERROR(Y473/H473,"0")+IFERROR(Y474/H474,"0")+IFERROR(Y475/H475,"0")+IFERROR(Y476/H476,"0")+IFERROR(Y477/H477,"0")</f>
        <v>20</v>
      </c>
      <c r="Z478" s="635">
        <f>IFERROR(IF(Z472="",0,Z472),"0")+IFERROR(IF(Z473="",0,Z473),"0")+IFERROR(IF(Z474="",0,Z474),"0")+IFERROR(IF(Z475="",0,Z475),"0")+IFERROR(IF(Z476="",0,Z476),"0")+IFERROR(IF(Z477="",0,Z477),"0")</f>
        <v>0.1804</v>
      </c>
      <c r="AA478" s="636"/>
      <c r="AB478" s="636"/>
      <c r="AC478" s="636"/>
    </row>
    <row r="479" spans="1:68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104</v>
      </c>
      <c r="Y479" s="635">
        <f>IFERROR(SUM(Y472:Y477),"0")</f>
        <v>108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51</v>
      </c>
      <c r="Y491" s="634">
        <f>IFERROR(IF(X491="",0,CEILING((X491/$H491),1)*$H491),"")</f>
        <v>54</v>
      </c>
      <c r="Z491" s="36">
        <f>IFERROR(IF(Y491=0,"",ROUNDUP(Y491/H491,0)*0.00902),"")</f>
        <v>9.0200000000000002E-2</v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52.794444444444437</v>
      </c>
      <c r="BN491" s="64">
        <f>IFERROR(Y491*I491/H491,"0")</f>
        <v>55.9</v>
      </c>
      <c r="BO491" s="64">
        <f>IFERROR(1/J491*(X491/H491),"0")</f>
        <v>7.1548821548821556E-2</v>
      </c>
      <c r="BP491" s="64">
        <f>IFERROR(1/J491*(Y491/H491),"0")</f>
        <v>7.575757575757576E-2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9.4444444444444446</v>
      </c>
      <c r="Y494" s="635">
        <f>IFERROR(Y491/H491,"0")+IFERROR(Y492/H492,"0")+IFERROR(Y493/H493,"0")</f>
        <v>10</v>
      </c>
      <c r="Z494" s="635">
        <f>IFERROR(IF(Z491="",0,Z491),"0")+IFERROR(IF(Z492="",0,Z492),"0")+IFERROR(IF(Z493="",0,Z493),"0")</f>
        <v>9.0200000000000002E-2</v>
      </c>
      <c r="AA494" s="636"/>
      <c r="AB494" s="636"/>
      <c r="AC494" s="636"/>
    </row>
    <row r="495" spans="1:68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51</v>
      </c>
      <c r="Y495" s="635">
        <f>IFERROR(SUM(Y491:Y493),"0")</f>
        <v>54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53</v>
      </c>
      <c r="Y501" s="634">
        <f t="shared" si="63"/>
        <v>58.080000000000005</v>
      </c>
      <c r="Z501" s="36">
        <f t="shared" si="64"/>
        <v>0.13156000000000001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56.513257575757571</v>
      </c>
      <c r="BN501" s="64">
        <f t="shared" si="66"/>
        <v>61.93</v>
      </c>
      <c r="BO501" s="64">
        <f t="shared" si="67"/>
        <v>9.6518065268065265E-2</v>
      </c>
      <c r="BP501" s="64">
        <f t="shared" si="68"/>
        <v>0.10576923076923078</v>
      </c>
    </row>
    <row r="502" spans="1:68" ht="27" hidden="1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46</v>
      </c>
      <c r="Y504" s="634">
        <f t="shared" si="63"/>
        <v>47.52</v>
      </c>
      <c r="Z504" s="36">
        <f t="shared" si="64"/>
        <v>0.10764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49.049242424242422</v>
      </c>
      <c r="BN504" s="64">
        <f t="shared" si="66"/>
        <v>50.669999999999995</v>
      </c>
      <c r="BO504" s="64">
        <f t="shared" si="67"/>
        <v>8.3770396270396258E-2</v>
      </c>
      <c r="BP504" s="64">
        <f t="shared" si="68"/>
        <v>8.6538461538461536E-2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26</v>
      </c>
      <c r="Y506" s="634">
        <f t="shared" si="63"/>
        <v>28.799999999999997</v>
      </c>
      <c r="Z506" s="36">
        <f>IFERROR(IF(Y506=0,"",ROUNDUP(Y506/H506,0)*0.00902),"")</f>
        <v>5.4120000000000001E-2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37.429166666666667</v>
      </c>
      <c r="BN506" s="64">
        <f t="shared" si="66"/>
        <v>41.46</v>
      </c>
      <c r="BO506" s="64">
        <f t="shared" si="67"/>
        <v>4.1035353535353536E-2</v>
      </c>
      <c r="BP506" s="64">
        <f t="shared" si="68"/>
        <v>4.5454545454545456E-2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24.166666666666668</v>
      </c>
      <c r="Y508" s="635">
        <f>IFERROR(Y499/H499,"0")+IFERROR(Y500/H500,"0")+IFERROR(Y501/H501,"0")+IFERROR(Y502/H502,"0")+IFERROR(Y503/H503,"0")+IFERROR(Y504/H504,"0")+IFERROR(Y505/H505,"0")+IFERROR(Y506/H506,"0")+IFERROR(Y507/H507,"0")</f>
        <v>26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0.29332000000000003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125</v>
      </c>
      <c r="Y509" s="635">
        <f>IFERROR(SUM(Y499:Y507),"0")</f>
        <v>134.4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hidden="1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6558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6694.68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6954.7737270193084</v>
      </c>
      <c r="Y555" s="635">
        <f>IFERROR(SUM(BN22:BN551),"0")</f>
        <v>7101.049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12</v>
      </c>
      <c r="Y556" s="38">
        <f>ROUNDUP(SUM(BP22:BP551),0)</f>
        <v>13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7254.7737270193084</v>
      </c>
      <c r="Y557" s="635">
        <f>GrossWeightTotalR+PalletQtyTotalR*25</f>
        <v>7426.049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1336.2684539774111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1367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13.963110000000002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199.2</v>
      </c>
      <c r="F564" s="46">
        <f>IFERROR(Y84*1,"0")+IFERROR(Y85*1,"0")+IFERROR(Y86*1,"0")+IFERROR(Y87*1,"0")+IFERROR(Y91*1,"0")+IFERROR(Y92*1,"0")+IFERROR(Y93*1,"0")+IFERROR(Y94*1,"0")</f>
        <v>394.3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654.1</v>
      </c>
      <c r="H564" s="46">
        <f>IFERROR(Y129*1,"0")+IFERROR(Y130*1,"0")+IFERROR(Y131*1,"0")+IFERROR(Y135*1,"0")+IFERROR(Y136*1,"0")+IFERROR(Y137*1,"0")+IFERROR(Y138*1,"0")+IFERROR(Y142*1,"0")+IFERROR(Y143*1,"0")+IFERROR(Y144*1,"0")</f>
        <v>235.52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256.34000000000003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189.76000000000002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1170.5999999999999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62.4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31.2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945.86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1953</v>
      </c>
      <c r="X564" s="46">
        <f>IFERROR(Y455*1,"0")+IFERROR(Y456*1,"0")+IFERROR(Y460*1,"0")+IFERROR(Y464*1,"0")+IFERROR(Y465*1,"0")+IFERROR(Y466*1,"0")</f>
        <v>306</v>
      </c>
      <c r="Y564" s="46">
        <f>IFERROR(Y472*1,"0")+IFERROR(Y473*1,"0")+IFERROR(Y474*1,"0")+IFERROR(Y475*1,"0")+IFERROR(Y476*1,"0")+IFERROR(Y477*1,"0")+IFERROR(Y481*1,"0")+IFERROR(Y482*1,"0")</f>
        <v>108</v>
      </c>
      <c r="Z564" s="46">
        <f>IFERROR(Y487*1,"0")+IFERROR(Y491*1,"0")+IFERROR(Y492*1,"0")+IFERROR(Y493*1,"0")</f>
        <v>54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134.4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336,27"/>
        <filter val="1 750,00"/>
        <filter val="10,91"/>
        <filter val="102,00"/>
        <filter val="104,00"/>
        <filter val="104,20"/>
        <filter val="106,11"/>
        <filter val="11,00"/>
        <filter val="11,30"/>
        <filter val="110,00"/>
        <filter val="115,69"/>
        <filter val="116,67"/>
        <filter val="118,79"/>
        <filter val="12"/>
        <filter val="12,00"/>
        <filter val="12,78"/>
        <filter val="120,00"/>
        <filter val="125,00"/>
        <filter val="13,75"/>
        <filter val="14,21"/>
        <filter val="14,58"/>
        <filter val="150,00"/>
        <filter val="151,00"/>
        <filter val="152,00"/>
        <filter val="157,00"/>
        <filter val="16,00"/>
        <filter val="16,67"/>
        <filter val="18,00"/>
        <filter val="19,00"/>
        <filter val="19,26"/>
        <filter val="19,49"/>
        <filter val="19,70"/>
        <filter val="2,31"/>
        <filter val="2,93"/>
        <filter val="20,00"/>
        <filter val="20,63"/>
        <filter val="200,00"/>
        <filter val="21,00"/>
        <filter val="213,00"/>
        <filter val="219,58"/>
        <filter val="22,00"/>
        <filter val="23,00"/>
        <filter val="233,00"/>
        <filter val="24,00"/>
        <filter val="24,17"/>
        <filter val="25,00"/>
        <filter val="250,00"/>
        <filter val="26,00"/>
        <filter val="27,00"/>
        <filter val="28,00"/>
        <filter val="29,00"/>
        <filter val="3,59"/>
        <filter val="300,00"/>
        <filter val="32,00"/>
        <filter val="32,95"/>
        <filter val="325,00"/>
        <filter val="33,33"/>
        <filter val="35,00"/>
        <filter val="36,43"/>
        <filter val="369,00"/>
        <filter val="37,00"/>
        <filter val="373,00"/>
        <filter val="377,00"/>
        <filter val="379,00"/>
        <filter val="38,00"/>
        <filter val="39,00"/>
        <filter val="4,76"/>
        <filter val="41,00"/>
        <filter val="44,00"/>
        <filter val="448,00"/>
        <filter val="46,00"/>
        <filter val="47,00"/>
        <filter val="48,00"/>
        <filter val="48,52"/>
        <filter val="51,00"/>
        <filter val="53,00"/>
        <filter val="53,97"/>
        <filter val="530,00"/>
        <filter val="54,00"/>
        <filter val="55,00"/>
        <filter val="59,00"/>
        <filter val="6 558,00"/>
        <filter val="6 954,77"/>
        <filter val="6,00"/>
        <filter val="60,00"/>
        <filter val="600,00"/>
        <filter val="66,00"/>
        <filter val="7 254,77"/>
        <filter val="7,00"/>
        <filter val="7,06"/>
        <filter val="70,00"/>
        <filter val="72,00"/>
        <filter val="725,00"/>
        <filter val="74,64"/>
        <filter val="8,00"/>
        <filter val="87,00"/>
        <filter val="9,00"/>
        <filter val="9,44"/>
        <filter val="900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