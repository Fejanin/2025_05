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CC8BDFD-2758-4B25-A742-23B30A818F7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AC565" i="2" s="1"/>
  <c r="P552" i="2"/>
  <c r="X549" i="2"/>
  <c r="X548" i="2"/>
  <c r="BO547" i="2"/>
  <c r="BM547" i="2"/>
  <c r="Y547" i="2"/>
  <c r="P547" i="2"/>
  <c r="BO546" i="2"/>
  <c r="BM546" i="2"/>
  <c r="Y546" i="2"/>
  <c r="BP546" i="2" s="1"/>
  <c r="P546" i="2"/>
  <c r="X544" i="2"/>
  <c r="X543" i="2"/>
  <c r="BO542" i="2"/>
  <c r="BM542" i="2"/>
  <c r="Y542" i="2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BP534" i="2" s="1"/>
  <c r="P534" i="2"/>
  <c r="X532" i="2"/>
  <c r="X531" i="2"/>
  <c r="BO530" i="2"/>
  <c r="BM530" i="2"/>
  <c r="Y530" i="2"/>
  <c r="P530" i="2"/>
  <c r="X526" i="2"/>
  <c r="X525" i="2"/>
  <c r="BO524" i="2"/>
  <c r="BM524" i="2"/>
  <c r="Y524" i="2"/>
  <c r="P524" i="2"/>
  <c r="BO523" i="2"/>
  <c r="BM523" i="2"/>
  <c r="Y523" i="2"/>
  <c r="BN523" i="2" s="1"/>
  <c r="P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BN520" i="2" s="1"/>
  <c r="P520" i="2"/>
  <c r="BO519" i="2"/>
  <c r="BM519" i="2"/>
  <c r="Y519" i="2"/>
  <c r="Z519" i="2" s="1"/>
  <c r="P519" i="2"/>
  <c r="BO518" i="2"/>
  <c r="BM518" i="2"/>
  <c r="Y518" i="2"/>
  <c r="BP518" i="2" s="1"/>
  <c r="P518" i="2"/>
  <c r="X516" i="2"/>
  <c r="X515" i="2"/>
  <c r="BO514" i="2"/>
  <c r="BM514" i="2"/>
  <c r="Y514" i="2"/>
  <c r="P514" i="2"/>
  <c r="BO513" i="2"/>
  <c r="BM513" i="2"/>
  <c r="Y513" i="2"/>
  <c r="BN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Z501" i="2" s="1"/>
  <c r="P501" i="2"/>
  <c r="BO500" i="2"/>
  <c r="BM500" i="2"/>
  <c r="Y500" i="2"/>
  <c r="Z500" i="2" s="1"/>
  <c r="P500" i="2"/>
  <c r="X496" i="2"/>
  <c r="X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Z492" i="2" s="1"/>
  <c r="P492" i="2"/>
  <c r="X490" i="2"/>
  <c r="X489" i="2"/>
  <c r="BO488" i="2"/>
  <c r="BM488" i="2"/>
  <c r="Y488" i="2"/>
  <c r="BN488" i="2" s="1"/>
  <c r="P488" i="2"/>
  <c r="X485" i="2"/>
  <c r="X484" i="2"/>
  <c r="BO483" i="2"/>
  <c r="BM483" i="2"/>
  <c r="Y483" i="2"/>
  <c r="BP483" i="2" s="1"/>
  <c r="P483" i="2"/>
  <c r="BO482" i="2"/>
  <c r="BM482" i="2"/>
  <c r="Y482" i="2"/>
  <c r="Y484" i="2" s="1"/>
  <c r="P482" i="2"/>
  <c r="X480" i="2"/>
  <c r="X479" i="2"/>
  <c r="BO478" i="2"/>
  <c r="BM478" i="2"/>
  <c r="Y478" i="2"/>
  <c r="BP478" i="2" s="1"/>
  <c r="P478" i="2"/>
  <c r="BO477" i="2"/>
  <c r="BM477" i="2"/>
  <c r="Y477" i="2"/>
  <c r="BN477" i="2" s="1"/>
  <c r="P477" i="2"/>
  <c r="BO476" i="2"/>
  <c r="BM476" i="2"/>
  <c r="Y476" i="2"/>
  <c r="BP476" i="2" s="1"/>
  <c r="P476" i="2"/>
  <c r="BO475" i="2"/>
  <c r="BM475" i="2"/>
  <c r="Y475" i="2"/>
  <c r="BN475" i="2" s="1"/>
  <c r="P475" i="2"/>
  <c r="BO474" i="2"/>
  <c r="BM474" i="2"/>
  <c r="Y474" i="2"/>
  <c r="Z474" i="2" s="1"/>
  <c r="P474" i="2"/>
  <c r="BO473" i="2"/>
  <c r="BM473" i="2"/>
  <c r="Y473" i="2"/>
  <c r="P473" i="2"/>
  <c r="X469" i="2"/>
  <c r="X468" i="2"/>
  <c r="BO467" i="2"/>
  <c r="BM467" i="2"/>
  <c r="Y467" i="2"/>
  <c r="P467" i="2"/>
  <c r="BO466" i="2"/>
  <c r="BM466" i="2"/>
  <c r="Y466" i="2"/>
  <c r="BP466" i="2" s="1"/>
  <c r="P466" i="2"/>
  <c r="BO465" i="2"/>
  <c r="BM465" i="2"/>
  <c r="Y465" i="2"/>
  <c r="Y469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BN457" i="2" s="1"/>
  <c r="P457" i="2"/>
  <c r="BO456" i="2"/>
  <c r="BM456" i="2"/>
  <c r="Y456" i="2"/>
  <c r="P456" i="2"/>
  <c r="X453" i="2"/>
  <c r="X452" i="2"/>
  <c r="BO451" i="2"/>
  <c r="BM451" i="2"/>
  <c r="Y451" i="2"/>
  <c r="Y452" i="2" s="1"/>
  <c r="P451" i="2"/>
  <c r="BO450" i="2"/>
  <c r="BM450" i="2"/>
  <c r="Z450" i="2"/>
  <c r="Y450" i="2"/>
  <c r="BN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BP445" i="2" s="1"/>
  <c r="P445" i="2"/>
  <c r="BP444" i="2"/>
  <c r="BO444" i="2"/>
  <c r="BM444" i="2"/>
  <c r="Y444" i="2"/>
  <c r="Z444" i="2" s="1"/>
  <c r="P444" i="2"/>
  <c r="X442" i="2"/>
  <c r="X441" i="2"/>
  <c r="BO440" i="2"/>
  <c r="BM440" i="2"/>
  <c r="Y440" i="2"/>
  <c r="BP440" i="2" s="1"/>
  <c r="P440" i="2"/>
  <c r="BO439" i="2"/>
  <c r="BM439" i="2"/>
  <c r="Y439" i="2"/>
  <c r="BP439" i="2" s="1"/>
  <c r="P439" i="2"/>
  <c r="BO438" i="2"/>
  <c r="BM438" i="2"/>
  <c r="Y438" i="2"/>
  <c r="P438" i="2"/>
  <c r="X436" i="2"/>
  <c r="X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P421" i="2"/>
  <c r="BO420" i="2"/>
  <c r="BM420" i="2"/>
  <c r="Y420" i="2"/>
  <c r="BP420" i="2" s="1"/>
  <c r="P420" i="2"/>
  <c r="BO419" i="2"/>
  <c r="BM419" i="2"/>
  <c r="Y419" i="2"/>
  <c r="P419" i="2"/>
  <c r="X416" i="2"/>
  <c r="X415" i="2"/>
  <c r="BO414" i="2"/>
  <c r="BM414" i="2"/>
  <c r="Y414" i="2"/>
  <c r="Z414" i="2" s="1"/>
  <c r="BO413" i="2"/>
  <c r="BM413" i="2"/>
  <c r="Y413" i="2"/>
  <c r="X410" i="2"/>
  <c r="X409" i="2"/>
  <c r="BO408" i="2"/>
  <c r="BM408" i="2"/>
  <c r="Y408" i="2"/>
  <c r="BP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Y403" i="2" s="1"/>
  <c r="P400" i="2"/>
  <c r="X398" i="2"/>
  <c r="X397" i="2"/>
  <c r="BO396" i="2"/>
  <c r="BM396" i="2"/>
  <c r="Y396" i="2"/>
  <c r="BN396" i="2" s="1"/>
  <c r="P396" i="2"/>
  <c r="BO395" i="2"/>
  <c r="BM395" i="2"/>
  <c r="Y395" i="2"/>
  <c r="BP395" i="2" s="1"/>
  <c r="P395" i="2"/>
  <c r="BO394" i="2"/>
  <c r="BM394" i="2"/>
  <c r="Y394" i="2"/>
  <c r="Z394" i="2" s="1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BP387" i="2" s="1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N371" i="2" s="1"/>
  <c r="P371" i="2"/>
  <c r="BO370" i="2"/>
  <c r="BM370" i="2"/>
  <c r="Y370" i="2"/>
  <c r="BP370" i="2" s="1"/>
  <c r="P370" i="2"/>
  <c r="X368" i="2"/>
  <c r="X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P355" i="2"/>
  <c r="BO354" i="2"/>
  <c r="BM354" i="2"/>
  <c r="Y354" i="2"/>
  <c r="BN354" i="2" s="1"/>
  <c r="P354" i="2"/>
  <c r="X351" i="2"/>
  <c r="X350" i="2"/>
  <c r="BO349" i="2"/>
  <c r="BM349" i="2"/>
  <c r="Y349" i="2"/>
  <c r="Z349" i="2" s="1"/>
  <c r="P349" i="2"/>
  <c r="BO348" i="2"/>
  <c r="BM348" i="2"/>
  <c r="Y348" i="2"/>
  <c r="BP348" i="2" s="1"/>
  <c r="P348" i="2"/>
  <c r="X346" i="2"/>
  <c r="X345" i="2"/>
  <c r="BO344" i="2"/>
  <c r="BM344" i="2"/>
  <c r="Y344" i="2"/>
  <c r="Z344" i="2" s="1"/>
  <c r="P344" i="2"/>
  <c r="BO343" i="2"/>
  <c r="BM343" i="2"/>
  <c r="Y343" i="2"/>
  <c r="BP343" i="2" s="1"/>
  <c r="P343" i="2"/>
  <c r="BO342" i="2"/>
  <c r="BM342" i="2"/>
  <c r="Y342" i="2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Y335" i="2"/>
  <c r="P335" i="2"/>
  <c r="BO334" i="2"/>
  <c r="BM334" i="2"/>
  <c r="Y334" i="2"/>
  <c r="BN334" i="2" s="1"/>
  <c r="P334" i="2"/>
  <c r="BO333" i="2"/>
  <c r="BM333" i="2"/>
  <c r="Y333" i="2"/>
  <c r="Z333" i="2" s="1"/>
  <c r="P333" i="2"/>
  <c r="X330" i="2"/>
  <c r="X329" i="2"/>
  <c r="BO328" i="2"/>
  <c r="BM328" i="2"/>
  <c r="Z328" i="2"/>
  <c r="Y328" i="2"/>
  <c r="BP328" i="2" s="1"/>
  <c r="P328" i="2"/>
  <c r="BO327" i="2"/>
  <c r="BM327" i="2"/>
  <c r="Y327" i="2"/>
  <c r="P327" i="2"/>
  <c r="BO326" i="2"/>
  <c r="BM326" i="2"/>
  <c r="Y326" i="2"/>
  <c r="BP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P319" i="2"/>
  <c r="BO318" i="2"/>
  <c r="BM318" i="2"/>
  <c r="Y318" i="2"/>
  <c r="Z318" i="2" s="1"/>
  <c r="P318" i="2"/>
  <c r="BO317" i="2"/>
  <c r="BM317" i="2"/>
  <c r="Y317" i="2"/>
  <c r="P317" i="2"/>
  <c r="X315" i="2"/>
  <c r="X314" i="2"/>
  <c r="BO313" i="2"/>
  <c r="BM313" i="2"/>
  <c r="Y313" i="2"/>
  <c r="Y314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Z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Y296" i="2" s="1"/>
  <c r="P293" i="2"/>
  <c r="X291" i="2"/>
  <c r="X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P279" i="2"/>
  <c r="BP278" i="2"/>
  <c r="BO278" i="2"/>
  <c r="BM278" i="2"/>
  <c r="Y278" i="2"/>
  <c r="Z278" i="2" s="1"/>
  <c r="P278" i="2"/>
  <c r="X276" i="2"/>
  <c r="X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Z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N258" i="2" s="1"/>
  <c r="P258" i="2"/>
  <c r="BO257" i="2"/>
  <c r="BM257" i="2"/>
  <c r="Y257" i="2"/>
  <c r="BP257" i="2" s="1"/>
  <c r="P257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Z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N222" i="2" s="1"/>
  <c r="P222" i="2"/>
  <c r="BO221" i="2"/>
  <c r="BM221" i="2"/>
  <c r="Y221" i="2"/>
  <c r="Z221" i="2" s="1"/>
  <c r="P221" i="2"/>
  <c r="X219" i="2"/>
  <c r="X218" i="2"/>
  <c r="BO217" i="2"/>
  <c r="BM217" i="2"/>
  <c r="Y217" i="2"/>
  <c r="P217" i="2"/>
  <c r="X214" i="2"/>
  <c r="X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Z209" i="2" s="1"/>
  <c r="P209" i="2"/>
  <c r="BO208" i="2"/>
  <c r="BM208" i="2"/>
  <c r="Y208" i="2"/>
  <c r="BP208" i="2" s="1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BP200" i="2" s="1"/>
  <c r="P200" i="2"/>
  <c r="X198" i="2"/>
  <c r="X197" i="2"/>
  <c r="BO196" i="2"/>
  <c r="BM196" i="2"/>
  <c r="Y196" i="2"/>
  <c r="BN196" i="2" s="1"/>
  <c r="P196" i="2"/>
  <c r="BO195" i="2"/>
  <c r="BM195" i="2"/>
  <c r="Y195" i="2"/>
  <c r="Z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Z190" i="2" s="1"/>
  <c r="P190" i="2"/>
  <c r="BO189" i="2"/>
  <c r="BM189" i="2"/>
  <c r="Y189" i="2"/>
  <c r="BN189" i="2" s="1"/>
  <c r="P189" i="2"/>
  <c r="X187" i="2"/>
  <c r="X186" i="2"/>
  <c r="BO185" i="2"/>
  <c r="BM185" i="2"/>
  <c r="Y185" i="2"/>
  <c r="Z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Z176" i="2"/>
  <c r="Y176" i="2"/>
  <c r="BN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Z170" i="2" s="1"/>
  <c r="P170" i="2"/>
  <c r="X168" i="2"/>
  <c r="X167" i="2"/>
  <c r="BO166" i="2"/>
  <c r="BM166" i="2"/>
  <c r="Y166" i="2"/>
  <c r="Z166" i="2" s="1"/>
  <c r="P166" i="2"/>
  <c r="BO165" i="2"/>
  <c r="BM165" i="2"/>
  <c r="Y165" i="2"/>
  <c r="Z165" i="2" s="1"/>
  <c r="P165" i="2"/>
  <c r="BO164" i="2"/>
  <c r="BM164" i="2"/>
  <c r="Y164" i="2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BN154" i="2" s="1"/>
  <c r="P154" i="2"/>
  <c r="BO153" i="2"/>
  <c r="BM153" i="2"/>
  <c r="Y153" i="2"/>
  <c r="BN153" i="2" s="1"/>
  <c r="P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BP144" i="2" s="1"/>
  <c r="P144" i="2"/>
  <c r="BO143" i="2"/>
  <c r="BM143" i="2"/>
  <c r="Y143" i="2"/>
  <c r="P143" i="2"/>
  <c r="BO142" i="2"/>
  <c r="BM142" i="2"/>
  <c r="Y142" i="2"/>
  <c r="Z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Z135" i="2"/>
  <c r="Y135" i="2"/>
  <c r="BN135" i="2" s="1"/>
  <c r="P135" i="2"/>
  <c r="X133" i="2"/>
  <c r="X132" i="2"/>
  <c r="BO131" i="2"/>
  <c r="BM131" i="2"/>
  <c r="Y131" i="2"/>
  <c r="BP131" i="2" s="1"/>
  <c r="P131" i="2"/>
  <c r="BO130" i="2"/>
  <c r="BM130" i="2"/>
  <c r="Y130" i="2"/>
  <c r="BN130" i="2" s="1"/>
  <c r="P130" i="2"/>
  <c r="BO129" i="2"/>
  <c r="BM129" i="2"/>
  <c r="Y129" i="2"/>
  <c r="BN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O113" i="2"/>
  <c r="BM113" i="2"/>
  <c r="Y113" i="2"/>
  <c r="Z113" i="2" s="1"/>
  <c r="P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BN110" i="2" s="1"/>
  <c r="P110" i="2"/>
  <c r="BO109" i="2"/>
  <c r="BM109" i="2"/>
  <c r="Y109" i="2"/>
  <c r="BN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BN102" i="2" s="1"/>
  <c r="P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Z92" i="2" s="1"/>
  <c r="P92" i="2"/>
  <c r="BO91" i="2"/>
  <c r="BM91" i="2"/>
  <c r="Y91" i="2"/>
  <c r="BN91" i="2" s="1"/>
  <c r="P91" i="2"/>
  <c r="X89" i="2"/>
  <c r="X88" i="2"/>
  <c r="BO87" i="2"/>
  <c r="BM87" i="2"/>
  <c r="Y87" i="2"/>
  <c r="Z87" i="2" s="1"/>
  <c r="P87" i="2"/>
  <c r="BP86" i="2"/>
  <c r="BO86" i="2"/>
  <c r="BM86" i="2"/>
  <c r="Y86" i="2"/>
  <c r="BN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P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BN66" i="2" s="1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Z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Z56" i="2"/>
  <c r="Y56" i="2"/>
  <c r="BN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Z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Z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F10" i="2" s="1"/>
  <c r="D7" i="2"/>
  <c r="Q6" i="2"/>
  <c r="P2" i="2"/>
  <c r="BN30" i="2" l="1"/>
  <c r="BN68" i="2"/>
  <c r="BN101" i="2"/>
  <c r="BN118" i="2"/>
  <c r="BN144" i="2"/>
  <c r="Y198" i="2"/>
  <c r="BN200" i="2"/>
  <c r="Y202" i="2"/>
  <c r="BN212" i="2"/>
  <c r="BN325" i="2"/>
  <c r="BN387" i="2"/>
  <c r="BN112" i="2"/>
  <c r="Z196" i="2"/>
  <c r="BN224" i="2"/>
  <c r="BP268" i="2"/>
  <c r="BN370" i="2"/>
  <c r="BN406" i="2"/>
  <c r="Z429" i="2"/>
  <c r="Z446" i="2"/>
  <c r="Z522" i="2"/>
  <c r="Y442" i="2"/>
  <c r="BN248" i="2"/>
  <c r="BN274" i="2"/>
  <c r="Y423" i="2"/>
  <c r="BP136" i="2"/>
  <c r="BN521" i="2"/>
  <c r="BN270" i="2"/>
  <c r="BN62" i="2"/>
  <c r="BN227" i="2"/>
  <c r="BP225" i="2"/>
  <c r="Z376" i="2"/>
  <c r="Z546" i="2"/>
  <c r="Z534" i="2"/>
  <c r="Z535" i="2" s="1"/>
  <c r="Y535" i="2"/>
  <c r="BP522" i="2"/>
  <c r="Z520" i="2"/>
  <c r="Z512" i="2"/>
  <c r="BP512" i="2"/>
  <c r="BN507" i="2"/>
  <c r="BN503" i="2"/>
  <c r="BN502" i="2"/>
  <c r="BN478" i="2"/>
  <c r="BP477" i="2"/>
  <c r="Z477" i="2"/>
  <c r="BN476" i="2"/>
  <c r="Z475" i="2"/>
  <c r="Y479" i="2"/>
  <c r="BN466" i="2"/>
  <c r="BN465" i="2"/>
  <c r="BN451" i="2"/>
  <c r="Y453" i="2"/>
  <c r="BN446" i="2"/>
  <c r="BN440" i="2"/>
  <c r="BN431" i="2"/>
  <c r="BN420" i="2"/>
  <c r="Z420" i="2"/>
  <c r="Z396" i="2"/>
  <c r="BP396" i="2"/>
  <c r="BN395" i="2"/>
  <c r="Y397" i="2"/>
  <c r="Z387" i="2"/>
  <c r="Z383" i="2"/>
  <c r="BP376" i="2"/>
  <c r="Z374" i="2"/>
  <c r="BN374" i="2"/>
  <c r="Z371" i="2"/>
  <c r="BP371" i="2"/>
  <c r="Y378" i="2"/>
  <c r="Z370" i="2"/>
  <c r="Z363" i="2"/>
  <c r="Y367" i="2"/>
  <c r="BN349" i="2"/>
  <c r="BN343" i="2"/>
  <c r="Z343" i="2"/>
  <c r="BP334" i="2"/>
  <c r="BN328" i="2"/>
  <c r="Z325" i="2"/>
  <c r="BN324" i="2"/>
  <c r="Z324" i="2"/>
  <c r="BN318" i="2"/>
  <c r="Z304" i="2"/>
  <c r="Z294" i="2"/>
  <c r="BN294" i="2"/>
  <c r="BN286" i="2"/>
  <c r="Z286" i="2"/>
  <c r="Z284" i="2"/>
  <c r="BN284" i="2"/>
  <c r="BN280" i="2"/>
  <c r="Z274" i="2"/>
  <c r="BN252" i="2"/>
  <c r="Z247" i="2"/>
  <c r="Y250" i="2"/>
  <c r="BN247" i="2"/>
  <c r="BN242" i="2"/>
  <c r="Z238" i="2"/>
  <c r="BN233" i="2"/>
  <c r="Z231" i="2"/>
  <c r="BN231" i="2"/>
  <c r="Z227" i="2"/>
  <c r="BP223" i="2"/>
  <c r="Z223" i="2"/>
  <c r="Z210" i="2"/>
  <c r="BN210" i="2"/>
  <c r="BN206" i="2"/>
  <c r="Y201" i="2"/>
  <c r="BN195" i="2"/>
  <c r="Z183" i="2"/>
  <c r="BN178" i="2"/>
  <c r="BP170" i="2"/>
  <c r="Z153" i="2"/>
  <c r="Z152" i="2"/>
  <c r="BP152" i="2"/>
  <c r="Z138" i="2"/>
  <c r="BP135" i="2"/>
  <c r="Z120" i="2"/>
  <c r="BP113" i="2"/>
  <c r="BP111" i="2"/>
  <c r="Z111" i="2"/>
  <c r="Y107" i="2"/>
  <c r="Z94" i="2"/>
  <c r="BN94" i="2"/>
  <c r="BP92" i="2"/>
  <c r="Z91" i="2"/>
  <c r="BP91" i="2"/>
  <c r="BN84" i="2"/>
  <c r="BP79" i="2"/>
  <c r="Z79" i="2"/>
  <c r="Y81" i="2"/>
  <c r="Z67" i="2"/>
  <c r="BN67" i="2"/>
  <c r="Z61" i="2"/>
  <c r="BP59" i="2"/>
  <c r="Z58" i="2"/>
  <c r="BP58" i="2"/>
  <c r="BN50" i="2"/>
  <c r="BP40" i="2"/>
  <c r="BN39" i="2"/>
  <c r="Z39" i="2"/>
  <c r="BN38" i="2"/>
  <c r="Z30" i="2"/>
  <c r="BP28" i="2"/>
  <c r="X556" i="2"/>
  <c r="X559" i="2"/>
  <c r="Z27" i="2"/>
  <c r="Y24" i="2"/>
  <c r="BP31" i="2"/>
  <c r="BP179" i="2"/>
  <c r="Z179" i="2"/>
  <c r="Z211" i="2"/>
  <c r="BN211" i="2"/>
  <c r="Z232" i="2"/>
  <c r="BN232" i="2"/>
  <c r="BP317" i="2"/>
  <c r="Y320" i="2"/>
  <c r="BN317" i="2"/>
  <c r="Y321" i="2"/>
  <c r="Z317" i="2"/>
  <c r="BP430" i="2"/>
  <c r="BN430" i="2"/>
  <c r="Z430" i="2"/>
  <c r="BP494" i="2"/>
  <c r="Z494" i="2"/>
  <c r="X555" i="2"/>
  <c r="D565" i="2"/>
  <c r="E565" i="2"/>
  <c r="BP55" i="2"/>
  <c r="Z57" i="2"/>
  <c r="BP57" i="2"/>
  <c r="Y70" i="2"/>
  <c r="Z74" i="2"/>
  <c r="BP74" i="2"/>
  <c r="Z80" i="2"/>
  <c r="BP78" i="2"/>
  <c r="Z85" i="2"/>
  <c r="Z100" i="2"/>
  <c r="Z102" i="2"/>
  <c r="BP102" i="2"/>
  <c r="Z105" i="2"/>
  <c r="Z109" i="2"/>
  <c r="Y133" i="2"/>
  <c r="Z154" i="2"/>
  <c r="BP155" i="2"/>
  <c r="Z155" i="2"/>
  <c r="Z175" i="2"/>
  <c r="Z180" i="2"/>
  <c r="BP180" i="2"/>
  <c r="BP182" i="2"/>
  <c r="Z182" i="2"/>
  <c r="BP189" i="2"/>
  <c r="BP207" i="2"/>
  <c r="BN207" i="2"/>
  <c r="BP217" i="2"/>
  <c r="Y218" i="2"/>
  <c r="Z217" i="2"/>
  <c r="Z218" i="2" s="1"/>
  <c r="BP228" i="2"/>
  <c r="BN228" i="2"/>
  <c r="BP241" i="2"/>
  <c r="BN241" i="2"/>
  <c r="Z241" i="2"/>
  <c r="Y276" i="2"/>
  <c r="BP269" i="2"/>
  <c r="BP301" i="2"/>
  <c r="BN301" i="2"/>
  <c r="Z301" i="2"/>
  <c r="BN319" i="2"/>
  <c r="BP319" i="2"/>
  <c r="Z319" i="2"/>
  <c r="BN342" i="2"/>
  <c r="BP342" i="2"/>
  <c r="Z342" i="2"/>
  <c r="BN381" i="2"/>
  <c r="BP381" i="2"/>
  <c r="Z381" i="2"/>
  <c r="BN432" i="2"/>
  <c r="BP432" i="2"/>
  <c r="Z432" i="2"/>
  <c r="Z504" i="2"/>
  <c r="BP504" i="2"/>
  <c r="BP547" i="2"/>
  <c r="BN547" i="2"/>
  <c r="BN267" i="2"/>
  <c r="BP267" i="2"/>
  <c r="Z267" i="2"/>
  <c r="BP327" i="2"/>
  <c r="Z327" i="2"/>
  <c r="BN340" i="2"/>
  <c r="Y345" i="2"/>
  <c r="Z340" i="2"/>
  <c r="Z413" i="2"/>
  <c r="Z415" i="2" s="1"/>
  <c r="BN413" i="2"/>
  <c r="Z524" i="2"/>
  <c r="BP524" i="2"/>
  <c r="Z538" i="2"/>
  <c r="Z539" i="2" s="1"/>
  <c r="BP538" i="2"/>
  <c r="Y539" i="2"/>
  <c r="Y25" i="2"/>
  <c r="X557" i="2"/>
  <c r="BN27" i="2"/>
  <c r="BN31" i="2"/>
  <c r="Z38" i="2"/>
  <c r="Z47" i="2"/>
  <c r="BP47" i="2"/>
  <c r="Z50" i="2"/>
  <c r="Z55" i="2"/>
  <c r="BN61" i="2"/>
  <c r="Z62" i="2"/>
  <c r="Z66" i="2"/>
  <c r="Z68" i="2"/>
  <c r="Y80" i="2"/>
  <c r="G565" i="2"/>
  <c r="BP99" i="2"/>
  <c r="Z101" i="2"/>
  <c r="BP103" i="2"/>
  <c r="Y114" i="2"/>
  <c r="Z118" i="2"/>
  <c r="Y146" i="2"/>
  <c r="Z143" i="2"/>
  <c r="J565" i="2"/>
  <c r="Y168" i="2"/>
  <c r="BP166" i="2"/>
  <c r="BN166" i="2"/>
  <c r="BN179" i="2"/>
  <c r="Z189" i="2"/>
  <c r="BP196" i="2"/>
  <c r="Z207" i="2"/>
  <c r="Y213" i="2"/>
  <c r="BP222" i="2"/>
  <c r="Z222" i="2"/>
  <c r="Z228" i="2"/>
  <c r="Y235" i="2"/>
  <c r="BP271" i="2"/>
  <c r="BN271" i="2"/>
  <c r="Z271" i="2"/>
  <c r="BP335" i="2"/>
  <c r="BN335" i="2"/>
  <c r="Z335" i="2"/>
  <c r="BN355" i="2"/>
  <c r="BP355" i="2"/>
  <c r="Z355" i="2"/>
  <c r="Z365" i="2"/>
  <c r="BN365" i="2"/>
  <c r="Z407" i="2"/>
  <c r="BN407" i="2"/>
  <c r="Z467" i="2"/>
  <c r="BP467" i="2"/>
  <c r="Z514" i="2"/>
  <c r="BP514" i="2"/>
  <c r="Y515" i="2"/>
  <c r="Y531" i="2"/>
  <c r="BN530" i="2"/>
  <c r="Y543" i="2"/>
  <c r="BN542" i="2"/>
  <c r="Y89" i="2"/>
  <c r="BP109" i="2"/>
  <c r="BN119" i="2"/>
  <c r="Z119" i="2"/>
  <c r="BN175" i="2"/>
  <c r="Y187" i="2"/>
  <c r="BP281" i="2"/>
  <c r="BN281" i="2"/>
  <c r="Z281" i="2"/>
  <c r="A10" i="2"/>
  <c r="Z22" i="2"/>
  <c r="BP22" i="2"/>
  <c r="Y33" i="2"/>
  <c r="Y43" i="2"/>
  <c r="BP48" i="2"/>
  <c r="BP69" i="2"/>
  <c r="BN78" i="2"/>
  <c r="Z84" i="2"/>
  <c r="BN85" i="2"/>
  <c r="BN105" i="2"/>
  <c r="Z110" i="2"/>
  <c r="Z112" i="2"/>
  <c r="BP119" i="2"/>
  <c r="Y122" i="2"/>
  <c r="H565" i="2"/>
  <c r="Z129" i="2"/>
  <c r="BN155" i="2"/>
  <c r="BN177" i="2"/>
  <c r="Z177" i="2"/>
  <c r="BN182" i="2"/>
  <c r="BP211" i="2"/>
  <c r="BN217" i="2"/>
  <c r="Y219" i="2"/>
  <c r="BP232" i="2"/>
  <c r="BN279" i="2"/>
  <c r="BP279" i="2"/>
  <c r="Y295" i="2"/>
  <c r="Z293" i="2"/>
  <c r="Z295" i="2" s="1"/>
  <c r="Y330" i="2"/>
  <c r="BP340" i="2"/>
  <c r="BP413" i="2"/>
  <c r="W565" i="2"/>
  <c r="BN427" i="2"/>
  <c r="BP427" i="2"/>
  <c r="Z427" i="2"/>
  <c r="BP130" i="2"/>
  <c r="BN138" i="2"/>
  <c r="BP153" i="2"/>
  <c r="Y173" i="2"/>
  <c r="BN183" i="2"/>
  <c r="BP190" i="2"/>
  <c r="Z197" i="2"/>
  <c r="BP195" i="2"/>
  <c r="Y197" i="2"/>
  <c r="BN238" i="2"/>
  <c r="Y244" i="2"/>
  <c r="Y254" i="2"/>
  <c r="BP285" i="2"/>
  <c r="BP299" i="2"/>
  <c r="BN302" i="2"/>
  <c r="BN305" i="2"/>
  <c r="BP309" i="2"/>
  <c r="BP333" i="2"/>
  <c r="BN341" i="2"/>
  <c r="BP344" i="2"/>
  <c r="BN361" i="2"/>
  <c r="BN364" i="2"/>
  <c r="BN366" i="2"/>
  <c r="BP375" i="2"/>
  <c r="BN380" i="2"/>
  <c r="Y385" i="2"/>
  <c r="BP388" i="2"/>
  <c r="BP393" i="2"/>
  <c r="BN408" i="2"/>
  <c r="Y409" i="2"/>
  <c r="BP414" i="2"/>
  <c r="BP419" i="2"/>
  <c r="Y468" i="2"/>
  <c r="BP474" i="2"/>
  <c r="Z565" i="2"/>
  <c r="Y490" i="2"/>
  <c r="BP519" i="2"/>
  <c r="Y525" i="2"/>
  <c r="Y145" i="2"/>
  <c r="BP142" i="2"/>
  <c r="Z144" i="2"/>
  <c r="BP176" i="2"/>
  <c r="Z178" i="2"/>
  <c r="Z200" i="2"/>
  <c r="Z201" i="2" s="1"/>
  <c r="Z206" i="2"/>
  <c r="Z212" i="2"/>
  <c r="Y214" i="2"/>
  <c r="Y236" i="2"/>
  <c r="BP221" i="2"/>
  <c r="Z224" i="2"/>
  <c r="Z233" i="2"/>
  <c r="BP242" i="2"/>
  <c r="Z248" i="2"/>
  <c r="Z252" i="2"/>
  <c r="Z253" i="2" s="1"/>
  <c r="Y265" i="2"/>
  <c r="Z270" i="2"/>
  <c r="Z280" i="2"/>
  <c r="BP318" i="2"/>
  <c r="BP349" i="2"/>
  <c r="Y358" i="2"/>
  <c r="BP354" i="2"/>
  <c r="T565" i="2"/>
  <c r="Y377" i="2"/>
  <c r="Z395" i="2"/>
  <c r="Y422" i="2"/>
  <c r="BP431" i="2"/>
  <c r="Z439" i="2"/>
  <c r="Z451" i="2"/>
  <c r="Z452" i="2" s="1"/>
  <c r="X565" i="2"/>
  <c r="Z466" i="2"/>
  <c r="Z476" i="2"/>
  <c r="Z488" i="2"/>
  <c r="Z489" i="2" s="1"/>
  <c r="BP492" i="2"/>
  <c r="Z503" i="2"/>
  <c r="Z506" i="2"/>
  <c r="BN512" i="2"/>
  <c r="BP513" i="2"/>
  <c r="Z521" i="2"/>
  <c r="BP523" i="2"/>
  <c r="Y536" i="2"/>
  <c r="Z273" i="2"/>
  <c r="Z283" i="2"/>
  <c r="BN285" i="2"/>
  <c r="Y307" i="2"/>
  <c r="Z302" i="2"/>
  <c r="Z305" i="2"/>
  <c r="Y310" i="2"/>
  <c r="Z341" i="2"/>
  <c r="Y357" i="2"/>
  <c r="Z361" i="2"/>
  <c r="BP361" i="2"/>
  <c r="Z364" i="2"/>
  <c r="Z366" i="2"/>
  <c r="Y368" i="2"/>
  <c r="Z373" i="2"/>
  <c r="BN375" i="2"/>
  <c r="Z380" i="2"/>
  <c r="BN393" i="2"/>
  <c r="Y398" i="2"/>
  <c r="BP394" i="2"/>
  <c r="Z406" i="2"/>
  <c r="Z408" i="2"/>
  <c r="Y410" i="2"/>
  <c r="BN414" i="2"/>
  <c r="BN419" i="2"/>
  <c r="Z440" i="2"/>
  <c r="BP450" i="2"/>
  <c r="Z465" i="2"/>
  <c r="BP465" i="2"/>
  <c r="BN474" i="2"/>
  <c r="BP475" i="2"/>
  <c r="Z478" i="2"/>
  <c r="Y489" i="2"/>
  <c r="AA565" i="2"/>
  <c r="BP500" i="2"/>
  <c r="BN501" i="2"/>
  <c r="Z502" i="2"/>
  <c r="Z507" i="2"/>
  <c r="Z513" i="2"/>
  <c r="BN519" i="2"/>
  <c r="BP520" i="2"/>
  <c r="Z523" i="2"/>
  <c r="BN143" i="2"/>
  <c r="Z240" i="2"/>
  <c r="BN29" i="2"/>
  <c r="Y32" i="2"/>
  <c r="BN41" i="2"/>
  <c r="BP56" i="2"/>
  <c r="BP66" i="2"/>
  <c r="BN87" i="2"/>
  <c r="BP100" i="2"/>
  <c r="BP110" i="2"/>
  <c r="BP120" i="2"/>
  <c r="BN131" i="2"/>
  <c r="BP143" i="2"/>
  <c r="BP154" i="2"/>
  <c r="BN165" i="2"/>
  <c r="BP177" i="2"/>
  <c r="BN185" i="2"/>
  <c r="BN209" i="2"/>
  <c r="BN230" i="2"/>
  <c r="BN240" i="2"/>
  <c r="Y243" i="2"/>
  <c r="BP252" i="2"/>
  <c r="BN263" i="2"/>
  <c r="BN273" i="2"/>
  <c r="BN283" i="2"/>
  <c r="BN293" i="2"/>
  <c r="BN304" i="2"/>
  <c r="BN327" i="2"/>
  <c r="BN363" i="2"/>
  <c r="BN373" i="2"/>
  <c r="BN383" i="2"/>
  <c r="Z393" i="2"/>
  <c r="BN429" i="2"/>
  <c r="BN439" i="2"/>
  <c r="BP451" i="2"/>
  <c r="Y463" i="2"/>
  <c r="BP501" i="2"/>
  <c r="Y510" i="2"/>
  <c r="Y548" i="2"/>
  <c r="K565" i="2"/>
  <c r="BP117" i="2"/>
  <c r="Y193" i="2"/>
  <c r="BN100" i="2"/>
  <c r="Z131" i="2"/>
  <c r="BN48" i="2"/>
  <c r="Y51" i="2"/>
  <c r="BN59" i="2"/>
  <c r="BN69" i="2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BN225" i="2"/>
  <c r="BP258" i="2"/>
  <c r="BN268" i="2"/>
  <c r="BN278" i="2"/>
  <c r="BP288" i="2"/>
  <c r="BN299" i="2"/>
  <c r="BN309" i="2"/>
  <c r="BN333" i="2"/>
  <c r="Y336" i="2"/>
  <c r="BN344" i="2"/>
  <c r="BN388" i="2"/>
  <c r="BP400" i="2"/>
  <c r="BP434" i="2"/>
  <c r="BN444" i="2"/>
  <c r="Y447" i="2"/>
  <c r="BP457" i="2"/>
  <c r="BN467" i="2"/>
  <c r="Y480" i="2"/>
  <c r="BN492" i="2"/>
  <c r="Y495" i="2"/>
  <c r="BN504" i="2"/>
  <c r="BN514" i="2"/>
  <c r="BN524" i="2"/>
  <c r="BN538" i="2"/>
  <c r="L565" i="2"/>
  <c r="Y125" i="2"/>
  <c r="BP29" i="2"/>
  <c r="BP41" i="2"/>
  <c r="BP87" i="2"/>
  <c r="Y121" i="2"/>
  <c r="BP165" i="2"/>
  <c r="BP185" i="2"/>
  <c r="BP209" i="2"/>
  <c r="BP230" i="2"/>
  <c r="BP263" i="2"/>
  <c r="BP293" i="2"/>
  <c r="Y315" i="2"/>
  <c r="Y404" i="2"/>
  <c r="Y485" i="2"/>
  <c r="Y532" i="2"/>
  <c r="Y544" i="2"/>
  <c r="M565" i="2"/>
  <c r="Y259" i="2"/>
  <c r="Y435" i="2"/>
  <c r="Y458" i="2"/>
  <c r="Y549" i="2"/>
  <c r="O565" i="2"/>
  <c r="Y160" i="2"/>
  <c r="Y42" i="2"/>
  <c r="Y52" i="2"/>
  <c r="Y88" i="2"/>
  <c r="Y96" i="2"/>
  <c r="Y132" i="2"/>
  <c r="Y140" i="2"/>
  <c r="Z150" i="2"/>
  <c r="Y186" i="2"/>
  <c r="Y264" i="2"/>
  <c r="Z289" i="2"/>
  <c r="Y337" i="2"/>
  <c r="Y384" i="2"/>
  <c r="Z401" i="2"/>
  <c r="Y448" i="2"/>
  <c r="Z482" i="2"/>
  <c r="Y496" i="2"/>
  <c r="P565" i="2"/>
  <c r="Q565" i="2"/>
  <c r="Z37" i="2"/>
  <c r="Z49" i="2"/>
  <c r="Z60" i="2"/>
  <c r="Y75" i="2"/>
  <c r="Z93" i="2"/>
  <c r="Z104" i="2"/>
  <c r="BP129" i="2"/>
  <c r="Z137" i="2"/>
  <c r="Z139" i="2" s="1"/>
  <c r="BN150" i="2"/>
  <c r="Y161" i="2"/>
  <c r="Z171" i="2"/>
  <c r="Z172" i="2" s="1"/>
  <c r="Z181" i="2"/>
  <c r="Z191" i="2"/>
  <c r="Z226" i="2"/>
  <c r="Z246" i="2"/>
  <c r="Y260" i="2"/>
  <c r="Z269" i="2"/>
  <c r="Z279" i="2"/>
  <c r="BN289" i="2"/>
  <c r="Z300" i="2"/>
  <c r="Z334" i="2"/>
  <c r="Z336" i="2" s="1"/>
  <c r="Y350" i="2"/>
  <c r="Z389" i="2"/>
  <c r="BN401" i="2"/>
  <c r="Y415" i="2"/>
  <c r="Y436" i="2"/>
  <c r="Z445" i="2"/>
  <c r="Z447" i="2" s="1"/>
  <c r="Y459" i="2"/>
  <c r="BN482" i="2"/>
  <c r="Z493" i="2"/>
  <c r="Z505" i="2"/>
  <c r="Z552" i="2"/>
  <c r="Z553" i="2" s="1"/>
  <c r="R565" i="2"/>
  <c r="BN534" i="2"/>
  <c r="BN546" i="2"/>
  <c r="S565" i="2"/>
  <c r="Z23" i="2"/>
  <c r="BN37" i="2"/>
  <c r="BN49" i="2"/>
  <c r="BN60" i="2"/>
  <c r="Y63" i="2"/>
  <c r="Y71" i="2"/>
  <c r="BN93" i="2"/>
  <c r="BN104" i="2"/>
  <c r="Y115" i="2"/>
  <c r="Z124" i="2"/>
  <c r="Z125" i="2" s="1"/>
  <c r="BN171" i="2"/>
  <c r="BN181" i="2"/>
  <c r="BN191" i="2"/>
  <c r="BN226" i="2"/>
  <c r="Y249" i="2"/>
  <c r="Z257" i="2"/>
  <c r="BN269" i="2"/>
  <c r="Z287" i="2"/>
  <c r="BN300" i="2"/>
  <c r="Y311" i="2"/>
  <c r="BN389" i="2"/>
  <c r="Z421" i="2"/>
  <c r="Z433" i="2"/>
  <c r="BN445" i="2"/>
  <c r="Z456" i="2"/>
  <c r="BP482" i="2"/>
  <c r="BN493" i="2"/>
  <c r="BN505" i="2"/>
  <c r="Y526" i="2"/>
  <c r="Y540" i="2"/>
  <c r="BN552" i="2"/>
  <c r="BN137" i="2"/>
  <c r="Z234" i="2"/>
  <c r="BN246" i="2"/>
  <c r="Y346" i="2"/>
  <c r="Z356" i="2"/>
  <c r="Z28" i="2"/>
  <c r="Z32" i="2" s="1"/>
  <c r="Z40" i="2"/>
  <c r="BN55" i="2"/>
  <c r="Y76" i="2"/>
  <c r="Z86" i="2"/>
  <c r="BN99" i="2"/>
  <c r="Z130" i="2"/>
  <c r="BN142" i="2"/>
  <c r="Y156" i="2"/>
  <c r="Z164" i="2"/>
  <c r="Z167" i="2" s="1"/>
  <c r="Z184" i="2"/>
  <c r="Z208" i="2"/>
  <c r="BN221" i="2"/>
  <c r="Z229" i="2"/>
  <c r="Z239" i="2"/>
  <c r="Z262" i="2"/>
  <c r="Z264" i="2" s="1"/>
  <c r="Z272" i="2"/>
  <c r="Z282" i="2"/>
  <c r="Z303" i="2"/>
  <c r="Z326" i="2"/>
  <c r="Z329" i="2" s="1"/>
  <c r="Y351" i="2"/>
  <c r="Z362" i="2"/>
  <c r="Z372" i="2"/>
  <c r="Z382" i="2"/>
  <c r="BN394" i="2"/>
  <c r="Y416" i="2"/>
  <c r="Z428" i="2"/>
  <c r="Z438" i="2"/>
  <c r="Z461" i="2"/>
  <c r="Z462" i="2" s="1"/>
  <c r="BP488" i="2"/>
  <c r="BN500" i="2"/>
  <c r="Z508" i="2"/>
  <c r="B565" i="2"/>
  <c r="U565" i="2"/>
  <c r="BP171" i="2"/>
  <c r="Y290" i="2"/>
  <c r="BN421" i="2"/>
  <c r="BN433" i="2"/>
  <c r="BN456" i="2"/>
  <c r="BP552" i="2"/>
  <c r="C565" i="2"/>
  <c r="V565" i="2"/>
  <c r="BN23" i="2"/>
  <c r="BN234" i="2"/>
  <c r="BP246" i="2"/>
  <c r="Y64" i="2"/>
  <c r="Z73" i="2"/>
  <c r="Z75" i="2" s="1"/>
  <c r="Z117" i="2"/>
  <c r="Z151" i="2"/>
  <c r="BN164" i="2"/>
  <c r="Y167" i="2"/>
  <c r="BN184" i="2"/>
  <c r="BN208" i="2"/>
  <c r="BN229" i="2"/>
  <c r="BN239" i="2"/>
  <c r="BN262" i="2"/>
  <c r="BN272" i="2"/>
  <c r="Y275" i="2"/>
  <c r="BN282" i="2"/>
  <c r="BN303" i="2"/>
  <c r="Y306" i="2"/>
  <c r="Z313" i="2"/>
  <c r="Z314" i="2" s="1"/>
  <c r="BN326" i="2"/>
  <c r="Y329" i="2"/>
  <c r="Z348" i="2"/>
  <c r="Z350" i="2" s="1"/>
  <c r="BN362" i="2"/>
  <c r="BN372" i="2"/>
  <c r="BN382" i="2"/>
  <c r="Z402" i="2"/>
  <c r="BN428" i="2"/>
  <c r="BN438" i="2"/>
  <c r="Y441" i="2"/>
  <c r="BN461" i="2"/>
  <c r="Z473" i="2"/>
  <c r="Z483" i="2"/>
  <c r="BN508" i="2"/>
  <c r="Z518" i="2"/>
  <c r="Z530" i="2"/>
  <c r="Z531" i="2" s="1"/>
  <c r="Z542" i="2"/>
  <c r="Z543" i="2" s="1"/>
  <c r="BN124" i="2"/>
  <c r="BN257" i="2"/>
  <c r="BN287" i="2"/>
  <c r="F9" i="2"/>
  <c r="H9" i="2"/>
  <c r="BP23" i="2"/>
  <c r="BP124" i="2"/>
  <c r="Y157" i="2"/>
  <c r="Y172" i="2"/>
  <c r="Y192" i="2"/>
  <c r="BP234" i="2"/>
  <c r="Z354" i="2"/>
  <c r="BP356" i="2"/>
  <c r="Y390" i="2"/>
  <c r="Z419" i="2"/>
  <c r="BP421" i="2"/>
  <c r="BP456" i="2"/>
  <c r="Z547" i="2"/>
  <c r="Z548" i="2" s="1"/>
  <c r="Y553" i="2"/>
  <c r="J9" i="2"/>
  <c r="BN73" i="2"/>
  <c r="BN151" i="2"/>
  <c r="BP164" i="2"/>
  <c r="Y291" i="2"/>
  <c r="BN313" i="2"/>
  <c r="BN348" i="2"/>
  <c r="BN402" i="2"/>
  <c r="BP438" i="2"/>
  <c r="BP461" i="2"/>
  <c r="BN473" i="2"/>
  <c r="BN483" i="2"/>
  <c r="BN518" i="2"/>
  <c r="F565" i="2"/>
  <c r="Y565" i="2"/>
  <c r="Z149" i="2"/>
  <c r="Z258" i="2"/>
  <c r="Z288" i="2"/>
  <c r="BP313" i="2"/>
  <c r="Y391" i="2"/>
  <c r="Z400" i="2"/>
  <c r="Z434" i="2"/>
  <c r="Z457" i="2"/>
  <c r="BP473" i="2"/>
  <c r="BN494" i="2"/>
  <c r="BN506" i="2"/>
  <c r="Y509" i="2"/>
  <c r="BP530" i="2"/>
  <c r="BP542" i="2"/>
  <c r="Y554" i="2"/>
  <c r="I565" i="2"/>
  <c r="AB565" i="2"/>
  <c r="Z159" i="2"/>
  <c r="Z160" i="2" s="1"/>
  <c r="BN400" i="2"/>
  <c r="Z441" i="2" l="1"/>
  <c r="Z422" i="2"/>
  <c r="Z515" i="2"/>
  <c r="Z145" i="2"/>
  <c r="Z63" i="2"/>
  <c r="Z468" i="2"/>
  <c r="Z390" i="2"/>
  <c r="Z95" i="2"/>
  <c r="Z525" i="2"/>
  <c r="Z509" i="2"/>
  <c r="Z495" i="2"/>
  <c r="Z479" i="2"/>
  <c r="Z409" i="2"/>
  <c r="Z397" i="2"/>
  <c r="Z377" i="2"/>
  <c r="Z357" i="2"/>
  <c r="Z345" i="2"/>
  <c r="Z249" i="2"/>
  <c r="Z243" i="2"/>
  <c r="Z213" i="2"/>
  <c r="Z156" i="2"/>
  <c r="Z132" i="2"/>
  <c r="Z121" i="2"/>
  <c r="Z70" i="2"/>
  <c r="Z51" i="2"/>
  <c r="X558" i="2"/>
  <c r="Y556" i="2"/>
  <c r="Z24" i="2"/>
  <c r="Z367" i="2"/>
  <c r="Z290" i="2"/>
  <c r="Z106" i="2"/>
  <c r="Y559" i="2"/>
  <c r="Z114" i="2"/>
  <c r="Z88" i="2"/>
  <c r="Z235" i="2"/>
  <c r="Z275" i="2"/>
  <c r="Z192" i="2"/>
  <c r="Z435" i="2"/>
  <c r="Z384" i="2"/>
  <c r="Z259" i="2"/>
  <c r="Z306" i="2"/>
  <c r="Z186" i="2"/>
  <c r="Y555" i="2"/>
  <c r="Y557" i="2"/>
  <c r="Z320" i="2"/>
  <c r="Z42" i="2"/>
  <c r="Z484" i="2"/>
  <c r="Z403" i="2"/>
  <c r="Z458" i="2"/>
  <c r="Y558" i="2" l="1"/>
  <c r="Z560" i="2"/>
</calcChain>
</file>

<file path=xl/sharedStrings.xml><?xml version="1.0" encoding="utf-8"?>
<sst xmlns="http://schemas.openxmlformats.org/spreadsheetml/2006/main" count="4237" uniqueCount="896">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</sst>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1" t="s">
        <v>8</v>
      </c>
      <c r="B5" s="981"/>
      <c r="C5" s="981"/>
      <c r="D5" s="1003"/>
      <c r="E5" s="1003"/>
      <c r="F5" s="1004" t="s">
        <v>14</v>
      </c>
      <c r="G5" s="1004"/>
      <c r="H5" s="1003" t="s">
        <v>895</v>
      </c>
      <c r="I5" s="1003"/>
      <c r="J5" s="1003"/>
      <c r="K5" s="1003"/>
      <c r="L5" s="1003"/>
      <c r="M5" s="1003"/>
      <c r="N5" s="72"/>
      <c r="P5" s="27" t="s">
        <v>4</v>
      </c>
      <c r="Q5" s="1005">
        <v>46245</v>
      </c>
      <c r="R5" s="1005"/>
      <c r="T5" s="1006" t="s">
        <v>3</v>
      </c>
      <c r="U5" s="1007"/>
      <c r="V5" s="1008" t="s">
        <v>876</v>
      </c>
      <c r="W5" s="1009"/>
      <c r="AB5" s="59"/>
      <c r="AC5" s="59"/>
      <c r="AD5" s="59"/>
      <c r="AE5" s="59"/>
    </row>
    <row r="6" spans="1:32" s="17" customFormat="1" ht="24" customHeight="1" x14ac:dyDescent="0.2">
      <c r="A6" s="981" t="s">
        <v>1</v>
      </c>
      <c r="B6" s="981"/>
      <c r="C6" s="981"/>
      <c r="D6" s="982" t="s">
        <v>877</v>
      </c>
      <c r="E6" s="982"/>
      <c r="F6" s="982"/>
      <c r="G6" s="982"/>
      <c r="H6" s="982"/>
      <c r="I6" s="982"/>
      <c r="J6" s="982"/>
      <c r="K6" s="982"/>
      <c r="L6" s="982"/>
      <c r="M6" s="982"/>
      <c r="N6" s="73"/>
      <c r="P6" s="27" t="s">
        <v>27</v>
      </c>
      <c r="Q6" s="983" t="str">
        <f>IF(Q5=0," ",CHOOSE(WEEKDAY(Q5,2),"Понедельник","Вторник","Среда","Четверг","Пятница","Суббота","Воскресенье"))</f>
        <v>Вторник</v>
      </c>
      <c r="R6" s="983"/>
      <c r="T6" s="984" t="s">
        <v>5</v>
      </c>
      <c r="U6" s="985"/>
      <c r="V6" s="986" t="s">
        <v>70</v>
      </c>
      <c r="W6" s="98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2" t="str">
        <f>IFERROR(VLOOKUP(DeliveryAddress,Table,3,0),1)</f>
        <v>1</v>
      </c>
      <c r="E7" s="993"/>
      <c r="F7" s="993"/>
      <c r="G7" s="993"/>
      <c r="H7" s="993"/>
      <c r="I7" s="993"/>
      <c r="J7" s="993"/>
      <c r="K7" s="993"/>
      <c r="L7" s="993"/>
      <c r="M7" s="994"/>
      <c r="N7" s="74"/>
      <c r="P7" s="29"/>
      <c r="Q7" s="48"/>
      <c r="R7" s="48"/>
      <c r="T7" s="984"/>
      <c r="U7" s="985"/>
      <c r="V7" s="988"/>
      <c r="W7" s="989"/>
      <c r="AB7" s="59"/>
      <c r="AC7" s="59"/>
      <c r="AD7" s="59"/>
      <c r="AE7" s="59"/>
    </row>
    <row r="8" spans="1:32" s="17" customFormat="1" ht="25.5" customHeight="1" x14ac:dyDescent="0.2">
      <c r="A8" s="995" t="s">
        <v>58</v>
      </c>
      <c r="B8" s="995"/>
      <c r="C8" s="995"/>
      <c r="D8" s="996"/>
      <c r="E8" s="996"/>
      <c r="F8" s="996"/>
      <c r="G8" s="996"/>
      <c r="H8" s="996"/>
      <c r="I8" s="996"/>
      <c r="J8" s="996"/>
      <c r="K8" s="996"/>
      <c r="L8" s="996"/>
      <c r="M8" s="996"/>
      <c r="N8" s="75"/>
      <c r="P8" s="27" t="s">
        <v>11</v>
      </c>
      <c r="Q8" s="979">
        <v>0.375</v>
      </c>
      <c r="R8" s="979"/>
      <c r="T8" s="984"/>
      <c r="U8" s="985"/>
      <c r="V8" s="988"/>
      <c r="W8" s="989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997" t="str">
        <f>IF(AND($A$9="Тип доверенности/получателя при получении в адресе перегруза:",$D$9="Разовая доверенность"),"Введите ФИО","")</f>
        <v/>
      </c>
      <c r="I9" s="997"/>
      <c r="J9" s="99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7"/>
      <c r="L9" s="997"/>
      <c r="M9" s="997"/>
      <c r="N9" s="70"/>
      <c r="P9" s="31" t="s">
        <v>15</v>
      </c>
      <c r="Q9" s="998"/>
      <c r="R9" s="998"/>
      <c r="T9" s="984"/>
      <c r="U9" s="985"/>
      <c r="V9" s="990"/>
      <c r="W9" s="99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57" t="s">
        <v>55</v>
      </c>
      <c r="W11" s="95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6" t="s">
        <v>72</v>
      </c>
      <c r="B12" s="956"/>
      <c r="C12" s="956"/>
      <c r="D12" s="956"/>
      <c r="E12" s="956"/>
      <c r="F12" s="956"/>
      <c r="G12" s="956"/>
      <c r="H12" s="956"/>
      <c r="I12" s="956"/>
      <c r="J12" s="956"/>
      <c r="K12" s="956"/>
      <c r="L12" s="956"/>
      <c r="M12" s="956"/>
      <c r="N12" s="76"/>
      <c r="P12" s="27" t="s">
        <v>30</v>
      </c>
      <c r="Q12" s="979"/>
      <c r="R12" s="979"/>
      <c r="S12" s="28"/>
      <c r="T12"/>
      <c r="U12" s="29" t="s">
        <v>46</v>
      </c>
      <c r="V12" s="980"/>
      <c r="W12" s="980"/>
      <c r="X12"/>
      <c r="AB12" s="59"/>
      <c r="AC12" s="59"/>
      <c r="AD12" s="59"/>
      <c r="AE12" s="59"/>
    </row>
    <row r="13" spans="1:32" s="17" customFormat="1" ht="23.25" customHeight="1" x14ac:dyDescent="0.2">
      <c r="A13" s="956" t="s">
        <v>73</v>
      </c>
      <c r="B13" s="956"/>
      <c r="C13" s="956"/>
      <c r="D13" s="956"/>
      <c r="E13" s="956"/>
      <c r="F13" s="956"/>
      <c r="G13" s="956"/>
      <c r="H13" s="956"/>
      <c r="I13" s="956"/>
      <c r="J13" s="956"/>
      <c r="K13" s="956"/>
      <c r="L13" s="956"/>
      <c r="M13" s="956"/>
      <c r="N13" s="76"/>
      <c r="O13" s="31"/>
      <c r="P13" s="31" t="s">
        <v>31</v>
      </c>
      <c r="Q13" s="957"/>
      <c r="R13" s="95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6" t="s">
        <v>74</v>
      </c>
      <c r="B14" s="956"/>
      <c r="C14" s="956"/>
      <c r="D14" s="956"/>
      <c r="E14" s="956"/>
      <c r="F14" s="956"/>
      <c r="G14" s="956"/>
      <c r="H14" s="956"/>
      <c r="I14" s="956"/>
      <c r="J14" s="956"/>
      <c r="K14" s="956"/>
      <c r="L14" s="956"/>
      <c r="M14" s="9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8" t="s">
        <v>75</v>
      </c>
      <c r="B15" s="958"/>
      <c r="C15" s="958"/>
      <c r="D15" s="958"/>
      <c r="E15" s="958"/>
      <c r="F15" s="958"/>
      <c r="G15" s="958"/>
      <c r="H15" s="958"/>
      <c r="I15" s="958"/>
      <c r="J15" s="958"/>
      <c r="K15" s="958"/>
      <c r="L15" s="958"/>
      <c r="M15" s="958"/>
      <c r="N15" s="77"/>
      <c r="O15"/>
      <c r="P15" s="959" t="s">
        <v>61</v>
      </c>
      <c r="Q15" s="959"/>
      <c r="R15" s="959"/>
      <c r="S15" s="959"/>
      <c r="T15" s="9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0"/>
      <c r="Q16" s="960"/>
      <c r="R16" s="960"/>
      <c r="S16" s="960"/>
      <c r="T16" s="9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2" t="s">
        <v>59</v>
      </c>
      <c r="B17" s="942" t="s">
        <v>49</v>
      </c>
      <c r="C17" s="963" t="s">
        <v>48</v>
      </c>
      <c r="D17" s="965" t="s">
        <v>50</v>
      </c>
      <c r="E17" s="966"/>
      <c r="F17" s="942" t="s">
        <v>21</v>
      </c>
      <c r="G17" s="942" t="s">
        <v>24</v>
      </c>
      <c r="H17" s="942" t="s">
        <v>22</v>
      </c>
      <c r="I17" s="942" t="s">
        <v>23</v>
      </c>
      <c r="J17" s="942" t="s">
        <v>16</v>
      </c>
      <c r="K17" s="942" t="s">
        <v>66</v>
      </c>
      <c r="L17" s="942" t="s">
        <v>64</v>
      </c>
      <c r="M17" s="942" t="s">
        <v>2</v>
      </c>
      <c r="N17" s="942" t="s">
        <v>63</v>
      </c>
      <c r="O17" s="942" t="s">
        <v>25</v>
      </c>
      <c r="P17" s="965" t="s">
        <v>17</v>
      </c>
      <c r="Q17" s="969"/>
      <c r="R17" s="969"/>
      <c r="S17" s="969"/>
      <c r="T17" s="966"/>
      <c r="U17" s="961" t="s">
        <v>56</v>
      </c>
      <c r="V17" s="962"/>
      <c r="W17" s="942" t="s">
        <v>6</v>
      </c>
      <c r="X17" s="942" t="s">
        <v>41</v>
      </c>
      <c r="Y17" s="944" t="s">
        <v>54</v>
      </c>
      <c r="Z17" s="946" t="s">
        <v>18</v>
      </c>
      <c r="AA17" s="948" t="s">
        <v>60</v>
      </c>
      <c r="AB17" s="948" t="s">
        <v>19</v>
      </c>
      <c r="AC17" s="948" t="s">
        <v>65</v>
      </c>
      <c r="AD17" s="950" t="s">
        <v>57</v>
      </c>
      <c r="AE17" s="951"/>
      <c r="AF17" s="952"/>
      <c r="AG17" s="82"/>
      <c r="BD17" s="81" t="s">
        <v>62</v>
      </c>
    </row>
    <row r="18" spans="1:68" ht="14.25" customHeight="1" x14ac:dyDescent="0.2">
      <c r="A18" s="943"/>
      <c r="B18" s="943"/>
      <c r="C18" s="964"/>
      <c r="D18" s="967"/>
      <c r="E18" s="968"/>
      <c r="F18" s="943"/>
      <c r="G18" s="943"/>
      <c r="H18" s="943"/>
      <c r="I18" s="943"/>
      <c r="J18" s="943"/>
      <c r="K18" s="943"/>
      <c r="L18" s="943"/>
      <c r="M18" s="943"/>
      <c r="N18" s="943"/>
      <c r="O18" s="943"/>
      <c r="P18" s="967"/>
      <c r="Q18" s="970"/>
      <c r="R18" s="970"/>
      <c r="S18" s="970"/>
      <c r="T18" s="968"/>
      <c r="U18" s="83" t="s">
        <v>44</v>
      </c>
      <c r="V18" s="83" t="s">
        <v>43</v>
      </c>
      <c r="W18" s="943"/>
      <c r="X18" s="943"/>
      <c r="Y18" s="945"/>
      <c r="Z18" s="947"/>
      <c r="AA18" s="949"/>
      <c r="AB18" s="949"/>
      <c r="AC18" s="949"/>
      <c r="AD18" s="953"/>
      <c r="AE18" s="954"/>
      <c r="AF18" s="955"/>
      <c r="AG18" s="82"/>
      <c r="BD18" s="81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hidden="1" customHeight="1" x14ac:dyDescent="0.25">
      <c r="A20" s="661" t="s">
        <v>76</v>
      </c>
      <c r="B20" s="661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5"/>
      <c r="AB20" s="65"/>
      <c r="AC20" s="79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7">
        <v>4680115886643</v>
      </c>
      <c r="E22" s="65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7">
        <v>4680115889071</v>
      </c>
      <c r="E23" s="65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7">
        <v>4680115885912</v>
      </c>
      <c r="E27" s="65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7">
        <v>4607091388237</v>
      </c>
      <c r="E28" s="65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7">
        <v>4680115887350</v>
      </c>
      <c r="E29" s="65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7">
        <v>4680115885905</v>
      </c>
      <c r="E30" s="65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7">
        <v>4680115887619</v>
      </c>
      <c r="E31" s="65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4"/>
      <c r="AB34" s="54"/>
      <c r="AC34" s="54"/>
    </row>
    <row r="35" spans="1:68" ht="16.5" hidden="1" customHeight="1" x14ac:dyDescent="0.25">
      <c r="A35" s="661" t="s">
        <v>104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5"/>
      <c r="AB35" s="65"/>
      <c r="AC35" s="79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7">
        <v>4680115889354</v>
      </c>
      <c r="E37" s="65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7">
        <v>4680115888463</v>
      </c>
      <c r="E38" s="65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7">
        <v>4680115888494</v>
      </c>
      <c r="E39" s="65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9"/>
      <c r="R39" s="659"/>
      <c r="S39" s="659"/>
      <c r="T39" s="66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7">
        <v>4680115888272</v>
      </c>
      <c r="E40" s="65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7">
        <v>4680115888364</v>
      </c>
      <c r="E41" s="65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4"/>
      <c r="AB44" s="54"/>
      <c r="AC44" s="54"/>
    </row>
    <row r="45" spans="1:68" ht="16.5" hidden="1" customHeight="1" x14ac:dyDescent="0.25">
      <c r="A45" s="661" t="s">
        <v>121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5"/>
      <c r="AB45" s="65"/>
      <c r="AC45" s="79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7">
        <v>4607091385670</v>
      </c>
      <c r="E47" s="65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9" t="s">
        <v>46</v>
      </c>
      <c r="V47" s="39" t="s">
        <v>46</v>
      </c>
      <c r="W47" s="40" t="s">
        <v>0</v>
      </c>
      <c r="X47" s="58">
        <v>160</v>
      </c>
      <c r="Y47" s="55">
        <f>IFERROR(IF(X47="",0,CEILING((X47/$H47),1)*$H47),"")</f>
        <v>162</v>
      </c>
      <c r="Z47" s="41">
        <f>IFERROR(IF(Y47=0,"",ROUNDUP(Y47/H47,0)*0.01898),"")</f>
        <v>0.28470000000000001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166.07407407407408</v>
      </c>
      <c r="BN47" s="78">
        <f>IFERROR(Y47*I47/H47,"0")</f>
        <v>168.15</v>
      </c>
      <c r="BO47" s="78">
        <f>IFERROR(1/J47*(X47/H47),"0")</f>
        <v>0.23148148148148145</v>
      </c>
      <c r="BP47" s="78">
        <f>IFERROR(1/J47*(Y47/H47),"0")</f>
        <v>0.23437499999999997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7">
        <v>4680115887725</v>
      </c>
      <c r="E48" s="65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57">
        <v>4607091385687</v>
      </c>
      <c r="E49" s="65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9" t="s">
        <v>46</v>
      </c>
      <c r="V49" s="39" t="s">
        <v>46</v>
      </c>
      <c r="W49" s="40" t="s">
        <v>0</v>
      </c>
      <c r="X49" s="58">
        <v>240</v>
      </c>
      <c r="Y49" s="55">
        <f>IFERROR(IF(X49="",0,CEILING((X49/$H49),1)*$H49),"")</f>
        <v>240</v>
      </c>
      <c r="Z49" s="41">
        <f>IFERROR(IF(Y49=0,"",ROUNDUP(Y49/H49,0)*0.00902),"")</f>
        <v>0.54120000000000001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251.40000000000003</v>
      </c>
      <c r="BN49" s="78">
        <f>IFERROR(Y49*I49/H49,"0")</f>
        <v>251.40000000000003</v>
      </c>
      <c r="BO49" s="78">
        <f>IFERROR(1/J49*(X49/H49),"0")</f>
        <v>0.45454545454545459</v>
      </c>
      <c r="BP49" s="78">
        <f>IFERROR(1/J49*(Y49/H49),"0")</f>
        <v>0.45454545454545459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7">
        <v>4680115882539</v>
      </c>
      <c r="E50" s="65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2" t="s">
        <v>39</v>
      </c>
      <c r="X51" s="43">
        <f>IFERROR(X47/H47,"0")+IFERROR(X48/H48,"0")+IFERROR(X49/H49,"0")+IFERROR(X50/H50,"0")</f>
        <v>74.81481481481481</v>
      </c>
      <c r="Y51" s="43">
        <f>IFERROR(Y47/H47,"0")+IFERROR(Y48/H48,"0")+IFERROR(Y49/H49,"0")+IFERROR(Y50/H50,"0")</f>
        <v>75</v>
      </c>
      <c r="Z51" s="43">
        <f>IFERROR(IF(Z47="",0,Z47),"0")+IFERROR(IF(Z48="",0,Z48),"0")+IFERROR(IF(Z49="",0,Z49),"0")+IFERROR(IF(Z50="",0,Z50),"0")</f>
        <v>0.82590000000000008</v>
      </c>
      <c r="AA51" s="67"/>
      <c r="AB51" s="67"/>
      <c r="AC51" s="67"/>
    </row>
    <row r="52" spans="1:68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2" t="s">
        <v>0</v>
      </c>
      <c r="X52" s="43">
        <f>IFERROR(SUM(X47:X50),"0")</f>
        <v>400</v>
      </c>
      <c r="Y52" s="43">
        <f>IFERROR(SUM(Y47:Y50),"0")</f>
        <v>402</v>
      </c>
      <c r="Z52" s="42"/>
      <c r="AA52" s="67"/>
      <c r="AB52" s="67"/>
      <c r="AC52" s="67"/>
    </row>
    <row r="53" spans="1:68" ht="16.5" hidden="1" customHeight="1" x14ac:dyDescent="0.25">
      <c r="A53" s="661" t="s">
        <v>137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5"/>
      <c r="AB53" s="65"/>
      <c r="AC53" s="79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657">
        <v>4680115885882</v>
      </c>
      <c r="E55" s="65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9"/>
      <c r="R55" s="659"/>
      <c r="S55" s="659"/>
      <c r="T55" s="66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7">
        <v>4680115885882</v>
      </c>
      <c r="E56" s="657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9"/>
      <c r="R56" s="659"/>
      <c r="S56" s="659"/>
      <c r="T56" s="66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657">
        <v>4680115881426</v>
      </c>
      <c r="E57" s="65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9"/>
      <c r="R57" s="659"/>
      <c r="S57" s="659"/>
      <c r="T57" s="660"/>
      <c r="U57" s="39" t="s">
        <v>46</v>
      </c>
      <c r="V57" s="39" t="s">
        <v>46</v>
      </c>
      <c r="W57" s="40" t="s">
        <v>0</v>
      </c>
      <c r="X57" s="58">
        <v>100</v>
      </c>
      <c r="Y57" s="55">
        <f t="shared" si="0"/>
        <v>108</v>
      </c>
      <c r="Z57" s="41">
        <f>IFERROR(IF(Y57=0,"",ROUNDUP(Y57/H57,0)*0.01898),"")</f>
        <v>0.1898</v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103.79629629629629</v>
      </c>
      <c r="BN57" s="78">
        <f t="shared" si="2"/>
        <v>112.1</v>
      </c>
      <c r="BO57" s="78">
        <f t="shared" si="3"/>
        <v>0.14467592592592593</v>
      </c>
      <c r="BP57" s="78">
        <f t="shared" si="4"/>
        <v>0.15625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7">
        <v>4680115880283</v>
      </c>
      <c r="E58" s="65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9"/>
      <c r="R58" s="659"/>
      <c r="S58" s="659"/>
      <c r="T58" s="66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7">
        <v>4680115880283</v>
      </c>
      <c r="E59" s="657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9"/>
      <c r="R59" s="659"/>
      <c r="S59" s="659"/>
      <c r="T59" s="66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657">
        <v>4680115881525</v>
      </c>
      <c r="E60" s="65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9"/>
      <c r="R60" s="659"/>
      <c r="S60" s="659"/>
      <c r="T60" s="66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7">
        <v>4680115885899</v>
      </c>
      <c r="E61" s="65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657">
        <v>4680115881419</v>
      </c>
      <c r="E62" s="65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9" t="s">
        <v>46</v>
      </c>
      <c r="V62" s="39" t="s">
        <v>46</v>
      </c>
      <c r="W62" s="40" t="s">
        <v>0</v>
      </c>
      <c r="X62" s="58">
        <v>450</v>
      </c>
      <c r="Y62" s="55">
        <f t="shared" si="0"/>
        <v>450</v>
      </c>
      <c r="Z62" s="41">
        <f>IFERROR(IF(Y62=0,"",ROUNDUP(Y62/H62,0)*0.00902),"")</f>
        <v>0.90200000000000002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469</v>
      </c>
      <c r="BN62" s="78">
        <f t="shared" si="2"/>
        <v>469</v>
      </c>
      <c r="BO62" s="78">
        <f t="shared" si="3"/>
        <v>0.75757575757575757</v>
      </c>
      <c r="BP62" s="78">
        <f t="shared" si="4"/>
        <v>0.75757575757575757</v>
      </c>
    </row>
    <row r="63" spans="1:68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109.25925925925927</v>
      </c>
      <c r="Y63" s="43">
        <f>IFERROR(Y55/H55,"0")+IFERROR(Y56/H56,"0")+IFERROR(Y57/H57,"0")+IFERROR(Y58/H58,"0")+IFERROR(Y59/H59,"0")+IFERROR(Y60/H60,"0")+IFERROR(Y61/H61,"0")+IFERROR(Y62/H62,"0")</f>
        <v>110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1.0918000000000001</v>
      </c>
      <c r="AA63" s="67"/>
      <c r="AB63" s="67"/>
      <c r="AC63" s="67"/>
    </row>
    <row r="64" spans="1:68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IFERROR(SUM(X55:X62),"0")</f>
        <v>550</v>
      </c>
      <c r="Y64" s="43">
        <f>IFERROR(SUM(Y55:Y62),"0")</f>
        <v>558</v>
      </c>
      <c r="Z64" s="42"/>
      <c r="AA64" s="67"/>
      <c r="AB64" s="67"/>
      <c r="AC64" s="67"/>
    </row>
    <row r="65" spans="1:68" ht="14.25" hidden="1" customHeight="1" x14ac:dyDescent="0.25">
      <c r="A65" s="662" t="s">
        <v>158</v>
      </c>
      <c r="B65" s="662"/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  <c r="N65" s="662"/>
      <c r="O65" s="662"/>
      <c r="P65" s="662"/>
      <c r="Q65" s="662"/>
      <c r="R65" s="662"/>
      <c r="S65" s="662"/>
      <c r="T65" s="662"/>
      <c r="U65" s="662"/>
      <c r="V65" s="662"/>
      <c r="W65" s="662"/>
      <c r="X65" s="662"/>
      <c r="Y65" s="662"/>
      <c r="Z65" s="662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657">
        <v>4680115881440</v>
      </c>
      <c r="E66" s="657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9"/>
      <c r="R66" s="659"/>
      <c r="S66" s="659"/>
      <c r="T66" s="660"/>
      <c r="U66" s="39" t="s">
        <v>46</v>
      </c>
      <c r="V66" s="39" t="s">
        <v>46</v>
      </c>
      <c r="W66" s="40" t="s">
        <v>0</v>
      </c>
      <c r="X66" s="58">
        <v>60</v>
      </c>
      <c r="Y66" s="55">
        <f>IFERROR(IF(X66="",0,CEILING((X66/$H66),1)*$H66),"")</f>
        <v>64.800000000000011</v>
      </c>
      <c r="Z66" s="41">
        <f>IFERROR(IF(Y66=0,"",ROUNDUP(Y66/H66,0)*0.01898),"")</f>
        <v>0.11388000000000001</v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62.277777777777779</v>
      </c>
      <c r="BN66" s="78">
        <f>IFERROR(Y66*I66/H66,"0")</f>
        <v>67.260000000000005</v>
      </c>
      <c r="BO66" s="78">
        <f>IFERROR(1/J66*(X66/H66),"0")</f>
        <v>8.6805555555555552E-2</v>
      </c>
      <c r="BP66" s="78">
        <f>IFERROR(1/J66*(Y66/H66),"0")</f>
        <v>9.3750000000000014E-2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7">
        <v>4680115885950</v>
      </c>
      <c r="E67" s="657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9"/>
      <c r="R67" s="659"/>
      <c r="S67" s="659"/>
      <c r="T67" s="66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7">
        <v>4680115887688</v>
      </c>
      <c r="E68" s="657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9"/>
      <c r="R68" s="659"/>
      <c r="S68" s="659"/>
      <c r="T68" s="66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657">
        <v>4680115881433</v>
      </c>
      <c r="E69" s="657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9"/>
      <c r="R69" s="659"/>
      <c r="S69" s="659"/>
      <c r="T69" s="660"/>
      <c r="U69" s="39" t="s">
        <v>46</v>
      </c>
      <c r="V69" s="39" t="s">
        <v>46</v>
      </c>
      <c r="W69" s="40" t="s">
        <v>0</v>
      </c>
      <c r="X69" s="58">
        <v>112.5</v>
      </c>
      <c r="Y69" s="55">
        <f>IFERROR(IF(X69="",0,CEILING((X69/$H69),1)*$H69),"")</f>
        <v>113.4</v>
      </c>
      <c r="Z69" s="41">
        <f>IFERROR(IF(Y69=0,"",ROUNDUP(Y69/H69,0)*0.00651),"")</f>
        <v>0.27342</v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119.99999999999999</v>
      </c>
      <c r="BN69" s="78">
        <f>IFERROR(Y69*I69/H69,"0")</f>
        <v>120.95999999999998</v>
      </c>
      <c r="BO69" s="78">
        <f>IFERROR(1/J69*(X69/H69),"0")</f>
        <v>0.22893772893772893</v>
      </c>
      <c r="BP69" s="78">
        <f>IFERROR(1/J69*(Y69/H69),"0")</f>
        <v>0.23076923076923078</v>
      </c>
    </row>
    <row r="70" spans="1:68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47.222222222222221</v>
      </c>
      <c r="Y70" s="43">
        <f>IFERROR(Y66/H66,"0")+IFERROR(Y67/H67,"0")+IFERROR(Y68/H68,"0")+IFERROR(Y69/H69,"0")</f>
        <v>48</v>
      </c>
      <c r="Z70" s="43">
        <f>IFERROR(IF(Z66="",0,Z66),"0")+IFERROR(IF(Z67="",0,Z67),"0")+IFERROR(IF(Z68="",0,Z68),"0")+IFERROR(IF(Z69="",0,Z69),"0")</f>
        <v>0.38729999999999998</v>
      </c>
      <c r="AA70" s="67"/>
      <c r="AB70" s="67"/>
      <c r="AC70" s="67"/>
    </row>
    <row r="71" spans="1:68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172.5</v>
      </c>
      <c r="Y71" s="43">
        <f>IFERROR(SUM(Y66:Y69),"0")</f>
        <v>178.20000000000002</v>
      </c>
      <c r="Z71" s="42"/>
      <c r="AA71" s="67"/>
      <c r="AB71" s="67"/>
      <c r="AC71" s="67"/>
    </row>
    <row r="72" spans="1:68" ht="14.25" hidden="1" customHeight="1" x14ac:dyDescent="0.25">
      <c r="A72" s="662" t="s">
        <v>86</v>
      </c>
      <c r="B72" s="662"/>
      <c r="C72" s="662"/>
      <c r="D72" s="662"/>
      <c r="E72" s="662"/>
      <c r="F72" s="662"/>
      <c r="G72" s="662"/>
      <c r="H72" s="662"/>
      <c r="I72" s="662"/>
      <c r="J72" s="662"/>
      <c r="K72" s="662"/>
      <c r="L72" s="662"/>
      <c r="M72" s="662"/>
      <c r="N72" s="662"/>
      <c r="O72" s="662"/>
      <c r="P72" s="662"/>
      <c r="Q72" s="662"/>
      <c r="R72" s="662"/>
      <c r="S72" s="662"/>
      <c r="T72" s="662"/>
      <c r="U72" s="662"/>
      <c r="V72" s="662"/>
      <c r="W72" s="662"/>
      <c r="X72" s="662"/>
      <c r="Y72" s="662"/>
      <c r="Z72" s="662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657">
        <v>4680115884311</v>
      </c>
      <c r="E73" s="65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9"/>
      <c r="R73" s="659"/>
      <c r="S73" s="659"/>
      <c r="T73" s="66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657">
        <v>4680115884403</v>
      </c>
      <c r="E74" s="65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9"/>
      <c r="R74" s="659"/>
      <c r="S74" s="659"/>
      <c r="T74" s="660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1"/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2"/>
      <c r="P76" s="648" t="s">
        <v>40</v>
      </c>
      <c r="Q76" s="649"/>
      <c r="R76" s="649"/>
      <c r="S76" s="649"/>
      <c r="T76" s="649"/>
      <c r="U76" s="649"/>
      <c r="V76" s="65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657">
        <v>4680115881532</v>
      </c>
      <c r="E78" s="65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9"/>
      <c r="R78" s="659"/>
      <c r="S78" s="659"/>
      <c r="T78" s="660"/>
      <c r="U78" s="39" t="s">
        <v>46</v>
      </c>
      <c r="V78" s="39" t="s">
        <v>46</v>
      </c>
      <c r="W78" s="40" t="s">
        <v>0</v>
      </c>
      <c r="X78" s="58">
        <v>30</v>
      </c>
      <c r="Y78" s="55">
        <f>IFERROR(IF(X78="",0,CEILING((X78/$H78),1)*$H78),"")</f>
        <v>31.2</v>
      </c>
      <c r="Z78" s="41">
        <f>IFERROR(IF(Y78=0,"",ROUNDUP(Y78/H78,0)*0.01898),"")</f>
        <v>7.5920000000000001E-2</v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31.57692307692308</v>
      </c>
      <c r="BN78" s="78">
        <f>IFERROR(Y78*I78/H78,"0")</f>
        <v>32.840000000000003</v>
      </c>
      <c r="BO78" s="78">
        <f>IFERROR(1/J78*(X78/H78),"0")</f>
        <v>6.0096153846153848E-2</v>
      </c>
      <c r="BP78" s="78">
        <f>IFERROR(1/J78*(Y78/H78),"0")</f>
        <v>6.25E-2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657">
        <v>4680115881464</v>
      </c>
      <c r="E79" s="65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9"/>
      <c r="R79" s="659"/>
      <c r="S79" s="659"/>
      <c r="T79" s="66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39</v>
      </c>
      <c r="X80" s="43">
        <f>IFERROR(X78/H78,"0")+IFERROR(X79/H79,"0")</f>
        <v>3.8461538461538463</v>
      </c>
      <c r="Y80" s="43">
        <f>IFERROR(Y78/H78,"0")+IFERROR(Y79/H79,"0")</f>
        <v>4</v>
      </c>
      <c r="Z80" s="43">
        <f>IFERROR(IF(Z78="",0,Z78),"0")+IFERROR(IF(Z79="",0,Z79),"0")</f>
        <v>7.5920000000000001E-2</v>
      </c>
      <c r="AA80" s="67"/>
      <c r="AB80" s="67"/>
      <c r="AC80" s="67"/>
    </row>
    <row r="81" spans="1:68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2" t="s">
        <v>0</v>
      </c>
      <c r="X81" s="43">
        <f>IFERROR(SUM(X78:X79),"0")</f>
        <v>30</v>
      </c>
      <c r="Y81" s="43">
        <f>IFERROR(SUM(Y78:Y79),"0")</f>
        <v>31.2</v>
      </c>
      <c r="Z81" s="42"/>
      <c r="AA81" s="67"/>
      <c r="AB81" s="67"/>
      <c r="AC81" s="67"/>
    </row>
    <row r="82" spans="1:68" ht="16.5" hidden="1" customHeight="1" x14ac:dyDescent="0.25">
      <c r="A82" s="661" t="s">
        <v>182</v>
      </c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1"/>
      <c r="X82" s="661"/>
      <c r="Y82" s="661"/>
      <c r="Z82" s="661"/>
      <c r="AA82" s="65"/>
      <c r="AB82" s="65"/>
      <c r="AC82" s="79"/>
    </row>
    <row r="83" spans="1:68" ht="14.25" hidden="1" customHeight="1" x14ac:dyDescent="0.25">
      <c r="A83" s="662" t="s">
        <v>122</v>
      </c>
      <c r="B83" s="662"/>
      <c r="C83" s="662"/>
      <c r="D83" s="662"/>
      <c r="E83" s="662"/>
      <c r="F83" s="662"/>
      <c r="G83" s="662"/>
      <c r="H83" s="662"/>
      <c r="I83" s="662"/>
      <c r="J83" s="662"/>
      <c r="K83" s="662"/>
      <c r="L83" s="662"/>
      <c r="M83" s="662"/>
      <c r="N83" s="662"/>
      <c r="O83" s="662"/>
      <c r="P83" s="662"/>
      <c r="Q83" s="662"/>
      <c r="R83" s="662"/>
      <c r="S83" s="662"/>
      <c r="T83" s="662"/>
      <c r="U83" s="662"/>
      <c r="V83" s="662"/>
      <c r="W83" s="662"/>
      <c r="X83" s="662"/>
      <c r="Y83" s="662"/>
      <c r="Z83" s="662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657">
        <v>4680115881327</v>
      </c>
      <c r="E84" s="65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9"/>
      <c r="R84" s="659"/>
      <c r="S84" s="659"/>
      <c r="T84" s="660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657">
        <v>4680115887732</v>
      </c>
      <c r="E85" s="657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9"/>
      <c r="R85" s="659"/>
      <c r="S85" s="659"/>
      <c r="T85" s="660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7">
        <v>4680115881518</v>
      </c>
      <c r="E86" s="657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9"/>
      <c r="R86" s="659"/>
      <c r="S86" s="659"/>
      <c r="T86" s="660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657">
        <v>4680115881303</v>
      </c>
      <c r="E87" s="657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9"/>
      <c r="R87" s="659"/>
      <c r="S87" s="659"/>
      <c r="T87" s="660"/>
      <c r="U87" s="39" t="s">
        <v>46</v>
      </c>
      <c r="V87" s="39" t="s">
        <v>46</v>
      </c>
      <c r="W87" s="40" t="s">
        <v>0</v>
      </c>
      <c r="X87" s="58">
        <v>450</v>
      </c>
      <c r="Y87" s="55">
        <f>IFERROR(IF(X87="",0,CEILING((X87/$H87),1)*$H87),"")</f>
        <v>450</v>
      </c>
      <c r="Z87" s="41">
        <f>IFERROR(IF(Y87=0,"",ROUNDUP(Y87/H87,0)*0.00902),"")</f>
        <v>0.90200000000000002</v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469</v>
      </c>
      <c r="BN87" s="78">
        <f>IFERROR(Y87*I87/H87,"0")</f>
        <v>469</v>
      </c>
      <c r="BO87" s="78">
        <f>IFERROR(1/J87*(X87/H87),"0")</f>
        <v>0.75757575757575757</v>
      </c>
      <c r="BP87" s="78">
        <f>IFERROR(1/J87*(Y87/H87),"0")</f>
        <v>0.75757575757575757</v>
      </c>
    </row>
    <row r="88" spans="1:68" x14ac:dyDescent="0.2">
      <c r="A88" s="651"/>
      <c r="B88" s="651"/>
      <c r="C88" s="651"/>
      <c r="D88" s="651"/>
      <c r="E88" s="651"/>
      <c r="F88" s="651"/>
      <c r="G88" s="651"/>
      <c r="H88" s="651"/>
      <c r="I88" s="651"/>
      <c r="J88" s="651"/>
      <c r="K88" s="651"/>
      <c r="L88" s="651"/>
      <c r="M88" s="651"/>
      <c r="N88" s="651"/>
      <c r="O88" s="652"/>
      <c r="P88" s="648" t="s">
        <v>40</v>
      </c>
      <c r="Q88" s="649"/>
      <c r="R88" s="649"/>
      <c r="S88" s="649"/>
      <c r="T88" s="649"/>
      <c r="U88" s="649"/>
      <c r="V88" s="650"/>
      <c r="W88" s="42" t="s">
        <v>39</v>
      </c>
      <c r="X88" s="43">
        <f>IFERROR(X84/H84,"0")+IFERROR(X85/H85,"0")+IFERROR(X86/H86,"0")+IFERROR(X87/H87,"0")</f>
        <v>100</v>
      </c>
      <c r="Y88" s="43">
        <f>IFERROR(Y84/H84,"0")+IFERROR(Y85/H85,"0")+IFERROR(Y86/H86,"0")+IFERROR(Y87/H87,"0")</f>
        <v>100</v>
      </c>
      <c r="Z88" s="43">
        <f>IFERROR(IF(Z84="",0,Z84),"0")+IFERROR(IF(Z85="",0,Z85),"0")+IFERROR(IF(Z86="",0,Z86),"0")+IFERROR(IF(Z87="",0,Z87),"0")</f>
        <v>0.90200000000000002</v>
      </c>
      <c r="AA88" s="67"/>
      <c r="AB88" s="67"/>
      <c r="AC88" s="67"/>
    </row>
    <row r="89" spans="1:68" x14ac:dyDescent="0.2">
      <c r="A89" s="651"/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2"/>
      <c r="P89" s="648" t="s">
        <v>40</v>
      </c>
      <c r="Q89" s="649"/>
      <c r="R89" s="649"/>
      <c r="S89" s="649"/>
      <c r="T89" s="649"/>
      <c r="U89" s="649"/>
      <c r="V89" s="650"/>
      <c r="W89" s="42" t="s">
        <v>0</v>
      </c>
      <c r="X89" s="43">
        <f>IFERROR(SUM(X84:X87),"0")</f>
        <v>450</v>
      </c>
      <c r="Y89" s="43">
        <f>IFERROR(SUM(Y84:Y87),"0")</f>
        <v>450</v>
      </c>
      <c r="Z89" s="42"/>
      <c r="AA89" s="67"/>
      <c r="AB89" s="67"/>
      <c r="AC89" s="67"/>
    </row>
    <row r="90" spans="1:68" ht="14.25" hidden="1" customHeight="1" x14ac:dyDescent="0.25">
      <c r="A90" s="662" t="s">
        <v>86</v>
      </c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62"/>
      <c r="R90" s="662"/>
      <c r="S90" s="662"/>
      <c r="T90" s="662"/>
      <c r="U90" s="662"/>
      <c r="V90" s="662"/>
      <c r="W90" s="662"/>
      <c r="X90" s="662"/>
      <c r="Y90" s="662"/>
      <c r="Z90" s="662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657">
        <v>4607091386967</v>
      </c>
      <c r="E91" s="657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9"/>
      <c r="R91" s="659"/>
      <c r="S91" s="659"/>
      <c r="T91" s="660"/>
      <c r="U91" s="39" t="s">
        <v>46</v>
      </c>
      <c r="V91" s="39" t="s">
        <v>46</v>
      </c>
      <c r="W91" s="40" t="s">
        <v>0</v>
      </c>
      <c r="X91" s="58">
        <v>350</v>
      </c>
      <c r="Y91" s="55">
        <f>IFERROR(IF(X91="",0,CEILING((X91/$H91),1)*$H91),"")</f>
        <v>356.4</v>
      </c>
      <c r="Z91" s="41">
        <f>IFERROR(IF(Y91=0,"",ROUNDUP(Y91/H91,0)*0.01898),"")</f>
        <v>0.83511999999999997</v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371.34567901234567</v>
      </c>
      <c r="BN91" s="78">
        <f>IFERROR(Y91*I91/H91,"0")</f>
        <v>378.13599999999997</v>
      </c>
      <c r="BO91" s="78">
        <f>IFERROR(1/J91*(X91/H91),"0")</f>
        <v>0.67515432098765438</v>
      </c>
      <c r="BP91" s="78">
        <f>IFERROR(1/J91*(Y91/H91),"0")</f>
        <v>0.6875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7">
        <v>4680115884953</v>
      </c>
      <c r="E92" s="657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9"/>
      <c r="R92" s="659"/>
      <c r="S92" s="659"/>
      <c r="T92" s="660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657">
        <v>4607091385731</v>
      </c>
      <c r="E93" s="657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9"/>
      <c r="R93" s="659"/>
      <c r="S93" s="659"/>
      <c r="T93" s="660"/>
      <c r="U93" s="39" t="s">
        <v>46</v>
      </c>
      <c r="V93" s="39" t="s">
        <v>46</v>
      </c>
      <c r="W93" s="40" t="s">
        <v>0</v>
      </c>
      <c r="X93" s="58">
        <v>540</v>
      </c>
      <c r="Y93" s="55">
        <f>IFERROR(IF(X93="",0,CEILING((X93/$H93),1)*$H93),"")</f>
        <v>540</v>
      </c>
      <c r="Z93" s="41">
        <f>IFERROR(IF(Y93=0,"",ROUNDUP(Y93/H93,0)*0.00651),"")</f>
        <v>1.302</v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590.4</v>
      </c>
      <c r="BN93" s="78">
        <f>IFERROR(Y93*I93/H93,"0")</f>
        <v>590.4</v>
      </c>
      <c r="BO93" s="78">
        <f>IFERROR(1/J93*(X93/H93),"0")</f>
        <v>1.098901098901099</v>
      </c>
      <c r="BP93" s="78">
        <f>IFERROR(1/J93*(Y93/H93),"0")</f>
        <v>1.098901098901099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7">
        <v>4680115880894</v>
      </c>
      <c r="E94" s="657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9"/>
      <c r="R94" s="659"/>
      <c r="S94" s="659"/>
      <c r="T94" s="66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51"/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2"/>
      <c r="P95" s="648" t="s">
        <v>40</v>
      </c>
      <c r="Q95" s="649"/>
      <c r="R95" s="649"/>
      <c r="S95" s="649"/>
      <c r="T95" s="649"/>
      <c r="U95" s="649"/>
      <c r="V95" s="650"/>
      <c r="W95" s="42" t="s">
        <v>39</v>
      </c>
      <c r="X95" s="43">
        <f>IFERROR(X91/H91,"0")+IFERROR(X92/H92,"0")+IFERROR(X93/H93,"0")+IFERROR(X94/H94,"0")</f>
        <v>243.20987654320987</v>
      </c>
      <c r="Y95" s="43">
        <f>IFERROR(Y91/H91,"0")+IFERROR(Y92/H92,"0")+IFERROR(Y93/H93,"0")+IFERROR(Y94/H94,"0")</f>
        <v>244</v>
      </c>
      <c r="Z95" s="43">
        <f>IFERROR(IF(Z91="",0,Z91),"0")+IFERROR(IF(Z92="",0,Z92),"0")+IFERROR(IF(Z93="",0,Z93),"0")+IFERROR(IF(Z94="",0,Z94),"0")</f>
        <v>2.1371199999999999</v>
      </c>
      <c r="AA95" s="67"/>
      <c r="AB95" s="67"/>
      <c r="AC95" s="67"/>
    </row>
    <row r="96" spans="1:68" x14ac:dyDescent="0.2">
      <c r="A96" s="651"/>
      <c r="B96" s="651"/>
      <c r="C96" s="651"/>
      <c r="D96" s="651"/>
      <c r="E96" s="651"/>
      <c r="F96" s="651"/>
      <c r="G96" s="651"/>
      <c r="H96" s="651"/>
      <c r="I96" s="651"/>
      <c r="J96" s="651"/>
      <c r="K96" s="651"/>
      <c r="L96" s="651"/>
      <c r="M96" s="651"/>
      <c r="N96" s="651"/>
      <c r="O96" s="652"/>
      <c r="P96" s="648" t="s">
        <v>40</v>
      </c>
      <c r="Q96" s="649"/>
      <c r="R96" s="649"/>
      <c r="S96" s="649"/>
      <c r="T96" s="649"/>
      <c r="U96" s="649"/>
      <c r="V96" s="650"/>
      <c r="W96" s="42" t="s">
        <v>0</v>
      </c>
      <c r="X96" s="43">
        <f>IFERROR(SUM(X91:X94),"0")</f>
        <v>890</v>
      </c>
      <c r="Y96" s="43">
        <f>IFERROR(SUM(Y91:Y94),"0")</f>
        <v>896.4</v>
      </c>
      <c r="Z96" s="42"/>
      <c r="AA96" s="67"/>
      <c r="AB96" s="67"/>
      <c r="AC96" s="67"/>
    </row>
    <row r="97" spans="1:68" ht="16.5" hidden="1" customHeight="1" x14ac:dyDescent="0.25">
      <c r="A97" s="661" t="s">
        <v>203</v>
      </c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1"/>
      <c r="P97" s="661"/>
      <c r="Q97" s="661"/>
      <c r="R97" s="661"/>
      <c r="S97" s="661"/>
      <c r="T97" s="661"/>
      <c r="U97" s="661"/>
      <c r="V97" s="661"/>
      <c r="W97" s="661"/>
      <c r="X97" s="661"/>
      <c r="Y97" s="661"/>
      <c r="Z97" s="661"/>
      <c r="AA97" s="65"/>
      <c r="AB97" s="65"/>
      <c r="AC97" s="79"/>
    </row>
    <row r="98" spans="1:68" ht="14.25" hidden="1" customHeight="1" x14ac:dyDescent="0.25">
      <c r="A98" s="662" t="s">
        <v>122</v>
      </c>
      <c r="B98" s="662"/>
      <c r="C98" s="662"/>
      <c r="D98" s="662"/>
      <c r="E98" s="662"/>
      <c r="F98" s="662"/>
      <c r="G98" s="662"/>
      <c r="H98" s="662"/>
      <c r="I98" s="662"/>
      <c r="J98" s="662"/>
      <c r="K98" s="662"/>
      <c r="L98" s="662"/>
      <c r="M98" s="662"/>
      <c r="N98" s="662"/>
      <c r="O98" s="662"/>
      <c r="P98" s="662"/>
      <c r="Q98" s="662"/>
      <c r="R98" s="662"/>
      <c r="S98" s="662"/>
      <c r="T98" s="662"/>
      <c r="U98" s="662"/>
      <c r="V98" s="662"/>
      <c r="W98" s="662"/>
      <c r="X98" s="662"/>
      <c r="Y98" s="662"/>
      <c r="Z98" s="662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657">
        <v>4680115882133</v>
      </c>
      <c r="E99" s="657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9"/>
      <c r="R99" s="659"/>
      <c r="S99" s="659"/>
      <c r="T99" s="660"/>
      <c r="U99" s="39" t="s">
        <v>46</v>
      </c>
      <c r="V99" s="39" t="s">
        <v>46</v>
      </c>
      <c r="W99" s="40" t="s">
        <v>0</v>
      </c>
      <c r="X99" s="58">
        <v>30</v>
      </c>
      <c r="Y99" s="55">
        <f t="shared" ref="Y99:Y105" si="5">IFERROR(IF(X99="",0,CEILING((X99/$H99),1)*$H99),"")</f>
        <v>32.400000000000006</v>
      </c>
      <c r="Z99" s="41">
        <f>IFERROR(IF(Y99=0,"",ROUNDUP(Y99/H99,0)*0.01898),"")</f>
        <v>5.6940000000000004E-2</v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31.138888888888889</v>
      </c>
      <c r="BN99" s="78">
        <f t="shared" ref="BN99:BN105" si="7">IFERROR(Y99*I99/H99,"0")</f>
        <v>33.630000000000003</v>
      </c>
      <c r="BO99" s="78">
        <f t="shared" ref="BO99:BO105" si="8">IFERROR(1/J99*(X99/H99),"0")</f>
        <v>4.3402777777777776E-2</v>
      </c>
      <c r="BP99" s="78">
        <f t="shared" ref="BP99:BP105" si="9">IFERROR(1/J99*(Y99/H99),"0")</f>
        <v>4.6875000000000007E-2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657">
        <v>4680115887718</v>
      </c>
      <c r="E100" s="657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9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9"/>
      <c r="R100" s="659"/>
      <c r="S100" s="659"/>
      <c r="T100" s="660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7">
        <v>4680115887718</v>
      </c>
      <c r="E101" s="657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9"/>
      <c r="R101" s="659"/>
      <c r="S101" s="659"/>
      <c r="T101" s="66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7">
        <v>4680115887718</v>
      </c>
      <c r="E102" s="657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9"/>
      <c r="R102" s="659"/>
      <c r="S102" s="659"/>
      <c r="T102" s="66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7">
        <v>4680115880269</v>
      </c>
      <c r="E103" s="65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9"/>
      <c r="R103" s="659"/>
      <c r="S103" s="659"/>
      <c r="T103" s="66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4301011415</v>
      </c>
      <c r="D104" s="657">
        <v>4680115880429</v>
      </c>
      <c r="E104" s="65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9"/>
      <c r="R104" s="659"/>
      <c r="S104" s="659"/>
      <c r="T104" s="660"/>
      <c r="U104" s="39" t="s">
        <v>46</v>
      </c>
      <c r="V104" s="39" t="s">
        <v>46</v>
      </c>
      <c r="W104" s="40" t="s">
        <v>0</v>
      </c>
      <c r="X104" s="58">
        <v>540</v>
      </c>
      <c r="Y104" s="55">
        <f t="shared" si="5"/>
        <v>540</v>
      </c>
      <c r="Z104" s="41">
        <f>IFERROR(IF(Y104=0,"",ROUNDUP(Y104/H104,0)*0.00902),"")</f>
        <v>1.0824</v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562.80000000000007</v>
      </c>
      <c r="BN104" s="78">
        <f t="shared" si="7"/>
        <v>562.80000000000007</v>
      </c>
      <c r="BO104" s="78">
        <f t="shared" si="8"/>
        <v>0.90909090909090917</v>
      </c>
      <c r="BP104" s="78">
        <f t="shared" si="9"/>
        <v>0.90909090909090917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7">
        <v>4680115881457</v>
      </c>
      <c r="E105" s="65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9"/>
      <c r="R105" s="659"/>
      <c r="S105" s="659"/>
      <c r="T105" s="66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651"/>
      <c r="B106" s="651"/>
      <c r="C106" s="651"/>
      <c r="D106" s="651"/>
      <c r="E106" s="651"/>
      <c r="F106" s="651"/>
      <c r="G106" s="651"/>
      <c r="H106" s="651"/>
      <c r="I106" s="651"/>
      <c r="J106" s="651"/>
      <c r="K106" s="651"/>
      <c r="L106" s="651"/>
      <c r="M106" s="651"/>
      <c r="N106" s="651"/>
      <c r="O106" s="652"/>
      <c r="P106" s="648" t="s">
        <v>40</v>
      </c>
      <c r="Q106" s="649"/>
      <c r="R106" s="649"/>
      <c r="S106" s="649"/>
      <c r="T106" s="649"/>
      <c r="U106" s="649"/>
      <c r="V106" s="650"/>
      <c r="W106" s="42" t="s">
        <v>39</v>
      </c>
      <c r="X106" s="43">
        <f>IFERROR(X99/H99,"0")+IFERROR(X100/H100,"0")+IFERROR(X101/H101,"0")+IFERROR(X102/H102,"0")+IFERROR(X103/H103,"0")+IFERROR(X104/H104,"0")+IFERROR(X105/H105,"0")</f>
        <v>122.77777777777777</v>
      </c>
      <c r="Y106" s="43">
        <f>IFERROR(Y99/H99,"0")+IFERROR(Y100/H100,"0")+IFERROR(Y101/H101,"0")+IFERROR(Y102/H102,"0")+IFERROR(Y103/H103,"0")+IFERROR(Y104/H104,"0")+IFERROR(Y105/H105,"0")</f>
        <v>123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1.13934</v>
      </c>
      <c r="AA106" s="67"/>
      <c r="AB106" s="67"/>
      <c r="AC106" s="67"/>
    </row>
    <row r="107" spans="1:68" x14ac:dyDescent="0.2">
      <c r="A107" s="651"/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2"/>
      <c r="P107" s="648" t="s">
        <v>40</v>
      </c>
      <c r="Q107" s="649"/>
      <c r="R107" s="649"/>
      <c r="S107" s="649"/>
      <c r="T107" s="649"/>
      <c r="U107" s="649"/>
      <c r="V107" s="650"/>
      <c r="W107" s="42" t="s">
        <v>0</v>
      </c>
      <c r="X107" s="43">
        <f>IFERROR(SUM(X99:X105),"0")</f>
        <v>570</v>
      </c>
      <c r="Y107" s="43">
        <f>IFERROR(SUM(Y99:Y105),"0")</f>
        <v>572.4</v>
      </c>
      <c r="Z107" s="42"/>
      <c r="AA107" s="67"/>
      <c r="AB107" s="67"/>
      <c r="AC107" s="67"/>
    </row>
    <row r="108" spans="1:68" ht="14.25" hidden="1" customHeight="1" x14ac:dyDescent="0.25">
      <c r="A108" s="662" t="s">
        <v>158</v>
      </c>
      <c r="B108" s="662"/>
      <c r="C108" s="662"/>
      <c r="D108" s="662"/>
      <c r="E108" s="662"/>
      <c r="F108" s="662"/>
      <c r="G108" s="662"/>
      <c r="H108" s="662"/>
      <c r="I108" s="662"/>
      <c r="J108" s="662"/>
      <c r="K108" s="662"/>
      <c r="L108" s="662"/>
      <c r="M108" s="662"/>
      <c r="N108" s="662"/>
      <c r="O108" s="662"/>
      <c r="P108" s="662"/>
      <c r="Q108" s="662"/>
      <c r="R108" s="662"/>
      <c r="S108" s="662"/>
      <c r="T108" s="662"/>
      <c r="U108" s="662"/>
      <c r="V108" s="662"/>
      <c r="W108" s="662"/>
      <c r="X108" s="662"/>
      <c r="Y108" s="662"/>
      <c r="Z108" s="662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657">
        <v>4680115881488</v>
      </c>
      <c r="E109" s="65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9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9"/>
      <c r="R109" s="659"/>
      <c r="S109" s="659"/>
      <c r="T109" s="660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657">
        <v>4680115887664</v>
      </c>
      <c r="E110" s="65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9"/>
      <c r="R110" s="659"/>
      <c r="S110" s="659"/>
      <c r="T110" s="660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7">
        <v>4680115887664</v>
      </c>
      <c r="E111" s="657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9"/>
      <c r="R111" s="659"/>
      <c r="S111" s="659"/>
      <c r="T111" s="66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7">
        <v>4680115882775</v>
      </c>
      <c r="E112" s="657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9"/>
      <c r="R112" s="659"/>
      <c r="S112" s="659"/>
      <c r="T112" s="66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7">
        <v>4680115880658</v>
      </c>
      <c r="E113" s="657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9"/>
      <c r="R113" s="659"/>
      <c r="S113" s="659"/>
      <c r="T113" s="66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52"/>
      <c r="P114" s="648" t="s">
        <v>40</v>
      </c>
      <c r="Q114" s="649"/>
      <c r="R114" s="649"/>
      <c r="S114" s="649"/>
      <c r="T114" s="649"/>
      <c r="U114" s="649"/>
      <c r="V114" s="650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2" t="s">
        <v>86</v>
      </c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  <c r="N116" s="662"/>
      <c r="O116" s="662"/>
      <c r="P116" s="662"/>
      <c r="Q116" s="662"/>
      <c r="R116" s="662"/>
      <c r="S116" s="662"/>
      <c r="T116" s="662"/>
      <c r="U116" s="662"/>
      <c r="V116" s="662"/>
      <c r="W116" s="662"/>
      <c r="X116" s="662"/>
      <c r="Y116" s="662"/>
      <c r="Z116" s="662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657">
        <v>4607091385168</v>
      </c>
      <c r="E117" s="657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9"/>
      <c r="R117" s="659"/>
      <c r="S117" s="659"/>
      <c r="T117" s="660"/>
      <c r="U117" s="39" t="s">
        <v>46</v>
      </c>
      <c r="V117" s="39" t="s">
        <v>46</v>
      </c>
      <c r="W117" s="40" t="s">
        <v>0</v>
      </c>
      <c r="X117" s="58">
        <v>450</v>
      </c>
      <c r="Y117" s="55">
        <f>IFERROR(IF(X117="",0,CEILING((X117/$H117),1)*$H117),"")</f>
        <v>453.59999999999997</v>
      </c>
      <c r="Z117" s="41">
        <f>IFERROR(IF(Y117=0,"",ROUNDUP(Y117/H117,0)*0.01898),"")</f>
        <v>1.06288</v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477.11111111111109</v>
      </c>
      <c r="BN117" s="78">
        <f>IFERROR(Y117*I117/H117,"0")</f>
        <v>480.92799999999994</v>
      </c>
      <c r="BO117" s="78">
        <f>IFERROR(1/J117*(X117/H117),"0")</f>
        <v>0.86805555555555558</v>
      </c>
      <c r="BP117" s="78">
        <f>IFERROR(1/J117*(Y117/H117),"0")</f>
        <v>0.875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7">
        <v>4607091383256</v>
      </c>
      <c r="E118" s="657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9"/>
      <c r="R118" s="659"/>
      <c r="S118" s="659"/>
      <c r="T118" s="66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657">
        <v>4607091385748</v>
      </c>
      <c r="E119" s="657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9"/>
      <c r="R119" s="659"/>
      <c r="S119" s="659"/>
      <c r="T119" s="660"/>
      <c r="U119" s="39" t="s">
        <v>46</v>
      </c>
      <c r="V119" s="39" t="s">
        <v>46</v>
      </c>
      <c r="W119" s="40" t="s">
        <v>0</v>
      </c>
      <c r="X119" s="58">
        <v>585</v>
      </c>
      <c r="Y119" s="55">
        <f>IFERROR(IF(X119="",0,CEILING((X119/$H119),1)*$H119),"")</f>
        <v>585.90000000000009</v>
      </c>
      <c r="Z119" s="41">
        <f>IFERROR(IF(Y119=0,"",ROUNDUP(Y119/H119,0)*0.00651),"")</f>
        <v>1.4126700000000001</v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639.6</v>
      </c>
      <c r="BN119" s="78">
        <f>IFERROR(Y119*I119/H119,"0")</f>
        <v>640.58400000000006</v>
      </c>
      <c r="BO119" s="78">
        <f>IFERROR(1/J119*(X119/H119),"0")</f>
        <v>1.1904761904761905</v>
      </c>
      <c r="BP119" s="78">
        <f>IFERROR(1/J119*(Y119/H119),"0")</f>
        <v>1.1923076923076925</v>
      </c>
    </row>
    <row r="120" spans="1:68" ht="16.5" customHeight="1" x14ac:dyDescent="0.25">
      <c r="A120" s="63" t="s">
        <v>237</v>
      </c>
      <c r="B120" s="63" t="s">
        <v>238</v>
      </c>
      <c r="C120" s="36">
        <v>4301051740</v>
      </c>
      <c r="D120" s="657">
        <v>4680115884533</v>
      </c>
      <c r="E120" s="657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9"/>
      <c r="R120" s="659"/>
      <c r="S120" s="659"/>
      <c r="T120" s="660"/>
      <c r="U120" s="39" t="s">
        <v>46</v>
      </c>
      <c r="V120" s="39" t="s">
        <v>46</v>
      </c>
      <c r="W120" s="40" t="s">
        <v>0</v>
      </c>
      <c r="X120" s="58">
        <v>90</v>
      </c>
      <c r="Y120" s="55">
        <f>IFERROR(IF(X120="",0,CEILING((X120/$H120),1)*$H120),"")</f>
        <v>90</v>
      </c>
      <c r="Z120" s="41">
        <f>IFERROR(IF(Y120=0,"",ROUNDUP(Y120/H120,0)*0.00651),"")</f>
        <v>0.32550000000000001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98.999999999999986</v>
      </c>
      <c r="BN120" s="78">
        <f>IFERROR(Y120*I120/H120,"0")</f>
        <v>98.999999999999986</v>
      </c>
      <c r="BO120" s="78">
        <f>IFERROR(1/J120*(X120/H120),"0")</f>
        <v>0.27472527472527475</v>
      </c>
      <c r="BP120" s="78">
        <f>IFERROR(1/J120*(Y120/H120),"0")</f>
        <v>0.27472527472527475</v>
      </c>
    </row>
    <row r="121" spans="1:68" x14ac:dyDescent="0.2">
      <c r="A121" s="651"/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2"/>
      <c r="P121" s="648" t="s">
        <v>40</v>
      </c>
      <c r="Q121" s="649"/>
      <c r="R121" s="649"/>
      <c r="S121" s="649"/>
      <c r="T121" s="649"/>
      <c r="U121" s="649"/>
      <c r="V121" s="650"/>
      <c r="W121" s="42" t="s">
        <v>39</v>
      </c>
      <c r="X121" s="43">
        <f>IFERROR(X117/H117,"0")+IFERROR(X118/H118,"0")+IFERROR(X119/H119,"0")+IFERROR(X120/H120,"0")</f>
        <v>322.22222222222223</v>
      </c>
      <c r="Y121" s="43">
        <f>IFERROR(Y117/H117,"0")+IFERROR(Y118/H118,"0")+IFERROR(Y119/H119,"0")+IFERROR(Y120/H120,"0")</f>
        <v>323</v>
      </c>
      <c r="Z121" s="43">
        <f>IFERROR(IF(Z117="",0,Z117),"0")+IFERROR(IF(Z118="",0,Z118),"0")+IFERROR(IF(Z119="",0,Z119),"0")+IFERROR(IF(Z120="",0,Z120),"0")</f>
        <v>2.80105</v>
      </c>
      <c r="AA121" s="67"/>
      <c r="AB121" s="67"/>
      <c r="AC121" s="67"/>
    </row>
    <row r="122" spans="1:68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0</v>
      </c>
      <c r="X122" s="43">
        <f>IFERROR(SUM(X117:X120),"0")</f>
        <v>1125</v>
      </c>
      <c r="Y122" s="43">
        <f>IFERROR(SUM(Y117:Y120),"0")</f>
        <v>1129.5</v>
      </c>
      <c r="Z122" s="42"/>
      <c r="AA122" s="67"/>
      <c r="AB122" s="67"/>
      <c r="AC122" s="67"/>
    </row>
    <row r="123" spans="1:68" ht="14.25" hidden="1" customHeight="1" x14ac:dyDescent="0.25">
      <c r="A123" s="662" t="s">
        <v>175</v>
      </c>
      <c r="B123" s="662"/>
      <c r="C123" s="662"/>
      <c r="D123" s="662"/>
      <c r="E123" s="662"/>
      <c r="F123" s="662"/>
      <c r="G123" s="662"/>
      <c r="H123" s="662"/>
      <c r="I123" s="662"/>
      <c r="J123" s="662"/>
      <c r="K123" s="662"/>
      <c r="L123" s="662"/>
      <c r="M123" s="662"/>
      <c r="N123" s="662"/>
      <c r="O123" s="662"/>
      <c r="P123" s="662"/>
      <c r="Q123" s="662"/>
      <c r="R123" s="662"/>
      <c r="S123" s="662"/>
      <c r="T123" s="662"/>
      <c r="U123" s="662"/>
      <c r="V123" s="662"/>
      <c r="W123" s="662"/>
      <c r="X123" s="662"/>
      <c r="Y123" s="662"/>
      <c r="Z123" s="662"/>
      <c r="AA123" s="66"/>
      <c r="AB123" s="66"/>
      <c r="AC123" s="80"/>
    </row>
    <row r="124" spans="1:68" ht="16.5" customHeight="1" x14ac:dyDescent="0.25">
      <c r="A124" s="63" t="s">
        <v>240</v>
      </c>
      <c r="B124" s="63" t="s">
        <v>241</v>
      </c>
      <c r="C124" s="36">
        <v>4301060317</v>
      </c>
      <c r="D124" s="657">
        <v>4680115880238</v>
      </c>
      <c r="E124" s="657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9"/>
      <c r="R124" s="659"/>
      <c r="S124" s="659"/>
      <c r="T124" s="660"/>
      <c r="U124" s="39" t="s">
        <v>46</v>
      </c>
      <c r="V124" s="39" t="s">
        <v>46</v>
      </c>
      <c r="W124" s="40" t="s">
        <v>0</v>
      </c>
      <c r="X124" s="58">
        <v>39.6</v>
      </c>
      <c r="Y124" s="55">
        <f>IFERROR(IF(X124="",0,CEILING((X124/$H124),1)*$H124),"")</f>
        <v>39.6</v>
      </c>
      <c r="Z124" s="41">
        <f>IFERROR(IF(Y124=0,"",ROUNDUP(Y124/H124,0)*0.00651),"")</f>
        <v>0.13020000000000001</v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44.760000000000005</v>
      </c>
      <c r="BN124" s="78">
        <f>IFERROR(Y124*I124/H124,"0")</f>
        <v>44.760000000000005</v>
      </c>
      <c r="BO124" s="78">
        <f>IFERROR(1/J124*(X124/H124),"0")</f>
        <v>0.1098901098901099</v>
      </c>
      <c r="BP124" s="78">
        <f>IFERROR(1/J124*(Y124/H124),"0")</f>
        <v>0.1098901098901099</v>
      </c>
    </row>
    <row r="125" spans="1:68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2" t="s">
        <v>39</v>
      </c>
      <c r="X125" s="43">
        <f>IFERROR(X124/H124,"0")</f>
        <v>20</v>
      </c>
      <c r="Y125" s="43">
        <f>IFERROR(Y124/H124,"0")</f>
        <v>20</v>
      </c>
      <c r="Z125" s="43">
        <f>IFERROR(IF(Z124="",0,Z124),"0")</f>
        <v>0.13020000000000001</v>
      </c>
      <c r="AA125" s="67"/>
      <c r="AB125" s="67"/>
      <c r="AC125" s="67"/>
    </row>
    <row r="126" spans="1:68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0</v>
      </c>
      <c r="X126" s="43">
        <f>IFERROR(SUM(X124:X124),"0")</f>
        <v>39.6</v>
      </c>
      <c r="Y126" s="43">
        <f>IFERROR(SUM(Y124:Y124),"0")</f>
        <v>39.6</v>
      </c>
      <c r="Z126" s="42"/>
      <c r="AA126" s="67"/>
      <c r="AB126" s="67"/>
      <c r="AC126" s="67"/>
    </row>
    <row r="127" spans="1:68" ht="16.5" hidden="1" customHeight="1" x14ac:dyDescent="0.25">
      <c r="A127" s="661" t="s">
        <v>243</v>
      </c>
      <c r="B127" s="661"/>
      <c r="C127" s="661"/>
      <c r="D127" s="661"/>
      <c r="E127" s="661"/>
      <c r="F127" s="661"/>
      <c r="G127" s="661"/>
      <c r="H127" s="661"/>
      <c r="I127" s="661"/>
      <c r="J127" s="661"/>
      <c r="K127" s="661"/>
      <c r="L127" s="661"/>
      <c r="M127" s="661"/>
      <c r="N127" s="661"/>
      <c r="O127" s="661"/>
      <c r="P127" s="661"/>
      <c r="Q127" s="661"/>
      <c r="R127" s="661"/>
      <c r="S127" s="661"/>
      <c r="T127" s="661"/>
      <c r="U127" s="661"/>
      <c r="V127" s="661"/>
      <c r="W127" s="661"/>
      <c r="X127" s="661"/>
      <c r="Y127" s="661"/>
      <c r="Z127" s="661"/>
      <c r="AA127" s="65"/>
      <c r="AB127" s="65"/>
      <c r="AC127" s="79"/>
    </row>
    <row r="128" spans="1:68" ht="14.25" hidden="1" customHeight="1" x14ac:dyDescent="0.25">
      <c r="A128" s="662" t="s">
        <v>122</v>
      </c>
      <c r="B128" s="662"/>
      <c r="C128" s="662"/>
      <c r="D128" s="662"/>
      <c r="E128" s="662"/>
      <c r="F128" s="662"/>
      <c r="G128" s="662"/>
      <c r="H128" s="662"/>
      <c r="I128" s="662"/>
      <c r="J128" s="662"/>
      <c r="K128" s="662"/>
      <c r="L128" s="662"/>
      <c r="M128" s="662"/>
      <c r="N128" s="662"/>
      <c r="O128" s="662"/>
      <c r="P128" s="662"/>
      <c r="Q128" s="662"/>
      <c r="R128" s="662"/>
      <c r="S128" s="662"/>
      <c r="T128" s="662"/>
      <c r="U128" s="662"/>
      <c r="V128" s="662"/>
      <c r="W128" s="662"/>
      <c r="X128" s="662"/>
      <c r="Y128" s="662"/>
      <c r="Z128" s="662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7">
        <v>4680115888784</v>
      </c>
      <c r="E129" s="657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9"/>
      <c r="R129" s="659"/>
      <c r="S129" s="659"/>
      <c r="T129" s="66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7">
        <v>4680115882577</v>
      </c>
      <c r="E130" s="657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9"/>
      <c r="R130" s="659"/>
      <c r="S130" s="659"/>
      <c r="T130" s="66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248</v>
      </c>
      <c r="B131" s="63" t="s">
        <v>252</v>
      </c>
      <c r="C131" s="36">
        <v>4301011564</v>
      </c>
      <c r="D131" s="657">
        <v>4680115882577</v>
      </c>
      <c r="E131" s="65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9"/>
      <c r="R131" s="659"/>
      <c r="S131" s="659"/>
      <c r="T131" s="660"/>
      <c r="U131" s="39" t="s">
        <v>46</v>
      </c>
      <c r="V131" s="39" t="s">
        <v>46</v>
      </c>
      <c r="W131" s="40" t="s">
        <v>0</v>
      </c>
      <c r="X131" s="58">
        <v>60</v>
      </c>
      <c r="Y131" s="55">
        <f>IFERROR(IF(X131="",0,CEILING((X131/$H131),1)*$H131),"")</f>
        <v>60.800000000000004</v>
      </c>
      <c r="Z131" s="41">
        <f>IFERROR(IF(Y131=0,"",ROUNDUP(Y131/H131,0)*0.00651),"")</f>
        <v>0.12369000000000001</v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63.374999999999993</v>
      </c>
      <c r="BN131" s="78">
        <f>IFERROR(Y131*I131/H131,"0")</f>
        <v>64.22</v>
      </c>
      <c r="BO131" s="78">
        <f>IFERROR(1/J131*(X131/H131),"0")</f>
        <v>0.10302197802197803</v>
      </c>
      <c r="BP131" s="78">
        <f>IFERROR(1/J131*(Y131/H131),"0")</f>
        <v>0.1043956043956044</v>
      </c>
    </row>
    <row r="132" spans="1:68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IFERROR(X129/H129,"0")+IFERROR(X130/H130,"0")+IFERROR(X131/H131,"0")</f>
        <v>18.75</v>
      </c>
      <c r="Y132" s="43">
        <f>IFERROR(Y129/H129,"0")+IFERROR(Y130/H130,"0")+IFERROR(Y131/H131,"0")</f>
        <v>19</v>
      </c>
      <c r="Z132" s="43">
        <f>IFERROR(IF(Z129="",0,Z129),"0")+IFERROR(IF(Z130="",0,Z130),"0")+IFERROR(IF(Z131="",0,Z131),"0")</f>
        <v>0.12369000000000001</v>
      </c>
      <c r="AA132" s="67"/>
      <c r="AB132" s="67"/>
      <c r="AC132" s="67"/>
    </row>
    <row r="133" spans="1:68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IFERROR(SUM(X129:X131),"0")</f>
        <v>60</v>
      </c>
      <c r="Y133" s="43">
        <f>IFERROR(SUM(Y129:Y131),"0")</f>
        <v>60.800000000000004</v>
      </c>
      <c r="Z133" s="42"/>
      <c r="AA133" s="67"/>
      <c r="AB133" s="67"/>
      <c r="AC133" s="67"/>
    </row>
    <row r="134" spans="1:68" ht="14.25" hidden="1" customHeight="1" x14ac:dyDescent="0.25">
      <c r="A134" s="662" t="s">
        <v>77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7">
        <v>4680115888913</v>
      </c>
      <c r="E135" s="657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9"/>
      <c r="R135" s="659"/>
      <c r="S135" s="659"/>
      <c r="T135" s="66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257</v>
      </c>
      <c r="C136" s="36">
        <v>4301031234</v>
      </c>
      <c r="D136" s="657">
        <v>4680115883444</v>
      </c>
      <c r="E136" s="65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9"/>
      <c r="R136" s="659"/>
      <c r="S136" s="659"/>
      <c r="T136" s="660"/>
      <c r="U136" s="39" t="s">
        <v>46</v>
      </c>
      <c r="V136" s="39" t="s">
        <v>46</v>
      </c>
      <c r="W136" s="40" t="s">
        <v>0</v>
      </c>
      <c r="X136" s="58">
        <v>38.5</v>
      </c>
      <c r="Y136" s="55">
        <f>IFERROR(IF(X136="",0,CEILING((X136/$H136),1)*$H136),"")</f>
        <v>39.199999999999996</v>
      </c>
      <c r="Z136" s="41">
        <f>IFERROR(IF(Y136=0,"",ROUNDUP(Y136/H136,0)*0.00651),"")</f>
        <v>9.1139999999999999E-2</v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42.185000000000009</v>
      </c>
      <c r="BN136" s="78">
        <f>IFERROR(Y136*I136/H136,"0")</f>
        <v>42.951999999999998</v>
      </c>
      <c r="BO136" s="78">
        <f>IFERROR(1/J136*(X136/H136),"0")</f>
        <v>7.5549450549450559E-2</v>
      </c>
      <c r="BP136" s="78">
        <f>IFERROR(1/J136*(Y136/H136),"0")</f>
        <v>7.6923076923076927E-2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7">
        <v>4680115883444</v>
      </c>
      <c r="E137" s="65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9"/>
      <c r="R137" s="659"/>
      <c r="S137" s="659"/>
      <c r="T137" s="66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7">
        <v>4680115888920</v>
      </c>
      <c r="E138" s="657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8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9"/>
      <c r="R138" s="659"/>
      <c r="S138" s="659"/>
      <c r="T138" s="66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51"/>
      <c r="B139" s="651"/>
      <c r="C139" s="651"/>
      <c r="D139" s="651"/>
      <c r="E139" s="651"/>
      <c r="F139" s="651"/>
      <c r="G139" s="651"/>
      <c r="H139" s="651"/>
      <c r="I139" s="651"/>
      <c r="J139" s="651"/>
      <c r="K139" s="651"/>
      <c r="L139" s="651"/>
      <c r="M139" s="651"/>
      <c r="N139" s="651"/>
      <c r="O139" s="652"/>
      <c r="P139" s="648" t="s">
        <v>40</v>
      </c>
      <c r="Q139" s="649"/>
      <c r="R139" s="649"/>
      <c r="S139" s="649"/>
      <c r="T139" s="649"/>
      <c r="U139" s="649"/>
      <c r="V139" s="650"/>
      <c r="W139" s="42" t="s">
        <v>39</v>
      </c>
      <c r="X139" s="43">
        <f>IFERROR(X135/H135,"0")+IFERROR(X136/H136,"0")+IFERROR(X137/H137,"0")+IFERROR(X138/H138,"0")</f>
        <v>13.75</v>
      </c>
      <c r="Y139" s="43">
        <f>IFERROR(Y135/H135,"0")+IFERROR(Y136/H136,"0")+IFERROR(Y137/H137,"0")+IFERROR(Y138/H138,"0")</f>
        <v>14</v>
      </c>
      <c r="Z139" s="43">
        <f>IFERROR(IF(Z135="",0,Z135),"0")+IFERROR(IF(Z136="",0,Z136),"0")+IFERROR(IF(Z137="",0,Z137),"0")+IFERROR(IF(Z138="",0,Z138),"0")</f>
        <v>9.1139999999999999E-2</v>
      </c>
      <c r="AA139" s="67"/>
      <c r="AB139" s="67"/>
      <c r="AC139" s="67"/>
    </row>
    <row r="140" spans="1:68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2" t="s">
        <v>0</v>
      </c>
      <c r="X140" s="43">
        <f>IFERROR(SUM(X135:X138),"0")</f>
        <v>38.5</v>
      </c>
      <c r="Y140" s="43">
        <f>IFERROR(SUM(Y135:Y138),"0")</f>
        <v>39.199999999999996</v>
      </c>
      <c r="Z140" s="42"/>
      <c r="AA140" s="67"/>
      <c r="AB140" s="67"/>
      <c r="AC140" s="67"/>
    </row>
    <row r="141" spans="1:68" ht="14.25" hidden="1" customHeight="1" x14ac:dyDescent="0.25">
      <c r="A141" s="662" t="s">
        <v>86</v>
      </c>
      <c r="B141" s="662"/>
      <c r="C141" s="662"/>
      <c r="D141" s="662"/>
      <c r="E141" s="662"/>
      <c r="F141" s="662"/>
      <c r="G141" s="662"/>
      <c r="H141" s="662"/>
      <c r="I141" s="662"/>
      <c r="J141" s="662"/>
      <c r="K141" s="662"/>
      <c r="L141" s="662"/>
      <c r="M141" s="662"/>
      <c r="N141" s="662"/>
      <c r="O141" s="662"/>
      <c r="P141" s="662"/>
      <c r="Q141" s="662"/>
      <c r="R141" s="662"/>
      <c r="S141" s="662"/>
      <c r="T141" s="662"/>
      <c r="U141" s="662"/>
      <c r="V141" s="662"/>
      <c r="W141" s="662"/>
      <c r="X141" s="662"/>
      <c r="Y141" s="662"/>
      <c r="Z141" s="662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7">
        <v>4680115888944</v>
      </c>
      <c r="E142" s="657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9"/>
      <c r="R142" s="659"/>
      <c r="S142" s="659"/>
      <c r="T142" s="66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264</v>
      </c>
      <c r="B143" s="63" t="s">
        <v>265</v>
      </c>
      <c r="C143" s="36">
        <v>4301051476</v>
      </c>
      <c r="D143" s="657">
        <v>4680115882584</v>
      </c>
      <c r="E143" s="65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9" t="s">
        <v>46</v>
      </c>
      <c r="V143" s="39" t="s">
        <v>46</v>
      </c>
      <c r="W143" s="40" t="s">
        <v>0</v>
      </c>
      <c r="X143" s="58">
        <v>72.600000000000009</v>
      </c>
      <c r="Y143" s="55">
        <f>IFERROR(IF(X143="",0,CEILING((X143/$H143),1)*$H143),"")</f>
        <v>73.92</v>
      </c>
      <c r="Z143" s="41">
        <f>IFERROR(IF(Y143=0,"",ROUNDUP(Y143/H143,0)*0.00651),"")</f>
        <v>0.18228</v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79.970000000000013</v>
      </c>
      <c r="BN143" s="78">
        <f>IFERROR(Y143*I143/H143,"0")</f>
        <v>81.423999999999992</v>
      </c>
      <c r="BO143" s="78">
        <f>IFERROR(1/J143*(X143/H143),"0")</f>
        <v>0.15109890109890112</v>
      </c>
      <c r="BP143" s="78">
        <f>IFERROR(1/J143*(Y143/H143),"0")</f>
        <v>0.15384615384615385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7">
        <v>4680115882584</v>
      </c>
      <c r="E144" s="65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2" t="s">
        <v>39</v>
      </c>
      <c r="X145" s="43">
        <f>IFERROR(X142/H142,"0")+IFERROR(X143/H143,"0")+IFERROR(X144/H144,"0")</f>
        <v>27.500000000000004</v>
      </c>
      <c r="Y145" s="43">
        <f>IFERROR(Y142/H142,"0")+IFERROR(Y143/H143,"0")+IFERROR(Y144/H144,"0")</f>
        <v>28</v>
      </c>
      <c r="Z145" s="43">
        <f>IFERROR(IF(Z142="",0,Z142),"0")+IFERROR(IF(Z143="",0,Z143),"0")+IFERROR(IF(Z144="",0,Z144),"0")</f>
        <v>0.18228</v>
      </c>
      <c r="AA145" s="67"/>
      <c r="AB145" s="67"/>
      <c r="AC145" s="67"/>
    </row>
    <row r="146" spans="1:68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2" t="s">
        <v>0</v>
      </c>
      <c r="X146" s="43">
        <f>IFERROR(SUM(X142:X144),"0")</f>
        <v>72.600000000000009</v>
      </c>
      <c r="Y146" s="43">
        <f>IFERROR(SUM(Y142:Y144),"0")</f>
        <v>73.92</v>
      </c>
      <c r="Z146" s="42"/>
      <c r="AA146" s="67"/>
      <c r="AB146" s="67"/>
      <c r="AC146" s="67"/>
    </row>
    <row r="147" spans="1:68" ht="16.5" hidden="1" customHeight="1" x14ac:dyDescent="0.25">
      <c r="A147" s="661" t="s">
        <v>267</v>
      </c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661"/>
      <c r="P147" s="661"/>
      <c r="Q147" s="661"/>
      <c r="R147" s="661"/>
      <c r="S147" s="661"/>
      <c r="T147" s="661"/>
      <c r="U147" s="661"/>
      <c r="V147" s="661"/>
      <c r="W147" s="661"/>
      <c r="X147" s="661"/>
      <c r="Y147" s="661"/>
      <c r="Z147" s="661"/>
      <c r="AA147" s="65"/>
      <c r="AB147" s="65"/>
      <c r="AC147" s="79"/>
    </row>
    <row r="148" spans="1:68" ht="14.25" hidden="1" customHeight="1" x14ac:dyDescent="0.25">
      <c r="A148" s="662" t="s">
        <v>86</v>
      </c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2"/>
      <c r="P148" s="662"/>
      <c r="Q148" s="662"/>
      <c r="R148" s="662"/>
      <c r="S148" s="662"/>
      <c r="T148" s="662"/>
      <c r="U148" s="662"/>
      <c r="V148" s="662"/>
      <c r="W148" s="662"/>
      <c r="X148" s="662"/>
      <c r="Y148" s="662"/>
      <c r="Z148" s="662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7">
        <v>4680115888203</v>
      </c>
      <c r="E149" s="65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7">
        <v>4680115888180</v>
      </c>
      <c r="E150" s="65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7">
        <v>4680115888180</v>
      </c>
      <c r="E151" s="65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7">
        <v>4680115888197</v>
      </c>
      <c r="E152" s="65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7">
        <v>4680115888197</v>
      </c>
      <c r="E153" s="65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7">
        <v>4680115888210</v>
      </c>
      <c r="E154" s="65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7">
        <v>4680115888210</v>
      </c>
      <c r="E155" s="65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2"/>
      <c r="P157" s="648" t="s">
        <v>40</v>
      </c>
      <c r="Q157" s="649"/>
      <c r="R157" s="649"/>
      <c r="S157" s="649"/>
      <c r="T157" s="649"/>
      <c r="U157" s="649"/>
      <c r="V157" s="65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2" t="s">
        <v>283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7">
        <v>4680115889132</v>
      </c>
      <c r="E159" s="65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1" t="s">
        <v>120</v>
      </c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1"/>
      <c r="P162" s="661"/>
      <c r="Q162" s="661"/>
      <c r="R162" s="661"/>
      <c r="S162" s="661"/>
      <c r="T162" s="661"/>
      <c r="U162" s="661"/>
      <c r="V162" s="661"/>
      <c r="W162" s="661"/>
      <c r="X162" s="661"/>
      <c r="Y162" s="661"/>
      <c r="Z162" s="661"/>
      <c r="AA162" s="65"/>
      <c r="AB162" s="65"/>
      <c r="AC162" s="79"/>
    </row>
    <row r="163" spans="1:68" ht="14.25" hidden="1" customHeight="1" x14ac:dyDescent="0.25">
      <c r="A163" s="662" t="s">
        <v>122</v>
      </c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2"/>
      <c r="P163" s="662"/>
      <c r="Q163" s="662"/>
      <c r="R163" s="662"/>
      <c r="S163" s="662"/>
      <c r="T163" s="662"/>
      <c r="U163" s="662"/>
      <c r="V163" s="662"/>
      <c r="W163" s="662"/>
      <c r="X163" s="662"/>
      <c r="Y163" s="662"/>
      <c r="Z163" s="662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7">
        <v>4680115887374</v>
      </c>
      <c r="E164" s="65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7">
        <v>4607091384604</v>
      </c>
      <c r="E165" s="65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7">
        <v>4680115888876</v>
      </c>
      <c r="E166" s="65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2" t="s">
        <v>158</v>
      </c>
      <c r="B169" s="662"/>
      <c r="C169" s="662"/>
      <c r="D169" s="662"/>
      <c r="E169" s="662"/>
      <c r="F169" s="662"/>
      <c r="G169" s="662"/>
      <c r="H169" s="662"/>
      <c r="I169" s="662"/>
      <c r="J169" s="662"/>
      <c r="K169" s="662"/>
      <c r="L169" s="662"/>
      <c r="M169" s="662"/>
      <c r="N169" s="662"/>
      <c r="O169" s="662"/>
      <c r="P169" s="662"/>
      <c r="Q169" s="662"/>
      <c r="R169" s="662"/>
      <c r="S169" s="662"/>
      <c r="T169" s="662"/>
      <c r="U169" s="662"/>
      <c r="V169" s="662"/>
      <c r="W169" s="662"/>
      <c r="X169" s="662"/>
      <c r="Y169" s="662"/>
      <c r="Z169" s="662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657">
        <v>4680115887695</v>
      </c>
      <c r="E170" s="657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7">
        <v>4680115889491</v>
      </c>
      <c r="E171" s="657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6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2" t="s">
        <v>77</v>
      </c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2"/>
      <c r="P174" s="662"/>
      <c r="Q174" s="662"/>
      <c r="R174" s="662"/>
      <c r="S174" s="662"/>
      <c r="T174" s="662"/>
      <c r="U174" s="662"/>
      <c r="V174" s="662"/>
      <c r="W174" s="662"/>
      <c r="X174" s="662"/>
      <c r="Y174" s="662"/>
      <c r="Z174" s="662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657">
        <v>4680115887428</v>
      </c>
      <c r="E175" s="657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9" t="s">
        <v>46</v>
      </c>
      <c r="V175" s="39" t="s">
        <v>46</v>
      </c>
      <c r="W175" s="40" t="s">
        <v>0</v>
      </c>
      <c r="X175" s="58">
        <v>150</v>
      </c>
      <c r="Y175" s="55">
        <f t="shared" ref="Y175:Y185" si="16">IFERROR(IF(X175="",0,CEILING((X175/$H175),1)*$H175),"")</f>
        <v>150.5</v>
      </c>
      <c r="Z175" s="41">
        <f>IFERROR(IF(Y175=0,"",ROUNDUP(Y175/H175,0)*0.00902),"")</f>
        <v>0.38785999999999998</v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158.14285714285714</v>
      </c>
      <c r="BN175" s="78">
        <f t="shared" ref="BN175:BN185" si="18">IFERROR(Y175*I175/H175,"0")</f>
        <v>158.67000000000002</v>
      </c>
      <c r="BO175" s="78">
        <f t="shared" ref="BO175:BO185" si="19">IFERROR(1/J175*(X175/H175),"0")</f>
        <v>0.32467532467532467</v>
      </c>
      <c r="BP175" s="78">
        <f t="shared" ref="BP175:BP185" si="20">IFERROR(1/J175*(Y175/H175),"0")</f>
        <v>0.32575757575757575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657">
        <v>4680115889170</v>
      </c>
      <c r="E176" s="657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4301031498</v>
      </c>
      <c r="D177" s="657">
        <v>4680115887398</v>
      </c>
      <c r="E177" s="65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9" t="s">
        <v>46</v>
      </c>
      <c r="V177" s="39" t="s">
        <v>46</v>
      </c>
      <c r="W177" s="40" t="s">
        <v>0</v>
      </c>
      <c r="X177" s="58">
        <v>260</v>
      </c>
      <c r="Y177" s="55">
        <f t="shared" si="16"/>
        <v>262.5</v>
      </c>
      <c r="Z177" s="41">
        <f>IFERROR(IF(Y177=0,"",ROUNDUP(Y177/H177,0)*0.00902),"")</f>
        <v>0.67649999999999999</v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274.1142857142857</v>
      </c>
      <c r="BN177" s="78">
        <f t="shared" si="18"/>
        <v>276.75</v>
      </c>
      <c r="BO177" s="78">
        <f t="shared" si="19"/>
        <v>0.56277056277056281</v>
      </c>
      <c r="BP177" s="78">
        <f t="shared" si="20"/>
        <v>0.56818181818181823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657">
        <v>4680115887336</v>
      </c>
      <c r="E178" s="65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9" t="s">
        <v>46</v>
      </c>
      <c r="V178" s="39" t="s">
        <v>46</v>
      </c>
      <c r="W178" s="40" t="s">
        <v>0</v>
      </c>
      <c r="X178" s="58">
        <v>160</v>
      </c>
      <c r="Y178" s="55">
        <f t="shared" si="16"/>
        <v>161</v>
      </c>
      <c r="Z178" s="41">
        <f>IFERROR(IF(Y178=0,"",ROUNDUP(Y178/H178,0)*0.00902),"")</f>
        <v>0.41492000000000001</v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168.68571428571428</v>
      </c>
      <c r="BN178" s="78">
        <f t="shared" si="18"/>
        <v>169.74</v>
      </c>
      <c r="BO178" s="78">
        <f t="shared" si="19"/>
        <v>0.34632034632034636</v>
      </c>
      <c r="BP178" s="78">
        <f t="shared" si="20"/>
        <v>0.34848484848484851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657">
        <v>4680115887787</v>
      </c>
      <c r="E179" s="657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320</v>
      </c>
      <c r="B180" s="63" t="s">
        <v>321</v>
      </c>
      <c r="C180" s="36">
        <v>4301031448</v>
      </c>
      <c r="D180" s="657">
        <v>4680115887503</v>
      </c>
      <c r="E180" s="65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9"/>
      <c r="R180" s="659"/>
      <c r="S180" s="659"/>
      <c r="T180" s="660"/>
      <c r="U180" s="39" t="s">
        <v>46</v>
      </c>
      <c r="V180" s="39" t="s">
        <v>46</v>
      </c>
      <c r="W180" s="40" t="s">
        <v>0</v>
      </c>
      <c r="X180" s="58">
        <v>84.000000000000014</v>
      </c>
      <c r="Y180" s="55">
        <f t="shared" si="16"/>
        <v>84</v>
      </c>
      <c r="Z180" s="41">
        <f>IFERROR(IF(Y180=0,"",ROUNDUP(Y180/H180,0)*0.00502),"")</f>
        <v>0.251</v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89.000000000000028</v>
      </c>
      <c r="BN180" s="78">
        <f t="shared" si="18"/>
        <v>89.000000000000014</v>
      </c>
      <c r="BO180" s="78">
        <f t="shared" si="19"/>
        <v>0.21367521367521372</v>
      </c>
      <c r="BP180" s="78">
        <f t="shared" si="20"/>
        <v>0.21367521367521369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7">
        <v>4680115887763</v>
      </c>
      <c r="E181" s="65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9"/>
      <c r="R181" s="659"/>
      <c r="S181" s="659"/>
      <c r="T181" s="66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7">
        <v>4680115887763</v>
      </c>
      <c r="E182" s="657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4301031454</v>
      </c>
      <c r="D183" s="657">
        <v>4680115887480</v>
      </c>
      <c r="E183" s="65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9" t="s">
        <v>46</v>
      </c>
      <c r="V183" s="39" t="s">
        <v>46</v>
      </c>
      <c r="W183" s="40" t="s">
        <v>0</v>
      </c>
      <c r="X183" s="58">
        <v>84.000000000000014</v>
      </c>
      <c r="Y183" s="55">
        <f t="shared" si="16"/>
        <v>84</v>
      </c>
      <c r="Z183" s="41">
        <f>IFERROR(IF(Y183=0,"",ROUNDUP(Y183/H183,0)*0.00502),"")</f>
        <v>0.251</v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89.000000000000028</v>
      </c>
      <c r="BN183" s="78">
        <f t="shared" si="18"/>
        <v>89.000000000000014</v>
      </c>
      <c r="BO183" s="78">
        <f t="shared" si="19"/>
        <v>0.21367521367521372</v>
      </c>
      <c r="BP183" s="78">
        <f t="shared" si="20"/>
        <v>0.21367521367521369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657">
        <v>4680115888067</v>
      </c>
      <c r="E184" s="657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4301031451</v>
      </c>
      <c r="D185" s="657">
        <v>4680115887435</v>
      </c>
      <c r="E185" s="65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9" t="s">
        <v>46</v>
      </c>
      <c r="V185" s="39" t="s">
        <v>46</v>
      </c>
      <c r="W185" s="40" t="s">
        <v>0</v>
      </c>
      <c r="X185" s="58">
        <v>84.000000000000014</v>
      </c>
      <c r="Y185" s="55">
        <f t="shared" si="16"/>
        <v>84</v>
      </c>
      <c r="Z185" s="41">
        <f>IFERROR(IF(Y185=0,"",ROUNDUP(Y185/H185,0)*0.00502),"")</f>
        <v>0.251</v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89.000000000000028</v>
      </c>
      <c r="BN185" s="78">
        <f t="shared" si="18"/>
        <v>89.000000000000014</v>
      </c>
      <c r="BO185" s="78">
        <f t="shared" si="19"/>
        <v>0.21367521367521372</v>
      </c>
      <c r="BP185" s="78">
        <f t="shared" si="20"/>
        <v>0.21367521367521369</v>
      </c>
    </row>
    <row r="186" spans="1:68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312.85714285714289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314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2.2322799999999998</v>
      </c>
      <c r="AA186" s="67"/>
      <c r="AB186" s="67"/>
      <c r="AC186" s="67"/>
    </row>
    <row r="187" spans="1:68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2" t="s">
        <v>0</v>
      </c>
      <c r="X187" s="43">
        <f>IFERROR(SUM(X175:X185),"0")</f>
        <v>822</v>
      </c>
      <c r="Y187" s="43">
        <f>IFERROR(SUM(Y175:Y185),"0")</f>
        <v>826</v>
      </c>
      <c r="Z187" s="42"/>
      <c r="AA187" s="67"/>
      <c r="AB187" s="67"/>
      <c r="AC187" s="67"/>
    </row>
    <row r="188" spans="1:68" ht="14.25" hidden="1" customHeight="1" x14ac:dyDescent="0.25">
      <c r="A188" s="662" t="s">
        <v>86</v>
      </c>
      <c r="B188" s="662"/>
      <c r="C188" s="662"/>
      <c r="D188" s="662"/>
      <c r="E188" s="662"/>
      <c r="F188" s="662"/>
      <c r="G188" s="662"/>
      <c r="H188" s="662"/>
      <c r="I188" s="662"/>
      <c r="J188" s="662"/>
      <c r="K188" s="662"/>
      <c r="L188" s="662"/>
      <c r="M188" s="662"/>
      <c r="N188" s="662"/>
      <c r="O188" s="662"/>
      <c r="P188" s="662"/>
      <c r="Q188" s="662"/>
      <c r="R188" s="662"/>
      <c r="S188" s="662"/>
      <c r="T188" s="662"/>
      <c r="U188" s="662"/>
      <c r="V188" s="662"/>
      <c r="W188" s="662"/>
      <c r="X188" s="662"/>
      <c r="Y188" s="662"/>
      <c r="Z188" s="662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7">
        <v>4680115888395</v>
      </c>
      <c r="E189" s="657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657">
        <v>4680115888371</v>
      </c>
      <c r="E190" s="65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7">
        <v>4680115887459</v>
      </c>
      <c r="E191" s="657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2" t="s">
        <v>283</v>
      </c>
      <c r="B194" s="662"/>
      <c r="C194" s="662"/>
      <c r="D194" s="662"/>
      <c r="E194" s="662"/>
      <c r="F194" s="662"/>
      <c r="G194" s="662"/>
      <c r="H194" s="662"/>
      <c r="I194" s="662"/>
      <c r="J194" s="662"/>
      <c r="K194" s="662"/>
      <c r="L194" s="662"/>
      <c r="M194" s="662"/>
      <c r="N194" s="662"/>
      <c r="O194" s="662"/>
      <c r="P194" s="662"/>
      <c r="Q194" s="662"/>
      <c r="R194" s="662"/>
      <c r="S194" s="662"/>
      <c r="T194" s="662"/>
      <c r="U194" s="662"/>
      <c r="V194" s="662"/>
      <c r="W194" s="662"/>
      <c r="X194" s="662"/>
      <c r="Y194" s="662"/>
      <c r="Z194" s="662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7">
        <v>4680115889026</v>
      </c>
      <c r="E195" s="657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7">
        <v>4680115889088</v>
      </c>
      <c r="E196" s="65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9"/>
      <c r="R196" s="659"/>
      <c r="S196" s="659"/>
      <c r="T196" s="66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2" t="s">
        <v>349</v>
      </c>
      <c r="B199" s="662"/>
      <c r="C199" s="662"/>
      <c r="D199" s="662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2"/>
      <c r="U199" s="662"/>
      <c r="V199" s="662"/>
      <c r="W199" s="662"/>
      <c r="X199" s="662"/>
      <c r="Y199" s="662"/>
      <c r="Z199" s="662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7">
        <v>4680115889033</v>
      </c>
      <c r="E200" s="65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8" t="s">
        <v>353</v>
      </c>
      <c r="B203" s="668"/>
      <c r="C203" s="668"/>
      <c r="D203" s="668"/>
      <c r="E203" s="668"/>
      <c r="F203" s="668"/>
      <c r="G203" s="668"/>
      <c r="H203" s="668"/>
      <c r="I203" s="668"/>
      <c r="J203" s="668"/>
      <c r="K203" s="668"/>
      <c r="L203" s="668"/>
      <c r="M203" s="668"/>
      <c r="N203" s="668"/>
      <c r="O203" s="668"/>
      <c r="P203" s="668"/>
      <c r="Q203" s="668"/>
      <c r="R203" s="668"/>
      <c r="S203" s="668"/>
      <c r="T203" s="668"/>
      <c r="U203" s="668"/>
      <c r="V203" s="668"/>
      <c r="W203" s="668"/>
      <c r="X203" s="668"/>
      <c r="Y203" s="668"/>
      <c r="Z203" s="668"/>
      <c r="AA203" s="54"/>
      <c r="AB203" s="54"/>
      <c r="AC203" s="54"/>
    </row>
    <row r="204" spans="1:68" ht="16.5" hidden="1" customHeight="1" x14ac:dyDescent="0.25">
      <c r="A204" s="661" t="s">
        <v>354</v>
      </c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  <c r="AA204" s="65"/>
      <c r="AB204" s="65"/>
      <c r="AC204" s="79"/>
    </row>
    <row r="205" spans="1:68" ht="14.25" hidden="1" customHeight="1" x14ac:dyDescent="0.25">
      <c r="A205" s="662" t="s">
        <v>122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7">
        <v>4607091383423</v>
      </c>
      <c r="E206" s="65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7">
        <v>4680115888760</v>
      </c>
      <c r="E207" s="65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7">
        <v>4680115888807</v>
      </c>
      <c r="E208" s="65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7">
        <v>4680115888852</v>
      </c>
      <c r="E209" s="65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7">
        <v>4680115886957</v>
      </c>
      <c r="E210" s="65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4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657">
        <v>4680115885660</v>
      </c>
      <c r="E211" s="65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7">
        <v>4680115886773</v>
      </c>
      <c r="E212" s="65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1" t="s">
        <v>375</v>
      </c>
      <c r="B215" s="661"/>
      <c r="C215" s="661"/>
      <c r="D215" s="661"/>
      <c r="E215" s="661"/>
      <c r="F215" s="661"/>
      <c r="G215" s="661"/>
      <c r="H215" s="661"/>
      <c r="I215" s="661"/>
      <c r="J215" s="661"/>
      <c r="K215" s="661"/>
      <c r="L215" s="661"/>
      <c r="M215" s="661"/>
      <c r="N215" s="661"/>
      <c r="O215" s="661"/>
      <c r="P215" s="661"/>
      <c r="Q215" s="661"/>
      <c r="R215" s="661"/>
      <c r="S215" s="661"/>
      <c r="T215" s="661"/>
      <c r="U215" s="661"/>
      <c r="V215" s="661"/>
      <c r="W215" s="661"/>
      <c r="X215" s="661"/>
      <c r="Y215" s="661"/>
      <c r="Z215" s="661"/>
      <c r="AA215" s="65"/>
      <c r="AB215" s="65"/>
      <c r="AC215" s="79"/>
    </row>
    <row r="216" spans="1:68" ht="14.25" hidden="1" customHeight="1" x14ac:dyDescent="0.25">
      <c r="A216" s="662" t="s">
        <v>158</v>
      </c>
      <c r="B216" s="662"/>
      <c r="C216" s="662"/>
      <c r="D216" s="662"/>
      <c r="E216" s="662"/>
      <c r="F216" s="662"/>
      <c r="G216" s="662"/>
      <c r="H216" s="662"/>
      <c r="I216" s="662"/>
      <c r="J216" s="662"/>
      <c r="K216" s="662"/>
      <c r="L216" s="662"/>
      <c r="M216" s="662"/>
      <c r="N216" s="662"/>
      <c r="O216" s="662"/>
      <c r="P216" s="662"/>
      <c r="Q216" s="662"/>
      <c r="R216" s="662"/>
      <c r="S216" s="662"/>
      <c r="T216" s="662"/>
      <c r="U216" s="662"/>
      <c r="V216" s="662"/>
      <c r="W216" s="662"/>
      <c r="X216" s="662"/>
      <c r="Y216" s="662"/>
      <c r="Z216" s="662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7">
        <v>4680115886223</v>
      </c>
      <c r="E217" s="65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2" t="s">
        <v>77</v>
      </c>
      <c r="B220" s="662"/>
      <c r="C220" s="662"/>
      <c r="D220" s="662"/>
      <c r="E220" s="662"/>
      <c r="F220" s="662"/>
      <c r="G220" s="662"/>
      <c r="H220" s="662"/>
      <c r="I220" s="662"/>
      <c r="J220" s="662"/>
      <c r="K220" s="662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62"/>
      <c r="Y220" s="662"/>
      <c r="Z220" s="662"/>
      <c r="AA220" s="66"/>
      <c r="AB220" s="66"/>
      <c r="AC220" s="80"/>
    </row>
    <row r="221" spans="1:68" ht="27" customHeight="1" x14ac:dyDescent="0.25">
      <c r="A221" s="63" t="s">
        <v>379</v>
      </c>
      <c r="B221" s="63" t="s">
        <v>380</v>
      </c>
      <c r="C221" s="36">
        <v>4301031191</v>
      </c>
      <c r="D221" s="657">
        <v>4680115880993</v>
      </c>
      <c r="E221" s="65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9" t="s">
        <v>46</v>
      </c>
      <c r="V221" s="39" t="s">
        <v>46</v>
      </c>
      <c r="W221" s="40" t="s">
        <v>0</v>
      </c>
      <c r="X221" s="58">
        <v>50</v>
      </c>
      <c r="Y221" s="55">
        <f t="shared" ref="Y221:Y234" si="27">IFERROR(IF(X221="",0,CEILING((X221/$H221),1)*$H221),"")</f>
        <v>50.400000000000006</v>
      </c>
      <c r="Z221" s="41">
        <f>IFERROR(IF(Y221=0,"",ROUNDUP(Y221/H221,0)*0.00902),"")</f>
        <v>0.10824</v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52.976190476190474</v>
      </c>
      <c r="BN221" s="78">
        <f t="shared" ref="BN221:BN234" si="29">IFERROR(Y221*I221/H221,"0")</f>
        <v>53.400000000000006</v>
      </c>
      <c r="BO221" s="78">
        <f t="shared" ref="BO221:BO234" si="30">IFERROR(1/J221*(X221/H221),"0")</f>
        <v>9.0187590187590191E-2</v>
      </c>
      <c r="BP221" s="78">
        <f t="shared" ref="BP221:BP234" si="31">IFERROR(1/J221*(Y221/H221),"0")</f>
        <v>9.0909090909090912E-2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7">
        <v>4680115881761</v>
      </c>
      <c r="E222" s="65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657">
        <v>4680115881563</v>
      </c>
      <c r="E223" s="65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657">
        <v>4680115887565</v>
      </c>
      <c r="E224" s="65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customHeight="1" x14ac:dyDescent="0.25">
      <c r="A225" s="63" t="s">
        <v>391</v>
      </c>
      <c r="B225" s="63" t="s">
        <v>392</v>
      </c>
      <c r="C225" s="36">
        <v>4301031199</v>
      </c>
      <c r="D225" s="657">
        <v>4680115880986</v>
      </c>
      <c r="E225" s="65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9" t="s">
        <v>46</v>
      </c>
      <c r="V225" s="39" t="s">
        <v>46</v>
      </c>
      <c r="W225" s="40" t="s">
        <v>0</v>
      </c>
      <c r="X225" s="58">
        <v>52.5</v>
      </c>
      <c r="Y225" s="55">
        <f t="shared" si="27"/>
        <v>52.5</v>
      </c>
      <c r="Z225" s="41">
        <f t="shared" ref="Z225:Z230" si="32">IFERROR(IF(Y225=0,"",ROUNDUP(Y225/H225,0)*0.00502),"")</f>
        <v>0.1255</v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55.75</v>
      </c>
      <c r="BN225" s="78">
        <f t="shared" si="29"/>
        <v>55.75</v>
      </c>
      <c r="BO225" s="78">
        <f t="shared" si="30"/>
        <v>0.10683760683760685</v>
      </c>
      <c r="BP225" s="78">
        <f t="shared" si="31"/>
        <v>0.10683760683760685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7">
        <v>4680115887213</v>
      </c>
      <c r="E226" s="65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4301031205</v>
      </c>
      <c r="D227" s="657">
        <v>4680115881785</v>
      </c>
      <c r="E227" s="65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9" t="s">
        <v>46</v>
      </c>
      <c r="V227" s="39" t="s">
        <v>46</v>
      </c>
      <c r="W227" s="40" t="s">
        <v>0</v>
      </c>
      <c r="X227" s="58">
        <v>122.49999999999999</v>
      </c>
      <c r="Y227" s="55">
        <f t="shared" si="27"/>
        <v>123.9</v>
      </c>
      <c r="Z227" s="41">
        <f t="shared" si="32"/>
        <v>0.29618</v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130.08333333333331</v>
      </c>
      <c r="BN227" s="78">
        <f t="shared" si="29"/>
        <v>131.57</v>
      </c>
      <c r="BO227" s="78">
        <f t="shared" si="30"/>
        <v>0.24928774928774927</v>
      </c>
      <c r="BP227" s="78">
        <f t="shared" si="31"/>
        <v>0.25213675213675218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7">
        <v>4680115888432</v>
      </c>
      <c r="E228" s="65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7">
        <v>4680115888104</v>
      </c>
      <c r="E229" s="65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7">
        <v>4680115886537</v>
      </c>
      <c r="E230" s="65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657">
        <v>4680115887596</v>
      </c>
      <c r="E231" s="65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customHeight="1" x14ac:dyDescent="0.25">
      <c r="A232" s="63" t="s">
        <v>410</v>
      </c>
      <c r="B232" s="63" t="s">
        <v>411</v>
      </c>
      <c r="C232" s="36">
        <v>4301031202</v>
      </c>
      <c r="D232" s="657">
        <v>4680115881679</v>
      </c>
      <c r="E232" s="65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9"/>
      <c r="R232" s="659"/>
      <c r="S232" s="659"/>
      <c r="T232" s="660"/>
      <c r="U232" s="39" t="s">
        <v>46</v>
      </c>
      <c r="V232" s="39" t="s">
        <v>46</v>
      </c>
      <c r="W232" s="40" t="s">
        <v>0</v>
      </c>
      <c r="X232" s="58">
        <v>175</v>
      </c>
      <c r="Y232" s="55">
        <f t="shared" si="27"/>
        <v>176.4</v>
      </c>
      <c r="Z232" s="41">
        <f>IFERROR(IF(Y232=0,"",ROUNDUP(Y232/H232,0)*0.00502),"")</f>
        <v>0.42168</v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183.33333333333334</v>
      </c>
      <c r="BN232" s="78">
        <f t="shared" si="29"/>
        <v>184.8</v>
      </c>
      <c r="BO232" s="78">
        <f t="shared" si="30"/>
        <v>0.35612535612535612</v>
      </c>
      <c r="BP232" s="78">
        <f t="shared" si="31"/>
        <v>0.35897435897435903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7">
        <v>4680115880191</v>
      </c>
      <c r="E233" s="65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7">
        <v>4680115883963</v>
      </c>
      <c r="E234" s="657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178.57142857142856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180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0.9516</v>
      </c>
      <c r="AA235" s="67"/>
      <c r="AB235" s="67"/>
      <c r="AC235" s="67"/>
    </row>
    <row r="236" spans="1:68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2" t="s">
        <v>0</v>
      </c>
      <c r="X236" s="43">
        <f>IFERROR(SUM(X221:X234),"0")</f>
        <v>400</v>
      </c>
      <c r="Y236" s="43">
        <f>IFERROR(SUM(Y221:Y234),"0")</f>
        <v>403.20000000000005</v>
      </c>
      <c r="Z236" s="42"/>
      <c r="AA236" s="67"/>
      <c r="AB236" s="67"/>
      <c r="AC236" s="67"/>
    </row>
    <row r="237" spans="1:68" ht="14.25" hidden="1" customHeight="1" x14ac:dyDescent="0.25">
      <c r="A237" s="662" t="s">
        <v>86</v>
      </c>
      <c r="B237" s="662"/>
      <c r="C237" s="662"/>
      <c r="D237" s="662"/>
      <c r="E237" s="662"/>
      <c r="F237" s="662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62"/>
      <c r="X237" s="662"/>
      <c r="Y237" s="662"/>
      <c r="Z237" s="662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7">
        <v>4680115888692</v>
      </c>
      <c r="E238" s="657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7">
        <v>4680115888722</v>
      </c>
      <c r="E239" s="65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9"/>
      <c r="R239" s="659"/>
      <c r="S239" s="659"/>
      <c r="T239" s="66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7">
        <v>4680115888951</v>
      </c>
      <c r="E240" s="657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9"/>
      <c r="R240" s="659"/>
      <c r="S240" s="659"/>
      <c r="T240" s="66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7">
        <v>4680115888975</v>
      </c>
      <c r="E241" s="657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9"/>
      <c r="R241" s="659"/>
      <c r="S241" s="659"/>
      <c r="T241" s="66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7">
        <v>4680115888982</v>
      </c>
      <c r="E242" s="65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9"/>
      <c r="R242" s="659"/>
      <c r="S242" s="659"/>
      <c r="T242" s="66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51"/>
      <c r="B244" s="651"/>
      <c r="C244" s="651"/>
      <c r="D244" s="651"/>
      <c r="E244" s="651"/>
      <c r="F244" s="651"/>
      <c r="G244" s="651"/>
      <c r="H244" s="651"/>
      <c r="I244" s="651"/>
      <c r="J244" s="651"/>
      <c r="K244" s="651"/>
      <c r="L244" s="651"/>
      <c r="M244" s="651"/>
      <c r="N244" s="651"/>
      <c r="O244" s="652"/>
      <c r="P244" s="648" t="s">
        <v>40</v>
      </c>
      <c r="Q244" s="649"/>
      <c r="R244" s="649"/>
      <c r="S244" s="649"/>
      <c r="T244" s="649"/>
      <c r="U244" s="649"/>
      <c r="V244" s="65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2" t="s">
        <v>283</v>
      </c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2"/>
      <c r="P245" s="662"/>
      <c r="Q245" s="662"/>
      <c r="R245" s="662"/>
      <c r="S245" s="662"/>
      <c r="T245" s="662"/>
      <c r="U245" s="662"/>
      <c r="V245" s="662"/>
      <c r="W245" s="662"/>
      <c r="X245" s="662"/>
      <c r="Y245" s="662"/>
      <c r="Z245" s="662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657">
        <v>4680115886780</v>
      </c>
      <c r="E246" s="657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9"/>
      <c r="R246" s="659"/>
      <c r="S246" s="659"/>
      <c r="T246" s="660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434</v>
      </c>
      <c r="B247" s="63" t="s">
        <v>435</v>
      </c>
      <c r="C247" s="36">
        <v>4301032051</v>
      </c>
      <c r="D247" s="657">
        <v>4680115886742</v>
      </c>
      <c r="E247" s="657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9"/>
      <c r="R247" s="659"/>
      <c r="S247" s="659"/>
      <c r="T247" s="660"/>
      <c r="U247" s="39" t="s">
        <v>46</v>
      </c>
      <c r="V247" s="39" t="s">
        <v>46</v>
      </c>
      <c r="W247" s="40" t="s">
        <v>0</v>
      </c>
      <c r="X247" s="58">
        <v>7.0000000000000009</v>
      </c>
      <c r="Y247" s="55">
        <f>IFERROR(IF(X247="",0,CEILING((X247/$H247),1)*$H247),"")</f>
        <v>7.5600000000000005</v>
      </c>
      <c r="Z247" s="41">
        <f>IFERROR(IF(Y247=0,"",ROUNDUP(Y247/H247,0)*0.0059),"")</f>
        <v>3.5400000000000001E-2</v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8.0555555555555554</v>
      </c>
      <c r="BN247" s="78">
        <f>IFERROR(Y247*I247/H247,"0")</f>
        <v>8.6999999999999993</v>
      </c>
      <c r="BO247" s="78">
        <f>IFERROR(1/J247*(X247/H247),"0")</f>
        <v>2.5720164609053499E-2</v>
      </c>
      <c r="BP247" s="78">
        <f>IFERROR(1/J247*(Y247/H247),"0")</f>
        <v>2.7777777777777776E-2</v>
      </c>
    </row>
    <row r="248" spans="1:68" ht="27" customHeight="1" x14ac:dyDescent="0.25">
      <c r="A248" s="63" t="s">
        <v>437</v>
      </c>
      <c r="B248" s="63" t="s">
        <v>438</v>
      </c>
      <c r="C248" s="36">
        <v>4301032052</v>
      </c>
      <c r="D248" s="657">
        <v>4680115886766</v>
      </c>
      <c r="E248" s="65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9"/>
      <c r="R248" s="659"/>
      <c r="S248" s="659"/>
      <c r="T248" s="660"/>
      <c r="U248" s="39" t="s">
        <v>46</v>
      </c>
      <c r="V248" s="39" t="s">
        <v>46</v>
      </c>
      <c r="W248" s="40" t="s">
        <v>0</v>
      </c>
      <c r="X248" s="58">
        <v>7.0000000000000009</v>
      </c>
      <c r="Y248" s="55">
        <f>IFERROR(IF(X248="",0,CEILING((X248/$H248),1)*$H248),"")</f>
        <v>7.5600000000000005</v>
      </c>
      <c r="Z248" s="41">
        <f>IFERROR(IF(Y248=0,"",ROUNDUP(Y248/H248,0)*0.0059),"")</f>
        <v>3.5400000000000001E-2</v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8.0555555555555554</v>
      </c>
      <c r="BN248" s="78">
        <f>IFERROR(Y248*I248/H248,"0")</f>
        <v>8.6999999999999993</v>
      </c>
      <c r="BO248" s="78">
        <f>IFERROR(1/J248*(X248/H248),"0")</f>
        <v>2.5720164609053499E-2</v>
      </c>
      <c r="BP248" s="78">
        <f>IFERROR(1/J248*(Y248/H248),"0")</f>
        <v>2.7777777777777776E-2</v>
      </c>
    </row>
    <row r="249" spans="1:68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2" t="s">
        <v>39</v>
      </c>
      <c r="X249" s="43">
        <f>IFERROR(X246/H246,"0")+IFERROR(X247/H247,"0")+IFERROR(X248/H248,"0")</f>
        <v>11.111111111111112</v>
      </c>
      <c r="Y249" s="43">
        <f>IFERROR(Y246/H246,"0")+IFERROR(Y247/H247,"0")+IFERROR(Y248/H248,"0")</f>
        <v>12</v>
      </c>
      <c r="Z249" s="43">
        <f>IFERROR(IF(Z246="",0,Z246),"0")+IFERROR(IF(Z247="",0,Z247),"0")+IFERROR(IF(Z248="",0,Z248),"0")</f>
        <v>7.0800000000000002E-2</v>
      </c>
      <c r="AA249" s="67"/>
      <c r="AB249" s="67"/>
      <c r="AC249" s="67"/>
    </row>
    <row r="250" spans="1:68" x14ac:dyDescent="0.2">
      <c r="A250" s="651"/>
      <c r="B250" s="651"/>
      <c r="C250" s="651"/>
      <c r="D250" s="651"/>
      <c r="E250" s="651"/>
      <c r="F250" s="651"/>
      <c r="G250" s="651"/>
      <c r="H250" s="651"/>
      <c r="I250" s="651"/>
      <c r="J250" s="651"/>
      <c r="K250" s="651"/>
      <c r="L250" s="651"/>
      <c r="M250" s="651"/>
      <c r="N250" s="651"/>
      <c r="O250" s="652"/>
      <c r="P250" s="648" t="s">
        <v>40</v>
      </c>
      <c r="Q250" s="649"/>
      <c r="R250" s="649"/>
      <c r="S250" s="649"/>
      <c r="T250" s="649"/>
      <c r="U250" s="649"/>
      <c r="V250" s="650"/>
      <c r="W250" s="42" t="s">
        <v>0</v>
      </c>
      <c r="X250" s="43">
        <f>IFERROR(SUM(X246:X248),"0")</f>
        <v>14.000000000000002</v>
      </c>
      <c r="Y250" s="43">
        <f>IFERROR(SUM(Y246:Y248),"0")</f>
        <v>15.120000000000001</v>
      </c>
      <c r="Z250" s="42"/>
      <c r="AA250" s="67"/>
      <c r="AB250" s="67"/>
      <c r="AC250" s="67"/>
    </row>
    <row r="251" spans="1:68" ht="14.25" hidden="1" customHeight="1" x14ac:dyDescent="0.25">
      <c r="A251" s="662" t="s">
        <v>439</v>
      </c>
      <c r="B251" s="662"/>
      <c r="C251" s="662"/>
      <c r="D251" s="662"/>
      <c r="E251" s="662"/>
      <c r="F251" s="662"/>
      <c r="G251" s="662"/>
      <c r="H251" s="662"/>
      <c r="I251" s="662"/>
      <c r="J251" s="662"/>
      <c r="K251" s="662"/>
      <c r="L251" s="662"/>
      <c r="M251" s="662"/>
      <c r="N251" s="662"/>
      <c r="O251" s="662"/>
      <c r="P251" s="662"/>
      <c r="Q251" s="662"/>
      <c r="R251" s="662"/>
      <c r="S251" s="662"/>
      <c r="T251" s="662"/>
      <c r="U251" s="662"/>
      <c r="V251" s="662"/>
      <c r="W251" s="662"/>
      <c r="X251" s="662"/>
      <c r="Y251" s="662"/>
      <c r="Z251" s="662"/>
      <c r="AA251" s="66"/>
      <c r="AB251" s="66"/>
      <c r="AC251" s="80"/>
    </row>
    <row r="252" spans="1:68" ht="27" customHeight="1" x14ac:dyDescent="0.25">
      <c r="A252" s="63" t="s">
        <v>440</v>
      </c>
      <c r="B252" s="63" t="s">
        <v>441</v>
      </c>
      <c r="C252" s="36">
        <v>4301170013</v>
      </c>
      <c r="D252" s="657">
        <v>4680115886797</v>
      </c>
      <c r="E252" s="65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9"/>
      <c r="R252" s="659"/>
      <c r="S252" s="659"/>
      <c r="T252" s="660"/>
      <c r="U252" s="39" t="s">
        <v>46</v>
      </c>
      <c r="V252" s="39" t="s">
        <v>46</v>
      </c>
      <c r="W252" s="40" t="s">
        <v>0</v>
      </c>
      <c r="X252" s="58">
        <v>7.0000000000000009</v>
      </c>
      <c r="Y252" s="55">
        <f>IFERROR(IF(X252="",0,CEILING((X252/$H252),1)*$H252),"")</f>
        <v>7.5600000000000005</v>
      </c>
      <c r="Z252" s="41">
        <f>IFERROR(IF(Y252=0,"",ROUNDUP(Y252/H252,0)*0.0059),"")</f>
        <v>3.5400000000000001E-2</v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8.0555555555555554</v>
      </c>
      <c r="BN252" s="78">
        <f>IFERROR(Y252*I252/H252,"0")</f>
        <v>8.6999999999999993</v>
      </c>
      <c r="BO252" s="78">
        <f>IFERROR(1/J252*(X252/H252),"0")</f>
        <v>2.5720164609053499E-2</v>
      </c>
      <c r="BP252" s="78">
        <f>IFERROR(1/J252*(Y252/H252),"0")</f>
        <v>2.7777777777777776E-2</v>
      </c>
    </row>
    <row r="253" spans="1:68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IFERROR(X252/H252,"0")</f>
        <v>5.5555555555555562</v>
      </c>
      <c r="Y253" s="43">
        <f>IFERROR(Y252/H252,"0")</f>
        <v>6</v>
      </c>
      <c r="Z253" s="43">
        <f>IFERROR(IF(Z252="",0,Z252),"0")</f>
        <v>3.5400000000000001E-2</v>
      </c>
      <c r="AA253" s="67"/>
      <c r="AB253" s="67"/>
      <c r="AC253" s="67"/>
    </row>
    <row r="254" spans="1:68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IFERROR(SUM(X252:X252),"0")</f>
        <v>7.0000000000000009</v>
      </c>
      <c r="Y254" s="43">
        <f>IFERROR(SUM(Y252:Y252),"0")</f>
        <v>7.5600000000000005</v>
      </c>
      <c r="Z254" s="42"/>
      <c r="AA254" s="67"/>
      <c r="AB254" s="67"/>
      <c r="AC254" s="67"/>
    </row>
    <row r="255" spans="1:68" ht="16.5" hidden="1" customHeight="1" x14ac:dyDescent="0.25">
      <c r="A255" s="661" t="s">
        <v>442</v>
      </c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1"/>
      <c r="P255" s="661"/>
      <c r="Q255" s="661"/>
      <c r="R255" s="661"/>
      <c r="S255" s="661"/>
      <c r="T255" s="661"/>
      <c r="U255" s="661"/>
      <c r="V255" s="661"/>
      <c r="W255" s="661"/>
      <c r="X255" s="661"/>
      <c r="Y255" s="661"/>
      <c r="Z255" s="661"/>
      <c r="AA255" s="65"/>
      <c r="AB255" s="65"/>
      <c r="AC255" s="79"/>
    </row>
    <row r="256" spans="1:68" ht="14.25" hidden="1" customHeight="1" x14ac:dyDescent="0.25">
      <c r="A256" s="662" t="s">
        <v>122</v>
      </c>
      <c r="B256" s="662"/>
      <c r="C256" s="662"/>
      <c r="D256" s="662"/>
      <c r="E256" s="662"/>
      <c r="F256" s="662"/>
      <c r="G256" s="662"/>
      <c r="H256" s="662"/>
      <c r="I256" s="662"/>
      <c r="J256" s="662"/>
      <c r="K256" s="662"/>
      <c r="L256" s="662"/>
      <c r="M256" s="662"/>
      <c r="N256" s="662"/>
      <c r="O256" s="662"/>
      <c r="P256" s="662"/>
      <c r="Q256" s="662"/>
      <c r="R256" s="662"/>
      <c r="S256" s="662"/>
      <c r="T256" s="662"/>
      <c r="U256" s="662"/>
      <c r="V256" s="662"/>
      <c r="W256" s="662"/>
      <c r="X256" s="662"/>
      <c r="Y256" s="662"/>
      <c r="Z256" s="662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657">
        <v>4680115881402</v>
      </c>
      <c r="E257" s="657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9"/>
      <c r="R257" s="659"/>
      <c r="S257" s="659"/>
      <c r="T257" s="66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7">
        <v>4680115881396</v>
      </c>
      <c r="E258" s="657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9"/>
      <c r="R258" s="659"/>
      <c r="S258" s="659"/>
      <c r="T258" s="66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51"/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2"/>
      <c r="P260" s="648" t="s">
        <v>40</v>
      </c>
      <c r="Q260" s="649"/>
      <c r="R260" s="649"/>
      <c r="S260" s="649"/>
      <c r="T260" s="649"/>
      <c r="U260" s="649"/>
      <c r="V260" s="65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2" t="s">
        <v>158</v>
      </c>
      <c r="B261" s="662"/>
      <c r="C261" s="662"/>
      <c r="D261" s="662"/>
      <c r="E261" s="662"/>
      <c r="F261" s="662"/>
      <c r="G261" s="662"/>
      <c r="H261" s="662"/>
      <c r="I261" s="662"/>
      <c r="J261" s="662"/>
      <c r="K261" s="662"/>
      <c r="L261" s="662"/>
      <c r="M261" s="662"/>
      <c r="N261" s="662"/>
      <c r="O261" s="662"/>
      <c r="P261" s="662"/>
      <c r="Q261" s="662"/>
      <c r="R261" s="662"/>
      <c r="S261" s="662"/>
      <c r="T261" s="662"/>
      <c r="U261" s="662"/>
      <c r="V261" s="662"/>
      <c r="W261" s="662"/>
      <c r="X261" s="662"/>
      <c r="Y261" s="662"/>
      <c r="Z261" s="662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7">
        <v>4680115882935</v>
      </c>
      <c r="E262" s="65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9"/>
      <c r="R262" s="659"/>
      <c r="S262" s="659"/>
      <c r="T262" s="66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7">
        <v>4680115880764</v>
      </c>
      <c r="E263" s="657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9"/>
      <c r="R263" s="659"/>
      <c r="S263" s="659"/>
      <c r="T263" s="66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2" t="s">
        <v>77</v>
      </c>
      <c r="B266" s="662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  <c r="Z266" s="662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657">
        <v>4680115882683</v>
      </c>
      <c r="E267" s="657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9"/>
      <c r="R267" s="659"/>
      <c r="S267" s="659"/>
      <c r="T267" s="660"/>
      <c r="U267" s="39" t="s">
        <v>46</v>
      </c>
      <c r="V267" s="39" t="s">
        <v>46</v>
      </c>
      <c r="W267" s="40" t="s">
        <v>0</v>
      </c>
      <c r="X267" s="58">
        <v>220</v>
      </c>
      <c r="Y267" s="55">
        <f t="shared" ref="Y267:Y274" si="33">IFERROR(IF(X267="",0,CEILING((X267/$H267),1)*$H267),"")</f>
        <v>221.4</v>
      </c>
      <c r="Z267" s="41">
        <f>IFERROR(IF(Y267=0,"",ROUNDUP(Y267/H267,0)*0.00902),"")</f>
        <v>0.36982000000000004</v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227.7407407407407</v>
      </c>
      <c r="BN267" s="78">
        <f t="shared" ref="BN267:BN274" si="35">IFERROR(Y267*I267/H267,"0")</f>
        <v>229.18999999999997</v>
      </c>
      <c r="BO267" s="78">
        <f t="shared" ref="BO267:BO274" si="36">IFERROR(1/J267*(X267/H267),"0")</f>
        <v>0.30864197530864196</v>
      </c>
      <c r="BP267" s="78">
        <f t="shared" ref="BP267:BP274" si="37">IFERROR(1/J267*(Y267/H267),"0")</f>
        <v>0.31060606060606061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657">
        <v>4680115882690</v>
      </c>
      <c r="E268" s="657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9"/>
      <c r="R268" s="659"/>
      <c r="S268" s="659"/>
      <c r="T268" s="660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657">
        <v>4680115882669</v>
      </c>
      <c r="E269" s="65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9"/>
      <c r="R269" s="659"/>
      <c r="S269" s="659"/>
      <c r="T269" s="660"/>
      <c r="U269" s="39" t="s">
        <v>46</v>
      </c>
      <c r="V269" s="39" t="s">
        <v>46</v>
      </c>
      <c r="W269" s="40" t="s">
        <v>0</v>
      </c>
      <c r="X269" s="58">
        <v>120</v>
      </c>
      <c r="Y269" s="55">
        <f t="shared" si="33"/>
        <v>124.2</v>
      </c>
      <c r="Z269" s="41">
        <f>IFERROR(IF(Y269=0,"",ROUNDUP(Y269/H269,0)*0.00902),"")</f>
        <v>0.20746000000000001</v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124.2222222222222</v>
      </c>
      <c r="BN269" s="78">
        <f t="shared" si="35"/>
        <v>128.57</v>
      </c>
      <c r="BO269" s="78">
        <f t="shared" si="36"/>
        <v>0.16835016835016836</v>
      </c>
      <c r="BP269" s="78">
        <f t="shared" si="37"/>
        <v>0.17424242424242425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657">
        <v>4680115882676</v>
      </c>
      <c r="E270" s="65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9"/>
      <c r="R270" s="659"/>
      <c r="S270" s="659"/>
      <c r="T270" s="660"/>
      <c r="U270" s="39" t="s">
        <v>46</v>
      </c>
      <c r="V270" s="39" t="s">
        <v>46</v>
      </c>
      <c r="W270" s="40" t="s">
        <v>0</v>
      </c>
      <c r="X270" s="58">
        <v>40</v>
      </c>
      <c r="Y270" s="55">
        <f t="shared" si="33"/>
        <v>43.2</v>
      </c>
      <c r="Z270" s="41">
        <f>IFERROR(IF(Y270=0,"",ROUNDUP(Y270/H270,0)*0.00902),"")</f>
        <v>7.2160000000000002E-2</v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41.407407407407405</v>
      </c>
      <c r="BN270" s="78">
        <f t="shared" si="35"/>
        <v>44.72</v>
      </c>
      <c r="BO270" s="78">
        <f t="shared" si="36"/>
        <v>5.6116722783389444E-2</v>
      </c>
      <c r="BP270" s="78">
        <f t="shared" si="37"/>
        <v>6.0606060606060608E-2</v>
      </c>
    </row>
    <row r="271" spans="1:68" ht="27" customHeight="1" x14ac:dyDescent="0.25">
      <c r="A271" s="63" t="s">
        <v>465</v>
      </c>
      <c r="B271" s="63" t="s">
        <v>466</v>
      </c>
      <c r="C271" s="36">
        <v>4301031223</v>
      </c>
      <c r="D271" s="657">
        <v>4680115884014</v>
      </c>
      <c r="E271" s="657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9"/>
      <c r="R271" s="659"/>
      <c r="S271" s="659"/>
      <c r="T271" s="660"/>
      <c r="U271" s="39" t="s">
        <v>46</v>
      </c>
      <c r="V271" s="39" t="s">
        <v>46</v>
      </c>
      <c r="W271" s="40" t="s">
        <v>0</v>
      </c>
      <c r="X271" s="58">
        <v>120</v>
      </c>
      <c r="Y271" s="55">
        <f t="shared" si="33"/>
        <v>120.60000000000001</v>
      </c>
      <c r="Z271" s="41">
        <f>IFERROR(IF(Y271=0,"",ROUNDUP(Y271/H271,0)*0.00502),"")</f>
        <v>0.33634000000000003</v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128.66666666666666</v>
      </c>
      <c r="BN271" s="78">
        <f t="shared" si="35"/>
        <v>129.31</v>
      </c>
      <c r="BO271" s="78">
        <f t="shared" si="36"/>
        <v>0.28490028490028496</v>
      </c>
      <c r="BP271" s="78">
        <f t="shared" si="37"/>
        <v>0.28632478632478636</v>
      </c>
    </row>
    <row r="272" spans="1:68" ht="27" customHeight="1" x14ac:dyDescent="0.25">
      <c r="A272" s="63" t="s">
        <v>467</v>
      </c>
      <c r="B272" s="63" t="s">
        <v>468</v>
      </c>
      <c r="C272" s="36">
        <v>4301031222</v>
      </c>
      <c r="D272" s="657">
        <v>4680115884007</v>
      </c>
      <c r="E272" s="657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9"/>
      <c r="R272" s="659"/>
      <c r="S272" s="659"/>
      <c r="T272" s="660"/>
      <c r="U272" s="39" t="s">
        <v>46</v>
      </c>
      <c r="V272" s="39" t="s">
        <v>46</v>
      </c>
      <c r="W272" s="40" t="s">
        <v>0</v>
      </c>
      <c r="X272" s="58">
        <v>90</v>
      </c>
      <c r="Y272" s="55">
        <f t="shared" si="33"/>
        <v>90</v>
      </c>
      <c r="Z272" s="41">
        <f>IFERROR(IF(Y272=0,"",ROUNDUP(Y272/H272,0)*0.00502),"")</f>
        <v>0.251</v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95</v>
      </c>
      <c r="BN272" s="78">
        <f t="shared" si="35"/>
        <v>95</v>
      </c>
      <c r="BO272" s="78">
        <f t="shared" si="36"/>
        <v>0.21367521367521369</v>
      </c>
      <c r="BP272" s="78">
        <f t="shared" si="37"/>
        <v>0.21367521367521369</v>
      </c>
    </row>
    <row r="273" spans="1:68" ht="27" customHeight="1" x14ac:dyDescent="0.25">
      <c r="A273" s="63" t="s">
        <v>469</v>
      </c>
      <c r="B273" s="63" t="s">
        <v>470</v>
      </c>
      <c r="C273" s="36">
        <v>4301031229</v>
      </c>
      <c r="D273" s="657">
        <v>4680115884038</v>
      </c>
      <c r="E273" s="657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9"/>
      <c r="R273" s="659"/>
      <c r="S273" s="659"/>
      <c r="T273" s="660"/>
      <c r="U273" s="39" t="s">
        <v>46</v>
      </c>
      <c r="V273" s="39" t="s">
        <v>46</v>
      </c>
      <c r="W273" s="40" t="s">
        <v>0</v>
      </c>
      <c r="X273" s="58">
        <v>90</v>
      </c>
      <c r="Y273" s="55">
        <f t="shared" si="33"/>
        <v>90</v>
      </c>
      <c r="Z273" s="41">
        <f>IFERROR(IF(Y273=0,"",ROUNDUP(Y273/H273,0)*0.00502),"")</f>
        <v>0.251</v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95</v>
      </c>
      <c r="BN273" s="78">
        <f t="shared" si="35"/>
        <v>95</v>
      </c>
      <c r="BO273" s="78">
        <f t="shared" si="36"/>
        <v>0.21367521367521369</v>
      </c>
      <c r="BP273" s="78">
        <f t="shared" si="37"/>
        <v>0.21367521367521369</v>
      </c>
    </row>
    <row r="274" spans="1:68" ht="27" customHeight="1" x14ac:dyDescent="0.25">
      <c r="A274" s="63" t="s">
        <v>471</v>
      </c>
      <c r="B274" s="63" t="s">
        <v>472</v>
      </c>
      <c r="C274" s="36">
        <v>4301031225</v>
      </c>
      <c r="D274" s="657">
        <v>4680115884021</v>
      </c>
      <c r="E274" s="65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9"/>
      <c r="R274" s="659"/>
      <c r="S274" s="659"/>
      <c r="T274" s="660"/>
      <c r="U274" s="39" t="s">
        <v>46</v>
      </c>
      <c r="V274" s="39" t="s">
        <v>46</v>
      </c>
      <c r="W274" s="40" t="s">
        <v>0</v>
      </c>
      <c r="X274" s="58">
        <v>60</v>
      </c>
      <c r="Y274" s="55">
        <f t="shared" si="33"/>
        <v>61.2</v>
      </c>
      <c r="Z274" s="41">
        <f>IFERROR(IF(Y274=0,"",ROUNDUP(Y274/H274,0)*0.00502),"")</f>
        <v>0.17068</v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63.333333333333329</v>
      </c>
      <c r="BN274" s="78">
        <f t="shared" si="35"/>
        <v>64.599999999999994</v>
      </c>
      <c r="BO274" s="78">
        <f t="shared" si="36"/>
        <v>0.14245014245014248</v>
      </c>
      <c r="BP274" s="78">
        <f t="shared" si="37"/>
        <v>0.14529914529914531</v>
      </c>
    </row>
    <row r="275" spans="1:68" x14ac:dyDescent="0.2">
      <c r="A275" s="651"/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2"/>
      <c r="P275" s="648" t="s">
        <v>40</v>
      </c>
      <c r="Q275" s="649"/>
      <c r="R275" s="649"/>
      <c r="S275" s="649"/>
      <c r="T275" s="649"/>
      <c r="U275" s="649"/>
      <c r="V275" s="65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270.37037037037038</v>
      </c>
      <c r="Y275" s="43">
        <f>IFERROR(Y267/H267,"0")+IFERROR(Y268/H268,"0")+IFERROR(Y269/H269,"0")+IFERROR(Y270/H270,"0")+IFERROR(Y271/H271,"0")+IFERROR(Y272/H272,"0")+IFERROR(Y273/H273,"0")+IFERROR(Y274/H274,"0")</f>
        <v>273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1.6584599999999998</v>
      </c>
      <c r="AA275" s="67"/>
      <c r="AB275" s="67"/>
      <c r="AC275" s="67"/>
    </row>
    <row r="276" spans="1:68" x14ac:dyDescent="0.2">
      <c r="A276" s="651"/>
      <c r="B276" s="651"/>
      <c r="C276" s="651"/>
      <c r="D276" s="651"/>
      <c r="E276" s="651"/>
      <c r="F276" s="651"/>
      <c r="G276" s="651"/>
      <c r="H276" s="651"/>
      <c r="I276" s="651"/>
      <c r="J276" s="651"/>
      <c r="K276" s="651"/>
      <c r="L276" s="651"/>
      <c r="M276" s="651"/>
      <c r="N276" s="651"/>
      <c r="O276" s="652"/>
      <c r="P276" s="648" t="s">
        <v>40</v>
      </c>
      <c r="Q276" s="649"/>
      <c r="R276" s="649"/>
      <c r="S276" s="649"/>
      <c r="T276" s="649"/>
      <c r="U276" s="649"/>
      <c r="V276" s="650"/>
      <c r="W276" s="42" t="s">
        <v>0</v>
      </c>
      <c r="X276" s="43">
        <f>IFERROR(SUM(X267:X274),"0")</f>
        <v>740</v>
      </c>
      <c r="Y276" s="43">
        <f>IFERROR(SUM(Y267:Y274),"0")</f>
        <v>750.60000000000014</v>
      </c>
      <c r="Z276" s="42"/>
      <c r="AA276" s="67"/>
      <c r="AB276" s="67"/>
      <c r="AC276" s="67"/>
    </row>
    <row r="277" spans="1:68" ht="14.25" hidden="1" customHeight="1" x14ac:dyDescent="0.25">
      <c r="A277" s="662" t="s">
        <v>86</v>
      </c>
      <c r="B277" s="662"/>
      <c r="C277" s="662"/>
      <c r="D277" s="662"/>
      <c r="E277" s="662"/>
      <c r="F277" s="662"/>
      <c r="G277" s="662"/>
      <c r="H277" s="662"/>
      <c r="I277" s="662"/>
      <c r="J277" s="662"/>
      <c r="K277" s="662"/>
      <c r="L277" s="662"/>
      <c r="M277" s="662"/>
      <c r="N277" s="662"/>
      <c r="O277" s="662"/>
      <c r="P277" s="662"/>
      <c r="Q277" s="662"/>
      <c r="R277" s="662"/>
      <c r="S277" s="662"/>
      <c r="T277" s="662"/>
      <c r="U277" s="662"/>
      <c r="V277" s="662"/>
      <c r="W277" s="662"/>
      <c r="X277" s="662"/>
      <c r="Y277" s="662"/>
      <c r="Z277" s="662"/>
      <c r="AA277" s="66"/>
      <c r="AB277" s="66"/>
      <c r="AC277" s="80"/>
    </row>
    <row r="278" spans="1:68" ht="27" customHeight="1" x14ac:dyDescent="0.25">
      <c r="A278" s="63" t="s">
        <v>473</v>
      </c>
      <c r="B278" s="63" t="s">
        <v>474</v>
      </c>
      <c r="C278" s="36">
        <v>4301051408</v>
      </c>
      <c r="D278" s="657">
        <v>4680115881594</v>
      </c>
      <c r="E278" s="657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9"/>
      <c r="R278" s="659"/>
      <c r="S278" s="659"/>
      <c r="T278" s="660"/>
      <c r="U278" s="39" t="s">
        <v>46</v>
      </c>
      <c r="V278" s="39" t="s">
        <v>46</v>
      </c>
      <c r="W278" s="40" t="s">
        <v>0</v>
      </c>
      <c r="X278" s="58">
        <v>200</v>
      </c>
      <c r="Y278" s="55">
        <f t="shared" ref="Y278:Y289" si="38">IFERROR(IF(X278="",0,CEILING((X278/$H278),1)*$H278),"")</f>
        <v>202.5</v>
      </c>
      <c r="Z278" s="41">
        <f>IFERROR(IF(Y278=0,"",ROUNDUP(Y278/H278,0)*0.01898),"")</f>
        <v>0.47450000000000003</v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212.19753086419755</v>
      </c>
      <c r="BN278" s="78">
        <f t="shared" ref="BN278:BN289" si="40">IFERROR(Y278*I278/H278,"0")</f>
        <v>214.85</v>
      </c>
      <c r="BO278" s="78">
        <f t="shared" ref="BO278:BO289" si="41">IFERROR(1/J278*(X278/H278),"0")</f>
        <v>0.38580246913580246</v>
      </c>
      <c r="BP278" s="78">
        <f t="shared" ref="BP278:BP289" si="42">IFERROR(1/J278*(Y278/H278),"0")</f>
        <v>0.390625</v>
      </c>
    </row>
    <row r="279" spans="1:68" ht="27" customHeight="1" x14ac:dyDescent="0.25">
      <c r="A279" s="63" t="s">
        <v>476</v>
      </c>
      <c r="B279" s="63" t="s">
        <v>477</v>
      </c>
      <c r="C279" s="36">
        <v>4301051411</v>
      </c>
      <c r="D279" s="657">
        <v>4680115881617</v>
      </c>
      <c r="E279" s="657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9"/>
      <c r="R279" s="659"/>
      <c r="S279" s="659"/>
      <c r="T279" s="660"/>
      <c r="U279" s="39" t="s">
        <v>46</v>
      </c>
      <c r="V279" s="39" t="s">
        <v>46</v>
      </c>
      <c r="W279" s="40" t="s">
        <v>0</v>
      </c>
      <c r="X279" s="58">
        <v>200</v>
      </c>
      <c r="Y279" s="55">
        <f t="shared" si="38"/>
        <v>202.5</v>
      </c>
      <c r="Z279" s="41">
        <f>IFERROR(IF(Y279=0,"",ROUNDUP(Y279/H279,0)*0.01898),"")</f>
        <v>0.47450000000000003</v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211.75308641975309</v>
      </c>
      <c r="BN279" s="78">
        <f t="shared" si="40"/>
        <v>214.40000000000003</v>
      </c>
      <c r="BO279" s="78">
        <f t="shared" si="41"/>
        <v>0.38580246913580246</v>
      </c>
      <c r="BP279" s="78">
        <f t="shared" si="42"/>
        <v>0.390625</v>
      </c>
    </row>
    <row r="280" spans="1:68" ht="27" customHeight="1" x14ac:dyDescent="0.25">
      <c r="A280" s="63" t="s">
        <v>479</v>
      </c>
      <c r="B280" s="63" t="s">
        <v>480</v>
      </c>
      <c r="C280" s="36">
        <v>4301051656</v>
      </c>
      <c r="D280" s="657">
        <v>4680115880573</v>
      </c>
      <c r="E280" s="657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9"/>
      <c r="R280" s="659"/>
      <c r="S280" s="659"/>
      <c r="T280" s="660"/>
      <c r="U280" s="39" t="s">
        <v>46</v>
      </c>
      <c r="V280" s="39" t="s">
        <v>46</v>
      </c>
      <c r="W280" s="40" t="s">
        <v>0</v>
      </c>
      <c r="X280" s="58">
        <v>300</v>
      </c>
      <c r="Y280" s="55">
        <f t="shared" si="38"/>
        <v>304.5</v>
      </c>
      <c r="Z280" s="41">
        <f>IFERROR(IF(Y280=0,"",ROUNDUP(Y280/H280,0)*0.01898),"")</f>
        <v>0.6643</v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317.03448275862075</v>
      </c>
      <c r="BN280" s="78">
        <f t="shared" si="40"/>
        <v>321.79000000000008</v>
      </c>
      <c r="BO280" s="78">
        <f t="shared" si="41"/>
        <v>0.53879310344827591</v>
      </c>
      <c r="BP280" s="78">
        <f t="shared" si="42"/>
        <v>0.546875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657">
        <v>4680115882195</v>
      </c>
      <c r="E281" s="657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9"/>
      <c r="R281" s="659"/>
      <c r="S281" s="659"/>
      <c r="T281" s="660"/>
      <c r="U281" s="39" t="s">
        <v>46</v>
      </c>
      <c r="V281" s="39" t="s">
        <v>46</v>
      </c>
      <c r="W281" s="40" t="s">
        <v>0</v>
      </c>
      <c r="X281" s="58">
        <v>400</v>
      </c>
      <c r="Y281" s="55">
        <f t="shared" si="38"/>
        <v>400.8</v>
      </c>
      <c r="Z281" s="41">
        <f>IFERROR(IF(Y281=0,"",ROUNDUP(Y281/H281,0)*0.00651),"")</f>
        <v>1.08717</v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445</v>
      </c>
      <c r="BN281" s="78">
        <f t="shared" si="40"/>
        <v>445.89</v>
      </c>
      <c r="BO281" s="78">
        <f t="shared" si="41"/>
        <v>0.91575091575091594</v>
      </c>
      <c r="BP281" s="78">
        <f t="shared" si="42"/>
        <v>0.91758241758241765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7">
        <v>4680115882607</v>
      </c>
      <c r="E282" s="657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9"/>
      <c r="R282" s="659"/>
      <c r="S282" s="659"/>
      <c r="T282" s="66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7">
        <v>4680115882607</v>
      </c>
      <c r="E283" s="657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9"/>
      <c r="R283" s="659"/>
      <c r="S283" s="659"/>
      <c r="T283" s="66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657">
        <v>4680115880092</v>
      </c>
      <c r="E284" s="657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9"/>
      <c r="R284" s="659"/>
      <c r="S284" s="659"/>
      <c r="T284" s="660"/>
      <c r="U284" s="39" t="s">
        <v>46</v>
      </c>
      <c r="V284" s="39" t="s">
        <v>46</v>
      </c>
      <c r="W284" s="40" t="s">
        <v>0</v>
      </c>
      <c r="X284" s="58">
        <v>400</v>
      </c>
      <c r="Y284" s="55">
        <f t="shared" si="38"/>
        <v>400.8</v>
      </c>
      <c r="Z284" s="41">
        <f>IFERROR(IF(Y284=0,"",ROUNDUP(Y284/H284,0)*0.00651),"")</f>
        <v>1.08717</v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442</v>
      </c>
      <c r="BN284" s="78">
        <f t="shared" si="40"/>
        <v>442.88400000000007</v>
      </c>
      <c r="BO284" s="78">
        <f t="shared" si="41"/>
        <v>0.91575091575091594</v>
      </c>
      <c r="BP284" s="78">
        <f t="shared" si="42"/>
        <v>0.91758241758241765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7">
        <v>4680115889064</v>
      </c>
      <c r="E285" s="657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9"/>
      <c r="R285" s="659"/>
      <c r="S285" s="659"/>
      <c r="T285" s="66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657">
        <v>4680115880221</v>
      </c>
      <c r="E286" s="65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9"/>
      <c r="R286" s="659"/>
      <c r="S286" s="659"/>
      <c r="T286" s="66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customHeight="1" x14ac:dyDescent="0.25">
      <c r="A287" s="63" t="s">
        <v>495</v>
      </c>
      <c r="B287" s="63" t="s">
        <v>496</v>
      </c>
      <c r="C287" s="36">
        <v>4301051945</v>
      </c>
      <c r="D287" s="657">
        <v>4680115880504</v>
      </c>
      <c r="E287" s="657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9"/>
      <c r="R287" s="659"/>
      <c r="S287" s="659"/>
      <c r="T287" s="660"/>
      <c r="U287" s="39" t="s">
        <v>46</v>
      </c>
      <c r="V287" s="39" t="s">
        <v>46</v>
      </c>
      <c r="W287" s="40" t="s">
        <v>0</v>
      </c>
      <c r="X287" s="58">
        <v>60</v>
      </c>
      <c r="Y287" s="55">
        <f t="shared" si="38"/>
        <v>60</v>
      </c>
      <c r="Z287" s="41">
        <f>IFERROR(IF(Y287=0,"",ROUNDUP(Y287/H287,0)*0.00651),"")</f>
        <v>0.16275000000000001</v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66.300000000000011</v>
      </c>
      <c r="BN287" s="78">
        <f t="shared" si="40"/>
        <v>66.300000000000011</v>
      </c>
      <c r="BO287" s="78">
        <f t="shared" si="41"/>
        <v>0.13736263736263737</v>
      </c>
      <c r="BP287" s="78">
        <f t="shared" si="42"/>
        <v>0.13736263736263737</v>
      </c>
    </row>
    <row r="288" spans="1:68" ht="27" customHeight="1" x14ac:dyDescent="0.25">
      <c r="A288" s="63" t="s">
        <v>498</v>
      </c>
      <c r="B288" s="63" t="s">
        <v>499</v>
      </c>
      <c r="C288" s="36">
        <v>4301051410</v>
      </c>
      <c r="D288" s="657">
        <v>4680115882164</v>
      </c>
      <c r="E288" s="657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9"/>
      <c r="R288" s="659"/>
      <c r="S288" s="659"/>
      <c r="T288" s="660"/>
      <c r="U288" s="39" t="s">
        <v>46</v>
      </c>
      <c r="V288" s="39" t="s">
        <v>46</v>
      </c>
      <c r="W288" s="40" t="s">
        <v>0</v>
      </c>
      <c r="X288" s="58">
        <v>120</v>
      </c>
      <c r="Y288" s="55">
        <f t="shared" si="38"/>
        <v>120</v>
      </c>
      <c r="Z288" s="41">
        <f>IFERROR(IF(Y288=0,"",ROUNDUP(Y288/H288,0)*0.00651),"")</f>
        <v>0.32550000000000001</v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132.9</v>
      </c>
      <c r="BN288" s="78">
        <f t="shared" si="40"/>
        <v>132.9</v>
      </c>
      <c r="BO288" s="78">
        <f t="shared" si="41"/>
        <v>0.27472527472527475</v>
      </c>
      <c r="BP288" s="78">
        <f t="shared" si="42"/>
        <v>0.27472527472527475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7">
        <v>4680115888340</v>
      </c>
      <c r="E289" s="65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9"/>
      <c r="R289" s="659"/>
      <c r="S289" s="659"/>
      <c r="T289" s="66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651"/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2"/>
      <c r="P290" s="648" t="s">
        <v>40</v>
      </c>
      <c r="Q290" s="649"/>
      <c r="R290" s="649"/>
      <c r="S290" s="649"/>
      <c r="T290" s="649"/>
      <c r="U290" s="649"/>
      <c r="V290" s="65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492.19880800340576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494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4.2758900000000004</v>
      </c>
      <c r="AA290" s="67"/>
      <c r="AB290" s="67"/>
      <c r="AC290" s="67"/>
    </row>
    <row r="291" spans="1:68" x14ac:dyDescent="0.2">
      <c r="A291" s="651"/>
      <c r="B291" s="651"/>
      <c r="C291" s="651"/>
      <c r="D291" s="651"/>
      <c r="E291" s="651"/>
      <c r="F291" s="651"/>
      <c r="G291" s="651"/>
      <c r="H291" s="651"/>
      <c r="I291" s="651"/>
      <c r="J291" s="651"/>
      <c r="K291" s="651"/>
      <c r="L291" s="651"/>
      <c r="M291" s="651"/>
      <c r="N291" s="651"/>
      <c r="O291" s="652"/>
      <c r="P291" s="648" t="s">
        <v>40</v>
      </c>
      <c r="Q291" s="649"/>
      <c r="R291" s="649"/>
      <c r="S291" s="649"/>
      <c r="T291" s="649"/>
      <c r="U291" s="649"/>
      <c r="V291" s="650"/>
      <c r="W291" s="42" t="s">
        <v>0</v>
      </c>
      <c r="X291" s="43">
        <f>IFERROR(SUM(X278:X289),"0")</f>
        <v>1680</v>
      </c>
      <c r="Y291" s="43">
        <f>IFERROR(SUM(Y278:Y289),"0")</f>
        <v>1691.1</v>
      </c>
      <c r="Z291" s="42"/>
      <c r="AA291" s="67"/>
      <c r="AB291" s="67"/>
      <c r="AC291" s="67"/>
    </row>
    <row r="292" spans="1:68" ht="14.25" hidden="1" customHeight="1" x14ac:dyDescent="0.25">
      <c r="A292" s="662" t="s">
        <v>175</v>
      </c>
      <c r="B292" s="662"/>
      <c r="C292" s="662"/>
      <c r="D292" s="662"/>
      <c r="E292" s="662"/>
      <c r="F292" s="662"/>
      <c r="G292" s="662"/>
      <c r="H292" s="662"/>
      <c r="I292" s="662"/>
      <c r="J292" s="662"/>
      <c r="K292" s="662"/>
      <c r="L292" s="662"/>
      <c r="M292" s="662"/>
      <c r="N292" s="662"/>
      <c r="O292" s="662"/>
      <c r="P292" s="662"/>
      <c r="Q292" s="662"/>
      <c r="R292" s="662"/>
      <c r="S292" s="662"/>
      <c r="T292" s="662"/>
      <c r="U292" s="662"/>
      <c r="V292" s="662"/>
      <c r="W292" s="662"/>
      <c r="X292" s="662"/>
      <c r="Y292" s="662"/>
      <c r="Z292" s="662"/>
      <c r="AA292" s="66"/>
      <c r="AB292" s="66"/>
      <c r="AC292" s="80"/>
    </row>
    <row r="293" spans="1:68" ht="27" customHeight="1" x14ac:dyDescent="0.25">
      <c r="A293" s="63" t="s">
        <v>504</v>
      </c>
      <c r="B293" s="63" t="s">
        <v>505</v>
      </c>
      <c r="C293" s="36">
        <v>4301060463</v>
      </c>
      <c r="D293" s="657">
        <v>4680115880818</v>
      </c>
      <c r="E293" s="65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9"/>
      <c r="R293" s="659"/>
      <c r="S293" s="659"/>
      <c r="T293" s="660"/>
      <c r="U293" s="39" t="s">
        <v>46</v>
      </c>
      <c r="V293" s="39" t="s">
        <v>46</v>
      </c>
      <c r="W293" s="40" t="s">
        <v>0</v>
      </c>
      <c r="X293" s="58">
        <v>20</v>
      </c>
      <c r="Y293" s="55">
        <f>IFERROR(IF(X293="",0,CEILING((X293/$H293),1)*$H293),"")</f>
        <v>21.599999999999998</v>
      </c>
      <c r="Z293" s="41">
        <f>IFERROR(IF(Y293=0,"",ROUNDUP(Y293/H293,0)*0.00651),"")</f>
        <v>5.8590000000000003E-2</v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22.100000000000005</v>
      </c>
      <c r="BN293" s="78">
        <f>IFERROR(Y293*I293/H293,"0")</f>
        <v>23.868000000000002</v>
      </c>
      <c r="BO293" s="78">
        <f>IFERROR(1/J293*(X293/H293),"0")</f>
        <v>4.5787545787545791E-2</v>
      </c>
      <c r="BP293" s="78">
        <f>IFERROR(1/J293*(Y293/H293),"0")</f>
        <v>4.9450549450549455E-2</v>
      </c>
    </row>
    <row r="294" spans="1:68" ht="27" customHeight="1" x14ac:dyDescent="0.25">
      <c r="A294" s="63" t="s">
        <v>507</v>
      </c>
      <c r="B294" s="63" t="s">
        <v>508</v>
      </c>
      <c r="C294" s="36">
        <v>4301060389</v>
      </c>
      <c r="D294" s="657">
        <v>4680115880801</v>
      </c>
      <c r="E294" s="65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9"/>
      <c r="R294" s="659"/>
      <c r="S294" s="659"/>
      <c r="T294" s="660"/>
      <c r="U294" s="39" t="s">
        <v>46</v>
      </c>
      <c r="V294" s="39" t="s">
        <v>46</v>
      </c>
      <c r="W294" s="40" t="s">
        <v>0</v>
      </c>
      <c r="X294" s="58">
        <v>100</v>
      </c>
      <c r="Y294" s="55">
        <f>IFERROR(IF(X294="",0,CEILING((X294/$H294),1)*$H294),"")</f>
        <v>100.8</v>
      </c>
      <c r="Z294" s="41">
        <f>IFERROR(IF(Y294=0,"",ROUNDUP(Y294/H294,0)*0.00651),"")</f>
        <v>0.27342</v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110.5</v>
      </c>
      <c r="BN294" s="78">
        <f>IFERROR(Y294*I294/H294,"0")</f>
        <v>111.384</v>
      </c>
      <c r="BO294" s="78">
        <f>IFERROR(1/J294*(X294/H294),"0")</f>
        <v>0.22893772893772898</v>
      </c>
      <c r="BP294" s="78">
        <f>IFERROR(1/J294*(Y294/H294),"0")</f>
        <v>0.23076923076923078</v>
      </c>
    </row>
    <row r="295" spans="1:68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2" t="s">
        <v>39</v>
      </c>
      <c r="X295" s="43">
        <f>IFERROR(X293/H293,"0")+IFERROR(X294/H294,"0")</f>
        <v>50.000000000000007</v>
      </c>
      <c r="Y295" s="43">
        <f>IFERROR(Y293/H293,"0")+IFERROR(Y294/H294,"0")</f>
        <v>51</v>
      </c>
      <c r="Z295" s="43">
        <f>IFERROR(IF(Z293="",0,Z293),"0")+IFERROR(IF(Z294="",0,Z294),"0")</f>
        <v>0.33201000000000003</v>
      </c>
      <c r="AA295" s="67"/>
      <c r="AB295" s="67"/>
      <c r="AC295" s="67"/>
    </row>
    <row r="296" spans="1:68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2" t="s">
        <v>0</v>
      </c>
      <c r="X296" s="43">
        <f>IFERROR(SUM(X293:X294),"0")</f>
        <v>120</v>
      </c>
      <c r="Y296" s="43">
        <f>IFERROR(SUM(Y293:Y294),"0")</f>
        <v>122.39999999999999</v>
      </c>
      <c r="Z296" s="42"/>
      <c r="AA296" s="67"/>
      <c r="AB296" s="67"/>
      <c r="AC296" s="67"/>
    </row>
    <row r="297" spans="1:68" ht="16.5" hidden="1" customHeight="1" x14ac:dyDescent="0.25">
      <c r="A297" s="661" t="s">
        <v>510</v>
      </c>
      <c r="B297" s="661"/>
      <c r="C297" s="661"/>
      <c r="D297" s="661"/>
      <c r="E297" s="661"/>
      <c r="F297" s="661"/>
      <c r="G297" s="661"/>
      <c r="H297" s="661"/>
      <c r="I297" s="661"/>
      <c r="J297" s="661"/>
      <c r="K297" s="661"/>
      <c r="L297" s="661"/>
      <c r="M297" s="661"/>
      <c r="N297" s="661"/>
      <c r="O297" s="661"/>
      <c r="P297" s="661"/>
      <c r="Q297" s="661"/>
      <c r="R297" s="661"/>
      <c r="S297" s="661"/>
      <c r="T297" s="661"/>
      <c r="U297" s="661"/>
      <c r="V297" s="661"/>
      <c r="W297" s="661"/>
      <c r="X297" s="661"/>
      <c r="Y297" s="661"/>
      <c r="Z297" s="661"/>
      <c r="AA297" s="65"/>
      <c r="AB297" s="65"/>
      <c r="AC297" s="79"/>
    </row>
    <row r="298" spans="1:68" ht="14.25" hidden="1" customHeight="1" x14ac:dyDescent="0.25">
      <c r="A298" s="662" t="s">
        <v>122</v>
      </c>
      <c r="B298" s="662"/>
      <c r="C298" s="662"/>
      <c r="D298" s="662"/>
      <c r="E298" s="662"/>
      <c r="F298" s="662"/>
      <c r="G298" s="662"/>
      <c r="H298" s="662"/>
      <c r="I298" s="662"/>
      <c r="J298" s="662"/>
      <c r="K298" s="662"/>
      <c r="L298" s="662"/>
      <c r="M298" s="662"/>
      <c r="N298" s="662"/>
      <c r="O298" s="662"/>
      <c r="P298" s="662"/>
      <c r="Q298" s="662"/>
      <c r="R298" s="662"/>
      <c r="S298" s="662"/>
      <c r="T298" s="662"/>
      <c r="U298" s="662"/>
      <c r="V298" s="662"/>
      <c r="W298" s="662"/>
      <c r="X298" s="662"/>
      <c r="Y298" s="662"/>
      <c r="Z298" s="662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7">
        <v>4680115884137</v>
      </c>
      <c r="E299" s="657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9"/>
      <c r="R299" s="659"/>
      <c r="S299" s="659"/>
      <c r="T299" s="660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7">
        <v>4680115884236</v>
      </c>
      <c r="E300" s="657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9"/>
      <c r="R300" s="659"/>
      <c r="S300" s="659"/>
      <c r="T300" s="660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657">
        <v>4680115884175</v>
      </c>
      <c r="E301" s="65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9"/>
      <c r="R301" s="659"/>
      <c r="S301" s="659"/>
      <c r="T301" s="66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4301011824</v>
      </c>
      <c r="D302" s="657">
        <v>4680115884144</v>
      </c>
      <c r="E302" s="657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9"/>
      <c r="R302" s="659"/>
      <c r="S302" s="659"/>
      <c r="T302" s="660"/>
      <c r="U302" s="39" t="s">
        <v>46</v>
      </c>
      <c r="V302" s="39" t="s">
        <v>46</v>
      </c>
      <c r="W302" s="40" t="s">
        <v>0</v>
      </c>
      <c r="X302" s="58">
        <v>16</v>
      </c>
      <c r="Y302" s="55">
        <f t="shared" si="43"/>
        <v>16</v>
      </c>
      <c r="Z302" s="41">
        <f>IFERROR(IF(Y302=0,"",ROUNDUP(Y302/H302,0)*0.00902),"")</f>
        <v>3.6080000000000001E-2</v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16.760000000000002</v>
      </c>
      <c r="BN302" s="78">
        <f t="shared" si="45"/>
        <v>16.760000000000002</v>
      </c>
      <c r="BO302" s="78">
        <f t="shared" si="46"/>
        <v>3.0303030303030304E-2</v>
      </c>
      <c r="BP302" s="78">
        <f t="shared" si="47"/>
        <v>3.0303030303030304E-2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7">
        <v>4680115886551</v>
      </c>
      <c r="E303" s="657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9"/>
      <c r="R303" s="659"/>
      <c r="S303" s="659"/>
      <c r="T303" s="66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7">
        <v>4680115887282</v>
      </c>
      <c r="E304" s="657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9"/>
      <c r="R304" s="659"/>
      <c r="S304" s="659"/>
      <c r="T304" s="66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657">
        <v>4680115884205</v>
      </c>
      <c r="E305" s="65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9"/>
      <c r="R305" s="659"/>
      <c r="S305" s="659"/>
      <c r="T305" s="66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IFERROR(X299/H299,"0")+IFERROR(X300/H300,"0")+IFERROR(X301/H301,"0")+IFERROR(X302/H302,"0")+IFERROR(X303/H303,"0")+IFERROR(X304/H304,"0")+IFERROR(X305/H305,"0")</f>
        <v>4</v>
      </c>
      <c r="Y306" s="43">
        <f>IFERROR(Y299/H299,"0")+IFERROR(Y300/H300,"0")+IFERROR(Y301/H301,"0")+IFERROR(Y302/H302,"0")+IFERROR(Y303/H303,"0")+IFERROR(Y304/H304,"0")+IFERROR(Y305/H305,"0")</f>
        <v>4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3.6080000000000001E-2</v>
      </c>
      <c r="AA306" s="67"/>
      <c r="AB306" s="67"/>
      <c r="AC306" s="67"/>
    </row>
    <row r="307" spans="1:68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IFERROR(SUM(X299:X305),"0")</f>
        <v>16</v>
      </c>
      <c r="Y307" s="43">
        <f>IFERROR(SUM(Y299:Y305),"0")</f>
        <v>16</v>
      </c>
      <c r="Z307" s="42"/>
      <c r="AA307" s="67"/>
      <c r="AB307" s="67"/>
      <c r="AC307" s="67"/>
    </row>
    <row r="308" spans="1:68" ht="14.25" hidden="1" customHeight="1" x14ac:dyDescent="0.25">
      <c r="A308" s="662" t="s">
        <v>158</v>
      </c>
      <c r="B308" s="662"/>
      <c r="C308" s="662"/>
      <c r="D308" s="662"/>
      <c r="E308" s="662"/>
      <c r="F308" s="662"/>
      <c r="G308" s="662"/>
      <c r="H308" s="662"/>
      <c r="I308" s="662"/>
      <c r="J308" s="662"/>
      <c r="K308" s="662"/>
      <c r="L308" s="662"/>
      <c r="M308" s="662"/>
      <c r="N308" s="662"/>
      <c r="O308" s="662"/>
      <c r="P308" s="662"/>
      <c r="Q308" s="662"/>
      <c r="R308" s="662"/>
      <c r="S308" s="662"/>
      <c r="T308" s="662"/>
      <c r="U308" s="662"/>
      <c r="V308" s="662"/>
      <c r="W308" s="662"/>
      <c r="X308" s="662"/>
      <c r="Y308" s="662"/>
      <c r="Z308" s="662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657">
        <v>4680115885981</v>
      </c>
      <c r="E309" s="657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9"/>
      <c r="R309" s="659"/>
      <c r="S309" s="659"/>
      <c r="T309" s="66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2" t="s">
        <v>532</v>
      </c>
      <c r="B312" s="662"/>
      <c r="C312" s="662"/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P312" s="662"/>
      <c r="Q312" s="662"/>
      <c r="R312" s="662"/>
      <c r="S312" s="662"/>
      <c r="T312" s="662"/>
      <c r="U312" s="662"/>
      <c r="V312" s="662"/>
      <c r="W312" s="662"/>
      <c r="X312" s="662"/>
      <c r="Y312" s="662"/>
      <c r="Z312" s="662"/>
      <c r="AA312" s="66"/>
      <c r="AB312" s="66"/>
      <c r="AC312" s="80"/>
    </row>
    <row r="313" spans="1:68" ht="27" customHeight="1" x14ac:dyDescent="0.25">
      <c r="A313" s="63" t="s">
        <v>533</v>
      </c>
      <c r="B313" s="63" t="s">
        <v>534</v>
      </c>
      <c r="C313" s="36">
        <v>4301040362</v>
      </c>
      <c r="D313" s="657">
        <v>4680115886803</v>
      </c>
      <c r="E313" s="657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9"/>
      <c r="R313" s="659"/>
      <c r="S313" s="659"/>
      <c r="T313" s="660"/>
      <c r="U313" s="39" t="s">
        <v>46</v>
      </c>
      <c r="V313" s="39" t="s">
        <v>46</v>
      </c>
      <c r="W313" s="40" t="s">
        <v>0</v>
      </c>
      <c r="X313" s="58">
        <v>12</v>
      </c>
      <c r="Y313" s="55">
        <f>IFERROR(IF(X313="",0,CEILING((X313/$H313),1)*$H313),"")</f>
        <v>12.6</v>
      </c>
      <c r="Z313" s="41">
        <f>IFERROR(IF(Y313=0,"",ROUNDUP(Y313/H313,0)*0.0059),"")</f>
        <v>4.1299999999999996E-2</v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13.166666666666668</v>
      </c>
      <c r="BN313" s="78">
        <f>IFERROR(Y313*I313/H313,"0")</f>
        <v>13.825000000000001</v>
      </c>
      <c r="BO313" s="78">
        <f>IFERROR(1/J313*(X313/H313),"0")</f>
        <v>3.0864197530864192E-2</v>
      </c>
      <c r="BP313" s="78">
        <f>IFERROR(1/J313*(Y313/H313),"0")</f>
        <v>3.2407407407407406E-2</v>
      </c>
    </row>
    <row r="314" spans="1:68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2" t="s">
        <v>39</v>
      </c>
      <c r="X314" s="43">
        <f>IFERROR(X313/H313,"0")</f>
        <v>6.6666666666666661</v>
      </c>
      <c r="Y314" s="43">
        <f>IFERROR(Y313/H313,"0")</f>
        <v>7</v>
      </c>
      <c r="Z314" s="43">
        <f>IFERROR(IF(Z313="",0,Z313),"0")</f>
        <v>4.1299999999999996E-2</v>
      </c>
      <c r="AA314" s="67"/>
      <c r="AB314" s="67"/>
      <c r="AC314" s="67"/>
    </row>
    <row r="315" spans="1:68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2" t="s">
        <v>0</v>
      </c>
      <c r="X315" s="43">
        <f>IFERROR(SUM(X313:X313),"0")</f>
        <v>12</v>
      </c>
      <c r="Y315" s="43">
        <f>IFERROR(SUM(Y313:Y313),"0")</f>
        <v>12.6</v>
      </c>
      <c r="Z315" s="42"/>
      <c r="AA315" s="67"/>
      <c r="AB315" s="67"/>
      <c r="AC315" s="67"/>
    </row>
    <row r="316" spans="1:68" ht="14.25" hidden="1" customHeight="1" x14ac:dyDescent="0.25">
      <c r="A316" s="662" t="s">
        <v>349</v>
      </c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2"/>
      <c r="P316" s="662"/>
      <c r="Q316" s="662"/>
      <c r="R316" s="662"/>
      <c r="S316" s="662"/>
      <c r="T316" s="662"/>
      <c r="U316" s="662"/>
      <c r="V316" s="662"/>
      <c r="W316" s="662"/>
      <c r="X316" s="662"/>
      <c r="Y316" s="662"/>
      <c r="Z316" s="662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7">
        <v>4680115886704</v>
      </c>
      <c r="E317" s="657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9"/>
      <c r="R317" s="659"/>
      <c r="S317" s="659"/>
      <c r="T317" s="66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539</v>
      </c>
      <c r="B318" s="63" t="s">
        <v>540</v>
      </c>
      <c r="C318" s="36">
        <v>4301041008</v>
      </c>
      <c r="D318" s="657">
        <v>4680115886681</v>
      </c>
      <c r="E318" s="65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9"/>
      <c r="R318" s="659"/>
      <c r="S318" s="659"/>
      <c r="T318" s="660"/>
      <c r="U318" s="39" t="s">
        <v>46</v>
      </c>
      <c r="V318" s="39" t="s">
        <v>46</v>
      </c>
      <c r="W318" s="40" t="s">
        <v>0</v>
      </c>
      <c r="X318" s="58">
        <v>12</v>
      </c>
      <c r="Y318" s="55">
        <f>IFERROR(IF(X318="",0,CEILING((X318/$H318),1)*$H318),"")</f>
        <v>12.6</v>
      </c>
      <c r="Z318" s="41">
        <f>IFERROR(IF(Y318=0,"",ROUNDUP(Y318/H318,0)*0.0059),"")</f>
        <v>4.1299999999999996E-2</v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13.166666666666668</v>
      </c>
      <c r="BN318" s="78">
        <f>IFERROR(Y318*I318/H318,"0")</f>
        <v>13.825000000000001</v>
      </c>
      <c r="BO318" s="78">
        <f>IFERROR(1/J318*(X318/H318),"0")</f>
        <v>3.0864197530864192E-2</v>
      </c>
      <c r="BP318" s="78">
        <f>IFERROR(1/J318*(Y318/H318),"0")</f>
        <v>3.2407407407407406E-2</v>
      </c>
    </row>
    <row r="319" spans="1:68" ht="27" customHeight="1" x14ac:dyDescent="0.25">
      <c r="A319" s="63" t="s">
        <v>541</v>
      </c>
      <c r="B319" s="63" t="s">
        <v>542</v>
      </c>
      <c r="C319" s="36">
        <v>4301041007</v>
      </c>
      <c r="D319" s="657">
        <v>4680115886735</v>
      </c>
      <c r="E319" s="657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9"/>
      <c r="R319" s="659"/>
      <c r="S319" s="659"/>
      <c r="T319" s="660"/>
      <c r="U319" s="39" t="s">
        <v>46</v>
      </c>
      <c r="V319" s="39" t="s">
        <v>46</v>
      </c>
      <c r="W319" s="40" t="s">
        <v>0</v>
      </c>
      <c r="X319" s="58">
        <v>5</v>
      </c>
      <c r="Y319" s="55">
        <f>IFERROR(IF(X319="",0,CEILING((X319/$H319),1)*$H319),"")</f>
        <v>5.4</v>
      </c>
      <c r="Z319" s="41">
        <f>IFERROR(IF(Y319=0,"",ROUNDUP(Y319/H319,0)*0.0059),"")</f>
        <v>3.5400000000000001E-2</v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6.0555555555555554</v>
      </c>
      <c r="BN319" s="78">
        <f>IFERROR(Y319*I319/H319,"0")</f>
        <v>6.5400000000000009</v>
      </c>
      <c r="BO319" s="78">
        <f>IFERROR(1/J319*(X319/H319),"0")</f>
        <v>2.5720164609053495E-2</v>
      </c>
      <c r="BP319" s="78">
        <f>IFERROR(1/J319*(Y319/H319),"0")</f>
        <v>2.7777777777777776E-2</v>
      </c>
    </row>
    <row r="320" spans="1:68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2" t="s">
        <v>39</v>
      </c>
      <c r="X320" s="43">
        <f>IFERROR(X317/H317,"0")+IFERROR(X318/H318,"0")+IFERROR(X319/H319,"0")</f>
        <v>12.222222222222221</v>
      </c>
      <c r="Y320" s="43">
        <f>IFERROR(Y317/H317,"0")+IFERROR(Y318/H318,"0")+IFERROR(Y319/H319,"0")</f>
        <v>13</v>
      </c>
      <c r="Z320" s="43">
        <f>IFERROR(IF(Z317="",0,Z317),"0")+IFERROR(IF(Z318="",0,Z318),"0")+IFERROR(IF(Z319="",0,Z319),"0")</f>
        <v>7.669999999999999E-2</v>
      </c>
      <c r="AA320" s="67"/>
      <c r="AB320" s="67"/>
      <c r="AC320" s="67"/>
    </row>
    <row r="321" spans="1:68" x14ac:dyDescent="0.2">
      <c r="A321" s="651"/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2"/>
      <c r="P321" s="648" t="s">
        <v>40</v>
      </c>
      <c r="Q321" s="649"/>
      <c r="R321" s="649"/>
      <c r="S321" s="649"/>
      <c r="T321" s="649"/>
      <c r="U321" s="649"/>
      <c r="V321" s="650"/>
      <c r="W321" s="42" t="s">
        <v>0</v>
      </c>
      <c r="X321" s="43">
        <f>IFERROR(SUM(X317:X319),"0")</f>
        <v>17</v>
      </c>
      <c r="Y321" s="43">
        <f>IFERROR(SUM(Y317:Y319),"0")</f>
        <v>18</v>
      </c>
      <c r="Z321" s="42"/>
      <c r="AA321" s="67"/>
      <c r="AB321" s="67"/>
      <c r="AC321" s="67"/>
    </row>
    <row r="322" spans="1:68" ht="16.5" hidden="1" customHeight="1" x14ac:dyDescent="0.25">
      <c r="A322" s="661" t="s">
        <v>543</v>
      </c>
      <c r="B322" s="661"/>
      <c r="C322" s="661"/>
      <c r="D322" s="661"/>
      <c r="E322" s="661"/>
      <c r="F322" s="661"/>
      <c r="G322" s="661"/>
      <c r="H322" s="661"/>
      <c r="I322" s="661"/>
      <c r="J322" s="661"/>
      <c r="K322" s="661"/>
      <c r="L322" s="661"/>
      <c r="M322" s="661"/>
      <c r="N322" s="661"/>
      <c r="O322" s="661"/>
      <c r="P322" s="661"/>
      <c r="Q322" s="661"/>
      <c r="R322" s="661"/>
      <c r="S322" s="661"/>
      <c r="T322" s="661"/>
      <c r="U322" s="661"/>
      <c r="V322" s="661"/>
      <c r="W322" s="661"/>
      <c r="X322" s="661"/>
      <c r="Y322" s="661"/>
      <c r="Z322" s="661"/>
      <c r="AA322" s="65"/>
      <c r="AB322" s="65"/>
      <c r="AC322" s="79"/>
    </row>
    <row r="323" spans="1:68" ht="14.25" hidden="1" customHeight="1" x14ac:dyDescent="0.25">
      <c r="A323" s="662" t="s">
        <v>122</v>
      </c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2"/>
      <c r="P323" s="662"/>
      <c r="Q323" s="662"/>
      <c r="R323" s="662"/>
      <c r="S323" s="662"/>
      <c r="T323" s="662"/>
      <c r="U323" s="662"/>
      <c r="V323" s="662"/>
      <c r="W323" s="662"/>
      <c r="X323" s="662"/>
      <c r="Y323" s="662"/>
      <c r="Z323" s="662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7">
        <v>4680115885837</v>
      </c>
      <c r="E324" s="657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9"/>
      <c r="R324" s="659"/>
      <c r="S324" s="659"/>
      <c r="T324" s="660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657">
        <v>4680115887237</v>
      </c>
      <c r="E325" s="657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9"/>
      <c r="R325" s="659"/>
      <c r="S325" s="659"/>
      <c r="T325" s="66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657">
        <v>4680115885806</v>
      </c>
      <c r="E326" s="65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9"/>
      <c r="R326" s="659"/>
      <c r="S326" s="659"/>
      <c r="T326" s="66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7">
        <v>4680115885844</v>
      </c>
      <c r="E327" s="657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9"/>
      <c r="R327" s="659"/>
      <c r="S327" s="659"/>
      <c r="T327" s="66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657">
        <v>4680115885820</v>
      </c>
      <c r="E328" s="657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9"/>
      <c r="R328" s="659"/>
      <c r="S328" s="659"/>
      <c r="T328" s="66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51"/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2"/>
      <c r="P330" s="648" t="s">
        <v>40</v>
      </c>
      <c r="Q330" s="649"/>
      <c r="R330" s="649"/>
      <c r="S330" s="649"/>
      <c r="T330" s="649"/>
      <c r="U330" s="649"/>
      <c r="V330" s="650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61" t="s">
        <v>559</v>
      </c>
      <c r="B331" s="661"/>
      <c r="C331" s="661"/>
      <c r="D331" s="661"/>
      <c r="E331" s="661"/>
      <c r="F331" s="661"/>
      <c r="G331" s="661"/>
      <c r="H331" s="661"/>
      <c r="I331" s="661"/>
      <c r="J331" s="661"/>
      <c r="K331" s="661"/>
      <c r="L331" s="661"/>
      <c r="M331" s="661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5"/>
      <c r="AB331" s="65"/>
      <c r="AC331" s="79"/>
    </row>
    <row r="332" spans="1:68" ht="14.25" hidden="1" customHeight="1" x14ac:dyDescent="0.25">
      <c r="A332" s="662" t="s">
        <v>86</v>
      </c>
      <c r="B332" s="662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  <c r="Z332" s="662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7">
        <v>4680115886186</v>
      </c>
      <c r="E333" s="657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9"/>
      <c r="R333" s="659"/>
      <c r="S333" s="659"/>
      <c r="T333" s="66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657">
        <v>4680115881228</v>
      </c>
      <c r="E334" s="657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9"/>
      <c r="R334" s="659"/>
      <c r="S334" s="659"/>
      <c r="T334" s="66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566</v>
      </c>
      <c r="B335" s="63" t="s">
        <v>567</v>
      </c>
      <c r="C335" s="36">
        <v>4301051388</v>
      </c>
      <c r="D335" s="657">
        <v>4680115881211</v>
      </c>
      <c r="E335" s="65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9"/>
      <c r="R335" s="659"/>
      <c r="S335" s="659"/>
      <c r="T335" s="660"/>
      <c r="U335" s="39" t="s">
        <v>46</v>
      </c>
      <c r="V335" s="39" t="s">
        <v>46</v>
      </c>
      <c r="W335" s="40" t="s">
        <v>0</v>
      </c>
      <c r="X335" s="58">
        <v>400</v>
      </c>
      <c r="Y335" s="55">
        <f>IFERROR(IF(X335="",0,CEILING((X335/$H335),1)*$H335),"")</f>
        <v>400.8</v>
      </c>
      <c r="Z335" s="41">
        <f>IFERROR(IF(Y335=0,"",ROUNDUP(Y335/H335,0)*0.00651),"")</f>
        <v>1.08717</v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430</v>
      </c>
      <c r="BN335" s="78">
        <f>IFERROR(Y335*I335/H335,"0")</f>
        <v>430.86000000000007</v>
      </c>
      <c r="BO335" s="78">
        <f>IFERROR(1/J335*(X335/H335),"0")</f>
        <v>0.91575091575091594</v>
      </c>
      <c r="BP335" s="78">
        <f>IFERROR(1/J335*(Y335/H335),"0")</f>
        <v>0.91758241758241765</v>
      </c>
    </row>
    <row r="336" spans="1:68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39</v>
      </c>
      <c r="X336" s="43">
        <f>IFERROR(X333/H333,"0")+IFERROR(X334/H334,"0")+IFERROR(X335/H335,"0")</f>
        <v>166.66666666666669</v>
      </c>
      <c r="Y336" s="43">
        <f>IFERROR(Y333/H333,"0")+IFERROR(Y334/H334,"0")+IFERROR(Y335/H335,"0")</f>
        <v>167</v>
      </c>
      <c r="Z336" s="43">
        <f>IFERROR(IF(Z333="",0,Z333),"0")+IFERROR(IF(Z334="",0,Z334),"0")+IFERROR(IF(Z335="",0,Z335),"0")</f>
        <v>1.08717</v>
      </c>
      <c r="AA336" s="67"/>
      <c r="AB336" s="67"/>
      <c r="AC336" s="67"/>
    </row>
    <row r="337" spans="1:68" x14ac:dyDescent="0.2">
      <c r="A337" s="651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2"/>
      <c r="P337" s="648" t="s">
        <v>40</v>
      </c>
      <c r="Q337" s="649"/>
      <c r="R337" s="649"/>
      <c r="S337" s="649"/>
      <c r="T337" s="649"/>
      <c r="U337" s="649"/>
      <c r="V337" s="650"/>
      <c r="W337" s="42" t="s">
        <v>0</v>
      </c>
      <c r="X337" s="43">
        <f>IFERROR(SUM(X333:X335),"0")</f>
        <v>400</v>
      </c>
      <c r="Y337" s="43">
        <f>IFERROR(SUM(Y333:Y335),"0")</f>
        <v>400.8</v>
      </c>
      <c r="Z337" s="42"/>
      <c r="AA337" s="67"/>
      <c r="AB337" s="67"/>
      <c r="AC337" s="67"/>
    </row>
    <row r="338" spans="1:68" ht="16.5" hidden="1" customHeight="1" x14ac:dyDescent="0.25">
      <c r="A338" s="661" t="s">
        <v>568</v>
      </c>
      <c r="B338" s="661"/>
      <c r="C338" s="661"/>
      <c r="D338" s="661"/>
      <c r="E338" s="661"/>
      <c r="F338" s="661"/>
      <c r="G338" s="661"/>
      <c r="H338" s="661"/>
      <c r="I338" s="661"/>
      <c r="J338" s="661"/>
      <c r="K338" s="661"/>
      <c r="L338" s="661"/>
      <c r="M338" s="661"/>
      <c r="N338" s="661"/>
      <c r="O338" s="661"/>
      <c r="P338" s="661"/>
      <c r="Q338" s="661"/>
      <c r="R338" s="661"/>
      <c r="S338" s="661"/>
      <c r="T338" s="661"/>
      <c r="U338" s="661"/>
      <c r="V338" s="661"/>
      <c r="W338" s="661"/>
      <c r="X338" s="661"/>
      <c r="Y338" s="661"/>
      <c r="Z338" s="661"/>
      <c r="AA338" s="65"/>
      <c r="AB338" s="65"/>
      <c r="AC338" s="79"/>
    </row>
    <row r="339" spans="1:68" ht="14.25" hidden="1" customHeight="1" x14ac:dyDescent="0.25">
      <c r="A339" s="662" t="s">
        <v>77</v>
      </c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2"/>
      <c r="P339" s="662"/>
      <c r="Q339" s="662"/>
      <c r="R339" s="662"/>
      <c r="S339" s="662"/>
      <c r="T339" s="662"/>
      <c r="U339" s="662"/>
      <c r="V339" s="662"/>
      <c r="W339" s="662"/>
      <c r="X339" s="662"/>
      <c r="Y339" s="662"/>
      <c r="Z339" s="662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7">
        <v>4680115888319</v>
      </c>
      <c r="E340" s="657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9"/>
      <c r="R340" s="659"/>
      <c r="S340" s="659"/>
      <c r="T340" s="66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7">
        <v>4680115884700</v>
      </c>
      <c r="E341" s="657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9"/>
      <c r="R341" s="659"/>
      <c r="S341" s="659"/>
      <c r="T341" s="66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7">
        <v>4680115880344</v>
      </c>
      <c r="E342" s="657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9"/>
      <c r="R342" s="659"/>
      <c r="S342" s="659"/>
      <c r="T342" s="66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7">
        <v>4680115886919</v>
      </c>
      <c r="E343" s="657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9"/>
      <c r="R343" s="659"/>
      <c r="S343" s="659"/>
      <c r="T343" s="66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7">
        <v>4680115883970</v>
      </c>
      <c r="E344" s="657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9"/>
      <c r="R344" s="659"/>
      <c r="S344" s="659"/>
      <c r="T344" s="66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51"/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2"/>
      <c r="P345" s="648" t="s">
        <v>40</v>
      </c>
      <c r="Q345" s="649"/>
      <c r="R345" s="649"/>
      <c r="S345" s="649"/>
      <c r="T345" s="649"/>
      <c r="U345" s="649"/>
      <c r="V345" s="65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51"/>
      <c r="B346" s="651"/>
      <c r="C346" s="651"/>
      <c r="D346" s="651"/>
      <c r="E346" s="651"/>
      <c r="F346" s="651"/>
      <c r="G346" s="651"/>
      <c r="H346" s="651"/>
      <c r="I346" s="651"/>
      <c r="J346" s="651"/>
      <c r="K346" s="651"/>
      <c r="L346" s="651"/>
      <c r="M346" s="651"/>
      <c r="N346" s="651"/>
      <c r="O346" s="652"/>
      <c r="P346" s="648" t="s">
        <v>40</v>
      </c>
      <c r="Q346" s="649"/>
      <c r="R346" s="649"/>
      <c r="S346" s="649"/>
      <c r="T346" s="649"/>
      <c r="U346" s="649"/>
      <c r="V346" s="65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2" t="s">
        <v>86</v>
      </c>
      <c r="B347" s="662"/>
      <c r="C347" s="662"/>
      <c r="D347" s="662"/>
      <c r="E347" s="662"/>
      <c r="F347" s="662"/>
      <c r="G347" s="662"/>
      <c r="H347" s="662"/>
      <c r="I347" s="662"/>
      <c r="J347" s="662"/>
      <c r="K347" s="662"/>
      <c r="L347" s="662"/>
      <c r="M347" s="662"/>
      <c r="N347" s="662"/>
      <c r="O347" s="662"/>
      <c r="P347" s="662"/>
      <c r="Q347" s="662"/>
      <c r="R347" s="662"/>
      <c r="S347" s="662"/>
      <c r="T347" s="662"/>
      <c r="U347" s="662"/>
      <c r="V347" s="662"/>
      <c r="W347" s="662"/>
      <c r="X347" s="662"/>
      <c r="Y347" s="662"/>
      <c r="Z347" s="662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657">
        <v>4680115884618</v>
      </c>
      <c r="E348" s="657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9"/>
      <c r="R348" s="659"/>
      <c r="S348" s="659"/>
      <c r="T348" s="66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7">
        <v>4680115887114</v>
      </c>
      <c r="E349" s="657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9"/>
      <c r="R349" s="659"/>
      <c r="S349" s="659"/>
      <c r="T349" s="66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61" t="s">
        <v>589</v>
      </c>
      <c r="B352" s="661"/>
      <c r="C352" s="661"/>
      <c r="D352" s="661"/>
      <c r="E352" s="661"/>
      <c r="F352" s="661"/>
      <c r="G352" s="661"/>
      <c r="H352" s="661"/>
      <c r="I352" s="661"/>
      <c r="J352" s="661"/>
      <c r="K352" s="661"/>
      <c r="L352" s="661"/>
      <c r="M352" s="661"/>
      <c r="N352" s="661"/>
      <c r="O352" s="661"/>
      <c r="P352" s="661"/>
      <c r="Q352" s="661"/>
      <c r="R352" s="661"/>
      <c r="S352" s="661"/>
      <c r="T352" s="661"/>
      <c r="U352" s="661"/>
      <c r="V352" s="661"/>
      <c r="W352" s="661"/>
      <c r="X352" s="661"/>
      <c r="Y352" s="661"/>
      <c r="Z352" s="661"/>
      <c r="AA352" s="65"/>
      <c r="AB352" s="65"/>
      <c r="AC352" s="79"/>
    </row>
    <row r="353" spans="1:68" ht="14.25" hidden="1" customHeight="1" x14ac:dyDescent="0.25">
      <c r="A353" s="662" t="s">
        <v>122</v>
      </c>
      <c r="B353" s="662"/>
      <c r="C353" s="662"/>
      <c r="D353" s="662"/>
      <c r="E353" s="662"/>
      <c r="F353" s="662"/>
      <c r="G353" s="662"/>
      <c r="H353" s="662"/>
      <c r="I353" s="662"/>
      <c r="J353" s="662"/>
      <c r="K353" s="662"/>
      <c r="L353" s="662"/>
      <c r="M353" s="662"/>
      <c r="N353" s="662"/>
      <c r="O353" s="662"/>
      <c r="P353" s="662"/>
      <c r="Q353" s="662"/>
      <c r="R353" s="662"/>
      <c r="S353" s="662"/>
      <c r="T353" s="662"/>
      <c r="U353" s="662"/>
      <c r="V353" s="662"/>
      <c r="W353" s="662"/>
      <c r="X353" s="662"/>
      <c r="Y353" s="662"/>
      <c r="Z353" s="662"/>
      <c r="AA353" s="66"/>
      <c r="AB353" s="66"/>
      <c r="AC353" s="80"/>
    </row>
    <row r="354" spans="1:68" ht="27" customHeight="1" x14ac:dyDescent="0.25">
      <c r="A354" s="63" t="s">
        <v>590</v>
      </c>
      <c r="B354" s="63" t="s">
        <v>591</v>
      </c>
      <c r="C354" s="36">
        <v>4301012324</v>
      </c>
      <c r="D354" s="657">
        <v>4680115887947</v>
      </c>
      <c r="E354" s="657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9"/>
      <c r="R354" s="659"/>
      <c r="S354" s="659"/>
      <c r="T354" s="660"/>
      <c r="U354" s="39" t="s">
        <v>46</v>
      </c>
      <c r="V354" s="39" t="s">
        <v>46</v>
      </c>
      <c r="W354" s="40" t="s">
        <v>0</v>
      </c>
      <c r="X354" s="58">
        <v>200</v>
      </c>
      <c r="Y354" s="55">
        <f>IFERROR(IF(X354="",0,CEILING((X354/$H354),1)*$H354),"")</f>
        <v>202.79999999999998</v>
      </c>
      <c r="Z354" s="41">
        <f>IFERROR(IF(Y354=0,"",ROUNDUP(Y354/H354,0)*0.01898),"")</f>
        <v>0.49348000000000003</v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210.51282051282055</v>
      </c>
      <c r="BN354" s="78">
        <f>IFERROR(Y354*I354/H354,"0")</f>
        <v>213.46</v>
      </c>
      <c r="BO354" s="78">
        <f>IFERROR(1/J354*(X354/H354),"0")</f>
        <v>0.40064102564102566</v>
      </c>
      <c r="BP354" s="78">
        <f>IFERROR(1/J354*(Y354/H354),"0")</f>
        <v>0.40625</v>
      </c>
    </row>
    <row r="355" spans="1:68" ht="27" customHeight="1" x14ac:dyDescent="0.25">
      <c r="A355" s="63" t="s">
        <v>592</v>
      </c>
      <c r="B355" s="63" t="s">
        <v>593</v>
      </c>
      <c r="C355" s="36">
        <v>4301012325</v>
      </c>
      <c r="D355" s="657">
        <v>4680115887978</v>
      </c>
      <c r="E355" s="657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9"/>
      <c r="R355" s="659"/>
      <c r="S355" s="659"/>
      <c r="T355" s="660"/>
      <c r="U355" s="39" t="s">
        <v>46</v>
      </c>
      <c r="V355" s="39" t="s">
        <v>46</v>
      </c>
      <c r="W355" s="40" t="s">
        <v>0</v>
      </c>
      <c r="X355" s="58">
        <v>220</v>
      </c>
      <c r="Y355" s="55">
        <f>IFERROR(IF(X355="",0,CEILING((X355/$H355),1)*$H355),"")</f>
        <v>226.2</v>
      </c>
      <c r="Z355" s="41">
        <f>IFERROR(IF(Y355=0,"",ROUNDUP(Y355/H355,0)*0.01898),"")</f>
        <v>0.55042000000000002</v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231.5641025641026</v>
      </c>
      <c r="BN355" s="78">
        <f>IFERROR(Y355*I355/H355,"0")</f>
        <v>238.09</v>
      </c>
      <c r="BO355" s="78">
        <f>IFERROR(1/J355*(X355/H355),"0")</f>
        <v>0.44070512820512819</v>
      </c>
      <c r="BP355" s="78">
        <f>IFERROR(1/J355*(Y355/H355),"0")</f>
        <v>0.453125</v>
      </c>
    </row>
    <row r="356" spans="1:68" ht="27" customHeight="1" x14ac:dyDescent="0.25">
      <c r="A356" s="63" t="s">
        <v>595</v>
      </c>
      <c r="B356" s="63" t="s">
        <v>596</v>
      </c>
      <c r="C356" s="36">
        <v>4301012327</v>
      </c>
      <c r="D356" s="657">
        <v>4680115887992</v>
      </c>
      <c r="E356" s="65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9"/>
      <c r="R356" s="659"/>
      <c r="S356" s="659"/>
      <c r="T356" s="660"/>
      <c r="U356" s="39" t="s">
        <v>46</v>
      </c>
      <c r="V356" s="39" t="s">
        <v>46</v>
      </c>
      <c r="W356" s="40" t="s">
        <v>0</v>
      </c>
      <c r="X356" s="58">
        <v>80</v>
      </c>
      <c r="Y356" s="55">
        <f>IFERROR(IF(X356="",0,CEILING((X356/$H356),1)*$H356),"")</f>
        <v>85.8</v>
      </c>
      <c r="Z356" s="41">
        <f>IFERROR(IF(Y356=0,"",ROUNDUP(Y356/H356,0)*0.01898),"")</f>
        <v>0.20877999999999999</v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84.205128205128219</v>
      </c>
      <c r="BN356" s="78">
        <f>IFERROR(Y356*I356/H356,"0")</f>
        <v>90.31</v>
      </c>
      <c r="BO356" s="78">
        <f>IFERROR(1/J356*(X356/H356),"0")</f>
        <v>0.16025641025641027</v>
      </c>
      <c r="BP356" s="78">
        <f>IFERROR(1/J356*(Y356/H356),"0")</f>
        <v>0.171875</v>
      </c>
    </row>
    <row r="357" spans="1:68" x14ac:dyDescent="0.2">
      <c r="A357" s="651"/>
      <c r="B357" s="651"/>
      <c r="C357" s="651"/>
      <c r="D357" s="651"/>
      <c r="E357" s="651"/>
      <c r="F357" s="651"/>
      <c r="G357" s="651"/>
      <c r="H357" s="651"/>
      <c r="I357" s="651"/>
      <c r="J357" s="651"/>
      <c r="K357" s="651"/>
      <c r="L357" s="651"/>
      <c r="M357" s="651"/>
      <c r="N357" s="651"/>
      <c r="O357" s="652"/>
      <c r="P357" s="648" t="s">
        <v>40</v>
      </c>
      <c r="Q357" s="649"/>
      <c r="R357" s="649"/>
      <c r="S357" s="649"/>
      <c r="T357" s="649"/>
      <c r="U357" s="649"/>
      <c r="V357" s="650"/>
      <c r="W357" s="42" t="s">
        <v>39</v>
      </c>
      <c r="X357" s="43">
        <f>IFERROR(X354/H354,"0")+IFERROR(X355/H355,"0")+IFERROR(X356/H356,"0")</f>
        <v>64.102564102564102</v>
      </c>
      <c r="Y357" s="43">
        <f>IFERROR(Y354/H354,"0")+IFERROR(Y355/H355,"0")+IFERROR(Y356/H356,"0")</f>
        <v>66</v>
      </c>
      <c r="Z357" s="43">
        <f>IFERROR(IF(Z354="",0,Z354),"0")+IFERROR(IF(Z355="",0,Z355),"0")+IFERROR(IF(Z356="",0,Z356),"0")</f>
        <v>1.25268</v>
      </c>
      <c r="AA357" s="67"/>
      <c r="AB357" s="67"/>
      <c r="AC357" s="67"/>
    </row>
    <row r="358" spans="1:68" x14ac:dyDescent="0.2">
      <c r="A358" s="651"/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2"/>
      <c r="P358" s="648" t="s">
        <v>40</v>
      </c>
      <c r="Q358" s="649"/>
      <c r="R358" s="649"/>
      <c r="S358" s="649"/>
      <c r="T358" s="649"/>
      <c r="U358" s="649"/>
      <c r="V358" s="650"/>
      <c r="W358" s="42" t="s">
        <v>0</v>
      </c>
      <c r="X358" s="43">
        <f>IFERROR(SUM(X354:X356),"0")</f>
        <v>500</v>
      </c>
      <c r="Y358" s="43">
        <f>IFERROR(SUM(Y354:Y356),"0")</f>
        <v>514.79999999999995</v>
      </c>
      <c r="Z358" s="42"/>
      <c r="AA358" s="67"/>
      <c r="AB358" s="67"/>
      <c r="AC358" s="67"/>
    </row>
    <row r="359" spans="1:68" ht="16.5" hidden="1" customHeight="1" x14ac:dyDescent="0.25">
      <c r="A359" s="661" t="s">
        <v>598</v>
      </c>
      <c r="B359" s="661"/>
      <c r="C359" s="661"/>
      <c r="D359" s="661"/>
      <c r="E359" s="661"/>
      <c r="F359" s="661"/>
      <c r="G359" s="661"/>
      <c r="H359" s="661"/>
      <c r="I359" s="661"/>
      <c r="J359" s="661"/>
      <c r="K359" s="661"/>
      <c r="L359" s="661"/>
      <c r="M359" s="661"/>
      <c r="N359" s="661"/>
      <c r="O359" s="661"/>
      <c r="P359" s="661"/>
      <c r="Q359" s="661"/>
      <c r="R359" s="661"/>
      <c r="S359" s="661"/>
      <c r="T359" s="661"/>
      <c r="U359" s="661"/>
      <c r="V359" s="661"/>
      <c r="W359" s="661"/>
      <c r="X359" s="661"/>
      <c r="Y359" s="661"/>
      <c r="Z359" s="661"/>
      <c r="AA359" s="65"/>
      <c r="AB359" s="65"/>
      <c r="AC359" s="79"/>
    </row>
    <row r="360" spans="1:68" ht="14.25" hidden="1" customHeight="1" x14ac:dyDescent="0.25">
      <c r="A360" s="662" t="s">
        <v>122</v>
      </c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2"/>
      <c r="P360" s="662"/>
      <c r="Q360" s="662"/>
      <c r="R360" s="662"/>
      <c r="S360" s="662"/>
      <c r="T360" s="662"/>
      <c r="U360" s="662"/>
      <c r="V360" s="662"/>
      <c r="W360" s="662"/>
      <c r="X360" s="662"/>
      <c r="Y360" s="662"/>
      <c r="Z360" s="662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657">
        <v>4607091386004</v>
      </c>
      <c r="E361" s="657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9"/>
      <c r="R361" s="659"/>
      <c r="S361" s="659"/>
      <c r="T361" s="660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657">
        <v>4680115887190</v>
      </c>
      <c r="E362" s="657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9"/>
      <c r="R362" s="659"/>
      <c r="S362" s="659"/>
      <c r="T362" s="66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657">
        <v>4680115887138</v>
      </c>
      <c r="E363" s="65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9"/>
      <c r="R363" s="659"/>
      <c r="S363" s="659"/>
      <c r="T363" s="66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657">
        <v>4680115885554</v>
      </c>
      <c r="E364" s="65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7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9"/>
      <c r="R364" s="659"/>
      <c r="S364" s="659"/>
      <c r="T364" s="66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657">
        <v>4680115887220</v>
      </c>
      <c r="E365" s="657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9"/>
      <c r="R365" s="659"/>
      <c r="S365" s="659"/>
      <c r="T365" s="66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657">
        <v>4680115885608</v>
      </c>
      <c r="E366" s="65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9"/>
      <c r="R366" s="659"/>
      <c r="S366" s="659"/>
      <c r="T366" s="66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hidden="1" x14ac:dyDescent="0.2">
      <c r="A367" s="651"/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2"/>
      <c r="P367" s="648" t="s">
        <v>40</v>
      </c>
      <c r="Q367" s="649"/>
      <c r="R367" s="649"/>
      <c r="S367" s="649"/>
      <c r="T367" s="649"/>
      <c r="U367" s="649"/>
      <c r="V367" s="650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651"/>
      <c r="B368" s="651"/>
      <c r="C368" s="651"/>
      <c r="D368" s="651"/>
      <c r="E368" s="651"/>
      <c r="F368" s="651"/>
      <c r="G368" s="651"/>
      <c r="H368" s="651"/>
      <c r="I368" s="651"/>
      <c r="J368" s="651"/>
      <c r="K368" s="651"/>
      <c r="L368" s="651"/>
      <c r="M368" s="651"/>
      <c r="N368" s="651"/>
      <c r="O368" s="652"/>
      <c r="P368" s="648" t="s">
        <v>40</v>
      </c>
      <c r="Q368" s="649"/>
      <c r="R368" s="649"/>
      <c r="S368" s="649"/>
      <c r="T368" s="649"/>
      <c r="U368" s="649"/>
      <c r="V368" s="650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662" t="s">
        <v>77</v>
      </c>
      <c r="B369" s="662"/>
      <c r="C369" s="662"/>
      <c r="D369" s="662"/>
      <c r="E369" s="662"/>
      <c r="F369" s="662"/>
      <c r="G369" s="662"/>
      <c r="H369" s="662"/>
      <c r="I369" s="662"/>
      <c r="J369" s="662"/>
      <c r="K369" s="662"/>
      <c r="L369" s="662"/>
      <c r="M369" s="662"/>
      <c r="N369" s="662"/>
      <c r="O369" s="662"/>
      <c r="P369" s="662"/>
      <c r="Q369" s="662"/>
      <c r="R369" s="662"/>
      <c r="S369" s="662"/>
      <c r="T369" s="662"/>
      <c r="U369" s="662"/>
      <c r="V369" s="662"/>
      <c r="W369" s="662"/>
      <c r="X369" s="662"/>
      <c r="Y369" s="662"/>
      <c r="Z369" s="66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657">
        <v>4607091387193</v>
      </c>
      <c r="E370" s="657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9"/>
      <c r="R370" s="659"/>
      <c r="S370" s="659"/>
      <c r="T370" s="66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657">
        <v>4607091387230</v>
      </c>
      <c r="E371" s="65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9"/>
      <c r="R371" s="659"/>
      <c r="S371" s="659"/>
      <c r="T371" s="66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657">
        <v>4607091387292</v>
      </c>
      <c r="E372" s="657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9"/>
      <c r="R372" s="659"/>
      <c r="S372" s="659"/>
      <c r="T372" s="66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657">
        <v>4607091387285</v>
      </c>
      <c r="E373" s="657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9"/>
      <c r="R373" s="659"/>
      <c r="S373" s="659"/>
      <c r="T373" s="66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4301031305</v>
      </c>
      <c r="D374" s="657">
        <v>4607091389845</v>
      </c>
      <c r="E374" s="657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9"/>
      <c r="R374" s="659"/>
      <c r="S374" s="659"/>
      <c r="T374" s="660"/>
      <c r="U374" s="39" t="s">
        <v>46</v>
      </c>
      <c r="V374" s="39" t="s">
        <v>46</v>
      </c>
      <c r="W374" s="40" t="s">
        <v>0</v>
      </c>
      <c r="X374" s="58">
        <v>70</v>
      </c>
      <c r="Y374" s="55">
        <f t="shared" si="53"/>
        <v>71.400000000000006</v>
      </c>
      <c r="Z374" s="41">
        <f>IFERROR(IF(Y374=0,"",ROUNDUP(Y374/H374,0)*0.00502),"")</f>
        <v>0.17068</v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73.333333333333329</v>
      </c>
      <c r="BN374" s="78">
        <f t="shared" si="55"/>
        <v>74.8</v>
      </c>
      <c r="BO374" s="78">
        <f t="shared" si="56"/>
        <v>0.14245014245014245</v>
      </c>
      <c r="BP374" s="78">
        <f t="shared" si="57"/>
        <v>0.14529914529914531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657">
        <v>4680115887442</v>
      </c>
      <c r="E375" s="657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9"/>
      <c r="R375" s="659"/>
      <c r="S375" s="659"/>
      <c r="T375" s="66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4301031066</v>
      </c>
      <c r="D376" s="657">
        <v>4607091383836</v>
      </c>
      <c r="E376" s="657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9"/>
      <c r="R376" s="659"/>
      <c r="S376" s="659"/>
      <c r="T376" s="660"/>
      <c r="U376" s="39" t="s">
        <v>46</v>
      </c>
      <c r="V376" s="39" t="s">
        <v>46</v>
      </c>
      <c r="W376" s="40" t="s">
        <v>0</v>
      </c>
      <c r="X376" s="58">
        <v>36</v>
      </c>
      <c r="Y376" s="55">
        <f t="shared" si="53"/>
        <v>36</v>
      </c>
      <c r="Z376" s="41">
        <f>IFERROR(IF(Y376=0,"",ROUNDUP(Y376/H376,0)*0.00651),"")</f>
        <v>0.13020000000000001</v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40.559999999999995</v>
      </c>
      <c r="BN376" s="78">
        <f t="shared" si="55"/>
        <v>40.559999999999995</v>
      </c>
      <c r="BO376" s="78">
        <f t="shared" si="56"/>
        <v>0.1098901098901099</v>
      </c>
      <c r="BP376" s="78">
        <f t="shared" si="57"/>
        <v>0.1098901098901099</v>
      </c>
    </row>
    <row r="377" spans="1:68" x14ac:dyDescent="0.2">
      <c r="A377" s="651"/>
      <c r="B377" s="651"/>
      <c r="C377" s="651"/>
      <c r="D377" s="651"/>
      <c r="E377" s="651"/>
      <c r="F377" s="651"/>
      <c r="G377" s="651"/>
      <c r="H377" s="651"/>
      <c r="I377" s="651"/>
      <c r="J377" s="651"/>
      <c r="K377" s="651"/>
      <c r="L377" s="651"/>
      <c r="M377" s="651"/>
      <c r="N377" s="651"/>
      <c r="O377" s="652"/>
      <c r="P377" s="648" t="s">
        <v>40</v>
      </c>
      <c r="Q377" s="649"/>
      <c r="R377" s="649"/>
      <c r="S377" s="649"/>
      <c r="T377" s="649"/>
      <c r="U377" s="649"/>
      <c r="V377" s="650"/>
      <c r="W377" s="42" t="s">
        <v>39</v>
      </c>
      <c r="X377" s="43">
        <f>IFERROR(X370/H370,"0")+IFERROR(X371/H371,"0")+IFERROR(X372/H372,"0")+IFERROR(X373/H373,"0")+IFERROR(X374/H374,"0")+IFERROR(X375/H375,"0")+IFERROR(X376/H376,"0")</f>
        <v>53.333333333333329</v>
      </c>
      <c r="Y377" s="43">
        <f>IFERROR(Y370/H370,"0")+IFERROR(Y371/H371,"0")+IFERROR(Y372/H372,"0")+IFERROR(Y373/H373,"0")+IFERROR(Y374/H374,"0")+IFERROR(Y375/H375,"0")+IFERROR(Y376/H376,"0")</f>
        <v>54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0.30088000000000004</v>
      </c>
      <c r="AA377" s="67"/>
      <c r="AB377" s="67"/>
      <c r="AC377" s="67"/>
    </row>
    <row r="378" spans="1:68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0</v>
      </c>
      <c r="X378" s="43">
        <f>IFERROR(SUM(X370:X376),"0")</f>
        <v>106</v>
      </c>
      <c r="Y378" s="43">
        <f>IFERROR(SUM(Y370:Y376),"0")</f>
        <v>107.4</v>
      </c>
      <c r="Z378" s="42"/>
      <c r="AA378" s="67"/>
      <c r="AB378" s="67"/>
      <c r="AC378" s="67"/>
    </row>
    <row r="379" spans="1:68" ht="14.25" hidden="1" customHeight="1" x14ac:dyDescent="0.25">
      <c r="A379" s="662" t="s">
        <v>86</v>
      </c>
      <c r="B379" s="662"/>
      <c r="C379" s="662"/>
      <c r="D379" s="662"/>
      <c r="E379" s="662"/>
      <c r="F379" s="662"/>
      <c r="G379" s="662"/>
      <c r="H379" s="662"/>
      <c r="I379" s="662"/>
      <c r="J379" s="662"/>
      <c r="K379" s="662"/>
      <c r="L379" s="662"/>
      <c r="M379" s="662"/>
      <c r="N379" s="662"/>
      <c r="O379" s="662"/>
      <c r="P379" s="662"/>
      <c r="Q379" s="662"/>
      <c r="R379" s="662"/>
      <c r="S379" s="662"/>
      <c r="T379" s="662"/>
      <c r="U379" s="662"/>
      <c r="V379" s="662"/>
      <c r="W379" s="662"/>
      <c r="X379" s="662"/>
      <c r="Y379" s="662"/>
      <c r="Z379" s="662"/>
      <c r="AA379" s="66"/>
      <c r="AB379" s="66"/>
      <c r="AC379" s="80"/>
    </row>
    <row r="380" spans="1:68" ht="27" hidden="1" customHeight="1" x14ac:dyDescent="0.25">
      <c r="A380" s="63" t="s">
        <v>635</v>
      </c>
      <c r="B380" s="63" t="s">
        <v>636</v>
      </c>
      <c r="C380" s="36">
        <v>4301051100</v>
      </c>
      <c r="D380" s="657">
        <v>4607091387766</v>
      </c>
      <c r="E380" s="657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9"/>
      <c r="R380" s="659"/>
      <c r="S380" s="659"/>
      <c r="T380" s="66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657">
        <v>4607091387957</v>
      </c>
      <c r="E381" s="65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9"/>
      <c r="R381" s="659"/>
      <c r="S381" s="659"/>
      <c r="T381" s="66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657">
        <v>4607091387964</v>
      </c>
      <c r="E382" s="657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9"/>
      <c r="R382" s="659"/>
      <c r="S382" s="659"/>
      <c r="T382" s="66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657">
        <v>4680115884588</v>
      </c>
      <c r="E383" s="657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9"/>
      <c r="R383" s="659"/>
      <c r="S383" s="659"/>
      <c r="T383" s="66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idden="1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651"/>
      <c r="B385" s="651"/>
      <c r="C385" s="651"/>
      <c r="D385" s="651"/>
      <c r="E385" s="651"/>
      <c r="F385" s="651"/>
      <c r="G385" s="651"/>
      <c r="H385" s="651"/>
      <c r="I385" s="651"/>
      <c r="J385" s="651"/>
      <c r="K385" s="651"/>
      <c r="L385" s="651"/>
      <c r="M385" s="651"/>
      <c r="N385" s="651"/>
      <c r="O385" s="652"/>
      <c r="P385" s="648" t="s">
        <v>40</v>
      </c>
      <c r="Q385" s="649"/>
      <c r="R385" s="649"/>
      <c r="S385" s="649"/>
      <c r="T385" s="649"/>
      <c r="U385" s="649"/>
      <c r="V385" s="650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662" t="s">
        <v>175</v>
      </c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  <c r="Z386" s="662"/>
      <c r="AA386" s="66"/>
      <c r="AB386" s="66"/>
      <c r="AC386" s="80"/>
    </row>
    <row r="387" spans="1:68" ht="27" customHeight="1" x14ac:dyDescent="0.25">
      <c r="A387" s="63" t="s">
        <v>646</v>
      </c>
      <c r="B387" s="63" t="s">
        <v>647</v>
      </c>
      <c r="C387" s="36">
        <v>4301060387</v>
      </c>
      <c r="D387" s="657">
        <v>4607091380880</v>
      </c>
      <c r="E387" s="657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9"/>
      <c r="R387" s="659"/>
      <c r="S387" s="659"/>
      <c r="T387" s="660"/>
      <c r="U387" s="39" t="s">
        <v>46</v>
      </c>
      <c r="V387" s="39" t="s">
        <v>46</v>
      </c>
      <c r="W387" s="40" t="s">
        <v>0</v>
      </c>
      <c r="X387" s="58">
        <v>350</v>
      </c>
      <c r="Y387" s="55">
        <f>IFERROR(IF(X387="",0,CEILING((X387/$H387),1)*$H387),"")</f>
        <v>352.8</v>
      </c>
      <c r="Z387" s="41">
        <f>IFERROR(IF(Y387=0,"",ROUNDUP(Y387/H387,0)*0.01898),"")</f>
        <v>0.79715999999999998</v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370.58333333333331</v>
      </c>
      <c r="BN387" s="78">
        <f>IFERROR(Y387*I387/H387,"0")</f>
        <v>373.548</v>
      </c>
      <c r="BO387" s="78">
        <f>IFERROR(1/J387*(X387/H387),"0")</f>
        <v>0.65104166666666663</v>
      </c>
      <c r="BP387" s="78">
        <f>IFERROR(1/J387*(Y387/H387),"0")</f>
        <v>0.65625</v>
      </c>
    </row>
    <row r="388" spans="1:68" ht="27" customHeight="1" x14ac:dyDescent="0.25">
      <c r="A388" s="63" t="s">
        <v>649</v>
      </c>
      <c r="B388" s="63" t="s">
        <v>650</v>
      </c>
      <c r="C388" s="36">
        <v>4301060406</v>
      </c>
      <c r="D388" s="657">
        <v>4607091384482</v>
      </c>
      <c r="E388" s="657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7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9"/>
      <c r="R388" s="659"/>
      <c r="S388" s="659"/>
      <c r="T388" s="660"/>
      <c r="U388" s="39" t="s">
        <v>46</v>
      </c>
      <c r="V388" s="39" t="s">
        <v>46</v>
      </c>
      <c r="W388" s="40" t="s">
        <v>0</v>
      </c>
      <c r="X388" s="58">
        <v>350</v>
      </c>
      <c r="Y388" s="55">
        <f>IFERROR(IF(X388="",0,CEILING((X388/$H388),1)*$H388),"")</f>
        <v>351</v>
      </c>
      <c r="Z388" s="41">
        <f>IFERROR(IF(Y388=0,"",ROUNDUP(Y388/H388,0)*0.01898),"")</f>
        <v>0.85409999999999997</v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372.16666666666669</v>
      </c>
      <c r="BN388" s="78">
        <f>IFERROR(Y388*I388/H388,"0")</f>
        <v>373.23</v>
      </c>
      <c r="BO388" s="78">
        <f>IFERROR(1/J388*(X388/H388),"0")</f>
        <v>0.70112179487179493</v>
      </c>
      <c r="BP388" s="78">
        <f>IFERROR(1/J388*(Y388/H388),"0")</f>
        <v>0.703125</v>
      </c>
    </row>
    <row r="389" spans="1:68" ht="27" customHeight="1" x14ac:dyDescent="0.25">
      <c r="A389" s="63" t="s">
        <v>652</v>
      </c>
      <c r="B389" s="63" t="s">
        <v>653</v>
      </c>
      <c r="C389" s="36">
        <v>4301060484</v>
      </c>
      <c r="D389" s="657">
        <v>4607091380897</v>
      </c>
      <c r="E389" s="657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9"/>
      <c r="R389" s="659"/>
      <c r="S389" s="659"/>
      <c r="T389" s="660"/>
      <c r="U389" s="39" t="s">
        <v>46</v>
      </c>
      <c r="V389" s="39" t="s">
        <v>46</v>
      </c>
      <c r="W389" s="40" t="s">
        <v>0</v>
      </c>
      <c r="X389" s="58">
        <v>60</v>
      </c>
      <c r="Y389" s="55">
        <f>IFERROR(IF(X389="",0,CEILING((X389/$H389),1)*$H389),"")</f>
        <v>67.2</v>
      </c>
      <c r="Z389" s="41">
        <f>IFERROR(IF(Y389=0,"",ROUNDUP(Y389/H389,0)*0.01898),"")</f>
        <v>0.15184</v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63.528571428571425</v>
      </c>
      <c r="BN389" s="78">
        <f>IFERROR(Y389*I389/H389,"0")</f>
        <v>71.152000000000001</v>
      </c>
      <c r="BO389" s="78">
        <f>IFERROR(1/J389*(X389/H389),"0")</f>
        <v>0.11160714285714285</v>
      </c>
      <c r="BP389" s="78">
        <f>IFERROR(1/J389*(Y389/H389),"0")</f>
        <v>0.125</v>
      </c>
    </row>
    <row r="390" spans="1:68" x14ac:dyDescent="0.2">
      <c r="A390" s="651"/>
      <c r="B390" s="651"/>
      <c r="C390" s="651"/>
      <c r="D390" s="651"/>
      <c r="E390" s="651"/>
      <c r="F390" s="651"/>
      <c r="G390" s="651"/>
      <c r="H390" s="651"/>
      <c r="I390" s="651"/>
      <c r="J390" s="651"/>
      <c r="K390" s="651"/>
      <c r="L390" s="651"/>
      <c r="M390" s="651"/>
      <c r="N390" s="651"/>
      <c r="O390" s="652"/>
      <c r="P390" s="648" t="s">
        <v>40</v>
      </c>
      <c r="Q390" s="649"/>
      <c r="R390" s="649"/>
      <c r="S390" s="649"/>
      <c r="T390" s="649"/>
      <c r="U390" s="649"/>
      <c r="V390" s="650"/>
      <c r="W390" s="42" t="s">
        <v>39</v>
      </c>
      <c r="X390" s="43">
        <f>IFERROR(X387/H387,"0")+IFERROR(X388/H388,"0")+IFERROR(X389/H389,"0")</f>
        <v>93.681318681318686</v>
      </c>
      <c r="Y390" s="43">
        <f>IFERROR(Y387/H387,"0")+IFERROR(Y388/H388,"0")+IFERROR(Y389/H389,"0")</f>
        <v>95</v>
      </c>
      <c r="Z390" s="43">
        <f>IFERROR(IF(Z387="",0,Z387),"0")+IFERROR(IF(Z388="",0,Z388),"0")+IFERROR(IF(Z389="",0,Z389),"0")</f>
        <v>1.8030999999999999</v>
      </c>
      <c r="AA390" s="67"/>
      <c r="AB390" s="67"/>
      <c r="AC390" s="67"/>
    </row>
    <row r="391" spans="1:68" x14ac:dyDescent="0.2">
      <c r="A391" s="651"/>
      <c r="B391" s="651"/>
      <c r="C391" s="651"/>
      <c r="D391" s="651"/>
      <c r="E391" s="651"/>
      <c r="F391" s="651"/>
      <c r="G391" s="651"/>
      <c r="H391" s="651"/>
      <c r="I391" s="651"/>
      <c r="J391" s="651"/>
      <c r="K391" s="651"/>
      <c r="L391" s="651"/>
      <c r="M391" s="651"/>
      <c r="N391" s="651"/>
      <c r="O391" s="652"/>
      <c r="P391" s="648" t="s">
        <v>40</v>
      </c>
      <c r="Q391" s="649"/>
      <c r="R391" s="649"/>
      <c r="S391" s="649"/>
      <c r="T391" s="649"/>
      <c r="U391" s="649"/>
      <c r="V391" s="650"/>
      <c r="W391" s="42" t="s">
        <v>0</v>
      </c>
      <c r="X391" s="43">
        <f>IFERROR(SUM(X387:X389),"0")</f>
        <v>760</v>
      </c>
      <c r="Y391" s="43">
        <f>IFERROR(SUM(Y387:Y389),"0")</f>
        <v>771</v>
      </c>
      <c r="Z391" s="42"/>
      <c r="AA391" s="67"/>
      <c r="AB391" s="67"/>
      <c r="AC391" s="67"/>
    </row>
    <row r="392" spans="1:68" ht="14.25" hidden="1" customHeight="1" x14ac:dyDescent="0.25">
      <c r="A392" s="662" t="s">
        <v>283</v>
      </c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2"/>
      <c r="P392" s="662"/>
      <c r="Q392" s="662"/>
      <c r="R392" s="662"/>
      <c r="S392" s="662"/>
      <c r="T392" s="662"/>
      <c r="U392" s="662"/>
      <c r="V392" s="662"/>
      <c r="W392" s="662"/>
      <c r="X392" s="662"/>
      <c r="Y392" s="662"/>
      <c r="Z392" s="662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657">
        <v>4607091388381</v>
      </c>
      <c r="E393" s="657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9"/>
      <c r="R393" s="659"/>
      <c r="S393" s="659"/>
      <c r="T393" s="66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657">
        <v>4607091388374</v>
      </c>
      <c r="E394" s="657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7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9"/>
      <c r="R394" s="659"/>
      <c r="S394" s="659"/>
      <c r="T394" s="66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660</v>
      </c>
      <c r="B395" s="63" t="s">
        <v>661</v>
      </c>
      <c r="C395" s="36">
        <v>4301032015</v>
      </c>
      <c r="D395" s="657">
        <v>4607091383102</v>
      </c>
      <c r="E395" s="657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9"/>
      <c r="R395" s="659"/>
      <c r="S395" s="659"/>
      <c r="T395" s="660"/>
      <c r="U395" s="39" t="s">
        <v>46</v>
      </c>
      <c r="V395" s="39" t="s">
        <v>46</v>
      </c>
      <c r="W395" s="40" t="s">
        <v>0</v>
      </c>
      <c r="X395" s="58">
        <v>85</v>
      </c>
      <c r="Y395" s="55">
        <f>IFERROR(IF(X395="",0,CEILING((X395/$H395),1)*$H395),"")</f>
        <v>86.699999999999989</v>
      </c>
      <c r="Z395" s="41">
        <f>IFERROR(IF(Y395=0,"",ROUNDUP(Y395/H395,0)*0.00651),"")</f>
        <v>0.22134000000000001</v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98.500000000000014</v>
      </c>
      <c r="BN395" s="78">
        <f>IFERROR(Y395*I395/H395,"0")</f>
        <v>100.47</v>
      </c>
      <c r="BO395" s="78">
        <f>IFERROR(1/J395*(X395/H395),"0")</f>
        <v>0.18315018315018317</v>
      </c>
      <c r="BP395" s="78">
        <f>IFERROR(1/J395*(Y395/H395),"0")</f>
        <v>0.18681318681318682</v>
      </c>
    </row>
    <row r="396" spans="1:68" ht="27" customHeight="1" x14ac:dyDescent="0.25">
      <c r="A396" s="63" t="s">
        <v>662</v>
      </c>
      <c r="B396" s="63" t="s">
        <v>663</v>
      </c>
      <c r="C396" s="36">
        <v>4301030233</v>
      </c>
      <c r="D396" s="657">
        <v>4607091388404</v>
      </c>
      <c r="E396" s="657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9"/>
      <c r="R396" s="659"/>
      <c r="S396" s="659"/>
      <c r="T396" s="660"/>
      <c r="U396" s="39" t="s">
        <v>46</v>
      </c>
      <c r="V396" s="39" t="s">
        <v>46</v>
      </c>
      <c r="W396" s="40" t="s">
        <v>0</v>
      </c>
      <c r="X396" s="58">
        <v>306</v>
      </c>
      <c r="Y396" s="55">
        <f>IFERROR(IF(X396="",0,CEILING((X396/$H396),1)*$H396),"")</f>
        <v>306</v>
      </c>
      <c r="Z396" s="41">
        <f>IFERROR(IF(Y396=0,"",ROUNDUP(Y396/H396,0)*0.00651),"")</f>
        <v>0.78120000000000001</v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345.6</v>
      </c>
      <c r="BN396" s="78">
        <f>IFERROR(Y396*I396/H396,"0")</f>
        <v>345.6</v>
      </c>
      <c r="BO396" s="78">
        <f>IFERROR(1/J396*(X396/H396),"0")</f>
        <v>0.65934065934065944</v>
      </c>
      <c r="BP396" s="78">
        <f>IFERROR(1/J396*(Y396/H396),"0")</f>
        <v>0.65934065934065944</v>
      </c>
    </row>
    <row r="397" spans="1:68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IFERROR(X393/H393,"0")+IFERROR(X394/H394,"0")+IFERROR(X395/H395,"0")+IFERROR(X396/H396,"0")</f>
        <v>153.33333333333334</v>
      </c>
      <c r="Y397" s="43">
        <f>IFERROR(Y393/H393,"0")+IFERROR(Y394/H394,"0")+IFERROR(Y395/H395,"0")+IFERROR(Y396/H396,"0")</f>
        <v>154</v>
      </c>
      <c r="Z397" s="43">
        <f>IFERROR(IF(Z393="",0,Z393),"0")+IFERROR(IF(Z394="",0,Z394),"0")+IFERROR(IF(Z395="",0,Z395),"0")+IFERROR(IF(Z396="",0,Z396),"0")</f>
        <v>1.00254</v>
      </c>
      <c r="AA397" s="67"/>
      <c r="AB397" s="67"/>
      <c r="AC397" s="67"/>
    </row>
    <row r="398" spans="1:68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IFERROR(SUM(X393:X396),"0")</f>
        <v>391</v>
      </c>
      <c r="Y398" s="43">
        <f>IFERROR(SUM(Y393:Y396),"0")</f>
        <v>392.7</v>
      </c>
      <c r="Z398" s="42"/>
      <c r="AA398" s="67"/>
      <c r="AB398" s="67"/>
      <c r="AC398" s="67"/>
    </row>
    <row r="399" spans="1:68" ht="14.25" hidden="1" customHeight="1" x14ac:dyDescent="0.25">
      <c r="A399" s="662" t="s">
        <v>664</v>
      </c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2"/>
      <c r="P399" s="662"/>
      <c r="Q399" s="662"/>
      <c r="R399" s="662"/>
      <c r="S399" s="662"/>
      <c r="T399" s="662"/>
      <c r="U399" s="662"/>
      <c r="V399" s="662"/>
      <c r="W399" s="662"/>
      <c r="X399" s="662"/>
      <c r="Y399" s="662"/>
      <c r="Z399" s="662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657">
        <v>4680115881808</v>
      </c>
      <c r="E400" s="657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7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9"/>
      <c r="R400" s="659"/>
      <c r="S400" s="659"/>
      <c r="T400" s="66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657">
        <v>4680115881822</v>
      </c>
      <c r="E401" s="65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9"/>
      <c r="R401" s="659"/>
      <c r="S401" s="659"/>
      <c r="T401" s="66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657">
        <v>4680115880016</v>
      </c>
      <c r="E402" s="65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9"/>
      <c r="R402" s="659"/>
      <c r="S402" s="659"/>
      <c r="T402" s="66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2" t="s">
        <v>673</v>
      </c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2"/>
      <c r="P405" s="662"/>
      <c r="Q405" s="662"/>
      <c r="R405" s="662"/>
      <c r="S405" s="662"/>
      <c r="T405" s="662"/>
      <c r="U405" s="662"/>
      <c r="V405" s="662"/>
      <c r="W405" s="662"/>
      <c r="X405" s="662"/>
      <c r="Y405" s="662"/>
      <c r="Z405" s="662"/>
      <c r="AA405" s="66"/>
      <c r="AB405" s="66"/>
      <c r="AC405" s="80"/>
    </row>
    <row r="406" spans="1:68" ht="27" customHeight="1" x14ac:dyDescent="0.25">
      <c r="A406" s="63" t="s">
        <v>674</v>
      </c>
      <c r="B406" s="63" t="s">
        <v>675</v>
      </c>
      <c r="C406" s="36">
        <v>4301220003</v>
      </c>
      <c r="D406" s="657">
        <v>4680115888678</v>
      </c>
      <c r="E406" s="657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9"/>
      <c r="R406" s="659"/>
      <c r="S406" s="659"/>
      <c r="T406" s="660"/>
      <c r="U406" s="39" t="s">
        <v>46</v>
      </c>
      <c r="V406" s="39" t="s">
        <v>46</v>
      </c>
      <c r="W406" s="40" t="s">
        <v>0</v>
      </c>
      <c r="X406" s="58">
        <v>25</v>
      </c>
      <c r="Y406" s="55">
        <f>IFERROR(IF(X406="",0,CEILING((X406/$H406),1)*$H406),"")</f>
        <v>27</v>
      </c>
      <c r="Z406" s="41">
        <f>IFERROR(IF(Y406=0,"",ROUNDUP(Y406/H406,0)*0.0045),"")</f>
        <v>4.0499999999999994E-2</v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26.833333333333332</v>
      </c>
      <c r="BN406" s="78">
        <f>IFERROR(Y406*I406/H406,"0")</f>
        <v>28.980000000000004</v>
      </c>
      <c r="BO406" s="78">
        <f>IFERROR(1/J406*(X406/H406),"0")</f>
        <v>3.7202380952380952E-2</v>
      </c>
      <c r="BP406" s="78">
        <f>IFERROR(1/J406*(Y406/H406),"0")</f>
        <v>4.0178571428571425E-2</v>
      </c>
    </row>
    <row r="407" spans="1:68" ht="27" customHeight="1" x14ac:dyDescent="0.25">
      <c r="A407" s="63" t="s">
        <v>677</v>
      </c>
      <c r="B407" s="63" t="s">
        <v>678</v>
      </c>
      <c r="C407" s="36">
        <v>4301220001</v>
      </c>
      <c r="D407" s="657">
        <v>4680115888654</v>
      </c>
      <c r="E407" s="657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9"/>
      <c r="R407" s="659"/>
      <c r="S407" s="659"/>
      <c r="T407" s="660"/>
      <c r="U407" s="39" t="s">
        <v>46</v>
      </c>
      <c r="V407" s="39" t="s">
        <v>46</v>
      </c>
      <c r="W407" s="40" t="s">
        <v>0</v>
      </c>
      <c r="X407" s="58">
        <v>32.5</v>
      </c>
      <c r="Y407" s="55">
        <f>IFERROR(IF(X407="",0,CEILING((X407/$H407),1)*$H407),"")</f>
        <v>35.1</v>
      </c>
      <c r="Z407" s="41">
        <f>IFERROR(IF(Y407=0,"",ROUNDUP(Y407/H407,0)*0.006),"")</f>
        <v>5.3999999999999999E-2</v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34.75</v>
      </c>
      <c r="BN407" s="78">
        <f>IFERROR(Y407*I407/H407,"0")</f>
        <v>37.53</v>
      </c>
      <c r="BO407" s="78">
        <f>IFERROR(1/J407*(X407/H407),"0")</f>
        <v>5.7870370370370371E-2</v>
      </c>
      <c r="BP407" s="78">
        <f>IFERROR(1/J407*(Y407/H407),"0")</f>
        <v>6.25E-2</v>
      </c>
    </row>
    <row r="408" spans="1:68" ht="27" customHeight="1" x14ac:dyDescent="0.25">
      <c r="A408" s="63" t="s">
        <v>680</v>
      </c>
      <c r="B408" s="63" t="s">
        <v>681</v>
      </c>
      <c r="C408" s="36">
        <v>4301220002</v>
      </c>
      <c r="D408" s="657">
        <v>4680115888753</v>
      </c>
      <c r="E408" s="657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9"/>
      <c r="R408" s="659"/>
      <c r="S408" s="659"/>
      <c r="T408" s="660"/>
      <c r="U408" s="39" t="s">
        <v>46</v>
      </c>
      <c r="V408" s="39" t="s">
        <v>46</v>
      </c>
      <c r="W408" s="40" t="s">
        <v>0</v>
      </c>
      <c r="X408" s="58">
        <v>25</v>
      </c>
      <c r="Y408" s="55">
        <f>IFERROR(IF(X408="",0,CEILING((X408/$H408),1)*$H408),"")</f>
        <v>27</v>
      </c>
      <c r="Z408" s="41">
        <f>IFERROR(IF(Y408=0,"",ROUNDUP(Y408/H408,0)*0.0045),"")</f>
        <v>4.0499999999999994E-2</v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26.833333333333332</v>
      </c>
      <c r="BN408" s="78">
        <f>IFERROR(Y408*I408/H408,"0")</f>
        <v>28.980000000000004</v>
      </c>
      <c r="BO408" s="78">
        <f>IFERROR(1/J408*(X408/H408),"0")</f>
        <v>3.7202380952380952E-2</v>
      </c>
      <c r="BP408" s="78">
        <f>IFERROR(1/J408*(Y408/H408),"0")</f>
        <v>4.0178571428571425E-2</v>
      </c>
    </row>
    <row r="409" spans="1:68" x14ac:dyDescent="0.2">
      <c r="A409" s="651"/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2"/>
      <c r="P409" s="648" t="s">
        <v>40</v>
      </c>
      <c r="Q409" s="649"/>
      <c r="R409" s="649"/>
      <c r="S409" s="649"/>
      <c r="T409" s="649"/>
      <c r="U409" s="649"/>
      <c r="V409" s="650"/>
      <c r="W409" s="42" t="s">
        <v>39</v>
      </c>
      <c r="X409" s="43">
        <f>IFERROR(X406/H406,"0")+IFERROR(X407/H407,"0")+IFERROR(X408/H408,"0")</f>
        <v>25</v>
      </c>
      <c r="Y409" s="43">
        <f>IFERROR(Y406/H406,"0")+IFERROR(Y407/H407,"0")+IFERROR(Y408/H408,"0")</f>
        <v>27</v>
      </c>
      <c r="Z409" s="43">
        <f>IFERROR(IF(Z406="",0,Z406),"0")+IFERROR(IF(Z407="",0,Z407),"0")+IFERROR(IF(Z408="",0,Z408),"0")</f>
        <v>0.13500000000000001</v>
      </c>
      <c r="AA409" s="67"/>
      <c r="AB409" s="67"/>
      <c r="AC409" s="67"/>
    </row>
    <row r="410" spans="1:68" x14ac:dyDescent="0.2">
      <c r="A410" s="651"/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2"/>
      <c r="P410" s="648" t="s">
        <v>40</v>
      </c>
      <c r="Q410" s="649"/>
      <c r="R410" s="649"/>
      <c r="S410" s="649"/>
      <c r="T410" s="649"/>
      <c r="U410" s="649"/>
      <c r="V410" s="650"/>
      <c r="W410" s="42" t="s">
        <v>0</v>
      </c>
      <c r="X410" s="43">
        <f>IFERROR(SUM(X406:X408),"0")</f>
        <v>82.5</v>
      </c>
      <c r="Y410" s="43">
        <f>IFERROR(SUM(Y406:Y408),"0")</f>
        <v>89.1</v>
      </c>
      <c r="Z410" s="42"/>
      <c r="AA410" s="67"/>
      <c r="AB410" s="67"/>
      <c r="AC410" s="67"/>
    </row>
    <row r="411" spans="1:68" ht="16.5" hidden="1" customHeight="1" x14ac:dyDescent="0.25">
      <c r="A411" s="661" t="s">
        <v>682</v>
      </c>
      <c r="B411" s="661"/>
      <c r="C411" s="661"/>
      <c r="D411" s="661"/>
      <c r="E411" s="661"/>
      <c r="F411" s="661"/>
      <c r="G411" s="661"/>
      <c r="H411" s="661"/>
      <c r="I411" s="661"/>
      <c r="J411" s="661"/>
      <c r="K411" s="661"/>
      <c r="L411" s="661"/>
      <c r="M411" s="661"/>
      <c r="N411" s="661"/>
      <c r="O411" s="661"/>
      <c r="P411" s="661"/>
      <c r="Q411" s="661"/>
      <c r="R411" s="661"/>
      <c r="S411" s="661"/>
      <c r="T411" s="661"/>
      <c r="U411" s="661"/>
      <c r="V411" s="661"/>
      <c r="W411" s="661"/>
      <c r="X411" s="661"/>
      <c r="Y411" s="661"/>
      <c r="Z411" s="661"/>
      <c r="AA411" s="65"/>
      <c r="AB411" s="65"/>
      <c r="AC411" s="79"/>
    </row>
    <row r="412" spans="1:68" ht="14.25" hidden="1" customHeight="1" x14ac:dyDescent="0.25">
      <c r="A412" s="662" t="s">
        <v>86</v>
      </c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  <c r="Z412" s="662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657">
        <v>4680115889415</v>
      </c>
      <c r="E413" s="657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8" t="s">
        <v>685</v>
      </c>
      <c r="Q413" s="659"/>
      <c r="R413" s="659"/>
      <c r="S413" s="659"/>
      <c r="T413" s="66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657">
        <v>4680115889422</v>
      </c>
      <c r="E414" s="657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725" t="s">
        <v>690</v>
      </c>
      <c r="Q414" s="659"/>
      <c r="R414" s="659"/>
      <c r="S414" s="659"/>
      <c r="T414" s="66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51"/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2"/>
      <c r="P415" s="648" t="s">
        <v>40</v>
      </c>
      <c r="Q415" s="649"/>
      <c r="R415" s="649"/>
      <c r="S415" s="649"/>
      <c r="T415" s="649"/>
      <c r="U415" s="649"/>
      <c r="V415" s="650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651"/>
      <c r="B416" s="651"/>
      <c r="C416" s="651"/>
      <c r="D416" s="651"/>
      <c r="E416" s="651"/>
      <c r="F416" s="651"/>
      <c r="G416" s="651"/>
      <c r="H416" s="651"/>
      <c r="I416" s="651"/>
      <c r="J416" s="651"/>
      <c r="K416" s="651"/>
      <c r="L416" s="651"/>
      <c r="M416" s="651"/>
      <c r="N416" s="651"/>
      <c r="O416" s="652"/>
      <c r="P416" s="648" t="s">
        <v>40</v>
      </c>
      <c r="Q416" s="649"/>
      <c r="R416" s="649"/>
      <c r="S416" s="649"/>
      <c r="T416" s="649"/>
      <c r="U416" s="649"/>
      <c r="V416" s="650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1" t="s">
        <v>692</v>
      </c>
      <c r="B417" s="661"/>
      <c r="C417" s="661"/>
      <c r="D417" s="661"/>
      <c r="E417" s="661"/>
      <c r="F417" s="661"/>
      <c r="G417" s="661"/>
      <c r="H417" s="661"/>
      <c r="I417" s="661"/>
      <c r="J417" s="661"/>
      <c r="K417" s="661"/>
      <c r="L417" s="661"/>
      <c r="M417" s="661"/>
      <c r="N417" s="661"/>
      <c r="O417" s="661"/>
      <c r="P417" s="661"/>
      <c r="Q417" s="661"/>
      <c r="R417" s="661"/>
      <c r="S417" s="661"/>
      <c r="T417" s="661"/>
      <c r="U417" s="661"/>
      <c r="V417" s="661"/>
      <c r="W417" s="661"/>
      <c r="X417" s="661"/>
      <c r="Y417" s="661"/>
      <c r="Z417" s="661"/>
      <c r="AA417" s="65"/>
      <c r="AB417" s="65"/>
      <c r="AC417" s="79"/>
    </row>
    <row r="418" spans="1:68" ht="14.25" hidden="1" customHeight="1" x14ac:dyDescent="0.25">
      <c r="A418" s="662" t="s">
        <v>86</v>
      </c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  <c r="Z418" s="662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657">
        <v>4607091387919</v>
      </c>
      <c r="E419" s="657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9"/>
      <c r="R419" s="659"/>
      <c r="S419" s="659"/>
      <c r="T419" s="66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657">
        <v>4680115883604</v>
      </c>
      <c r="E420" s="657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9"/>
      <c r="R420" s="659"/>
      <c r="S420" s="659"/>
      <c r="T420" s="660"/>
      <c r="U420" s="39" t="s">
        <v>46</v>
      </c>
      <c r="V420" s="39" t="s">
        <v>46</v>
      </c>
      <c r="W420" s="40" t="s">
        <v>0</v>
      </c>
      <c r="X420" s="58">
        <v>700</v>
      </c>
      <c r="Y420" s="55">
        <f>IFERROR(IF(X420="",0,CEILING((X420/$H420),1)*$H420),"")</f>
        <v>701.4</v>
      </c>
      <c r="Z420" s="41">
        <f>IFERROR(IF(Y420=0,"",ROUNDUP(Y420/H420,0)*0.00651),"")</f>
        <v>2.1743399999999999</v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783.99999999999989</v>
      </c>
      <c r="BN420" s="78">
        <f>IFERROR(Y420*I420/H420,"0")</f>
        <v>785.56799999999987</v>
      </c>
      <c r="BO420" s="78">
        <f>IFERROR(1/J420*(X420/H420),"0")</f>
        <v>1.8315018315018314</v>
      </c>
      <c r="BP420" s="78">
        <f>IFERROR(1/J420*(Y420/H420),"0")</f>
        <v>1.8351648351648353</v>
      </c>
    </row>
    <row r="421" spans="1:68" ht="27" customHeight="1" x14ac:dyDescent="0.25">
      <c r="A421" s="63" t="s">
        <v>699</v>
      </c>
      <c r="B421" s="63" t="s">
        <v>700</v>
      </c>
      <c r="C421" s="36">
        <v>4301051864</v>
      </c>
      <c r="D421" s="657">
        <v>4680115883567</v>
      </c>
      <c r="E421" s="657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9"/>
      <c r="R421" s="659"/>
      <c r="S421" s="659"/>
      <c r="T421" s="660"/>
      <c r="U421" s="39" t="s">
        <v>46</v>
      </c>
      <c r="V421" s="39" t="s">
        <v>46</v>
      </c>
      <c r="W421" s="40" t="s">
        <v>0</v>
      </c>
      <c r="X421" s="58">
        <v>525</v>
      </c>
      <c r="Y421" s="55">
        <f>IFERROR(IF(X421="",0,CEILING((X421/$H421),1)*$H421),"")</f>
        <v>525</v>
      </c>
      <c r="Z421" s="41">
        <f>IFERROR(IF(Y421=0,"",ROUNDUP(Y421/H421,0)*0.00651),"")</f>
        <v>1.6274999999999999</v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585</v>
      </c>
      <c r="BN421" s="78">
        <f>IFERROR(Y421*I421/H421,"0")</f>
        <v>585</v>
      </c>
      <c r="BO421" s="78">
        <f>IFERROR(1/J421*(X421/H421),"0")</f>
        <v>1.3736263736263736</v>
      </c>
      <c r="BP421" s="78">
        <f>IFERROR(1/J421*(Y421/H421),"0")</f>
        <v>1.3736263736263736</v>
      </c>
    </row>
    <row r="422" spans="1:68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IFERROR(X419/H419,"0")+IFERROR(X420/H420,"0")+IFERROR(X421/H421,"0")</f>
        <v>583.33333333333326</v>
      </c>
      <c r="Y422" s="43">
        <f>IFERROR(Y419/H419,"0")+IFERROR(Y420/H420,"0")+IFERROR(Y421/H421,"0")</f>
        <v>584</v>
      </c>
      <c r="Z422" s="43">
        <f>IFERROR(IF(Z419="",0,Z419),"0")+IFERROR(IF(Z420="",0,Z420),"0")+IFERROR(IF(Z421="",0,Z421),"0")</f>
        <v>3.8018399999999999</v>
      </c>
      <c r="AA422" s="67"/>
      <c r="AB422" s="67"/>
      <c r="AC422" s="67"/>
    </row>
    <row r="423" spans="1:68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IFERROR(SUM(X419:X421),"0")</f>
        <v>1225</v>
      </c>
      <c r="Y423" s="43">
        <f>IFERROR(SUM(Y419:Y421),"0")</f>
        <v>1226.4000000000001</v>
      </c>
      <c r="Z423" s="42"/>
      <c r="AA423" s="67"/>
      <c r="AB423" s="67"/>
      <c r="AC423" s="67"/>
    </row>
    <row r="424" spans="1:68" ht="27.75" hidden="1" customHeight="1" x14ac:dyDescent="0.2">
      <c r="A424" s="668" t="s">
        <v>702</v>
      </c>
      <c r="B424" s="668"/>
      <c r="C424" s="668"/>
      <c r="D424" s="668"/>
      <c r="E424" s="668"/>
      <c r="F424" s="668"/>
      <c r="G424" s="668"/>
      <c r="H424" s="668"/>
      <c r="I424" s="668"/>
      <c r="J424" s="668"/>
      <c r="K424" s="668"/>
      <c r="L424" s="668"/>
      <c r="M424" s="668"/>
      <c r="N424" s="668"/>
      <c r="O424" s="668"/>
      <c r="P424" s="668"/>
      <c r="Q424" s="668"/>
      <c r="R424" s="668"/>
      <c r="S424" s="668"/>
      <c r="T424" s="668"/>
      <c r="U424" s="668"/>
      <c r="V424" s="668"/>
      <c r="W424" s="668"/>
      <c r="X424" s="668"/>
      <c r="Y424" s="668"/>
      <c r="Z424" s="668"/>
      <c r="AA424" s="54"/>
      <c r="AB424" s="54"/>
      <c r="AC424" s="54"/>
    </row>
    <row r="425" spans="1:68" ht="16.5" hidden="1" customHeight="1" x14ac:dyDescent="0.25">
      <c r="A425" s="661" t="s">
        <v>703</v>
      </c>
      <c r="B425" s="661"/>
      <c r="C425" s="661"/>
      <c r="D425" s="661"/>
      <c r="E425" s="661"/>
      <c r="F425" s="661"/>
      <c r="G425" s="661"/>
      <c r="H425" s="661"/>
      <c r="I425" s="661"/>
      <c r="J425" s="661"/>
      <c r="K425" s="661"/>
      <c r="L425" s="661"/>
      <c r="M425" s="661"/>
      <c r="N425" s="661"/>
      <c r="O425" s="661"/>
      <c r="P425" s="661"/>
      <c r="Q425" s="661"/>
      <c r="R425" s="661"/>
      <c r="S425" s="661"/>
      <c r="T425" s="661"/>
      <c r="U425" s="661"/>
      <c r="V425" s="661"/>
      <c r="W425" s="661"/>
      <c r="X425" s="661"/>
      <c r="Y425" s="661"/>
      <c r="Z425" s="661"/>
      <c r="AA425" s="65"/>
      <c r="AB425" s="65"/>
      <c r="AC425" s="79"/>
    </row>
    <row r="426" spans="1:68" ht="14.25" hidden="1" customHeight="1" x14ac:dyDescent="0.25">
      <c r="A426" s="662" t="s">
        <v>122</v>
      </c>
      <c r="B426" s="662"/>
      <c r="C426" s="662"/>
      <c r="D426" s="662"/>
      <c r="E426" s="662"/>
      <c r="F426" s="662"/>
      <c r="G426" s="662"/>
      <c r="H426" s="662"/>
      <c r="I426" s="662"/>
      <c r="J426" s="662"/>
      <c r="K426" s="662"/>
      <c r="L426" s="662"/>
      <c r="M426" s="662"/>
      <c r="N426" s="662"/>
      <c r="O426" s="662"/>
      <c r="P426" s="662"/>
      <c r="Q426" s="662"/>
      <c r="R426" s="662"/>
      <c r="S426" s="662"/>
      <c r="T426" s="662"/>
      <c r="U426" s="662"/>
      <c r="V426" s="662"/>
      <c r="W426" s="662"/>
      <c r="X426" s="662"/>
      <c r="Y426" s="662"/>
      <c r="Z426" s="662"/>
      <c r="AA426" s="66"/>
      <c r="AB426" s="66"/>
      <c r="AC426" s="80"/>
    </row>
    <row r="427" spans="1:68" ht="27" customHeight="1" x14ac:dyDescent="0.25">
      <c r="A427" s="63" t="s">
        <v>704</v>
      </c>
      <c r="B427" s="63" t="s">
        <v>705</v>
      </c>
      <c r="C427" s="36">
        <v>4301012332</v>
      </c>
      <c r="D427" s="657">
        <v>4680115888401</v>
      </c>
      <c r="E427" s="657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9"/>
      <c r="R427" s="659"/>
      <c r="S427" s="659"/>
      <c r="T427" s="660"/>
      <c r="U427" s="39" t="s">
        <v>46</v>
      </c>
      <c r="V427" s="39" t="s">
        <v>46</v>
      </c>
      <c r="W427" s="40" t="s">
        <v>0</v>
      </c>
      <c r="X427" s="58">
        <v>200</v>
      </c>
      <c r="Y427" s="55">
        <f t="shared" ref="Y427:Y434" si="58">IFERROR(IF(X427="",0,CEILING((X427/$H427),1)*$H427),"")</f>
        <v>210</v>
      </c>
      <c r="Z427" s="41">
        <f>IFERROR(IF(Y427=0,"",ROUNDUP(Y427/H427,0)*0.02175),"")</f>
        <v>0.30449999999999999</v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206.26666666666668</v>
      </c>
      <c r="BN427" s="78">
        <f t="shared" ref="BN427:BN434" si="60">IFERROR(Y427*I427/H427,"0")</f>
        <v>216.58</v>
      </c>
      <c r="BO427" s="78">
        <f t="shared" ref="BO427:BO434" si="61">IFERROR(1/J427*(X427/H427),"0")</f>
        <v>0.27777777777777779</v>
      </c>
      <c r="BP427" s="78">
        <f t="shared" ref="BP427:BP434" si="62">IFERROR(1/J427*(Y427/H427),"0")</f>
        <v>0.29166666666666663</v>
      </c>
    </row>
    <row r="428" spans="1:68" ht="37.5" hidden="1" customHeight="1" x14ac:dyDescent="0.25">
      <c r="A428" s="63" t="s">
        <v>707</v>
      </c>
      <c r="B428" s="63" t="s">
        <v>708</v>
      </c>
      <c r="C428" s="36">
        <v>4301011869</v>
      </c>
      <c r="D428" s="657">
        <v>4680115884847</v>
      </c>
      <c r="E428" s="657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9"/>
      <c r="R428" s="659"/>
      <c r="S428" s="659"/>
      <c r="T428" s="660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0</v>
      </c>
      <c r="BN428" s="78">
        <f t="shared" si="60"/>
        <v>0</v>
      </c>
      <c r="BO428" s="78">
        <f t="shared" si="61"/>
        <v>0</v>
      </c>
      <c r="BP428" s="78">
        <f t="shared" si="62"/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4301012083</v>
      </c>
      <c r="D429" s="657">
        <v>4680115884854</v>
      </c>
      <c r="E429" s="657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9"/>
      <c r="R429" s="659"/>
      <c r="S429" s="659"/>
      <c r="T429" s="660"/>
      <c r="U429" s="39" t="s">
        <v>46</v>
      </c>
      <c r="V429" s="39" t="s">
        <v>46</v>
      </c>
      <c r="W429" s="40" t="s">
        <v>0</v>
      </c>
      <c r="X429" s="58">
        <v>1050</v>
      </c>
      <c r="Y429" s="55">
        <f t="shared" si="58"/>
        <v>1050</v>
      </c>
      <c r="Z429" s="41">
        <f>IFERROR(IF(Y429=0,"",ROUNDUP(Y429/H429,0)*0.02175),"")</f>
        <v>1.5225</v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1082.9000000000001</v>
      </c>
      <c r="BN429" s="78">
        <f t="shared" si="60"/>
        <v>1082.9000000000001</v>
      </c>
      <c r="BO429" s="78">
        <f t="shared" si="61"/>
        <v>1.4583333333333333</v>
      </c>
      <c r="BP429" s="78">
        <f t="shared" si="62"/>
        <v>1.4583333333333333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657">
        <v>4680115884830</v>
      </c>
      <c r="E430" s="657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9"/>
      <c r="R430" s="659"/>
      <c r="S430" s="659"/>
      <c r="T430" s="660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657">
        <v>4680115889231</v>
      </c>
      <c r="E431" s="65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9"/>
      <c r="R431" s="659"/>
      <c r="S431" s="659"/>
      <c r="T431" s="660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657">
        <v>4680115882638</v>
      </c>
      <c r="E432" s="657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9"/>
      <c r="R432" s="659"/>
      <c r="S432" s="659"/>
      <c r="T432" s="660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657">
        <v>4680115884922</v>
      </c>
      <c r="E433" s="657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9"/>
      <c r="R433" s="659"/>
      <c r="S433" s="659"/>
      <c r="T433" s="66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657">
        <v>4680115884861</v>
      </c>
      <c r="E434" s="657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9"/>
      <c r="R434" s="659"/>
      <c r="S434" s="659"/>
      <c r="T434" s="66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651"/>
      <c r="B435" s="651"/>
      <c r="C435" s="651"/>
      <c r="D435" s="651"/>
      <c r="E435" s="651"/>
      <c r="F435" s="651"/>
      <c r="G435" s="651"/>
      <c r="H435" s="651"/>
      <c r="I435" s="651"/>
      <c r="J435" s="651"/>
      <c r="K435" s="651"/>
      <c r="L435" s="651"/>
      <c r="M435" s="651"/>
      <c r="N435" s="651"/>
      <c r="O435" s="652"/>
      <c r="P435" s="648" t="s">
        <v>40</v>
      </c>
      <c r="Q435" s="649"/>
      <c r="R435" s="649"/>
      <c r="S435" s="649"/>
      <c r="T435" s="649"/>
      <c r="U435" s="649"/>
      <c r="V435" s="650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83.333333333333329</v>
      </c>
      <c r="Y435" s="43">
        <f>IFERROR(Y427/H427,"0")+IFERROR(Y428/H428,"0")+IFERROR(Y429/H429,"0")+IFERROR(Y430/H430,"0")+IFERROR(Y431/H431,"0")+IFERROR(Y432/H432,"0")+IFERROR(Y433/H433,"0")+IFERROR(Y434/H434,"0")</f>
        <v>84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1.827</v>
      </c>
      <c r="AA435" s="67"/>
      <c r="AB435" s="67"/>
      <c r="AC435" s="67"/>
    </row>
    <row r="436" spans="1:68" x14ac:dyDescent="0.2">
      <c r="A436" s="651"/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2"/>
      <c r="P436" s="648" t="s">
        <v>40</v>
      </c>
      <c r="Q436" s="649"/>
      <c r="R436" s="649"/>
      <c r="S436" s="649"/>
      <c r="T436" s="649"/>
      <c r="U436" s="649"/>
      <c r="V436" s="650"/>
      <c r="W436" s="42" t="s">
        <v>0</v>
      </c>
      <c r="X436" s="43">
        <f>IFERROR(SUM(X427:X434),"0")</f>
        <v>1250</v>
      </c>
      <c r="Y436" s="43">
        <f>IFERROR(SUM(Y427:Y434),"0")</f>
        <v>1260</v>
      </c>
      <c r="Z436" s="42"/>
      <c r="AA436" s="67"/>
      <c r="AB436" s="67"/>
      <c r="AC436" s="67"/>
    </row>
    <row r="437" spans="1:68" ht="14.25" hidden="1" customHeight="1" x14ac:dyDescent="0.25">
      <c r="A437" s="662" t="s">
        <v>158</v>
      </c>
      <c r="B437" s="662"/>
      <c r="C437" s="662"/>
      <c r="D437" s="662"/>
      <c r="E437" s="662"/>
      <c r="F437" s="662"/>
      <c r="G437" s="662"/>
      <c r="H437" s="662"/>
      <c r="I437" s="662"/>
      <c r="J437" s="662"/>
      <c r="K437" s="662"/>
      <c r="L437" s="662"/>
      <c r="M437" s="662"/>
      <c r="N437" s="662"/>
      <c r="O437" s="662"/>
      <c r="P437" s="662"/>
      <c r="Q437" s="662"/>
      <c r="R437" s="662"/>
      <c r="S437" s="662"/>
      <c r="T437" s="662"/>
      <c r="U437" s="662"/>
      <c r="V437" s="662"/>
      <c r="W437" s="662"/>
      <c r="X437" s="662"/>
      <c r="Y437" s="662"/>
      <c r="Z437" s="662"/>
      <c r="AA437" s="66"/>
      <c r="AB437" s="66"/>
      <c r="AC437" s="80"/>
    </row>
    <row r="438" spans="1:68" ht="27" customHeight="1" x14ac:dyDescent="0.25">
      <c r="A438" s="63" t="s">
        <v>728</v>
      </c>
      <c r="B438" s="63" t="s">
        <v>729</v>
      </c>
      <c r="C438" s="36">
        <v>4301020178</v>
      </c>
      <c r="D438" s="657">
        <v>4607091383980</v>
      </c>
      <c r="E438" s="657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9"/>
      <c r="R438" s="659"/>
      <c r="S438" s="659"/>
      <c r="T438" s="660"/>
      <c r="U438" s="39" t="s">
        <v>46</v>
      </c>
      <c r="V438" s="39" t="s">
        <v>46</v>
      </c>
      <c r="W438" s="40" t="s">
        <v>0</v>
      </c>
      <c r="X438" s="58">
        <v>1500</v>
      </c>
      <c r="Y438" s="55">
        <f>IFERROR(IF(X438="",0,CEILING((X438/$H438),1)*$H438),"")</f>
        <v>1500</v>
      </c>
      <c r="Z438" s="41">
        <f>IFERROR(IF(Y438=0,"",ROUNDUP(Y438/H438,0)*0.02175),"")</f>
        <v>2.1749999999999998</v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1547</v>
      </c>
      <c r="BN438" s="78">
        <f>IFERROR(Y438*I438/H438,"0")</f>
        <v>1547</v>
      </c>
      <c r="BO438" s="78">
        <f>IFERROR(1/J438*(X438/H438),"0")</f>
        <v>2.083333333333333</v>
      </c>
      <c r="BP438" s="78">
        <f>IFERROR(1/J438*(Y438/H438),"0")</f>
        <v>2.083333333333333</v>
      </c>
    </row>
    <row r="439" spans="1:68" ht="27" customHeight="1" x14ac:dyDescent="0.25">
      <c r="A439" s="63" t="s">
        <v>731</v>
      </c>
      <c r="B439" s="63" t="s">
        <v>732</v>
      </c>
      <c r="C439" s="36">
        <v>4301020355</v>
      </c>
      <c r="D439" s="657">
        <v>4680115888425</v>
      </c>
      <c r="E439" s="657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71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9"/>
      <c r="R439" s="659"/>
      <c r="S439" s="659"/>
      <c r="T439" s="660"/>
      <c r="U439" s="39" t="s">
        <v>46</v>
      </c>
      <c r="V439" s="39" t="s">
        <v>46</v>
      </c>
      <c r="W439" s="40" t="s">
        <v>0</v>
      </c>
      <c r="X439" s="58">
        <v>120</v>
      </c>
      <c r="Y439" s="55">
        <f>IFERROR(IF(X439="",0,CEILING((X439/$H439),1)*$H439),"")</f>
        <v>120</v>
      </c>
      <c r="Z439" s="41">
        <f>IFERROR(IF(Y439=0,"",ROUNDUP(Y439/H439,0)*0.02175),"")</f>
        <v>0.17399999999999999</v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123.76</v>
      </c>
      <c r="BN439" s="78">
        <f>IFERROR(Y439*I439/H439,"0")</f>
        <v>123.76</v>
      </c>
      <c r="BO439" s="78">
        <f>IFERROR(1/J439*(X439/H439),"0")</f>
        <v>0.16666666666666666</v>
      </c>
      <c r="BP439" s="78">
        <f>IFERROR(1/J439*(Y439/H439),"0")</f>
        <v>0.16666666666666666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657">
        <v>4607091384178</v>
      </c>
      <c r="E440" s="657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71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9"/>
      <c r="R440" s="659"/>
      <c r="S440" s="659"/>
      <c r="T440" s="66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x14ac:dyDescent="0.2">
      <c r="A441" s="651"/>
      <c r="B441" s="651"/>
      <c r="C441" s="651"/>
      <c r="D441" s="651"/>
      <c r="E441" s="651"/>
      <c r="F441" s="651"/>
      <c r="G441" s="651"/>
      <c r="H441" s="651"/>
      <c r="I441" s="651"/>
      <c r="J441" s="651"/>
      <c r="K441" s="651"/>
      <c r="L441" s="651"/>
      <c r="M441" s="651"/>
      <c r="N441" s="651"/>
      <c r="O441" s="652"/>
      <c r="P441" s="648" t="s">
        <v>40</v>
      </c>
      <c r="Q441" s="649"/>
      <c r="R441" s="649"/>
      <c r="S441" s="649"/>
      <c r="T441" s="649"/>
      <c r="U441" s="649"/>
      <c r="V441" s="650"/>
      <c r="W441" s="42" t="s">
        <v>39</v>
      </c>
      <c r="X441" s="43">
        <f>IFERROR(X438/H438,"0")+IFERROR(X439/H439,"0")+IFERROR(X440/H440,"0")</f>
        <v>108</v>
      </c>
      <c r="Y441" s="43">
        <f>IFERROR(Y438/H438,"0")+IFERROR(Y439/H439,"0")+IFERROR(Y440/H440,"0")</f>
        <v>108</v>
      </c>
      <c r="Z441" s="43">
        <f>IFERROR(IF(Z438="",0,Z438),"0")+IFERROR(IF(Z439="",0,Z439),"0")+IFERROR(IF(Z440="",0,Z440),"0")</f>
        <v>2.3489999999999998</v>
      </c>
      <c r="AA441" s="67"/>
      <c r="AB441" s="67"/>
      <c r="AC441" s="67"/>
    </row>
    <row r="442" spans="1:68" x14ac:dyDescent="0.2">
      <c r="A442" s="651"/>
      <c r="B442" s="651"/>
      <c r="C442" s="651"/>
      <c r="D442" s="651"/>
      <c r="E442" s="651"/>
      <c r="F442" s="651"/>
      <c r="G442" s="651"/>
      <c r="H442" s="651"/>
      <c r="I442" s="651"/>
      <c r="J442" s="651"/>
      <c r="K442" s="651"/>
      <c r="L442" s="651"/>
      <c r="M442" s="651"/>
      <c r="N442" s="651"/>
      <c r="O442" s="652"/>
      <c r="P442" s="648" t="s">
        <v>40</v>
      </c>
      <c r="Q442" s="649"/>
      <c r="R442" s="649"/>
      <c r="S442" s="649"/>
      <c r="T442" s="649"/>
      <c r="U442" s="649"/>
      <c r="V442" s="650"/>
      <c r="W442" s="42" t="s">
        <v>0</v>
      </c>
      <c r="X442" s="43">
        <f>IFERROR(SUM(X438:X440),"0")</f>
        <v>1620</v>
      </c>
      <c r="Y442" s="43">
        <f>IFERROR(SUM(Y438:Y440),"0")</f>
        <v>1620</v>
      </c>
      <c r="Z442" s="42"/>
      <c r="AA442" s="67"/>
      <c r="AB442" s="67"/>
      <c r="AC442" s="67"/>
    </row>
    <row r="443" spans="1:68" ht="14.25" hidden="1" customHeight="1" x14ac:dyDescent="0.25">
      <c r="A443" s="662" t="s">
        <v>86</v>
      </c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2"/>
      <c r="P443" s="662"/>
      <c r="Q443" s="662"/>
      <c r="R443" s="662"/>
      <c r="S443" s="662"/>
      <c r="T443" s="662"/>
      <c r="U443" s="662"/>
      <c r="V443" s="662"/>
      <c r="W443" s="662"/>
      <c r="X443" s="662"/>
      <c r="Y443" s="662"/>
      <c r="Z443" s="662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657">
        <v>4607091383928</v>
      </c>
      <c r="E444" s="657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9"/>
      <c r="R444" s="659"/>
      <c r="S444" s="659"/>
      <c r="T444" s="66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740</v>
      </c>
      <c r="B445" s="63" t="s">
        <v>741</v>
      </c>
      <c r="C445" s="36">
        <v>4301051897</v>
      </c>
      <c r="D445" s="657">
        <v>4607091384260</v>
      </c>
      <c r="E445" s="657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9"/>
      <c r="R445" s="659"/>
      <c r="S445" s="659"/>
      <c r="T445" s="660"/>
      <c r="U445" s="39" t="s">
        <v>46</v>
      </c>
      <c r="V445" s="39" t="s">
        <v>46</v>
      </c>
      <c r="W445" s="40" t="s">
        <v>0</v>
      </c>
      <c r="X445" s="58">
        <v>40</v>
      </c>
      <c r="Y445" s="55">
        <f>IFERROR(IF(X445="",0,CEILING((X445/$H445),1)*$H445),"")</f>
        <v>45</v>
      </c>
      <c r="Z445" s="41">
        <f>IFERROR(IF(Y445=0,"",ROUNDUP(Y445/H445,0)*0.01898),"")</f>
        <v>9.4899999999999998E-2</v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42.195555555555558</v>
      </c>
      <c r="BN445" s="78">
        <f>IFERROR(Y445*I445/H445,"0")</f>
        <v>47.47</v>
      </c>
      <c r="BO445" s="78">
        <f>IFERROR(1/J445*(X445/H445),"0")</f>
        <v>6.9444444444444448E-2</v>
      </c>
      <c r="BP445" s="78">
        <f>IFERROR(1/J445*(Y445/H445),"0")</f>
        <v>7.8125E-2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657">
        <v>4680115889538</v>
      </c>
      <c r="E446" s="657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9"/>
      <c r="R446" s="659"/>
      <c r="S446" s="659"/>
      <c r="T446" s="66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51"/>
      <c r="B447" s="651"/>
      <c r="C447" s="651"/>
      <c r="D447" s="651"/>
      <c r="E447" s="651"/>
      <c r="F447" s="651"/>
      <c r="G447" s="651"/>
      <c r="H447" s="651"/>
      <c r="I447" s="651"/>
      <c r="J447" s="651"/>
      <c r="K447" s="651"/>
      <c r="L447" s="651"/>
      <c r="M447" s="651"/>
      <c r="N447" s="651"/>
      <c r="O447" s="652"/>
      <c r="P447" s="648" t="s">
        <v>40</v>
      </c>
      <c r="Q447" s="649"/>
      <c r="R447" s="649"/>
      <c r="S447" s="649"/>
      <c r="T447" s="649"/>
      <c r="U447" s="649"/>
      <c r="V447" s="650"/>
      <c r="W447" s="42" t="s">
        <v>39</v>
      </c>
      <c r="X447" s="43">
        <f>IFERROR(X444/H444,"0")+IFERROR(X445/H445,"0")+IFERROR(X446/H446,"0")</f>
        <v>4.4444444444444446</v>
      </c>
      <c r="Y447" s="43">
        <f>IFERROR(Y444/H444,"0")+IFERROR(Y445/H445,"0")+IFERROR(Y446/H446,"0")</f>
        <v>5</v>
      </c>
      <c r="Z447" s="43">
        <f>IFERROR(IF(Z444="",0,Z444),"0")+IFERROR(IF(Z445="",0,Z445),"0")+IFERROR(IF(Z446="",0,Z446),"0")</f>
        <v>9.4899999999999998E-2</v>
      </c>
      <c r="AA447" s="67"/>
      <c r="AB447" s="67"/>
      <c r="AC447" s="67"/>
    </row>
    <row r="448" spans="1:68" x14ac:dyDescent="0.2">
      <c r="A448" s="651"/>
      <c r="B448" s="651"/>
      <c r="C448" s="651"/>
      <c r="D448" s="651"/>
      <c r="E448" s="651"/>
      <c r="F448" s="651"/>
      <c r="G448" s="651"/>
      <c r="H448" s="651"/>
      <c r="I448" s="651"/>
      <c r="J448" s="651"/>
      <c r="K448" s="651"/>
      <c r="L448" s="651"/>
      <c r="M448" s="651"/>
      <c r="N448" s="651"/>
      <c r="O448" s="652"/>
      <c r="P448" s="648" t="s">
        <v>40</v>
      </c>
      <c r="Q448" s="649"/>
      <c r="R448" s="649"/>
      <c r="S448" s="649"/>
      <c r="T448" s="649"/>
      <c r="U448" s="649"/>
      <c r="V448" s="650"/>
      <c r="W448" s="42" t="s">
        <v>0</v>
      </c>
      <c r="X448" s="43">
        <f>IFERROR(SUM(X444:X446),"0")</f>
        <v>40</v>
      </c>
      <c r="Y448" s="43">
        <f>IFERROR(SUM(Y444:Y446),"0")</f>
        <v>45</v>
      </c>
      <c r="Z448" s="42"/>
      <c r="AA448" s="67"/>
      <c r="AB448" s="67"/>
      <c r="AC448" s="67"/>
    </row>
    <row r="449" spans="1:68" ht="14.25" hidden="1" customHeight="1" x14ac:dyDescent="0.25">
      <c r="A449" s="662" t="s">
        <v>175</v>
      </c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2"/>
      <c r="P449" s="662"/>
      <c r="Q449" s="662"/>
      <c r="R449" s="662"/>
      <c r="S449" s="662"/>
      <c r="T449" s="662"/>
      <c r="U449" s="662"/>
      <c r="V449" s="662"/>
      <c r="W449" s="662"/>
      <c r="X449" s="662"/>
      <c r="Y449" s="662"/>
      <c r="Z449" s="662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657">
        <v>4680115889545</v>
      </c>
      <c r="E450" s="657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70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9"/>
      <c r="R450" s="659"/>
      <c r="S450" s="659"/>
      <c r="T450" s="66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749</v>
      </c>
      <c r="B451" s="63" t="s">
        <v>750</v>
      </c>
      <c r="C451" s="36">
        <v>4301060524</v>
      </c>
      <c r="D451" s="657">
        <v>4607091384673</v>
      </c>
      <c r="E451" s="65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9"/>
      <c r="R451" s="659"/>
      <c r="S451" s="659"/>
      <c r="T451" s="660"/>
      <c r="U451" s="39" t="s">
        <v>46</v>
      </c>
      <c r="V451" s="39" t="s">
        <v>46</v>
      </c>
      <c r="W451" s="40" t="s">
        <v>0</v>
      </c>
      <c r="X451" s="58">
        <v>30</v>
      </c>
      <c r="Y451" s="55">
        <f>IFERROR(IF(X451="",0,CEILING((X451/$H451),1)*$H451),"")</f>
        <v>36</v>
      </c>
      <c r="Z451" s="41">
        <f>IFERROR(IF(Y451=0,"",ROUNDUP(Y451/H451,0)*0.01898),"")</f>
        <v>7.5920000000000001E-2</v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31.646666666666665</v>
      </c>
      <c r="BN451" s="78">
        <f>IFERROR(Y451*I451/H451,"0")</f>
        <v>37.975999999999999</v>
      </c>
      <c r="BO451" s="78">
        <f>IFERROR(1/J451*(X451/H451),"0")</f>
        <v>5.2083333333333336E-2</v>
      </c>
      <c r="BP451" s="78">
        <f>IFERROR(1/J451*(Y451/H451),"0")</f>
        <v>6.25E-2</v>
      </c>
    </row>
    <row r="452" spans="1:68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2" t="s">
        <v>39</v>
      </c>
      <c r="X452" s="43">
        <f>IFERROR(X450/H450,"0")+IFERROR(X451/H451,"0")</f>
        <v>3.3333333333333335</v>
      </c>
      <c r="Y452" s="43">
        <f>IFERROR(Y450/H450,"0")+IFERROR(Y451/H451,"0")</f>
        <v>4</v>
      </c>
      <c r="Z452" s="43">
        <f>IFERROR(IF(Z450="",0,Z450),"0")+IFERROR(IF(Z451="",0,Z451),"0")</f>
        <v>7.5920000000000001E-2</v>
      </c>
      <c r="AA452" s="67"/>
      <c r="AB452" s="67"/>
      <c r="AC452" s="67"/>
    </row>
    <row r="453" spans="1:68" x14ac:dyDescent="0.2">
      <c r="A453" s="651"/>
      <c r="B453" s="651"/>
      <c r="C453" s="651"/>
      <c r="D453" s="651"/>
      <c r="E453" s="651"/>
      <c r="F453" s="651"/>
      <c r="G453" s="651"/>
      <c r="H453" s="651"/>
      <c r="I453" s="651"/>
      <c r="J453" s="651"/>
      <c r="K453" s="651"/>
      <c r="L453" s="651"/>
      <c r="M453" s="651"/>
      <c r="N453" s="651"/>
      <c r="O453" s="652"/>
      <c r="P453" s="648" t="s">
        <v>40</v>
      </c>
      <c r="Q453" s="649"/>
      <c r="R453" s="649"/>
      <c r="S453" s="649"/>
      <c r="T453" s="649"/>
      <c r="U453" s="649"/>
      <c r="V453" s="650"/>
      <c r="W453" s="42" t="s">
        <v>0</v>
      </c>
      <c r="X453" s="43">
        <f>IFERROR(SUM(X450:X451),"0")</f>
        <v>30</v>
      </c>
      <c r="Y453" s="43">
        <f>IFERROR(SUM(Y450:Y451),"0")</f>
        <v>36</v>
      </c>
      <c r="Z453" s="42"/>
      <c r="AA453" s="67"/>
      <c r="AB453" s="67"/>
      <c r="AC453" s="67"/>
    </row>
    <row r="454" spans="1:68" ht="16.5" hidden="1" customHeight="1" x14ac:dyDescent="0.25">
      <c r="A454" s="661" t="s">
        <v>752</v>
      </c>
      <c r="B454" s="661"/>
      <c r="C454" s="661"/>
      <c r="D454" s="661"/>
      <c r="E454" s="661"/>
      <c r="F454" s="661"/>
      <c r="G454" s="661"/>
      <c r="H454" s="661"/>
      <c r="I454" s="661"/>
      <c r="J454" s="661"/>
      <c r="K454" s="661"/>
      <c r="L454" s="661"/>
      <c r="M454" s="661"/>
      <c r="N454" s="661"/>
      <c r="O454" s="661"/>
      <c r="P454" s="661"/>
      <c r="Q454" s="661"/>
      <c r="R454" s="661"/>
      <c r="S454" s="661"/>
      <c r="T454" s="661"/>
      <c r="U454" s="661"/>
      <c r="V454" s="661"/>
      <c r="W454" s="661"/>
      <c r="X454" s="661"/>
      <c r="Y454" s="661"/>
      <c r="Z454" s="661"/>
      <c r="AA454" s="65"/>
      <c r="AB454" s="65"/>
      <c r="AC454" s="79"/>
    </row>
    <row r="455" spans="1:68" ht="14.25" hidden="1" customHeight="1" x14ac:dyDescent="0.25">
      <c r="A455" s="662" t="s">
        <v>122</v>
      </c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2"/>
      <c r="P455" s="662"/>
      <c r="Q455" s="662"/>
      <c r="R455" s="662"/>
      <c r="S455" s="662"/>
      <c r="T455" s="662"/>
      <c r="U455" s="662"/>
      <c r="V455" s="662"/>
      <c r="W455" s="662"/>
      <c r="X455" s="662"/>
      <c r="Y455" s="662"/>
      <c r="Z455" s="662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657">
        <v>4680115884885</v>
      </c>
      <c r="E456" s="657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9"/>
      <c r="R456" s="659"/>
      <c r="S456" s="659"/>
      <c r="T456" s="66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657">
        <v>4680115884908</v>
      </c>
      <c r="E457" s="657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9"/>
      <c r="R457" s="659"/>
      <c r="S457" s="659"/>
      <c r="T457" s="66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51"/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2"/>
      <c r="P458" s="648" t="s">
        <v>40</v>
      </c>
      <c r="Q458" s="649"/>
      <c r="R458" s="649"/>
      <c r="S458" s="649"/>
      <c r="T458" s="649"/>
      <c r="U458" s="649"/>
      <c r="V458" s="650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51"/>
      <c r="B459" s="651"/>
      <c r="C459" s="651"/>
      <c r="D459" s="651"/>
      <c r="E459" s="651"/>
      <c r="F459" s="651"/>
      <c r="G459" s="651"/>
      <c r="H459" s="651"/>
      <c r="I459" s="651"/>
      <c r="J459" s="651"/>
      <c r="K459" s="651"/>
      <c r="L459" s="651"/>
      <c r="M459" s="651"/>
      <c r="N459" s="651"/>
      <c r="O459" s="652"/>
      <c r="P459" s="648" t="s">
        <v>40</v>
      </c>
      <c r="Q459" s="649"/>
      <c r="R459" s="649"/>
      <c r="S459" s="649"/>
      <c r="T459" s="649"/>
      <c r="U459" s="649"/>
      <c r="V459" s="650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62" t="s">
        <v>77</v>
      </c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2"/>
      <c r="P460" s="662"/>
      <c r="Q460" s="662"/>
      <c r="R460" s="662"/>
      <c r="S460" s="662"/>
      <c r="T460" s="662"/>
      <c r="U460" s="662"/>
      <c r="V460" s="662"/>
      <c r="W460" s="662"/>
      <c r="X460" s="662"/>
      <c r="Y460" s="662"/>
      <c r="Z460" s="662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657">
        <v>4607091384802</v>
      </c>
      <c r="E461" s="657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9"/>
      <c r="R461" s="659"/>
      <c r="S461" s="659"/>
      <c r="T461" s="66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2" t="s">
        <v>86</v>
      </c>
      <c r="B464" s="662"/>
      <c r="C464" s="662"/>
      <c r="D464" s="662"/>
      <c r="E464" s="662"/>
      <c r="F464" s="662"/>
      <c r="G464" s="662"/>
      <c r="H464" s="662"/>
      <c r="I464" s="662"/>
      <c r="J464" s="662"/>
      <c r="K464" s="662"/>
      <c r="L464" s="662"/>
      <c r="M464" s="662"/>
      <c r="N464" s="662"/>
      <c r="O464" s="662"/>
      <c r="P464" s="662"/>
      <c r="Q464" s="662"/>
      <c r="R464" s="662"/>
      <c r="S464" s="662"/>
      <c r="T464" s="662"/>
      <c r="U464" s="662"/>
      <c r="V464" s="662"/>
      <c r="W464" s="662"/>
      <c r="X464" s="662"/>
      <c r="Y464" s="662"/>
      <c r="Z464" s="662"/>
      <c r="AA464" s="66"/>
      <c r="AB464" s="66"/>
      <c r="AC464" s="80"/>
    </row>
    <row r="465" spans="1:68" ht="27" customHeight="1" x14ac:dyDescent="0.25">
      <c r="A465" s="63" t="s">
        <v>761</v>
      </c>
      <c r="B465" s="63" t="s">
        <v>762</v>
      </c>
      <c r="C465" s="36">
        <v>4301051899</v>
      </c>
      <c r="D465" s="657">
        <v>4607091384246</v>
      </c>
      <c r="E465" s="657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9"/>
      <c r="R465" s="659"/>
      <c r="S465" s="659"/>
      <c r="T465" s="660"/>
      <c r="U465" s="39" t="s">
        <v>46</v>
      </c>
      <c r="V465" s="39" t="s">
        <v>46</v>
      </c>
      <c r="W465" s="40" t="s">
        <v>0</v>
      </c>
      <c r="X465" s="58">
        <v>30</v>
      </c>
      <c r="Y465" s="55">
        <f>IFERROR(IF(X465="",0,CEILING((X465/$H465),1)*$H465),"")</f>
        <v>36</v>
      </c>
      <c r="Z465" s="41">
        <f>IFERROR(IF(Y465=0,"",ROUNDUP(Y465/H465,0)*0.01898),"")</f>
        <v>7.5920000000000001E-2</v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31.646666666666665</v>
      </c>
      <c r="BN465" s="78">
        <f>IFERROR(Y465*I465/H465,"0")</f>
        <v>37.975999999999999</v>
      </c>
      <c r="BO465" s="78">
        <f>IFERROR(1/J465*(X465/H465),"0")</f>
        <v>5.2083333333333336E-2</v>
      </c>
      <c r="BP465" s="78">
        <f>IFERROR(1/J465*(Y465/H465),"0")</f>
        <v>6.25E-2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657">
        <v>4607091384253</v>
      </c>
      <c r="E466" s="657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9"/>
      <c r="R466" s="659"/>
      <c r="S466" s="659"/>
      <c r="T466" s="66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657">
        <v>4607091384253</v>
      </c>
      <c r="E467" s="657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9"/>
      <c r="R467" s="659"/>
      <c r="S467" s="659"/>
      <c r="T467" s="66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51"/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2"/>
      <c r="P468" s="648" t="s">
        <v>40</v>
      </c>
      <c r="Q468" s="649"/>
      <c r="R468" s="649"/>
      <c r="S468" s="649"/>
      <c r="T468" s="649"/>
      <c r="U468" s="649"/>
      <c r="V468" s="650"/>
      <c r="W468" s="42" t="s">
        <v>39</v>
      </c>
      <c r="X468" s="43">
        <f>IFERROR(X465/H465,"0")+IFERROR(X466/H466,"0")+IFERROR(X467/H467,"0")</f>
        <v>3.3333333333333335</v>
      </c>
      <c r="Y468" s="43">
        <f>IFERROR(Y465/H465,"0")+IFERROR(Y466/H466,"0")+IFERROR(Y467/H467,"0")</f>
        <v>4</v>
      </c>
      <c r="Z468" s="43">
        <f>IFERROR(IF(Z465="",0,Z465),"0")+IFERROR(IF(Z466="",0,Z466),"0")+IFERROR(IF(Z467="",0,Z467),"0")</f>
        <v>7.5920000000000001E-2</v>
      </c>
      <c r="AA468" s="67"/>
      <c r="AB468" s="67"/>
      <c r="AC468" s="67"/>
    </row>
    <row r="469" spans="1:68" x14ac:dyDescent="0.2">
      <c r="A469" s="651"/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2"/>
      <c r="P469" s="648" t="s">
        <v>40</v>
      </c>
      <c r="Q469" s="649"/>
      <c r="R469" s="649"/>
      <c r="S469" s="649"/>
      <c r="T469" s="649"/>
      <c r="U469" s="649"/>
      <c r="V469" s="650"/>
      <c r="W469" s="42" t="s">
        <v>0</v>
      </c>
      <c r="X469" s="43">
        <f>IFERROR(SUM(X465:X467),"0")</f>
        <v>30</v>
      </c>
      <c r="Y469" s="43">
        <f>IFERROR(SUM(Y465:Y467),"0")</f>
        <v>36</v>
      </c>
      <c r="Z469" s="42"/>
      <c r="AA469" s="67"/>
      <c r="AB469" s="67"/>
      <c r="AC469" s="67"/>
    </row>
    <row r="470" spans="1:68" ht="27.75" hidden="1" customHeight="1" x14ac:dyDescent="0.2">
      <c r="A470" s="668" t="s">
        <v>768</v>
      </c>
      <c r="B470" s="668"/>
      <c r="C470" s="668"/>
      <c r="D470" s="668"/>
      <c r="E470" s="668"/>
      <c r="F470" s="668"/>
      <c r="G470" s="668"/>
      <c r="H470" s="668"/>
      <c r="I470" s="668"/>
      <c r="J470" s="668"/>
      <c r="K470" s="668"/>
      <c r="L470" s="668"/>
      <c r="M470" s="668"/>
      <c r="N470" s="668"/>
      <c r="O470" s="668"/>
      <c r="P470" s="668"/>
      <c r="Q470" s="668"/>
      <c r="R470" s="668"/>
      <c r="S470" s="668"/>
      <c r="T470" s="668"/>
      <c r="U470" s="668"/>
      <c r="V470" s="668"/>
      <c r="W470" s="668"/>
      <c r="X470" s="668"/>
      <c r="Y470" s="668"/>
      <c r="Z470" s="668"/>
      <c r="AA470" s="54"/>
      <c r="AB470" s="54"/>
      <c r="AC470" s="54"/>
    </row>
    <row r="471" spans="1:68" ht="16.5" hidden="1" customHeight="1" x14ac:dyDescent="0.25">
      <c r="A471" s="661" t="s">
        <v>769</v>
      </c>
      <c r="B471" s="661"/>
      <c r="C471" s="661"/>
      <c r="D471" s="661"/>
      <c r="E471" s="661"/>
      <c r="F471" s="661"/>
      <c r="G471" s="661"/>
      <c r="H471" s="661"/>
      <c r="I471" s="661"/>
      <c r="J471" s="661"/>
      <c r="K471" s="661"/>
      <c r="L471" s="661"/>
      <c r="M471" s="661"/>
      <c r="N471" s="661"/>
      <c r="O471" s="661"/>
      <c r="P471" s="661"/>
      <c r="Q471" s="661"/>
      <c r="R471" s="661"/>
      <c r="S471" s="661"/>
      <c r="T471" s="661"/>
      <c r="U471" s="661"/>
      <c r="V471" s="661"/>
      <c r="W471" s="661"/>
      <c r="X471" s="661"/>
      <c r="Y471" s="661"/>
      <c r="Z471" s="661"/>
      <c r="AA471" s="65"/>
      <c r="AB471" s="65"/>
      <c r="AC471" s="79"/>
    </row>
    <row r="472" spans="1:68" ht="14.25" hidden="1" customHeight="1" x14ac:dyDescent="0.25">
      <c r="A472" s="662" t="s">
        <v>77</v>
      </c>
      <c r="B472" s="662"/>
      <c r="C472" s="662"/>
      <c r="D472" s="662"/>
      <c r="E472" s="662"/>
      <c r="F472" s="662"/>
      <c r="G472" s="662"/>
      <c r="H472" s="662"/>
      <c r="I472" s="662"/>
      <c r="J472" s="662"/>
      <c r="K472" s="662"/>
      <c r="L472" s="662"/>
      <c r="M472" s="662"/>
      <c r="N472" s="662"/>
      <c r="O472" s="662"/>
      <c r="P472" s="662"/>
      <c r="Q472" s="662"/>
      <c r="R472" s="662"/>
      <c r="S472" s="662"/>
      <c r="T472" s="662"/>
      <c r="U472" s="662"/>
      <c r="V472" s="662"/>
      <c r="W472" s="662"/>
      <c r="X472" s="662"/>
      <c r="Y472" s="662"/>
      <c r="Z472" s="662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657">
        <v>4680115886100</v>
      </c>
      <c r="E473" s="657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9"/>
      <c r="R473" s="659"/>
      <c r="S473" s="659"/>
      <c r="T473" s="66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657">
        <v>4680115886124</v>
      </c>
      <c r="E474" s="657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9"/>
      <c r="R474" s="659"/>
      <c r="S474" s="659"/>
      <c r="T474" s="66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657">
        <v>4607091384338</v>
      </c>
      <c r="E475" s="657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9"/>
      <c r="R475" s="659"/>
      <c r="S475" s="659"/>
      <c r="T475" s="66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657">
        <v>4680115883161</v>
      </c>
      <c r="E476" s="657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9"/>
      <c r="R476" s="659"/>
      <c r="S476" s="659"/>
      <c r="T476" s="66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657">
        <v>4607091389531</v>
      </c>
      <c r="E477" s="657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9"/>
      <c r="R477" s="659"/>
      <c r="S477" s="659"/>
      <c r="T477" s="66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657">
        <v>4607091384345</v>
      </c>
      <c r="E478" s="657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9"/>
      <c r="R478" s="659"/>
      <c r="S478" s="659"/>
      <c r="T478" s="66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651"/>
      <c r="B480" s="651"/>
      <c r="C480" s="651"/>
      <c r="D480" s="651"/>
      <c r="E480" s="651"/>
      <c r="F480" s="651"/>
      <c r="G480" s="651"/>
      <c r="H480" s="651"/>
      <c r="I480" s="651"/>
      <c r="J480" s="651"/>
      <c r="K480" s="651"/>
      <c r="L480" s="651"/>
      <c r="M480" s="651"/>
      <c r="N480" s="651"/>
      <c r="O480" s="652"/>
      <c r="P480" s="648" t="s">
        <v>40</v>
      </c>
      <c r="Q480" s="649"/>
      <c r="R480" s="649"/>
      <c r="S480" s="649"/>
      <c r="T480" s="649"/>
      <c r="U480" s="649"/>
      <c r="V480" s="650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662" t="s">
        <v>86</v>
      </c>
      <c r="B481" s="662"/>
      <c r="C481" s="662"/>
      <c r="D481" s="662"/>
      <c r="E481" s="662"/>
      <c r="F481" s="662"/>
      <c r="G481" s="662"/>
      <c r="H481" s="662"/>
      <c r="I481" s="662"/>
      <c r="J481" s="662"/>
      <c r="K481" s="662"/>
      <c r="L481" s="662"/>
      <c r="M481" s="662"/>
      <c r="N481" s="662"/>
      <c r="O481" s="662"/>
      <c r="P481" s="662"/>
      <c r="Q481" s="662"/>
      <c r="R481" s="662"/>
      <c r="S481" s="662"/>
      <c r="T481" s="662"/>
      <c r="U481" s="662"/>
      <c r="V481" s="662"/>
      <c r="W481" s="662"/>
      <c r="X481" s="662"/>
      <c r="Y481" s="662"/>
      <c r="Z481" s="662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657">
        <v>4607091384352</v>
      </c>
      <c r="E482" s="657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9"/>
      <c r="R482" s="659"/>
      <c r="S482" s="659"/>
      <c r="T482" s="660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657">
        <v>4607091389654</v>
      </c>
      <c r="E483" s="657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9"/>
      <c r="R483" s="659"/>
      <c r="S483" s="659"/>
      <c r="T483" s="66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651"/>
      <c r="B485" s="651"/>
      <c r="C485" s="651"/>
      <c r="D485" s="651"/>
      <c r="E485" s="651"/>
      <c r="F485" s="651"/>
      <c r="G485" s="651"/>
      <c r="H485" s="651"/>
      <c r="I485" s="651"/>
      <c r="J485" s="651"/>
      <c r="K485" s="651"/>
      <c r="L485" s="651"/>
      <c r="M485" s="651"/>
      <c r="N485" s="651"/>
      <c r="O485" s="652"/>
      <c r="P485" s="648" t="s">
        <v>40</v>
      </c>
      <c r="Q485" s="649"/>
      <c r="R485" s="649"/>
      <c r="S485" s="649"/>
      <c r="T485" s="649"/>
      <c r="U485" s="649"/>
      <c r="V485" s="650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661" t="s">
        <v>792</v>
      </c>
      <c r="B486" s="661"/>
      <c r="C486" s="661"/>
      <c r="D486" s="661"/>
      <c r="E486" s="661"/>
      <c r="F486" s="661"/>
      <c r="G486" s="661"/>
      <c r="H486" s="661"/>
      <c r="I486" s="661"/>
      <c r="J486" s="661"/>
      <c r="K486" s="661"/>
      <c r="L486" s="661"/>
      <c r="M486" s="661"/>
      <c r="N486" s="661"/>
      <c r="O486" s="661"/>
      <c r="P486" s="661"/>
      <c r="Q486" s="661"/>
      <c r="R486" s="661"/>
      <c r="S486" s="661"/>
      <c r="T486" s="661"/>
      <c r="U486" s="661"/>
      <c r="V486" s="661"/>
      <c r="W486" s="661"/>
      <c r="X486" s="661"/>
      <c r="Y486" s="661"/>
      <c r="Z486" s="661"/>
      <c r="AA486" s="65"/>
      <c r="AB486" s="65"/>
      <c r="AC486" s="79"/>
    </row>
    <row r="487" spans="1:68" ht="14.25" hidden="1" customHeight="1" x14ac:dyDescent="0.25">
      <c r="A487" s="662" t="s">
        <v>158</v>
      </c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2"/>
      <c r="P487" s="662"/>
      <c r="Q487" s="662"/>
      <c r="R487" s="662"/>
      <c r="S487" s="662"/>
      <c r="T487" s="662"/>
      <c r="U487" s="662"/>
      <c r="V487" s="662"/>
      <c r="W487" s="662"/>
      <c r="X487" s="662"/>
      <c r="Y487" s="662"/>
      <c r="Z487" s="662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657">
        <v>4680115885240</v>
      </c>
      <c r="E488" s="657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9"/>
      <c r="R488" s="659"/>
      <c r="S488" s="659"/>
      <c r="T488" s="66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662" t="s">
        <v>77</v>
      </c>
      <c r="B491" s="662"/>
      <c r="C491" s="662"/>
      <c r="D491" s="662"/>
      <c r="E491" s="662"/>
      <c r="F491" s="662"/>
      <c r="G491" s="662"/>
      <c r="H491" s="662"/>
      <c r="I491" s="662"/>
      <c r="J491" s="662"/>
      <c r="K491" s="662"/>
      <c r="L491" s="662"/>
      <c r="M491" s="662"/>
      <c r="N491" s="662"/>
      <c r="O491" s="662"/>
      <c r="P491" s="662"/>
      <c r="Q491" s="662"/>
      <c r="R491" s="662"/>
      <c r="S491" s="662"/>
      <c r="T491" s="662"/>
      <c r="U491" s="662"/>
      <c r="V491" s="662"/>
      <c r="W491" s="662"/>
      <c r="X491" s="662"/>
      <c r="Y491" s="662"/>
      <c r="Z491" s="662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657">
        <v>4680115886094</v>
      </c>
      <c r="E492" s="657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9"/>
      <c r="R492" s="659"/>
      <c r="S492" s="659"/>
      <c r="T492" s="66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657">
        <v>4680115880771</v>
      </c>
      <c r="E493" s="657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9"/>
      <c r="R493" s="659"/>
      <c r="S493" s="659"/>
      <c r="T493" s="660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657">
        <v>4607091389500</v>
      </c>
      <c r="E494" s="657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9"/>
      <c r="R494" s="659"/>
      <c r="S494" s="659"/>
      <c r="T494" s="66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668" t="s">
        <v>804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hidden="1" customHeight="1" x14ac:dyDescent="0.25">
      <c r="A498" s="661" t="s">
        <v>804</v>
      </c>
      <c r="B498" s="661"/>
      <c r="C498" s="661"/>
      <c r="D498" s="661"/>
      <c r="E498" s="661"/>
      <c r="F498" s="661"/>
      <c r="G498" s="661"/>
      <c r="H498" s="661"/>
      <c r="I498" s="661"/>
      <c r="J498" s="661"/>
      <c r="K498" s="661"/>
      <c r="L498" s="661"/>
      <c r="M498" s="661"/>
      <c r="N498" s="661"/>
      <c r="O498" s="661"/>
      <c r="P498" s="661"/>
      <c r="Q498" s="661"/>
      <c r="R498" s="661"/>
      <c r="S498" s="661"/>
      <c r="T498" s="661"/>
      <c r="U498" s="661"/>
      <c r="V498" s="661"/>
      <c r="W498" s="661"/>
      <c r="X498" s="661"/>
      <c r="Y498" s="661"/>
      <c r="Z498" s="661"/>
      <c r="AA498" s="65"/>
      <c r="AB498" s="65"/>
      <c r="AC498" s="79"/>
    </row>
    <row r="499" spans="1:68" ht="14.25" hidden="1" customHeight="1" x14ac:dyDescent="0.25">
      <c r="A499" s="662" t="s">
        <v>122</v>
      </c>
      <c r="B499" s="662"/>
      <c r="C499" s="662"/>
      <c r="D499" s="662"/>
      <c r="E499" s="662"/>
      <c r="F499" s="662"/>
      <c r="G499" s="662"/>
      <c r="H499" s="662"/>
      <c r="I499" s="662"/>
      <c r="J499" s="662"/>
      <c r="K499" s="662"/>
      <c r="L499" s="662"/>
      <c r="M499" s="662"/>
      <c r="N499" s="662"/>
      <c r="O499" s="662"/>
      <c r="P499" s="662"/>
      <c r="Q499" s="662"/>
      <c r="R499" s="662"/>
      <c r="S499" s="662"/>
      <c r="T499" s="662"/>
      <c r="U499" s="662"/>
      <c r="V499" s="662"/>
      <c r="W499" s="662"/>
      <c r="X499" s="662"/>
      <c r="Y499" s="662"/>
      <c r="Z499" s="662"/>
      <c r="AA499" s="66"/>
      <c r="AB499" s="66"/>
      <c r="AC499" s="80"/>
    </row>
    <row r="500" spans="1:68" ht="27" customHeight="1" x14ac:dyDescent="0.25">
      <c r="A500" s="63" t="s">
        <v>805</v>
      </c>
      <c r="B500" s="63" t="s">
        <v>806</v>
      </c>
      <c r="C500" s="36">
        <v>4301011769</v>
      </c>
      <c r="D500" s="657">
        <v>4607091389067</v>
      </c>
      <c r="E500" s="65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6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9"/>
      <c r="R500" s="659"/>
      <c r="S500" s="659"/>
      <c r="T500" s="660"/>
      <c r="U500" s="39" t="s">
        <v>46</v>
      </c>
      <c r="V500" s="39" t="s">
        <v>46</v>
      </c>
      <c r="W500" s="40" t="s">
        <v>0</v>
      </c>
      <c r="X500" s="58">
        <v>40</v>
      </c>
      <c r="Y500" s="55">
        <f t="shared" ref="Y500:Y508" si="68">IFERROR(IF(X500="",0,CEILING((X500/$H500),1)*$H500),"")</f>
        <v>42.24</v>
      </c>
      <c r="Z500" s="41">
        <f t="shared" ref="Z500:Z505" si="69">IFERROR(IF(Y500=0,"",ROUNDUP(Y500/H500,0)*0.01196),"")</f>
        <v>9.5680000000000001E-2</v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42.651515151515149</v>
      </c>
      <c r="BN500" s="78">
        <f t="shared" ref="BN500:BN508" si="71">IFERROR(Y500*I500/H500,"0")</f>
        <v>45.04</v>
      </c>
      <c r="BO500" s="78">
        <f t="shared" ref="BO500:BO508" si="72">IFERROR(1/J500*(X500/H500),"0")</f>
        <v>7.2843822843822847E-2</v>
      </c>
      <c r="BP500" s="78">
        <f t="shared" ref="BP500:BP508" si="73">IFERROR(1/J500*(Y500/H500),"0")</f>
        <v>7.6923076923076927E-2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657">
        <v>4680115889576</v>
      </c>
      <c r="E501" s="657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9"/>
      <c r="R501" s="659"/>
      <c r="S501" s="659"/>
      <c r="T501" s="66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657">
        <v>4680115885271</v>
      </c>
      <c r="E502" s="657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9"/>
      <c r="R502" s="659"/>
      <c r="S502" s="659"/>
      <c r="T502" s="66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hidden="1" customHeight="1" x14ac:dyDescent="0.25">
      <c r="A503" s="63" t="s">
        <v>813</v>
      </c>
      <c r="B503" s="63" t="s">
        <v>814</v>
      </c>
      <c r="C503" s="36">
        <v>4301011369</v>
      </c>
      <c r="D503" s="657">
        <v>4680115885226</v>
      </c>
      <c r="E503" s="65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9"/>
      <c r="R503" s="659"/>
      <c r="S503" s="659"/>
      <c r="T503" s="660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657">
        <v>4680115884502</v>
      </c>
      <c r="E504" s="65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9"/>
      <c r="R504" s="659"/>
      <c r="S504" s="659"/>
      <c r="T504" s="66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4301011771</v>
      </c>
      <c r="D505" s="657">
        <v>4607091389104</v>
      </c>
      <c r="E505" s="65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9"/>
      <c r="R505" s="659"/>
      <c r="S505" s="659"/>
      <c r="T505" s="660"/>
      <c r="U505" s="39" t="s">
        <v>46</v>
      </c>
      <c r="V505" s="39" t="s">
        <v>46</v>
      </c>
      <c r="W505" s="40" t="s">
        <v>0</v>
      </c>
      <c r="X505" s="58">
        <v>200</v>
      </c>
      <c r="Y505" s="55">
        <f t="shared" si="68"/>
        <v>200.64000000000001</v>
      </c>
      <c r="Z505" s="41">
        <f t="shared" si="69"/>
        <v>0.45448</v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213.25757575757575</v>
      </c>
      <c r="BN505" s="78">
        <f t="shared" si="71"/>
        <v>213.94</v>
      </c>
      <c r="BO505" s="78">
        <f t="shared" si="72"/>
        <v>0.36421911421911418</v>
      </c>
      <c r="BP505" s="78">
        <f t="shared" si="73"/>
        <v>0.36538461538461542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657">
        <v>4680115886391</v>
      </c>
      <c r="E506" s="657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6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9"/>
      <c r="R506" s="659"/>
      <c r="S506" s="659"/>
      <c r="T506" s="66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customHeight="1" x14ac:dyDescent="0.25">
      <c r="A507" s="63" t="s">
        <v>824</v>
      </c>
      <c r="B507" s="63" t="s">
        <v>825</v>
      </c>
      <c r="C507" s="36">
        <v>4301012048</v>
      </c>
      <c r="D507" s="657">
        <v>4680115880603</v>
      </c>
      <c r="E507" s="65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9"/>
      <c r="R507" s="659"/>
      <c r="S507" s="659"/>
      <c r="T507" s="660"/>
      <c r="U507" s="39" t="s">
        <v>46</v>
      </c>
      <c r="V507" s="39" t="s">
        <v>46</v>
      </c>
      <c r="W507" s="40" t="s">
        <v>0</v>
      </c>
      <c r="X507" s="58">
        <v>60</v>
      </c>
      <c r="Y507" s="55">
        <f t="shared" si="68"/>
        <v>62.4</v>
      </c>
      <c r="Z507" s="41">
        <f>IFERROR(IF(Y507=0,"",ROUNDUP(Y507/H507,0)*0.00902),"")</f>
        <v>0.11726</v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86.375000000000014</v>
      </c>
      <c r="BN507" s="78">
        <f t="shared" si="71"/>
        <v>89.830000000000013</v>
      </c>
      <c r="BO507" s="78">
        <f t="shared" si="72"/>
        <v>9.4696969696969696E-2</v>
      </c>
      <c r="BP507" s="78">
        <f t="shared" si="73"/>
        <v>9.8484848484848481E-2</v>
      </c>
    </row>
    <row r="508" spans="1:68" ht="27" customHeight="1" x14ac:dyDescent="0.25">
      <c r="A508" s="63" t="s">
        <v>826</v>
      </c>
      <c r="B508" s="63" t="s">
        <v>827</v>
      </c>
      <c r="C508" s="36">
        <v>4301012034</v>
      </c>
      <c r="D508" s="657">
        <v>4607091389982</v>
      </c>
      <c r="E508" s="657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9"/>
      <c r="R508" s="659"/>
      <c r="S508" s="659"/>
      <c r="T508" s="660"/>
      <c r="U508" s="39" t="s">
        <v>46</v>
      </c>
      <c r="V508" s="39" t="s">
        <v>46</v>
      </c>
      <c r="W508" s="40" t="s">
        <v>0</v>
      </c>
      <c r="X508" s="58">
        <v>198</v>
      </c>
      <c r="Y508" s="55">
        <f t="shared" si="68"/>
        <v>201.6</v>
      </c>
      <c r="Z508" s="41">
        <f>IFERROR(IF(Y508=0,"",ROUNDUP(Y508/H508,0)*0.00902),"")</f>
        <v>0.37884000000000001</v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285.03750000000002</v>
      </c>
      <c r="BN508" s="78">
        <f t="shared" si="71"/>
        <v>290.22000000000003</v>
      </c>
      <c r="BO508" s="78">
        <f t="shared" si="72"/>
        <v>0.3125</v>
      </c>
      <c r="BP508" s="78">
        <f t="shared" si="73"/>
        <v>0.31818181818181818</v>
      </c>
    </row>
    <row r="509" spans="1:68" x14ac:dyDescent="0.2">
      <c r="A509" s="651"/>
      <c r="B509" s="651"/>
      <c r="C509" s="651"/>
      <c r="D509" s="651"/>
      <c r="E509" s="651"/>
      <c r="F509" s="651"/>
      <c r="G509" s="651"/>
      <c r="H509" s="651"/>
      <c r="I509" s="651"/>
      <c r="J509" s="651"/>
      <c r="K509" s="651"/>
      <c r="L509" s="651"/>
      <c r="M509" s="651"/>
      <c r="N509" s="651"/>
      <c r="O509" s="652"/>
      <c r="P509" s="648" t="s">
        <v>40</v>
      </c>
      <c r="Q509" s="649"/>
      <c r="R509" s="649"/>
      <c r="S509" s="649"/>
      <c r="T509" s="649"/>
      <c r="U509" s="649"/>
      <c r="V509" s="650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99.204545454545453</v>
      </c>
      <c r="Y509" s="43">
        <f>IFERROR(Y500/H500,"0")+IFERROR(Y501/H501,"0")+IFERROR(Y502/H502,"0")+IFERROR(Y503/H503,"0")+IFERROR(Y504/H504,"0")+IFERROR(Y505/H505,"0")+IFERROR(Y506/H506,"0")+IFERROR(Y507/H507,"0")+IFERROR(Y508/H508,"0")</f>
        <v>101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1.04626</v>
      </c>
      <c r="AA509" s="67"/>
      <c r="AB509" s="67"/>
      <c r="AC509" s="67"/>
    </row>
    <row r="510" spans="1:68" x14ac:dyDescent="0.2">
      <c r="A510" s="651"/>
      <c r="B510" s="651"/>
      <c r="C510" s="651"/>
      <c r="D510" s="651"/>
      <c r="E510" s="651"/>
      <c r="F510" s="651"/>
      <c r="G510" s="651"/>
      <c r="H510" s="651"/>
      <c r="I510" s="651"/>
      <c r="J510" s="651"/>
      <c r="K510" s="651"/>
      <c r="L510" s="651"/>
      <c r="M510" s="651"/>
      <c r="N510" s="651"/>
      <c r="O510" s="652"/>
      <c r="P510" s="648" t="s">
        <v>40</v>
      </c>
      <c r="Q510" s="649"/>
      <c r="R510" s="649"/>
      <c r="S510" s="649"/>
      <c r="T510" s="649"/>
      <c r="U510" s="649"/>
      <c r="V510" s="650"/>
      <c r="W510" s="42" t="s">
        <v>0</v>
      </c>
      <c r="X510" s="43">
        <f>IFERROR(SUM(X500:X508),"0")</f>
        <v>498</v>
      </c>
      <c r="Y510" s="43">
        <f>IFERROR(SUM(Y500:Y508),"0")</f>
        <v>506.88</v>
      </c>
      <c r="Z510" s="42"/>
      <c r="AA510" s="67"/>
      <c r="AB510" s="67"/>
      <c r="AC510" s="67"/>
    </row>
    <row r="511" spans="1:68" ht="14.25" hidden="1" customHeight="1" x14ac:dyDescent="0.25">
      <c r="A511" s="662" t="s">
        <v>158</v>
      </c>
      <c r="B511" s="662"/>
      <c r="C511" s="662"/>
      <c r="D511" s="662"/>
      <c r="E511" s="662"/>
      <c r="F511" s="662"/>
      <c r="G511" s="662"/>
      <c r="H511" s="662"/>
      <c r="I511" s="662"/>
      <c r="J511" s="662"/>
      <c r="K511" s="662"/>
      <c r="L511" s="662"/>
      <c r="M511" s="662"/>
      <c r="N511" s="662"/>
      <c r="O511" s="662"/>
      <c r="P511" s="662"/>
      <c r="Q511" s="662"/>
      <c r="R511" s="662"/>
      <c r="S511" s="662"/>
      <c r="T511" s="662"/>
      <c r="U511" s="662"/>
      <c r="V511" s="662"/>
      <c r="W511" s="662"/>
      <c r="X511" s="662"/>
      <c r="Y511" s="662"/>
      <c r="Z511" s="662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657">
        <v>4607091388930</v>
      </c>
      <c r="E512" s="657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9"/>
      <c r="R512" s="659"/>
      <c r="S512" s="659"/>
      <c r="T512" s="660"/>
      <c r="U512" s="39" t="s">
        <v>46</v>
      </c>
      <c r="V512" s="39" t="s">
        <v>46</v>
      </c>
      <c r="W512" s="40" t="s">
        <v>0</v>
      </c>
      <c r="X512" s="58">
        <v>220</v>
      </c>
      <c r="Y512" s="55">
        <f>IFERROR(IF(X512="",0,CEILING((X512/$H512),1)*$H512),"")</f>
        <v>221.76000000000002</v>
      </c>
      <c r="Z512" s="41">
        <f>IFERROR(IF(Y512=0,"",ROUNDUP(Y512/H512,0)*0.01196),"")</f>
        <v>0.50231999999999999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234.58333333333331</v>
      </c>
      <c r="BN512" s="78">
        <f>IFERROR(Y512*I512/H512,"0")</f>
        <v>236.46</v>
      </c>
      <c r="BO512" s="78">
        <f>IFERROR(1/J512*(X512/H512),"0")</f>
        <v>0.40064102564102566</v>
      </c>
      <c r="BP512" s="78">
        <f>IFERROR(1/J512*(Y512/H512),"0")</f>
        <v>0.40384615384615385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657">
        <v>4680115886407</v>
      </c>
      <c r="E513" s="657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9"/>
      <c r="R513" s="659"/>
      <c r="S513" s="659"/>
      <c r="T513" s="660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customHeight="1" x14ac:dyDescent="0.25">
      <c r="A514" s="63" t="s">
        <v>833</v>
      </c>
      <c r="B514" s="63" t="s">
        <v>834</v>
      </c>
      <c r="C514" s="36">
        <v>4301020385</v>
      </c>
      <c r="D514" s="657">
        <v>4680115880054</v>
      </c>
      <c r="E514" s="65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9"/>
      <c r="R514" s="659"/>
      <c r="S514" s="659"/>
      <c r="T514" s="660"/>
      <c r="U514" s="39" t="s">
        <v>46</v>
      </c>
      <c r="V514" s="39" t="s">
        <v>46</v>
      </c>
      <c r="W514" s="40" t="s">
        <v>0</v>
      </c>
      <c r="X514" s="58">
        <v>60</v>
      </c>
      <c r="Y514" s="55">
        <f>IFERROR(IF(X514="",0,CEILING((X514/$H514),1)*$H514),"")</f>
        <v>62.4</v>
      </c>
      <c r="Z514" s="41">
        <f>IFERROR(IF(Y514=0,"",ROUNDUP(Y514/H514,0)*0.00902),"")</f>
        <v>0.11726</v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86.375000000000014</v>
      </c>
      <c r="BN514" s="78">
        <f>IFERROR(Y514*I514/H514,"0")</f>
        <v>89.830000000000013</v>
      </c>
      <c r="BO514" s="78">
        <f>IFERROR(1/J514*(X514/H514),"0")</f>
        <v>9.4696969696969696E-2</v>
      </c>
      <c r="BP514" s="78">
        <f>IFERROR(1/J514*(Y514/H514),"0")</f>
        <v>9.8484848484848481E-2</v>
      </c>
    </row>
    <row r="515" spans="1:68" x14ac:dyDescent="0.2">
      <c r="A515" s="651"/>
      <c r="B515" s="651"/>
      <c r="C515" s="651"/>
      <c r="D515" s="651"/>
      <c r="E515" s="651"/>
      <c r="F515" s="651"/>
      <c r="G515" s="651"/>
      <c r="H515" s="651"/>
      <c r="I515" s="651"/>
      <c r="J515" s="651"/>
      <c r="K515" s="651"/>
      <c r="L515" s="651"/>
      <c r="M515" s="651"/>
      <c r="N515" s="651"/>
      <c r="O515" s="652"/>
      <c r="P515" s="648" t="s">
        <v>40</v>
      </c>
      <c r="Q515" s="649"/>
      <c r="R515" s="649"/>
      <c r="S515" s="649"/>
      <c r="T515" s="649"/>
      <c r="U515" s="649"/>
      <c r="V515" s="650"/>
      <c r="W515" s="42" t="s">
        <v>39</v>
      </c>
      <c r="X515" s="43">
        <f>IFERROR(X512/H512,"0")+IFERROR(X513/H513,"0")+IFERROR(X514/H514,"0")</f>
        <v>54.166666666666664</v>
      </c>
      <c r="Y515" s="43">
        <f>IFERROR(Y512/H512,"0")+IFERROR(Y513/H513,"0")+IFERROR(Y514/H514,"0")</f>
        <v>55</v>
      </c>
      <c r="Z515" s="43">
        <f>IFERROR(IF(Z512="",0,Z512),"0")+IFERROR(IF(Z513="",0,Z513),"0")+IFERROR(IF(Z514="",0,Z514),"0")</f>
        <v>0.61958000000000002</v>
      </c>
      <c r="AA515" s="67"/>
      <c r="AB515" s="67"/>
      <c r="AC515" s="67"/>
    </row>
    <row r="516" spans="1:68" x14ac:dyDescent="0.2">
      <c r="A516" s="651"/>
      <c r="B516" s="651"/>
      <c r="C516" s="651"/>
      <c r="D516" s="651"/>
      <c r="E516" s="651"/>
      <c r="F516" s="651"/>
      <c r="G516" s="651"/>
      <c r="H516" s="651"/>
      <c r="I516" s="651"/>
      <c r="J516" s="651"/>
      <c r="K516" s="651"/>
      <c r="L516" s="651"/>
      <c r="M516" s="651"/>
      <c r="N516" s="651"/>
      <c r="O516" s="652"/>
      <c r="P516" s="648" t="s">
        <v>40</v>
      </c>
      <c r="Q516" s="649"/>
      <c r="R516" s="649"/>
      <c r="S516" s="649"/>
      <c r="T516" s="649"/>
      <c r="U516" s="649"/>
      <c r="V516" s="650"/>
      <c r="W516" s="42" t="s">
        <v>0</v>
      </c>
      <c r="X516" s="43">
        <f>IFERROR(SUM(X512:X514),"0")</f>
        <v>280</v>
      </c>
      <c r="Y516" s="43">
        <f>IFERROR(SUM(Y512:Y514),"0")</f>
        <v>284.16000000000003</v>
      </c>
      <c r="Z516" s="42"/>
      <c r="AA516" s="67"/>
      <c r="AB516" s="67"/>
      <c r="AC516" s="67"/>
    </row>
    <row r="517" spans="1:68" ht="14.25" hidden="1" customHeight="1" x14ac:dyDescent="0.25">
      <c r="A517" s="662" t="s">
        <v>77</v>
      </c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2"/>
      <c r="P517" s="662"/>
      <c r="Q517" s="662"/>
      <c r="R517" s="662"/>
      <c r="S517" s="662"/>
      <c r="T517" s="662"/>
      <c r="U517" s="662"/>
      <c r="V517" s="662"/>
      <c r="W517" s="662"/>
      <c r="X517" s="662"/>
      <c r="Y517" s="662"/>
      <c r="Z517" s="662"/>
      <c r="AA517" s="66"/>
      <c r="AB517" s="66"/>
      <c r="AC517" s="80"/>
    </row>
    <row r="518" spans="1:68" ht="27" hidden="1" customHeight="1" x14ac:dyDescent="0.25">
      <c r="A518" s="63" t="s">
        <v>835</v>
      </c>
      <c r="B518" s="63" t="s">
        <v>836</v>
      </c>
      <c r="C518" s="36">
        <v>4301031349</v>
      </c>
      <c r="D518" s="657">
        <v>4680115883116</v>
      </c>
      <c r="E518" s="65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6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9"/>
      <c r="R518" s="659"/>
      <c r="S518" s="659"/>
      <c r="T518" s="660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4301031350</v>
      </c>
      <c r="D519" s="657">
        <v>4680115883093</v>
      </c>
      <c r="E519" s="657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9"/>
      <c r="R519" s="659"/>
      <c r="S519" s="659"/>
      <c r="T519" s="660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customHeight="1" x14ac:dyDescent="0.25">
      <c r="A520" s="63" t="s">
        <v>841</v>
      </c>
      <c r="B520" s="63" t="s">
        <v>842</v>
      </c>
      <c r="C520" s="36">
        <v>4301031353</v>
      </c>
      <c r="D520" s="657">
        <v>4680115883109</v>
      </c>
      <c r="E520" s="657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9"/>
      <c r="R520" s="659"/>
      <c r="S520" s="659"/>
      <c r="T520" s="660"/>
      <c r="U520" s="39" t="s">
        <v>46</v>
      </c>
      <c r="V520" s="39" t="s">
        <v>46</v>
      </c>
      <c r="W520" s="40" t="s">
        <v>0</v>
      </c>
      <c r="X520" s="58">
        <v>200</v>
      </c>
      <c r="Y520" s="55">
        <f t="shared" si="74"/>
        <v>200.64000000000001</v>
      </c>
      <c r="Z520" s="41">
        <f>IFERROR(IF(Y520=0,"",ROUNDUP(Y520/H520,0)*0.01196),"")</f>
        <v>0.45448</v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213.25757575757575</v>
      </c>
      <c r="BN520" s="78">
        <f t="shared" si="76"/>
        <v>213.94</v>
      </c>
      <c r="BO520" s="78">
        <f t="shared" si="77"/>
        <v>0.36421911421911418</v>
      </c>
      <c r="BP520" s="78">
        <f t="shared" si="78"/>
        <v>0.36538461538461542</v>
      </c>
    </row>
    <row r="521" spans="1:68" ht="27" customHeight="1" x14ac:dyDescent="0.25">
      <c r="A521" s="63" t="s">
        <v>844</v>
      </c>
      <c r="B521" s="63" t="s">
        <v>845</v>
      </c>
      <c r="C521" s="36">
        <v>4301031419</v>
      </c>
      <c r="D521" s="657">
        <v>4680115882072</v>
      </c>
      <c r="E521" s="657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67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9"/>
      <c r="R521" s="659"/>
      <c r="S521" s="659"/>
      <c r="T521" s="660"/>
      <c r="U521" s="39" t="s">
        <v>46</v>
      </c>
      <c r="V521" s="39" t="s">
        <v>46</v>
      </c>
      <c r="W521" s="40" t="s">
        <v>0</v>
      </c>
      <c r="X521" s="58">
        <v>42</v>
      </c>
      <c r="Y521" s="55">
        <f t="shared" si="74"/>
        <v>43.199999999999996</v>
      </c>
      <c r="Z521" s="41">
        <f>IFERROR(IF(Y521=0,"",ROUNDUP(Y521/H521,0)*0.00902),"")</f>
        <v>8.1180000000000002E-2</v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60.462500000000006</v>
      </c>
      <c r="BN521" s="78">
        <f t="shared" si="76"/>
        <v>62.190000000000005</v>
      </c>
      <c r="BO521" s="78">
        <f t="shared" si="77"/>
        <v>6.6287878787878785E-2</v>
      </c>
      <c r="BP521" s="78">
        <f t="shared" si="78"/>
        <v>6.8181818181818177E-2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657">
        <v>4680115882102</v>
      </c>
      <c r="E522" s="657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9"/>
      <c r="R522" s="659"/>
      <c r="S522" s="659"/>
      <c r="T522" s="660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customHeight="1" x14ac:dyDescent="0.25">
      <c r="A523" s="63" t="s">
        <v>846</v>
      </c>
      <c r="B523" s="63" t="s">
        <v>848</v>
      </c>
      <c r="C523" s="36">
        <v>4301031418</v>
      </c>
      <c r="D523" s="657">
        <v>4680115882102</v>
      </c>
      <c r="E523" s="657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9"/>
      <c r="R523" s="659"/>
      <c r="S523" s="659"/>
      <c r="T523" s="660"/>
      <c r="U523" s="39" t="s">
        <v>46</v>
      </c>
      <c r="V523" s="39" t="s">
        <v>46</v>
      </c>
      <c r="W523" s="40" t="s">
        <v>0</v>
      </c>
      <c r="X523" s="58">
        <v>18</v>
      </c>
      <c r="Y523" s="55">
        <f t="shared" si="74"/>
        <v>19.2</v>
      </c>
      <c r="Z523" s="41">
        <f>IFERROR(IF(Y523=0,"",ROUNDUP(Y523/H523,0)*0.00902),"")</f>
        <v>3.6080000000000001E-2</v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25.012500000000003</v>
      </c>
      <c r="BN523" s="78">
        <f t="shared" si="76"/>
        <v>26.68</v>
      </c>
      <c r="BO523" s="78">
        <f t="shared" si="77"/>
        <v>2.8409090909090912E-2</v>
      </c>
      <c r="BP523" s="78">
        <f t="shared" si="78"/>
        <v>3.0303030303030304E-2</v>
      </c>
    </row>
    <row r="524" spans="1:68" ht="27" customHeight="1" x14ac:dyDescent="0.25">
      <c r="A524" s="63" t="s">
        <v>849</v>
      </c>
      <c r="B524" s="63" t="s">
        <v>850</v>
      </c>
      <c r="C524" s="36">
        <v>4301031417</v>
      </c>
      <c r="D524" s="657">
        <v>4680115882096</v>
      </c>
      <c r="E524" s="657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9"/>
      <c r="R524" s="659"/>
      <c r="S524" s="659"/>
      <c r="T524" s="660"/>
      <c r="U524" s="39" t="s">
        <v>46</v>
      </c>
      <c r="V524" s="39" t="s">
        <v>46</v>
      </c>
      <c r="W524" s="40" t="s">
        <v>0</v>
      </c>
      <c r="X524" s="58">
        <v>102</v>
      </c>
      <c r="Y524" s="55">
        <f t="shared" si="74"/>
        <v>105.6</v>
      </c>
      <c r="Z524" s="41">
        <f>IFERROR(IF(Y524=0,"",ROUNDUP(Y524/H524,0)*0.00902),"")</f>
        <v>0.19844000000000001</v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141.73750000000001</v>
      </c>
      <c r="BN524" s="78">
        <f t="shared" si="76"/>
        <v>146.74</v>
      </c>
      <c r="BO524" s="78">
        <f t="shared" si="77"/>
        <v>0.16098484848484848</v>
      </c>
      <c r="BP524" s="78">
        <f t="shared" si="78"/>
        <v>0.16666666666666669</v>
      </c>
    </row>
    <row r="525" spans="1:68" x14ac:dyDescent="0.2">
      <c r="A525" s="651"/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2"/>
      <c r="P525" s="648" t="s">
        <v>40</v>
      </c>
      <c r="Q525" s="649"/>
      <c r="R525" s="649"/>
      <c r="S525" s="649"/>
      <c r="T525" s="649"/>
      <c r="U525" s="649"/>
      <c r="V525" s="650"/>
      <c r="W525" s="42" t="s">
        <v>39</v>
      </c>
      <c r="X525" s="43">
        <f>IFERROR(X518/H518,"0")+IFERROR(X519/H519,"0")+IFERROR(X520/H520,"0")+IFERROR(X521/H521,"0")+IFERROR(X522/H522,"0")+IFERROR(X523/H523,"0")+IFERROR(X524/H524,"0")</f>
        <v>71.628787878787875</v>
      </c>
      <c r="Y525" s="43">
        <f>IFERROR(Y518/H518,"0")+IFERROR(Y519/H519,"0")+IFERROR(Y520/H520,"0")+IFERROR(Y521/H521,"0")+IFERROR(Y522/H522,"0")+IFERROR(Y523/H523,"0")+IFERROR(Y524/H524,"0")</f>
        <v>73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0.77018000000000009</v>
      </c>
      <c r="AA525" s="67"/>
      <c r="AB525" s="67"/>
      <c r="AC525" s="67"/>
    </row>
    <row r="526" spans="1:68" x14ac:dyDescent="0.2">
      <c r="A526" s="651"/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2"/>
      <c r="P526" s="648" t="s">
        <v>40</v>
      </c>
      <c r="Q526" s="649"/>
      <c r="R526" s="649"/>
      <c r="S526" s="649"/>
      <c r="T526" s="649"/>
      <c r="U526" s="649"/>
      <c r="V526" s="650"/>
      <c r="W526" s="42" t="s">
        <v>0</v>
      </c>
      <c r="X526" s="43">
        <f>IFERROR(SUM(X518:X524),"0")</f>
        <v>362</v>
      </c>
      <c r="Y526" s="43">
        <f>IFERROR(SUM(Y518:Y524),"0")</f>
        <v>368.64</v>
      </c>
      <c r="Z526" s="42"/>
      <c r="AA526" s="67"/>
      <c r="AB526" s="67"/>
      <c r="AC526" s="67"/>
    </row>
    <row r="527" spans="1:68" ht="27.75" hidden="1" customHeight="1" x14ac:dyDescent="0.2">
      <c r="A527" s="668" t="s">
        <v>851</v>
      </c>
      <c r="B527" s="668"/>
      <c r="C527" s="668"/>
      <c r="D527" s="668"/>
      <c r="E527" s="668"/>
      <c r="F527" s="668"/>
      <c r="G527" s="668"/>
      <c r="H527" s="668"/>
      <c r="I527" s="668"/>
      <c r="J527" s="668"/>
      <c r="K527" s="668"/>
      <c r="L527" s="668"/>
      <c r="M527" s="668"/>
      <c r="N527" s="668"/>
      <c r="O527" s="668"/>
      <c r="P527" s="668"/>
      <c r="Q527" s="668"/>
      <c r="R527" s="668"/>
      <c r="S527" s="668"/>
      <c r="T527" s="668"/>
      <c r="U527" s="668"/>
      <c r="V527" s="668"/>
      <c r="W527" s="668"/>
      <c r="X527" s="668"/>
      <c r="Y527" s="668"/>
      <c r="Z527" s="668"/>
      <c r="AA527" s="54"/>
      <c r="AB527" s="54"/>
      <c r="AC527" s="54"/>
    </row>
    <row r="528" spans="1:68" ht="16.5" hidden="1" customHeight="1" x14ac:dyDescent="0.25">
      <c r="A528" s="661" t="s">
        <v>851</v>
      </c>
      <c r="B528" s="661"/>
      <c r="C528" s="661"/>
      <c r="D528" s="661"/>
      <c r="E528" s="661"/>
      <c r="F528" s="661"/>
      <c r="G528" s="661"/>
      <c r="H528" s="661"/>
      <c r="I528" s="661"/>
      <c r="J528" s="661"/>
      <c r="K528" s="661"/>
      <c r="L528" s="661"/>
      <c r="M528" s="661"/>
      <c r="N528" s="661"/>
      <c r="O528" s="661"/>
      <c r="P528" s="661"/>
      <c r="Q528" s="661"/>
      <c r="R528" s="661"/>
      <c r="S528" s="661"/>
      <c r="T528" s="661"/>
      <c r="U528" s="661"/>
      <c r="V528" s="661"/>
      <c r="W528" s="661"/>
      <c r="X528" s="661"/>
      <c r="Y528" s="661"/>
      <c r="Z528" s="661"/>
      <c r="AA528" s="65"/>
      <c r="AB528" s="65"/>
      <c r="AC528" s="79"/>
    </row>
    <row r="529" spans="1:68" ht="14.25" hidden="1" customHeight="1" x14ac:dyDescent="0.25">
      <c r="A529" s="662" t="s">
        <v>122</v>
      </c>
      <c r="B529" s="662"/>
      <c r="C529" s="662"/>
      <c r="D529" s="662"/>
      <c r="E529" s="662"/>
      <c r="F529" s="662"/>
      <c r="G529" s="662"/>
      <c r="H529" s="662"/>
      <c r="I529" s="662"/>
      <c r="J529" s="662"/>
      <c r="K529" s="662"/>
      <c r="L529" s="662"/>
      <c r="M529" s="662"/>
      <c r="N529" s="662"/>
      <c r="O529" s="662"/>
      <c r="P529" s="662"/>
      <c r="Q529" s="662"/>
      <c r="R529" s="662"/>
      <c r="S529" s="662"/>
      <c r="T529" s="662"/>
      <c r="U529" s="662"/>
      <c r="V529" s="662"/>
      <c r="W529" s="662"/>
      <c r="X529" s="662"/>
      <c r="Y529" s="662"/>
      <c r="Z529" s="662"/>
      <c r="AA529" s="66"/>
      <c r="AB529" s="66"/>
      <c r="AC529" s="80"/>
    </row>
    <row r="530" spans="1:68" ht="27" customHeight="1" x14ac:dyDescent="0.25">
      <c r="A530" s="63" t="s">
        <v>852</v>
      </c>
      <c r="B530" s="63" t="s">
        <v>853</v>
      </c>
      <c r="C530" s="36">
        <v>4301011584</v>
      </c>
      <c r="D530" s="657">
        <v>4640242180564</v>
      </c>
      <c r="E530" s="657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9"/>
      <c r="R530" s="659"/>
      <c r="S530" s="659"/>
      <c r="T530" s="660"/>
      <c r="U530" s="39" t="s">
        <v>46</v>
      </c>
      <c r="V530" s="39" t="s">
        <v>46</v>
      </c>
      <c r="W530" s="40" t="s">
        <v>0</v>
      </c>
      <c r="X530" s="58">
        <v>100</v>
      </c>
      <c r="Y530" s="55">
        <f>IFERROR(IF(X530="",0,CEILING((X530/$H530),1)*$H530),"")</f>
        <v>108</v>
      </c>
      <c r="Z530" s="41">
        <f>IFERROR(IF(Y530=0,"",ROUNDUP(Y530/H530,0)*0.01898),"")</f>
        <v>0.17082</v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103.41666666666667</v>
      </c>
      <c r="BN530" s="78">
        <f>IFERROR(Y530*I530/H530,"0")</f>
        <v>111.69</v>
      </c>
      <c r="BO530" s="78">
        <f>IFERROR(1/J530*(X530/H530),"0")</f>
        <v>0.13020833333333334</v>
      </c>
      <c r="BP530" s="78">
        <f>IFERROR(1/J530*(Y530/H530),"0")</f>
        <v>0.140625</v>
      </c>
    </row>
    <row r="531" spans="1:68" x14ac:dyDescent="0.2">
      <c r="A531" s="651"/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2"/>
      <c r="P531" s="648" t="s">
        <v>40</v>
      </c>
      <c r="Q531" s="649"/>
      <c r="R531" s="649"/>
      <c r="S531" s="649"/>
      <c r="T531" s="649"/>
      <c r="U531" s="649"/>
      <c r="V531" s="650"/>
      <c r="W531" s="42" t="s">
        <v>39</v>
      </c>
      <c r="X531" s="43">
        <f>IFERROR(X530/H530,"0")</f>
        <v>8.3333333333333339</v>
      </c>
      <c r="Y531" s="43">
        <f>IFERROR(Y530/H530,"0")</f>
        <v>9</v>
      </c>
      <c r="Z531" s="43">
        <f>IFERROR(IF(Z530="",0,Z530),"0")</f>
        <v>0.17082</v>
      </c>
      <c r="AA531" s="67"/>
      <c r="AB531" s="67"/>
      <c r="AC531" s="67"/>
    </row>
    <row r="532" spans="1:68" x14ac:dyDescent="0.2">
      <c r="A532" s="651"/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2"/>
      <c r="P532" s="648" t="s">
        <v>40</v>
      </c>
      <c r="Q532" s="649"/>
      <c r="R532" s="649"/>
      <c r="S532" s="649"/>
      <c r="T532" s="649"/>
      <c r="U532" s="649"/>
      <c r="V532" s="650"/>
      <c r="W532" s="42" t="s">
        <v>0</v>
      </c>
      <c r="X532" s="43">
        <f>IFERROR(SUM(X530:X530),"0")</f>
        <v>100</v>
      </c>
      <c r="Y532" s="43">
        <f>IFERROR(SUM(Y530:Y530),"0")</f>
        <v>108</v>
      </c>
      <c r="Z532" s="42"/>
      <c r="AA532" s="67"/>
      <c r="AB532" s="67"/>
      <c r="AC532" s="67"/>
    </row>
    <row r="533" spans="1:68" ht="14.25" hidden="1" customHeight="1" x14ac:dyDescent="0.25">
      <c r="A533" s="662" t="s">
        <v>158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657">
        <v>4640242180519</v>
      </c>
      <c r="E534" s="657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9"/>
      <c r="R534" s="659"/>
      <c r="S534" s="659"/>
      <c r="T534" s="66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2" t="s">
        <v>77</v>
      </c>
      <c r="B537" s="662"/>
      <c r="C537" s="662"/>
      <c r="D537" s="662"/>
      <c r="E537" s="662"/>
      <c r="F537" s="662"/>
      <c r="G537" s="662"/>
      <c r="H537" s="662"/>
      <c r="I537" s="662"/>
      <c r="J537" s="662"/>
      <c r="K537" s="662"/>
      <c r="L537" s="662"/>
      <c r="M537" s="662"/>
      <c r="N537" s="662"/>
      <c r="O537" s="662"/>
      <c r="P537" s="662"/>
      <c r="Q537" s="662"/>
      <c r="R537" s="662"/>
      <c r="S537" s="662"/>
      <c r="T537" s="662"/>
      <c r="U537" s="662"/>
      <c r="V537" s="662"/>
      <c r="W537" s="662"/>
      <c r="X537" s="662"/>
      <c r="Y537" s="662"/>
      <c r="Z537" s="662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657">
        <v>4640242180595</v>
      </c>
      <c r="E538" s="657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6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9"/>
      <c r="R538" s="659"/>
      <c r="S538" s="659"/>
      <c r="T538" s="66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62" t="s">
        <v>86</v>
      </c>
      <c r="B541" s="662"/>
      <c r="C541" s="662"/>
      <c r="D541" s="662"/>
      <c r="E541" s="662"/>
      <c r="F541" s="662"/>
      <c r="G541" s="662"/>
      <c r="H541" s="662"/>
      <c r="I541" s="662"/>
      <c r="J541" s="662"/>
      <c r="K541" s="662"/>
      <c r="L541" s="662"/>
      <c r="M541" s="662"/>
      <c r="N541" s="662"/>
      <c r="O541" s="662"/>
      <c r="P541" s="662"/>
      <c r="Q541" s="662"/>
      <c r="R541" s="662"/>
      <c r="S541" s="662"/>
      <c r="T541" s="662"/>
      <c r="U541" s="662"/>
      <c r="V541" s="662"/>
      <c r="W541" s="662"/>
      <c r="X541" s="662"/>
      <c r="Y541" s="662"/>
      <c r="Z541" s="662"/>
      <c r="AA541" s="66"/>
      <c r="AB541" s="66"/>
      <c r="AC541" s="80"/>
    </row>
    <row r="542" spans="1:68" ht="27" customHeight="1" x14ac:dyDescent="0.25">
      <c r="A542" s="63" t="s">
        <v>861</v>
      </c>
      <c r="B542" s="63" t="s">
        <v>862</v>
      </c>
      <c r="C542" s="36">
        <v>4301052043</v>
      </c>
      <c r="D542" s="657">
        <v>4640242180533</v>
      </c>
      <c r="E542" s="657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9"/>
      <c r="R542" s="659"/>
      <c r="S542" s="659"/>
      <c r="T542" s="660"/>
      <c r="U542" s="39" t="s">
        <v>46</v>
      </c>
      <c r="V542" s="39" t="s">
        <v>46</v>
      </c>
      <c r="W542" s="40" t="s">
        <v>0</v>
      </c>
      <c r="X542" s="58">
        <v>1580</v>
      </c>
      <c r="Y542" s="55">
        <f>IFERROR(IF(X542="",0,CEILING((X542/$H542),1)*$H542),"")</f>
        <v>1584</v>
      </c>
      <c r="Z542" s="41">
        <f>IFERROR(IF(Y542=0,"",ROUNDUP(Y542/H542,0)*0.01898),"")</f>
        <v>3.3404799999999999</v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1666.7244444444445</v>
      </c>
      <c r="BN542" s="78">
        <f>IFERROR(Y542*I542/H542,"0")</f>
        <v>1670.944</v>
      </c>
      <c r="BO542" s="78">
        <f>IFERROR(1/J542*(X542/H542),"0")</f>
        <v>2.7430555555555554</v>
      </c>
      <c r="BP542" s="78">
        <f>IFERROR(1/J542*(Y542/H542),"0")</f>
        <v>2.75</v>
      </c>
    </row>
    <row r="543" spans="1:68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2" t="s">
        <v>39</v>
      </c>
      <c r="X543" s="43">
        <f>IFERROR(X542/H542,"0")</f>
        <v>175.55555555555554</v>
      </c>
      <c r="Y543" s="43">
        <f>IFERROR(Y542/H542,"0")</f>
        <v>176</v>
      </c>
      <c r="Z543" s="43">
        <f>IFERROR(IF(Z542="",0,Z542),"0")</f>
        <v>3.3404799999999999</v>
      </c>
      <c r="AA543" s="67"/>
      <c r="AB543" s="67"/>
      <c r="AC543" s="67"/>
    </row>
    <row r="544" spans="1:68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2" t="s">
        <v>0</v>
      </c>
      <c r="X544" s="43">
        <f>IFERROR(SUM(X542:X542),"0")</f>
        <v>1580</v>
      </c>
      <c r="Y544" s="43">
        <f>IFERROR(SUM(Y542:Y542),"0")</f>
        <v>1584</v>
      </c>
      <c r="Z544" s="42"/>
      <c r="AA544" s="67"/>
      <c r="AB544" s="67"/>
      <c r="AC544" s="67"/>
    </row>
    <row r="545" spans="1:68" ht="14.25" hidden="1" customHeight="1" x14ac:dyDescent="0.25">
      <c r="A545" s="662" t="s">
        <v>175</v>
      </c>
      <c r="B545" s="662"/>
      <c r="C545" s="662"/>
      <c r="D545" s="662"/>
      <c r="E545" s="662"/>
      <c r="F545" s="662"/>
      <c r="G545" s="662"/>
      <c r="H545" s="662"/>
      <c r="I545" s="662"/>
      <c r="J545" s="662"/>
      <c r="K545" s="662"/>
      <c r="L545" s="662"/>
      <c r="M545" s="662"/>
      <c r="N545" s="662"/>
      <c r="O545" s="662"/>
      <c r="P545" s="662"/>
      <c r="Q545" s="662"/>
      <c r="R545" s="662"/>
      <c r="S545" s="662"/>
      <c r="T545" s="662"/>
      <c r="U545" s="662"/>
      <c r="V545" s="662"/>
      <c r="W545" s="662"/>
      <c r="X545" s="662"/>
      <c r="Y545" s="662"/>
      <c r="Z545" s="662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657">
        <v>4640242180120</v>
      </c>
      <c r="E546" s="657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9"/>
      <c r="R546" s="659"/>
      <c r="S546" s="659"/>
      <c r="T546" s="660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657">
        <v>4640242180137</v>
      </c>
      <c r="E547" s="657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9"/>
      <c r="R547" s="659"/>
      <c r="S547" s="659"/>
      <c r="T547" s="66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651"/>
      <c r="B549" s="651"/>
      <c r="C549" s="651"/>
      <c r="D549" s="651"/>
      <c r="E549" s="651"/>
      <c r="F549" s="651"/>
      <c r="G549" s="651"/>
      <c r="H549" s="651"/>
      <c r="I549" s="651"/>
      <c r="J549" s="651"/>
      <c r="K549" s="651"/>
      <c r="L549" s="651"/>
      <c r="M549" s="651"/>
      <c r="N549" s="651"/>
      <c r="O549" s="652"/>
      <c r="P549" s="648" t="s">
        <v>40</v>
      </c>
      <c r="Q549" s="649"/>
      <c r="R549" s="649"/>
      <c r="S549" s="649"/>
      <c r="T549" s="649"/>
      <c r="U549" s="649"/>
      <c r="V549" s="650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661" t="s">
        <v>870</v>
      </c>
      <c r="B550" s="661"/>
      <c r="C550" s="661"/>
      <c r="D550" s="661"/>
      <c r="E550" s="661"/>
      <c r="F550" s="661"/>
      <c r="G550" s="661"/>
      <c r="H550" s="661"/>
      <c r="I550" s="661"/>
      <c r="J550" s="661"/>
      <c r="K550" s="661"/>
      <c r="L550" s="661"/>
      <c r="M550" s="661"/>
      <c r="N550" s="661"/>
      <c r="O550" s="661"/>
      <c r="P550" s="661"/>
      <c r="Q550" s="661"/>
      <c r="R550" s="661"/>
      <c r="S550" s="661"/>
      <c r="T550" s="661"/>
      <c r="U550" s="661"/>
      <c r="V550" s="661"/>
      <c r="W550" s="661"/>
      <c r="X550" s="661"/>
      <c r="Y550" s="661"/>
      <c r="Z550" s="661"/>
      <c r="AA550" s="65"/>
      <c r="AB550" s="65"/>
      <c r="AC550" s="79"/>
    </row>
    <row r="551" spans="1:68" ht="14.25" hidden="1" customHeight="1" x14ac:dyDescent="0.25">
      <c r="A551" s="662" t="s">
        <v>158</v>
      </c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2"/>
      <c r="P551" s="662"/>
      <c r="Q551" s="662"/>
      <c r="R551" s="662"/>
      <c r="S551" s="662"/>
      <c r="T551" s="662"/>
      <c r="U551" s="662"/>
      <c r="V551" s="662"/>
      <c r="W551" s="662"/>
      <c r="X551" s="662"/>
      <c r="Y551" s="662"/>
      <c r="Z551" s="662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657">
        <v>4640242180090</v>
      </c>
      <c r="E552" s="657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6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9"/>
      <c r="R552" s="659"/>
      <c r="S552" s="659"/>
      <c r="T552" s="66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51"/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2"/>
      <c r="P554" s="648" t="s">
        <v>40</v>
      </c>
      <c r="Q554" s="649"/>
      <c r="R554" s="649"/>
      <c r="S554" s="649"/>
      <c r="T554" s="649"/>
      <c r="U554" s="649"/>
      <c r="V554" s="650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651"/>
      <c r="B555" s="651"/>
      <c r="C555" s="651"/>
      <c r="D555" s="651"/>
      <c r="E555" s="651"/>
      <c r="F555" s="651"/>
      <c r="G555" s="651"/>
      <c r="H555" s="651"/>
      <c r="I555" s="651"/>
      <c r="J555" s="651"/>
      <c r="K555" s="651"/>
      <c r="L555" s="651"/>
      <c r="M555" s="651"/>
      <c r="N555" s="651"/>
      <c r="O555" s="656"/>
      <c r="P555" s="653" t="s">
        <v>33</v>
      </c>
      <c r="Q555" s="654"/>
      <c r="R555" s="654"/>
      <c r="S555" s="654"/>
      <c r="T555" s="654"/>
      <c r="U555" s="654"/>
      <c r="V555" s="655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17480.7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17644.68</v>
      </c>
      <c r="Z555" s="42"/>
      <c r="AA555" s="67"/>
      <c r="AB555" s="67"/>
      <c r="AC555" s="67"/>
    </row>
    <row r="556" spans="1:68" x14ac:dyDescent="0.2">
      <c r="A556" s="651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56"/>
      <c r="P556" s="653" t="s">
        <v>34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IFERROR(SUM(BM22:BM552),"0")</f>
        <v>18775.644779868926</v>
      </c>
      <c r="Y556" s="43">
        <f>IFERROR(SUM(BN22:BN552),"0")</f>
        <v>18954.234</v>
      </c>
      <c r="Z556" s="42"/>
      <c r="AA556" s="67"/>
      <c r="AB556" s="67"/>
      <c r="AC556" s="67"/>
    </row>
    <row r="557" spans="1:68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6"/>
      <c r="P557" s="653" t="s">
        <v>35</v>
      </c>
      <c r="Q557" s="654"/>
      <c r="R557" s="654"/>
      <c r="S557" s="654"/>
      <c r="T557" s="654"/>
      <c r="U557" s="654"/>
      <c r="V557" s="655"/>
      <c r="W557" s="42" t="s">
        <v>20</v>
      </c>
      <c r="X557" s="44">
        <f>ROUNDUP(SUM(BO22:BO552),0)</f>
        <v>34</v>
      </c>
      <c r="Y557" s="44">
        <f>ROUNDUP(SUM(BP22:BP552),0)</f>
        <v>34</v>
      </c>
      <c r="Z557" s="42"/>
      <c r="AA557" s="67"/>
      <c r="AB557" s="67"/>
      <c r="AC557" s="67"/>
    </row>
    <row r="558" spans="1:68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6"/>
      <c r="P558" s="653" t="s">
        <v>36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GrossWeightTotal+PalletQtyTotal*25</f>
        <v>19625.644779868926</v>
      </c>
      <c r="Y558" s="43">
        <f>GrossWeightTotalR+PalletQtyTotalR*25</f>
        <v>19804.234</v>
      </c>
      <c r="Z558" s="42"/>
      <c r="AA558" s="67"/>
      <c r="AB558" s="67"/>
      <c r="AC558" s="67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37</v>
      </c>
      <c r="Q559" s="654"/>
      <c r="R559" s="654"/>
      <c r="S559" s="654"/>
      <c r="T559" s="654"/>
      <c r="U559" s="654"/>
      <c r="V559" s="655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4197.6895148274471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4228</v>
      </c>
      <c r="Z559" s="42"/>
      <c r="AA559" s="67"/>
      <c r="AB559" s="67"/>
      <c r="AC559" s="67"/>
    </row>
    <row r="560" spans="1:68" ht="14.25" hidden="1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38</v>
      </c>
      <c r="Q560" s="654"/>
      <c r="R560" s="654"/>
      <c r="S560" s="654"/>
      <c r="T560" s="654"/>
      <c r="U560" s="654"/>
      <c r="V560" s="655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39.351530000000004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644" t="s">
        <v>120</v>
      </c>
      <c r="E562" s="644" t="s">
        <v>120</v>
      </c>
      <c r="F562" s="644" t="s">
        <v>120</v>
      </c>
      <c r="G562" s="644" t="s">
        <v>120</v>
      </c>
      <c r="H562" s="644" t="s">
        <v>120</v>
      </c>
      <c r="I562" s="644" t="s">
        <v>120</v>
      </c>
      <c r="J562" s="644" t="s">
        <v>120</v>
      </c>
      <c r="K562" s="644" t="s">
        <v>353</v>
      </c>
      <c r="L562" s="644" t="s">
        <v>353</v>
      </c>
      <c r="M562" s="644" t="s">
        <v>353</v>
      </c>
      <c r="N562" s="645"/>
      <c r="O562" s="644" t="s">
        <v>353</v>
      </c>
      <c r="P562" s="644" t="s">
        <v>353</v>
      </c>
      <c r="Q562" s="644" t="s">
        <v>353</v>
      </c>
      <c r="R562" s="644" t="s">
        <v>353</v>
      </c>
      <c r="S562" s="644" t="s">
        <v>353</v>
      </c>
      <c r="T562" s="644" t="s">
        <v>353</v>
      </c>
      <c r="U562" s="644" t="s">
        <v>353</v>
      </c>
      <c r="V562" s="644" t="s">
        <v>353</v>
      </c>
      <c r="W562" s="644" t="s">
        <v>702</v>
      </c>
      <c r="X562" s="644" t="s">
        <v>702</v>
      </c>
      <c r="Y562" s="644" t="s">
        <v>768</v>
      </c>
      <c r="Z562" s="644" t="s">
        <v>768</v>
      </c>
      <c r="AA562" s="85" t="s">
        <v>804</v>
      </c>
      <c r="AB562" s="644" t="s">
        <v>851</v>
      </c>
      <c r="AC562" s="644" t="s">
        <v>851</v>
      </c>
      <c r="AF562" s="1"/>
    </row>
    <row r="563" spans="1:32" ht="14.25" customHeight="1" thickTop="1" x14ac:dyDescent="0.2">
      <c r="A563" s="646" t="s">
        <v>10</v>
      </c>
      <c r="B563" s="644" t="s">
        <v>76</v>
      </c>
      <c r="C563" s="644" t="s">
        <v>104</v>
      </c>
      <c r="D563" s="644" t="s">
        <v>121</v>
      </c>
      <c r="E563" s="644" t="s">
        <v>137</v>
      </c>
      <c r="F563" s="644" t="s">
        <v>182</v>
      </c>
      <c r="G563" s="644" t="s">
        <v>203</v>
      </c>
      <c r="H563" s="644" t="s">
        <v>243</v>
      </c>
      <c r="I563" s="644" t="s">
        <v>267</v>
      </c>
      <c r="J563" s="644" t="s">
        <v>120</v>
      </c>
      <c r="K563" s="644" t="s">
        <v>354</v>
      </c>
      <c r="L563" s="644" t="s">
        <v>375</v>
      </c>
      <c r="M563" s="644" t="s">
        <v>442</v>
      </c>
      <c r="N563" s="1"/>
      <c r="O563" s="644" t="s">
        <v>510</v>
      </c>
      <c r="P563" s="644" t="s">
        <v>543</v>
      </c>
      <c r="Q563" s="644" t="s">
        <v>559</v>
      </c>
      <c r="R563" s="644" t="s">
        <v>568</v>
      </c>
      <c r="S563" s="644" t="s">
        <v>589</v>
      </c>
      <c r="T563" s="644" t="s">
        <v>598</v>
      </c>
      <c r="U563" s="644" t="s">
        <v>682</v>
      </c>
      <c r="V563" s="644" t="s">
        <v>692</v>
      </c>
      <c r="W563" s="644" t="s">
        <v>703</v>
      </c>
      <c r="X563" s="644" t="s">
        <v>752</v>
      </c>
      <c r="Y563" s="644" t="s">
        <v>769</v>
      </c>
      <c r="Z563" s="644" t="s">
        <v>792</v>
      </c>
      <c r="AA563" s="644" t="s">
        <v>804</v>
      </c>
      <c r="AB563" s="644" t="s">
        <v>851</v>
      </c>
      <c r="AC563" s="644" t="s">
        <v>870</v>
      </c>
      <c r="AF563" s="1"/>
    </row>
    <row r="564" spans="1:32" ht="13.5" thickBot="1" x14ac:dyDescent="0.25">
      <c r="A564" s="647"/>
      <c r="B564" s="644"/>
      <c r="C564" s="644"/>
      <c r="D564" s="644"/>
      <c r="E564" s="644"/>
      <c r="F564" s="644"/>
      <c r="G564" s="644"/>
      <c r="H564" s="644"/>
      <c r="I564" s="644"/>
      <c r="J564" s="644"/>
      <c r="K564" s="644"/>
      <c r="L564" s="644"/>
      <c r="M564" s="644"/>
      <c r="N564" s="1"/>
      <c r="O564" s="644"/>
      <c r="P564" s="644"/>
      <c r="Q564" s="644"/>
      <c r="R564" s="644"/>
      <c r="S564" s="644"/>
      <c r="T564" s="644"/>
      <c r="U564" s="644"/>
      <c r="V564" s="644"/>
      <c r="W564" s="644"/>
      <c r="X564" s="644"/>
      <c r="Y564" s="644"/>
      <c r="Z564" s="644"/>
      <c r="AA564" s="644"/>
      <c r="AB564" s="644"/>
      <c r="AC564" s="644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402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767.4</v>
      </c>
      <c r="F565" s="52">
        <f>IFERROR(Y84*1,"0")+IFERROR(Y85*1,"0")+IFERROR(Y86*1,"0")+IFERROR(Y87*1,"0")+IFERROR(Y91*1,"0")+IFERROR(Y92*1,"0")+IFERROR(Y93*1,"0")+IFERROR(Y94*1,"0")</f>
        <v>1346.4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1741.5</v>
      </c>
      <c r="H565" s="52">
        <f>IFERROR(Y129*1,"0")+IFERROR(Y130*1,"0")+IFERROR(Y131*1,"0")+IFERROR(Y135*1,"0")+IFERROR(Y136*1,"0")+IFERROR(Y137*1,"0")+IFERROR(Y138*1,"0")+IFERROR(Y142*1,"0")+IFERROR(Y143*1,"0")+IFERROR(Y144*1,"0")</f>
        <v>173.92000000000002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826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425.88000000000005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2564.1000000000004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46.6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400.8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514.79999999999995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1360.2</v>
      </c>
      <c r="U565" s="52">
        <f>IFERROR(Y413*1,"0")+IFERROR(Y414*1,"0")</f>
        <v>0</v>
      </c>
      <c r="V565" s="52">
        <f>IFERROR(Y419*1,"0")+IFERROR(Y420*1,"0")+IFERROR(Y421*1,"0")</f>
        <v>1226.4000000000001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2961</v>
      </c>
      <c r="X565" s="52">
        <f>IFERROR(Y456*1,"0")+IFERROR(Y457*1,"0")+IFERROR(Y461*1,"0")+IFERROR(Y465*1,"0")+IFERROR(Y466*1,"0")+IFERROR(Y467*1,"0")</f>
        <v>36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1159.6799999999998</v>
      </c>
      <c r="AB565" s="52">
        <f>IFERROR(Y530*1,"0")+IFERROR(Y534*1,"0")+IFERROR(Y538*1,"0")+IFERROR(Y542*1,"0")+IFERROR(Y546*1,"0")+IFERROR(Y547*1,"0")</f>
        <v>1692</v>
      </c>
      <c r="AC565" s="52">
        <f>IFERROR(Y552*1,"0")</f>
        <v>0</v>
      </c>
      <c r="AF565" s="1"/>
    </row>
  </sheetData>
  <sheetProtection algorithmName="SHA-512" hashValue="W6xKtQtov4L4myRjPs6AGslIaGv3M7DM6ryDyvZMUY8LKHkWJ71E2pABeLsF7NTOJPE3443iXaEXaMPOZo6Gog==" saltValue="mUkFJ3PFyT1ATOvIhq7cWw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0,00"/>
        <filter val="1 125,00"/>
        <filter val="1 225,00"/>
        <filter val="1 250,00"/>
        <filter val="1 500,00"/>
        <filter val="1 580,00"/>
        <filter val="1 620,00"/>
        <filter val="1 680,00"/>
        <filter val="100,00"/>
        <filter val="102,00"/>
        <filter val="106,00"/>
        <filter val="108,00"/>
        <filter val="109,26"/>
        <filter val="11,11"/>
        <filter val="112,50"/>
        <filter val="12,00"/>
        <filter val="12,22"/>
        <filter val="120,00"/>
        <filter val="122,50"/>
        <filter val="122,78"/>
        <filter val="13,75"/>
        <filter val="14,00"/>
        <filter val="150,00"/>
        <filter val="153,33"/>
        <filter val="16,00"/>
        <filter val="160,00"/>
        <filter val="166,67"/>
        <filter val="17 480,70"/>
        <filter val="17,00"/>
        <filter val="172,50"/>
        <filter val="175,00"/>
        <filter val="175,56"/>
        <filter val="178,57"/>
        <filter val="18 775,64"/>
        <filter val="18,00"/>
        <filter val="18,75"/>
        <filter val="19 625,64"/>
        <filter val="198,00"/>
        <filter val="20,00"/>
        <filter val="200,00"/>
        <filter val="220,00"/>
        <filter val="240,00"/>
        <filter val="243,21"/>
        <filter val="25,00"/>
        <filter val="260,00"/>
        <filter val="27,50"/>
        <filter val="270,37"/>
        <filter val="280,00"/>
        <filter val="3,33"/>
        <filter val="3,85"/>
        <filter val="30,00"/>
        <filter val="300,00"/>
        <filter val="306,00"/>
        <filter val="312,86"/>
        <filter val="32,50"/>
        <filter val="322,22"/>
        <filter val="34"/>
        <filter val="350,00"/>
        <filter val="36,00"/>
        <filter val="362,00"/>
        <filter val="38,50"/>
        <filter val="39,60"/>
        <filter val="391,00"/>
        <filter val="4 197,69"/>
        <filter val="4,00"/>
        <filter val="4,44"/>
        <filter val="40,00"/>
        <filter val="400,00"/>
        <filter val="42,00"/>
        <filter val="450,00"/>
        <filter val="47,22"/>
        <filter val="492,20"/>
        <filter val="498,00"/>
        <filter val="5,00"/>
        <filter val="5,56"/>
        <filter val="50,00"/>
        <filter val="500,00"/>
        <filter val="52,50"/>
        <filter val="525,00"/>
        <filter val="53,33"/>
        <filter val="54,17"/>
        <filter val="540,00"/>
        <filter val="550,00"/>
        <filter val="570,00"/>
        <filter val="583,33"/>
        <filter val="585,00"/>
        <filter val="6,67"/>
        <filter val="60,00"/>
        <filter val="64,10"/>
        <filter val="7,00"/>
        <filter val="70,00"/>
        <filter val="700,00"/>
        <filter val="71,63"/>
        <filter val="72,60"/>
        <filter val="74,81"/>
        <filter val="740,00"/>
        <filter val="760,00"/>
        <filter val="8,33"/>
        <filter val="80,00"/>
        <filter val="82,50"/>
        <filter val="822,00"/>
        <filter val="83,33"/>
        <filter val="84,00"/>
        <filter val="85,00"/>
        <filter val="890,00"/>
        <filter val="90,00"/>
        <filter val="93,68"/>
        <filter val="99,2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9" spans="2:8" x14ac:dyDescent="0.2">
      <c r="B9" s="53" t="s">
        <v>883</v>
      </c>
      <c r="C9" s="53" t="s">
        <v>878</v>
      </c>
      <c r="D9" s="53" t="s">
        <v>46</v>
      </c>
      <c r="E9" s="53" t="s">
        <v>46</v>
      </c>
    </row>
    <row r="11" spans="2:8" x14ac:dyDescent="0.2">
      <c r="B11" s="53" t="s">
        <v>883</v>
      </c>
      <c r="C11" s="53" t="s">
        <v>881</v>
      </c>
      <c r="D11" s="53" t="s">
        <v>46</v>
      </c>
      <c r="E11" s="53" t="s">
        <v>46</v>
      </c>
    </row>
    <row r="13" spans="2:8" x14ac:dyDescent="0.2">
      <c r="B13" s="53" t="s">
        <v>884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894</v>
      </c>
      <c r="C23" s="53" t="s">
        <v>46</v>
      </c>
      <c r="D23" s="53" t="s">
        <v>46</v>
      </c>
      <c r="E23" s="53" t="s">
        <v>46</v>
      </c>
    </row>
  </sheetData>
  <sheetProtection algorithmName="SHA-512" hashValue="GpFm4YsdmBoNDdBmvCk/8x8PC7shbvwLfboWgKcbwIPEf3WEeyTJNpyt3/JSTMkq307BSLAYC9LQJtK874uGtg==" saltValue="pyUt+4FPmuV9o1PK5EZv7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2026-08-07T12:16:48Z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