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FE2D7C9-7F8D-4C10-9BD7-255092B6ECC8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AC565" i="2" s="1"/>
  <c r="P552" i="2"/>
  <c r="X549" i="2"/>
  <c r="X548" i="2"/>
  <c r="BO547" i="2"/>
  <c r="BM547" i="2"/>
  <c r="Y547" i="2"/>
  <c r="P547" i="2"/>
  <c r="BO546" i="2"/>
  <c r="BM546" i="2"/>
  <c r="Y546" i="2"/>
  <c r="BP546" i="2" s="1"/>
  <c r="P546" i="2"/>
  <c r="X544" i="2"/>
  <c r="X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BP534" i="2" s="1"/>
  <c r="P534" i="2"/>
  <c r="X532" i="2"/>
  <c r="X531" i="2"/>
  <c r="BO530" i="2"/>
  <c r="BM530" i="2"/>
  <c r="Y530" i="2"/>
  <c r="P530" i="2"/>
  <c r="X526" i="2"/>
  <c r="X525" i="2"/>
  <c r="BO524" i="2"/>
  <c r="BM524" i="2"/>
  <c r="Y524" i="2"/>
  <c r="P524" i="2"/>
  <c r="BO523" i="2"/>
  <c r="BM523" i="2"/>
  <c r="Y523" i="2"/>
  <c r="BN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Z519" i="2" s="1"/>
  <c r="P519" i="2"/>
  <c r="BO518" i="2"/>
  <c r="BM518" i="2"/>
  <c r="Y518" i="2"/>
  <c r="BP518" i="2" s="1"/>
  <c r="P518" i="2"/>
  <c r="X516" i="2"/>
  <c r="X515" i="2"/>
  <c r="BO514" i="2"/>
  <c r="BM514" i="2"/>
  <c r="Y514" i="2"/>
  <c r="P514" i="2"/>
  <c r="BO513" i="2"/>
  <c r="BM513" i="2"/>
  <c r="Y513" i="2"/>
  <c r="BN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Z501" i="2" s="1"/>
  <c r="P501" i="2"/>
  <c r="BO500" i="2"/>
  <c r="BM500" i="2"/>
  <c r="Y500" i="2"/>
  <c r="Z500" i="2" s="1"/>
  <c r="P500" i="2"/>
  <c r="X496" i="2"/>
  <c r="X495" i="2"/>
  <c r="BO494" i="2"/>
  <c r="BM494" i="2"/>
  <c r="Y494" i="2"/>
  <c r="P494" i="2"/>
  <c r="BO493" i="2"/>
  <c r="BM493" i="2"/>
  <c r="Y493" i="2"/>
  <c r="BP493" i="2" s="1"/>
  <c r="P493" i="2"/>
  <c r="BO492" i="2"/>
  <c r="BM492" i="2"/>
  <c r="Y492" i="2"/>
  <c r="Z492" i="2" s="1"/>
  <c r="P492" i="2"/>
  <c r="X490" i="2"/>
  <c r="X489" i="2"/>
  <c r="BO488" i="2"/>
  <c r="BM488" i="2"/>
  <c r="Y488" i="2"/>
  <c r="BN488" i="2" s="1"/>
  <c r="P488" i="2"/>
  <c r="X485" i="2"/>
  <c r="X484" i="2"/>
  <c r="BO483" i="2"/>
  <c r="BM483" i="2"/>
  <c r="Y483" i="2"/>
  <c r="BP483" i="2" s="1"/>
  <c r="P483" i="2"/>
  <c r="BO482" i="2"/>
  <c r="BM482" i="2"/>
  <c r="Y482" i="2"/>
  <c r="Y484" i="2" s="1"/>
  <c r="P482" i="2"/>
  <c r="X480" i="2"/>
  <c r="X479" i="2"/>
  <c r="BO478" i="2"/>
  <c r="BM478" i="2"/>
  <c r="Y478" i="2"/>
  <c r="BP478" i="2" s="1"/>
  <c r="P478" i="2"/>
  <c r="BO477" i="2"/>
  <c r="BM477" i="2"/>
  <c r="Y477" i="2"/>
  <c r="BN477" i="2" s="1"/>
  <c r="P477" i="2"/>
  <c r="BO476" i="2"/>
  <c r="BM476" i="2"/>
  <c r="Y476" i="2"/>
  <c r="BP476" i="2" s="1"/>
  <c r="P476" i="2"/>
  <c r="BO475" i="2"/>
  <c r="BM475" i="2"/>
  <c r="Y475" i="2"/>
  <c r="BN475" i="2" s="1"/>
  <c r="P475" i="2"/>
  <c r="BO474" i="2"/>
  <c r="BM474" i="2"/>
  <c r="Y474" i="2"/>
  <c r="Z474" i="2" s="1"/>
  <c r="P474" i="2"/>
  <c r="BO473" i="2"/>
  <c r="BM473" i="2"/>
  <c r="Y473" i="2"/>
  <c r="P473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Y469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BN457" i="2" s="1"/>
  <c r="P457" i="2"/>
  <c r="BO456" i="2"/>
  <c r="BM456" i="2"/>
  <c r="Y456" i="2"/>
  <c r="P456" i="2"/>
  <c r="X453" i="2"/>
  <c r="X452" i="2"/>
  <c r="BO451" i="2"/>
  <c r="BM451" i="2"/>
  <c r="Y451" i="2"/>
  <c r="P451" i="2"/>
  <c r="BO450" i="2"/>
  <c r="BM450" i="2"/>
  <c r="Y450" i="2"/>
  <c r="BN450" i="2" s="1"/>
  <c r="P450" i="2"/>
  <c r="X448" i="2"/>
  <c r="X447" i="2"/>
  <c r="BO446" i="2"/>
  <c r="BM446" i="2"/>
  <c r="Z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Z444" i="2" s="1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P438" i="2"/>
  <c r="X436" i="2"/>
  <c r="X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P421" i="2"/>
  <c r="BO420" i="2"/>
  <c r="BM420" i="2"/>
  <c r="Y420" i="2"/>
  <c r="BP420" i="2" s="1"/>
  <c r="P420" i="2"/>
  <c r="BO419" i="2"/>
  <c r="BM419" i="2"/>
  <c r="Y419" i="2"/>
  <c r="P419" i="2"/>
  <c r="X416" i="2"/>
  <c r="X415" i="2"/>
  <c r="BO414" i="2"/>
  <c r="BM414" i="2"/>
  <c r="Y414" i="2"/>
  <c r="Z414" i="2" s="1"/>
  <c r="BO413" i="2"/>
  <c r="BM413" i="2"/>
  <c r="Y413" i="2"/>
  <c r="X410" i="2"/>
  <c r="X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X398" i="2"/>
  <c r="X397" i="2"/>
  <c r="BO396" i="2"/>
  <c r="BM396" i="2"/>
  <c r="Y396" i="2"/>
  <c r="BN396" i="2" s="1"/>
  <c r="P396" i="2"/>
  <c r="BO395" i="2"/>
  <c r="BM395" i="2"/>
  <c r="Y395" i="2"/>
  <c r="BP395" i="2" s="1"/>
  <c r="P395" i="2"/>
  <c r="BO394" i="2"/>
  <c r="BM394" i="2"/>
  <c r="Y394" i="2"/>
  <c r="Z394" i="2" s="1"/>
  <c r="P394" i="2"/>
  <c r="BO393" i="2"/>
  <c r="BM393" i="2"/>
  <c r="Y393" i="2"/>
  <c r="Y397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BP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X368" i="2"/>
  <c r="X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P355" i="2"/>
  <c r="BO354" i="2"/>
  <c r="BM354" i="2"/>
  <c r="Y354" i="2"/>
  <c r="BN354" i="2" s="1"/>
  <c r="P354" i="2"/>
  <c r="X351" i="2"/>
  <c r="X350" i="2"/>
  <c r="BO349" i="2"/>
  <c r="BM349" i="2"/>
  <c r="Y349" i="2"/>
  <c r="Z349" i="2" s="1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BP341" i="2" s="1"/>
  <c r="P341" i="2"/>
  <c r="BO340" i="2"/>
  <c r="BM340" i="2"/>
  <c r="Y340" i="2"/>
  <c r="P340" i="2"/>
  <c r="X337" i="2"/>
  <c r="X336" i="2"/>
  <c r="BO335" i="2"/>
  <c r="BM335" i="2"/>
  <c r="Y335" i="2"/>
  <c r="P335" i="2"/>
  <c r="BO334" i="2"/>
  <c r="BM334" i="2"/>
  <c r="Y334" i="2"/>
  <c r="BN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P319" i="2"/>
  <c r="BO318" i="2"/>
  <c r="BM318" i="2"/>
  <c r="Y318" i="2"/>
  <c r="Z318" i="2" s="1"/>
  <c r="P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X296" i="2"/>
  <c r="X295" i="2"/>
  <c r="BO294" i="2"/>
  <c r="BM294" i="2"/>
  <c r="Y294" i="2"/>
  <c r="BP294" i="2" s="1"/>
  <c r="P294" i="2"/>
  <c r="BO293" i="2"/>
  <c r="BM293" i="2"/>
  <c r="Y293" i="2"/>
  <c r="Y296" i="2" s="1"/>
  <c r="P293" i="2"/>
  <c r="X291" i="2"/>
  <c r="X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Z263" i="2" s="1"/>
  <c r="P263" i="2"/>
  <c r="BO262" i="2"/>
  <c r="BM262" i="2"/>
  <c r="Y262" i="2"/>
  <c r="BP262" i="2" s="1"/>
  <c r="P262" i="2"/>
  <c r="X260" i="2"/>
  <c r="X259" i="2"/>
  <c r="BO258" i="2"/>
  <c r="BM258" i="2"/>
  <c r="Y258" i="2"/>
  <c r="BN258" i="2" s="1"/>
  <c r="P258" i="2"/>
  <c r="BO257" i="2"/>
  <c r="BM257" i="2"/>
  <c r="Y257" i="2"/>
  <c r="BP257" i="2" s="1"/>
  <c r="P257" i="2"/>
  <c r="X254" i="2"/>
  <c r="X253" i="2"/>
  <c r="BO252" i="2"/>
  <c r="BM252" i="2"/>
  <c r="Y252" i="2"/>
  <c r="Y253" i="2" s="1"/>
  <c r="P252" i="2"/>
  <c r="X250" i="2"/>
  <c r="X249" i="2"/>
  <c r="BO248" i="2"/>
  <c r="BM248" i="2"/>
  <c r="Y248" i="2"/>
  <c r="BP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Z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Z221" i="2" s="1"/>
  <c r="P221" i="2"/>
  <c r="X219" i="2"/>
  <c r="X218" i="2"/>
  <c r="BO217" i="2"/>
  <c r="BM217" i="2"/>
  <c r="Y217" i="2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Z209" i="2" s="1"/>
  <c r="P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Y198" i="2"/>
  <c r="X198" i="2"/>
  <c r="X197" i="2"/>
  <c r="BO196" i="2"/>
  <c r="BM196" i="2"/>
  <c r="Y196" i="2"/>
  <c r="BN196" i="2" s="1"/>
  <c r="P196" i="2"/>
  <c r="BO195" i="2"/>
  <c r="BM195" i="2"/>
  <c r="Y195" i="2"/>
  <c r="Z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Z190" i="2" s="1"/>
  <c r="P190" i="2"/>
  <c r="BO189" i="2"/>
  <c r="BM189" i="2"/>
  <c r="Y189" i="2"/>
  <c r="BN189" i="2" s="1"/>
  <c r="P189" i="2"/>
  <c r="X187" i="2"/>
  <c r="X186" i="2"/>
  <c r="BO185" i="2"/>
  <c r="BM185" i="2"/>
  <c r="Y185" i="2"/>
  <c r="Z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Z170" i="2" s="1"/>
  <c r="P170" i="2"/>
  <c r="X168" i="2"/>
  <c r="X167" i="2"/>
  <c r="BO166" i="2"/>
  <c r="BM166" i="2"/>
  <c r="Y166" i="2"/>
  <c r="Z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Z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BP144" i="2" s="1"/>
  <c r="P144" i="2"/>
  <c r="BO143" i="2"/>
  <c r="BM143" i="2"/>
  <c r="Y143" i="2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Z135" i="2"/>
  <c r="Y135" i="2"/>
  <c r="BN135" i="2" s="1"/>
  <c r="P135" i="2"/>
  <c r="X133" i="2"/>
  <c r="X132" i="2"/>
  <c r="BO131" i="2"/>
  <c r="BM131" i="2"/>
  <c r="Y131" i="2"/>
  <c r="BP131" i="2" s="1"/>
  <c r="P131" i="2"/>
  <c r="BO130" i="2"/>
  <c r="BM130" i="2"/>
  <c r="Y130" i="2"/>
  <c r="BN130" i="2" s="1"/>
  <c r="P130" i="2"/>
  <c r="BO129" i="2"/>
  <c r="BM129" i="2"/>
  <c r="Y129" i="2"/>
  <c r="BN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BN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BN117" i="2" s="1"/>
  <c r="P117" i="2"/>
  <c r="X115" i="2"/>
  <c r="X114" i="2"/>
  <c r="BO113" i="2"/>
  <c r="BM113" i="2"/>
  <c r="Y113" i="2"/>
  <c r="Z113" i="2" s="1"/>
  <c r="P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N110" i="2" s="1"/>
  <c r="P110" i="2"/>
  <c r="BO109" i="2"/>
  <c r="BM109" i="2"/>
  <c r="Y109" i="2"/>
  <c r="BN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N102" i="2" s="1"/>
  <c r="P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X96" i="2"/>
  <c r="X95" i="2"/>
  <c r="BO94" i="2"/>
  <c r="BM94" i="2"/>
  <c r="Y94" i="2"/>
  <c r="BP94" i="2" s="1"/>
  <c r="P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N91" i="2" s="1"/>
  <c r="P91" i="2"/>
  <c r="X89" i="2"/>
  <c r="X88" i="2"/>
  <c r="BO87" i="2"/>
  <c r="BM87" i="2"/>
  <c r="Y87" i="2"/>
  <c r="Z87" i="2" s="1"/>
  <c r="P87" i="2"/>
  <c r="BP86" i="2"/>
  <c r="BO86" i="2"/>
  <c r="BM86" i="2"/>
  <c r="Y86" i="2"/>
  <c r="BN86" i="2" s="1"/>
  <c r="P86" i="2"/>
  <c r="BO85" i="2"/>
  <c r="BM85" i="2"/>
  <c r="Y85" i="2"/>
  <c r="BP85" i="2" s="1"/>
  <c r="P85" i="2"/>
  <c r="BO84" i="2"/>
  <c r="BM84" i="2"/>
  <c r="Y84" i="2"/>
  <c r="BP84" i="2" s="1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P69" i="2"/>
  <c r="BO68" i="2"/>
  <c r="BM68" i="2"/>
  <c r="Y68" i="2"/>
  <c r="BP68" i="2" s="1"/>
  <c r="P68" i="2"/>
  <c r="BO67" i="2"/>
  <c r="BM67" i="2"/>
  <c r="Y67" i="2"/>
  <c r="BP67" i="2" s="1"/>
  <c r="P67" i="2"/>
  <c r="BO66" i="2"/>
  <c r="BM66" i="2"/>
  <c r="Y66" i="2"/>
  <c r="BN66" i="2" s="1"/>
  <c r="P66" i="2"/>
  <c r="X64" i="2"/>
  <c r="X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P59" i="2"/>
  <c r="BO59" i="2"/>
  <c r="BM59" i="2"/>
  <c r="Y59" i="2"/>
  <c r="Z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Z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Z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F10" i="2" s="1"/>
  <c r="D7" i="2"/>
  <c r="Q6" i="2"/>
  <c r="P2" i="2"/>
  <c r="BN68" i="2" l="1"/>
  <c r="BN144" i="2"/>
  <c r="BN200" i="2"/>
  <c r="BN270" i="2"/>
  <c r="BN349" i="2"/>
  <c r="BP28" i="2"/>
  <c r="BN30" i="2"/>
  <c r="Z39" i="2"/>
  <c r="BP92" i="2"/>
  <c r="BN112" i="2"/>
  <c r="BP113" i="2"/>
  <c r="BN118" i="2"/>
  <c r="Z120" i="2"/>
  <c r="Z153" i="2"/>
  <c r="BN212" i="2"/>
  <c r="BN248" i="2"/>
  <c r="BN324" i="2"/>
  <c r="BN406" i="2"/>
  <c r="BP444" i="2"/>
  <c r="Z450" i="2"/>
  <c r="Y452" i="2"/>
  <c r="Z231" i="2"/>
  <c r="Z429" i="2"/>
  <c r="Y423" i="2"/>
  <c r="BP136" i="2"/>
  <c r="Z294" i="2"/>
  <c r="Z227" i="2"/>
  <c r="BN227" i="2"/>
  <c r="BN387" i="2"/>
  <c r="Z546" i="2"/>
  <c r="Z534" i="2"/>
  <c r="Z535" i="2" s="1"/>
  <c r="Y535" i="2"/>
  <c r="BP522" i="2"/>
  <c r="Z522" i="2"/>
  <c r="BN521" i="2"/>
  <c r="Z520" i="2"/>
  <c r="Z512" i="2"/>
  <c r="BP512" i="2"/>
  <c r="BN507" i="2"/>
  <c r="BN503" i="2"/>
  <c r="BN502" i="2"/>
  <c r="BN478" i="2"/>
  <c r="BP477" i="2"/>
  <c r="Z477" i="2"/>
  <c r="BN476" i="2"/>
  <c r="Z475" i="2"/>
  <c r="Y479" i="2"/>
  <c r="BN466" i="2"/>
  <c r="BN465" i="2"/>
  <c r="BN451" i="2"/>
  <c r="Y453" i="2"/>
  <c r="BN446" i="2"/>
  <c r="Y442" i="2"/>
  <c r="BN440" i="2"/>
  <c r="BN431" i="2"/>
  <c r="BN420" i="2"/>
  <c r="Z420" i="2"/>
  <c r="Y403" i="2"/>
  <c r="Z396" i="2"/>
  <c r="BP396" i="2"/>
  <c r="BN395" i="2"/>
  <c r="Z387" i="2"/>
  <c r="Z383" i="2"/>
  <c r="BP376" i="2"/>
  <c r="Z376" i="2"/>
  <c r="Z374" i="2"/>
  <c r="BN374" i="2"/>
  <c r="Z371" i="2"/>
  <c r="BP371" i="2"/>
  <c r="Y378" i="2"/>
  <c r="BN370" i="2"/>
  <c r="Z370" i="2"/>
  <c r="Y367" i="2"/>
  <c r="Z363" i="2"/>
  <c r="BN343" i="2"/>
  <c r="Z343" i="2"/>
  <c r="BP334" i="2"/>
  <c r="Z328" i="2"/>
  <c r="BN328" i="2"/>
  <c r="Z325" i="2"/>
  <c r="BP325" i="2"/>
  <c r="Z324" i="2"/>
  <c r="BN318" i="2"/>
  <c r="Z304" i="2"/>
  <c r="BN294" i="2"/>
  <c r="BN286" i="2"/>
  <c r="Z286" i="2"/>
  <c r="Z284" i="2"/>
  <c r="BN284" i="2"/>
  <c r="BN280" i="2"/>
  <c r="BP278" i="2"/>
  <c r="BN274" i="2"/>
  <c r="Z274" i="2"/>
  <c r="BP268" i="2"/>
  <c r="BN252" i="2"/>
  <c r="Z247" i="2"/>
  <c r="Y250" i="2"/>
  <c r="BN247" i="2"/>
  <c r="BN242" i="2"/>
  <c r="Z238" i="2"/>
  <c r="BN233" i="2"/>
  <c r="BN231" i="2"/>
  <c r="BP225" i="2"/>
  <c r="BN224" i="2"/>
  <c r="BP223" i="2"/>
  <c r="Z223" i="2"/>
  <c r="Z210" i="2"/>
  <c r="BN210" i="2"/>
  <c r="BN206" i="2"/>
  <c r="Y202" i="2"/>
  <c r="Y201" i="2"/>
  <c r="Z196" i="2"/>
  <c r="BN195" i="2"/>
  <c r="Z183" i="2"/>
  <c r="BN178" i="2"/>
  <c r="Z176" i="2"/>
  <c r="BP170" i="2"/>
  <c r="BP152" i="2"/>
  <c r="Z138" i="2"/>
  <c r="BP135" i="2"/>
  <c r="Z111" i="2"/>
  <c r="BP111" i="2"/>
  <c r="BN101" i="2"/>
  <c r="Y107" i="2"/>
  <c r="Z94" i="2"/>
  <c r="BN94" i="2"/>
  <c r="Z91" i="2"/>
  <c r="BP91" i="2"/>
  <c r="BN84" i="2"/>
  <c r="Z79" i="2"/>
  <c r="BP79" i="2"/>
  <c r="Y81" i="2"/>
  <c r="Z67" i="2"/>
  <c r="BN67" i="2"/>
  <c r="BN62" i="2"/>
  <c r="Z61" i="2"/>
  <c r="Z58" i="2"/>
  <c r="BP58" i="2"/>
  <c r="Z56" i="2"/>
  <c r="BN50" i="2"/>
  <c r="BP40" i="2"/>
  <c r="BN39" i="2"/>
  <c r="BN38" i="2"/>
  <c r="X559" i="2"/>
  <c r="Z30" i="2"/>
  <c r="X556" i="2"/>
  <c r="Y24" i="2"/>
  <c r="BP31" i="2"/>
  <c r="BP179" i="2"/>
  <c r="Z179" i="2"/>
  <c r="Z211" i="2"/>
  <c r="BN211" i="2"/>
  <c r="Z232" i="2"/>
  <c r="BN232" i="2"/>
  <c r="BP317" i="2"/>
  <c r="Y320" i="2"/>
  <c r="BN317" i="2"/>
  <c r="Y321" i="2"/>
  <c r="Z317" i="2"/>
  <c r="BP430" i="2"/>
  <c r="BN430" i="2"/>
  <c r="Z430" i="2"/>
  <c r="BP494" i="2"/>
  <c r="Z494" i="2"/>
  <c r="X555" i="2"/>
  <c r="D565" i="2"/>
  <c r="E565" i="2"/>
  <c r="BP55" i="2"/>
  <c r="Z57" i="2"/>
  <c r="BP57" i="2"/>
  <c r="Y70" i="2"/>
  <c r="Z74" i="2"/>
  <c r="BP74" i="2"/>
  <c r="Z80" i="2"/>
  <c r="BP78" i="2"/>
  <c r="Z85" i="2"/>
  <c r="Z100" i="2"/>
  <c r="Z102" i="2"/>
  <c r="BP102" i="2"/>
  <c r="Z105" i="2"/>
  <c r="Z109" i="2"/>
  <c r="Y133" i="2"/>
  <c r="Z154" i="2"/>
  <c r="BP155" i="2"/>
  <c r="Z155" i="2"/>
  <c r="Z175" i="2"/>
  <c r="Z180" i="2"/>
  <c r="BP180" i="2"/>
  <c r="BP182" i="2"/>
  <c r="Z182" i="2"/>
  <c r="BP189" i="2"/>
  <c r="BP207" i="2"/>
  <c r="BN207" i="2"/>
  <c r="BP217" i="2"/>
  <c r="Y218" i="2"/>
  <c r="Z217" i="2"/>
  <c r="Z218" i="2" s="1"/>
  <c r="BP228" i="2"/>
  <c r="BN228" i="2"/>
  <c r="BP241" i="2"/>
  <c r="BN241" i="2"/>
  <c r="Z241" i="2"/>
  <c r="Y276" i="2"/>
  <c r="BP269" i="2"/>
  <c r="BP301" i="2"/>
  <c r="BN301" i="2"/>
  <c r="Z301" i="2"/>
  <c r="BN319" i="2"/>
  <c r="BP319" i="2"/>
  <c r="Z319" i="2"/>
  <c r="BN342" i="2"/>
  <c r="BP342" i="2"/>
  <c r="Z342" i="2"/>
  <c r="BN381" i="2"/>
  <c r="BP381" i="2"/>
  <c r="Z381" i="2"/>
  <c r="BN432" i="2"/>
  <c r="BP432" i="2"/>
  <c r="Z432" i="2"/>
  <c r="Z504" i="2"/>
  <c r="BP504" i="2"/>
  <c r="BP547" i="2"/>
  <c r="BN547" i="2"/>
  <c r="BN267" i="2"/>
  <c r="BP267" i="2"/>
  <c r="Z267" i="2"/>
  <c r="BP327" i="2"/>
  <c r="Z327" i="2"/>
  <c r="BN340" i="2"/>
  <c r="Y345" i="2"/>
  <c r="Z340" i="2"/>
  <c r="Z413" i="2"/>
  <c r="Z415" i="2" s="1"/>
  <c r="BN413" i="2"/>
  <c r="Z524" i="2"/>
  <c r="BP524" i="2"/>
  <c r="Z538" i="2"/>
  <c r="Z539" i="2" s="1"/>
  <c r="BP538" i="2"/>
  <c r="Y539" i="2"/>
  <c r="Y25" i="2"/>
  <c r="X557" i="2"/>
  <c r="BN27" i="2"/>
  <c r="BN31" i="2"/>
  <c r="Z38" i="2"/>
  <c r="Z47" i="2"/>
  <c r="BP47" i="2"/>
  <c r="Z50" i="2"/>
  <c r="Z55" i="2"/>
  <c r="BN61" i="2"/>
  <c r="Z62" i="2"/>
  <c r="Z66" i="2"/>
  <c r="Z68" i="2"/>
  <c r="Y80" i="2"/>
  <c r="G565" i="2"/>
  <c r="BP99" i="2"/>
  <c r="Z101" i="2"/>
  <c r="BP103" i="2"/>
  <c r="Y114" i="2"/>
  <c r="Z118" i="2"/>
  <c r="Y146" i="2"/>
  <c r="Z143" i="2"/>
  <c r="J565" i="2"/>
  <c r="Y168" i="2"/>
  <c r="BP166" i="2"/>
  <c r="BN166" i="2"/>
  <c r="BN179" i="2"/>
  <c r="Z189" i="2"/>
  <c r="BP196" i="2"/>
  <c r="Z207" i="2"/>
  <c r="Y213" i="2"/>
  <c r="BP222" i="2"/>
  <c r="Z222" i="2"/>
  <c r="Z228" i="2"/>
  <c r="Y235" i="2"/>
  <c r="BP271" i="2"/>
  <c r="BN271" i="2"/>
  <c r="Z271" i="2"/>
  <c r="BP335" i="2"/>
  <c r="BN335" i="2"/>
  <c r="Z335" i="2"/>
  <c r="BN355" i="2"/>
  <c r="BP355" i="2"/>
  <c r="Z355" i="2"/>
  <c r="Z365" i="2"/>
  <c r="BN365" i="2"/>
  <c r="Z407" i="2"/>
  <c r="BN407" i="2"/>
  <c r="Z467" i="2"/>
  <c r="BP467" i="2"/>
  <c r="Z514" i="2"/>
  <c r="BP514" i="2"/>
  <c r="Y515" i="2"/>
  <c r="Y531" i="2"/>
  <c r="BN530" i="2"/>
  <c r="Y543" i="2"/>
  <c r="BN542" i="2"/>
  <c r="Y89" i="2"/>
  <c r="BP109" i="2"/>
  <c r="BN119" i="2"/>
  <c r="Z119" i="2"/>
  <c r="BN175" i="2"/>
  <c r="Y187" i="2"/>
  <c r="BP281" i="2"/>
  <c r="BN281" i="2"/>
  <c r="Z281" i="2"/>
  <c r="A10" i="2"/>
  <c r="Z22" i="2"/>
  <c r="BP22" i="2"/>
  <c r="Y33" i="2"/>
  <c r="Y43" i="2"/>
  <c r="BP48" i="2"/>
  <c r="BP69" i="2"/>
  <c r="BN78" i="2"/>
  <c r="Z84" i="2"/>
  <c r="BN85" i="2"/>
  <c r="BN105" i="2"/>
  <c r="Z110" i="2"/>
  <c r="Z112" i="2"/>
  <c r="BP119" i="2"/>
  <c r="Y122" i="2"/>
  <c r="H565" i="2"/>
  <c r="Z129" i="2"/>
  <c r="BN155" i="2"/>
  <c r="BN177" i="2"/>
  <c r="Z177" i="2"/>
  <c r="BN182" i="2"/>
  <c r="BP211" i="2"/>
  <c r="BN217" i="2"/>
  <c r="Y219" i="2"/>
  <c r="BP232" i="2"/>
  <c r="BN279" i="2"/>
  <c r="BP279" i="2"/>
  <c r="Y295" i="2"/>
  <c r="Z293" i="2"/>
  <c r="Y330" i="2"/>
  <c r="BP340" i="2"/>
  <c r="BP413" i="2"/>
  <c r="W565" i="2"/>
  <c r="BN427" i="2"/>
  <c r="BP427" i="2"/>
  <c r="Z427" i="2"/>
  <c r="BP130" i="2"/>
  <c r="BN138" i="2"/>
  <c r="BP153" i="2"/>
  <c r="Y173" i="2"/>
  <c r="BN183" i="2"/>
  <c r="BP190" i="2"/>
  <c r="Z197" i="2"/>
  <c r="BP195" i="2"/>
  <c r="Y197" i="2"/>
  <c r="BN238" i="2"/>
  <c r="Y244" i="2"/>
  <c r="Y254" i="2"/>
  <c r="BP285" i="2"/>
  <c r="BP299" i="2"/>
  <c r="BN302" i="2"/>
  <c r="BN305" i="2"/>
  <c r="BP309" i="2"/>
  <c r="BP333" i="2"/>
  <c r="BN341" i="2"/>
  <c r="BP344" i="2"/>
  <c r="BN361" i="2"/>
  <c r="BN364" i="2"/>
  <c r="BN366" i="2"/>
  <c r="BP375" i="2"/>
  <c r="BN380" i="2"/>
  <c r="Y385" i="2"/>
  <c r="BP388" i="2"/>
  <c r="BP393" i="2"/>
  <c r="BN408" i="2"/>
  <c r="Y409" i="2"/>
  <c r="BP414" i="2"/>
  <c r="BP419" i="2"/>
  <c r="Y468" i="2"/>
  <c r="BP474" i="2"/>
  <c r="Z565" i="2"/>
  <c r="Y490" i="2"/>
  <c r="BP519" i="2"/>
  <c r="Y525" i="2"/>
  <c r="Y145" i="2"/>
  <c r="BP142" i="2"/>
  <c r="Z144" i="2"/>
  <c r="BP176" i="2"/>
  <c r="Z178" i="2"/>
  <c r="Z200" i="2"/>
  <c r="Z201" i="2" s="1"/>
  <c r="Z206" i="2"/>
  <c r="Z212" i="2"/>
  <c r="Y214" i="2"/>
  <c r="Y236" i="2"/>
  <c r="BP221" i="2"/>
  <c r="Z224" i="2"/>
  <c r="Z233" i="2"/>
  <c r="BP242" i="2"/>
  <c r="Z248" i="2"/>
  <c r="Z252" i="2"/>
  <c r="Z253" i="2" s="1"/>
  <c r="Y265" i="2"/>
  <c r="Z270" i="2"/>
  <c r="Z280" i="2"/>
  <c r="BP318" i="2"/>
  <c r="BP349" i="2"/>
  <c r="Y358" i="2"/>
  <c r="BP354" i="2"/>
  <c r="T565" i="2"/>
  <c r="Y377" i="2"/>
  <c r="Z395" i="2"/>
  <c r="Y422" i="2"/>
  <c r="BP431" i="2"/>
  <c r="Z439" i="2"/>
  <c r="Z451" i="2"/>
  <c r="X565" i="2"/>
  <c r="Z466" i="2"/>
  <c r="Z476" i="2"/>
  <c r="Z488" i="2"/>
  <c r="Z489" i="2" s="1"/>
  <c r="BP492" i="2"/>
  <c r="Z503" i="2"/>
  <c r="Z506" i="2"/>
  <c r="BN512" i="2"/>
  <c r="BP513" i="2"/>
  <c r="Z521" i="2"/>
  <c r="BP523" i="2"/>
  <c r="Y536" i="2"/>
  <c r="Z273" i="2"/>
  <c r="Z283" i="2"/>
  <c r="BN285" i="2"/>
  <c r="Y307" i="2"/>
  <c r="Z302" i="2"/>
  <c r="Z305" i="2"/>
  <c r="Y310" i="2"/>
  <c r="Z341" i="2"/>
  <c r="Y357" i="2"/>
  <c r="Z361" i="2"/>
  <c r="BP361" i="2"/>
  <c r="Z364" i="2"/>
  <c r="Z366" i="2"/>
  <c r="Y368" i="2"/>
  <c r="Z373" i="2"/>
  <c r="BN375" i="2"/>
  <c r="Z380" i="2"/>
  <c r="BN393" i="2"/>
  <c r="Y398" i="2"/>
  <c r="BP394" i="2"/>
  <c r="Z406" i="2"/>
  <c r="Z408" i="2"/>
  <c r="Y410" i="2"/>
  <c r="BN414" i="2"/>
  <c r="BN419" i="2"/>
  <c r="Z440" i="2"/>
  <c r="BP450" i="2"/>
  <c r="Z465" i="2"/>
  <c r="BP465" i="2"/>
  <c r="BN474" i="2"/>
  <c r="BP475" i="2"/>
  <c r="Z478" i="2"/>
  <c r="Y489" i="2"/>
  <c r="AA565" i="2"/>
  <c r="BP500" i="2"/>
  <c r="BN501" i="2"/>
  <c r="Z502" i="2"/>
  <c r="Z507" i="2"/>
  <c r="Z513" i="2"/>
  <c r="BN519" i="2"/>
  <c r="BP520" i="2"/>
  <c r="Z523" i="2"/>
  <c r="Z70" i="2"/>
  <c r="BN143" i="2"/>
  <c r="Z240" i="2"/>
  <c r="BN29" i="2"/>
  <c r="Y32" i="2"/>
  <c r="BN41" i="2"/>
  <c r="BP56" i="2"/>
  <c r="BP66" i="2"/>
  <c r="BN87" i="2"/>
  <c r="BP100" i="2"/>
  <c r="BP110" i="2"/>
  <c r="BP120" i="2"/>
  <c r="BN131" i="2"/>
  <c r="BP143" i="2"/>
  <c r="BP154" i="2"/>
  <c r="BN165" i="2"/>
  <c r="BP177" i="2"/>
  <c r="BN185" i="2"/>
  <c r="BN209" i="2"/>
  <c r="BN230" i="2"/>
  <c r="BN240" i="2"/>
  <c r="Y243" i="2"/>
  <c r="BP252" i="2"/>
  <c r="BN263" i="2"/>
  <c r="BN273" i="2"/>
  <c r="BN283" i="2"/>
  <c r="BN293" i="2"/>
  <c r="BN304" i="2"/>
  <c r="BN327" i="2"/>
  <c r="BN363" i="2"/>
  <c r="BN373" i="2"/>
  <c r="BN383" i="2"/>
  <c r="Z393" i="2"/>
  <c r="BN429" i="2"/>
  <c r="BN439" i="2"/>
  <c r="BP451" i="2"/>
  <c r="Y463" i="2"/>
  <c r="BP501" i="2"/>
  <c r="Y510" i="2"/>
  <c r="Y548" i="2"/>
  <c r="K565" i="2"/>
  <c r="BP117" i="2"/>
  <c r="Y193" i="2"/>
  <c r="BN100" i="2"/>
  <c r="Z131" i="2"/>
  <c r="BN48" i="2"/>
  <c r="Y51" i="2"/>
  <c r="BN59" i="2"/>
  <c r="BN69" i="2"/>
  <c r="BN92" i="2"/>
  <c r="Y95" i="2"/>
  <c r="BN103" i="2"/>
  <c r="Y106" i="2"/>
  <c r="BN113" i="2"/>
  <c r="BN136" i="2"/>
  <c r="Y139" i="2"/>
  <c r="BP149" i="2"/>
  <c r="BP159" i="2"/>
  <c r="BN170" i="2"/>
  <c r="BN180" i="2"/>
  <c r="BN190" i="2"/>
  <c r="BN225" i="2"/>
  <c r="BP258" i="2"/>
  <c r="BN268" i="2"/>
  <c r="BN278" i="2"/>
  <c r="BP288" i="2"/>
  <c r="BN299" i="2"/>
  <c r="BN309" i="2"/>
  <c r="BN333" i="2"/>
  <c r="Y336" i="2"/>
  <c r="BN344" i="2"/>
  <c r="BN388" i="2"/>
  <c r="BP400" i="2"/>
  <c r="BP434" i="2"/>
  <c r="BN444" i="2"/>
  <c r="Y447" i="2"/>
  <c r="BP457" i="2"/>
  <c r="BN467" i="2"/>
  <c r="Y480" i="2"/>
  <c r="BN492" i="2"/>
  <c r="Y495" i="2"/>
  <c r="BN504" i="2"/>
  <c r="BN514" i="2"/>
  <c r="BN524" i="2"/>
  <c r="BN538" i="2"/>
  <c r="L565" i="2"/>
  <c r="Y125" i="2"/>
  <c r="BP29" i="2"/>
  <c r="BP41" i="2"/>
  <c r="BP87" i="2"/>
  <c r="Y121" i="2"/>
  <c r="BP165" i="2"/>
  <c r="BP185" i="2"/>
  <c r="BP209" i="2"/>
  <c r="BP230" i="2"/>
  <c r="BP263" i="2"/>
  <c r="BP293" i="2"/>
  <c r="Y315" i="2"/>
  <c r="Y404" i="2"/>
  <c r="Y485" i="2"/>
  <c r="Y532" i="2"/>
  <c r="Y544" i="2"/>
  <c r="M565" i="2"/>
  <c r="Y259" i="2"/>
  <c r="Y435" i="2"/>
  <c r="Y458" i="2"/>
  <c r="Y549" i="2"/>
  <c r="O565" i="2"/>
  <c r="Y160" i="2"/>
  <c r="Y42" i="2"/>
  <c r="Y52" i="2"/>
  <c r="Y88" i="2"/>
  <c r="Y96" i="2"/>
  <c r="Y132" i="2"/>
  <c r="Y140" i="2"/>
  <c r="Z150" i="2"/>
  <c r="Y186" i="2"/>
  <c r="Y264" i="2"/>
  <c r="Z289" i="2"/>
  <c r="Y337" i="2"/>
  <c r="Y384" i="2"/>
  <c r="Z401" i="2"/>
  <c r="Y448" i="2"/>
  <c r="Z482" i="2"/>
  <c r="Y496" i="2"/>
  <c r="P565" i="2"/>
  <c r="Q565" i="2"/>
  <c r="Z37" i="2"/>
  <c r="Z49" i="2"/>
  <c r="Z60" i="2"/>
  <c r="Y75" i="2"/>
  <c r="Z93" i="2"/>
  <c r="Z95" i="2" s="1"/>
  <c r="Z104" i="2"/>
  <c r="BP129" i="2"/>
  <c r="Z137" i="2"/>
  <c r="Z139" i="2" s="1"/>
  <c r="BN150" i="2"/>
  <c r="Y161" i="2"/>
  <c r="Z171" i="2"/>
  <c r="Z172" i="2" s="1"/>
  <c r="Z181" i="2"/>
  <c r="Z191" i="2"/>
  <c r="Z226" i="2"/>
  <c r="Z246" i="2"/>
  <c r="Y260" i="2"/>
  <c r="Z269" i="2"/>
  <c r="Z279" i="2"/>
  <c r="BN289" i="2"/>
  <c r="Z300" i="2"/>
  <c r="Z334" i="2"/>
  <c r="Y350" i="2"/>
  <c r="Z389" i="2"/>
  <c r="BN401" i="2"/>
  <c r="Y415" i="2"/>
  <c r="Y436" i="2"/>
  <c r="Z445" i="2"/>
  <c r="Z447" i="2" s="1"/>
  <c r="Y459" i="2"/>
  <c r="BN482" i="2"/>
  <c r="Z493" i="2"/>
  <c r="Z495" i="2" s="1"/>
  <c r="Z505" i="2"/>
  <c r="Z552" i="2"/>
  <c r="Z553" i="2" s="1"/>
  <c r="R565" i="2"/>
  <c r="BN534" i="2"/>
  <c r="BN546" i="2"/>
  <c r="S565" i="2"/>
  <c r="Z23" i="2"/>
  <c r="BN37" i="2"/>
  <c r="BN49" i="2"/>
  <c r="BN60" i="2"/>
  <c r="Y63" i="2"/>
  <c r="Y71" i="2"/>
  <c r="BN93" i="2"/>
  <c r="BN104" i="2"/>
  <c r="Y115" i="2"/>
  <c r="Z124" i="2"/>
  <c r="Z125" i="2" s="1"/>
  <c r="BN171" i="2"/>
  <c r="BN181" i="2"/>
  <c r="BN191" i="2"/>
  <c r="BN226" i="2"/>
  <c r="Y249" i="2"/>
  <c r="Z257" i="2"/>
  <c r="BN269" i="2"/>
  <c r="Z287" i="2"/>
  <c r="BN300" i="2"/>
  <c r="Y311" i="2"/>
  <c r="BN389" i="2"/>
  <c r="Z421" i="2"/>
  <c r="Z433" i="2"/>
  <c r="BN445" i="2"/>
  <c r="Z456" i="2"/>
  <c r="BP482" i="2"/>
  <c r="BN493" i="2"/>
  <c r="BN505" i="2"/>
  <c r="Y526" i="2"/>
  <c r="Y540" i="2"/>
  <c r="BN552" i="2"/>
  <c r="BN137" i="2"/>
  <c r="Z234" i="2"/>
  <c r="BN246" i="2"/>
  <c r="Y346" i="2"/>
  <c r="Z356" i="2"/>
  <c r="Z28" i="2"/>
  <c r="Z32" i="2" s="1"/>
  <c r="Z40" i="2"/>
  <c r="BN55" i="2"/>
  <c r="Y76" i="2"/>
  <c r="Z86" i="2"/>
  <c r="BN99" i="2"/>
  <c r="Z130" i="2"/>
  <c r="BN142" i="2"/>
  <c r="Y156" i="2"/>
  <c r="Z164" i="2"/>
  <c r="Z167" i="2" s="1"/>
  <c r="Z184" i="2"/>
  <c r="Z208" i="2"/>
  <c r="BN221" i="2"/>
  <c r="Z229" i="2"/>
  <c r="Z239" i="2"/>
  <c r="Z262" i="2"/>
  <c r="Z264" i="2" s="1"/>
  <c r="Z272" i="2"/>
  <c r="Z282" i="2"/>
  <c r="Z303" i="2"/>
  <c r="Z326" i="2"/>
  <c r="Y351" i="2"/>
  <c r="Z362" i="2"/>
  <c r="Z372" i="2"/>
  <c r="Z382" i="2"/>
  <c r="BN394" i="2"/>
  <c r="Y416" i="2"/>
  <c r="Z428" i="2"/>
  <c r="Z438" i="2"/>
  <c r="Z461" i="2"/>
  <c r="Z462" i="2" s="1"/>
  <c r="BP488" i="2"/>
  <c r="BN500" i="2"/>
  <c r="Z508" i="2"/>
  <c r="B565" i="2"/>
  <c r="U565" i="2"/>
  <c r="BP171" i="2"/>
  <c r="Y290" i="2"/>
  <c r="BN421" i="2"/>
  <c r="BN433" i="2"/>
  <c r="BN456" i="2"/>
  <c r="BP552" i="2"/>
  <c r="C565" i="2"/>
  <c r="V565" i="2"/>
  <c r="BN23" i="2"/>
  <c r="BN234" i="2"/>
  <c r="BP246" i="2"/>
  <c r="Y64" i="2"/>
  <c r="Z73" i="2"/>
  <c r="Z117" i="2"/>
  <c r="Z151" i="2"/>
  <c r="BN164" i="2"/>
  <c r="Y167" i="2"/>
  <c r="BN184" i="2"/>
  <c r="BN208" i="2"/>
  <c r="BN229" i="2"/>
  <c r="BN239" i="2"/>
  <c r="BN262" i="2"/>
  <c r="BN272" i="2"/>
  <c r="Y275" i="2"/>
  <c r="BN282" i="2"/>
  <c r="BN303" i="2"/>
  <c r="Y306" i="2"/>
  <c r="Z313" i="2"/>
  <c r="Z314" i="2" s="1"/>
  <c r="BN326" i="2"/>
  <c r="Y329" i="2"/>
  <c r="Z348" i="2"/>
  <c r="Z350" i="2" s="1"/>
  <c r="BN362" i="2"/>
  <c r="BN372" i="2"/>
  <c r="BN382" i="2"/>
  <c r="Z402" i="2"/>
  <c r="BN428" i="2"/>
  <c r="BN438" i="2"/>
  <c r="Y441" i="2"/>
  <c r="BN461" i="2"/>
  <c r="Z473" i="2"/>
  <c r="Z479" i="2" s="1"/>
  <c r="Z483" i="2"/>
  <c r="BN508" i="2"/>
  <c r="Z518" i="2"/>
  <c r="Z530" i="2"/>
  <c r="Z531" i="2" s="1"/>
  <c r="Z542" i="2"/>
  <c r="Z543" i="2" s="1"/>
  <c r="BN124" i="2"/>
  <c r="BN257" i="2"/>
  <c r="BN287" i="2"/>
  <c r="F9" i="2"/>
  <c r="H9" i="2"/>
  <c r="BP23" i="2"/>
  <c r="BP124" i="2"/>
  <c r="Y157" i="2"/>
  <c r="Y172" i="2"/>
  <c r="Y192" i="2"/>
  <c r="BP234" i="2"/>
  <c r="Z354" i="2"/>
  <c r="BP356" i="2"/>
  <c r="Y390" i="2"/>
  <c r="Z419" i="2"/>
  <c r="BP421" i="2"/>
  <c r="BP456" i="2"/>
  <c r="Z547" i="2"/>
  <c r="Y553" i="2"/>
  <c r="J9" i="2"/>
  <c r="BN73" i="2"/>
  <c r="BN151" i="2"/>
  <c r="BP164" i="2"/>
  <c r="Y291" i="2"/>
  <c r="BN313" i="2"/>
  <c r="BN348" i="2"/>
  <c r="BN402" i="2"/>
  <c r="BP438" i="2"/>
  <c r="BP461" i="2"/>
  <c r="BN473" i="2"/>
  <c r="BN483" i="2"/>
  <c r="BN518" i="2"/>
  <c r="F565" i="2"/>
  <c r="Y565" i="2"/>
  <c r="Z149" i="2"/>
  <c r="Z258" i="2"/>
  <c r="Z288" i="2"/>
  <c r="BP313" i="2"/>
  <c r="Y391" i="2"/>
  <c r="Z400" i="2"/>
  <c r="Z434" i="2"/>
  <c r="Z457" i="2"/>
  <c r="BP473" i="2"/>
  <c r="BN494" i="2"/>
  <c r="BN506" i="2"/>
  <c r="Y509" i="2"/>
  <c r="BP530" i="2"/>
  <c r="BP542" i="2"/>
  <c r="Y554" i="2"/>
  <c r="I565" i="2"/>
  <c r="AB565" i="2"/>
  <c r="Z159" i="2"/>
  <c r="Z160" i="2" s="1"/>
  <c r="BN400" i="2"/>
  <c r="Z213" i="2" l="1"/>
  <c r="Z548" i="2"/>
  <c r="Z75" i="2"/>
  <c r="Z243" i="2"/>
  <c r="Z132" i="2"/>
  <c r="Z390" i="2"/>
  <c r="Z336" i="2"/>
  <c r="Z452" i="2"/>
  <c r="Z249" i="2"/>
  <c r="Z422" i="2"/>
  <c r="Z295" i="2"/>
  <c r="Z525" i="2"/>
  <c r="Z397" i="2"/>
  <c r="Z51" i="2"/>
  <c r="Z515" i="2"/>
  <c r="Z509" i="2"/>
  <c r="Z468" i="2"/>
  <c r="Z441" i="2"/>
  <c r="Z409" i="2"/>
  <c r="Z377" i="2"/>
  <c r="Z357" i="2"/>
  <c r="Z345" i="2"/>
  <c r="Z329" i="2"/>
  <c r="Z156" i="2"/>
  <c r="Z145" i="2"/>
  <c r="Z121" i="2"/>
  <c r="Z63" i="2"/>
  <c r="Y556" i="2"/>
  <c r="X558" i="2"/>
  <c r="Z24" i="2"/>
  <c r="Z367" i="2"/>
  <c r="Z290" i="2"/>
  <c r="Z106" i="2"/>
  <c r="Y559" i="2"/>
  <c r="Z114" i="2"/>
  <c r="Z88" i="2"/>
  <c r="Z235" i="2"/>
  <c r="Z275" i="2"/>
  <c r="Z192" i="2"/>
  <c r="Z435" i="2"/>
  <c r="Z384" i="2"/>
  <c r="Z259" i="2"/>
  <c r="Z306" i="2"/>
  <c r="Z186" i="2"/>
  <c r="Y555" i="2"/>
  <c r="Y557" i="2"/>
  <c r="Z320" i="2"/>
  <c r="Z42" i="2"/>
  <c r="Z484" i="2"/>
  <c r="Z403" i="2"/>
  <c r="Z458" i="2"/>
  <c r="Y558" i="2" l="1"/>
  <c r="Z560" i="2"/>
</calcChain>
</file>

<file path=xl/sharedStrings.xml><?xml version="1.0" encoding="utf-8"?>
<sst xmlns="http://schemas.openxmlformats.org/spreadsheetml/2006/main" count="4237" uniqueCount="896">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</sst>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895</v>
      </c>
      <c r="I5" s="649"/>
      <c r="J5" s="649"/>
      <c r="K5" s="649"/>
      <c r="L5" s="649"/>
      <c r="M5" s="649"/>
      <c r="N5" s="72"/>
      <c r="P5" s="27" t="s">
        <v>4</v>
      </c>
      <c r="Q5" s="651">
        <v>46245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877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Вторник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hidden="1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hidden="1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16</v>
      </c>
      <c r="Y41" s="55">
        <f>IFERROR(IF(X41="",0,CEILING((X41/$H41),1)*$H41),"")</f>
        <v>17.28</v>
      </c>
      <c r="Z41" s="41">
        <f>IFERROR(IF(Y41=0,"",ROUNDUP(Y41/H41,0)*0.00651),"")</f>
        <v>5.8590000000000003E-2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17.5</v>
      </c>
      <c r="BN41" s="78">
        <f>IFERROR(Y41*I41/H41,"0")</f>
        <v>18.900000000000002</v>
      </c>
      <c r="BO41" s="78">
        <f>IFERROR(1/J41*(X41/H41),"0")</f>
        <v>4.5787545787545791E-2</v>
      </c>
      <c r="BP41" s="78">
        <f>IFERROR(1/J41*(Y41/H41),"0")</f>
        <v>4.9450549450549462E-2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8.3333333333333339</v>
      </c>
      <c r="Y42" s="43">
        <f>IFERROR(Y37/H37,"0")+IFERROR(Y38/H38,"0")+IFERROR(Y39/H39,"0")+IFERROR(Y40/H40,"0")+IFERROR(Y41/H41,"0")</f>
        <v>9.0000000000000018</v>
      </c>
      <c r="Z42" s="43">
        <f>IFERROR(IF(Z37="",0,Z37),"0")+IFERROR(IF(Z38="",0,Z38),"0")+IFERROR(IF(Z39="",0,Z39),"0")+IFERROR(IF(Z40="",0,Z40),"0")+IFERROR(IF(Z41="",0,Z41),"0")</f>
        <v>5.8590000000000003E-2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16</v>
      </c>
      <c r="Y43" s="43">
        <f>IFERROR(SUM(Y37:Y41),"0")</f>
        <v>17.28</v>
      </c>
      <c r="Z43" s="42"/>
      <c r="AA43" s="67"/>
      <c r="AB43" s="67"/>
      <c r="AC43" s="67"/>
    </row>
    <row r="44" spans="1:68" ht="27.75" hidden="1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hidden="1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hidden="1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160</v>
      </c>
      <c r="Y47" s="55">
        <f>IFERROR(IF(X47="",0,CEILING((X47/$H47),1)*$H47),"")</f>
        <v>162</v>
      </c>
      <c r="Z47" s="41">
        <f>IFERROR(IF(Y47=0,"",ROUNDUP(Y47/H47,0)*0.01898),"")</f>
        <v>0.28470000000000001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166.07407407407408</v>
      </c>
      <c r="BN47" s="78">
        <f>IFERROR(Y47*I47/H47,"0")</f>
        <v>168.15</v>
      </c>
      <c r="BO47" s="78">
        <f>IFERROR(1/J47*(X47/H47),"0")</f>
        <v>0.23148148148148145</v>
      </c>
      <c r="BP47" s="78">
        <f>IFERROR(1/J47*(Y47/H47),"0")</f>
        <v>0.23437499999999997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240</v>
      </c>
      <c r="Y49" s="55">
        <f>IFERROR(IF(X49="",0,CEILING((X49/$H49),1)*$H49),"")</f>
        <v>240</v>
      </c>
      <c r="Z49" s="41">
        <f>IFERROR(IF(Y49=0,"",ROUNDUP(Y49/H49,0)*0.00902),"")</f>
        <v>0.54120000000000001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251.40000000000003</v>
      </c>
      <c r="BN49" s="78">
        <f>IFERROR(Y49*I49/H49,"0")</f>
        <v>251.40000000000003</v>
      </c>
      <c r="BO49" s="78">
        <f>IFERROR(1/J49*(X49/H49),"0")</f>
        <v>0.45454545454545459</v>
      </c>
      <c r="BP49" s="78">
        <f>IFERROR(1/J49*(Y49/H49),"0")</f>
        <v>0.45454545454545459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74.81481481481481</v>
      </c>
      <c r="Y51" s="43">
        <f>IFERROR(Y47/H47,"0")+IFERROR(Y48/H48,"0")+IFERROR(Y49/H49,"0")+IFERROR(Y50/H50,"0")</f>
        <v>75</v>
      </c>
      <c r="Z51" s="43">
        <f>IFERROR(IF(Z47="",0,Z47),"0")+IFERROR(IF(Z48="",0,Z48),"0")+IFERROR(IF(Z49="",0,Z49),"0")+IFERROR(IF(Z50="",0,Z50),"0")</f>
        <v>0.82590000000000008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400</v>
      </c>
      <c r="Y52" s="43">
        <f>IFERROR(SUM(Y47:Y50),"0")</f>
        <v>402</v>
      </c>
      <c r="Z52" s="42"/>
      <c r="AA52" s="67"/>
      <c r="AB52" s="67"/>
      <c r="AC52" s="67"/>
    </row>
    <row r="53" spans="1:68" ht="16.5" hidden="1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hidden="1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100</v>
      </c>
      <c r="Y57" s="55">
        <f t="shared" si="0"/>
        <v>108</v>
      </c>
      <c r="Z57" s="41">
        <f>IFERROR(IF(Y57=0,"",ROUNDUP(Y57/H57,0)*0.01898),"")</f>
        <v>0.1898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103.79629629629629</v>
      </c>
      <c r="BN57" s="78">
        <f t="shared" si="2"/>
        <v>112.1</v>
      </c>
      <c r="BO57" s="78">
        <f t="shared" si="3"/>
        <v>0.14467592592592593</v>
      </c>
      <c r="BP57" s="78">
        <f t="shared" si="4"/>
        <v>0.15625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450</v>
      </c>
      <c r="Y62" s="55">
        <f t="shared" si="0"/>
        <v>450</v>
      </c>
      <c r="Z62" s="41">
        <f>IFERROR(IF(Y62=0,"",ROUNDUP(Y62/H62,0)*0.00902),"")</f>
        <v>0.90200000000000002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469</v>
      </c>
      <c r="BN62" s="78">
        <f t="shared" si="2"/>
        <v>469</v>
      </c>
      <c r="BO62" s="78">
        <f t="shared" si="3"/>
        <v>0.75757575757575757</v>
      </c>
      <c r="BP62" s="78">
        <f t="shared" si="4"/>
        <v>0.75757575757575757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109.25925925925927</v>
      </c>
      <c r="Y63" s="43">
        <f>IFERROR(Y55/H55,"0")+IFERROR(Y56/H56,"0")+IFERROR(Y57/H57,"0")+IFERROR(Y58/H58,"0")+IFERROR(Y59/H59,"0")+IFERROR(Y60/H60,"0")+IFERROR(Y61/H61,"0")+IFERROR(Y62/H62,"0")</f>
        <v>110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1.0918000000000001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550</v>
      </c>
      <c r="Y64" s="43">
        <f>IFERROR(SUM(Y55:Y62),"0")</f>
        <v>558</v>
      </c>
      <c r="Z64" s="42"/>
      <c r="AA64" s="67"/>
      <c r="AB64" s="67"/>
      <c r="AC64" s="67"/>
    </row>
    <row r="65" spans="1:68" ht="14.25" hidden="1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60</v>
      </c>
      <c r="Y66" s="55">
        <f>IFERROR(IF(X66="",0,CEILING((X66/$H66),1)*$H66),"")</f>
        <v>64.800000000000011</v>
      </c>
      <c r="Z66" s="41">
        <f>IFERROR(IF(Y66=0,"",ROUNDUP(Y66/H66,0)*0.01898),"")</f>
        <v>0.11388000000000001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62.277777777777779</v>
      </c>
      <c r="BN66" s="78">
        <f>IFERROR(Y66*I66/H66,"0")</f>
        <v>67.260000000000005</v>
      </c>
      <c r="BO66" s="78">
        <f>IFERROR(1/J66*(X66/H66),"0")</f>
        <v>8.6805555555555552E-2</v>
      </c>
      <c r="BP66" s="78">
        <f>IFERROR(1/J66*(Y66/H66),"0")</f>
        <v>9.3750000000000014E-2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112.5</v>
      </c>
      <c r="Y69" s="55">
        <f>IFERROR(IF(X69="",0,CEILING((X69/$H69),1)*$H69),"")</f>
        <v>113.4</v>
      </c>
      <c r="Z69" s="41">
        <f>IFERROR(IF(Y69=0,"",ROUNDUP(Y69/H69,0)*0.00651),"")</f>
        <v>0.27342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119.99999999999999</v>
      </c>
      <c r="BN69" s="78">
        <f>IFERROR(Y69*I69/H69,"0")</f>
        <v>120.95999999999998</v>
      </c>
      <c r="BO69" s="78">
        <f>IFERROR(1/J69*(X69/H69),"0")</f>
        <v>0.22893772893772893</v>
      </c>
      <c r="BP69" s="78">
        <f>IFERROR(1/J69*(Y69/H69),"0")</f>
        <v>0.23076923076923078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47.222222222222221</v>
      </c>
      <c r="Y70" s="43">
        <f>IFERROR(Y66/H66,"0")+IFERROR(Y67/H67,"0")+IFERROR(Y68/H68,"0")+IFERROR(Y69/H69,"0")</f>
        <v>48</v>
      </c>
      <c r="Z70" s="43">
        <f>IFERROR(IF(Z66="",0,Z66),"0")+IFERROR(IF(Z67="",0,Z67),"0")+IFERROR(IF(Z68="",0,Z68),"0")+IFERROR(IF(Z69="",0,Z69),"0")</f>
        <v>0.38729999999999998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172.5</v>
      </c>
      <c r="Y71" s="43">
        <f>IFERROR(SUM(Y66:Y69),"0")</f>
        <v>178.20000000000002</v>
      </c>
      <c r="Z71" s="42"/>
      <c r="AA71" s="67"/>
      <c r="AB71" s="67"/>
      <c r="AC71" s="67"/>
    </row>
    <row r="72" spans="1:68" ht="14.25" hidden="1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30</v>
      </c>
      <c r="Y78" s="55">
        <f>IFERROR(IF(X78="",0,CEILING((X78/$H78),1)*$H78),"")</f>
        <v>31.2</v>
      </c>
      <c r="Z78" s="41">
        <f>IFERROR(IF(Y78=0,"",ROUNDUP(Y78/H78,0)*0.01898),"")</f>
        <v>7.5920000000000001E-2</v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31.57692307692308</v>
      </c>
      <c r="BN78" s="78">
        <f>IFERROR(Y78*I78/H78,"0")</f>
        <v>32.840000000000003</v>
      </c>
      <c r="BO78" s="78">
        <f>IFERROR(1/J78*(X78/H78),"0")</f>
        <v>6.0096153846153848E-2</v>
      </c>
      <c r="BP78" s="78">
        <f>IFERROR(1/J78*(Y78/H78),"0")</f>
        <v>6.25E-2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3.8461538461538463</v>
      </c>
      <c r="Y80" s="43">
        <f>IFERROR(Y78/H78,"0")+IFERROR(Y79/H79,"0")</f>
        <v>4</v>
      </c>
      <c r="Z80" s="43">
        <f>IFERROR(IF(Z78="",0,Z78),"0")+IFERROR(IF(Z79="",0,Z79),"0")</f>
        <v>7.5920000000000001E-2</v>
      </c>
      <c r="AA80" s="67"/>
      <c r="AB80" s="67"/>
      <c r="AC80" s="67"/>
    </row>
    <row r="81" spans="1:68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30</v>
      </c>
      <c r="Y81" s="43">
        <f>IFERROR(SUM(Y78:Y79),"0")</f>
        <v>31.2</v>
      </c>
      <c r="Z81" s="42"/>
      <c r="AA81" s="67"/>
      <c r="AB81" s="67"/>
      <c r="AC81" s="67"/>
    </row>
    <row r="82" spans="1:68" ht="16.5" hidden="1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hidden="1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hidden="1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450</v>
      </c>
      <c r="Y87" s="55">
        <f>IFERROR(IF(X87="",0,CEILING((X87/$H87),1)*$H87),"")</f>
        <v>450</v>
      </c>
      <c r="Z87" s="41">
        <f>IFERROR(IF(Y87=0,"",ROUNDUP(Y87/H87,0)*0.00902),"")</f>
        <v>0.90200000000000002</v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469</v>
      </c>
      <c r="BN87" s="78">
        <f>IFERROR(Y87*I87/H87,"0")</f>
        <v>469</v>
      </c>
      <c r="BO87" s="78">
        <f>IFERROR(1/J87*(X87/H87),"0")</f>
        <v>0.75757575757575757</v>
      </c>
      <c r="BP87" s="78">
        <f>IFERROR(1/J87*(Y87/H87),"0")</f>
        <v>0.75757575757575757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100</v>
      </c>
      <c r="Y88" s="43">
        <f>IFERROR(Y84/H84,"0")+IFERROR(Y85/H85,"0")+IFERROR(Y86/H86,"0")+IFERROR(Y87/H87,"0")</f>
        <v>100</v>
      </c>
      <c r="Z88" s="43">
        <f>IFERROR(IF(Z84="",0,Z84),"0")+IFERROR(IF(Z85="",0,Z85),"0")+IFERROR(IF(Z86="",0,Z86),"0")+IFERROR(IF(Z87="",0,Z87),"0")</f>
        <v>0.90200000000000002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450</v>
      </c>
      <c r="Y89" s="43">
        <f>IFERROR(SUM(Y84:Y87),"0")</f>
        <v>450</v>
      </c>
      <c r="Z89" s="42"/>
      <c r="AA89" s="67"/>
      <c r="AB89" s="67"/>
      <c r="AC89" s="67"/>
    </row>
    <row r="90" spans="1:68" ht="14.25" hidden="1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350</v>
      </c>
      <c r="Y91" s="55">
        <f>IFERROR(IF(X91="",0,CEILING((X91/$H91),1)*$H91),"")</f>
        <v>356.4</v>
      </c>
      <c r="Z91" s="41">
        <f>IFERROR(IF(Y91=0,"",ROUNDUP(Y91/H91,0)*0.01898),"")</f>
        <v>0.83511999999999997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371.34567901234567</v>
      </c>
      <c r="BN91" s="78">
        <f>IFERROR(Y91*I91/H91,"0")</f>
        <v>378.13599999999997</v>
      </c>
      <c r="BO91" s="78">
        <f>IFERROR(1/J91*(X91/H91),"0")</f>
        <v>0.67515432098765438</v>
      </c>
      <c r="BP91" s="78">
        <f>IFERROR(1/J91*(Y91/H91),"0")</f>
        <v>0.6875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540</v>
      </c>
      <c r="Y93" s="55">
        <f>IFERROR(IF(X93="",0,CEILING((X93/$H93),1)*$H93),"")</f>
        <v>540</v>
      </c>
      <c r="Z93" s="41">
        <f>IFERROR(IF(Y93=0,"",ROUNDUP(Y93/H93,0)*0.00651),"")</f>
        <v>1.302</v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590.4</v>
      </c>
      <c r="BN93" s="78">
        <f>IFERROR(Y93*I93/H93,"0")</f>
        <v>590.4</v>
      </c>
      <c r="BO93" s="78">
        <f>IFERROR(1/J93*(X93/H93),"0")</f>
        <v>1.098901098901099</v>
      </c>
      <c r="BP93" s="78">
        <f>IFERROR(1/J93*(Y93/H93),"0")</f>
        <v>1.098901098901099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243.20987654320987</v>
      </c>
      <c r="Y95" s="43">
        <f>IFERROR(Y91/H91,"0")+IFERROR(Y92/H92,"0")+IFERROR(Y93/H93,"0")+IFERROR(Y94/H94,"0")</f>
        <v>244</v>
      </c>
      <c r="Z95" s="43">
        <f>IFERROR(IF(Z91="",0,Z91),"0")+IFERROR(IF(Z92="",0,Z92),"0")+IFERROR(IF(Z93="",0,Z93),"0")+IFERROR(IF(Z94="",0,Z94),"0")</f>
        <v>2.1371199999999999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890</v>
      </c>
      <c r="Y96" s="43">
        <f>IFERROR(SUM(Y91:Y94),"0")</f>
        <v>896.4</v>
      </c>
      <c r="Z96" s="42"/>
      <c r="AA96" s="67"/>
      <c r="AB96" s="67"/>
      <c r="AC96" s="67"/>
    </row>
    <row r="97" spans="1:68" ht="16.5" hidden="1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hidden="1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540</v>
      </c>
      <c r="Y104" s="55">
        <f t="shared" si="5"/>
        <v>540</v>
      </c>
      <c r="Z104" s="41">
        <f>IFERROR(IF(Y104=0,"",ROUNDUP(Y104/H104,0)*0.00902),"")</f>
        <v>1.0824</v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562.80000000000007</v>
      </c>
      <c r="BN104" s="78">
        <f t="shared" si="7"/>
        <v>562.80000000000007</v>
      </c>
      <c r="BO104" s="78">
        <f t="shared" si="8"/>
        <v>0.90909090909090917</v>
      </c>
      <c r="BP104" s="78">
        <f t="shared" si="9"/>
        <v>0.90909090909090917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120</v>
      </c>
      <c r="Y106" s="43">
        <f>IFERROR(Y99/H99,"0")+IFERROR(Y100/H100,"0")+IFERROR(Y101/H101,"0")+IFERROR(Y102/H102,"0")+IFERROR(Y103/H103,"0")+IFERROR(Y104/H104,"0")+IFERROR(Y105/H105,"0")</f>
        <v>120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1.0824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540</v>
      </c>
      <c r="Y107" s="43">
        <f>IFERROR(SUM(Y99:Y105),"0")</f>
        <v>540</v>
      </c>
      <c r="Z107" s="42"/>
      <c r="AA107" s="67"/>
      <c r="AB107" s="67"/>
      <c r="AC107" s="67"/>
    </row>
    <row r="108" spans="1:68" ht="14.25" hidden="1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450</v>
      </c>
      <c r="Y117" s="55">
        <f>IFERROR(IF(X117="",0,CEILING((X117/$H117),1)*$H117),"")</f>
        <v>453.59999999999997</v>
      </c>
      <c r="Z117" s="41">
        <f>IFERROR(IF(Y117=0,"",ROUNDUP(Y117/H117,0)*0.01898),"")</f>
        <v>1.06288</v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477.11111111111109</v>
      </c>
      <c r="BN117" s="78">
        <f>IFERROR(Y117*I117/H117,"0")</f>
        <v>480.92799999999994</v>
      </c>
      <c r="BO117" s="78">
        <f>IFERROR(1/J117*(X117/H117),"0")</f>
        <v>0.86805555555555558</v>
      </c>
      <c r="BP117" s="78">
        <f>IFERROR(1/J117*(Y117/H117),"0")</f>
        <v>0.875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585</v>
      </c>
      <c r="Y119" s="55">
        <f>IFERROR(IF(X119="",0,CEILING((X119/$H119),1)*$H119),"")</f>
        <v>585.90000000000009</v>
      </c>
      <c r="Z119" s="41">
        <f>IFERROR(IF(Y119=0,"",ROUNDUP(Y119/H119,0)*0.00651),"")</f>
        <v>1.4126700000000001</v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639.6</v>
      </c>
      <c r="BN119" s="78">
        <f>IFERROR(Y119*I119/H119,"0")</f>
        <v>640.58400000000006</v>
      </c>
      <c r="BO119" s="78">
        <f>IFERROR(1/J119*(X119/H119),"0")</f>
        <v>1.1904761904761905</v>
      </c>
      <c r="BP119" s="78">
        <f>IFERROR(1/J119*(Y119/H119),"0")</f>
        <v>1.1923076923076925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90</v>
      </c>
      <c r="Y120" s="55">
        <f>IFERROR(IF(X120="",0,CEILING((X120/$H120),1)*$H120),"")</f>
        <v>90</v>
      </c>
      <c r="Z120" s="41">
        <f>IFERROR(IF(Y120=0,"",ROUNDUP(Y120/H120,0)*0.00651),"")</f>
        <v>0.32550000000000001</v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98.999999999999986</v>
      </c>
      <c r="BN120" s="78">
        <f>IFERROR(Y120*I120/H120,"0")</f>
        <v>98.999999999999986</v>
      </c>
      <c r="BO120" s="78">
        <f>IFERROR(1/J120*(X120/H120),"0")</f>
        <v>0.27472527472527475</v>
      </c>
      <c r="BP120" s="78">
        <f>IFERROR(1/J120*(Y120/H120),"0")</f>
        <v>0.27472527472527475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322.22222222222223</v>
      </c>
      <c r="Y121" s="43">
        <f>IFERROR(Y117/H117,"0")+IFERROR(Y118/H118,"0")+IFERROR(Y119/H119,"0")+IFERROR(Y120/H120,"0")</f>
        <v>323</v>
      </c>
      <c r="Z121" s="43">
        <f>IFERROR(IF(Z117="",0,Z117),"0")+IFERROR(IF(Z118="",0,Z118),"0")+IFERROR(IF(Z119="",0,Z119),"0")+IFERROR(IF(Z120="",0,Z120),"0")</f>
        <v>2.80105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1125</v>
      </c>
      <c r="Y122" s="43">
        <f>IFERROR(SUM(Y117:Y120),"0")</f>
        <v>1129.5</v>
      </c>
      <c r="Z122" s="42"/>
      <c r="AA122" s="67"/>
      <c r="AB122" s="67"/>
      <c r="AC122" s="67"/>
    </row>
    <row r="123" spans="1:68" ht="14.25" hidden="1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39.6</v>
      </c>
      <c r="Y124" s="55">
        <f>IFERROR(IF(X124="",0,CEILING((X124/$H124),1)*$H124),"")</f>
        <v>39.6</v>
      </c>
      <c r="Z124" s="41">
        <f>IFERROR(IF(Y124=0,"",ROUNDUP(Y124/H124,0)*0.00651),"")</f>
        <v>0.13020000000000001</v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44.760000000000005</v>
      </c>
      <c r="BN124" s="78">
        <f>IFERROR(Y124*I124/H124,"0")</f>
        <v>44.760000000000005</v>
      </c>
      <c r="BO124" s="78">
        <f>IFERROR(1/J124*(X124/H124),"0")</f>
        <v>0.1098901098901099</v>
      </c>
      <c r="BP124" s="78">
        <f>IFERROR(1/J124*(Y124/H124),"0")</f>
        <v>0.1098901098901099</v>
      </c>
    </row>
    <row r="125" spans="1:68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20</v>
      </c>
      <c r="Y125" s="43">
        <f>IFERROR(Y124/H124,"0")</f>
        <v>20</v>
      </c>
      <c r="Z125" s="43">
        <f>IFERROR(IF(Z124="",0,Z124),"0")</f>
        <v>0.13020000000000001</v>
      </c>
      <c r="AA125" s="67"/>
      <c r="AB125" s="67"/>
      <c r="AC125" s="67"/>
    </row>
    <row r="126" spans="1:68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39.6</v>
      </c>
      <c r="Y126" s="43">
        <f>IFERROR(SUM(Y124:Y124),"0")</f>
        <v>39.6</v>
      </c>
      <c r="Z126" s="42"/>
      <c r="AA126" s="67"/>
      <c r="AB126" s="67"/>
      <c r="AC126" s="67"/>
    </row>
    <row r="127" spans="1:68" ht="16.5" hidden="1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hidden="1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60</v>
      </c>
      <c r="Y131" s="55">
        <f>IFERROR(IF(X131="",0,CEILING((X131/$H131),1)*$H131),"")</f>
        <v>60.800000000000004</v>
      </c>
      <c r="Z131" s="41">
        <f>IFERROR(IF(Y131=0,"",ROUNDUP(Y131/H131,0)*0.00651),"")</f>
        <v>0.12369000000000001</v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63.374999999999993</v>
      </c>
      <c r="BN131" s="78">
        <f>IFERROR(Y131*I131/H131,"0")</f>
        <v>64.22</v>
      </c>
      <c r="BO131" s="78">
        <f>IFERROR(1/J131*(X131/H131),"0")</f>
        <v>0.10302197802197803</v>
      </c>
      <c r="BP131" s="78">
        <f>IFERROR(1/J131*(Y131/H131),"0")</f>
        <v>0.1043956043956044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18.75</v>
      </c>
      <c r="Y132" s="43">
        <f>IFERROR(Y129/H129,"0")+IFERROR(Y130/H130,"0")+IFERROR(Y131/H131,"0")</f>
        <v>19</v>
      </c>
      <c r="Z132" s="43">
        <f>IFERROR(IF(Z129="",0,Z129),"0")+IFERROR(IF(Z130="",0,Z130),"0")+IFERROR(IF(Z131="",0,Z131),"0")</f>
        <v>0.12369000000000001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60</v>
      </c>
      <c r="Y133" s="43">
        <f>IFERROR(SUM(Y129:Y131),"0")</f>
        <v>60.800000000000004</v>
      </c>
      <c r="Z133" s="42"/>
      <c r="AA133" s="67"/>
      <c r="AB133" s="67"/>
      <c r="AC133" s="67"/>
    </row>
    <row r="134" spans="1:68" ht="14.25" hidden="1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38.5</v>
      </c>
      <c r="Y136" s="55">
        <f>IFERROR(IF(X136="",0,CEILING((X136/$H136),1)*$H136),"")</f>
        <v>39.199999999999996</v>
      </c>
      <c r="Z136" s="41">
        <f>IFERROR(IF(Y136=0,"",ROUNDUP(Y136/H136,0)*0.00651),"")</f>
        <v>9.1139999999999999E-2</v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42.185000000000009</v>
      </c>
      <c r="BN136" s="78">
        <f>IFERROR(Y136*I136/H136,"0")</f>
        <v>42.951999999999998</v>
      </c>
      <c r="BO136" s="78">
        <f>IFERROR(1/J136*(X136/H136),"0")</f>
        <v>7.5549450549450559E-2</v>
      </c>
      <c r="BP136" s="78">
        <f>IFERROR(1/J136*(Y136/H136),"0")</f>
        <v>7.6923076923076927E-2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13.75</v>
      </c>
      <c r="Y139" s="43">
        <f>IFERROR(Y135/H135,"0")+IFERROR(Y136/H136,"0")+IFERROR(Y137/H137,"0")+IFERROR(Y138/H138,"0")</f>
        <v>14</v>
      </c>
      <c r="Z139" s="43">
        <f>IFERROR(IF(Z135="",0,Z135),"0")+IFERROR(IF(Z136="",0,Z136),"0")+IFERROR(IF(Z137="",0,Z137),"0")+IFERROR(IF(Z138="",0,Z138),"0")</f>
        <v>9.1139999999999999E-2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38.5</v>
      </c>
      <c r="Y140" s="43">
        <f>IFERROR(SUM(Y135:Y138),"0")</f>
        <v>39.199999999999996</v>
      </c>
      <c r="Z140" s="42"/>
      <c r="AA140" s="67"/>
      <c r="AB140" s="67"/>
      <c r="AC140" s="67"/>
    </row>
    <row r="141" spans="1:68" ht="14.25" hidden="1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72.600000000000009</v>
      </c>
      <c r="Y143" s="55">
        <f>IFERROR(IF(X143="",0,CEILING((X143/$H143),1)*$H143),"")</f>
        <v>73.92</v>
      </c>
      <c r="Z143" s="41">
        <f>IFERROR(IF(Y143=0,"",ROUNDUP(Y143/H143,0)*0.00651),"")</f>
        <v>0.18228</v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79.970000000000013</v>
      </c>
      <c r="BN143" s="78">
        <f>IFERROR(Y143*I143/H143,"0")</f>
        <v>81.423999999999992</v>
      </c>
      <c r="BO143" s="78">
        <f>IFERROR(1/J143*(X143/H143),"0")</f>
        <v>0.15109890109890112</v>
      </c>
      <c r="BP143" s="78">
        <f>IFERROR(1/J143*(Y143/H143),"0")</f>
        <v>0.15384615384615385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27.500000000000004</v>
      </c>
      <c r="Y145" s="43">
        <f>IFERROR(Y142/H142,"0")+IFERROR(Y143/H143,"0")+IFERROR(Y144/H144,"0")</f>
        <v>28</v>
      </c>
      <c r="Z145" s="43">
        <f>IFERROR(IF(Z142="",0,Z142),"0")+IFERROR(IF(Z143="",0,Z143),"0")+IFERROR(IF(Z144="",0,Z144),"0")</f>
        <v>0.18228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72.600000000000009</v>
      </c>
      <c r="Y146" s="43">
        <f>IFERROR(SUM(Y142:Y144),"0")</f>
        <v>73.92</v>
      </c>
      <c r="Z146" s="42"/>
      <c r="AA146" s="67"/>
      <c r="AB146" s="67"/>
      <c r="AC146" s="67"/>
    </row>
    <row r="147" spans="1:68" ht="16.5" hidden="1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hidden="1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18</v>
      </c>
      <c r="Y170" s="55">
        <f>IFERROR(IF(X170="",0,CEILING((X170/$H170),1)*$H170),"")</f>
        <v>18</v>
      </c>
      <c r="Z170" s="41">
        <f>IFERROR(IF(Y170=0,"",ROUNDUP(Y170/H170,0)*0.00556),"")</f>
        <v>0.13899999999999998</v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21.25</v>
      </c>
      <c r="BN170" s="78">
        <f>IFERROR(Y170*I170/H170,"0")</f>
        <v>21.25</v>
      </c>
      <c r="BO170" s="78">
        <f>IFERROR(1/J170*(X170/H170),"0")</f>
        <v>9.9206349206349201E-2</v>
      </c>
      <c r="BP170" s="78">
        <f>IFERROR(1/J170*(Y170/H170),"0")</f>
        <v>9.9206349206349201E-2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25</v>
      </c>
      <c r="Y172" s="43">
        <f>IFERROR(Y170/H170,"0")+IFERROR(Y171/H171,"0")</f>
        <v>25</v>
      </c>
      <c r="Z172" s="43">
        <f>IFERROR(IF(Z170="",0,Z170),"0")+IFERROR(IF(Z171="",0,Z171),"0")</f>
        <v>0.13899999999999998</v>
      </c>
      <c r="AA172" s="67"/>
      <c r="AB172" s="67"/>
      <c r="AC172" s="67"/>
    </row>
    <row r="173" spans="1:68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18</v>
      </c>
      <c r="Y173" s="43">
        <f>IFERROR(SUM(Y170:Y171),"0")</f>
        <v>18</v>
      </c>
      <c r="Z173" s="42"/>
      <c r="AA173" s="67"/>
      <c r="AB173" s="67"/>
      <c r="AC173" s="67"/>
    </row>
    <row r="174" spans="1:68" ht="14.25" hidden="1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150</v>
      </c>
      <c r="Y175" s="55">
        <f t="shared" ref="Y175:Y185" si="16">IFERROR(IF(X175="",0,CEILING((X175/$H175),1)*$H175),"")</f>
        <v>150.5</v>
      </c>
      <c r="Z175" s="41">
        <f>IFERROR(IF(Y175=0,"",ROUNDUP(Y175/H175,0)*0.00902),"")</f>
        <v>0.38785999999999998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158.14285714285714</v>
      </c>
      <c r="BN175" s="78">
        <f t="shared" ref="BN175:BN185" si="18">IFERROR(Y175*I175/H175,"0")</f>
        <v>158.67000000000002</v>
      </c>
      <c r="BO175" s="78">
        <f t="shared" ref="BO175:BO185" si="19">IFERROR(1/J175*(X175/H175),"0")</f>
        <v>0.32467532467532467</v>
      </c>
      <c r="BP175" s="78">
        <f t="shared" ref="BP175:BP185" si="20">IFERROR(1/J175*(Y175/H175),"0")</f>
        <v>0.32575757575757575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260</v>
      </c>
      <c r="Y177" s="55">
        <f t="shared" si="16"/>
        <v>262.5</v>
      </c>
      <c r="Z177" s="41">
        <f>IFERROR(IF(Y177=0,"",ROUNDUP(Y177/H177,0)*0.00902),"")</f>
        <v>0.67649999999999999</v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274.1142857142857</v>
      </c>
      <c r="BN177" s="78">
        <f t="shared" si="18"/>
        <v>276.75</v>
      </c>
      <c r="BO177" s="78">
        <f t="shared" si="19"/>
        <v>0.56277056277056281</v>
      </c>
      <c r="BP177" s="78">
        <f t="shared" si="20"/>
        <v>0.56818181818181823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160</v>
      </c>
      <c r="Y178" s="55">
        <f t="shared" si="16"/>
        <v>161</v>
      </c>
      <c r="Z178" s="41">
        <f>IFERROR(IF(Y178=0,"",ROUNDUP(Y178/H178,0)*0.00902),"")</f>
        <v>0.41492000000000001</v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168.68571428571428</v>
      </c>
      <c r="BN178" s="78">
        <f t="shared" si="18"/>
        <v>169.74</v>
      </c>
      <c r="BO178" s="78">
        <f t="shared" si="19"/>
        <v>0.34632034632034636</v>
      </c>
      <c r="BP178" s="78">
        <f t="shared" si="20"/>
        <v>0.34848484848484851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9</v>
      </c>
      <c r="Y179" s="55">
        <f t="shared" si="16"/>
        <v>9</v>
      </c>
      <c r="Z179" s="41">
        <f>IFERROR(IF(Y179=0,"",ROUNDUP(Y179/H179,0)*0.00417),"")</f>
        <v>4.1700000000000001E-2</v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11.1</v>
      </c>
      <c r="BN179" s="78">
        <f t="shared" si="18"/>
        <v>11.1</v>
      </c>
      <c r="BO179" s="78">
        <f t="shared" si="19"/>
        <v>2.976190476190476E-2</v>
      </c>
      <c r="BP179" s="78">
        <f t="shared" si="20"/>
        <v>2.976190476190476E-2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84.000000000000014</v>
      </c>
      <c r="Y180" s="55">
        <f t="shared" si="16"/>
        <v>84</v>
      </c>
      <c r="Z180" s="41">
        <f>IFERROR(IF(Y180=0,"",ROUNDUP(Y180/H180,0)*0.00502),"")</f>
        <v>0.251</v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89.000000000000028</v>
      </c>
      <c r="BN180" s="78">
        <f t="shared" si="18"/>
        <v>89.000000000000014</v>
      </c>
      <c r="BO180" s="78">
        <f t="shared" si="19"/>
        <v>0.21367521367521372</v>
      </c>
      <c r="BP180" s="78">
        <f t="shared" si="20"/>
        <v>0.21367521367521369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4.5</v>
      </c>
      <c r="Y181" s="55">
        <f t="shared" si="16"/>
        <v>4.5</v>
      </c>
      <c r="Z181" s="41">
        <f>IFERROR(IF(Y181=0,"",ROUNDUP(Y181/H181,0)*0.00417),"")</f>
        <v>2.085E-2</v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5.55</v>
      </c>
      <c r="BN181" s="78">
        <f t="shared" si="18"/>
        <v>5.55</v>
      </c>
      <c r="BO181" s="78">
        <f t="shared" si="19"/>
        <v>1.488095238095238E-2</v>
      </c>
      <c r="BP181" s="78">
        <f t="shared" si="20"/>
        <v>1.488095238095238E-2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84.000000000000014</v>
      </c>
      <c r="Y183" s="55">
        <f t="shared" si="16"/>
        <v>84</v>
      </c>
      <c r="Z183" s="41">
        <f>IFERROR(IF(Y183=0,"",ROUNDUP(Y183/H183,0)*0.00502),"")</f>
        <v>0.251</v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89.000000000000028</v>
      </c>
      <c r="BN183" s="78">
        <f t="shared" si="18"/>
        <v>89.000000000000014</v>
      </c>
      <c r="BO183" s="78">
        <f t="shared" si="19"/>
        <v>0.21367521367521372</v>
      </c>
      <c r="BP183" s="78">
        <f t="shared" si="20"/>
        <v>0.21367521367521369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1.7999999999999998</v>
      </c>
      <c r="Y184" s="55">
        <f t="shared" si="16"/>
        <v>1.8</v>
      </c>
      <c r="Z184" s="41">
        <f>IFERROR(IF(Y184=0,"",ROUNDUP(Y184/H184,0)*0.00417),"")</f>
        <v>8.3400000000000002E-3</v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1.9999999999999998</v>
      </c>
      <c r="BN184" s="78">
        <f t="shared" si="18"/>
        <v>2</v>
      </c>
      <c r="BO184" s="78">
        <f t="shared" si="19"/>
        <v>5.9523809523809512E-3</v>
      </c>
      <c r="BP184" s="78">
        <f t="shared" si="20"/>
        <v>5.9523809523809521E-3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84.000000000000014</v>
      </c>
      <c r="Y185" s="55">
        <f t="shared" si="16"/>
        <v>84</v>
      </c>
      <c r="Z185" s="41">
        <f>IFERROR(IF(Y185=0,"",ROUNDUP(Y185/H185,0)*0.00502),"")</f>
        <v>0.251</v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89.000000000000028</v>
      </c>
      <c r="BN185" s="78">
        <f t="shared" si="18"/>
        <v>89.000000000000014</v>
      </c>
      <c r="BO185" s="78">
        <f t="shared" si="19"/>
        <v>0.21367521367521372</v>
      </c>
      <c r="BP185" s="78">
        <f t="shared" si="20"/>
        <v>0.21367521367521369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329.85714285714289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331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2.3031700000000002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837.3</v>
      </c>
      <c r="Y187" s="43">
        <f>IFERROR(SUM(Y175:Y185),"0")</f>
        <v>841.3</v>
      </c>
      <c r="Z187" s="42"/>
      <c r="AA187" s="67"/>
      <c r="AB187" s="67"/>
      <c r="AC187" s="67"/>
    </row>
    <row r="188" spans="1:68" ht="14.25" hidden="1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21</v>
      </c>
      <c r="Y190" s="55">
        <f>IFERROR(IF(X190="",0,CEILING((X190/$H190),1)*$H190),"")</f>
        <v>22.68</v>
      </c>
      <c r="Z190" s="41">
        <f>IFERROR(IF(Y190=0,"",ROUNDUP(Y190/H190,0)*0.00651),"")</f>
        <v>5.8590000000000003E-2</v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23.05</v>
      </c>
      <c r="BN190" s="78">
        <f>IFERROR(Y190*I190/H190,"0")</f>
        <v>24.894000000000002</v>
      </c>
      <c r="BO190" s="78">
        <f>IFERROR(1/J190*(X190/H190),"0")</f>
        <v>4.5787545787545791E-2</v>
      </c>
      <c r="BP190" s="78">
        <f>IFERROR(1/J190*(Y190/H190),"0")</f>
        <v>4.9450549450549455E-2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8.3333333333333339</v>
      </c>
      <c r="Y192" s="43">
        <f>IFERROR(Y189/H189,"0")+IFERROR(Y190/H190,"0")+IFERROR(Y191/H191,"0")</f>
        <v>9</v>
      </c>
      <c r="Z192" s="43">
        <f>IFERROR(IF(Z189="",0,Z189),"0")+IFERROR(IF(Z190="",0,Z190),"0")+IFERROR(IF(Z191="",0,Z191),"0")</f>
        <v>5.8590000000000003E-2</v>
      </c>
      <c r="AA192" s="67"/>
      <c r="AB192" s="67"/>
      <c r="AC192" s="67"/>
    </row>
    <row r="193" spans="1:68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21</v>
      </c>
      <c r="Y193" s="43">
        <f>IFERROR(SUM(Y189:Y191),"0")</f>
        <v>22.68</v>
      </c>
      <c r="Z193" s="42"/>
      <c r="AA193" s="67"/>
      <c r="AB193" s="67"/>
      <c r="AC193" s="67"/>
    </row>
    <row r="194" spans="1:68" ht="14.25" hidden="1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hidden="1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hidden="1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hidden="1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50</v>
      </c>
      <c r="Y222" s="55">
        <f t="shared" si="27"/>
        <v>50.400000000000006</v>
      </c>
      <c r="Z222" s="41">
        <f>IFERROR(IF(Y222=0,"",ROUNDUP(Y222/H222,0)*0.00902),"")</f>
        <v>0.10824</v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52.976190476190474</v>
      </c>
      <c r="BN222" s="78">
        <f t="shared" si="29"/>
        <v>53.400000000000006</v>
      </c>
      <c r="BO222" s="78">
        <f t="shared" si="30"/>
        <v>9.0187590187590191E-2</v>
      </c>
      <c r="BP222" s="78">
        <f t="shared" si="31"/>
        <v>9.0909090909090912E-2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60</v>
      </c>
      <c r="Y223" s="55">
        <f t="shared" si="27"/>
        <v>63</v>
      </c>
      <c r="Z223" s="41">
        <f>IFERROR(IF(Y223=0,"",ROUNDUP(Y223/H223,0)*0.00902),"")</f>
        <v>0.1353</v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62.714285714285708</v>
      </c>
      <c r="BN223" s="78">
        <f t="shared" si="29"/>
        <v>65.849999999999994</v>
      </c>
      <c r="BO223" s="78">
        <f t="shared" si="30"/>
        <v>0.10822510822510822</v>
      </c>
      <c r="BP223" s="78">
        <f t="shared" si="31"/>
        <v>0.11363636363636365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8</v>
      </c>
      <c r="Y224" s="55">
        <f t="shared" si="27"/>
        <v>8</v>
      </c>
      <c r="Z224" s="41">
        <f>IFERROR(IF(Y224=0,"",ROUNDUP(Y224/H224,0)*0.00556),"")</f>
        <v>5.5599999999999997E-2</v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9.3000000000000007</v>
      </c>
      <c r="BN224" s="78">
        <f t="shared" si="29"/>
        <v>9.3000000000000007</v>
      </c>
      <c r="BO224" s="78">
        <f t="shared" si="30"/>
        <v>3.968253968253968E-2</v>
      </c>
      <c r="BP224" s="78">
        <f t="shared" si="31"/>
        <v>3.968253968253968E-2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52.5</v>
      </c>
      <c r="Y225" s="55">
        <f t="shared" si="27"/>
        <v>52.5</v>
      </c>
      <c r="Z225" s="41">
        <f t="shared" ref="Z225:Z230" si="32">IFERROR(IF(Y225=0,"",ROUNDUP(Y225/H225,0)*0.00502),"")</f>
        <v>0.1255</v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55.75</v>
      </c>
      <c r="BN225" s="78">
        <f t="shared" si="29"/>
        <v>55.75</v>
      </c>
      <c r="BO225" s="78">
        <f t="shared" si="30"/>
        <v>0.10683760683760685</v>
      </c>
      <c r="BP225" s="78">
        <f t="shared" si="31"/>
        <v>0.10683760683760685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140</v>
      </c>
      <c r="Y227" s="55">
        <f t="shared" si="27"/>
        <v>140.70000000000002</v>
      </c>
      <c r="Z227" s="41">
        <f t="shared" si="32"/>
        <v>0.33634000000000003</v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148.66666666666666</v>
      </c>
      <c r="BN227" s="78">
        <f t="shared" si="29"/>
        <v>149.41</v>
      </c>
      <c r="BO227" s="78">
        <f t="shared" si="30"/>
        <v>0.28490028490028491</v>
      </c>
      <c r="BP227" s="78">
        <f t="shared" si="31"/>
        <v>0.28632478632478636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8</v>
      </c>
      <c r="Y231" s="55">
        <f t="shared" si="27"/>
        <v>8</v>
      </c>
      <c r="Z231" s="41">
        <f>IFERROR(IF(Y231=0,"",ROUNDUP(Y231/H231,0)*0.00417),"")</f>
        <v>4.1700000000000001E-2</v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10.1</v>
      </c>
      <c r="BN231" s="78">
        <f t="shared" si="29"/>
        <v>10.1</v>
      </c>
      <c r="BO231" s="78">
        <f t="shared" si="30"/>
        <v>2.976190476190476E-2</v>
      </c>
      <c r="BP231" s="78">
        <f t="shared" si="31"/>
        <v>2.976190476190476E-2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175</v>
      </c>
      <c r="Y232" s="55">
        <f t="shared" si="27"/>
        <v>176.4</v>
      </c>
      <c r="Z232" s="41">
        <f>IFERROR(IF(Y232=0,"",ROUNDUP(Y232/H232,0)*0.00502),"")</f>
        <v>0.42168</v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183.33333333333334</v>
      </c>
      <c r="BN232" s="78">
        <f t="shared" si="29"/>
        <v>184.8</v>
      </c>
      <c r="BO232" s="78">
        <f t="shared" si="30"/>
        <v>0.35612535612535612</v>
      </c>
      <c r="BP232" s="78">
        <f t="shared" si="31"/>
        <v>0.35897435897435903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221.19047619047615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223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1.2243599999999999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493.5</v>
      </c>
      <c r="Y236" s="43">
        <f>IFERROR(SUM(Y221:Y234),"0")</f>
        <v>499</v>
      </c>
      <c r="Z236" s="42"/>
      <c r="AA236" s="67"/>
      <c r="AB236" s="67"/>
      <c r="AC236" s="67"/>
    </row>
    <row r="237" spans="1:68" ht="14.25" hidden="1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7.0000000000000009</v>
      </c>
      <c r="Y247" s="55">
        <f>IFERROR(IF(X247="",0,CEILING((X247/$H247),1)*$H247),"")</f>
        <v>7.5600000000000005</v>
      </c>
      <c r="Z247" s="41">
        <f>IFERROR(IF(Y247=0,"",ROUNDUP(Y247/H247,0)*0.0059),"")</f>
        <v>3.5400000000000001E-2</v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8.0555555555555554</v>
      </c>
      <c r="BN247" s="78">
        <f>IFERROR(Y247*I247/H247,"0")</f>
        <v>8.6999999999999993</v>
      </c>
      <c r="BO247" s="78">
        <f>IFERROR(1/J247*(X247/H247),"0")</f>
        <v>2.5720164609053499E-2</v>
      </c>
      <c r="BP247" s="78">
        <f>IFERROR(1/J247*(Y247/H247),"0")</f>
        <v>2.7777777777777776E-2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7.0000000000000009</v>
      </c>
      <c r="Y248" s="55">
        <f>IFERROR(IF(X248="",0,CEILING((X248/$H248),1)*$H248),"")</f>
        <v>7.5600000000000005</v>
      </c>
      <c r="Z248" s="41">
        <f>IFERROR(IF(Y248=0,"",ROUNDUP(Y248/H248,0)*0.0059),"")</f>
        <v>3.5400000000000001E-2</v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8.0555555555555554</v>
      </c>
      <c r="BN248" s="78">
        <f>IFERROR(Y248*I248/H248,"0")</f>
        <v>8.6999999999999993</v>
      </c>
      <c r="BO248" s="78">
        <f>IFERROR(1/J248*(X248/H248),"0")</f>
        <v>2.5720164609053499E-2</v>
      </c>
      <c r="BP248" s="78">
        <f>IFERROR(1/J248*(Y248/H248),"0")</f>
        <v>2.7777777777777776E-2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11.111111111111112</v>
      </c>
      <c r="Y249" s="43">
        <f>IFERROR(Y246/H246,"0")+IFERROR(Y247/H247,"0")+IFERROR(Y248/H248,"0")</f>
        <v>12</v>
      </c>
      <c r="Z249" s="43">
        <f>IFERROR(IF(Z246="",0,Z246),"0")+IFERROR(IF(Z247="",0,Z247),"0")+IFERROR(IF(Z248="",0,Z248),"0")</f>
        <v>7.0800000000000002E-2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14.000000000000002</v>
      </c>
      <c r="Y250" s="43">
        <f>IFERROR(SUM(Y246:Y248),"0")</f>
        <v>15.120000000000001</v>
      </c>
      <c r="Z250" s="42"/>
      <c r="AA250" s="67"/>
      <c r="AB250" s="67"/>
      <c r="AC250" s="67"/>
    </row>
    <row r="251" spans="1:68" ht="14.25" hidden="1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7.0000000000000009</v>
      </c>
      <c r="Y252" s="55">
        <f>IFERROR(IF(X252="",0,CEILING((X252/$H252),1)*$H252),"")</f>
        <v>7.5600000000000005</v>
      </c>
      <c r="Z252" s="41">
        <f>IFERROR(IF(Y252=0,"",ROUNDUP(Y252/H252,0)*0.0059),"")</f>
        <v>3.5400000000000001E-2</v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8.0555555555555554</v>
      </c>
      <c r="BN252" s="78">
        <f>IFERROR(Y252*I252/H252,"0")</f>
        <v>8.6999999999999993</v>
      </c>
      <c r="BO252" s="78">
        <f>IFERROR(1/J252*(X252/H252),"0")</f>
        <v>2.5720164609053499E-2</v>
      </c>
      <c r="BP252" s="78">
        <f>IFERROR(1/J252*(Y252/H252),"0")</f>
        <v>2.7777777777777776E-2</v>
      </c>
    </row>
    <row r="253" spans="1:68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5.5555555555555562</v>
      </c>
      <c r="Y253" s="43">
        <f>IFERROR(Y252/H252,"0")</f>
        <v>6</v>
      </c>
      <c r="Z253" s="43">
        <f>IFERROR(IF(Z252="",0,Z252),"0")</f>
        <v>3.5400000000000001E-2</v>
      </c>
      <c r="AA253" s="67"/>
      <c r="AB253" s="67"/>
      <c r="AC253" s="67"/>
    </row>
    <row r="254" spans="1:68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7.0000000000000009</v>
      </c>
      <c r="Y254" s="43">
        <f>IFERROR(SUM(Y252:Y252),"0")</f>
        <v>7.5600000000000005</v>
      </c>
      <c r="Z254" s="42"/>
      <c r="AA254" s="67"/>
      <c r="AB254" s="67"/>
      <c r="AC254" s="67"/>
    </row>
    <row r="255" spans="1:68" ht="16.5" hidden="1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hidden="1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200</v>
      </c>
      <c r="Y267" s="55">
        <f t="shared" ref="Y267:Y274" si="33">IFERROR(IF(X267="",0,CEILING((X267/$H267),1)*$H267),"")</f>
        <v>205.20000000000002</v>
      </c>
      <c r="Z267" s="41">
        <f>IFERROR(IF(Y267=0,"",ROUNDUP(Y267/H267,0)*0.00902),"")</f>
        <v>0.34276000000000001</v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207.03703703703701</v>
      </c>
      <c r="BN267" s="78">
        <f t="shared" ref="BN267:BN274" si="35">IFERROR(Y267*I267/H267,"0")</f>
        <v>212.42</v>
      </c>
      <c r="BO267" s="78">
        <f t="shared" ref="BO267:BO274" si="36">IFERROR(1/J267*(X267/H267),"0")</f>
        <v>0.28058361391694725</v>
      </c>
      <c r="BP267" s="78">
        <f t="shared" ref="BP267:BP274" si="37">IFERROR(1/J267*(Y267/H267),"0")</f>
        <v>0.2878787878787879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50</v>
      </c>
      <c r="Y268" s="55">
        <f t="shared" si="33"/>
        <v>54</v>
      </c>
      <c r="Z268" s="41">
        <f>IFERROR(IF(Y268=0,"",ROUNDUP(Y268/H268,0)*0.00902),"")</f>
        <v>9.0200000000000002E-2</v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51.759259259259252</v>
      </c>
      <c r="BN268" s="78">
        <f t="shared" si="35"/>
        <v>55.9</v>
      </c>
      <c r="BO268" s="78">
        <f t="shared" si="36"/>
        <v>7.0145903479236812E-2</v>
      </c>
      <c r="BP268" s="78">
        <f t="shared" si="37"/>
        <v>7.575757575757576E-2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120</v>
      </c>
      <c r="Y269" s="55">
        <f t="shared" si="33"/>
        <v>124.2</v>
      </c>
      <c r="Z269" s="41">
        <f>IFERROR(IF(Y269=0,"",ROUNDUP(Y269/H269,0)*0.00902),"")</f>
        <v>0.20746000000000001</v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124.2222222222222</v>
      </c>
      <c r="BN269" s="78">
        <f t="shared" si="35"/>
        <v>128.57</v>
      </c>
      <c r="BO269" s="78">
        <f t="shared" si="36"/>
        <v>0.16835016835016836</v>
      </c>
      <c r="BP269" s="78">
        <f t="shared" si="37"/>
        <v>0.17424242424242425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40</v>
      </c>
      <c r="Y270" s="55">
        <f t="shared" si="33"/>
        <v>43.2</v>
      </c>
      <c r="Z270" s="41">
        <f>IFERROR(IF(Y270=0,"",ROUNDUP(Y270/H270,0)*0.00902),"")</f>
        <v>7.2160000000000002E-2</v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41.407407407407405</v>
      </c>
      <c r="BN270" s="78">
        <f t="shared" si="35"/>
        <v>44.72</v>
      </c>
      <c r="BO270" s="78">
        <f t="shared" si="36"/>
        <v>5.6116722783389444E-2</v>
      </c>
      <c r="BP270" s="78">
        <f t="shared" si="37"/>
        <v>6.0606060606060608E-2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120</v>
      </c>
      <c r="Y271" s="55">
        <f t="shared" si="33"/>
        <v>120.60000000000001</v>
      </c>
      <c r="Z271" s="41">
        <f>IFERROR(IF(Y271=0,"",ROUNDUP(Y271/H271,0)*0.00502),"")</f>
        <v>0.33634000000000003</v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128.66666666666666</v>
      </c>
      <c r="BN271" s="78">
        <f t="shared" si="35"/>
        <v>129.31</v>
      </c>
      <c r="BO271" s="78">
        <f t="shared" si="36"/>
        <v>0.28490028490028496</v>
      </c>
      <c r="BP271" s="78">
        <f t="shared" si="37"/>
        <v>0.28632478632478636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90</v>
      </c>
      <c r="Y272" s="55">
        <f t="shared" si="33"/>
        <v>90</v>
      </c>
      <c r="Z272" s="41">
        <f>IFERROR(IF(Y272=0,"",ROUNDUP(Y272/H272,0)*0.00502),"")</f>
        <v>0.251</v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95</v>
      </c>
      <c r="BN272" s="78">
        <f t="shared" si="35"/>
        <v>95</v>
      </c>
      <c r="BO272" s="78">
        <f t="shared" si="36"/>
        <v>0.21367521367521369</v>
      </c>
      <c r="BP272" s="78">
        <f t="shared" si="37"/>
        <v>0.21367521367521369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90</v>
      </c>
      <c r="Y273" s="55">
        <f t="shared" si="33"/>
        <v>90</v>
      </c>
      <c r="Z273" s="41">
        <f>IFERROR(IF(Y273=0,"",ROUNDUP(Y273/H273,0)*0.00502),"")</f>
        <v>0.251</v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95</v>
      </c>
      <c r="BN273" s="78">
        <f t="shared" si="35"/>
        <v>95</v>
      </c>
      <c r="BO273" s="78">
        <f t="shared" si="36"/>
        <v>0.21367521367521369</v>
      </c>
      <c r="BP273" s="78">
        <f t="shared" si="37"/>
        <v>0.21367521367521369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60</v>
      </c>
      <c r="Y274" s="55">
        <f t="shared" si="33"/>
        <v>61.2</v>
      </c>
      <c r="Z274" s="41">
        <f>IFERROR(IF(Y274=0,"",ROUNDUP(Y274/H274,0)*0.00502),"")</f>
        <v>0.17068</v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63.333333333333329</v>
      </c>
      <c r="BN274" s="78">
        <f t="shared" si="35"/>
        <v>64.599999999999994</v>
      </c>
      <c r="BO274" s="78">
        <f t="shared" si="36"/>
        <v>0.14245014245014248</v>
      </c>
      <c r="BP274" s="78">
        <f t="shared" si="37"/>
        <v>0.14529914529914531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275.92592592592592</v>
      </c>
      <c r="Y275" s="43">
        <f>IFERROR(Y267/H267,"0")+IFERROR(Y268/H268,"0")+IFERROR(Y269/H269,"0")+IFERROR(Y270/H270,"0")+IFERROR(Y271/H271,"0")+IFERROR(Y272/H272,"0")+IFERROR(Y273/H273,"0")+IFERROR(Y274/H274,"0")</f>
        <v>280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1.7216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770</v>
      </c>
      <c r="Y276" s="43">
        <f>IFERROR(SUM(Y267:Y274),"0")</f>
        <v>788.40000000000009</v>
      </c>
      <c r="Z276" s="42"/>
      <c r="AA276" s="67"/>
      <c r="AB276" s="67"/>
      <c r="AC276" s="67"/>
    </row>
    <row r="277" spans="1:68" ht="14.25" hidden="1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ref="Y278:Y289" si="38">IFERROR(IF(X278="",0,CEILING((X278/$H278),1)*$H278),"")</f>
        <v>202.5</v>
      </c>
      <c r="Z278" s="41">
        <f>IFERROR(IF(Y278=0,"",ROUNDUP(Y278/H278,0)*0.01898),"")</f>
        <v>0.47450000000000003</v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212.19753086419755</v>
      </c>
      <c r="BN278" s="78">
        <f t="shared" ref="BN278:BN289" si="40">IFERROR(Y278*I278/H278,"0")</f>
        <v>214.85</v>
      </c>
      <c r="BO278" s="78">
        <f t="shared" ref="BO278:BO289" si="41">IFERROR(1/J278*(X278/H278),"0")</f>
        <v>0.38580246913580246</v>
      </c>
      <c r="BP278" s="78">
        <f t="shared" ref="BP278:BP289" si="42">IFERROR(1/J278*(Y278/H278),"0")</f>
        <v>0.390625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200</v>
      </c>
      <c r="Y279" s="55">
        <f t="shared" si="38"/>
        <v>202.5</v>
      </c>
      <c r="Z279" s="41">
        <f>IFERROR(IF(Y279=0,"",ROUNDUP(Y279/H279,0)*0.01898),"")</f>
        <v>0.47450000000000003</v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211.75308641975309</v>
      </c>
      <c r="BN279" s="78">
        <f t="shared" si="40"/>
        <v>214.40000000000003</v>
      </c>
      <c r="BO279" s="78">
        <f t="shared" si="41"/>
        <v>0.38580246913580246</v>
      </c>
      <c r="BP279" s="78">
        <f t="shared" si="42"/>
        <v>0.390625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300</v>
      </c>
      <c r="Y280" s="55">
        <f t="shared" si="38"/>
        <v>304.5</v>
      </c>
      <c r="Z280" s="41">
        <f>IFERROR(IF(Y280=0,"",ROUNDUP(Y280/H280,0)*0.01898),"")</f>
        <v>0.6643</v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317.03448275862075</v>
      </c>
      <c r="BN280" s="78">
        <f t="shared" si="40"/>
        <v>321.79000000000008</v>
      </c>
      <c r="BO280" s="78">
        <f t="shared" si="41"/>
        <v>0.53879310344827591</v>
      </c>
      <c r="BP280" s="78">
        <f t="shared" si="42"/>
        <v>0.546875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400</v>
      </c>
      <c r="Y281" s="55">
        <f t="shared" si="38"/>
        <v>400.8</v>
      </c>
      <c r="Z281" s="41">
        <f>IFERROR(IF(Y281=0,"",ROUNDUP(Y281/H281,0)*0.00651),"")</f>
        <v>1.08717</v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445</v>
      </c>
      <c r="BN281" s="78">
        <f t="shared" si="40"/>
        <v>445.89</v>
      </c>
      <c r="BO281" s="78">
        <f t="shared" si="41"/>
        <v>0.91575091575091594</v>
      </c>
      <c r="BP281" s="78">
        <f t="shared" si="42"/>
        <v>0.91758241758241765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400</v>
      </c>
      <c r="Y284" s="55">
        <f t="shared" si="38"/>
        <v>400.8</v>
      </c>
      <c r="Z284" s="41">
        <f>IFERROR(IF(Y284=0,"",ROUNDUP(Y284/H284,0)*0.00651),"")</f>
        <v>1.08717</v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442</v>
      </c>
      <c r="BN284" s="78">
        <f t="shared" si="40"/>
        <v>442.88400000000007</v>
      </c>
      <c r="BO284" s="78">
        <f t="shared" si="41"/>
        <v>0.91575091575091594</v>
      </c>
      <c r="BP284" s="78">
        <f t="shared" si="42"/>
        <v>0.91758241758241765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60</v>
      </c>
      <c r="Y287" s="55">
        <f t="shared" si="38"/>
        <v>60</v>
      </c>
      <c r="Z287" s="41">
        <f>IFERROR(IF(Y287=0,"",ROUNDUP(Y287/H287,0)*0.00651),"")</f>
        <v>0.16275000000000001</v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66.300000000000011</v>
      </c>
      <c r="BN287" s="78">
        <f t="shared" si="40"/>
        <v>66.300000000000011</v>
      </c>
      <c r="BO287" s="78">
        <f t="shared" si="41"/>
        <v>0.13736263736263737</v>
      </c>
      <c r="BP287" s="78">
        <f t="shared" si="42"/>
        <v>0.13736263736263737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120</v>
      </c>
      <c r="Y288" s="55">
        <f t="shared" si="38"/>
        <v>120</v>
      </c>
      <c r="Z288" s="41">
        <f>IFERROR(IF(Y288=0,"",ROUNDUP(Y288/H288,0)*0.00651),"")</f>
        <v>0.32550000000000001</v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132.9</v>
      </c>
      <c r="BN288" s="78">
        <f t="shared" si="40"/>
        <v>132.9</v>
      </c>
      <c r="BO288" s="78">
        <f t="shared" si="41"/>
        <v>0.27472527472527475</v>
      </c>
      <c r="BP288" s="78">
        <f t="shared" si="42"/>
        <v>0.27472527472527475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492.19880800340576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494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4.2758900000000004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1680</v>
      </c>
      <c r="Y291" s="43">
        <f>IFERROR(SUM(Y278:Y289),"0")</f>
        <v>1691.1</v>
      </c>
      <c r="Z291" s="42"/>
      <c r="AA291" s="67"/>
      <c r="AB291" s="67"/>
      <c r="AC291" s="67"/>
    </row>
    <row r="292" spans="1:68" ht="14.25" hidden="1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20</v>
      </c>
      <c r="Y293" s="55">
        <f>IFERROR(IF(X293="",0,CEILING((X293/$H293),1)*$H293),"")</f>
        <v>21.599999999999998</v>
      </c>
      <c r="Z293" s="41">
        <f>IFERROR(IF(Y293=0,"",ROUNDUP(Y293/H293,0)*0.00651),"")</f>
        <v>5.8590000000000003E-2</v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22.100000000000005</v>
      </c>
      <c r="BN293" s="78">
        <f>IFERROR(Y293*I293/H293,"0")</f>
        <v>23.868000000000002</v>
      </c>
      <c r="BO293" s="78">
        <f>IFERROR(1/J293*(X293/H293),"0")</f>
        <v>4.5787545787545791E-2</v>
      </c>
      <c r="BP293" s="78">
        <f>IFERROR(1/J293*(Y293/H293),"0")</f>
        <v>4.9450549450549455E-2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100</v>
      </c>
      <c r="Y294" s="55">
        <f>IFERROR(IF(X294="",0,CEILING((X294/$H294),1)*$H294),"")</f>
        <v>100.8</v>
      </c>
      <c r="Z294" s="41">
        <f>IFERROR(IF(Y294=0,"",ROUNDUP(Y294/H294,0)*0.00651),"")</f>
        <v>0.27342</v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110.5</v>
      </c>
      <c r="BN294" s="78">
        <f>IFERROR(Y294*I294/H294,"0")</f>
        <v>111.384</v>
      </c>
      <c r="BO294" s="78">
        <f>IFERROR(1/J294*(X294/H294),"0")</f>
        <v>0.22893772893772898</v>
      </c>
      <c r="BP294" s="78">
        <f>IFERROR(1/J294*(Y294/H294),"0")</f>
        <v>0.23076923076923078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50.000000000000007</v>
      </c>
      <c r="Y295" s="43">
        <f>IFERROR(Y293/H293,"0")+IFERROR(Y294/H294,"0")</f>
        <v>51</v>
      </c>
      <c r="Z295" s="43">
        <f>IFERROR(IF(Z293="",0,Z293),"0")+IFERROR(IF(Z294="",0,Z294),"0")</f>
        <v>0.33201000000000003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120</v>
      </c>
      <c r="Y296" s="43">
        <f>IFERROR(SUM(Y293:Y294),"0")</f>
        <v>122.39999999999999</v>
      </c>
      <c r="Z296" s="42"/>
      <c r="AA296" s="67"/>
      <c r="AB296" s="67"/>
      <c r="AC296" s="67"/>
    </row>
    <row r="297" spans="1:68" ht="16.5" hidden="1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hidden="1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60</v>
      </c>
      <c r="Y301" s="55">
        <f t="shared" si="43"/>
        <v>69.599999999999994</v>
      </c>
      <c r="Z301" s="41">
        <f>IFERROR(IF(Y301=0,"",ROUNDUP(Y301/H301,0)*0.01898),"")</f>
        <v>0.11388000000000001</v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62.12068965517242</v>
      </c>
      <c r="BN301" s="78">
        <f t="shared" si="45"/>
        <v>72.06</v>
      </c>
      <c r="BO301" s="78">
        <f t="shared" si="46"/>
        <v>8.0818965517241381E-2</v>
      </c>
      <c r="BP301" s="78">
        <f t="shared" si="47"/>
        <v>9.375E-2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16</v>
      </c>
      <c r="Y302" s="55">
        <f t="shared" si="43"/>
        <v>16</v>
      </c>
      <c r="Z302" s="41">
        <f>IFERROR(IF(Y302=0,"",ROUNDUP(Y302/H302,0)*0.00902),"")</f>
        <v>3.6080000000000001E-2</v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16.760000000000002</v>
      </c>
      <c r="BN302" s="78">
        <f t="shared" si="45"/>
        <v>16.760000000000002</v>
      </c>
      <c r="BO302" s="78">
        <f t="shared" si="46"/>
        <v>3.0303030303030304E-2</v>
      </c>
      <c r="BP302" s="78">
        <f t="shared" si="47"/>
        <v>3.0303030303030304E-2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24</v>
      </c>
      <c r="Y305" s="55">
        <f t="shared" si="43"/>
        <v>24</v>
      </c>
      <c r="Z305" s="41">
        <f>IFERROR(IF(Y305=0,"",ROUNDUP(Y305/H305,0)*0.00902),"")</f>
        <v>5.4120000000000001E-2</v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25.14</v>
      </c>
      <c r="BN305" s="78">
        <f t="shared" si="45"/>
        <v>25.14</v>
      </c>
      <c r="BO305" s="78">
        <f t="shared" si="46"/>
        <v>4.5454545454545456E-2</v>
      </c>
      <c r="BP305" s="78">
        <f t="shared" si="47"/>
        <v>4.5454545454545456E-2</v>
      </c>
    </row>
    <row r="306" spans="1:68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15.172413793103448</v>
      </c>
      <c r="Y306" s="43">
        <f>IFERROR(Y299/H299,"0")+IFERROR(Y300/H300,"0")+IFERROR(Y301/H301,"0")+IFERROR(Y302/H302,"0")+IFERROR(Y303/H303,"0")+IFERROR(Y304/H304,"0")+IFERROR(Y305/H305,"0")</f>
        <v>16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0.20408000000000001</v>
      </c>
      <c r="AA306" s="67"/>
      <c r="AB306" s="67"/>
      <c r="AC306" s="67"/>
    </row>
    <row r="307" spans="1:68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100</v>
      </c>
      <c r="Y307" s="43">
        <f>IFERROR(SUM(Y299:Y305),"0")</f>
        <v>109.6</v>
      </c>
      <c r="Z307" s="42"/>
      <c r="AA307" s="67"/>
      <c r="AB307" s="67"/>
      <c r="AC307" s="67"/>
    </row>
    <row r="308" spans="1:68" ht="14.25" hidden="1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hidden="1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hidden="1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hidden="1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40</v>
      </c>
      <c r="Y334" s="55">
        <f>IFERROR(IF(X334="",0,CEILING((X334/$H334),1)*$H334),"")</f>
        <v>40.799999999999997</v>
      </c>
      <c r="Z334" s="41">
        <f>IFERROR(IF(Y334=0,"",ROUNDUP(Y334/H334,0)*0.00651),"")</f>
        <v>0.11067</v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44.20000000000001</v>
      </c>
      <c r="BN334" s="78">
        <f>IFERROR(Y334*I334/H334,"0")</f>
        <v>45.084000000000003</v>
      </c>
      <c r="BO334" s="78">
        <f>IFERROR(1/J334*(X334/H334),"0")</f>
        <v>9.1575091575091583E-2</v>
      </c>
      <c r="BP334" s="78">
        <f>IFERROR(1/J334*(Y334/H334),"0")</f>
        <v>9.3406593406593408E-2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400</v>
      </c>
      <c r="Y335" s="55">
        <f>IFERROR(IF(X335="",0,CEILING((X335/$H335),1)*$H335),"")</f>
        <v>400.8</v>
      </c>
      <c r="Z335" s="41">
        <f>IFERROR(IF(Y335=0,"",ROUNDUP(Y335/H335,0)*0.00651),"")</f>
        <v>1.08717</v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430</v>
      </c>
      <c r="BN335" s="78">
        <f>IFERROR(Y335*I335/H335,"0")</f>
        <v>430.86000000000007</v>
      </c>
      <c r="BO335" s="78">
        <f>IFERROR(1/J335*(X335/H335),"0")</f>
        <v>0.91575091575091594</v>
      </c>
      <c r="BP335" s="78">
        <f>IFERROR(1/J335*(Y335/H335),"0")</f>
        <v>0.91758241758241765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183.33333333333334</v>
      </c>
      <c r="Y336" s="43">
        <f>IFERROR(Y333/H333,"0")+IFERROR(Y334/H334,"0")+IFERROR(Y335/H335,"0")</f>
        <v>184</v>
      </c>
      <c r="Z336" s="43">
        <f>IFERROR(IF(Z333="",0,Z333),"0")+IFERROR(IF(Z334="",0,Z334),"0")+IFERROR(IF(Z335="",0,Z335),"0")</f>
        <v>1.19784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440</v>
      </c>
      <c r="Y337" s="43">
        <f>IFERROR(SUM(Y333:Y335),"0")</f>
        <v>441.6</v>
      </c>
      <c r="Z337" s="42"/>
      <c r="AA337" s="67"/>
      <c r="AB337" s="67"/>
      <c r="AC337" s="67"/>
    </row>
    <row r="338" spans="1:68" ht="16.5" hidden="1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hidden="1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hidden="1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200</v>
      </c>
      <c r="Y354" s="55">
        <f>IFERROR(IF(X354="",0,CEILING((X354/$H354),1)*$H354),"")</f>
        <v>202.79999999999998</v>
      </c>
      <c r="Z354" s="41">
        <f>IFERROR(IF(Y354=0,"",ROUNDUP(Y354/H354,0)*0.01898),"")</f>
        <v>0.49348000000000003</v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210.51282051282055</v>
      </c>
      <c r="BN354" s="78">
        <f>IFERROR(Y354*I354/H354,"0")</f>
        <v>213.46</v>
      </c>
      <c r="BO354" s="78">
        <f>IFERROR(1/J354*(X354/H354),"0")</f>
        <v>0.40064102564102566</v>
      </c>
      <c r="BP354" s="78">
        <f>IFERROR(1/J354*(Y354/H354),"0")</f>
        <v>0.40625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220</v>
      </c>
      <c r="Y355" s="55">
        <f>IFERROR(IF(X355="",0,CEILING((X355/$H355),1)*$H355),"")</f>
        <v>226.2</v>
      </c>
      <c r="Z355" s="41">
        <f>IFERROR(IF(Y355=0,"",ROUNDUP(Y355/H355,0)*0.01898),"")</f>
        <v>0.55042000000000002</v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231.5641025641026</v>
      </c>
      <c r="BN355" s="78">
        <f>IFERROR(Y355*I355/H355,"0")</f>
        <v>238.09</v>
      </c>
      <c r="BO355" s="78">
        <f>IFERROR(1/J355*(X355/H355),"0")</f>
        <v>0.44070512820512819</v>
      </c>
      <c r="BP355" s="78">
        <f>IFERROR(1/J355*(Y355/H355),"0")</f>
        <v>0.453125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80</v>
      </c>
      <c r="Y356" s="55">
        <f>IFERROR(IF(X356="",0,CEILING((X356/$H356),1)*$H356),"")</f>
        <v>85.8</v>
      </c>
      <c r="Z356" s="41">
        <f>IFERROR(IF(Y356=0,"",ROUNDUP(Y356/H356,0)*0.01898),"")</f>
        <v>0.20877999999999999</v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84.205128205128219</v>
      </c>
      <c r="BN356" s="78">
        <f>IFERROR(Y356*I356/H356,"0")</f>
        <v>90.31</v>
      </c>
      <c r="BO356" s="78">
        <f>IFERROR(1/J356*(X356/H356),"0")</f>
        <v>0.16025641025641027</v>
      </c>
      <c r="BP356" s="78">
        <f>IFERROR(1/J356*(Y356/H356),"0")</f>
        <v>0.171875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64.102564102564102</v>
      </c>
      <c r="Y357" s="43">
        <f>IFERROR(Y354/H354,"0")+IFERROR(Y355/H355,"0")+IFERROR(Y356/H356,"0")</f>
        <v>66</v>
      </c>
      <c r="Z357" s="43">
        <f>IFERROR(IF(Z354="",0,Z354),"0")+IFERROR(IF(Z355="",0,Z355),"0")+IFERROR(IF(Z356="",0,Z356),"0")</f>
        <v>1.25268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500</v>
      </c>
      <c r="Y358" s="43">
        <f>IFERROR(SUM(Y354:Y356),"0")</f>
        <v>514.79999999999995</v>
      </c>
      <c r="Z358" s="42"/>
      <c r="AA358" s="67"/>
      <c r="AB358" s="67"/>
      <c r="AC358" s="67"/>
    </row>
    <row r="359" spans="1:68" ht="16.5" hidden="1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hidden="1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50</v>
      </c>
      <c r="Y361" s="55">
        <f t="shared" ref="Y361:Y366" si="48">IFERROR(IF(X361="",0,CEILING((X361/$H361),1)*$H361),"")</f>
        <v>54</v>
      </c>
      <c r="Z361" s="41">
        <f>IFERROR(IF(Y361=0,"",ROUNDUP(Y361/H361,0)*0.01898),"")</f>
        <v>9.4899999999999998E-2</v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51.898148148148145</v>
      </c>
      <c r="BN361" s="78">
        <f t="shared" ref="BN361:BN366" si="50">IFERROR(Y361*I361/H361,"0")</f>
        <v>56.05</v>
      </c>
      <c r="BO361" s="78">
        <f t="shared" ref="BO361:BO366" si="51">IFERROR(1/J361*(X361/H361),"0")</f>
        <v>7.2337962962962965E-2</v>
      </c>
      <c r="BP361" s="78">
        <f t="shared" ref="BP361:BP366" si="52">IFERROR(1/J361*(Y361/H361),"0")</f>
        <v>7.8125E-2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hidden="1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4.6296296296296298</v>
      </c>
      <c r="Y367" s="43">
        <f>IFERROR(Y361/H361,"0")+IFERROR(Y362/H362,"0")+IFERROR(Y363/H363,"0")+IFERROR(Y364/H364,"0")+IFERROR(Y365/H365,"0")+IFERROR(Y366/H366,"0")</f>
        <v>5</v>
      </c>
      <c r="Z367" s="43">
        <f>IFERROR(IF(Z361="",0,Z361),"0")+IFERROR(IF(Z362="",0,Z362),"0")+IFERROR(IF(Z363="",0,Z363),"0")+IFERROR(IF(Z364="",0,Z364),"0")+IFERROR(IF(Z365="",0,Z365),"0")+IFERROR(IF(Z366="",0,Z366),"0")</f>
        <v>9.4899999999999998E-2</v>
      </c>
      <c r="AA367" s="67"/>
      <c r="AB367" s="67"/>
      <c r="AC367" s="67"/>
    </row>
    <row r="368" spans="1:68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50</v>
      </c>
      <c r="Y368" s="43">
        <f>IFERROR(SUM(Y361:Y366),"0")</f>
        <v>54</v>
      </c>
      <c r="Z368" s="42"/>
      <c r="AA368" s="67"/>
      <c r="AB368" s="67"/>
      <c r="AC368" s="67"/>
    </row>
    <row r="369" spans="1:68" ht="14.25" hidden="1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70</v>
      </c>
      <c r="Y374" s="55">
        <f t="shared" si="53"/>
        <v>71.400000000000006</v>
      </c>
      <c r="Z374" s="41">
        <f>IFERROR(IF(Y374=0,"",ROUNDUP(Y374/H374,0)*0.00502),"")</f>
        <v>0.17068</v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73.333333333333329</v>
      </c>
      <c r="BN374" s="78">
        <f t="shared" si="55"/>
        <v>74.8</v>
      </c>
      <c r="BO374" s="78">
        <f t="shared" si="56"/>
        <v>0.14245014245014245</v>
      </c>
      <c r="BP374" s="78">
        <f t="shared" si="57"/>
        <v>0.14529914529914531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36</v>
      </c>
      <c r="Y376" s="55">
        <f t="shared" si="53"/>
        <v>36</v>
      </c>
      <c r="Z376" s="41">
        <f>IFERROR(IF(Y376=0,"",ROUNDUP(Y376/H376,0)*0.00651),"")</f>
        <v>0.13020000000000001</v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40.559999999999995</v>
      </c>
      <c r="BN376" s="78">
        <f t="shared" si="55"/>
        <v>40.559999999999995</v>
      </c>
      <c r="BO376" s="78">
        <f t="shared" si="56"/>
        <v>0.1098901098901099</v>
      </c>
      <c r="BP376" s="78">
        <f t="shared" si="57"/>
        <v>0.1098901098901099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53.333333333333329</v>
      </c>
      <c r="Y377" s="43">
        <f>IFERROR(Y370/H370,"0")+IFERROR(Y371/H371,"0")+IFERROR(Y372/H372,"0")+IFERROR(Y373/H373,"0")+IFERROR(Y374/H374,"0")+IFERROR(Y375/H375,"0")+IFERROR(Y376/H376,"0")</f>
        <v>54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0.30088000000000004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106</v>
      </c>
      <c r="Y378" s="43">
        <f>IFERROR(SUM(Y370:Y376),"0")</f>
        <v>107.4</v>
      </c>
      <c r="Z378" s="42"/>
      <c r="AA378" s="67"/>
      <c r="AB378" s="67"/>
      <c r="AC378" s="67"/>
    </row>
    <row r="379" spans="1:68" ht="14.25" hidden="1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hidden="1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350</v>
      </c>
      <c r="Y387" s="55">
        <f>IFERROR(IF(X387="",0,CEILING((X387/$H387),1)*$H387),"")</f>
        <v>352.8</v>
      </c>
      <c r="Z387" s="41">
        <f>IFERROR(IF(Y387=0,"",ROUNDUP(Y387/H387,0)*0.01898),"")</f>
        <v>0.79715999999999998</v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370.58333333333331</v>
      </c>
      <c r="BN387" s="78">
        <f>IFERROR(Y387*I387/H387,"0")</f>
        <v>373.548</v>
      </c>
      <c r="BO387" s="78">
        <f>IFERROR(1/J387*(X387/H387),"0")</f>
        <v>0.65104166666666663</v>
      </c>
      <c r="BP387" s="78">
        <f>IFERROR(1/J387*(Y387/H387),"0")</f>
        <v>0.65625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350</v>
      </c>
      <c r="Y388" s="55">
        <f>IFERROR(IF(X388="",0,CEILING((X388/$H388),1)*$H388),"")</f>
        <v>351</v>
      </c>
      <c r="Z388" s="41">
        <f>IFERROR(IF(Y388=0,"",ROUNDUP(Y388/H388,0)*0.01898),"")</f>
        <v>0.85409999999999997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372.16666666666669</v>
      </c>
      <c r="BN388" s="78">
        <f>IFERROR(Y388*I388/H388,"0")</f>
        <v>373.23</v>
      </c>
      <c r="BO388" s="78">
        <f>IFERROR(1/J388*(X388/H388),"0")</f>
        <v>0.70112179487179493</v>
      </c>
      <c r="BP388" s="78">
        <f>IFERROR(1/J388*(Y388/H388),"0")</f>
        <v>0.703125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60</v>
      </c>
      <c r="Y389" s="55">
        <f>IFERROR(IF(X389="",0,CEILING((X389/$H389),1)*$H389),"")</f>
        <v>67.2</v>
      </c>
      <c r="Z389" s="41">
        <f>IFERROR(IF(Y389=0,"",ROUNDUP(Y389/H389,0)*0.01898),"")</f>
        <v>0.15184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63.528571428571425</v>
      </c>
      <c r="BN389" s="78">
        <f>IFERROR(Y389*I389/H389,"0")</f>
        <v>71.152000000000001</v>
      </c>
      <c r="BO389" s="78">
        <f>IFERROR(1/J389*(X389/H389),"0")</f>
        <v>0.11160714285714285</v>
      </c>
      <c r="BP389" s="78">
        <f>IFERROR(1/J389*(Y389/H389),"0")</f>
        <v>0.125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93.681318681318686</v>
      </c>
      <c r="Y390" s="43">
        <f>IFERROR(Y387/H387,"0")+IFERROR(Y388/H388,"0")+IFERROR(Y389/H389,"0")</f>
        <v>95</v>
      </c>
      <c r="Z390" s="43">
        <f>IFERROR(IF(Z387="",0,Z387),"0")+IFERROR(IF(Z388="",0,Z388),"0")+IFERROR(IF(Z389="",0,Z389),"0")</f>
        <v>1.8030999999999999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760</v>
      </c>
      <c r="Y391" s="43">
        <f>IFERROR(SUM(Y387:Y389),"0")</f>
        <v>771</v>
      </c>
      <c r="Z391" s="42"/>
      <c r="AA391" s="67"/>
      <c r="AB391" s="67"/>
      <c r="AC391" s="67"/>
    </row>
    <row r="392" spans="1:68" ht="14.25" hidden="1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85</v>
      </c>
      <c r="Y395" s="55">
        <f>IFERROR(IF(X395="",0,CEILING((X395/$H395),1)*$H395),"")</f>
        <v>86.699999999999989</v>
      </c>
      <c r="Z395" s="41">
        <f>IFERROR(IF(Y395=0,"",ROUNDUP(Y395/H395,0)*0.00651),"")</f>
        <v>0.22134000000000001</v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98.500000000000014</v>
      </c>
      <c r="BN395" s="78">
        <f>IFERROR(Y395*I395/H395,"0")</f>
        <v>100.47</v>
      </c>
      <c r="BO395" s="78">
        <f>IFERROR(1/J395*(X395/H395),"0")</f>
        <v>0.18315018315018317</v>
      </c>
      <c r="BP395" s="78">
        <f>IFERROR(1/J395*(Y395/H395),"0")</f>
        <v>0.18681318681318682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306</v>
      </c>
      <c r="Y396" s="55">
        <f>IFERROR(IF(X396="",0,CEILING((X396/$H396),1)*$H396),"")</f>
        <v>306</v>
      </c>
      <c r="Z396" s="41">
        <f>IFERROR(IF(Y396=0,"",ROUNDUP(Y396/H396,0)*0.00651),"")</f>
        <v>0.78120000000000001</v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345.6</v>
      </c>
      <c r="BN396" s="78">
        <f>IFERROR(Y396*I396/H396,"0")</f>
        <v>345.6</v>
      </c>
      <c r="BO396" s="78">
        <f>IFERROR(1/J396*(X396/H396),"0")</f>
        <v>0.65934065934065944</v>
      </c>
      <c r="BP396" s="78">
        <f>IFERROR(1/J396*(Y396/H396),"0")</f>
        <v>0.65934065934065944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153.33333333333334</v>
      </c>
      <c r="Y397" s="43">
        <f>IFERROR(Y393/H393,"0")+IFERROR(Y394/H394,"0")+IFERROR(Y395/H395,"0")+IFERROR(Y396/H396,"0")</f>
        <v>154</v>
      </c>
      <c r="Z397" s="43">
        <f>IFERROR(IF(Z393="",0,Z393),"0")+IFERROR(IF(Z394="",0,Z394),"0")+IFERROR(IF(Z395="",0,Z395),"0")+IFERROR(IF(Z396="",0,Z396),"0")</f>
        <v>1.00254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391</v>
      </c>
      <c r="Y398" s="43">
        <f>IFERROR(SUM(Y393:Y396),"0")</f>
        <v>392.7</v>
      </c>
      <c r="Z398" s="42"/>
      <c r="AA398" s="67"/>
      <c r="AB398" s="67"/>
      <c r="AC398" s="67"/>
    </row>
    <row r="399" spans="1:68" ht="14.25" hidden="1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hidden="1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hidden="1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hidden="1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700</v>
      </c>
      <c r="Y420" s="55">
        <f>IFERROR(IF(X420="",0,CEILING((X420/$H420),1)*$H420),"")</f>
        <v>701.4</v>
      </c>
      <c r="Z420" s="41">
        <f>IFERROR(IF(Y420=0,"",ROUNDUP(Y420/H420,0)*0.00651),"")</f>
        <v>2.1743399999999999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783.99999999999989</v>
      </c>
      <c r="BN420" s="78">
        <f>IFERROR(Y420*I420/H420,"0")</f>
        <v>785.56799999999987</v>
      </c>
      <c r="BO420" s="78">
        <f>IFERROR(1/J420*(X420/H420),"0")</f>
        <v>1.8315018315018314</v>
      </c>
      <c r="BP420" s="78">
        <f>IFERROR(1/J420*(Y420/H420),"0")</f>
        <v>1.8351648351648353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525</v>
      </c>
      <c r="Y421" s="55">
        <f>IFERROR(IF(X421="",0,CEILING((X421/$H421),1)*$H421),"")</f>
        <v>525</v>
      </c>
      <c r="Z421" s="41">
        <f>IFERROR(IF(Y421=0,"",ROUNDUP(Y421/H421,0)*0.00651),"")</f>
        <v>1.6274999999999999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585</v>
      </c>
      <c r="BN421" s="78">
        <f>IFERROR(Y421*I421/H421,"0")</f>
        <v>585</v>
      </c>
      <c r="BO421" s="78">
        <f>IFERROR(1/J421*(X421/H421),"0")</f>
        <v>1.3736263736263736</v>
      </c>
      <c r="BP421" s="78">
        <f>IFERROR(1/J421*(Y421/H421),"0")</f>
        <v>1.3736263736263736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583.33333333333326</v>
      </c>
      <c r="Y422" s="43">
        <f>IFERROR(Y419/H419,"0")+IFERROR(Y420/H420,"0")+IFERROR(Y421/H421,"0")</f>
        <v>584</v>
      </c>
      <c r="Z422" s="43">
        <f>IFERROR(IF(Z419="",0,Z419),"0")+IFERROR(IF(Z420="",0,Z420),"0")+IFERROR(IF(Z421="",0,Z421),"0")</f>
        <v>3.8018399999999999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1225</v>
      </c>
      <c r="Y423" s="43">
        <f>IFERROR(SUM(Y419:Y421),"0")</f>
        <v>1226.4000000000001</v>
      </c>
      <c r="Z423" s="42"/>
      <c r="AA423" s="67"/>
      <c r="AB423" s="67"/>
      <c r="AC423" s="67"/>
    </row>
    <row r="424" spans="1:68" ht="27.75" hidden="1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hidden="1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hidden="1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200</v>
      </c>
      <c r="Y427" s="55">
        <f t="shared" ref="Y427:Y434" si="58">IFERROR(IF(X427="",0,CEILING((X427/$H427),1)*$H427),"")</f>
        <v>210</v>
      </c>
      <c r="Z427" s="41">
        <f>IFERROR(IF(Y427=0,"",ROUNDUP(Y427/H427,0)*0.02175),"")</f>
        <v>0.30449999999999999</v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206.26666666666668</v>
      </c>
      <c r="BN427" s="78">
        <f t="shared" ref="BN427:BN434" si="60">IFERROR(Y427*I427/H427,"0")</f>
        <v>216.58</v>
      </c>
      <c r="BO427" s="78">
        <f t="shared" ref="BO427:BO434" si="61">IFERROR(1/J427*(X427/H427),"0")</f>
        <v>0.27777777777777779</v>
      </c>
      <c r="BP427" s="78">
        <f t="shared" ref="BP427:BP434" si="62">IFERROR(1/J427*(Y427/H427),"0")</f>
        <v>0.29166666666666663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700</v>
      </c>
      <c r="Y429" s="55">
        <f t="shared" si="58"/>
        <v>705</v>
      </c>
      <c r="Z429" s="41">
        <f>IFERROR(IF(Y429=0,"",ROUNDUP(Y429/H429,0)*0.02175),"")</f>
        <v>1.0222499999999999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721.93333333333328</v>
      </c>
      <c r="BN429" s="78">
        <f t="shared" si="60"/>
        <v>727.09</v>
      </c>
      <c r="BO429" s="78">
        <f t="shared" si="61"/>
        <v>0.9722222222222221</v>
      </c>
      <c r="BP429" s="78">
        <f t="shared" si="62"/>
        <v>0.97916666666666663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hidden="1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58"/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0</v>
      </c>
      <c r="BN431" s="78">
        <f t="shared" si="60"/>
        <v>0</v>
      </c>
      <c r="BO431" s="78">
        <f t="shared" si="61"/>
        <v>0</v>
      </c>
      <c r="BP431" s="78">
        <f t="shared" si="62"/>
        <v>0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10</v>
      </c>
      <c r="Y434" s="55">
        <f t="shared" si="58"/>
        <v>10</v>
      </c>
      <c r="Z434" s="41">
        <f>IFERROR(IF(Y434=0,"",ROUNDUP(Y434/H434,0)*0.00902),"")</f>
        <v>1.804E-2</v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10.38</v>
      </c>
      <c r="BN434" s="78">
        <f t="shared" si="60"/>
        <v>10.38</v>
      </c>
      <c r="BO434" s="78">
        <f t="shared" si="61"/>
        <v>1.5151515151515152E-2</v>
      </c>
      <c r="BP434" s="78">
        <f t="shared" si="62"/>
        <v>1.5151515151515152E-2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62</v>
      </c>
      <c r="Y435" s="43">
        <f>IFERROR(Y427/H427,"0")+IFERROR(Y428/H428,"0")+IFERROR(Y429/H429,"0")+IFERROR(Y430/H430,"0")+IFERROR(Y431/H431,"0")+IFERROR(Y432/H432,"0")+IFERROR(Y433/H433,"0")+IFERROR(Y434/H434,"0")</f>
        <v>63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1.3447899999999999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910</v>
      </c>
      <c r="Y436" s="43">
        <f>IFERROR(SUM(Y427:Y434),"0")</f>
        <v>925</v>
      </c>
      <c r="Z436" s="42"/>
      <c r="AA436" s="67"/>
      <c r="AB436" s="67"/>
      <c r="AC436" s="67"/>
    </row>
    <row r="437" spans="1:68" ht="14.25" hidden="1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1500</v>
      </c>
      <c r="Y438" s="55">
        <f>IFERROR(IF(X438="",0,CEILING((X438/$H438),1)*$H438),"")</f>
        <v>1500</v>
      </c>
      <c r="Z438" s="41">
        <f>IFERROR(IF(Y438=0,"",ROUNDUP(Y438/H438,0)*0.02175),"")</f>
        <v>2.1749999999999998</v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1547</v>
      </c>
      <c r="BN438" s="78">
        <f>IFERROR(Y438*I438/H438,"0")</f>
        <v>1547</v>
      </c>
      <c r="BO438" s="78">
        <f>IFERROR(1/J438*(X438/H438),"0")</f>
        <v>2.083333333333333</v>
      </c>
      <c r="BP438" s="78">
        <f>IFERROR(1/J438*(Y438/H438),"0")</f>
        <v>2.083333333333333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120</v>
      </c>
      <c r="Y439" s="55">
        <f>IFERROR(IF(X439="",0,CEILING((X439/$H439),1)*$H439),"")</f>
        <v>120</v>
      </c>
      <c r="Z439" s="41">
        <f>IFERROR(IF(Y439=0,"",ROUNDUP(Y439/H439,0)*0.02175),"")</f>
        <v>0.17399999999999999</v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123.76</v>
      </c>
      <c r="BN439" s="78">
        <f>IFERROR(Y439*I439/H439,"0")</f>
        <v>123.76</v>
      </c>
      <c r="BO439" s="78">
        <f>IFERROR(1/J439*(X439/H439),"0")</f>
        <v>0.16666666666666666</v>
      </c>
      <c r="BP439" s="78">
        <f>IFERROR(1/J439*(Y439/H439),"0")</f>
        <v>0.16666666666666666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108</v>
      </c>
      <c r="Y441" s="43">
        <f>IFERROR(Y438/H438,"0")+IFERROR(Y439/H439,"0")+IFERROR(Y440/H440,"0")</f>
        <v>108</v>
      </c>
      <c r="Z441" s="43">
        <f>IFERROR(IF(Z438="",0,Z438),"0")+IFERROR(IF(Z439="",0,Z439),"0")+IFERROR(IF(Z440="",0,Z440),"0")</f>
        <v>2.3489999999999998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1620</v>
      </c>
      <c r="Y442" s="43">
        <f>IFERROR(SUM(Y438:Y440),"0")</f>
        <v>1620</v>
      </c>
      <c r="Z442" s="42"/>
      <c r="AA442" s="67"/>
      <c r="AB442" s="67"/>
      <c r="AC442" s="67"/>
    </row>
    <row r="443" spans="1:68" ht="14.25" hidden="1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40</v>
      </c>
      <c r="Y445" s="55">
        <f>IFERROR(IF(X445="",0,CEILING((X445/$H445),1)*$H445),"")</f>
        <v>45</v>
      </c>
      <c r="Z445" s="41">
        <f>IFERROR(IF(Y445=0,"",ROUNDUP(Y445/H445,0)*0.01898),"")</f>
        <v>9.4899999999999998E-2</v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42.195555555555558</v>
      </c>
      <c r="BN445" s="78">
        <f>IFERROR(Y445*I445/H445,"0")</f>
        <v>47.47</v>
      </c>
      <c r="BO445" s="78">
        <f>IFERROR(1/J445*(X445/H445),"0")</f>
        <v>6.9444444444444448E-2</v>
      </c>
      <c r="BP445" s="78">
        <f>IFERROR(1/J445*(Y445/H445),"0")</f>
        <v>7.8125E-2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4.4444444444444446</v>
      </c>
      <c r="Y447" s="43">
        <f>IFERROR(Y444/H444,"0")+IFERROR(Y445/H445,"0")+IFERROR(Y446/H446,"0")</f>
        <v>5</v>
      </c>
      <c r="Z447" s="43">
        <f>IFERROR(IF(Z444="",0,Z444),"0")+IFERROR(IF(Z445="",0,Z445),"0")+IFERROR(IF(Z446="",0,Z446),"0")</f>
        <v>9.4899999999999998E-2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40</v>
      </c>
      <c r="Y448" s="43">
        <f>IFERROR(SUM(Y444:Y446),"0")</f>
        <v>45</v>
      </c>
      <c r="Z448" s="42"/>
      <c r="AA448" s="67"/>
      <c r="AB448" s="67"/>
      <c r="AC448" s="67"/>
    </row>
    <row r="449" spans="1:68" ht="14.25" hidden="1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30</v>
      </c>
      <c r="Y451" s="55">
        <f>IFERROR(IF(X451="",0,CEILING((X451/$H451),1)*$H451),"")</f>
        <v>36</v>
      </c>
      <c r="Z451" s="41">
        <f>IFERROR(IF(Y451=0,"",ROUNDUP(Y451/H451,0)*0.01898),"")</f>
        <v>7.5920000000000001E-2</v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31.646666666666665</v>
      </c>
      <c r="BN451" s="78">
        <f>IFERROR(Y451*I451/H451,"0")</f>
        <v>37.975999999999999</v>
      </c>
      <c r="BO451" s="78">
        <f>IFERROR(1/J451*(X451/H451),"0")</f>
        <v>5.2083333333333336E-2</v>
      </c>
      <c r="BP451" s="78">
        <f>IFERROR(1/J451*(Y451/H451),"0")</f>
        <v>6.25E-2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3.3333333333333335</v>
      </c>
      <c r="Y452" s="43">
        <f>IFERROR(Y450/H450,"0")+IFERROR(Y451/H451,"0")</f>
        <v>4</v>
      </c>
      <c r="Z452" s="43">
        <f>IFERROR(IF(Z450="",0,Z450),"0")+IFERROR(IF(Z451="",0,Z451),"0")</f>
        <v>7.5920000000000001E-2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30</v>
      </c>
      <c r="Y453" s="43">
        <f>IFERROR(SUM(Y450:Y451),"0")</f>
        <v>36</v>
      </c>
      <c r="Z453" s="42"/>
      <c r="AA453" s="67"/>
      <c r="AB453" s="67"/>
      <c r="AC453" s="67"/>
    </row>
    <row r="454" spans="1:68" ht="16.5" hidden="1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hidden="1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40</v>
      </c>
      <c r="Y456" s="55">
        <f>IFERROR(IF(X456="",0,CEILING((X456/$H456),1)*$H456),"")</f>
        <v>48</v>
      </c>
      <c r="Z456" s="41">
        <f>IFERROR(IF(Y456=0,"",ROUNDUP(Y456/H456,0)*0.01898),"")</f>
        <v>7.5920000000000001E-2</v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41.366666666666667</v>
      </c>
      <c r="BN456" s="78">
        <f>IFERROR(Y456*I456/H456,"0")</f>
        <v>49.640000000000008</v>
      </c>
      <c r="BO456" s="78">
        <f>IFERROR(1/J456*(X456/H456),"0")</f>
        <v>5.2083333333333336E-2</v>
      </c>
      <c r="BP456" s="78">
        <f>IFERROR(1/J456*(Y456/H456),"0")</f>
        <v>6.25E-2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3.3333333333333335</v>
      </c>
      <c r="Y458" s="43">
        <f>IFERROR(Y456/H456,"0")+IFERROR(Y457/H457,"0")</f>
        <v>4</v>
      </c>
      <c r="Z458" s="43">
        <f>IFERROR(IF(Z456="",0,Z456),"0")+IFERROR(IF(Z457="",0,Z457),"0")</f>
        <v>7.5920000000000001E-2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40</v>
      </c>
      <c r="Y459" s="43">
        <f>IFERROR(SUM(Y456:Y457),"0")</f>
        <v>48</v>
      </c>
      <c r="Z459" s="42"/>
      <c r="AA459" s="67"/>
      <c r="AB459" s="67"/>
      <c r="AC459" s="67"/>
    </row>
    <row r="460" spans="1:68" ht="14.25" hidden="1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30</v>
      </c>
      <c r="Y465" s="55">
        <f>IFERROR(IF(X465="",0,CEILING((X465/$H465),1)*$H465),"")</f>
        <v>36</v>
      </c>
      <c r="Z465" s="41">
        <f>IFERROR(IF(Y465=0,"",ROUNDUP(Y465/H465,0)*0.01898),"")</f>
        <v>7.5920000000000001E-2</v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31.646666666666665</v>
      </c>
      <c r="BN465" s="78">
        <f>IFERROR(Y465*I465/H465,"0")</f>
        <v>37.975999999999999</v>
      </c>
      <c r="BO465" s="78">
        <f>IFERROR(1/J465*(X465/H465),"0")</f>
        <v>5.2083333333333336E-2</v>
      </c>
      <c r="BP465" s="78">
        <f>IFERROR(1/J465*(Y465/H465),"0")</f>
        <v>6.25E-2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3.3333333333333335</v>
      </c>
      <c r="Y468" s="43">
        <f>IFERROR(Y465/H465,"0")+IFERROR(Y466/H466,"0")+IFERROR(Y467/H467,"0")</f>
        <v>4</v>
      </c>
      <c r="Z468" s="43">
        <f>IFERROR(IF(Z465="",0,Z465),"0")+IFERROR(IF(Z466="",0,Z466),"0")+IFERROR(IF(Z467="",0,Z467),"0")</f>
        <v>7.5920000000000001E-2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30</v>
      </c>
      <c r="Y469" s="43">
        <f>IFERROR(SUM(Y465:Y467),"0")</f>
        <v>36</v>
      </c>
      <c r="Z469" s="42"/>
      <c r="AA469" s="67"/>
      <c r="AB469" s="67"/>
      <c r="AC469" s="67"/>
    </row>
    <row r="470" spans="1:68" ht="27.75" hidden="1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hidden="1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hidden="1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hidden="1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hidden="1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40</v>
      </c>
      <c r="Y500" s="55">
        <f t="shared" ref="Y500:Y508" si="68">IFERROR(IF(X500="",0,CEILING((X500/$H500),1)*$H500),"")</f>
        <v>42.24</v>
      </c>
      <c r="Z500" s="41">
        <f t="shared" ref="Z500:Z505" si="69">IFERROR(IF(Y500=0,"",ROUNDUP(Y500/H500,0)*0.01196),"")</f>
        <v>9.5680000000000001E-2</v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42.651515151515149</v>
      </c>
      <c r="BN500" s="78">
        <f t="shared" ref="BN500:BN508" si="71">IFERROR(Y500*I500/H500,"0")</f>
        <v>45.04</v>
      </c>
      <c r="BO500" s="78">
        <f t="shared" ref="BO500:BO508" si="72">IFERROR(1/J500*(X500/H500),"0")</f>
        <v>7.2843822843822847E-2</v>
      </c>
      <c r="BP500" s="78">
        <f t="shared" ref="BP500:BP508" si="73">IFERROR(1/J500*(Y500/H500),"0")</f>
        <v>7.6923076923076927E-2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200</v>
      </c>
      <c r="Y505" s="55">
        <f t="shared" si="68"/>
        <v>200.64000000000001</v>
      </c>
      <c r="Z505" s="41">
        <f t="shared" si="69"/>
        <v>0.45448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213.25757575757575</v>
      </c>
      <c r="BN505" s="78">
        <f t="shared" si="71"/>
        <v>213.94</v>
      </c>
      <c r="BO505" s="78">
        <f t="shared" si="72"/>
        <v>0.36421911421911418</v>
      </c>
      <c r="BP505" s="78">
        <f t="shared" si="73"/>
        <v>0.36538461538461542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60</v>
      </c>
      <c r="Y507" s="55">
        <f t="shared" si="68"/>
        <v>62.4</v>
      </c>
      <c r="Z507" s="41">
        <f>IFERROR(IF(Y507=0,"",ROUNDUP(Y507/H507,0)*0.00902),"")</f>
        <v>0.11726</v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86.375000000000014</v>
      </c>
      <c r="BN507" s="78">
        <f t="shared" si="71"/>
        <v>89.830000000000013</v>
      </c>
      <c r="BO507" s="78">
        <f t="shared" si="72"/>
        <v>9.4696969696969696E-2</v>
      </c>
      <c r="BP507" s="78">
        <f t="shared" si="73"/>
        <v>9.8484848484848481E-2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198</v>
      </c>
      <c r="Y508" s="55">
        <f t="shared" si="68"/>
        <v>201.6</v>
      </c>
      <c r="Z508" s="41">
        <f>IFERROR(IF(Y508=0,"",ROUNDUP(Y508/H508,0)*0.00902),"")</f>
        <v>0.37884000000000001</v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285.03750000000002</v>
      </c>
      <c r="BN508" s="78">
        <f t="shared" si="71"/>
        <v>290.22000000000003</v>
      </c>
      <c r="BO508" s="78">
        <f t="shared" si="72"/>
        <v>0.3125</v>
      </c>
      <c r="BP508" s="78">
        <f t="shared" si="73"/>
        <v>0.31818181818181818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99.204545454545453</v>
      </c>
      <c r="Y509" s="43">
        <f>IFERROR(Y500/H500,"0")+IFERROR(Y501/H501,"0")+IFERROR(Y502/H502,"0")+IFERROR(Y503/H503,"0")+IFERROR(Y504/H504,"0")+IFERROR(Y505/H505,"0")+IFERROR(Y506/H506,"0")+IFERROR(Y507/H507,"0")+IFERROR(Y508/H508,"0")</f>
        <v>101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1.04626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498</v>
      </c>
      <c r="Y510" s="43">
        <f>IFERROR(SUM(Y500:Y508),"0")</f>
        <v>506.88</v>
      </c>
      <c r="Z510" s="42"/>
      <c r="AA510" s="67"/>
      <c r="AB510" s="67"/>
      <c r="AC510" s="67"/>
    </row>
    <row r="511" spans="1:68" ht="14.25" hidden="1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220</v>
      </c>
      <c r="Y512" s="55">
        <f>IFERROR(IF(X512="",0,CEILING((X512/$H512),1)*$H512),"")</f>
        <v>221.76000000000002</v>
      </c>
      <c r="Z512" s="41">
        <f>IFERROR(IF(Y512=0,"",ROUNDUP(Y512/H512,0)*0.01196),"")</f>
        <v>0.50231999999999999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234.58333333333331</v>
      </c>
      <c r="BN512" s="78">
        <f>IFERROR(Y512*I512/H512,"0")</f>
        <v>236.46</v>
      </c>
      <c r="BO512" s="78">
        <f>IFERROR(1/J512*(X512/H512),"0")</f>
        <v>0.40064102564102566</v>
      </c>
      <c r="BP512" s="78">
        <f>IFERROR(1/J512*(Y512/H512),"0")</f>
        <v>0.40384615384615385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60</v>
      </c>
      <c r="Y514" s="55">
        <f>IFERROR(IF(X514="",0,CEILING((X514/$H514),1)*$H514),"")</f>
        <v>62.4</v>
      </c>
      <c r="Z514" s="41">
        <f>IFERROR(IF(Y514=0,"",ROUNDUP(Y514/H514,0)*0.00902),"")</f>
        <v>0.11726</v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86.375000000000014</v>
      </c>
      <c r="BN514" s="78">
        <f>IFERROR(Y514*I514/H514,"0")</f>
        <v>89.830000000000013</v>
      </c>
      <c r="BO514" s="78">
        <f>IFERROR(1/J514*(X514/H514),"0")</f>
        <v>9.4696969696969696E-2</v>
      </c>
      <c r="BP514" s="78">
        <f>IFERROR(1/J514*(Y514/H514),"0")</f>
        <v>9.8484848484848481E-2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54.166666666666664</v>
      </c>
      <c r="Y515" s="43">
        <f>IFERROR(Y512/H512,"0")+IFERROR(Y513/H513,"0")+IFERROR(Y514/H514,"0")</f>
        <v>55</v>
      </c>
      <c r="Z515" s="43">
        <f>IFERROR(IF(Z512="",0,Z512),"0")+IFERROR(IF(Z513="",0,Z513),"0")+IFERROR(IF(Z514="",0,Z514),"0")</f>
        <v>0.61958000000000002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280</v>
      </c>
      <c r="Y516" s="43">
        <f>IFERROR(SUM(Y512:Y514),"0")</f>
        <v>284.16000000000003</v>
      </c>
      <c r="Z516" s="42"/>
      <c r="AA516" s="67"/>
      <c r="AB516" s="67"/>
      <c r="AC516" s="67"/>
    </row>
    <row r="517" spans="1:68" ht="14.25" hidden="1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50</v>
      </c>
      <c r="Y518" s="55">
        <f t="shared" ref="Y518:Y524" si="74">IFERROR(IF(X518="",0,CEILING((X518/$H518),1)*$H518),"")</f>
        <v>52.800000000000004</v>
      </c>
      <c r="Z518" s="41">
        <f>IFERROR(IF(Y518=0,"",ROUNDUP(Y518/H518,0)*0.01196),"")</f>
        <v>0.1196</v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53.314393939393938</v>
      </c>
      <c r="BN518" s="78">
        <f t="shared" ref="BN518:BN524" si="76">IFERROR(Y518*I518/H518,"0")</f>
        <v>56.3</v>
      </c>
      <c r="BO518" s="78">
        <f t="shared" ref="BO518:BO524" si="77">IFERROR(1/J518*(X518/H518),"0")</f>
        <v>9.1054778554778545E-2</v>
      </c>
      <c r="BP518" s="78">
        <f t="shared" ref="BP518:BP524" si="78">IFERROR(1/J518*(Y518/H518),"0")</f>
        <v>9.6153846153846159E-2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30</v>
      </c>
      <c r="Y519" s="55">
        <f t="shared" si="74"/>
        <v>31.68</v>
      </c>
      <c r="Z519" s="41">
        <f>IFERROR(IF(Y519=0,"",ROUNDUP(Y519/H519,0)*0.01196),"")</f>
        <v>7.1760000000000004E-2</v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31.988636363636363</v>
      </c>
      <c r="BN519" s="78">
        <f t="shared" si="76"/>
        <v>33.779999999999994</v>
      </c>
      <c r="BO519" s="78">
        <f t="shared" si="77"/>
        <v>5.4632867132867136E-2</v>
      </c>
      <c r="BP519" s="78">
        <f t="shared" si="78"/>
        <v>5.7692307692307696E-2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200</v>
      </c>
      <c r="Y520" s="55">
        <f t="shared" si="74"/>
        <v>200.64000000000001</v>
      </c>
      <c r="Z520" s="41">
        <f>IFERROR(IF(Y520=0,"",ROUNDUP(Y520/H520,0)*0.01196),"")</f>
        <v>0.45448</v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213.25757575757575</v>
      </c>
      <c r="BN520" s="78">
        <f t="shared" si="76"/>
        <v>213.94</v>
      </c>
      <c r="BO520" s="78">
        <f t="shared" si="77"/>
        <v>0.36421911421911418</v>
      </c>
      <c r="BP520" s="78">
        <f t="shared" si="78"/>
        <v>0.36538461538461542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48</v>
      </c>
      <c r="Y521" s="55">
        <f t="shared" si="74"/>
        <v>48</v>
      </c>
      <c r="Z521" s="41">
        <f>IFERROR(IF(Y521=0,"",ROUNDUP(Y521/H521,0)*0.00902),"")</f>
        <v>9.0200000000000002E-2</v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69.100000000000009</v>
      </c>
      <c r="BN521" s="78">
        <f t="shared" si="76"/>
        <v>69.100000000000009</v>
      </c>
      <c r="BO521" s="78">
        <f t="shared" si="77"/>
        <v>7.575757575757576E-2</v>
      </c>
      <c r="BP521" s="78">
        <f t="shared" si="78"/>
        <v>7.575757575757576E-2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102</v>
      </c>
      <c r="Y524" s="55">
        <f t="shared" si="74"/>
        <v>105.6</v>
      </c>
      <c r="Z524" s="41">
        <f>IFERROR(IF(Y524=0,"",ROUNDUP(Y524/H524,0)*0.00902),"")</f>
        <v>0.19844000000000001</v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141.73750000000001</v>
      </c>
      <c r="BN524" s="78">
        <f t="shared" si="76"/>
        <v>146.74</v>
      </c>
      <c r="BO524" s="78">
        <f t="shared" si="77"/>
        <v>0.16098484848484848</v>
      </c>
      <c r="BP524" s="78">
        <f t="shared" si="78"/>
        <v>0.16666666666666669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84.280303030303031</v>
      </c>
      <c r="Y525" s="43">
        <f>IFERROR(Y518/H518,"0")+IFERROR(Y519/H519,"0")+IFERROR(Y520/H520,"0")+IFERROR(Y521/H521,"0")+IFERROR(Y522/H522,"0")+IFERROR(Y523/H523,"0")+IFERROR(Y524/H524,"0")</f>
        <v>86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0.93447999999999998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430</v>
      </c>
      <c r="Y526" s="43">
        <f>IFERROR(SUM(Y518:Y524),"0")</f>
        <v>438.72</v>
      </c>
      <c r="Z526" s="42"/>
      <c r="AA526" s="67"/>
      <c r="AB526" s="67"/>
      <c r="AC526" s="67"/>
    </row>
    <row r="527" spans="1:68" ht="27.75" hidden="1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hidden="1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hidden="1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120</v>
      </c>
      <c r="Y530" s="55">
        <f>IFERROR(IF(X530="",0,CEILING((X530/$H530),1)*$H530),"")</f>
        <v>120</v>
      </c>
      <c r="Z530" s="41">
        <f>IFERROR(IF(Y530=0,"",ROUNDUP(Y530/H530,0)*0.01898),"")</f>
        <v>0.1898</v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124.10000000000001</v>
      </c>
      <c r="BN530" s="78">
        <f>IFERROR(Y530*I530/H530,"0")</f>
        <v>124.10000000000001</v>
      </c>
      <c r="BO530" s="78">
        <f>IFERROR(1/J530*(X530/H530),"0")</f>
        <v>0.15625</v>
      </c>
      <c r="BP530" s="78">
        <f>IFERROR(1/J530*(Y530/H530),"0")</f>
        <v>0.15625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10</v>
      </c>
      <c r="Y531" s="43">
        <f>IFERROR(Y530/H530,"0")</f>
        <v>10</v>
      </c>
      <c r="Z531" s="43">
        <f>IFERROR(IF(Z530="",0,Z530),"0")</f>
        <v>0.1898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120</v>
      </c>
      <c r="Y532" s="43">
        <f>IFERROR(SUM(Y530:Y530),"0")</f>
        <v>120</v>
      </c>
      <c r="Z532" s="42"/>
      <c r="AA532" s="67"/>
      <c r="AB532" s="67"/>
      <c r="AC532" s="67"/>
    </row>
    <row r="533" spans="1:68" ht="14.25" hidden="1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hidden="1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1540</v>
      </c>
      <c r="Y542" s="55">
        <f>IFERROR(IF(X542="",0,CEILING((X542/$H542),1)*$H542),"")</f>
        <v>1548</v>
      </c>
      <c r="Z542" s="41">
        <f>IFERROR(IF(Y542=0,"",ROUNDUP(Y542/H542,0)*0.01898),"")</f>
        <v>3.2645599999999999</v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1624.528888888889</v>
      </c>
      <c r="BN542" s="78">
        <f>IFERROR(Y542*I542/H542,"0")</f>
        <v>1632.9679999999998</v>
      </c>
      <c r="BO542" s="78">
        <f>IFERROR(1/J542*(X542/H542),"0")</f>
        <v>2.6736111111111112</v>
      </c>
      <c r="BP542" s="78">
        <f>IFERROR(1/J542*(Y542/H542),"0")</f>
        <v>2.6875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171.11111111111111</v>
      </c>
      <c r="Y543" s="43">
        <f>IFERROR(Y542/H542,"0")</f>
        <v>172</v>
      </c>
      <c r="Z543" s="43">
        <f>IFERROR(IF(Z542="",0,Z542),"0")</f>
        <v>3.2645599999999999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1540</v>
      </c>
      <c r="Y544" s="43">
        <f>IFERROR(SUM(Y542:Y542),"0")</f>
        <v>1548</v>
      </c>
      <c r="Z544" s="42"/>
      <c r="AA544" s="67"/>
      <c r="AB544" s="67"/>
      <c r="AC544" s="67"/>
    </row>
    <row r="545" spans="1:68" ht="14.25" hidden="1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hidden="1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17455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17646.919999999998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18757.45815591178</v>
      </c>
      <c r="Y556" s="43">
        <f>IFERROR(SUM(BN22:BN552),"0")</f>
        <v>18964.125999999997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34</v>
      </c>
      <c r="Y557" s="44">
        <f>ROUNDUP(SUM(BP22:BP552),0)</f>
        <v>34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19607.45815591178</v>
      </c>
      <c r="Y558" s="43">
        <f>GrossWeightTotalR+PalletQtyTotalR*25</f>
        <v>19814.125999999997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4282.2065654651869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4315</v>
      </c>
      <c r="Z559" s="42"/>
      <c r="AA559" s="67"/>
      <c r="AB559" s="67"/>
      <c r="AC559" s="67"/>
    </row>
    <row r="560" spans="1:68" ht="14.25" hidden="1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39.77920000000001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17.28</v>
      </c>
      <c r="D565" s="52">
        <f>IFERROR(Y47*1,"0")+IFERROR(Y48*1,"0")+IFERROR(Y49*1,"0")+IFERROR(Y50*1,"0")</f>
        <v>402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767.4</v>
      </c>
      <c r="F565" s="52">
        <f>IFERROR(Y84*1,"0")+IFERROR(Y85*1,"0")+IFERROR(Y86*1,"0")+IFERROR(Y87*1,"0")+IFERROR(Y91*1,"0")+IFERROR(Y92*1,"0")+IFERROR(Y93*1,"0")+IFERROR(Y94*1,"0")</f>
        <v>1346.4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1709.1</v>
      </c>
      <c r="H565" s="52">
        <f>IFERROR(Y129*1,"0")+IFERROR(Y130*1,"0")+IFERROR(Y131*1,"0")+IFERROR(Y135*1,"0")+IFERROR(Y136*1,"0")+IFERROR(Y137*1,"0")+IFERROR(Y138*1,"0")+IFERROR(Y142*1,"0")+IFERROR(Y143*1,"0")+IFERROR(Y144*1,"0")</f>
        <v>173.92000000000002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881.9799999999999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521.67999999999995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2601.9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109.6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441.6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514.79999999999995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1325.1000000000001</v>
      </c>
      <c r="U565" s="52">
        <f>IFERROR(Y413*1,"0")+IFERROR(Y414*1,"0")</f>
        <v>0</v>
      </c>
      <c r="V565" s="52">
        <f>IFERROR(Y419*1,"0")+IFERROR(Y420*1,"0")+IFERROR(Y421*1,"0")</f>
        <v>1226.4000000000001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2626</v>
      </c>
      <c r="X565" s="52">
        <f>IFERROR(Y456*1,"0")+IFERROR(Y457*1,"0")+IFERROR(Y461*1,"0")+IFERROR(Y465*1,"0")+IFERROR(Y466*1,"0")+IFERROR(Y467*1,"0")</f>
        <v>84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1229.7599999999998</v>
      </c>
      <c r="AB565" s="52">
        <f>IFERROR(Y530*1,"0")+IFERROR(Y534*1,"0")+IFERROR(Y538*1,"0")+IFERROR(Y542*1,"0")+IFERROR(Y546*1,"0")+IFERROR(Y547*1,"0")</f>
        <v>1668</v>
      </c>
      <c r="AC565" s="52">
        <f>IFERROR(Y552*1,"0")</f>
        <v>0</v>
      </c>
      <c r="AF565" s="1"/>
    </row>
  </sheetData>
  <sheetProtection algorithmName="SHA-512" hashValue="W6xKtQtov4L4myRjPs6AGslIaGv3M7DM6ryDyvZMUY8LKHkWJ71E2pABeLsF7NTOJPE3443iXaEXaMPOZo6Gog==" saltValue="mUkFJ3PFyT1ATOvIhq7cWw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25,00"/>
        <filter val="1 225,00"/>
        <filter val="1 500,00"/>
        <filter val="1 540,00"/>
        <filter val="1 620,00"/>
        <filter val="1 680,00"/>
        <filter val="1,80"/>
        <filter val="10,00"/>
        <filter val="100,00"/>
        <filter val="102,00"/>
        <filter val="106,00"/>
        <filter val="108,00"/>
        <filter val="109,26"/>
        <filter val="11,11"/>
        <filter val="112,50"/>
        <filter val="120,00"/>
        <filter val="13,75"/>
        <filter val="14,00"/>
        <filter val="140,00"/>
        <filter val="15,17"/>
        <filter val="150,00"/>
        <filter val="153,33"/>
        <filter val="16,00"/>
        <filter val="160,00"/>
        <filter val="17 455,00"/>
        <filter val="171,11"/>
        <filter val="172,50"/>
        <filter val="175,00"/>
        <filter val="18 757,46"/>
        <filter val="18,00"/>
        <filter val="18,75"/>
        <filter val="183,33"/>
        <filter val="19 607,46"/>
        <filter val="198,00"/>
        <filter val="20,00"/>
        <filter val="200,00"/>
        <filter val="21,00"/>
        <filter val="220,00"/>
        <filter val="221,19"/>
        <filter val="24,00"/>
        <filter val="240,00"/>
        <filter val="243,21"/>
        <filter val="25,00"/>
        <filter val="260,00"/>
        <filter val="27,50"/>
        <filter val="275,93"/>
        <filter val="280,00"/>
        <filter val="3,33"/>
        <filter val="3,85"/>
        <filter val="30,00"/>
        <filter val="300,00"/>
        <filter val="306,00"/>
        <filter val="322,22"/>
        <filter val="329,86"/>
        <filter val="34"/>
        <filter val="350,00"/>
        <filter val="36,00"/>
        <filter val="38,50"/>
        <filter val="39,60"/>
        <filter val="391,00"/>
        <filter val="4 282,21"/>
        <filter val="4,44"/>
        <filter val="4,50"/>
        <filter val="4,63"/>
        <filter val="40,00"/>
        <filter val="400,00"/>
        <filter val="430,00"/>
        <filter val="440,00"/>
        <filter val="450,00"/>
        <filter val="47,22"/>
        <filter val="48,00"/>
        <filter val="492,20"/>
        <filter val="493,50"/>
        <filter val="498,00"/>
        <filter val="5,56"/>
        <filter val="50,00"/>
        <filter val="500,00"/>
        <filter val="52,50"/>
        <filter val="525,00"/>
        <filter val="53,33"/>
        <filter val="54,17"/>
        <filter val="540,00"/>
        <filter val="550,00"/>
        <filter val="583,33"/>
        <filter val="585,00"/>
        <filter val="60,00"/>
        <filter val="62,00"/>
        <filter val="64,10"/>
        <filter val="7,00"/>
        <filter val="70,00"/>
        <filter val="700,00"/>
        <filter val="72,60"/>
        <filter val="74,81"/>
        <filter val="760,00"/>
        <filter val="770,00"/>
        <filter val="8,00"/>
        <filter val="8,33"/>
        <filter val="80,00"/>
        <filter val="837,30"/>
        <filter val="84,00"/>
        <filter val="84,28"/>
        <filter val="85,00"/>
        <filter val="890,00"/>
        <filter val="9,00"/>
        <filter val="90,00"/>
        <filter val="910,00"/>
        <filter val="93,68"/>
        <filter val="99,20"/>
      </filters>
    </filterColumn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9" spans="2:8" x14ac:dyDescent="0.2">
      <c r="B9" s="53" t="s">
        <v>883</v>
      </c>
      <c r="C9" s="53" t="s">
        <v>878</v>
      </c>
      <c r="D9" s="53" t="s">
        <v>46</v>
      </c>
      <c r="E9" s="53" t="s">
        <v>46</v>
      </c>
    </row>
    <row r="11" spans="2:8" x14ac:dyDescent="0.2">
      <c r="B11" s="53" t="s">
        <v>883</v>
      </c>
      <c r="C11" s="53" t="s">
        <v>881</v>
      </c>
      <c r="D11" s="53" t="s">
        <v>46</v>
      </c>
      <c r="E11" s="53" t="s">
        <v>46</v>
      </c>
    </row>
    <row r="13" spans="2:8" x14ac:dyDescent="0.2">
      <c r="B13" s="53" t="s">
        <v>884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894</v>
      </c>
      <c r="C23" s="53" t="s">
        <v>46</v>
      </c>
      <c r="D23" s="53" t="s">
        <v>46</v>
      </c>
      <c r="E23" s="53" t="s">
        <v>46</v>
      </c>
    </row>
  </sheetData>
  <sheetProtection algorithmName="SHA-512" hashValue="GpFm4YsdmBoNDdBmvCk/8x8PC7shbvwLfboWgKcbwIPEf3WEeyTJNpyt3/JSTMkq307BSLAYC9LQJtK874uGtg==" saltValue="pyUt+4FPmuV9o1PK5EZv7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2026-08-07T12:18:14Z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