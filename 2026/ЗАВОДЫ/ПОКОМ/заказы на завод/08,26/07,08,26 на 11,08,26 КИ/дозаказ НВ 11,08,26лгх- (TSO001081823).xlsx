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3E51512-CF8A-409E-A1DB-EA9155D7DB4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P551" i="1"/>
  <c r="X548" i="1"/>
  <c r="X547" i="1"/>
  <c r="BO546" i="1"/>
  <c r="BM546" i="1"/>
  <c r="Y546" i="1"/>
  <c r="P546" i="1"/>
  <c r="BO545" i="1"/>
  <c r="BM545" i="1"/>
  <c r="Y545" i="1"/>
  <c r="BP545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BP521" i="1" s="1"/>
  <c r="P521" i="1"/>
  <c r="BO520" i="1"/>
  <c r="BM520" i="1"/>
  <c r="Y520" i="1"/>
  <c r="P520" i="1"/>
  <c r="BP519" i="1"/>
  <c r="BO519" i="1"/>
  <c r="BN519" i="1"/>
  <c r="BM519" i="1"/>
  <c r="Z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P507" i="1"/>
  <c r="BO507" i="1"/>
  <c r="BN507" i="1"/>
  <c r="BM507" i="1"/>
  <c r="Z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BP503" i="1" s="1"/>
  <c r="P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BP493" i="1" s="1"/>
  <c r="P493" i="1"/>
  <c r="BO492" i="1"/>
  <c r="BM492" i="1"/>
  <c r="Y492" i="1"/>
  <c r="P492" i="1"/>
  <c r="BO491" i="1"/>
  <c r="BM491" i="1"/>
  <c r="Y491" i="1"/>
  <c r="Y494" i="1" s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O476" i="1"/>
  <c r="BM476" i="1"/>
  <c r="Y476" i="1"/>
  <c r="BP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BP466" i="1" s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2" i="1"/>
  <c r="Y461" i="1"/>
  <c r="X461" i="1"/>
  <c r="BO460" i="1"/>
  <c r="BM460" i="1"/>
  <c r="Y460" i="1"/>
  <c r="Y462" i="1" s="1"/>
  <c r="P460" i="1"/>
  <c r="X458" i="1"/>
  <c r="X457" i="1"/>
  <c r="BO456" i="1"/>
  <c r="BM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Y446" i="1" s="1"/>
  <c r="P443" i="1"/>
  <c r="X441" i="1"/>
  <c r="X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BP437" i="1" s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Y408" i="1" s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BP399" i="1" s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P379" i="1" s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BP349" i="1" s="1"/>
  <c r="P349" i="1"/>
  <c r="BO348" i="1"/>
  <c r="BM348" i="1"/>
  <c r="Y348" i="1"/>
  <c r="Y350" i="1" s="1"/>
  <c r="P348" i="1"/>
  <c r="X346" i="1"/>
  <c r="X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BP325" i="1" s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X296" i="1"/>
  <c r="X295" i="1"/>
  <c r="BO294" i="1"/>
  <c r="BM294" i="1"/>
  <c r="Y294" i="1"/>
  <c r="P294" i="1"/>
  <c r="BO293" i="1"/>
  <c r="BM293" i="1"/>
  <c r="Y293" i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BN267" i="1" s="1"/>
  <c r="P267" i="1"/>
  <c r="X265" i="1"/>
  <c r="X264" i="1"/>
  <c r="BO263" i="1"/>
  <c r="BM263" i="1"/>
  <c r="Y263" i="1"/>
  <c r="P263" i="1"/>
  <c r="BO262" i="1"/>
  <c r="BM262" i="1"/>
  <c r="Y262" i="1"/>
  <c r="BP262" i="1" s="1"/>
  <c r="P262" i="1"/>
  <c r="X260" i="1"/>
  <c r="X259" i="1"/>
  <c r="BO258" i="1"/>
  <c r="BM258" i="1"/>
  <c r="Y258" i="1"/>
  <c r="P258" i="1"/>
  <c r="BO257" i="1"/>
  <c r="BM257" i="1"/>
  <c r="Y257" i="1"/>
  <c r="Y259" i="1" s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BP221" i="1" s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BP206" i="1" s="1"/>
  <c r="P206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Z184" i="1"/>
  <c r="Y184" i="1"/>
  <c r="BN184" i="1" s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N164" i="1" s="1"/>
  <c r="P164" i="1"/>
  <c r="X161" i="1"/>
  <c r="X160" i="1"/>
  <c r="BO159" i="1"/>
  <c r="BM159" i="1"/>
  <c r="Y159" i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P154" i="1"/>
  <c r="BO153" i="1"/>
  <c r="BM153" i="1"/>
  <c r="Y153" i="1"/>
  <c r="P153" i="1"/>
  <c r="BO152" i="1"/>
  <c r="BM152" i="1"/>
  <c r="Y152" i="1"/>
  <c r="P152" i="1"/>
  <c r="BO151" i="1"/>
  <c r="BM151" i="1"/>
  <c r="Y151" i="1"/>
  <c r="BN151" i="1" s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X146" i="1"/>
  <c r="X145" i="1"/>
  <c r="BO144" i="1"/>
  <c r="BM144" i="1"/>
  <c r="Y144" i="1"/>
  <c r="P144" i="1"/>
  <c r="BO143" i="1"/>
  <c r="BM143" i="1"/>
  <c r="Y143" i="1"/>
  <c r="P143" i="1"/>
  <c r="BO142" i="1"/>
  <c r="BM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Z137" i="1" s="1"/>
  <c r="P137" i="1"/>
  <c r="BO136" i="1"/>
  <c r="BM136" i="1"/>
  <c r="Y136" i="1"/>
  <c r="BP136" i="1" s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O120" i="1"/>
  <c r="BM120" i="1"/>
  <c r="Y120" i="1"/>
  <c r="BN120" i="1" s="1"/>
  <c r="P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N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G564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Y89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N74" i="1" s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4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554" i="1" s="1"/>
  <c r="X24" i="1"/>
  <c r="BP23" i="1"/>
  <c r="BO23" i="1"/>
  <c r="BN23" i="1"/>
  <c r="BM23" i="1"/>
  <c r="Z23" i="1"/>
  <c r="Y23" i="1"/>
  <c r="P23" i="1"/>
  <c r="BO22" i="1"/>
  <c r="BM22" i="1"/>
  <c r="Y22" i="1"/>
  <c r="P22" i="1"/>
  <c r="H10" i="1"/>
  <c r="A9" i="1"/>
  <c r="F10" i="1" s="1"/>
  <c r="D7" i="1"/>
  <c r="Q6" i="1"/>
  <c r="P2" i="1"/>
  <c r="BP102" i="1" l="1"/>
  <c r="BN102" i="1"/>
  <c r="Z102" i="1"/>
  <c r="BP135" i="1"/>
  <c r="BN135" i="1"/>
  <c r="Z135" i="1"/>
  <c r="BN153" i="1"/>
  <c r="Z153" i="1"/>
  <c r="BN180" i="1"/>
  <c r="BN196" i="1"/>
  <c r="BP233" i="1"/>
  <c r="BN233" i="1"/>
  <c r="Z233" i="1"/>
  <c r="BN269" i="1"/>
  <c r="BP281" i="1"/>
  <c r="BN281" i="1"/>
  <c r="Z281" i="1"/>
  <c r="BN285" i="1"/>
  <c r="BN300" i="1"/>
  <c r="BN325" i="1"/>
  <c r="BN349" i="1"/>
  <c r="BN365" i="1"/>
  <c r="BN371" i="1"/>
  <c r="BN393" i="1"/>
  <c r="BN405" i="1"/>
  <c r="BN439" i="1"/>
  <c r="BP449" i="1"/>
  <c r="BN449" i="1"/>
  <c r="Z449" i="1"/>
  <c r="BN466" i="1"/>
  <c r="BP499" i="1"/>
  <c r="BN499" i="1"/>
  <c r="Z499" i="1"/>
  <c r="BN503" i="1"/>
  <c r="BP513" i="1"/>
  <c r="BN513" i="1"/>
  <c r="Z513" i="1"/>
  <c r="BP529" i="1"/>
  <c r="Y530" i="1"/>
  <c r="BN529" i="1"/>
  <c r="BN545" i="1"/>
  <c r="Z29" i="1"/>
  <c r="BN29" i="1"/>
  <c r="Z41" i="1"/>
  <c r="BN41" i="1"/>
  <c r="Z58" i="1"/>
  <c r="BN58" i="1"/>
  <c r="Z68" i="1"/>
  <c r="BN68" i="1"/>
  <c r="BP87" i="1"/>
  <c r="BN87" i="1"/>
  <c r="Z87" i="1"/>
  <c r="BP118" i="1"/>
  <c r="BN118" i="1"/>
  <c r="Z118" i="1"/>
  <c r="BP144" i="1"/>
  <c r="BN144" i="1"/>
  <c r="Z144" i="1"/>
  <c r="BP170" i="1"/>
  <c r="BN170" i="1"/>
  <c r="Z170" i="1"/>
  <c r="BP210" i="1"/>
  <c r="BN210" i="1"/>
  <c r="Z210" i="1"/>
  <c r="Y218" i="1"/>
  <c r="BP217" i="1"/>
  <c r="BN217" i="1"/>
  <c r="Z217" i="1"/>
  <c r="Z218" i="1" s="1"/>
  <c r="BN221" i="1"/>
  <c r="BN227" i="1"/>
  <c r="BP258" i="1"/>
  <c r="BN258" i="1"/>
  <c r="Z258" i="1"/>
  <c r="BN262" i="1"/>
  <c r="BN341" i="1"/>
  <c r="BP356" i="1"/>
  <c r="BN356" i="1"/>
  <c r="Z356" i="1"/>
  <c r="BN379" i="1"/>
  <c r="BN399" i="1"/>
  <c r="BP429" i="1"/>
  <c r="BN429" i="1"/>
  <c r="Z429" i="1"/>
  <c r="BN433" i="1"/>
  <c r="BN445" i="1"/>
  <c r="Y467" i="1"/>
  <c r="BP474" i="1"/>
  <c r="BN474" i="1"/>
  <c r="Z474" i="1"/>
  <c r="BP482" i="1"/>
  <c r="BN482" i="1"/>
  <c r="Z482" i="1"/>
  <c r="BN493" i="1"/>
  <c r="BN521" i="1"/>
  <c r="Y539" i="1"/>
  <c r="Y538" i="1"/>
  <c r="BN537" i="1"/>
  <c r="Y95" i="1"/>
  <c r="BN206" i="1"/>
  <c r="BN212" i="1"/>
  <c r="BN229" i="1"/>
  <c r="BN283" i="1"/>
  <c r="BN334" i="1"/>
  <c r="BN343" i="1"/>
  <c r="BN373" i="1"/>
  <c r="BN387" i="1"/>
  <c r="BN395" i="1"/>
  <c r="BN401" i="1"/>
  <c r="BN407" i="1"/>
  <c r="BN431" i="1"/>
  <c r="BN437" i="1"/>
  <c r="BN443" i="1"/>
  <c r="BN460" i="1"/>
  <c r="BN476" i="1"/>
  <c r="BN491" i="1"/>
  <c r="BN501" i="1"/>
  <c r="BN523" i="1"/>
  <c r="X555" i="1"/>
  <c r="Y33" i="1"/>
  <c r="Y70" i="1"/>
  <c r="BP182" i="1"/>
  <c r="Z182" i="1"/>
  <c r="BN231" i="1"/>
  <c r="BP231" i="1"/>
  <c r="Z231" i="1"/>
  <c r="BN293" i="1"/>
  <c r="BP293" i="1"/>
  <c r="Z293" i="1"/>
  <c r="BN318" i="1"/>
  <c r="BP318" i="1"/>
  <c r="Z318" i="1"/>
  <c r="BN354" i="1"/>
  <c r="BP354" i="1"/>
  <c r="Z354" i="1"/>
  <c r="BN375" i="1"/>
  <c r="BP375" i="1"/>
  <c r="Z375" i="1"/>
  <c r="BN472" i="1"/>
  <c r="BP472" i="1"/>
  <c r="Z472" i="1"/>
  <c r="BN511" i="1"/>
  <c r="BP511" i="1"/>
  <c r="Z511" i="1"/>
  <c r="Y535" i="1"/>
  <c r="Y534" i="1"/>
  <c r="BN533" i="1"/>
  <c r="BP533" i="1"/>
  <c r="Z533" i="1"/>
  <c r="Z534" i="1" s="1"/>
  <c r="X556" i="1"/>
  <c r="Z27" i="1"/>
  <c r="BP27" i="1"/>
  <c r="BN31" i="1"/>
  <c r="BN39" i="1"/>
  <c r="BN47" i="1"/>
  <c r="BN56" i="1"/>
  <c r="Z60" i="1"/>
  <c r="BP60" i="1"/>
  <c r="Z66" i="1"/>
  <c r="BP66" i="1"/>
  <c r="Z74" i="1"/>
  <c r="BP74" i="1"/>
  <c r="Y80" i="1"/>
  <c r="BN85" i="1"/>
  <c r="BN91" i="1"/>
  <c r="BN100" i="1"/>
  <c r="Z104" i="1"/>
  <c r="BP104" i="1"/>
  <c r="Y114" i="1"/>
  <c r="Z112" i="1"/>
  <c r="BP112" i="1"/>
  <c r="Y122" i="1"/>
  <c r="Z120" i="1"/>
  <c r="BP120" i="1"/>
  <c r="BN131" i="1"/>
  <c r="Z142" i="1"/>
  <c r="BP142" i="1"/>
  <c r="Z151" i="1"/>
  <c r="BP151" i="1"/>
  <c r="BP184" i="1"/>
  <c r="BP190" i="1"/>
  <c r="Z190" i="1"/>
  <c r="BN239" i="1"/>
  <c r="BP239" i="1"/>
  <c r="Z239" i="1"/>
  <c r="BN271" i="1"/>
  <c r="BP271" i="1"/>
  <c r="Z271" i="1"/>
  <c r="BN361" i="1"/>
  <c r="BP361" i="1"/>
  <c r="Z361" i="1"/>
  <c r="Y525" i="1"/>
  <c r="BN517" i="1"/>
  <c r="BP517" i="1"/>
  <c r="Z517" i="1"/>
  <c r="Y145" i="1"/>
  <c r="Y161" i="1"/>
  <c r="Y160" i="1"/>
  <c r="BN159" i="1"/>
  <c r="BP159" i="1"/>
  <c r="BP164" i="1"/>
  <c r="Z164" i="1"/>
  <c r="Y167" i="1"/>
  <c r="BP176" i="1"/>
  <c r="BN182" i="1"/>
  <c r="BN208" i="1"/>
  <c r="BP208" i="1"/>
  <c r="Z208" i="1"/>
  <c r="BN247" i="1"/>
  <c r="BP247" i="1"/>
  <c r="Z247" i="1"/>
  <c r="BN279" i="1"/>
  <c r="BP279" i="1"/>
  <c r="Z279" i="1"/>
  <c r="BN427" i="1"/>
  <c r="BP427" i="1"/>
  <c r="Z427" i="1"/>
  <c r="Y543" i="1"/>
  <c r="Y542" i="1"/>
  <c r="BN541" i="1"/>
  <c r="BP541" i="1"/>
  <c r="Z541" i="1"/>
  <c r="Z542" i="1" s="1"/>
  <c r="B564" i="1"/>
  <c r="BN27" i="1"/>
  <c r="Z31" i="1"/>
  <c r="Z39" i="1"/>
  <c r="Z47" i="1"/>
  <c r="Z56" i="1"/>
  <c r="BN66" i="1"/>
  <c r="Z85" i="1"/>
  <c r="Z91" i="1"/>
  <c r="BP91" i="1"/>
  <c r="Z100" i="1"/>
  <c r="Z131" i="1"/>
  <c r="BN142" i="1"/>
  <c r="BP153" i="1"/>
  <c r="Z159" i="1"/>
  <c r="Z160" i="1" s="1"/>
  <c r="Z176" i="1"/>
  <c r="BN190" i="1"/>
  <c r="BN223" i="1"/>
  <c r="BP223" i="1"/>
  <c r="Z223" i="1"/>
  <c r="BN287" i="1"/>
  <c r="BP287" i="1"/>
  <c r="Z287" i="1"/>
  <c r="BN302" i="1"/>
  <c r="BP302" i="1"/>
  <c r="Z302" i="1"/>
  <c r="BN327" i="1"/>
  <c r="BP327" i="1"/>
  <c r="Z327" i="1"/>
  <c r="BN381" i="1"/>
  <c r="BP381" i="1"/>
  <c r="Z381" i="1"/>
  <c r="BN456" i="1"/>
  <c r="BP456" i="1"/>
  <c r="Z456" i="1"/>
  <c r="Z564" i="1"/>
  <c r="Y488" i="1"/>
  <c r="BN487" i="1"/>
  <c r="BP487" i="1"/>
  <c r="Z487" i="1"/>
  <c r="Z488" i="1" s="1"/>
  <c r="BN505" i="1"/>
  <c r="BP505" i="1"/>
  <c r="Z505" i="1"/>
  <c r="Z206" i="1"/>
  <c r="Z221" i="1"/>
  <c r="Z229" i="1"/>
  <c r="Z262" i="1"/>
  <c r="Y275" i="1"/>
  <c r="Z269" i="1"/>
  <c r="Z285" i="1"/>
  <c r="Z300" i="1"/>
  <c r="Z325" i="1"/>
  <c r="Z334" i="1"/>
  <c r="Z343" i="1"/>
  <c r="Z373" i="1"/>
  <c r="Z379" i="1"/>
  <c r="Z387" i="1"/>
  <c r="Z395" i="1"/>
  <c r="Z401" i="1"/>
  <c r="Y409" i="1"/>
  <c r="Z407" i="1"/>
  <c r="Z433" i="1"/>
  <c r="Z439" i="1"/>
  <c r="Y447" i="1"/>
  <c r="Z445" i="1"/>
  <c r="Z460" i="1"/>
  <c r="Z461" i="1" s="1"/>
  <c r="BP460" i="1"/>
  <c r="Y495" i="1"/>
  <c r="Z493" i="1"/>
  <c r="Z503" i="1"/>
  <c r="Z523" i="1"/>
  <c r="Z180" i="1"/>
  <c r="Z196" i="1"/>
  <c r="Z212" i="1"/>
  <c r="Z227" i="1"/>
  <c r="Z267" i="1"/>
  <c r="BP267" i="1"/>
  <c r="Z283" i="1"/>
  <c r="Z341" i="1"/>
  <c r="Z349" i="1"/>
  <c r="Z365" i="1"/>
  <c r="Y377" i="1"/>
  <c r="Z371" i="1"/>
  <c r="Z393" i="1"/>
  <c r="Z399" i="1"/>
  <c r="Z402" i="1" s="1"/>
  <c r="Z405" i="1"/>
  <c r="BP405" i="1"/>
  <c r="Z431" i="1"/>
  <c r="Z437" i="1"/>
  <c r="Z443" i="1"/>
  <c r="BP443" i="1"/>
  <c r="Y468" i="1"/>
  <c r="Z466" i="1"/>
  <c r="Z476" i="1"/>
  <c r="Z491" i="1"/>
  <c r="BP491" i="1"/>
  <c r="Z501" i="1"/>
  <c r="Z521" i="1"/>
  <c r="Z529" i="1"/>
  <c r="Z530" i="1" s="1"/>
  <c r="Z537" i="1"/>
  <c r="Z538" i="1" s="1"/>
  <c r="BP537" i="1"/>
  <c r="Z545" i="1"/>
  <c r="X557" i="1"/>
  <c r="Y42" i="1"/>
  <c r="Y52" i="1"/>
  <c r="Y63" i="1"/>
  <c r="Y71" i="1"/>
  <c r="Y75" i="1"/>
  <c r="Y81" i="1"/>
  <c r="Y88" i="1"/>
  <c r="Y96" i="1"/>
  <c r="Y107" i="1"/>
  <c r="Y115" i="1"/>
  <c r="Y121" i="1"/>
  <c r="Y132" i="1"/>
  <c r="BP150" i="1"/>
  <c r="BN150" i="1"/>
  <c r="Z150" i="1"/>
  <c r="BP154" i="1"/>
  <c r="BN154" i="1"/>
  <c r="Z154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191" i="1"/>
  <c r="BN191" i="1"/>
  <c r="Z191" i="1"/>
  <c r="Y193" i="1"/>
  <c r="Y198" i="1"/>
  <c r="BP195" i="1"/>
  <c r="BN195" i="1"/>
  <c r="Z195" i="1"/>
  <c r="Z197" i="1" s="1"/>
  <c r="BP209" i="1"/>
  <c r="BN209" i="1"/>
  <c r="Z209" i="1"/>
  <c r="Y213" i="1"/>
  <c r="BP222" i="1"/>
  <c r="BN222" i="1"/>
  <c r="Z222" i="1"/>
  <c r="BP226" i="1"/>
  <c r="BN226" i="1"/>
  <c r="Z226" i="1"/>
  <c r="BP230" i="1"/>
  <c r="BN230" i="1"/>
  <c r="Z230" i="1"/>
  <c r="BP234" i="1"/>
  <c r="BN234" i="1"/>
  <c r="Z234" i="1"/>
  <c r="Y236" i="1"/>
  <c r="Y243" i="1"/>
  <c r="BP238" i="1"/>
  <c r="BN238" i="1"/>
  <c r="Z238" i="1"/>
  <c r="BP242" i="1"/>
  <c r="BN242" i="1"/>
  <c r="Z242" i="1"/>
  <c r="Y244" i="1"/>
  <c r="Y249" i="1"/>
  <c r="BP246" i="1"/>
  <c r="BN246" i="1"/>
  <c r="Z246" i="1"/>
  <c r="BP263" i="1"/>
  <c r="BN263" i="1"/>
  <c r="Z263" i="1"/>
  <c r="BP270" i="1"/>
  <c r="BN270" i="1"/>
  <c r="Z270" i="1"/>
  <c r="BP274" i="1"/>
  <c r="BN274" i="1"/>
  <c r="Z274" i="1"/>
  <c r="Y276" i="1"/>
  <c r="Y291" i="1"/>
  <c r="BP278" i="1"/>
  <c r="BN278" i="1"/>
  <c r="Z278" i="1"/>
  <c r="BP282" i="1"/>
  <c r="BN282" i="1"/>
  <c r="Z282" i="1"/>
  <c r="BP286" i="1"/>
  <c r="BN286" i="1"/>
  <c r="Z286" i="1"/>
  <c r="Y290" i="1"/>
  <c r="BP294" i="1"/>
  <c r="BN294" i="1"/>
  <c r="Z294" i="1"/>
  <c r="Y296" i="1"/>
  <c r="Y306" i="1"/>
  <c r="BP299" i="1"/>
  <c r="BN299" i="1"/>
  <c r="Z299" i="1"/>
  <c r="O564" i="1"/>
  <c r="Y307" i="1"/>
  <c r="BP303" i="1"/>
  <c r="BN303" i="1"/>
  <c r="Z303" i="1"/>
  <c r="BP319" i="1"/>
  <c r="BN319" i="1"/>
  <c r="Z319" i="1"/>
  <c r="Y321" i="1"/>
  <c r="P564" i="1"/>
  <c r="Y329" i="1"/>
  <c r="BP324" i="1"/>
  <c r="BN324" i="1"/>
  <c r="Z324" i="1"/>
  <c r="BP328" i="1"/>
  <c r="BN328" i="1"/>
  <c r="Z328" i="1"/>
  <c r="Y330" i="1"/>
  <c r="Q564" i="1"/>
  <c r="Y336" i="1"/>
  <c r="BP333" i="1"/>
  <c r="BN333" i="1"/>
  <c r="Z333" i="1"/>
  <c r="Y337" i="1"/>
  <c r="BP342" i="1"/>
  <c r="BN342" i="1"/>
  <c r="Z342" i="1"/>
  <c r="BP355" i="1"/>
  <c r="BN355" i="1"/>
  <c r="Z355" i="1"/>
  <c r="Z357" i="1" s="1"/>
  <c r="Y357" i="1"/>
  <c r="BP372" i="1"/>
  <c r="BN372" i="1"/>
  <c r="Z372" i="1"/>
  <c r="Y376" i="1"/>
  <c r="BP380" i="1"/>
  <c r="BN380" i="1"/>
  <c r="Z380" i="1"/>
  <c r="Y384" i="1"/>
  <c r="BP388" i="1"/>
  <c r="BN388" i="1"/>
  <c r="Z388" i="1"/>
  <c r="Y390" i="1"/>
  <c r="Y397" i="1"/>
  <c r="BP392" i="1"/>
  <c r="BN392" i="1"/>
  <c r="Z392" i="1"/>
  <c r="Y396" i="1"/>
  <c r="BP400" i="1"/>
  <c r="BN400" i="1"/>
  <c r="Z400" i="1"/>
  <c r="F564" i="1"/>
  <c r="H9" i="1"/>
  <c r="A10" i="1"/>
  <c r="Y24" i="1"/>
  <c r="Y32" i="1"/>
  <c r="F9" i="1"/>
  <c r="J9" i="1"/>
  <c r="Z22" i="1"/>
  <c r="Z24" i="1" s="1"/>
  <c r="BN22" i="1"/>
  <c r="BP22" i="1"/>
  <c r="X558" i="1"/>
  <c r="Y25" i="1"/>
  <c r="Z28" i="1"/>
  <c r="BN28" i="1"/>
  <c r="Z30" i="1"/>
  <c r="BN30" i="1"/>
  <c r="C564" i="1"/>
  <c r="Z38" i="1"/>
  <c r="BN38" i="1"/>
  <c r="Z40" i="1"/>
  <c r="BN40" i="1"/>
  <c r="Y43" i="1"/>
  <c r="D564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BN73" i="1"/>
  <c r="BP73" i="1"/>
  <c r="Z79" i="1"/>
  <c r="Z80" i="1" s="1"/>
  <c r="BN79" i="1"/>
  <c r="Z84" i="1"/>
  <c r="BN84" i="1"/>
  <c r="BP84" i="1"/>
  <c r="Z86" i="1"/>
  <c r="BN86" i="1"/>
  <c r="Z92" i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Z117" i="1"/>
  <c r="BN117" i="1"/>
  <c r="BP117" i="1"/>
  <c r="Z119" i="1"/>
  <c r="BN119" i="1"/>
  <c r="H564" i="1"/>
  <c r="Z130" i="1"/>
  <c r="BN130" i="1"/>
  <c r="Y133" i="1"/>
  <c r="Y140" i="1"/>
  <c r="Z136" i="1"/>
  <c r="Z139" i="1" s="1"/>
  <c r="BN136" i="1"/>
  <c r="BP137" i="1"/>
  <c r="BN137" i="1"/>
  <c r="Y139" i="1"/>
  <c r="BP143" i="1"/>
  <c r="BN143" i="1"/>
  <c r="Z143" i="1"/>
  <c r="Z145" i="1" s="1"/>
  <c r="BP152" i="1"/>
  <c r="BN152" i="1"/>
  <c r="Z152" i="1"/>
  <c r="Y156" i="1"/>
  <c r="BP165" i="1"/>
  <c r="BN165" i="1"/>
  <c r="Z165" i="1"/>
  <c r="Z167" i="1" s="1"/>
  <c r="Y172" i="1"/>
  <c r="BP177" i="1"/>
  <c r="BN177" i="1"/>
  <c r="Z177" i="1"/>
  <c r="BP181" i="1"/>
  <c r="BN181" i="1"/>
  <c r="Z181" i="1"/>
  <c r="BP185" i="1"/>
  <c r="BN185" i="1"/>
  <c r="Z185" i="1"/>
  <c r="Y187" i="1"/>
  <c r="Y192" i="1"/>
  <c r="BP189" i="1"/>
  <c r="BN189" i="1"/>
  <c r="Z189" i="1"/>
  <c r="Y197" i="1"/>
  <c r="BP207" i="1"/>
  <c r="BN207" i="1"/>
  <c r="Z207" i="1"/>
  <c r="BP211" i="1"/>
  <c r="BN211" i="1"/>
  <c r="Z211" i="1"/>
  <c r="Z213" i="1" s="1"/>
  <c r="Y235" i="1"/>
  <c r="BP224" i="1"/>
  <c r="BN224" i="1"/>
  <c r="Z224" i="1"/>
  <c r="BP228" i="1"/>
  <c r="BN228" i="1"/>
  <c r="Z228" i="1"/>
  <c r="BP232" i="1"/>
  <c r="BN232" i="1"/>
  <c r="Z232" i="1"/>
  <c r="BP240" i="1"/>
  <c r="BN240" i="1"/>
  <c r="Z240" i="1"/>
  <c r="BP248" i="1"/>
  <c r="BN248" i="1"/>
  <c r="Z248" i="1"/>
  <c r="Y250" i="1"/>
  <c r="Y253" i="1"/>
  <c r="BP252" i="1"/>
  <c r="BN252" i="1"/>
  <c r="Z252" i="1"/>
  <c r="Z253" i="1" s="1"/>
  <c r="Y254" i="1"/>
  <c r="M564" i="1"/>
  <c r="Y260" i="1"/>
  <c r="BP257" i="1"/>
  <c r="BN257" i="1"/>
  <c r="Z257" i="1"/>
  <c r="Z259" i="1" s="1"/>
  <c r="BP364" i="1"/>
  <c r="BN364" i="1"/>
  <c r="Z364" i="1"/>
  <c r="BP450" i="1"/>
  <c r="BN450" i="1"/>
  <c r="Z450" i="1"/>
  <c r="Z451" i="1" s="1"/>
  <c r="Y452" i="1"/>
  <c r="X564" i="1"/>
  <c r="Y458" i="1"/>
  <c r="BP455" i="1"/>
  <c r="BN455" i="1"/>
  <c r="Z455" i="1"/>
  <c r="Y457" i="1"/>
  <c r="BP520" i="1"/>
  <c r="BN520" i="1"/>
  <c r="Z520" i="1"/>
  <c r="Y524" i="1"/>
  <c r="BP546" i="1"/>
  <c r="BN546" i="1"/>
  <c r="Z546" i="1"/>
  <c r="Z547" i="1" s="1"/>
  <c r="Y548" i="1"/>
  <c r="Y552" i="1"/>
  <c r="BP551" i="1"/>
  <c r="BN551" i="1"/>
  <c r="Z551" i="1"/>
  <c r="Z552" i="1" s="1"/>
  <c r="AC564" i="1"/>
  <c r="Y553" i="1"/>
  <c r="W564" i="1"/>
  <c r="I564" i="1"/>
  <c r="Y157" i="1"/>
  <c r="J564" i="1"/>
  <c r="Y168" i="1"/>
  <c r="K564" i="1"/>
  <c r="Y214" i="1"/>
  <c r="L564" i="1"/>
  <c r="Y219" i="1"/>
  <c r="Y265" i="1"/>
  <c r="Y264" i="1"/>
  <c r="BP268" i="1"/>
  <c r="BN268" i="1"/>
  <c r="Z268" i="1"/>
  <c r="Z275" i="1" s="1"/>
  <c r="BP272" i="1"/>
  <c r="BN272" i="1"/>
  <c r="Z272" i="1"/>
  <c r="BP280" i="1"/>
  <c r="BN280" i="1"/>
  <c r="Z280" i="1"/>
  <c r="BP284" i="1"/>
  <c r="BN284" i="1"/>
  <c r="Z284" i="1"/>
  <c r="BP288" i="1"/>
  <c r="BN288" i="1"/>
  <c r="Z288" i="1"/>
  <c r="Y295" i="1"/>
  <c r="BP301" i="1"/>
  <c r="BN301" i="1"/>
  <c r="Z301" i="1"/>
  <c r="BP305" i="1"/>
  <c r="BN305" i="1"/>
  <c r="Z305" i="1"/>
  <c r="Y310" i="1"/>
  <c r="BP309" i="1"/>
  <c r="BN309" i="1"/>
  <c r="Z309" i="1"/>
  <c r="Z310" i="1" s="1"/>
  <c r="Y311" i="1"/>
  <c r="Y314" i="1"/>
  <c r="BP313" i="1"/>
  <c r="BN313" i="1"/>
  <c r="Z313" i="1"/>
  <c r="Z314" i="1" s="1"/>
  <c r="Y315" i="1"/>
  <c r="Y320" i="1"/>
  <c r="BP317" i="1"/>
  <c r="BN317" i="1"/>
  <c r="Z317" i="1"/>
  <c r="BP326" i="1"/>
  <c r="BN326" i="1"/>
  <c r="Z326" i="1"/>
  <c r="BP335" i="1"/>
  <c r="BN335" i="1"/>
  <c r="Z335" i="1"/>
  <c r="R564" i="1"/>
  <c r="Y345" i="1"/>
  <c r="BP340" i="1"/>
  <c r="BN340" i="1"/>
  <c r="Z340" i="1"/>
  <c r="Z345" i="1" s="1"/>
  <c r="BP344" i="1"/>
  <c r="BN344" i="1"/>
  <c r="Z344" i="1"/>
  <c r="Y346" i="1"/>
  <c r="Y351" i="1"/>
  <c r="BP348" i="1"/>
  <c r="BN348" i="1"/>
  <c r="Z348" i="1"/>
  <c r="Z350" i="1" s="1"/>
  <c r="S564" i="1"/>
  <c r="BP362" i="1"/>
  <c r="BN362" i="1"/>
  <c r="Z362" i="1"/>
  <c r="Z366" i="1" s="1"/>
  <c r="Y366" i="1"/>
  <c r="BP370" i="1"/>
  <c r="BN370" i="1"/>
  <c r="Z370" i="1"/>
  <c r="BP374" i="1"/>
  <c r="BN374" i="1"/>
  <c r="Z374" i="1"/>
  <c r="Y383" i="1"/>
  <c r="BP382" i="1"/>
  <c r="BN382" i="1"/>
  <c r="Z382" i="1"/>
  <c r="Y389" i="1"/>
  <c r="BP386" i="1"/>
  <c r="BN386" i="1"/>
  <c r="Z386" i="1"/>
  <c r="BP394" i="1"/>
  <c r="BN394" i="1"/>
  <c r="Z394" i="1"/>
  <c r="U564" i="1"/>
  <c r="Y414" i="1"/>
  <c r="BP412" i="1"/>
  <c r="BN412" i="1"/>
  <c r="Z412" i="1"/>
  <c r="Y415" i="1"/>
  <c r="BP420" i="1"/>
  <c r="BN420" i="1"/>
  <c r="Z420" i="1"/>
  <c r="Y422" i="1"/>
  <c r="Y435" i="1"/>
  <c r="BP426" i="1"/>
  <c r="BN426" i="1"/>
  <c r="Z426" i="1"/>
  <c r="BP430" i="1"/>
  <c r="BN430" i="1"/>
  <c r="Z430" i="1"/>
  <c r="Y434" i="1"/>
  <c r="BP438" i="1"/>
  <c r="BN438" i="1"/>
  <c r="Z438" i="1"/>
  <c r="Y440" i="1"/>
  <c r="BP473" i="1"/>
  <c r="BN473" i="1"/>
  <c r="Z473" i="1"/>
  <c r="BP477" i="1"/>
  <c r="BN477" i="1"/>
  <c r="Z477" i="1"/>
  <c r="Y479" i="1"/>
  <c r="Y484" i="1"/>
  <c r="BP481" i="1"/>
  <c r="BN481" i="1"/>
  <c r="Z481" i="1"/>
  <c r="Y483" i="1"/>
  <c r="Y358" i="1"/>
  <c r="T564" i="1"/>
  <c r="Y367" i="1"/>
  <c r="Y403" i="1"/>
  <c r="Y402" i="1"/>
  <c r="BP406" i="1"/>
  <c r="BN406" i="1"/>
  <c r="Z406" i="1"/>
  <c r="Z408" i="1" s="1"/>
  <c r="BP413" i="1"/>
  <c r="BN413" i="1"/>
  <c r="Z413" i="1"/>
  <c r="V564" i="1"/>
  <c r="Y421" i="1"/>
  <c r="BP418" i="1"/>
  <c r="BN418" i="1"/>
  <c r="Z418" i="1"/>
  <c r="BP428" i="1"/>
  <c r="BN428" i="1"/>
  <c r="Z428" i="1"/>
  <c r="BP432" i="1"/>
  <c r="BN432" i="1"/>
  <c r="Z432" i="1"/>
  <c r="Y441" i="1"/>
  <c r="BP444" i="1"/>
  <c r="BN444" i="1"/>
  <c r="Z444" i="1"/>
  <c r="Z446" i="1" s="1"/>
  <c r="Y451" i="1"/>
  <c r="BP465" i="1"/>
  <c r="BN465" i="1"/>
  <c r="Z465" i="1"/>
  <c r="Z467" i="1" s="1"/>
  <c r="BP500" i="1"/>
  <c r="BN500" i="1"/>
  <c r="Z500" i="1"/>
  <c r="BP504" i="1"/>
  <c r="BN504" i="1"/>
  <c r="Z504" i="1"/>
  <c r="Y508" i="1"/>
  <c r="BP512" i="1"/>
  <c r="BN512" i="1"/>
  <c r="Z512" i="1"/>
  <c r="Z514" i="1" s="1"/>
  <c r="Y514" i="1"/>
  <c r="AA564" i="1"/>
  <c r="Y478" i="1"/>
  <c r="BP475" i="1"/>
  <c r="BN475" i="1"/>
  <c r="Z475" i="1"/>
  <c r="BP492" i="1"/>
  <c r="BN492" i="1"/>
  <c r="Z492" i="1"/>
  <c r="Y509" i="1"/>
  <c r="BP502" i="1"/>
  <c r="BN502" i="1"/>
  <c r="Z502" i="1"/>
  <c r="BP506" i="1"/>
  <c r="BN506" i="1"/>
  <c r="Z506" i="1"/>
  <c r="Y515" i="1"/>
  <c r="BP518" i="1"/>
  <c r="BN518" i="1"/>
  <c r="Z518" i="1"/>
  <c r="BP522" i="1"/>
  <c r="BN522" i="1"/>
  <c r="Z522" i="1"/>
  <c r="AB564" i="1"/>
  <c r="Y547" i="1"/>
  <c r="Y564" i="1"/>
  <c r="Y489" i="1"/>
  <c r="Y531" i="1"/>
  <c r="Z42" i="1" l="1"/>
  <c r="Z264" i="1"/>
  <c r="Z494" i="1"/>
  <c r="Z483" i="1"/>
  <c r="Z440" i="1"/>
  <c r="Z389" i="1"/>
  <c r="Z383" i="1"/>
  <c r="Z320" i="1"/>
  <c r="Z457" i="1"/>
  <c r="Z95" i="1"/>
  <c r="Z32" i="1"/>
  <c r="Z478" i="1"/>
  <c r="Z508" i="1"/>
  <c r="Z106" i="1"/>
  <c r="Z63" i="1"/>
  <c r="Z524" i="1"/>
  <c r="Z132" i="1"/>
  <c r="Z51" i="1"/>
  <c r="Z235" i="1"/>
  <c r="Z156" i="1"/>
  <c r="Z421" i="1"/>
  <c r="Z376" i="1"/>
  <c r="Z192" i="1"/>
  <c r="Z114" i="1"/>
  <c r="Z75" i="1"/>
  <c r="Z70" i="1"/>
  <c r="Z295" i="1"/>
  <c r="Z434" i="1"/>
  <c r="Y555" i="1"/>
  <c r="Z329" i="1"/>
  <c r="Z306" i="1"/>
  <c r="Z249" i="1"/>
  <c r="Z243" i="1"/>
  <c r="Z414" i="1"/>
  <c r="Z121" i="1"/>
  <c r="Z88" i="1"/>
  <c r="Y554" i="1"/>
  <c r="Y556" i="1"/>
  <c r="Y558" i="1"/>
  <c r="Z396" i="1"/>
  <c r="Z336" i="1"/>
  <c r="Z290" i="1"/>
  <c r="Z186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<sst xmlns="http://schemas.openxmlformats.org/spreadsheetml/2006/main" count="2517" uniqueCount="913">
  <si>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</si>
  <si>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</si>
  <si>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</si>
  <si>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</si>
  <si>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</si>
  <si>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</si>
  <si>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</si>
  <si>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</si>
  <si>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</si>
  <si>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</si>
  <si>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</si>
  <si>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</si>
  <si>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</si>
  <si>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</si>
  <si>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</si>
  <si>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</si>
  <si>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</si>
  <si>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</si>
  <si>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</si>
  <si>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</si>
  <si>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</si>
  <si>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</si>
  <si>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</si>
  <si>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</si>
  <si>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</si>
  <si>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</si>
  <si>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</si>
  <si>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</si>
  <si>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</si>
  <si>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</si>
  <si>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</si>
  <si>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</si>
  <si>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</si>
  <si>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</si>
  <si>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</si>
  <si>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</si>
  <si>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</si>
  <si>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</si>
  <si>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</si>
  <si>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</si>
  <si>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</si>
  <si>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</si>
  <si>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</si>
  <si>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</si>
  <si>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</si>
  <si>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</si>
  <si>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</si>
  <si>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</si>
  <si>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</si>
  <si>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</si>
  <si>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</si>
  <si>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</si>
  <si>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</si>
  <si>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</si>
  <si>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</si>
  <si>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</si>
  <si>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</si>
  <si>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</si>
  <si>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</si>
  <si>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</si>
  <si>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</si>
  <si>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</si>
  <si>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</si>
  <si>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</si>
  <si>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</si>
  <si>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</si>
  <si>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</si>
  <si>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</si>
  <si>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</si>
  <si>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</si>
  <si>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</si>
  <si>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</si>
  <si>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</si>
  <si>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</si>
  <si>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</si>
  <si>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</si>
  <si>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</si>
  <si>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</si>
  <si>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</si>
  <si>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</si>
  <si>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</si>
  <si>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</si>
  <si>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</si>
  <si>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</si>
  <si>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</si>
  <si>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</si>
  <si>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</si>
  <si>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</si>
  <si>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</si>
  <si>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</si>
  <si>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</si>
  <si>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</si>
  <si>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</si>
  <si>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</si>
  <si>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</si>
  <si>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</si>
  <si>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</si>
  <si>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</si>
  <si>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</si>
  <si>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</si>
  <si>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</si>
  <si>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</si>
  <si>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</si>
  <si>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</si>
  <si>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</si>
  <si>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</si>
  <si>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</si>
  <si>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</si>
  <si>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</si>
  <si>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</si>
  <si>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</si>
  <si>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</si>
  <si>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</si>
  <si>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</si>
  <si>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</si>
  <si>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</si>
  <si>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</si>
  <si>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</si>
  <si>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</si>
  <si>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</si>
  <si>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</si>
  <si>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</si>
  <si>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</si>
  <si>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</si>
  <si>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</si>
  <si>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</si>
  <si>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</si>
  <si>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</si>
  <si>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</si>
  <si>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</si>
  <si>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</si>
  <si>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</si>
  <si>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</si>
  <si>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</si>
  <si>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</si>
  <si>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</si>
  <si>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</si>
  <si>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</si>
  <si>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</si>
  <si>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</si>
  <si>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</si>
  <si>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</si>
  <si>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</si>
  <si>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</si>
  <si>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</si>
  <si>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</si>
  <si>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</si>
  <si>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</si>
  <si>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</si>
  <si>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</si>
  <si>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</si>
  <si>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</si>
  <si>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</si>
  <si>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</si>
  <si>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</si>
  <si>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</si>
  <si>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</si>
  <si>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</si>
  <si>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</si>
  <si>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</si>
  <si>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</si>
  <si>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</si>
  <si>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</si>
  <si>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</si>
  <si>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</si>
  <si>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</si>
  <si>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</si>
  <si>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</si>
  <si>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</si>
  <si>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</si>
  <si>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</si>
  <si>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</si>
  <si>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</si>
  <si>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</si>
  <si>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</si>
  <si>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</si>
  <si>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</si>
  <si>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</si>
  <si>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</si>
  <si>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</si>
  <si>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</si>
  <si>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</si>
  <si>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</si>
  <si>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</si>
  <si>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</si>
  <si>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</si>
  <si>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</si>
  <si>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</si>
  <si>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</si>
  <si>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</si>
  <si>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</si>
  <si>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</si>
  <si>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</si>
  <si>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</si>
  <si>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</si>
  <si>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</si>
  <si>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</si>
  <si>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</si>
  <si>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</si>
  <si>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</si>
  <si>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</si>
  <si>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</si>
  <si>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</si>
  <si>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</si>
  <si>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</si>
  <si>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</si>
  <si>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</si>
  <si>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</si>
  <si>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</si>
  <si>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</si>
  <si>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</si>
  <si>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</si>
  <si>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</si>
  <si>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</si>
  <si>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</si>
  <si>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</si>
  <si>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</si>
  <si>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</si>
  <si>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</si>
  <si>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</si>
  <si>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</si>
  <si>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</si>
  <si>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</si>
  <si>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</si>
  <si>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</si>
  <si>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</si>
  <si>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</si>
  <si>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</si>
  <si>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</si>
  <si>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</si>
  <si>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</si>
  <si>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</si>
  <si>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</si>
  <si>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</si>
  <si>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</si>
  <si>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</si>
  <si>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</si>
  <si>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</si>
  <si>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</si>
  <si>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</si>
  <si>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</si>
  <si>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</si>
  <si>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</si>
  <si>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</si>
  <si>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</si>
  <si>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</si>
  <si>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</si>
  <si>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</si>
  <si>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</si>
  <si>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</si>
  <si>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</si>
  <si>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</si>
  <si>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</si>
  <si>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</si>
  <si>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</si>
  <si>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</si>
  <si>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</si>
  <si>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</si>
  <si>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</si>
  <si>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</si>
  <si>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</si>
  <si>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</si>
  <si>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</si>
  <si>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</si>
  <si>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</si>
  <si>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</si>
  <si>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</si>
  <si>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</si>
  <si>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</si>
  <si>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</si>
  <si>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</si>
  <si>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</si>
  <si>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</si>
  <si>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</si>
  <si>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</si>
  <si>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</si>
  <si>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</si>
  <si>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</si>
  <si>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</si>
  <si>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</si>
  <si>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</si>
  <si>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</si>
  <si>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</si>
  <si>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</si>
  <si>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</si>
  <si>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</si>
  <si>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</si>
  <si>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</si>
  <si>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</si>
  <si>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</si>
  <si>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</si>
  <si>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</si>
  <si>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</si>
  <si>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</si>
  <si>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</si>
  <si>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</si>
  <si>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</si>
  <si>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</si>
  <si>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</si>
  <si>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</si>
  <si>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</si>
  <si>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</si>
  <si>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</si>
  <si>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</si>
  <si>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</si>
  <si>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</si>
  <si>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</si>
  <si>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</si>
  <si>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</si>
  <si>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</si>
  <si>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</si>
  <si>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</si>
  <si>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</si>
  <si>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</si>
  <si>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</si>
  <si>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</si>
  <si>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</si>
  <si>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</si>
  <si>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</si>
  <si>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</si>
  <si>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</si>
  <si>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</si>
  <si>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</si>
  <si>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</si>
  <si>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</si>
  <si>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</si>
  <si>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</si>
  <si>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</si>
  <si>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</si>
  <si>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</si>
  <si>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</si>
  <si>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</si>
  <si>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</si>
  <si>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</si>
  <si>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</si>
  <si>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</si>
  <si>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</si>
  <si>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</si>
  <si>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</si>
  <si>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</si>
  <si>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</si>
  <si>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</si>
  <si>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</si>
  <si>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</si>
  <si>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</si>
  <si>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</si>
  <si>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</si>
  <si>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</si>
  <si>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</si>
  <si>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</si>
  <si>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</si>
  <si>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</si>
  <si>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</si>
  <si>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</si>
  <si>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</si>
  <si>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</si>
  <si>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</si>
  <si>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</si>
  <si>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</si>
  <si>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</si>
  <si>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</si>
  <si>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</si>
  <si>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</si>
  <si>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</si>
  <si>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</si>
  <si>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</si>
  <si>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</si>
  <si>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</si>
  <si>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</si>
  <si>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</si>
  <si>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</si>
  <si>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</si>
  <si>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</si>
  <si>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</si>
  <si>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</si>
  <si>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</si>
  <si>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</si>
  <si>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</si>
  <si>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</si>
  <si>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</si>
  <si>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</si>
  <si>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</si>
  <si>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</si>
  <si>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</si>
  <si>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</si>
  <si>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</si>
  <si>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</si>
  <si>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</si>
  <si>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</si>
  <si>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</si>
  <si>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</si>
  <si>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</si>
  <si>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</si>
  <si>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</si>
  <si>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</si>
  <si>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</si>
  <si>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</si>
  <si>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</si>
  <si>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</si>
  <si>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</si>
  <si>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</si>
  <si>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</si>
  <si>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</si>
  <si>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</si>
  <si>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</si>
  <si>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</si>
  <si>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</si>
  <si>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</si>
  <si>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</si>
  <si>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</si>
  <si>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</si>
  <si>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</si>
  <si>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</si>
  <si>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</si>
  <si>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</si>
  <si>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</si>
  <si>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</si>
  <si>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</si>
  <si>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</si>
  <si>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</si>
  <si>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</si>
  <si>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</si>
  <si>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</si>
  <si>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</si>
  <si>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</si>
  <si>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</si>
  <si>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</si>
  <si>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</si>
  <si>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</si>
  <si>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</si>
  <si>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</si>
  <si>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</si>
  <si>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</si>
  <si>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</si>
  <si>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</si>
  <si>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</si>
  <si>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</si>
  <si>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</si>
  <si>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</si>
  <si>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</si>
  <si>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</si>
  <si>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</si>
  <si>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</si>
  <si>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</si>
  <si>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</si>
  <si>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</si>
  <si>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</si>
  <si>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</si>
  <si>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</si>
  <si>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</si>
  <si>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</si>
  <si>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</si>
  <si>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</si>
  <si>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</si>
  <si>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</si>
  <si>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</si>
  <si>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</si>
  <si>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</si>
  <si>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</si>
  <si>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</si>
  <si>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</si>
  <si>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</si>
  <si>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</si>
  <si>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</si>
  <si>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</si>
  <si>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</si>
  <si>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</si>
  <si>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</si>
  <si>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</si>
  <si>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</si>
  <si>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</si>
  <si>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</si>
  <si>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</si>
  <si>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</si>
  <si>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</si>
  <si>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</si>
  <si>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</si>
  <si>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</si>
  <si>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</si>
  <si>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</si>
  <si>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</si>
  <si>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</si>
  <si>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</si>
  <si>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</si>
  <si>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</si>
  <si>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</si>
  <si>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</si>
  <si>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</si>
  <si>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</si>
  <si>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</si>
  <si>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</si>
  <si>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</si>
  <si>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</si>
  <si>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</si>
  <si>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</si>
  <si>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</si>
  <si>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</si>
  <si>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</si>
  <si>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</si>
  <si>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</si>
  <si>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</si>
  <si>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</si>
  <si>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</si>
  <si>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</si>
  <si>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</si>
  <si>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</si>
  <si>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</si>
  <si>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</si>
  <si>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</si>
  <si>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</si>
  <si>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</si>
  <si>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</si>
  <si>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</si>
  <si>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</si>
  <si>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</si>
  <si>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</si>
  <si>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</si>
  <si>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</si>
  <si>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</si>
  <si>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</si>
  <si>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</si>
  <si>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</si>
  <si>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</si>
  <si>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</si>
  <si>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</si>
  <si>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</si>
  <si>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</si>
  <si>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</si>
  <si>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</si>
  <si>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</si>
  <si>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</si>
  <si>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</si>
  <si>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</si>
  <si>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</si>
  <si>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</si>
  <si>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</si>
  <si>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</si>
  <si>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</si>
  <si>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</si>
  <si>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</si>
  <si>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</si>
  <si>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</si>
  <si>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</si>
  <si>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</si>
  <si>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</si>
  <si>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</si>
  <si>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</si>
  <si>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</si>
  <si>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</si>
  <si>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</si>
  <si>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</si>
  <si>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</si>
  <si>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</si>
  <si>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</si>
  <si>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</si>
  <si>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</si>
  <si>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</si>
  <si>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</si>
  <si>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</si>
  <si>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</si>
  <si>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</si>
  <si>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</si>
  <si>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</si>
  <si>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</si>
  <si>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</si>
  <si>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</si>
  <si>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</si>
  <si>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</si>
  <si>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</si>
  <si>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</si>
  <si>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</si>
  <si>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</si>
  <si>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</si>
  <si>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</si>
  <si>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</si>
  <si>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</si>
  <si>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</si>
  <si>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</si>
  <si>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</si>
  <si>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</si>
  <si>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</si>
  <si>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</si>
  <si>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</si>
  <si>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</si>
  <si>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</si>
  <si>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</si>
  <si>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</si>
  <si>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</si>
  <si>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</si>
  <si>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</si>
  <si>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</si>
  <si>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</si>
  <si>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</si>
  <si>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</si>
  <si>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</si>
  <si>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</si>
  <si>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</si>
  <si>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</si>
  <si>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</si>
  <si>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</si>
  <si>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</si>
  <si>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</si>
  <si>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</si>
  <si>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</si>
  <si>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</si>
  <si>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</si>
  <si>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</si>
  <si>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</si>
  <si>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</si>
  <si>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</si>
  <si>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</si>
  <si>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</si>
  <si>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</si>
  <si>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</si>
  <si>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</si>
  <si>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</si>
  <si>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</si>
  <si>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</si>
  <si>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</si>
  <si>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</si>
  <si>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</si>
  <si>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</si>
  <si>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</si>
  <si>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</si>
  <si>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</si>
  <si>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</si>
  <si>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</si>
  <si>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</si>
  <si>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</si>
  <si>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</si>
  <si>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</si>
  <si>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</si>
  <si>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</si>
  <si>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</si>
  <si>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</si>
  <si>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</si>
  <si>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</si>
  <si>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</si>
  <si>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</si>
  <si>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</si>
  <si>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</si>
  <si>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</si>
  <si>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</si>
  <si>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</si>
  <si>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</si>
  <si>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</si>
  <si>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</si>
  <si>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</si>
  <si>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</si>
  <si>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</si>
  <si>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</si>
  <si>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</si>
  <si>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</si>
  <si>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</si>
  <si>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</si>
  <si>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</si>
  <si>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</si>
  <si>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</si>
  <si>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</si>
  <si>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</si>
  <si>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</si>
  <si>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</si>
  <si>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</si>
  <si>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</si>
  <si>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</si>
  <si>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</si>
  <si>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</si>
  <si>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</si>
  <si>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</si>
  <si>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</si>
  <si>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</si>
  <si>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</si>
  <si>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</si>
  <si>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</si>
  <si>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</si>
  <si>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</si>
  <si>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</si>
  <si>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</si>
  <si>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</si>
  <si>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</si>
  <si>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</si>
  <si>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</si>
  <si>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</si>
  <si>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</si>
  <si>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</si>
  <si>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</si>
  <si>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</si>
  <si>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</si>
  <si>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</si>
  <si>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</si>
  <si>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</si>
  <si>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</si>
  <si>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</si>
  <si>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</si>
  <si>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</si>
  <si>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</si>
  <si>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</si>
  <si>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</si>
  <si>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</si>
  <si>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</si>
  <si>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</si>
  <si>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</si>
  <si>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</si>
  <si>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</si>
  <si>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</si>
  <si>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</si>
  <si>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</si>
  <si>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</si>
  <si>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</si>
  <si>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</si>
  <si>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</si>
  <si>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</si>
  <si>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</si>
  <si>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</si>
  <si>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</si>
  <si>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</si>
  <si>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</si>
  <si>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</si>
  <si>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</si>
  <si>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</si>
  <si>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</si>
  <si>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</si>
  <si>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</si>
  <si>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</si>
  <si>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</si>
  <si>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</si>
  <si>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</si>
  <si>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</si>
  <si>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</si>
  <si>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</si>
  <si>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</si>
  <si>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</si>
  <si>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</si>
  <si>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</si>
  <si>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</si>
  <si>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</si>
  <si>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</si>
  <si>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</si>
  <si>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</si>
  <si>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</si>
  <si>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</si>
  <si>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</si>
  <si>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</si>
  <si>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</si>
  <si>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</si>
  <si>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</si>
  <si>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</si>
  <si>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</si>
  <si>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</si>
  <si>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</si>
  <si>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</si>
  <si>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</si>
  <si>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</si>
  <si>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</si>
  <si>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</si>
  <si>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</si>
  <si>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</si>
  <si>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</si>
  <si>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</si>
  <si>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</si>
  <si>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</si>
  <si>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</si>
  <si>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</si>
  <si>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</si>
  <si>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</si>
  <si>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</si>
  <si>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</si>
  <si>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</si>
  <si>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</si>
  <si>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</si>
  <si>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</si>
  <si>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</si>
  <si>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</si>
  <si>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</si>
  <si>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</si>
  <si>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</si>
  <si>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</si>
  <si>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</si>
  <si>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</si>
  <si>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</si>
  <si>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</si>
  <si>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</si>
  <si>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</si>
  <si>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</si>
  <si>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</si>
  <si>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</si>
  <si>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</si>
  <si>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</si>
  <si>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</si>
  <si>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</si>
  <si>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</si>
  <si>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</si>
  <si>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</si>
  <si>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</si>
  <si>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</si>
  <si>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</si>
  <si>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</si>
  <si>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</si>
  <si>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</si>
  <si>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</si>
  <si>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</si>
  <si>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</si>
  <si>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</si>
  <si>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</si>
  <si>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</si>
  <si>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</si>
  <si>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</si>
  <si>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</si>
  <si>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</si>
  <si>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</si>
  <si>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</si>
  <si>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</si>
  <si>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</si>
  <si>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</si>
  <si>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</si>
  <si>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</si>
  <si>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</si>
  <si>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</si>
  <si>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</si>
  <si>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</si>
  <si>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</si>
  <si>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</si>
  <si>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</si>
  <si>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</si>
  <si>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</si>
  <si>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</si>
  <si>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</si>
  <si>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</si>
  <si>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</si>
  <si>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</si>
  <si>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</si>
  <si>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</si>
  <si>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</si>
  <si>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</si>
  <si>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</si>
  <si>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</si>
  <si>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</si>
  <si>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</si>
  <si>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</si>
  <si>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</si>
  <si>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</si>
  <si>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</si>
  <si>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</si>
  <si>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</si>
  <si>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</si>
  <si>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</si>
  <si>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</si>
  <si>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</si>
  <si>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</si>
  <si>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</si>
  <si>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</si>
  <si>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</si>
  <si>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</si>
  <si>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</si>
  <si>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</si>
  <si>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</si>
  <si>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</si>
  <si>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</si>
  <si>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</si>
  <si>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</si>
  <si>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</si>
  <si>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</si>
  <si>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</si>
  <si>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</si>
  <si>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</si>
  <si>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</si>
  <si>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</si>
  <si>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</si>
  <si>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</si>
  <si>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</si>
  <si>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</si>
  <si>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</si>
  <si>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</si>
  <si>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</si>
  <si>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</si>
  <si>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</si>
  <si>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</si>
  <si>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</si>
  <si>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</si>
  <si>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</si>
  <si>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</si>
  <si>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</si>
  <si>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</si>
  <si>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</si>
  <si>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</si>
  <si>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</si>
  <si>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</si>
  <si>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</si>
  <si>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</si>
  <si>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</si>
  <si>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</si>
  <si>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</si>
  <si>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</si>
  <si>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</si>
  <si>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</si>
  <si>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</si>
  <si>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</si>
  <si>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</si>
  <si>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</si>
  <si>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</si>
  <si>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</si>
  <si>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</si>
  <si>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</si>
  <si>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</si>
  <si>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</si>
  <si>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</si>
  <si>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</si>
  <si>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</si>
  <si>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</si>
  <si>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</si>
  <si>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</si>
  <si>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</si>
  <si>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TSO001081823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</si>
</sst>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Y554" sqref="Y554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46245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887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911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26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27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28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29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30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31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0" t="s">
        <v>35</v>
      </c>
      <c r="D17" s="692" t="s">
        <v>36</v>
      </c>
      <c r="E17" s="749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48"/>
      <c r="R17" s="748"/>
      <c r="S17" s="748"/>
      <c r="T17" s="749"/>
      <c r="U17" s="974" t="s">
        <v>48</v>
      </c>
      <c r="V17" s="665"/>
      <c r="W17" s="692" t="s">
        <v>49</v>
      </c>
      <c r="X17" s="692" t="s">
        <v>50</v>
      </c>
      <c r="Y17" s="975" t="s">
        <v>51</v>
      </c>
      <c r="Z17" s="907" t="s">
        <v>52</v>
      </c>
      <c r="AA17" s="878" t="s">
        <v>53</v>
      </c>
      <c r="AB17" s="878" t="s">
        <v>54</v>
      </c>
      <c r="AC17" s="878" t="s">
        <v>55</v>
      </c>
      <c r="AD17" s="878" t="s">
        <v>56</v>
      </c>
      <c r="AE17" s="962"/>
      <c r="AF17" s="963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58</v>
      </c>
      <c r="V18" s="67" t="s">
        <v>59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60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60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61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71</v>
      </c>
      <c r="Q24" s="642"/>
      <c r="R24" s="642"/>
      <c r="S24" s="642"/>
      <c r="T24" s="642"/>
      <c r="U24" s="642"/>
      <c r="V24" s="643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71</v>
      </c>
      <c r="Q25" s="642"/>
      <c r="R25" s="642"/>
      <c r="S25" s="642"/>
      <c r="T25" s="642"/>
      <c r="U25" s="642"/>
      <c r="V25" s="643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73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71</v>
      </c>
      <c r="Q32" s="642"/>
      <c r="R32" s="642"/>
      <c r="S32" s="642"/>
      <c r="T32" s="642"/>
      <c r="U32" s="642"/>
      <c r="V32" s="643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71</v>
      </c>
      <c r="Q33" s="642"/>
      <c r="R33" s="642"/>
      <c r="S33" s="642"/>
      <c r="T33" s="642"/>
      <c r="U33" s="642"/>
      <c r="V33" s="643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91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92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73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71</v>
      </c>
      <c r="Q42" s="642"/>
      <c r="R42" s="642"/>
      <c r="S42" s="642"/>
      <c r="T42" s="642"/>
      <c r="U42" s="642"/>
      <c r="V42" s="643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71</v>
      </c>
      <c r="Q43" s="642"/>
      <c r="R43" s="642"/>
      <c r="S43" s="642"/>
      <c r="T43" s="642"/>
      <c r="U43" s="642"/>
      <c r="V43" s="643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108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109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66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71</v>
      </c>
      <c r="Q51" s="642"/>
      <c r="R51" s="642"/>
      <c r="S51" s="642"/>
      <c r="T51" s="642"/>
      <c r="U51" s="642"/>
      <c r="V51" s="643"/>
      <c r="W51" s="37" t="s">
        <v>72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hidden="1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71</v>
      </c>
      <c r="Q52" s="642"/>
      <c r="R52" s="642"/>
      <c r="S52" s="642"/>
      <c r="T52" s="642"/>
      <c r="U52" s="642"/>
      <c r="V52" s="643"/>
      <c r="W52" s="37" t="s">
        <v>66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hidden="1" customHeight="1" x14ac:dyDescent="0.25">
      <c r="A53" s="639" t="s">
        <v>125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110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126</v>
      </c>
      <c r="B55" s="54" t="s">
        <v>127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126</v>
      </c>
      <c r="B56" s="54" t="s">
        <v>129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134</v>
      </c>
      <c r="B59" s="54" t="s">
        <v>137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71</v>
      </c>
      <c r="Q63" s="642"/>
      <c r="R63" s="642"/>
      <c r="S63" s="642"/>
      <c r="T63" s="642"/>
      <c r="U63" s="642"/>
      <c r="V63" s="643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71</v>
      </c>
      <c r="Q64" s="642"/>
      <c r="R64" s="642"/>
      <c r="S64" s="642"/>
      <c r="T64" s="642"/>
      <c r="U64" s="642"/>
      <c r="V64" s="643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44" t="s">
        <v>146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147</v>
      </c>
      <c r="B66" s="54" t="s">
        <v>148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152</v>
      </c>
      <c r="B68" s="54" t="s">
        <v>153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155</v>
      </c>
      <c r="B69" s="54" t="s">
        <v>156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71</v>
      </c>
      <c r="Q70" s="642"/>
      <c r="R70" s="642"/>
      <c r="S70" s="642"/>
      <c r="T70" s="642"/>
      <c r="U70" s="642"/>
      <c r="V70" s="643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71</v>
      </c>
      <c r="Q71" s="642"/>
      <c r="R71" s="642"/>
      <c r="S71" s="642"/>
      <c r="T71" s="642"/>
      <c r="U71" s="642"/>
      <c r="V71" s="643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73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71</v>
      </c>
      <c r="Q75" s="642"/>
      <c r="R75" s="642"/>
      <c r="S75" s="642"/>
      <c r="T75" s="642"/>
      <c r="U75" s="642"/>
      <c r="V75" s="643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71</v>
      </c>
      <c r="Q76" s="642"/>
      <c r="R76" s="642"/>
      <c r="S76" s="642"/>
      <c r="T76" s="642"/>
      <c r="U76" s="642"/>
      <c r="V76" s="643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163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164</v>
      </c>
      <c r="B78" s="54" t="s">
        <v>165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71</v>
      </c>
      <c r="Q80" s="642"/>
      <c r="R80" s="642"/>
      <c r="S80" s="642"/>
      <c r="T80" s="642"/>
      <c r="U80" s="642"/>
      <c r="V80" s="643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71</v>
      </c>
      <c r="Q81" s="642"/>
      <c r="R81" s="642"/>
      <c r="S81" s="642"/>
      <c r="T81" s="642"/>
      <c r="U81" s="642"/>
      <c r="V81" s="643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170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110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171</v>
      </c>
      <c r="B84" s="54" t="s">
        <v>172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174</v>
      </c>
      <c r="B85" s="54" t="s">
        <v>175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71</v>
      </c>
      <c r="Q88" s="642"/>
      <c r="R88" s="642"/>
      <c r="S88" s="642"/>
      <c r="T88" s="642"/>
      <c r="U88" s="642"/>
      <c r="V88" s="643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71</v>
      </c>
      <c r="Q89" s="642"/>
      <c r="R89" s="642"/>
      <c r="S89" s="642"/>
      <c r="T89" s="642"/>
      <c r="U89" s="642"/>
      <c r="V89" s="643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44" t="s">
        <v>73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hidden="1" customHeight="1" x14ac:dyDescent="0.25">
      <c r="A91" s="54" t="s">
        <v>181</v>
      </c>
      <c r="B91" s="54" t="s">
        <v>182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188</v>
      </c>
      <c r="B94" s="54" t="s">
        <v>189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71</v>
      </c>
      <c r="Q95" s="642"/>
      <c r="R95" s="642"/>
      <c r="S95" s="642"/>
      <c r="T95" s="642"/>
      <c r="U95" s="642"/>
      <c r="V95" s="643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71</v>
      </c>
      <c r="Q96" s="642"/>
      <c r="R96" s="642"/>
      <c r="S96" s="642"/>
      <c r="T96" s="642"/>
      <c r="U96" s="642"/>
      <c r="V96" s="643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39" t="s">
        <v>191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110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192</v>
      </c>
      <c r="B99" s="54" t="s">
        <v>193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195</v>
      </c>
      <c r="B100" s="54" t="s">
        <v>196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195</v>
      </c>
      <c r="B101" s="54" t="s">
        <v>198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195</v>
      </c>
      <c r="B102" s="54" t="s">
        <v>199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204</v>
      </c>
      <c r="B105" s="54" t="s">
        <v>205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71</v>
      </c>
      <c r="Q106" s="642"/>
      <c r="R106" s="642"/>
      <c r="S106" s="642"/>
      <c r="T106" s="642"/>
      <c r="U106" s="642"/>
      <c r="V106" s="643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71</v>
      </c>
      <c r="Q107" s="642"/>
      <c r="R107" s="642"/>
      <c r="S107" s="642"/>
      <c r="T107" s="642"/>
      <c r="U107" s="642"/>
      <c r="V107" s="643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146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206</v>
      </c>
      <c r="B109" s="54" t="s">
        <v>207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209</v>
      </c>
      <c r="B110" s="54" t="s">
        <v>210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209</v>
      </c>
      <c r="B111" s="54" t="s">
        <v>213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216</v>
      </c>
      <c r="B113" s="54" t="s">
        <v>217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71</v>
      </c>
      <c r="Q114" s="642"/>
      <c r="R114" s="642"/>
      <c r="S114" s="642"/>
      <c r="T114" s="642"/>
      <c r="U114" s="642"/>
      <c r="V114" s="643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71</v>
      </c>
      <c r="Q115" s="642"/>
      <c r="R115" s="642"/>
      <c r="S115" s="642"/>
      <c r="T115" s="642"/>
      <c r="U115" s="642"/>
      <c r="V115" s="643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73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hidden="1" customHeight="1" x14ac:dyDescent="0.25">
      <c r="A117" s="54" t="s">
        <v>218</v>
      </c>
      <c r="B117" s="54" t="s">
        <v>219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223</v>
      </c>
      <c r="B119" s="54" t="s">
        <v>224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66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225</v>
      </c>
      <c r="B120" s="54" t="s">
        <v>226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71</v>
      </c>
      <c r="Q121" s="642"/>
      <c r="R121" s="642"/>
      <c r="S121" s="642"/>
      <c r="T121" s="642"/>
      <c r="U121" s="642"/>
      <c r="V121" s="643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hidden="1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71</v>
      </c>
      <c r="Q122" s="642"/>
      <c r="R122" s="642"/>
      <c r="S122" s="642"/>
      <c r="T122" s="642"/>
      <c r="U122" s="642"/>
      <c r="V122" s="643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163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228</v>
      </c>
      <c r="B124" s="54" t="s">
        <v>229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71</v>
      </c>
      <c r="Q125" s="642"/>
      <c r="R125" s="642"/>
      <c r="S125" s="642"/>
      <c r="T125" s="642"/>
      <c r="U125" s="642"/>
      <c r="V125" s="643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71</v>
      </c>
      <c r="Q126" s="642"/>
      <c r="R126" s="642"/>
      <c r="S126" s="642"/>
      <c r="T126" s="642"/>
      <c r="U126" s="642"/>
      <c r="V126" s="643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231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110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232</v>
      </c>
      <c r="B129" s="54" t="s">
        <v>233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236</v>
      </c>
      <c r="B130" s="54" t="s">
        <v>237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236</v>
      </c>
      <c r="B131" s="54" t="s">
        <v>240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71</v>
      </c>
      <c r="Q132" s="642"/>
      <c r="R132" s="642"/>
      <c r="S132" s="642"/>
      <c r="T132" s="642"/>
      <c r="U132" s="642"/>
      <c r="V132" s="643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71</v>
      </c>
      <c r="Q133" s="642"/>
      <c r="R133" s="642"/>
      <c r="S133" s="642"/>
      <c r="T133" s="642"/>
      <c r="U133" s="642"/>
      <c r="V133" s="643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61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241</v>
      </c>
      <c r="B135" s="54" t="s">
        <v>242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245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244</v>
      </c>
      <c r="B137" s="54" t="s">
        <v>247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248</v>
      </c>
      <c r="B138" s="54" t="s">
        <v>249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71</v>
      </c>
      <c r="Q139" s="642"/>
      <c r="R139" s="642"/>
      <c r="S139" s="642"/>
      <c r="T139" s="642"/>
      <c r="U139" s="642"/>
      <c r="V139" s="643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71</v>
      </c>
      <c r="Q140" s="642"/>
      <c r="R140" s="642"/>
      <c r="S140" s="642"/>
      <c r="T140" s="642"/>
      <c r="U140" s="642"/>
      <c r="V140" s="643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73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250</v>
      </c>
      <c r="B142" s="54" t="s">
        <v>251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252</v>
      </c>
      <c r="B143" s="54" t="s">
        <v>253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252</v>
      </c>
      <c r="B144" s="54" t="s">
        <v>254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71</v>
      </c>
      <c r="Q145" s="642"/>
      <c r="R145" s="642"/>
      <c r="S145" s="642"/>
      <c r="T145" s="642"/>
      <c r="U145" s="642"/>
      <c r="V145" s="643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71</v>
      </c>
      <c r="Q146" s="642"/>
      <c r="R146" s="642"/>
      <c r="S146" s="642"/>
      <c r="T146" s="642"/>
      <c r="U146" s="642"/>
      <c r="V146" s="643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255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73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256</v>
      </c>
      <c r="B149" s="54" t="s">
        <v>257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259</v>
      </c>
      <c r="B150" s="54" t="s">
        <v>260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259</v>
      </c>
      <c r="B151" s="54" t="s">
        <v>262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270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71</v>
      </c>
      <c r="Q156" s="642"/>
      <c r="R156" s="642"/>
      <c r="S156" s="642"/>
      <c r="T156" s="642"/>
      <c r="U156" s="642"/>
      <c r="V156" s="643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71</v>
      </c>
      <c r="Q157" s="642"/>
      <c r="R157" s="642"/>
      <c r="S157" s="642"/>
      <c r="T157" s="642"/>
      <c r="U157" s="642"/>
      <c r="V157" s="643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271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272</v>
      </c>
      <c r="B159" s="54" t="s">
        <v>273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71</v>
      </c>
      <c r="Q160" s="642"/>
      <c r="R160" s="642"/>
      <c r="S160" s="642"/>
      <c r="T160" s="642"/>
      <c r="U160" s="642"/>
      <c r="V160" s="643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71</v>
      </c>
      <c r="Q161" s="642"/>
      <c r="R161" s="642"/>
      <c r="S161" s="642"/>
      <c r="T161" s="642"/>
      <c r="U161" s="642"/>
      <c r="V161" s="643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108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110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278</v>
      </c>
      <c r="B164" s="54" t="s">
        <v>279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281</v>
      </c>
      <c r="B165" s="54" t="s">
        <v>282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284</v>
      </c>
      <c r="B166" s="54" t="s">
        <v>285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71</v>
      </c>
      <c r="Q167" s="642"/>
      <c r="R167" s="642"/>
      <c r="S167" s="642"/>
      <c r="T167" s="642"/>
      <c r="U167" s="642"/>
      <c r="V167" s="643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71</v>
      </c>
      <c r="Q168" s="642"/>
      <c r="R168" s="642"/>
      <c r="S168" s="642"/>
      <c r="T168" s="642"/>
      <c r="U168" s="642"/>
      <c r="V168" s="643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146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287</v>
      </c>
      <c r="B170" s="54" t="s">
        <v>288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71</v>
      </c>
      <c r="Q172" s="642"/>
      <c r="R172" s="642"/>
      <c r="S172" s="642"/>
      <c r="T172" s="642"/>
      <c r="U172" s="642"/>
      <c r="V172" s="643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71</v>
      </c>
      <c r="Q173" s="642"/>
      <c r="R173" s="642"/>
      <c r="S173" s="642"/>
      <c r="T173" s="642"/>
      <c r="U173" s="642"/>
      <c r="V173" s="643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61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hidden="1" customHeight="1" x14ac:dyDescent="0.25">
      <c r="A175" s="54" t="s">
        <v>293</v>
      </c>
      <c r="B175" s="54" t="s">
        <v>294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305</v>
      </c>
      <c r="B179" s="54" t="s">
        <v>306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310</v>
      </c>
      <c r="B182" s="54" t="s">
        <v>313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71</v>
      </c>
      <c r="Q186" s="642"/>
      <c r="R186" s="642"/>
      <c r="S186" s="642"/>
      <c r="T186" s="642"/>
      <c r="U186" s="642"/>
      <c r="V186" s="643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71</v>
      </c>
      <c r="Q187" s="642"/>
      <c r="R187" s="642"/>
      <c r="S187" s="642"/>
      <c r="T187" s="642"/>
      <c r="U187" s="642"/>
      <c r="V187" s="643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44" t="s">
        <v>73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321</v>
      </c>
      <c r="B189" s="54" t="s">
        <v>322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324</v>
      </c>
      <c r="B190" s="54" t="s">
        <v>325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327</v>
      </c>
      <c r="B191" s="54" t="s">
        <v>328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71</v>
      </c>
      <c r="Q192" s="642"/>
      <c r="R192" s="642"/>
      <c r="S192" s="642"/>
      <c r="T192" s="642"/>
      <c r="U192" s="642"/>
      <c r="V192" s="643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71</v>
      </c>
      <c r="Q193" s="642"/>
      <c r="R193" s="642"/>
      <c r="S193" s="642"/>
      <c r="T193" s="642"/>
      <c r="U193" s="642"/>
      <c r="V193" s="643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271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330</v>
      </c>
      <c r="B195" s="54" t="s">
        <v>331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334</v>
      </c>
      <c r="B196" s="54" t="s">
        <v>335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71</v>
      </c>
      <c r="Q197" s="642"/>
      <c r="R197" s="642"/>
      <c r="S197" s="642"/>
      <c r="T197" s="642"/>
      <c r="U197" s="642"/>
      <c r="V197" s="643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71</v>
      </c>
      <c r="Q198" s="642"/>
      <c r="R198" s="642"/>
      <c r="S198" s="642"/>
      <c r="T198" s="642"/>
      <c r="U198" s="642"/>
      <c r="V198" s="643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337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338</v>
      </c>
      <c r="B200" s="54" t="s">
        <v>339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71</v>
      </c>
      <c r="Q201" s="642"/>
      <c r="R201" s="642"/>
      <c r="S201" s="642"/>
      <c r="T201" s="642"/>
      <c r="U201" s="642"/>
      <c r="V201" s="643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71</v>
      </c>
      <c r="Q202" s="642"/>
      <c r="R202" s="642"/>
      <c r="S202" s="642"/>
      <c r="T202" s="642"/>
      <c r="U202" s="642"/>
      <c r="V202" s="643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341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342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110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343</v>
      </c>
      <c r="B206" s="54" t="s">
        <v>344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354</v>
      </c>
      <c r="B210" s="54" t="s">
        <v>355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360</v>
      </c>
      <c r="B212" s="54" t="s">
        <v>361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71</v>
      </c>
      <c r="Q213" s="642"/>
      <c r="R213" s="642"/>
      <c r="S213" s="642"/>
      <c r="T213" s="642"/>
      <c r="U213" s="642"/>
      <c r="V213" s="643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71</v>
      </c>
      <c r="Q214" s="642"/>
      <c r="R214" s="642"/>
      <c r="S214" s="642"/>
      <c r="T214" s="642"/>
      <c r="U214" s="642"/>
      <c r="V214" s="643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363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146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364</v>
      </c>
      <c r="B217" s="54" t="s">
        <v>365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71</v>
      </c>
      <c r="Q218" s="642"/>
      <c r="R218" s="642"/>
      <c r="S218" s="642"/>
      <c r="T218" s="642"/>
      <c r="U218" s="642"/>
      <c r="V218" s="643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71</v>
      </c>
      <c r="Q219" s="642"/>
      <c r="R219" s="642"/>
      <c r="S219" s="642"/>
      <c r="T219" s="642"/>
      <c r="U219" s="642"/>
      <c r="V219" s="643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61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367</v>
      </c>
      <c r="B221" s="54" t="s">
        <v>368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376</v>
      </c>
      <c r="B224" s="54" t="s">
        <v>377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398</v>
      </c>
      <c r="B232" s="54" t="s">
        <v>399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71</v>
      </c>
      <c r="Q235" s="642"/>
      <c r="R235" s="642"/>
      <c r="S235" s="642"/>
      <c r="T235" s="642"/>
      <c r="U235" s="642"/>
      <c r="V235" s="643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71</v>
      </c>
      <c r="Q236" s="642"/>
      <c r="R236" s="642"/>
      <c r="S236" s="642"/>
      <c r="T236" s="642"/>
      <c r="U236" s="642"/>
      <c r="V236" s="643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44" t="s">
        <v>73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405</v>
      </c>
      <c r="B238" s="54" t="s">
        <v>406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71</v>
      </c>
      <c r="Q243" s="642"/>
      <c r="R243" s="642"/>
      <c r="S243" s="642"/>
      <c r="T243" s="642"/>
      <c r="U243" s="642"/>
      <c r="V243" s="643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71</v>
      </c>
      <c r="Q244" s="642"/>
      <c r="R244" s="642"/>
      <c r="S244" s="642"/>
      <c r="T244" s="642"/>
      <c r="U244" s="642"/>
      <c r="V244" s="643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271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419</v>
      </c>
      <c r="B246" s="54" t="s">
        <v>420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425</v>
      </c>
      <c r="B248" s="54" t="s">
        <v>426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71</v>
      </c>
      <c r="Q249" s="642"/>
      <c r="R249" s="642"/>
      <c r="S249" s="642"/>
      <c r="T249" s="642"/>
      <c r="U249" s="642"/>
      <c r="V249" s="643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71</v>
      </c>
      <c r="Q250" s="642"/>
      <c r="R250" s="642"/>
      <c r="S250" s="642"/>
      <c r="T250" s="642"/>
      <c r="U250" s="642"/>
      <c r="V250" s="643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427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428</v>
      </c>
      <c r="B252" s="54" t="s">
        <v>429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71</v>
      </c>
      <c r="Q253" s="642"/>
      <c r="R253" s="642"/>
      <c r="S253" s="642"/>
      <c r="T253" s="642"/>
      <c r="U253" s="642"/>
      <c r="V253" s="643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71</v>
      </c>
      <c r="Q254" s="642"/>
      <c r="R254" s="642"/>
      <c r="S254" s="642"/>
      <c r="T254" s="642"/>
      <c r="U254" s="642"/>
      <c r="V254" s="643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430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110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431</v>
      </c>
      <c r="B257" s="54" t="s">
        <v>432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434</v>
      </c>
      <c r="B258" s="54" t="s">
        <v>435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71</v>
      </c>
      <c r="Q259" s="642"/>
      <c r="R259" s="642"/>
      <c r="S259" s="642"/>
      <c r="T259" s="642"/>
      <c r="U259" s="642"/>
      <c r="V259" s="643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71</v>
      </c>
      <c r="Q260" s="642"/>
      <c r="R260" s="642"/>
      <c r="S260" s="642"/>
      <c r="T260" s="642"/>
      <c r="U260" s="642"/>
      <c r="V260" s="643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146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436</v>
      </c>
      <c r="B262" s="54" t="s">
        <v>437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439</v>
      </c>
      <c r="B263" s="54" t="s">
        <v>440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71</v>
      </c>
      <c r="Q264" s="642"/>
      <c r="R264" s="642"/>
      <c r="S264" s="642"/>
      <c r="T264" s="642"/>
      <c r="U264" s="642"/>
      <c r="V264" s="643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71</v>
      </c>
      <c r="Q265" s="642"/>
      <c r="R265" s="642"/>
      <c r="S265" s="642"/>
      <c r="T265" s="642"/>
      <c r="U265" s="642"/>
      <c r="V265" s="643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61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441</v>
      </c>
      <c r="B267" s="54" t="s">
        <v>442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444</v>
      </c>
      <c r="B268" s="54" t="s">
        <v>445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447</v>
      </c>
      <c r="B269" s="54" t="s">
        <v>448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457</v>
      </c>
      <c r="B273" s="54" t="s">
        <v>458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459</v>
      </c>
      <c r="B274" s="54" t="s">
        <v>460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71</v>
      </c>
      <c r="Q275" s="642"/>
      <c r="R275" s="642"/>
      <c r="S275" s="642"/>
      <c r="T275" s="642"/>
      <c r="U275" s="642"/>
      <c r="V275" s="643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71</v>
      </c>
      <c r="Q276" s="642"/>
      <c r="R276" s="642"/>
      <c r="S276" s="642"/>
      <c r="T276" s="642"/>
      <c r="U276" s="642"/>
      <c r="V276" s="643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44" t="s">
        <v>73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461</v>
      </c>
      <c r="B278" s="54" t="s">
        <v>462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464</v>
      </c>
      <c r="B279" s="54" t="s">
        <v>465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467</v>
      </c>
      <c r="B280" s="54" t="s">
        <v>468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474</v>
      </c>
      <c r="B283" s="54" t="s">
        <v>475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483</v>
      </c>
      <c r="B287" s="54" t="s">
        <v>484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71</v>
      </c>
      <c r="Q290" s="642"/>
      <c r="R290" s="642"/>
      <c r="S290" s="642"/>
      <c r="T290" s="642"/>
      <c r="U290" s="642"/>
      <c r="V290" s="643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71</v>
      </c>
      <c r="Q291" s="642"/>
      <c r="R291" s="642"/>
      <c r="S291" s="642"/>
      <c r="T291" s="642"/>
      <c r="U291" s="642"/>
      <c r="V291" s="643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163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492</v>
      </c>
      <c r="B293" s="54" t="s">
        <v>493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495</v>
      </c>
      <c r="B294" s="54" t="s">
        <v>496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71</v>
      </c>
      <c r="Q295" s="642"/>
      <c r="R295" s="642"/>
      <c r="S295" s="642"/>
      <c r="T295" s="642"/>
      <c r="U295" s="642"/>
      <c r="V295" s="643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71</v>
      </c>
      <c r="Q296" s="642"/>
      <c r="R296" s="642"/>
      <c r="S296" s="642"/>
      <c r="T296" s="642"/>
      <c r="U296" s="642"/>
      <c r="V296" s="643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498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110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499</v>
      </c>
      <c r="B299" s="54" t="s">
        <v>500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502</v>
      </c>
      <c r="B300" s="54" t="s">
        <v>503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509</v>
      </c>
      <c r="B303" s="54" t="s">
        <v>510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71</v>
      </c>
      <c r="Q306" s="642"/>
      <c r="R306" s="642"/>
      <c r="S306" s="642"/>
      <c r="T306" s="642"/>
      <c r="U306" s="642"/>
      <c r="V306" s="643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71</v>
      </c>
      <c r="Q307" s="642"/>
      <c r="R307" s="642"/>
      <c r="S307" s="642"/>
      <c r="T307" s="642"/>
      <c r="U307" s="642"/>
      <c r="V307" s="643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146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517</v>
      </c>
      <c r="B309" s="54" t="s">
        <v>518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71</v>
      </c>
      <c r="Q310" s="642"/>
      <c r="R310" s="642"/>
      <c r="S310" s="642"/>
      <c r="T310" s="642"/>
      <c r="U310" s="642"/>
      <c r="V310" s="643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71</v>
      </c>
      <c r="Q311" s="642"/>
      <c r="R311" s="642"/>
      <c r="S311" s="642"/>
      <c r="T311" s="642"/>
      <c r="U311" s="642"/>
      <c r="V311" s="643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520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521</v>
      </c>
      <c r="B313" s="54" t="s">
        <v>522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71</v>
      </c>
      <c r="Q314" s="642"/>
      <c r="R314" s="642"/>
      <c r="S314" s="642"/>
      <c r="T314" s="642"/>
      <c r="U314" s="642"/>
      <c r="V314" s="643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71</v>
      </c>
      <c r="Q315" s="642"/>
      <c r="R315" s="642"/>
      <c r="S315" s="642"/>
      <c r="T315" s="642"/>
      <c r="U315" s="642"/>
      <c r="V315" s="643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337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524</v>
      </c>
      <c r="B317" s="54" t="s">
        <v>525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527</v>
      </c>
      <c r="B318" s="54" t="s">
        <v>528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529</v>
      </c>
      <c r="B319" s="54" t="s">
        <v>530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71</v>
      </c>
      <c r="Q320" s="642"/>
      <c r="R320" s="642"/>
      <c r="S320" s="642"/>
      <c r="T320" s="642"/>
      <c r="U320" s="642"/>
      <c r="V320" s="643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71</v>
      </c>
      <c r="Q321" s="642"/>
      <c r="R321" s="642"/>
      <c r="S321" s="642"/>
      <c r="T321" s="642"/>
      <c r="U321" s="642"/>
      <c r="V321" s="643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531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110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532</v>
      </c>
      <c r="B324" s="54" t="s">
        <v>533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535</v>
      </c>
      <c r="B325" s="54" t="s">
        <v>536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538</v>
      </c>
      <c r="B326" s="54" t="s">
        <v>539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541</v>
      </c>
      <c r="B327" s="54" t="s">
        <v>542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544</v>
      </c>
      <c r="B328" s="54" t="s">
        <v>545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71</v>
      </c>
      <c r="Q329" s="642"/>
      <c r="R329" s="642"/>
      <c r="S329" s="642"/>
      <c r="T329" s="642"/>
      <c r="U329" s="642"/>
      <c r="V329" s="643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71</v>
      </c>
      <c r="Q330" s="642"/>
      <c r="R330" s="642"/>
      <c r="S330" s="642"/>
      <c r="T330" s="642"/>
      <c r="U330" s="642"/>
      <c r="V330" s="643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547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73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548</v>
      </c>
      <c r="B333" s="54" t="s">
        <v>549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551</v>
      </c>
      <c r="B334" s="54" t="s">
        <v>552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554</v>
      </c>
      <c r="B335" s="54" t="s">
        <v>555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71</v>
      </c>
      <c r="Q336" s="642"/>
      <c r="R336" s="642"/>
      <c r="S336" s="642"/>
      <c r="T336" s="642"/>
      <c r="U336" s="642"/>
      <c r="V336" s="643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71</v>
      </c>
      <c r="Q337" s="642"/>
      <c r="R337" s="642"/>
      <c r="S337" s="642"/>
      <c r="T337" s="642"/>
      <c r="U337" s="642"/>
      <c r="V337" s="643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39" t="s">
        <v>556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61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557</v>
      </c>
      <c r="B340" s="54" t="s">
        <v>558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562</v>
      </c>
      <c r="B342" s="54" t="s">
        <v>563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71</v>
      </c>
      <c r="Q345" s="642"/>
      <c r="R345" s="642"/>
      <c r="S345" s="642"/>
      <c r="T345" s="642"/>
      <c r="U345" s="642"/>
      <c r="V345" s="643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71</v>
      </c>
      <c r="Q346" s="642"/>
      <c r="R346" s="642"/>
      <c r="S346" s="642"/>
      <c r="T346" s="642"/>
      <c r="U346" s="642"/>
      <c r="V346" s="643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73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571</v>
      </c>
      <c r="B348" s="54" t="s">
        <v>572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71</v>
      </c>
      <c r="Q350" s="642"/>
      <c r="R350" s="642"/>
      <c r="S350" s="642"/>
      <c r="T350" s="642"/>
      <c r="U350" s="642"/>
      <c r="V350" s="643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71</v>
      </c>
      <c r="Q351" s="642"/>
      <c r="R351" s="642"/>
      <c r="S351" s="642"/>
      <c r="T351" s="642"/>
      <c r="U351" s="642"/>
      <c r="V351" s="643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577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110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578</v>
      </c>
      <c r="B354" s="54" t="s">
        <v>579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580</v>
      </c>
      <c r="B355" s="54" t="s">
        <v>581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583</v>
      </c>
      <c r="B356" s="54" t="s">
        <v>584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71</v>
      </c>
      <c r="Q357" s="642"/>
      <c r="R357" s="642"/>
      <c r="S357" s="642"/>
      <c r="T357" s="642"/>
      <c r="U357" s="642"/>
      <c r="V357" s="643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71</v>
      </c>
      <c r="Q358" s="642"/>
      <c r="R358" s="642"/>
      <c r="S358" s="642"/>
      <c r="T358" s="642"/>
      <c r="U358" s="642"/>
      <c r="V358" s="643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39" t="s">
        <v>586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110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587</v>
      </c>
      <c r="B361" s="54" t="s">
        <v>588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590</v>
      </c>
      <c r="B362" s="54" t="s">
        <v>591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71</v>
      </c>
      <c r="Q366" s="642"/>
      <c r="R366" s="642"/>
      <c r="S366" s="642"/>
      <c r="T366" s="642"/>
      <c r="U366" s="642"/>
      <c r="V366" s="643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71</v>
      </c>
      <c r="Q367" s="642"/>
      <c r="R367" s="642"/>
      <c r="S367" s="642"/>
      <c r="T367" s="642"/>
      <c r="U367" s="642"/>
      <c r="V367" s="643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61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601</v>
      </c>
      <c r="B369" s="54" t="s">
        <v>602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71</v>
      </c>
      <c r="Q376" s="642"/>
      <c r="R376" s="642"/>
      <c r="S376" s="642"/>
      <c r="T376" s="642"/>
      <c r="U376" s="642"/>
      <c r="V376" s="643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71</v>
      </c>
      <c r="Q377" s="642"/>
      <c r="R377" s="642"/>
      <c r="S377" s="642"/>
      <c r="T377" s="642"/>
      <c r="U377" s="642"/>
      <c r="V377" s="643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73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620</v>
      </c>
      <c r="B379" s="54" t="s">
        <v>621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71</v>
      </c>
      <c r="Q383" s="642"/>
      <c r="R383" s="642"/>
      <c r="S383" s="642"/>
      <c r="T383" s="642"/>
      <c r="U383" s="642"/>
      <c r="V383" s="643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71</v>
      </c>
      <c r="Q384" s="642"/>
      <c r="R384" s="642"/>
      <c r="S384" s="642"/>
      <c r="T384" s="642"/>
      <c r="U384" s="642"/>
      <c r="V384" s="643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163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631</v>
      </c>
      <c r="B386" s="54" t="s">
        <v>632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66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71</v>
      </c>
      <c r="Q389" s="642"/>
      <c r="R389" s="642"/>
      <c r="S389" s="642"/>
      <c r="T389" s="642"/>
      <c r="U389" s="642"/>
      <c r="V389" s="643"/>
      <c r="W389" s="37" t="s">
        <v>72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hidden="1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71</v>
      </c>
      <c r="Q390" s="642"/>
      <c r="R390" s="642"/>
      <c r="S390" s="642"/>
      <c r="T390" s="642"/>
      <c r="U390" s="642"/>
      <c r="V390" s="643"/>
      <c r="W390" s="37" t="s">
        <v>66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271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640</v>
      </c>
      <c r="B392" s="54" t="s">
        <v>641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645</v>
      </c>
      <c r="B394" s="54" t="s">
        <v>646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647</v>
      </c>
      <c r="B395" s="54" t="s">
        <v>648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71</v>
      </c>
      <c r="Q396" s="642"/>
      <c r="R396" s="642"/>
      <c r="S396" s="642"/>
      <c r="T396" s="642"/>
      <c r="U396" s="642"/>
      <c r="V396" s="643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71</v>
      </c>
      <c r="Q397" s="642"/>
      <c r="R397" s="642"/>
      <c r="S397" s="642"/>
      <c r="T397" s="642"/>
      <c r="U397" s="642"/>
      <c r="V397" s="643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649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650</v>
      </c>
      <c r="B399" s="54" t="s">
        <v>651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71</v>
      </c>
      <c r="Q402" s="642"/>
      <c r="R402" s="642"/>
      <c r="S402" s="642"/>
      <c r="T402" s="642"/>
      <c r="U402" s="642"/>
      <c r="V402" s="643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71</v>
      </c>
      <c r="Q403" s="642"/>
      <c r="R403" s="642"/>
      <c r="S403" s="642"/>
      <c r="T403" s="642"/>
      <c r="U403" s="642"/>
      <c r="V403" s="643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658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659</v>
      </c>
      <c r="B405" s="54" t="s">
        <v>660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662</v>
      </c>
      <c r="B406" s="54" t="s">
        <v>663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71</v>
      </c>
      <c r="Q408" s="642"/>
      <c r="R408" s="642"/>
      <c r="S408" s="642"/>
      <c r="T408" s="642"/>
      <c r="U408" s="642"/>
      <c r="V408" s="643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71</v>
      </c>
      <c r="Q409" s="642"/>
      <c r="R409" s="642"/>
      <c r="S409" s="642"/>
      <c r="T409" s="642"/>
      <c r="U409" s="642"/>
      <c r="V409" s="643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667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73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668</v>
      </c>
      <c r="B412" s="54" t="s">
        <v>669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956" t="s">
        <v>670</v>
      </c>
      <c r="Q412" s="646"/>
      <c r="R412" s="646"/>
      <c r="S412" s="646"/>
      <c r="T412" s="647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673</v>
      </c>
      <c r="B413" s="54" t="s">
        <v>674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722" t="s">
        <v>675</v>
      </c>
      <c r="Q413" s="646"/>
      <c r="R413" s="646"/>
      <c r="S413" s="646"/>
      <c r="T413" s="647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71</v>
      </c>
      <c r="Q414" s="642"/>
      <c r="R414" s="642"/>
      <c r="S414" s="642"/>
      <c r="T414" s="642"/>
      <c r="U414" s="642"/>
      <c r="V414" s="643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71</v>
      </c>
      <c r="Q415" s="642"/>
      <c r="R415" s="642"/>
      <c r="S415" s="642"/>
      <c r="T415" s="642"/>
      <c r="U415" s="642"/>
      <c r="V415" s="643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677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73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678</v>
      </c>
      <c r="B418" s="54" t="s">
        <v>679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681</v>
      </c>
      <c r="B419" s="54" t="s">
        <v>682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684</v>
      </c>
      <c r="B420" s="54" t="s">
        <v>685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71</v>
      </c>
      <c r="Q421" s="642"/>
      <c r="R421" s="642"/>
      <c r="S421" s="642"/>
      <c r="T421" s="642"/>
      <c r="U421" s="642"/>
      <c r="V421" s="643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71</v>
      </c>
      <c r="Q422" s="642"/>
      <c r="R422" s="642"/>
      <c r="S422" s="642"/>
      <c r="T422" s="642"/>
      <c r="U422" s="642"/>
      <c r="V422" s="643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687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688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110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689</v>
      </c>
      <c r="B426" s="54" t="s">
        <v>690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692</v>
      </c>
      <c r="B427" s="54" t="s">
        <v>693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66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66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66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707</v>
      </c>
      <c r="B432" s="54" t="s">
        <v>708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710</v>
      </c>
      <c r="B433" s="54" t="s">
        <v>711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idden="1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71</v>
      </c>
      <c r="Q434" s="642"/>
      <c r="R434" s="642"/>
      <c r="S434" s="642"/>
      <c r="T434" s="642"/>
      <c r="U434" s="642"/>
      <c r="V434" s="643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hidden="1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71</v>
      </c>
      <c r="Q435" s="642"/>
      <c r="R435" s="642"/>
      <c r="S435" s="642"/>
      <c r="T435" s="642"/>
      <c r="U435" s="642"/>
      <c r="V435" s="643"/>
      <c r="W435" s="37" t="s">
        <v>66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146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713</v>
      </c>
      <c r="B437" s="54" t="s">
        <v>714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66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716</v>
      </c>
      <c r="B438" s="54" t="s">
        <v>717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719</v>
      </c>
      <c r="B439" s="54" t="s">
        <v>720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71</v>
      </c>
      <c r="Q440" s="642"/>
      <c r="R440" s="642"/>
      <c r="S440" s="642"/>
      <c r="T440" s="642"/>
      <c r="U440" s="642"/>
      <c r="V440" s="643"/>
      <c r="W440" s="37" t="s">
        <v>72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hidden="1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71</v>
      </c>
      <c r="Q441" s="642"/>
      <c r="R441" s="642"/>
      <c r="S441" s="642"/>
      <c r="T441" s="642"/>
      <c r="U441" s="642"/>
      <c r="V441" s="643"/>
      <c r="W441" s="37" t="s">
        <v>66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73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722</v>
      </c>
      <c r="B443" s="54" t="s">
        <v>723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725</v>
      </c>
      <c r="B444" s="54" t="s">
        <v>726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728</v>
      </c>
      <c r="B445" s="54" t="s">
        <v>729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71</v>
      </c>
      <c r="Q446" s="642"/>
      <c r="R446" s="642"/>
      <c r="S446" s="642"/>
      <c r="T446" s="642"/>
      <c r="U446" s="642"/>
      <c r="V446" s="643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71</v>
      </c>
      <c r="Q447" s="642"/>
      <c r="R447" s="642"/>
      <c r="S447" s="642"/>
      <c r="T447" s="642"/>
      <c r="U447" s="642"/>
      <c r="V447" s="643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163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731</v>
      </c>
      <c r="B449" s="54" t="s">
        <v>732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734</v>
      </c>
      <c r="B450" s="54" t="s">
        <v>735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71</v>
      </c>
      <c r="Q451" s="642"/>
      <c r="R451" s="642"/>
      <c r="S451" s="642"/>
      <c r="T451" s="642"/>
      <c r="U451" s="642"/>
      <c r="V451" s="643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71</v>
      </c>
      <c r="Q452" s="642"/>
      <c r="R452" s="642"/>
      <c r="S452" s="642"/>
      <c r="T452" s="642"/>
      <c r="U452" s="642"/>
      <c r="V452" s="643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737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110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738</v>
      </c>
      <c r="B455" s="54" t="s">
        <v>739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741</v>
      </c>
      <c r="B456" s="54" t="s">
        <v>742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71</v>
      </c>
      <c r="Q457" s="642"/>
      <c r="R457" s="642"/>
      <c r="S457" s="642"/>
      <c r="T457" s="642"/>
      <c r="U457" s="642"/>
      <c r="V457" s="643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71</v>
      </c>
      <c r="Q458" s="642"/>
      <c r="R458" s="642"/>
      <c r="S458" s="642"/>
      <c r="T458" s="642"/>
      <c r="U458" s="642"/>
      <c r="V458" s="643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61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743</v>
      </c>
      <c r="B460" s="54" t="s">
        <v>744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71</v>
      </c>
      <c r="Q461" s="642"/>
      <c r="R461" s="642"/>
      <c r="S461" s="642"/>
      <c r="T461" s="642"/>
      <c r="U461" s="642"/>
      <c r="V461" s="643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71</v>
      </c>
      <c r="Q462" s="642"/>
      <c r="R462" s="642"/>
      <c r="S462" s="642"/>
      <c r="T462" s="642"/>
      <c r="U462" s="642"/>
      <c r="V462" s="643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73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746</v>
      </c>
      <c r="B464" s="54" t="s">
        <v>747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66</v>
      </c>
      <c r="X464" s="633">
        <v>1050</v>
      </c>
      <c r="Y464" s="634">
        <f>IFERROR(IF(X464="",0,CEILING((X464/$H464),1)*$H464),"")</f>
        <v>1053</v>
      </c>
      <c r="Z464" s="36">
        <f>IFERROR(IF(Y464=0,"",ROUNDUP(Y464/H464,0)*0.01898),"")</f>
        <v>2.2206600000000001</v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1107.6333333333332</v>
      </c>
      <c r="BN464" s="64">
        <f>IFERROR(Y464*I464/H464,"0")</f>
        <v>1110.7979999999998</v>
      </c>
      <c r="BO464" s="64">
        <f>IFERROR(1/J464*(X464/H464),"0")</f>
        <v>1.8229166666666667</v>
      </c>
      <c r="BP464" s="64">
        <f>IFERROR(1/J464*(Y464/H464),"0")</f>
        <v>1.828125</v>
      </c>
    </row>
    <row r="465" spans="1:68" ht="27" hidden="1" customHeight="1" x14ac:dyDescent="0.25">
      <c r="A465" s="54" t="s">
        <v>749</v>
      </c>
      <c r="B465" s="54" t="s">
        <v>750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749</v>
      </c>
      <c r="B466" s="54" t="s">
        <v>751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71</v>
      </c>
      <c r="Q467" s="642"/>
      <c r="R467" s="642"/>
      <c r="S467" s="642"/>
      <c r="T467" s="642"/>
      <c r="U467" s="642"/>
      <c r="V467" s="643"/>
      <c r="W467" s="37" t="s">
        <v>72</v>
      </c>
      <c r="X467" s="635">
        <f>IFERROR(X464/H464,"0")+IFERROR(X465/H465,"0")+IFERROR(X466/H466,"0")</f>
        <v>116.66666666666667</v>
      </c>
      <c r="Y467" s="635">
        <f>IFERROR(Y464/H464,"0")+IFERROR(Y465/H465,"0")+IFERROR(Y466/H466,"0")</f>
        <v>117</v>
      </c>
      <c r="Z467" s="635">
        <f>IFERROR(IF(Z464="",0,Z464),"0")+IFERROR(IF(Z465="",0,Z465),"0")+IFERROR(IF(Z466="",0,Z466),"0")</f>
        <v>2.2206600000000001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71</v>
      </c>
      <c r="Q468" s="642"/>
      <c r="R468" s="642"/>
      <c r="S468" s="642"/>
      <c r="T468" s="642"/>
      <c r="U468" s="642"/>
      <c r="V468" s="643"/>
      <c r="W468" s="37" t="s">
        <v>66</v>
      </c>
      <c r="X468" s="635">
        <f>IFERROR(SUM(X464:X466),"0")</f>
        <v>1050</v>
      </c>
      <c r="Y468" s="635">
        <f>IFERROR(SUM(Y464:Y466),"0")</f>
        <v>1053</v>
      </c>
      <c r="Z468" s="37"/>
      <c r="AA468" s="636"/>
      <c r="AB468" s="636"/>
      <c r="AC468" s="636"/>
    </row>
    <row r="469" spans="1:68" ht="27.75" hidden="1" customHeight="1" x14ac:dyDescent="0.2">
      <c r="A469" s="718" t="s">
        <v>753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754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61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755</v>
      </c>
      <c r="B472" s="54" t="s">
        <v>756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758</v>
      </c>
      <c r="B473" s="54" t="s">
        <v>759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761</v>
      </c>
      <c r="B474" s="54" t="s">
        <v>762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766</v>
      </c>
      <c r="B476" s="54" t="s">
        <v>767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769</v>
      </c>
      <c r="B477" s="54" t="s">
        <v>770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71</v>
      </c>
      <c r="Q478" s="642"/>
      <c r="R478" s="642"/>
      <c r="S478" s="642"/>
      <c r="T478" s="642"/>
      <c r="U478" s="642"/>
      <c r="V478" s="643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71</v>
      </c>
      <c r="Q479" s="642"/>
      <c r="R479" s="642"/>
      <c r="S479" s="642"/>
      <c r="T479" s="642"/>
      <c r="U479" s="642"/>
      <c r="V479" s="643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73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771</v>
      </c>
      <c r="B481" s="54" t="s">
        <v>772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774</v>
      </c>
      <c r="B482" s="54" t="s">
        <v>775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71</v>
      </c>
      <c r="Q483" s="642"/>
      <c r="R483" s="642"/>
      <c r="S483" s="642"/>
      <c r="T483" s="642"/>
      <c r="U483" s="642"/>
      <c r="V483" s="643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71</v>
      </c>
      <c r="Q484" s="642"/>
      <c r="R484" s="642"/>
      <c r="S484" s="642"/>
      <c r="T484" s="642"/>
      <c r="U484" s="642"/>
      <c r="V484" s="643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777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146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778</v>
      </c>
      <c r="B487" s="54" t="s">
        <v>779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71</v>
      </c>
      <c r="Q488" s="642"/>
      <c r="R488" s="642"/>
      <c r="S488" s="642"/>
      <c r="T488" s="642"/>
      <c r="U488" s="642"/>
      <c r="V488" s="643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71</v>
      </c>
      <c r="Q489" s="642"/>
      <c r="R489" s="642"/>
      <c r="S489" s="642"/>
      <c r="T489" s="642"/>
      <c r="U489" s="642"/>
      <c r="V489" s="643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61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781</v>
      </c>
      <c r="B491" s="54" t="s">
        <v>782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71</v>
      </c>
      <c r="Q494" s="642"/>
      <c r="R494" s="642"/>
      <c r="S494" s="642"/>
      <c r="T494" s="642"/>
      <c r="U494" s="642"/>
      <c r="V494" s="643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71</v>
      </c>
      <c r="Q495" s="642"/>
      <c r="R495" s="642"/>
      <c r="S495" s="642"/>
      <c r="T495" s="642"/>
      <c r="U495" s="642"/>
      <c r="V495" s="643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789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789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110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790</v>
      </c>
      <c r="B499" s="54" t="s">
        <v>791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792</v>
      </c>
      <c r="B500" s="54" t="s">
        <v>793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66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801</v>
      </c>
      <c r="B503" s="54" t="s">
        <v>802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804</v>
      </c>
      <c r="B504" s="54" t="s">
        <v>805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66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807</v>
      </c>
      <c r="B505" s="54" t="s">
        <v>808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809</v>
      </c>
      <c r="B506" s="54" t="s">
        <v>810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811</v>
      </c>
      <c r="B507" s="54" t="s">
        <v>812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hidden="1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71</v>
      </c>
      <c r="Q508" s="642"/>
      <c r="R508" s="642"/>
      <c r="S508" s="642"/>
      <c r="T508" s="642"/>
      <c r="U508" s="642"/>
      <c r="V508" s="643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hidden="1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71</v>
      </c>
      <c r="Q509" s="642"/>
      <c r="R509" s="642"/>
      <c r="S509" s="642"/>
      <c r="T509" s="642"/>
      <c r="U509" s="642"/>
      <c r="V509" s="643"/>
      <c r="W509" s="37" t="s">
        <v>66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146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hidden="1" customHeight="1" x14ac:dyDescent="0.25">
      <c r="A511" s="54" t="s">
        <v>813</v>
      </c>
      <c r="B511" s="54" t="s">
        <v>814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66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818</v>
      </c>
      <c r="B513" s="54" t="s">
        <v>819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71</v>
      </c>
      <c r="Q514" s="642"/>
      <c r="R514" s="642"/>
      <c r="S514" s="642"/>
      <c r="T514" s="642"/>
      <c r="U514" s="642"/>
      <c r="V514" s="643"/>
      <c r="W514" s="37" t="s">
        <v>72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71</v>
      </c>
      <c r="Q515" s="642"/>
      <c r="R515" s="642"/>
      <c r="S515" s="642"/>
      <c r="T515" s="642"/>
      <c r="U515" s="642"/>
      <c r="V515" s="643"/>
      <c r="W515" s="37" t="s">
        <v>66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44" t="s">
        <v>61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820</v>
      </c>
      <c r="B517" s="54" t="s">
        <v>821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826</v>
      </c>
      <c r="B519" s="54" t="s">
        <v>827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829</v>
      </c>
      <c r="B520" s="54" t="s">
        <v>830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831</v>
      </c>
      <c r="B521" s="54" t="s">
        <v>832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831</v>
      </c>
      <c r="B522" s="54" t="s">
        <v>833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834</v>
      </c>
      <c r="B523" s="54" t="s">
        <v>835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71</v>
      </c>
      <c r="Q524" s="642"/>
      <c r="R524" s="642"/>
      <c r="S524" s="642"/>
      <c r="T524" s="642"/>
      <c r="U524" s="642"/>
      <c r="V524" s="643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71</v>
      </c>
      <c r="Q525" s="642"/>
      <c r="R525" s="642"/>
      <c r="S525" s="642"/>
      <c r="T525" s="642"/>
      <c r="U525" s="642"/>
      <c r="V525" s="643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18" t="s">
        <v>836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836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110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837</v>
      </c>
      <c r="B529" s="54" t="s">
        <v>838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71</v>
      </c>
      <c r="Q530" s="642"/>
      <c r="R530" s="642"/>
      <c r="S530" s="642"/>
      <c r="T530" s="642"/>
      <c r="U530" s="642"/>
      <c r="V530" s="643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71</v>
      </c>
      <c r="Q531" s="642"/>
      <c r="R531" s="642"/>
      <c r="S531" s="642"/>
      <c r="T531" s="642"/>
      <c r="U531" s="642"/>
      <c r="V531" s="643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146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840</v>
      </c>
      <c r="B533" s="54" t="s">
        <v>841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71</v>
      </c>
      <c r="Q534" s="642"/>
      <c r="R534" s="642"/>
      <c r="S534" s="642"/>
      <c r="T534" s="642"/>
      <c r="U534" s="642"/>
      <c r="V534" s="643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71</v>
      </c>
      <c r="Q535" s="642"/>
      <c r="R535" s="642"/>
      <c r="S535" s="642"/>
      <c r="T535" s="642"/>
      <c r="U535" s="642"/>
      <c r="V535" s="643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61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843</v>
      </c>
      <c r="B537" s="54" t="s">
        <v>844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71</v>
      </c>
      <c r="Q538" s="642"/>
      <c r="R538" s="642"/>
      <c r="S538" s="642"/>
      <c r="T538" s="642"/>
      <c r="U538" s="642"/>
      <c r="V538" s="643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71</v>
      </c>
      <c r="Q539" s="642"/>
      <c r="R539" s="642"/>
      <c r="S539" s="642"/>
      <c r="T539" s="642"/>
      <c r="U539" s="642"/>
      <c r="V539" s="643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73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846</v>
      </c>
      <c r="B541" s="54" t="s">
        <v>847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71</v>
      </c>
      <c r="Q542" s="642"/>
      <c r="R542" s="642"/>
      <c r="S542" s="642"/>
      <c r="T542" s="642"/>
      <c r="U542" s="642"/>
      <c r="V542" s="643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71</v>
      </c>
      <c r="Q543" s="642"/>
      <c r="R543" s="642"/>
      <c r="S543" s="642"/>
      <c r="T543" s="642"/>
      <c r="U543" s="642"/>
      <c r="V543" s="643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163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849</v>
      </c>
      <c r="B545" s="54" t="s">
        <v>850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852</v>
      </c>
      <c r="B546" s="54" t="s">
        <v>853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71</v>
      </c>
      <c r="Q547" s="642"/>
      <c r="R547" s="642"/>
      <c r="S547" s="642"/>
      <c r="T547" s="642"/>
      <c r="U547" s="642"/>
      <c r="V547" s="643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71</v>
      </c>
      <c r="Q548" s="642"/>
      <c r="R548" s="642"/>
      <c r="S548" s="642"/>
      <c r="T548" s="642"/>
      <c r="U548" s="642"/>
      <c r="V548" s="643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855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146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856</v>
      </c>
      <c r="B551" s="54" t="s">
        <v>857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71</v>
      </c>
      <c r="Q552" s="642"/>
      <c r="R552" s="642"/>
      <c r="S552" s="642"/>
      <c r="T552" s="642"/>
      <c r="U552" s="642"/>
      <c r="V552" s="643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71</v>
      </c>
      <c r="Q553" s="642"/>
      <c r="R553" s="642"/>
      <c r="S553" s="642"/>
      <c r="T553" s="642"/>
      <c r="U553" s="642"/>
      <c r="V553" s="643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859</v>
      </c>
      <c r="Q554" s="664"/>
      <c r="R554" s="664"/>
      <c r="S554" s="664"/>
      <c r="T554" s="664"/>
      <c r="U554" s="664"/>
      <c r="V554" s="665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1050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1053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860</v>
      </c>
      <c r="Q555" s="664"/>
      <c r="R555" s="664"/>
      <c r="S555" s="664"/>
      <c r="T555" s="664"/>
      <c r="U555" s="664"/>
      <c r="V555" s="665"/>
      <c r="W555" s="37" t="s">
        <v>66</v>
      </c>
      <c r="X555" s="635">
        <f>IFERROR(SUM(BM22:BM551),"0")</f>
        <v>1107.6333333333332</v>
      </c>
      <c r="Y555" s="635">
        <f>IFERROR(SUM(BN22:BN551),"0")</f>
        <v>1110.7979999999998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861</v>
      </c>
      <c r="Q556" s="664"/>
      <c r="R556" s="664"/>
      <c r="S556" s="664"/>
      <c r="T556" s="664"/>
      <c r="U556" s="664"/>
      <c r="V556" s="665"/>
      <c r="W556" s="37" t="s">
        <v>862</v>
      </c>
      <c r="X556" s="38">
        <f>ROUNDUP(SUM(BO22:BO551),0)</f>
        <v>2</v>
      </c>
      <c r="Y556" s="38">
        <f>ROUNDUP(SUM(BP22:BP551),0)</f>
        <v>2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863</v>
      </c>
      <c r="Q557" s="664"/>
      <c r="R557" s="664"/>
      <c r="S557" s="664"/>
      <c r="T557" s="664"/>
      <c r="U557" s="664"/>
      <c r="V557" s="665"/>
      <c r="W557" s="37" t="s">
        <v>66</v>
      </c>
      <c r="X557" s="635">
        <f>GrossWeightTotal+PalletQtyTotal*25</f>
        <v>1157.6333333333332</v>
      </c>
      <c r="Y557" s="635">
        <f>GrossWeightTotalR+PalletQtyTotalR*25</f>
        <v>1160.7979999999998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864</v>
      </c>
      <c r="Q558" s="664"/>
      <c r="R558" s="664"/>
      <c r="S558" s="664"/>
      <c r="T558" s="664"/>
      <c r="U558" s="664"/>
      <c r="V558" s="665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116.66666666666667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117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865</v>
      </c>
      <c r="Q559" s="664"/>
      <c r="R559" s="664"/>
      <c r="S559" s="664"/>
      <c r="T559" s="664"/>
      <c r="U559" s="664"/>
      <c r="V559" s="665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2.2206600000000001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700" t="s">
        <v>108</v>
      </c>
      <c r="E561" s="776"/>
      <c r="F561" s="776"/>
      <c r="G561" s="776"/>
      <c r="H561" s="776"/>
      <c r="I561" s="776"/>
      <c r="J561" s="726"/>
      <c r="K561" s="700" t="s">
        <v>341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687</v>
      </c>
      <c r="X561" s="726"/>
      <c r="Y561" s="700" t="s">
        <v>753</v>
      </c>
      <c r="Z561" s="726"/>
      <c r="AA561" s="630" t="s">
        <v>789</v>
      </c>
      <c r="AB561" s="700" t="s">
        <v>836</v>
      </c>
      <c r="AC561" s="726"/>
      <c r="AF561" s="631"/>
    </row>
    <row r="562" spans="1:32" ht="14.25" customHeight="1" thickTop="1" x14ac:dyDescent="0.2">
      <c r="A562" s="715" t="s">
        <v>868</v>
      </c>
      <c r="B562" s="700" t="s">
        <v>60</v>
      </c>
      <c r="C562" s="700" t="s">
        <v>92</v>
      </c>
      <c r="D562" s="700" t="s">
        <v>109</v>
      </c>
      <c r="E562" s="700" t="s">
        <v>125</v>
      </c>
      <c r="F562" s="700" t="s">
        <v>170</v>
      </c>
      <c r="G562" s="700" t="s">
        <v>191</v>
      </c>
      <c r="H562" s="700" t="s">
        <v>231</v>
      </c>
      <c r="I562" s="700" t="s">
        <v>255</v>
      </c>
      <c r="J562" s="700" t="s">
        <v>108</v>
      </c>
      <c r="K562" s="700" t="s">
        <v>342</v>
      </c>
      <c r="L562" s="700" t="s">
        <v>363</v>
      </c>
      <c r="M562" s="700" t="s">
        <v>430</v>
      </c>
      <c r="N562" s="631"/>
      <c r="O562" s="700" t="s">
        <v>498</v>
      </c>
      <c r="P562" s="700" t="s">
        <v>531</v>
      </c>
      <c r="Q562" s="700" t="s">
        <v>547</v>
      </c>
      <c r="R562" s="700" t="s">
        <v>556</v>
      </c>
      <c r="S562" s="700" t="s">
        <v>577</v>
      </c>
      <c r="T562" s="700" t="s">
        <v>586</v>
      </c>
      <c r="U562" s="700" t="s">
        <v>667</v>
      </c>
      <c r="V562" s="700" t="s">
        <v>677</v>
      </c>
      <c r="W562" s="700" t="s">
        <v>688</v>
      </c>
      <c r="X562" s="700" t="s">
        <v>737</v>
      </c>
      <c r="Y562" s="700" t="s">
        <v>754</v>
      </c>
      <c r="Z562" s="700" t="s">
        <v>777</v>
      </c>
      <c r="AA562" s="700" t="s">
        <v>789</v>
      </c>
      <c r="AB562" s="700" t="s">
        <v>836</v>
      </c>
      <c r="AC562" s="700" t="s">
        <v>855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46">
        <f>IFERROR(Y455*1,"0")+IFERROR(Y456*1,"0")+IFERROR(Y460*1,"0")+IFERROR(Y464*1,"0")+IFERROR(Y465*1,"0")+IFERROR(Y466*1,"0")</f>
        <v>1053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07,63"/>
        <filter val="1 157,63"/>
        <filter val="116,67"/>
        <filter val="2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2026-08-10T13:56:41Z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