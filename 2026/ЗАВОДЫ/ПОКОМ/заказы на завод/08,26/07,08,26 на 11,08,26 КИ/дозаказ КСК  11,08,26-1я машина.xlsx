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FD2EAA-CA72-4E44-B38A-1EC2AADED86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N488" i="2"/>
  <c r="BM488" i="2"/>
  <c r="Y488" i="2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N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N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N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55" i="2" l="1"/>
  <c r="BN214" i="2"/>
  <c r="BN288" i="2"/>
  <c r="BN373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69" i="2" l="1"/>
  <c r="Z150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<sst xmlns="http://schemas.openxmlformats.org/spreadsheetml/2006/main" count="4194" uniqueCount="891">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</sst>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46245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Вторник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1720</v>
      </c>
      <c r="Y424" s="53">
        <f t="shared" si="52"/>
        <v>1725</v>
      </c>
      <c r="Z424" s="39">
        <f>IFERROR(IF(Y424=0,"",ROUNDUP(Y424/H424,0)*0.02175),"")</f>
        <v>2.5012499999999998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1773.8933333333334</v>
      </c>
      <c r="BN424" s="75">
        <f t="shared" si="54"/>
        <v>1779.05</v>
      </c>
      <c r="BO424" s="75">
        <f t="shared" si="55"/>
        <v>2.3888888888888888</v>
      </c>
      <c r="BP424" s="75">
        <f t="shared" si="56"/>
        <v>2.395833333333333</v>
      </c>
    </row>
    <row r="425" spans="1:68" ht="27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800</v>
      </c>
      <c r="Y425" s="53">
        <f t="shared" si="52"/>
        <v>810</v>
      </c>
      <c r="Z425" s="39">
        <f>IFERROR(IF(Y425=0,"",ROUNDUP(Y425/H425,0)*0.02175),"")</f>
        <v>1.1744999999999999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825.06666666666672</v>
      </c>
      <c r="BN425" s="75">
        <f t="shared" si="54"/>
        <v>835.38</v>
      </c>
      <c r="BO425" s="75">
        <f t="shared" si="55"/>
        <v>1.1111111111111112</v>
      </c>
      <c r="BP425" s="75">
        <f t="shared" si="56"/>
        <v>1.125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800</v>
      </c>
      <c r="Y426" s="53">
        <f t="shared" si="52"/>
        <v>810</v>
      </c>
      <c r="Z426" s="39">
        <f>IFERROR(IF(Y426=0,"",ROUNDUP(Y426/H426,0)*0.02175),"")</f>
        <v>1.1744999999999999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825.06666666666672</v>
      </c>
      <c r="BN426" s="75">
        <f t="shared" si="54"/>
        <v>835.38</v>
      </c>
      <c r="BO426" s="75">
        <f t="shared" si="55"/>
        <v>1.1111111111111112</v>
      </c>
      <c r="BP426" s="75">
        <f t="shared" si="56"/>
        <v>1.125</v>
      </c>
    </row>
    <row r="427" spans="1:68" ht="27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200</v>
      </c>
      <c r="Y427" s="53">
        <f t="shared" si="52"/>
        <v>210</v>
      </c>
      <c r="Z427" s="39">
        <f>IFERROR(IF(Y427=0,"",ROUNDUP(Y427/H427,0)*0.02175),"")</f>
        <v>0.30449999999999999</v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206.26666666666668</v>
      </c>
      <c r="BN427" s="75">
        <f t="shared" si="54"/>
        <v>216.58</v>
      </c>
      <c r="BO427" s="75">
        <f t="shared" si="55"/>
        <v>0.27777777777777779</v>
      </c>
      <c r="BP427" s="75">
        <f t="shared" si="56"/>
        <v>0.29166666666666663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234.66666666666669</v>
      </c>
      <c r="Y431" s="41">
        <f>IFERROR(Y423/H423,"0")+IFERROR(Y424/H424,"0")+IFERROR(Y425/H425,"0")+IFERROR(Y426/H426,"0")+IFERROR(Y427/H427,"0")+IFERROR(Y428/H428,"0")+IFERROR(Y429/H429,"0")+IFERROR(Y430/H430,"0")</f>
        <v>237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5.1547499999999999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3520</v>
      </c>
      <c r="Y432" s="41">
        <f>IFERROR(SUM(Y423:Y430),"0")</f>
        <v>3555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3520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3555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3630.2933333333335</v>
      </c>
      <c r="Y552" s="41">
        <f>IFERROR(SUM(BN22:BN548),"0")</f>
        <v>3666.39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5</v>
      </c>
      <c r="Y553" s="42">
        <f>ROUNDUP(SUM(BP22:BP548),0)</f>
        <v>5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3755.2933333333335</v>
      </c>
      <c r="Y554" s="41">
        <f>GrossWeightTotalR+PalletQtyTotalR*25</f>
        <v>3791.39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234.66666666666669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237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5.1547499999999999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3555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20,00"/>
        <filter val="200,00"/>
        <filter val="234,67"/>
        <filter val="3 520,00"/>
        <filter val="3 630,29"/>
        <filter val="3 755,29"/>
        <filter val="5"/>
        <filter val="8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2026-08-10T15:27:59Z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