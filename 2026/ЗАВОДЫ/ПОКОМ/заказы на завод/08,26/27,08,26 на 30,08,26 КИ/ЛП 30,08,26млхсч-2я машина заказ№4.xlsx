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4EA7434-B7D7-4C25-8040-2F191D0F7A3C}" xr6:coauthVersionLast="47" xr6:coauthVersionMax="47" xr10:uidLastSave="{00000000-0000-0000-0000-000000000000}"/>
  <bookViews>
    <workbookView xWindow="2205" yWindow="0" windowWidth="24090" windowHeight="1552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O481" i="2"/>
  <c r="BN481" i="2"/>
  <c r="BM481" i="2"/>
  <c r="Y481" i="2"/>
  <c r="BP481" i="2" s="1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P475" i="2"/>
  <c r="BO474" i="2"/>
  <c r="BM474" i="2"/>
  <c r="Y474" i="2"/>
  <c r="Z474" i="2" s="1"/>
  <c r="P474" i="2"/>
  <c r="BO473" i="2"/>
  <c r="BM473" i="2"/>
  <c r="Y473" i="2"/>
  <c r="BN473" i="2" s="1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N436" i="2"/>
  <c r="BM436" i="2"/>
  <c r="Y436" i="2"/>
  <c r="BP436" i="2" s="1"/>
  <c r="P436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BN430" i="2" s="1"/>
  <c r="P430" i="2"/>
  <c r="BO429" i="2"/>
  <c r="BM429" i="2"/>
  <c r="Y429" i="2"/>
  <c r="P429" i="2"/>
  <c r="BO428" i="2"/>
  <c r="BM428" i="2"/>
  <c r="Y428" i="2"/>
  <c r="P428" i="2"/>
  <c r="BO427" i="2"/>
  <c r="BM427" i="2"/>
  <c r="Y427" i="2"/>
  <c r="Z427" i="2" s="1"/>
  <c r="P427" i="2"/>
  <c r="BP426" i="2"/>
  <c r="BO426" i="2"/>
  <c r="BN426" i="2"/>
  <c r="BM426" i="2"/>
  <c r="Z426" i="2"/>
  <c r="Y426" i="2"/>
  <c r="P426" i="2"/>
  <c r="BO425" i="2"/>
  <c r="BM425" i="2"/>
  <c r="Y425" i="2"/>
  <c r="P425" i="2"/>
  <c r="X421" i="2"/>
  <c r="X420" i="2"/>
  <c r="BO419" i="2"/>
  <c r="BM419" i="2"/>
  <c r="Y419" i="2"/>
  <c r="P419" i="2"/>
  <c r="BO418" i="2"/>
  <c r="BM418" i="2"/>
  <c r="Y418" i="2"/>
  <c r="BN418" i="2" s="1"/>
  <c r="P418" i="2"/>
  <c r="BO417" i="2"/>
  <c r="BM417" i="2"/>
  <c r="Y417" i="2"/>
  <c r="P417" i="2"/>
  <c r="X414" i="2"/>
  <c r="X413" i="2"/>
  <c r="BO412" i="2"/>
  <c r="BM412" i="2"/>
  <c r="Y412" i="2"/>
  <c r="Y413" i="2" s="1"/>
  <c r="P412" i="2"/>
  <c r="BP411" i="2"/>
  <c r="BO411" i="2"/>
  <c r="BN411" i="2"/>
  <c r="BM411" i="2"/>
  <c r="Z411" i="2"/>
  <c r="Y411" i="2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P400" i="2"/>
  <c r="BO399" i="2"/>
  <c r="BM399" i="2"/>
  <c r="Y399" i="2"/>
  <c r="P399" i="2"/>
  <c r="BO398" i="2"/>
  <c r="BM398" i="2"/>
  <c r="Y398" i="2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P386" i="2"/>
  <c r="BO386" i="2"/>
  <c r="BN386" i="2"/>
  <c r="BM386" i="2"/>
  <c r="Z386" i="2"/>
  <c r="Y386" i="2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BN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O342" i="2"/>
  <c r="BN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BP339" i="2" s="1"/>
  <c r="P339" i="2"/>
  <c r="BO338" i="2"/>
  <c r="BN338" i="2"/>
  <c r="BM338" i="2"/>
  <c r="Y338" i="2"/>
  <c r="BP338" i="2" s="1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P315" i="2"/>
  <c r="BO315" i="2"/>
  <c r="BM315" i="2"/>
  <c r="Y315" i="2"/>
  <c r="P315" i="2"/>
  <c r="X313" i="2"/>
  <c r="Y312" i="2"/>
  <c r="X312" i="2"/>
  <c r="BO311" i="2"/>
  <c r="BN311" i="2"/>
  <c r="BM311" i="2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P292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P287" i="2"/>
  <c r="BO286" i="2"/>
  <c r="BM286" i="2"/>
  <c r="Y286" i="2"/>
  <c r="Z286" i="2" s="1"/>
  <c r="P286" i="2"/>
  <c r="BO285" i="2"/>
  <c r="BM285" i="2"/>
  <c r="Z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N267" i="2"/>
  <c r="BM267" i="2"/>
  <c r="Y267" i="2"/>
  <c r="BP267" i="2" s="1"/>
  <c r="P267" i="2"/>
  <c r="BO266" i="2"/>
  <c r="BM266" i="2"/>
  <c r="Y266" i="2"/>
  <c r="P266" i="2"/>
  <c r="BO265" i="2"/>
  <c r="BM265" i="2"/>
  <c r="Y265" i="2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P245" i="2"/>
  <c r="BP244" i="2"/>
  <c r="BO244" i="2"/>
  <c r="BN244" i="2"/>
  <c r="BM244" i="2"/>
  <c r="Z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P222" i="2"/>
  <c r="BO221" i="2"/>
  <c r="BM221" i="2"/>
  <c r="Z221" i="2"/>
  <c r="Y221" i="2"/>
  <c r="BN221" i="2" s="1"/>
  <c r="P221" i="2"/>
  <c r="BO220" i="2"/>
  <c r="BM220" i="2"/>
  <c r="Y220" i="2"/>
  <c r="P220" i="2"/>
  <c r="BO219" i="2"/>
  <c r="BM219" i="2"/>
  <c r="Y219" i="2"/>
  <c r="P219" i="2"/>
  <c r="X217" i="2"/>
  <c r="X216" i="2"/>
  <c r="BO215" i="2"/>
  <c r="BM215" i="2"/>
  <c r="Y215" i="2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P190" i="2"/>
  <c r="BO189" i="2"/>
  <c r="BM189" i="2"/>
  <c r="Y189" i="2"/>
  <c r="P189" i="2"/>
  <c r="BO188" i="2"/>
  <c r="BN188" i="2"/>
  <c r="BM188" i="2"/>
  <c r="Y188" i="2"/>
  <c r="BP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P177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P174" i="2"/>
  <c r="X172" i="2"/>
  <c r="X171" i="2"/>
  <c r="BO170" i="2"/>
  <c r="BM170" i="2"/>
  <c r="Y170" i="2"/>
  <c r="P170" i="2"/>
  <c r="BO169" i="2"/>
  <c r="BN169" i="2"/>
  <c r="BM169" i="2"/>
  <c r="Y169" i="2"/>
  <c r="BP169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BO135" i="2"/>
  <c r="BM135" i="2"/>
  <c r="Y135" i="2"/>
  <c r="BN135" i="2" s="1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P119" i="2"/>
  <c r="BO118" i="2"/>
  <c r="BM118" i="2"/>
  <c r="Y118" i="2"/>
  <c r="Z118" i="2" s="1"/>
  <c r="P118" i="2"/>
  <c r="BP117" i="2"/>
  <c r="BO117" i="2"/>
  <c r="BN117" i="2"/>
  <c r="BM117" i="2"/>
  <c r="Z117" i="2"/>
  <c r="Y117" i="2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P103" i="2"/>
  <c r="BO103" i="2"/>
  <c r="BN103" i="2"/>
  <c r="BM103" i="2"/>
  <c r="Z103" i="2"/>
  <c r="Y103" i="2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N92" i="2"/>
  <c r="BM92" i="2"/>
  <c r="Y92" i="2"/>
  <c r="BP92" i="2" s="1"/>
  <c r="P92" i="2"/>
  <c r="BO91" i="2"/>
  <c r="BM91" i="2"/>
  <c r="Y91" i="2"/>
  <c r="P91" i="2"/>
  <c r="BO90" i="2"/>
  <c r="BM90" i="2"/>
  <c r="Y90" i="2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Y74" i="2" s="1"/>
  <c r="P72" i="2"/>
  <c r="X70" i="2"/>
  <c r="X69" i="2"/>
  <c r="BO68" i="2"/>
  <c r="BN68" i="2"/>
  <c r="BM68" i="2"/>
  <c r="Y68" i="2"/>
  <c r="BP68" i="2" s="1"/>
  <c r="P68" i="2"/>
  <c r="BO67" i="2"/>
  <c r="BM67" i="2"/>
  <c r="Y67" i="2"/>
  <c r="P67" i="2"/>
  <c r="BO66" i="2"/>
  <c r="BM66" i="2"/>
  <c r="Y66" i="2"/>
  <c r="BP66" i="2" s="1"/>
  <c r="P66" i="2"/>
  <c r="BO65" i="2"/>
  <c r="BM65" i="2"/>
  <c r="Y65" i="2"/>
  <c r="Y69" i="2" s="1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P59" i="2"/>
  <c r="BO58" i="2"/>
  <c r="BM58" i="2"/>
  <c r="Y58" i="2"/>
  <c r="BP58" i="2" s="1"/>
  <c r="P58" i="2"/>
  <c r="BO57" i="2"/>
  <c r="BN57" i="2"/>
  <c r="BM57" i="2"/>
  <c r="Y57" i="2"/>
  <c r="BP57" i="2" s="1"/>
  <c r="P57" i="2"/>
  <c r="BO56" i="2"/>
  <c r="BM56" i="2"/>
  <c r="Y56" i="2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N48" i="2" s="1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J9" i="2" s="1"/>
  <c r="D7" i="2"/>
  <c r="Q6" i="2"/>
  <c r="P2" i="2"/>
  <c r="Z48" i="2" l="1"/>
  <c r="BP48" i="2"/>
  <c r="Z110" i="2"/>
  <c r="Z135" i="2"/>
  <c r="BP135" i="2"/>
  <c r="Z151" i="2"/>
  <c r="BP151" i="2"/>
  <c r="Y200" i="2"/>
  <c r="Z223" i="2"/>
  <c r="BP223" i="2"/>
  <c r="Z368" i="2"/>
  <c r="BP368" i="2"/>
  <c r="Z418" i="2"/>
  <c r="Z473" i="2"/>
  <c r="BP473" i="2"/>
  <c r="Z544" i="2"/>
  <c r="Z57" i="2"/>
  <c r="Z92" i="2"/>
  <c r="Z143" i="2"/>
  <c r="Z169" i="2"/>
  <c r="Z188" i="2"/>
  <c r="Z311" i="2"/>
  <c r="Z312" i="2" s="1"/>
  <c r="BP311" i="2"/>
  <c r="Z342" i="2"/>
  <c r="Z436" i="2"/>
  <c r="Z481" i="2"/>
  <c r="Z68" i="2"/>
  <c r="Z100" i="2"/>
  <c r="Z267" i="2"/>
  <c r="Z338" i="2"/>
  <c r="Y376" i="2"/>
  <c r="Z430" i="2"/>
  <c r="BN22" i="2"/>
  <c r="Y25" i="2"/>
  <c r="Y24" i="2"/>
  <c r="BN23" i="2"/>
  <c r="BP23" i="2"/>
  <c r="BP59" i="2"/>
  <c r="BN59" i="2"/>
  <c r="Z59" i="2"/>
  <c r="Z62" i="2" s="1"/>
  <c r="BN99" i="2"/>
  <c r="Z99" i="2"/>
  <c r="BN109" i="2"/>
  <c r="Z109" i="2"/>
  <c r="BN119" i="2"/>
  <c r="Z119" i="2"/>
  <c r="BP148" i="2"/>
  <c r="BN148" i="2"/>
  <c r="Z148" i="2"/>
  <c r="BP174" i="2"/>
  <c r="BN174" i="2"/>
  <c r="Z174" i="2"/>
  <c r="BP190" i="2"/>
  <c r="BN190" i="2"/>
  <c r="Z190" i="2"/>
  <c r="BN222" i="2"/>
  <c r="Z222" i="2"/>
  <c r="BN265" i="2"/>
  <c r="BP265" i="2"/>
  <c r="BP287" i="2"/>
  <c r="BN287" i="2"/>
  <c r="Z287" i="2"/>
  <c r="BP332" i="2"/>
  <c r="BN332" i="2"/>
  <c r="Z332" i="2"/>
  <c r="BP352" i="2"/>
  <c r="Y356" i="2"/>
  <c r="BP392" i="2"/>
  <c r="BN392" i="2"/>
  <c r="Z392" i="2"/>
  <c r="Y421" i="2"/>
  <c r="Z417" i="2"/>
  <c r="BN429" i="2"/>
  <c r="Z429" i="2"/>
  <c r="BP455" i="2"/>
  <c r="BN455" i="2"/>
  <c r="Z455" i="2"/>
  <c r="BP506" i="2"/>
  <c r="BN506" i="2"/>
  <c r="Z506" i="2"/>
  <c r="Y533" i="2"/>
  <c r="BP532" i="2"/>
  <c r="Y541" i="2"/>
  <c r="Z540" i="2"/>
  <c r="Z541" i="2" s="1"/>
  <c r="BP56" i="2"/>
  <c r="Z56" i="2"/>
  <c r="F563" i="2"/>
  <c r="Y95" i="2"/>
  <c r="BP90" i="2"/>
  <c r="BN90" i="2"/>
  <c r="Z90" i="2"/>
  <c r="BP101" i="2"/>
  <c r="BN101" i="2"/>
  <c r="Z101" i="2"/>
  <c r="BP111" i="2"/>
  <c r="BN111" i="2"/>
  <c r="Z111" i="2"/>
  <c r="BN142" i="2"/>
  <c r="Z142" i="2"/>
  <c r="Z144" i="2" s="1"/>
  <c r="BP179" i="2"/>
  <c r="BN179" i="2"/>
  <c r="Z179" i="2"/>
  <c r="Y192" i="2"/>
  <c r="Y217" i="2"/>
  <c r="Y216" i="2"/>
  <c r="BP215" i="2"/>
  <c r="BN215" i="2"/>
  <c r="Z215" i="2"/>
  <c r="Z216" i="2" s="1"/>
  <c r="BP225" i="2"/>
  <c r="BN225" i="2"/>
  <c r="Z225" i="2"/>
  <c r="BP277" i="2"/>
  <c r="BN277" i="2"/>
  <c r="Z277" i="2"/>
  <c r="BP298" i="2"/>
  <c r="BN298" i="2"/>
  <c r="Z298" i="2"/>
  <c r="BP378" i="2"/>
  <c r="BN378" i="2"/>
  <c r="Z378" i="2"/>
  <c r="BP399" i="2"/>
  <c r="BN399" i="2"/>
  <c r="Z399" i="2"/>
  <c r="BN419" i="2"/>
  <c r="BP419" i="2"/>
  <c r="BN431" i="2"/>
  <c r="BP431" i="2"/>
  <c r="BN475" i="2"/>
  <c r="BP475" i="2"/>
  <c r="Y172" i="2"/>
  <c r="Y186" i="2"/>
  <c r="Y191" i="2"/>
  <c r="T563" i="2"/>
  <c r="Y383" i="2"/>
  <c r="BN28" i="2"/>
  <c r="Y33" i="2"/>
  <c r="C563" i="2"/>
  <c r="BN37" i="2"/>
  <c r="BP37" i="2"/>
  <c r="BN39" i="2"/>
  <c r="Y44" i="2"/>
  <c r="D563" i="2"/>
  <c r="BN51" i="2"/>
  <c r="Y53" i="2"/>
  <c r="Z58" i="2"/>
  <c r="BN58" i="2"/>
  <c r="Z65" i="2"/>
  <c r="BP67" i="2"/>
  <c r="BN67" i="2"/>
  <c r="Z67" i="2"/>
  <c r="Y87" i="2"/>
  <c r="BP91" i="2"/>
  <c r="BN91" i="2"/>
  <c r="Z91" i="2"/>
  <c r="BN104" i="2"/>
  <c r="BP112" i="2"/>
  <c r="BN112" i="2"/>
  <c r="Z112" i="2"/>
  <c r="BN130" i="2"/>
  <c r="BP130" i="2"/>
  <c r="BP134" i="2"/>
  <c r="BN134" i="2"/>
  <c r="Z134" i="2"/>
  <c r="BN153" i="2"/>
  <c r="Z153" i="2"/>
  <c r="Y159" i="2"/>
  <c r="BP158" i="2"/>
  <c r="BN158" i="2"/>
  <c r="Z158" i="2"/>
  <c r="Z159" i="2" s="1"/>
  <c r="Y160" i="2"/>
  <c r="BP170" i="2"/>
  <c r="BN170" i="2"/>
  <c r="Z170" i="2"/>
  <c r="BN177" i="2"/>
  <c r="Z177" i="2"/>
  <c r="BP180" i="2"/>
  <c r="BN180" i="2"/>
  <c r="Z180" i="2"/>
  <c r="BN182" i="2"/>
  <c r="BP182" i="2"/>
  <c r="BN183" i="2"/>
  <c r="BP189" i="2"/>
  <c r="BN189" i="2"/>
  <c r="Z189" i="2"/>
  <c r="Z191" i="2" s="1"/>
  <c r="BP224" i="2"/>
  <c r="BN224" i="2"/>
  <c r="Z224" i="2"/>
  <c r="BN229" i="2"/>
  <c r="BP229" i="2"/>
  <c r="BP232" i="2"/>
  <c r="BN232" i="2"/>
  <c r="Z232" i="2"/>
  <c r="BN236" i="2"/>
  <c r="BP245" i="2"/>
  <c r="BN245" i="2"/>
  <c r="Z245" i="2"/>
  <c r="Y247" i="2"/>
  <c r="Y248" i="2"/>
  <c r="BP255" i="2"/>
  <c r="Z255" i="2"/>
  <c r="BN260" i="2"/>
  <c r="BP260" i="2"/>
  <c r="BN261" i="2"/>
  <c r="BP266" i="2"/>
  <c r="BN266" i="2"/>
  <c r="Z266" i="2"/>
  <c r="BN272" i="2"/>
  <c r="BP272" i="2"/>
  <c r="BP276" i="2"/>
  <c r="BN276" i="2"/>
  <c r="Z276" i="2"/>
  <c r="BN282" i="2"/>
  <c r="BP282" i="2"/>
  <c r="BP299" i="2"/>
  <c r="BN299" i="2"/>
  <c r="Z299" i="2"/>
  <c r="Y305" i="2"/>
  <c r="BN301" i="2"/>
  <c r="P563" i="2"/>
  <c r="Y327" i="2"/>
  <c r="BP322" i="2"/>
  <c r="BN322" i="2"/>
  <c r="Z322" i="2"/>
  <c r="Y328" i="2"/>
  <c r="BN324" i="2"/>
  <c r="BP333" i="2"/>
  <c r="BN333" i="2"/>
  <c r="Z333" i="2"/>
  <c r="BN340" i="2"/>
  <c r="Z340" i="2"/>
  <c r="BP346" i="2"/>
  <c r="BN346" i="2"/>
  <c r="Z346" i="2"/>
  <c r="Z348" i="2" s="1"/>
  <c r="BP370" i="2"/>
  <c r="BN370" i="2"/>
  <c r="Z370" i="2"/>
  <c r="BN372" i="2"/>
  <c r="BP372" i="2"/>
  <c r="BN27" i="2"/>
  <c r="BN40" i="2"/>
  <c r="BN49" i="2"/>
  <c r="BP49" i="2"/>
  <c r="BN60" i="2"/>
  <c r="BP60" i="2"/>
  <c r="BP65" i="2"/>
  <c r="Y70" i="2"/>
  <c r="Z66" i="2"/>
  <c r="BP73" i="2"/>
  <c r="BN73" i="2"/>
  <c r="Z73" i="2"/>
  <c r="BN77" i="2"/>
  <c r="Y80" i="2"/>
  <c r="BN83" i="2"/>
  <c r="BP83" i="2"/>
  <c r="BN85" i="2"/>
  <c r="BN93" i="2"/>
  <c r="BP102" i="2"/>
  <c r="BN102" i="2"/>
  <c r="Z102" i="2"/>
  <c r="BP136" i="2"/>
  <c r="BN136" i="2"/>
  <c r="Z136" i="2"/>
  <c r="Y138" i="2"/>
  <c r="Y139" i="2"/>
  <c r="BN154" i="2"/>
  <c r="Z154" i="2"/>
  <c r="BN176" i="2"/>
  <c r="Z176" i="2"/>
  <c r="BP178" i="2"/>
  <c r="BN178" i="2"/>
  <c r="Z178" i="2"/>
  <c r="Y196" i="2"/>
  <c r="Y195" i="2"/>
  <c r="BP194" i="2"/>
  <c r="BN194" i="2"/>
  <c r="Z194" i="2"/>
  <c r="Z195" i="2" s="1"/>
  <c r="BP204" i="2"/>
  <c r="BN204" i="2"/>
  <c r="Z204" i="2"/>
  <c r="Y212" i="2"/>
  <c r="BN206" i="2"/>
  <c r="BP206" i="2"/>
  <c r="BN207" i="2"/>
  <c r="BP219" i="2"/>
  <c r="BN219" i="2"/>
  <c r="Z219" i="2"/>
  <c r="BN226" i="2"/>
  <c r="BN239" i="2"/>
  <c r="BP239" i="2"/>
  <c r="BP268" i="2"/>
  <c r="BN268" i="2"/>
  <c r="Z268" i="2"/>
  <c r="Y274" i="2"/>
  <c r="BN270" i="2"/>
  <c r="BP278" i="2"/>
  <c r="BN278" i="2"/>
  <c r="Z278" i="2"/>
  <c r="Y289" i="2"/>
  <c r="BN280" i="2"/>
  <c r="BN286" i="2"/>
  <c r="BN291" i="2"/>
  <c r="Y293" i="2"/>
  <c r="Y294" i="2"/>
  <c r="O563" i="2"/>
  <c r="Y304" i="2"/>
  <c r="BP297" i="2"/>
  <c r="BN297" i="2"/>
  <c r="Z297" i="2"/>
  <c r="BN303" i="2"/>
  <c r="BP303" i="2"/>
  <c r="Y309" i="2"/>
  <c r="Y308" i="2"/>
  <c r="BP307" i="2"/>
  <c r="BN307" i="2"/>
  <c r="Z307" i="2"/>
  <c r="Z308" i="2" s="1"/>
  <c r="BN326" i="2"/>
  <c r="BP326" i="2"/>
  <c r="Q563" i="2"/>
  <c r="Y335" i="2"/>
  <c r="Y334" i="2"/>
  <c r="BP331" i="2"/>
  <c r="BN331" i="2"/>
  <c r="Z331" i="2"/>
  <c r="BN339" i="2"/>
  <c r="Z339" i="2"/>
  <c r="BN341" i="2"/>
  <c r="BP341" i="2"/>
  <c r="BP360" i="2"/>
  <c r="BN360" i="2"/>
  <c r="Z360" i="2"/>
  <c r="BP387" i="2"/>
  <c r="BN387" i="2"/>
  <c r="Z387" i="2"/>
  <c r="BN394" i="2"/>
  <c r="Z394" i="2"/>
  <c r="BP428" i="2"/>
  <c r="BN428" i="2"/>
  <c r="Z428" i="2"/>
  <c r="BP438" i="2"/>
  <c r="BN438" i="2"/>
  <c r="Z438" i="2"/>
  <c r="Z439" i="2" s="1"/>
  <c r="BP448" i="2"/>
  <c r="BN448" i="2"/>
  <c r="Z448" i="2"/>
  <c r="Z450" i="2" s="1"/>
  <c r="Y450" i="2"/>
  <c r="Y451" i="2"/>
  <c r="X563" i="2"/>
  <c r="BP454" i="2"/>
  <c r="BN474" i="2"/>
  <c r="Y477" i="2"/>
  <c r="BP480" i="2"/>
  <c r="BN480" i="2"/>
  <c r="Z480" i="2"/>
  <c r="Z482" i="2" s="1"/>
  <c r="AA563" i="2"/>
  <c r="Y507" i="2"/>
  <c r="BP498" i="2"/>
  <c r="BN498" i="2"/>
  <c r="Z498" i="2"/>
  <c r="BN500" i="2"/>
  <c r="BP500" i="2"/>
  <c r="BP505" i="2"/>
  <c r="BN505" i="2"/>
  <c r="Z505" i="2"/>
  <c r="Y524" i="2"/>
  <c r="BP516" i="2"/>
  <c r="BN516" i="2"/>
  <c r="Z516" i="2"/>
  <c r="Y529" i="2"/>
  <c r="Z528" i="2"/>
  <c r="Z529" i="2" s="1"/>
  <c r="BN86" i="2"/>
  <c r="Y94" i="2"/>
  <c r="BP99" i="2"/>
  <c r="BP100" i="2"/>
  <c r="BP109" i="2"/>
  <c r="BP110" i="2"/>
  <c r="BP119" i="2"/>
  <c r="Y131" i="2"/>
  <c r="BN129" i="2"/>
  <c r="BN137" i="2"/>
  <c r="BP142" i="2"/>
  <c r="BP143" i="2"/>
  <c r="BN164" i="2"/>
  <c r="BP164" i="2"/>
  <c r="Y171" i="2"/>
  <c r="BN181" i="2"/>
  <c r="BN184" i="2"/>
  <c r="BP184" i="2"/>
  <c r="BN205" i="2"/>
  <c r="BN208" i="2"/>
  <c r="BP208" i="2"/>
  <c r="L563" i="2"/>
  <c r="BP221" i="2"/>
  <c r="BP222" i="2"/>
  <c r="BN227" i="2"/>
  <c r="BP227" i="2"/>
  <c r="BN228" i="2"/>
  <c r="Y241" i="2"/>
  <c r="BN237" i="2"/>
  <c r="BP237" i="2"/>
  <c r="BN238" i="2"/>
  <c r="BN246" i="2"/>
  <c r="BN256" i="2"/>
  <c r="BN269" i="2"/>
  <c r="BN271" i="2"/>
  <c r="Y273" i="2"/>
  <c r="Y288" i="2"/>
  <c r="BN279" i="2"/>
  <c r="BN281" i="2"/>
  <c r="BN300" i="2"/>
  <c r="BN302" i="2"/>
  <c r="Y319" i="2"/>
  <c r="BN323" i="2"/>
  <c r="BN325" i="2"/>
  <c r="R563" i="2"/>
  <c r="BN362" i="2"/>
  <c r="BP362" i="2"/>
  <c r="BP380" i="2"/>
  <c r="BN380" i="2"/>
  <c r="Z380" i="2"/>
  <c r="Y389" i="2"/>
  <c r="BP385" i="2"/>
  <c r="BN393" i="2"/>
  <c r="Z393" i="2"/>
  <c r="BP394" i="2"/>
  <c r="BP398" i="2"/>
  <c r="Y401" i="2"/>
  <c r="BN398" i="2"/>
  <c r="BP400" i="2"/>
  <c r="BN400" i="2"/>
  <c r="Z400" i="2"/>
  <c r="Y408" i="2"/>
  <c r="BP404" i="2"/>
  <c r="W563" i="2"/>
  <c r="BP425" i="2"/>
  <c r="BN425" i="2"/>
  <c r="Z425" i="2"/>
  <c r="BP432" i="2"/>
  <c r="BN432" i="2"/>
  <c r="Z432" i="2"/>
  <c r="BP459" i="2"/>
  <c r="BN459" i="2"/>
  <c r="Z459" i="2"/>
  <c r="Z460" i="2" s="1"/>
  <c r="Y460" i="2"/>
  <c r="Y563" i="2"/>
  <c r="BP471" i="2"/>
  <c r="BN471" i="2"/>
  <c r="Z471" i="2"/>
  <c r="Y482" i="2"/>
  <c r="Y483" i="2"/>
  <c r="Z563" i="2"/>
  <c r="Y487" i="2"/>
  <c r="BP486" i="2"/>
  <c r="BN486" i="2"/>
  <c r="Z486" i="2"/>
  <c r="Z487" i="2" s="1"/>
  <c r="BP528" i="2"/>
  <c r="Y534" i="2"/>
  <c r="Z532" i="2"/>
  <c r="Z533" i="2" s="1"/>
  <c r="AC563" i="2"/>
  <c r="Y552" i="2"/>
  <c r="BN361" i="2"/>
  <c r="BN371" i="2"/>
  <c r="BN381" i="2"/>
  <c r="Z395" i="2"/>
  <c r="U563" i="2"/>
  <c r="Y414" i="2"/>
  <c r="BP417" i="2"/>
  <c r="BP418" i="2"/>
  <c r="BP429" i="2"/>
  <c r="BP430" i="2"/>
  <c r="Y440" i="2"/>
  <c r="BN444" i="2"/>
  <c r="BN449" i="2"/>
  <c r="Y467" i="2"/>
  <c r="BN492" i="2"/>
  <c r="BN499" i="2"/>
  <c r="BN504" i="2"/>
  <c r="Y523" i="2"/>
  <c r="BN518" i="2"/>
  <c r="BP518" i="2"/>
  <c r="BN519" i="2"/>
  <c r="BP540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BN61" i="2"/>
  <c r="H563" i="2"/>
  <c r="Z128" i="2"/>
  <c r="Z131" i="2" s="1"/>
  <c r="Y62" i="2"/>
  <c r="Y132" i="2"/>
  <c r="Z78" i="2"/>
  <c r="Y105" i="2"/>
  <c r="BN128" i="2"/>
  <c r="Z171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Z120" i="2" s="1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Z52" i="2" s="1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94" i="2" s="1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BP381" i="2"/>
  <c r="BN391" i="2"/>
  <c r="Y402" i="2"/>
  <c r="Z412" i="2"/>
  <c r="Z413" i="2" s="1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04" i="2" s="1"/>
  <c r="Z324" i="2"/>
  <c r="Y349" i="2"/>
  <c r="Y395" i="2"/>
  <c r="BP510" i="2"/>
  <c r="BN532" i="2"/>
  <c r="BN544" i="2"/>
  <c r="S563" i="2"/>
  <c r="BN255" i="2"/>
  <c r="Z265" i="2"/>
  <c r="BN285" i="2"/>
  <c r="Z341" i="2"/>
  <c r="BN354" i="2"/>
  <c r="Y366" i="2"/>
  <c r="Z385" i="2"/>
  <c r="Z388" i="2" s="1"/>
  <c r="Z419" i="2"/>
  <c r="Z420" i="2" s="1"/>
  <c r="Z431" i="2"/>
  <c r="BN443" i="2"/>
  <c r="Z454" i="2"/>
  <c r="Z456" i="2" s="1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Y551" i="2"/>
  <c r="E563" i="2"/>
  <c r="Z256" i="2"/>
  <c r="Z398" i="2"/>
  <c r="Z401" i="2" s="1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BN417" i="2"/>
  <c r="Y420" i="2"/>
  <c r="BP476" i="2"/>
  <c r="Y488" i="2"/>
  <c r="BN545" i="2"/>
  <c r="AB563" i="2"/>
  <c r="Z166" i="2" l="1"/>
  <c r="Z113" i="2"/>
  <c r="Z546" i="2"/>
  <c r="Z433" i="2"/>
  <c r="Z257" i="2"/>
  <c r="Z343" i="2"/>
  <c r="Z32" i="2"/>
  <c r="Z382" i="2"/>
  <c r="Z247" i="2"/>
  <c r="Z138" i="2"/>
  <c r="Z74" i="2"/>
  <c r="Z334" i="2"/>
  <c r="Z69" i="2"/>
  <c r="Z407" i="2"/>
  <c r="Z523" i="2"/>
  <c r="Z477" i="2"/>
  <c r="Z327" i="2"/>
  <c r="Z24" i="2"/>
  <c r="Y553" i="2"/>
  <c r="Y557" i="2"/>
  <c r="Z105" i="2"/>
  <c r="Z288" i="2"/>
  <c r="Z493" i="2"/>
  <c r="Z445" i="2"/>
  <c r="Z513" i="2"/>
  <c r="Z507" i="2"/>
  <c r="Z375" i="2"/>
  <c r="Z241" i="2"/>
  <c r="Z233" i="2"/>
  <c r="Z211" i="2"/>
  <c r="Y554" i="2"/>
  <c r="X556" i="2"/>
  <c r="Z185" i="2"/>
  <c r="Z365" i="2"/>
  <c r="Z79" i="2"/>
  <c r="Z273" i="2"/>
  <c r="Z155" i="2"/>
  <c r="Z466" i="2"/>
  <c r="Z87" i="2"/>
  <c r="Z318" i="2"/>
  <c r="Z43" i="2"/>
  <c r="Y555" i="2"/>
  <c r="Z558" i="2" l="1"/>
  <c r="Y556" i="2"/>
</calcChain>
</file>

<file path=xl/sharedStrings.xml><?xml version="1.0" encoding="utf-8"?>
<sst xmlns="http://schemas.openxmlformats.org/spreadsheetml/2006/main" count="4217" uniqueCount="894">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</sst>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topLeftCell="C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 t="s">
        <v>893</v>
      </c>
      <c r="I5" s="997"/>
      <c r="J5" s="997"/>
      <c r="K5" s="997"/>
      <c r="L5" s="997"/>
      <c r="M5" s="997"/>
      <c r="N5" s="72"/>
      <c r="P5" s="27" t="s">
        <v>4</v>
      </c>
      <c r="Q5" s="999">
        <v>46264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876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Воскресенье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0.41666666666666669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hidden="1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hidden="1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hidden="1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hidden="1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hidden="1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5000</v>
      </c>
      <c r="Y463" s="55">
        <f>IFERROR(IF(X463="",0,CEILING((X463/$H463),1)*$H463),"")</f>
        <v>5004</v>
      </c>
      <c r="Z463" s="41">
        <f>IFERROR(IF(Y463=0,"",ROUNDUP(Y463/H463,0)*0.01898),"")</f>
        <v>10.55288</v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5274.4444444444443</v>
      </c>
      <c r="BN463" s="78">
        <f>IFERROR(Y463*I463/H463,"0")</f>
        <v>5278.6640000000007</v>
      </c>
      <c r="BO463" s="78">
        <f>IFERROR(1/J463*(X463/H463),"0")</f>
        <v>8.6805555555555554</v>
      </c>
      <c r="BP463" s="78">
        <f>IFERROR(1/J463*(Y463/H463),"0")</f>
        <v>8.6875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555.55555555555554</v>
      </c>
      <c r="Y466" s="43">
        <f>IFERROR(Y463/H463,"0")+IFERROR(Y464/H464,"0")+IFERROR(Y465/H465,"0")</f>
        <v>556</v>
      </c>
      <c r="Z466" s="43">
        <f>IFERROR(IF(Z463="",0,Z463),"0")+IFERROR(IF(Z464="",0,Z464),"0")+IFERROR(IF(Z465="",0,Z465),"0")</f>
        <v>10.55288</v>
      </c>
      <c r="AA466" s="67"/>
      <c r="AB466" s="67"/>
      <c r="AC466" s="67"/>
    </row>
    <row r="467" spans="1:68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5000</v>
      </c>
      <c r="Y467" s="43">
        <f>IFERROR(SUM(Y463:Y465),"0")</f>
        <v>5004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hidden="1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hidden="1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hidden="1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hidden="1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5000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5004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5274.4444444444443</v>
      </c>
      <c r="Y554" s="43">
        <f>IFERROR(SUM(BN22:BN550),"0")</f>
        <v>5278.6640000000007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9</v>
      </c>
      <c r="Y555" s="44">
        <f>ROUNDUP(SUM(BP22:BP550),0)</f>
        <v>9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5499.4444444444443</v>
      </c>
      <c r="Y556" s="43">
        <f>GrossWeightTotalR+PalletQtyTotalR*25</f>
        <v>5503.6640000000007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555.55555555555554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556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10.55288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0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0</v>
      </c>
      <c r="X563" s="52">
        <f>IFERROR(Y454*1,"0")+IFERROR(Y455*1,"0")+IFERROR(Y459*1,"0")+IFERROR(Y463*1,"0")+IFERROR(Y464*1,"0")+IFERROR(Y465*1,"0")</f>
        <v>5004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5 000,00"/>
        <filter val="5 274,44"/>
        <filter val="5 499,44"/>
        <filter val="555,56"/>
        <filter val="9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2026-08-27T10:48:31Z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