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3DA968E-C3A2-4ECE-929E-EFD284F2AE2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1" l="1"/>
  <c r="X550" i="1"/>
  <c r="BO549" i="1"/>
  <c r="BM549" i="1"/>
  <c r="Y549" i="1"/>
  <c r="AC562" i="1" s="1"/>
  <c r="P549" i="1"/>
  <c r="X546" i="1"/>
  <c r="X545" i="1"/>
  <c r="BO544" i="1"/>
  <c r="BM544" i="1"/>
  <c r="Z544" i="1"/>
  <c r="Y544" i="1"/>
  <c r="BN544" i="1" s="1"/>
  <c r="P544" i="1"/>
  <c r="BO543" i="1"/>
  <c r="BM543" i="1"/>
  <c r="Y543" i="1"/>
  <c r="Y545" i="1" s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AB562" i="1" s="1"/>
  <c r="P527" i="1"/>
  <c r="X523" i="1"/>
  <c r="X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BP510" i="1" s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O502" i="1"/>
  <c r="BM502" i="1"/>
  <c r="Y502" i="1"/>
  <c r="BN502" i="1" s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X493" i="1"/>
  <c r="X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BP479" i="1" s="1"/>
  <c r="P479" i="1"/>
  <c r="X477" i="1"/>
  <c r="X476" i="1"/>
  <c r="BO475" i="1"/>
  <c r="BM475" i="1"/>
  <c r="Y475" i="1"/>
  <c r="P475" i="1"/>
  <c r="BO474" i="1"/>
  <c r="BM474" i="1"/>
  <c r="Y474" i="1"/>
  <c r="P474" i="1"/>
  <c r="BO473" i="1"/>
  <c r="BM473" i="1"/>
  <c r="Y473" i="1"/>
  <c r="BP473" i="1" s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O463" i="1"/>
  <c r="BM463" i="1"/>
  <c r="Y463" i="1"/>
  <c r="BP463" i="1" s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BP453" i="1" s="1"/>
  <c r="P453" i="1"/>
  <c r="X450" i="1"/>
  <c r="X449" i="1"/>
  <c r="BO448" i="1"/>
  <c r="BM448" i="1"/>
  <c r="Y448" i="1"/>
  <c r="P448" i="1"/>
  <c r="BO447" i="1"/>
  <c r="BM447" i="1"/>
  <c r="Y447" i="1"/>
  <c r="Y449" i="1" s="1"/>
  <c r="P447" i="1"/>
  <c r="X445" i="1"/>
  <c r="X444" i="1"/>
  <c r="BO443" i="1"/>
  <c r="BM443" i="1"/>
  <c r="Y443" i="1"/>
  <c r="P443" i="1"/>
  <c r="BO442" i="1"/>
  <c r="BM442" i="1"/>
  <c r="Z442" i="1"/>
  <c r="Y442" i="1"/>
  <c r="BN442" i="1" s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0" i="1"/>
  <c r="X419" i="1"/>
  <c r="BO418" i="1"/>
  <c r="BM418" i="1"/>
  <c r="Y418" i="1"/>
  <c r="BP418" i="1" s="1"/>
  <c r="P418" i="1"/>
  <c r="BO417" i="1"/>
  <c r="BM417" i="1"/>
  <c r="Y417" i="1"/>
  <c r="P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Y412" i="1" s="1"/>
  <c r="P410" i="1"/>
  <c r="X407" i="1"/>
  <c r="X406" i="1"/>
  <c r="BO405" i="1"/>
  <c r="BM405" i="1"/>
  <c r="Y405" i="1"/>
  <c r="P405" i="1"/>
  <c r="BO404" i="1"/>
  <c r="BM404" i="1"/>
  <c r="Y404" i="1"/>
  <c r="BP404" i="1" s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O392" i="1"/>
  <c r="BM392" i="1"/>
  <c r="Z392" i="1"/>
  <c r="Y392" i="1"/>
  <c r="BN392" i="1" s="1"/>
  <c r="P392" i="1"/>
  <c r="BO391" i="1"/>
  <c r="BM391" i="1"/>
  <c r="Y391" i="1"/>
  <c r="P391" i="1"/>
  <c r="BO390" i="1"/>
  <c r="BM390" i="1"/>
  <c r="Y390" i="1"/>
  <c r="P390" i="1"/>
  <c r="X388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Y388" i="1" s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O370" i="1"/>
  <c r="BM370" i="1"/>
  <c r="Y370" i="1"/>
  <c r="BN370" i="1" s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Z362" i="1"/>
  <c r="Y362" i="1"/>
  <c r="BN362" i="1" s="1"/>
  <c r="P362" i="1"/>
  <c r="BO361" i="1"/>
  <c r="BM361" i="1"/>
  <c r="Y361" i="1"/>
  <c r="P361" i="1"/>
  <c r="BO360" i="1"/>
  <c r="BM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BN353" i="1" s="1"/>
  <c r="P353" i="1"/>
  <c r="BO352" i="1"/>
  <c r="BM352" i="1"/>
  <c r="Y352" i="1"/>
  <c r="P352" i="1"/>
  <c r="X349" i="1"/>
  <c r="X348" i="1"/>
  <c r="BO347" i="1"/>
  <c r="BM347" i="1"/>
  <c r="Y347" i="1"/>
  <c r="P347" i="1"/>
  <c r="BO346" i="1"/>
  <c r="BM346" i="1"/>
  <c r="Y346" i="1"/>
  <c r="P346" i="1"/>
  <c r="X344" i="1"/>
  <c r="X343" i="1"/>
  <c r="BO342" i="1"/>
  <c r="BM342" i="1"/>
  <c r="Y342" i="1"/>
  <c r="BP342" i="1" s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BP338" i="1"/>
  <c r="BO338" i="1"/>
  <c r="BM338" i="1"/>
  <c r="Y338" i="1"/>
  <c r="P338" i="1"/>
  <c r="X335" i="1"/>
  <c r="X334" i="1"/>
  <c r="BO333" i="1"/>
  <c r="BM333" i="1"/>
  <c r="Y333" i="1"/>
  <c r="BP333" i="1" s="1"/>
  <c r="P333" i="1"/>
  <c r="BO332" i="1"/>
  <c r="BM332" i="1"/>
  <c r="Y332" i="1"/>
  <c r="P332" i="1"/>
  <c r="BO331" i="1"/>
  <c r="BM331" i="1"/>
  <c r="Z331" i="1"/>
  <c r="Y331" i="1"/>
  <c r="BN331" i="1" s="1"/>
  <c r="P331" i="1"/>
  <c r="X328" i="1"/>
  <c r="X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BP315" i="1" s="1"/>
  <c r="P315" i="1"/>
  <c r="X313" i="1"/>
  <c r="X312" i="1"/>
  <c r="BO311" i="1"/>
  <c r="BM311" i="1"/>
  <c r="Y311" i="1"/>
  <c r="BN311" i="1" s="1"/>
  <c r="P311" i="1"/>
  <c r="X309" i="1"/>
  <c r="X308" i="1"/>
  <c r="BO307" i="1"/>
  <c r="BM307" i="1"/>
  <c r="Z307" i="1"/>
  <c r="Z308" i="1" s="1"/>
  <c r="Y307" i="1"/>
  <c r="Y309" i="1" s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Z299" i="1"/>
  <c r="Y299" i="1"/>
  <c r="BN299" i="1" s="1"/>
  <c r="P299" i="1"/>
  <c r="BO298" i="1"/>
  <c r="BM298" i="1"/>
  <c r="Y298" i="1"/>
  <c r="P298" i="1"/>
  <c r="BO297" i="1"/>
  <c r="BM297" i="1"/>
  <c r="Y297" i="1"/>
  <c r="BN297" i="1" s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O284" i="1"/>
  <c r="BM284" i="1"/>
  <c r="Z284" i="1"/>
  <c r="Y284" i="1"/>
  <c r="BN284" i="1" s="1"/>
  <c r="P284" i="1"/>
  <c r="BO283" i="1"/>
  <c r="BM283" i="1"/>
  <c r="Y283" i="1"/>
  <c r="P283" i="1"/>
  <c r="BO282" i="1"/>
  <c r="BM282" i="1"/>
  <c r="Y282" i="1"/>
  <c r="BN282" i="1" s="1"/>
  <c r="P282" i="1"/>
  <c r="BO281" i="1"/>
  <c r="BM281" i="1"/>
  <c r="Y281" i="1"/>
  <c r="P281" i="1"/>
  <c r="BO280" i="1"/>
  <c r="BM280" i="1"/>
  <c r="Y280" i="1"/>
  <c r="BN280" i="1" s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O276" i="1"/>
  <c r="BM276" i="1"/>
  <c r="Y276" i="1"/>
  <c r="BP276" i="1" s="1"/>
  <c r="P276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O269" i="1"/>
  <c r="BM269" i="1"/>
  <c r="Y269" i="1"/>
  <c r="BN269" i="1" s="1"/>
  <c r="P269" i="1"/>
  <c r="BO268" i="1"/>
  <c r="BM268" i="1"/>
  <c r="Y268" i="1"/>
  <c r="P268" i="1"/>
  <c r="BO267" i="1"/>
  <c r="BM267" i="1"/>
  <c r="Y267" i="1"/>
  <c r="P267" i="1"/>
  <c r="BO266" i="1"/>
  <c r="BM266" i="1"/>
  <c r="Y266" i="1"/>
  <c r="P266" i="1"/>
  <c r="BO265" i="1"/>
  <c r="BM265" i="1"/>
  <c r="Y265" i="1"/>
  <c r="BN265" i="1" s="1"/>
  <c r="P265" i="1"/>
  <c r="X263" i="1"/>
  <c r="X262" i="1"/>
  <c r="BO261" i="1"/>
  <c r="BM261" i="1"/>
  <c r="Y261" i="1"/>
  <c r="BN261" i="1" s="1"/>
  <c r="P261" i="1"/>
  <c r="BO260" i="1"/>
  <c r="BM260" i="1"/>
  <c r="Y260" i="1"/>
  <c r="P260" i="1"/>
  <c r="X258" i="1"/>
  <c r="X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BN250" i="1" s="1"/>
  <c r="P250" i="1"/>
  <c r="X248" i="1"/>
  <c r="X247" i="1"/>
  <c r="BP246" i="1"/>
  <c r="BO246" i="1"/>
  <c r="BM246" i="1"/>
  <c r="Y246" i="1"/>
  <c r="P246" i="1"/>
  <c r="BO245" i="1"/>
  <c r="BM245" i="1"/>
  <c r="Y245" i="1"/>
  <c r="P245" i="1"/>
  <c r="BO244" i="1"/>
  <c r="BM244" i="1"/>
  <c r="Y244" i="1"/>
  <c r="Z244" i="1" s="1"/>
  <c r="P244" i="1"/>
  <c r="X242" i="1"/>
  <c r="X241" i="1"/>
  <c r="BO240" i="1"/>
  <c r="BM240" i="1"/>
  <c r="Z240" i="1"/>
  <c r="Y240" i="1"/>
  <c r="BN240" i="1" s="1"/>
  <c r="P240" i="1"/>
  <c r="BO239" i="1"/>
  <c r="BM239" i="1"/>
  <c r="Y239" i="1"/>
  <c r="P239" i="1"/>
  <c r="BO238" i="1"/>
  <c r="BM238" i="1"/>
  <c r="Y238" i="1"/>
  <c r="BN238" i="1" s="1"/>
  <c r="P238" i="1"/>
  <c r="BO237" i="1"/>
  <c r="BM237" i="1"/>
  <c r="Y237" i="1"/>
  <c r="P237" i="1"/>
  <c r="BO236" i="1"/>
  <c r="BM236" i="1"/>
  <c r="Y236" i="1"/>
  <c r="BN236" i="1" s="1"/>
  <c r="P236" i="1"/>
  <c r="X234" i="1"/>
  <c r="X233" i="1"/>
  <c r="BO232" i="1"/>
  <c r="BM232" i="1"/>
  <c r="Y232" i="1"/>
  <c r="P232" i="1"/>
  <c r="BO231" i="1"/>
  <c r="BM231" i="1"/>
  <c r="Y231" i="1"/>
  <c r="P231" i="1"/>
  <c r="BO230" i="1"/>
  <c r="BM230" i="1"/>
  <c r="Y230" i="1"/>
  <c r="BN230" i="1" s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BN224" i="1" s="1"/>
  <c r="P224" i="1"/>
  <c r="BO223" i="1"/>
  <c r="BM223" i="1"/>
  <c r="Y223" i="1"/>
  <c r="P223" i="1"/>
  <c r="BO222" i="1"/>
  <c r="BM222" i="1"/>
  <c r="Y222" i="1"/>
  <c r="BN222" i="1" s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X212" i="1"/>
  <c r="X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N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X200" i="1"/>
  <c r="X199" i="1"/>
  <c r="BO198" i="1"/>
  <c r="BM198" i="1"/>
  <c r="Y198" i="1"/>
  <c r="P198" i="1"/>
  <c r="X196" i="1"/>
  <c r="X195" i="1"/>
  <c r="BO194" i="1"/>
  <c r="BM194" i="1"/>
  <c r="Y194" i="1"/>
  <c r="P194" i="1"/>
  <c r="X192" i="1"/>
  <c r="X191" i="1"/>
  <c r="BO190" i="1"/>
  <c r="BM190" i="1"/>
  <c r="Y190" i="1"/>
  <c r="P190" i="1"/>
  <c r="BO189" i="1"/>
  <c r="BM189" i="1"/>
  <c r="Y189" i="1"/>
  <c r="BN189" i="1" s="1"/>
  <c r="P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BN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Z175" i="1"/>
  <c r="Y175" i="1"/>
  <c r="BN175" i="1" s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Z169" i="1" s="1"/>
  <c r="P169" i="1"/>
  <c r="X167" i="1"/>
  <c r="X166" i="1"/>
  <c r="BO165" i="1"/>
  <c r="BM165" i="1"/>
  <c r="Y165" i="1"/>
  <c r="BN165" i="1" s="1"/>
  <c r="P165" i="1"/>
  <c r="BO164" i="1"/>
  <c r="BM164" i="1"/>
  <c r="Y164" i="1"/>
  <c r="Z164" i="1" s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O153" i="1"/>
  <c r="BM153" i="1"/>
  <c r="Y153" i="1"/>
  <c r="BN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O149" i="1"/>
  <c r="BM149" i="1"/>
  <c r="Y149" i="1"/>
  <c r="BN149" i="1" s="1"/>
  <c r="P149" i="1"/>
  <c r="BO148" i="1"/>
  <c r="BM148" i="1"/>
  <c r="Y148" i="1"/>
  <c r="P148" i="1"/>
  <c r="X145" i="1"/>
  <c r="X144" i="1"/>
  <c r="BO143" i="1"/>
  <c r="BM143" i="1"/>
  <c r="Y143" i="1"/>
  <c r="BP143" i="1" s="1"/>
  <c r="P143" i="1"/>
  <c r="BO142" i="1"/>
  <c r="BM142" i="1"/>
  <c r="Y142" i="1"/>
  <c r="BP142" i="1" s="1"/>
  <c r="P142" i="1"/>
  <c r="BO141" i="1"/>
  <c r="BM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BO135" i="1"/>
  <c r="BM135" i="1"/>
  <c r="Y135" i="1"/>
  <c r="BP135" i="1" s="1"/>
  <c r="P135" i="1"/>
  <c r="BO134" i="1"/>
  <c r="BM134" i="1"/>
  <c r="Y134" i="1"/>
  <c r="BP134" i="1" s="1"/>
  <c r="P134" i="1"/>
  <c r="X132" i="1"/>
  <c r="X131" i="1"/>
  <c r="BO130" i="1"/>
  <c r="BM130" i="1"/>
  <c r="Y130" i="1"/>
  <c r="BN130" i="1" s="1"/>
  <c r="P130" i="1"/>
  <c r="BO129" i="1"/>
  <c r="BM129" i="1"/>
  <c r="Y129" i="1"/>
  <c r="BP129" i="1" s="1"/>
  <c r="P129" i="1"/>
  <c r="BP128" i="1"/>
  <c r="BO128" i="1"/>
  <c r="BN128" i="1"/>
  <c r="BM128" i="1"/>
  <c r="Z128" i="1"/>
  <c r="Y128" i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BN119" i="1" s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P98" i="1"/>
  <c r="X95" i="1"/>
  <c r="X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P90" i="1" s="1"/>
  <c r="P90" i="1"/>
  <c r="X88" i="1"/>
  <c r="X87" i="1"/>
  <c r="BO86" i="1"/>
  <c r="BM86" i="1"/>
  <c r="Y86" i="1"/>
  <c r="BP86" i="1" s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BO83" i="1"/>
  <c r="BM83" i="1"/>
  <c r="Y83" i="1"/>
  <c r="P83" i="1"/>
  <c r="X80" i="1"/>
  <c r="X79" i="1"/>
  <c r="BO78" i="1"/>
  <c r="BM78" i="1"/>
  <c r="Y78" i="1"/>
  <c r="BP78" i="1" s="1"/>
  <c r="P78" i="1"/>
  <c r="BO77" i="1"/>
  <c r="BM77" i="1"/>
  <c r="Y77" i="1"/>
  <c r="BP77" i="1" s="1"/>
  <c r="P77" i="1"/>
  <c r="X75" i="1"/>
  <c r="X74" i="1"/>
  <c r="BO73" i="1"/>
  <c r="BM73" i="1"/>
  <c r="Y73" i="1"/>
  <c r="BP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N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P56" i="1"/>
  <c r="X53" i="1"/>
  <c r="X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56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Y124" i="1" l="1"/>
  <c r="Y387" i="1"/>
  <c r="Y550" i="1"/>
  <c r="Z38" i="1"/>
  <c r="BN38" i="1"/>
  <c r="Z90" i="1"/>
  <c r="BN90" i="1"/>
  <c r="Z134" i="1"/>
  <c r="BN134" i="1"/>
  <c r="Z269" i="1"/>
  <c r="Z286" i="1"/>
  <c r="BN286" i="1"/>
  <c r="Z333" i="1"/>
  <c r="BN333" i="1"/>
  <c r="Z353" i="1"/>
  <c r="Z370" i="1"/>
  <c r="Z384" i="1"/>
  <c r="Z453" i="1"/>
  <c r="BN453" i="1"/>
  <c r="Z502" i="1"/>
  <c r="BN22" i="1"/>
  <c r="BN30" i="1"/>
  <c r="BN40" i="1"/>
  <c r="BN48" i="1"/>
  <c r="BN57" i="1"/>
  <c r="BN77" i="1"/>
  <c r="BN86" i="1"/>
  <c r="BN92" i="1"/>
  <c r="BN101" i="1"/>
  <c r="BN109" i="1"/>
  <c r="BN117" i="1"/>
  <c r="BP220" i="1"/>
  <c r="BN220" i="1"/>
  <c r="Z220" i="1"/>
  <c r="BN226" i="1"/>
  <c r="Z226" i="1"/>
  <c r="BN255" i="1"/>
  <c r="Z255" i="1"/>
  <c r="BP278" i="1"/>
  <c r="BN278" i="1"/>
  <c r="Z278" i="1"/>
  <c r="BN292" i="1"/>
  <c r="Z292" i="1"/>
  <c r="BP303" i="1"/>
  <c r="BN303" i="1"/>
  <c r="Z303" i="1"/>
  <c r="BP317" i="1"/>
  <c r="BN317" i="1"/>
  <c r="Z317" i="1"/>
  <c r="BN324" i="1"/>
  <c r="Z324" i="1"/>
  <c r="BP340" i="1"/>
  <c r="BN340" i="1"/>
  <c r="Z340" i="1"/>
  <c r="BP346" i="1"/>
  <c r="BN346" i="1"/>
  <c r="Z346" i="1"/>
  <c r="BN378" i="1"/>
  <c r="Z378" i="1"/>
  <c r="BN426" i="1"/>
  <c r="Z426" i="1"/>
  <c r="BN498" i="1"/>
  <c r="BN518" i="1"/>
  <c r="Z518" i="1"/>
  <c r="BN42" i="1"/>
  <c r="BN50" i="1"/>
  <c r="BN59" i="1"/>
  <c r="BN73" i="1"/>
  <c r="BN103" i="1"/>
  <c r="BN111" i="1"/>
  <c r="BN123" i="1"/>
  <c r="Z142" i="1"/>
  <c r="BN142" i="1"/>
  <c r="I562" i="1"/>
  <c r="BP169" i="1"/>
  <c r="BN169" i="1"/>
  <c r="BP177" i="1"/>
  <c r="BN177" i="1"/>
  <c r="Z177" i="1"/>
  <c r="BN209" i="1"/>
  <c r="Z209" i="1"/>
  <c r="BP226" i="1"/>
  <c r="BP228" i="1"/>
  <c r="BN228" i="1"/>
  <c r="Z228" i="1"/>
  <c r="BN232" i="1"/>
  <c r="Z232" i="1"/>
  <c r="BN246" i="1"/>
  <c r="Z246" i="1"/>
  <c r="BP255" i="1"/>
  <c r="BN267" i="1"/>
  <c r="Z267" i="1"/>
  <c r="BN276" i="1"/>
  <c r="Z276" i="1"/>
  <c r="BP292" i="1"/>
  <c r="BN301" i="1"/>
  <c r="Z301" i="1"/>
  <c r="Y319" i="1"/>
  <c r="Y318" i="1"/>
  <c r="Z315" i="1"/>
  <c r="BP324" i="1"/>
  <c r="BP326" i="1"/>
  <c r="BN326" i="1"/>
  <c r="Z326" i="1"/>
  <c r="BN338" i="1"/>
  <c r="Z338" i="1"/>
  <c r="BP378" i="1"/>
  <c r="BP380" i="1"/>
  <c r="BN380" i="1"/>
  <c r="Z380" i="1"/>
  <c r="BP411" i="1"/>
  <c r="BN411" i="1"/>
  <c r="Z411" i="1"/>
  <c r="BN418" i="1"/>
  <c r="Z418" i="1"/>
  <c r="BP426" i="1"/>
  <c r="BP428" i="1"/>
  <c r="BN428" i="1"/>
  <c r="Z428" i="1"/>
  <c r="BP436" i="1"/>
  <c r="BN436" i="1"/>
  <c r="Z436" i="1"/>
  <c r="BN463" i="1"/>
  <c r="BN473" i="1"/>
  <c r="BN510" i="1"/>
  <c r="Z510" i="1"/>
  <c r="BP518" i="1"/>
  <c r="BP520" i="1"/>
  <c r="BN520" i="1"/>
  <c r="Z520" i="1"/>
  <c r="BN181" i="1"/>
  <c r="BP240" i="1"/>
  <c r="BP269" i="1"/>
  <c r="BP284" i="1"/>
  <c r="BP307" i="1"/>
  <c r="Y312" i="1"/>
  <c r="BP331" i="1"/>
  <c r="BN342" i="1"/>
  <c r="BP353" i="1"/>
  <c r="BP362" i="1"/>
  <c r="BP370" i="1"/>
  <c r="BP384" i="1"/>
  <c r="BP392" i="1"/>
  <c r="BN404" i="1"/>
  <c r="BN430" i="1"/>
  <c r="BP442" i="1"/>
  <c r="BN479" i="1"/>
  <c r="BP502" i="1"/>
  <c r="BP544" i="1"/>
  <c r="BN549" i="1"/>
  <c r="F10" i="1"/>
  <c r="Z22" i="1"/>
  <c r="Y32" i="1"/>
  <c r="Z30" i="1"/>
  <c r="C562" i="1"/>
  <c r="Z40" i="1"/>
  <c r="Z48" i="1"/>
  <c r="Z57" i="1"/>
  <c r="BN61" i="1"/>
  <c r="BN67" i="1"/>
  <c r="Z77" i="1"/>
  <c r="F562" i="1"/>
  <c r="Z86" i="1"/>
  <c r="Y94" i="1"/>
  <c r="Z92" i="1"/>
  <c r="G562" i="1"/>
  <c r="Z101" i="1"/>
  <c r="Z109" i="1"/>
  <c r="Z117" i="1"/>
  <c r="BP165" i="1"/>
  <c r="Z165" i="1"/>
  <c r="BP175" i="1"/>
  <c r="Z238" i="1"/>
  <c r="Y251" i="1"/>
  <c r="Z261" i="1"/>
  <c r="BP267" i="1"/>
  <c r="Z282" i="1"/>
  <c r="BP297" i="1"/>
  <c r="Z297" i="1"/>
  <c r="BN416" i="1"/>
  <c r="BP416" i="1"/>
  <c r="Z416" i="1"/>
  <c r="BN424" i="1"/>
  <c r="BP424" i="1"/>
  <c r="Z424" i="1"/>
  <c r="BN490" i="1"/>
  <c r="BP490" i="1"/>
  <c r="Z490" i="1"/>
  <c r="BP136" i="1"/>
  <c r="Z136" i="1"/>
  <c r="BP149" i="1"/>
  <c r="BP179" i="1"/>
  <c r="Z179" i="1"/>
  <c r="BP183" i="1"/>
  <c r="BP189" i="1"/>
  <c r="BP205" i="1"/>
  <c r="Z205" i="1"/>
  <c r="BP222" i="1"/>
  <c r="Z222" i="1"/>
  <c r="BP230" i="1"/>
  <c r="Z230" i="1"/>
  <c r="Y248" i="1"/>
  <c r="BN244" i="1"/>
  <c r="Y247" i="1"/>
  <c r="BP244" i="1"/>
  <c r="BP299" i="1"/>
  <c r="BN390" i="1"/>
  <c r="BP390" i="1"/>
  <c r="Z390" i="1"/>
  <c r="BN398" i="1"/>
  <c r="BP398" i="1"/>
  <c r="Z398" i="1"/>
  <c r="BN448" i="1"/>
  <c r="BP448" i="1"/>
  <c r="Z448" i="1"/>
  <c r="BN475" i="1"/>
  <c r="BP475" i="1"/>
  <c r="Z475" i="1"/>
  <c r="F9" i="1"/>
  <c r="Z61" i="1"/>
  <c r="Y69" i="1"/>
  <c r="Z67" i="1"/>
  <c r="BP119" i="1"/>
  <c r="Z149" i="1"/>
  <c r="BP153" i="1"/>
  <c r="Z153" i="1"/>
  <c r="Z183" i="1"/>
  <c r="Z189" i="1"/>
  <c r="BP207" i="1"/>
  <c r="BP224" i="1"/>
  <c r="BP232" i="1"/>
  <c r="Y242" i="1"/>
  <c r="BP236" i="1"/>
  <c r="Z236" i="1"/>
  <c r="BP280" i="1"/>
  <c r="Z280" i="1"/>
  <c r="Y313" i="1"/>
  <c r="BP311" i="1"/>
  <c r="Z311" i="1"/>
  <c r="Z312" i="1" s="1"/>
  <c r="BN322" i="1"/>
  <c r="P562" i="1"/>
  <c r="BP322" i="1"/>
  <c r="BN516" i="1"/>
  <c r="BP516" i="1"/>
  <c r="Z516" i="1"/>
  <c r="J9" i="1"/>
  <c r="Z42" i="1"/>
  <c r="Z50" i="1"/>
  <c r="E562" i="1"/>
  <c r="Z59" i="1"/>
  <c r="Z65" i="1"/>
  <c r="BP65" i="1"/>
  <c r="Z73" i="1"/>
  <c r="Y79" i="1"/>
  <c r="Z103" i="1"/>
  <c r="Y113" i="1"/>
  <c r="Z111" i="1"/>
  <c r="Y121" i="1"/>
  <c r="Z119" i="1"/>
  <c r="Z123" i="1"/>
  <c r="Z124" i="1" s="1"/>
  <c r="BP123" i="1"/>
  <c r="BP130" i="1"/>
  <c r="Z130" i="1"/>
  <c r="BN136" i="1"/>
  <c r="BN179" i="1"/>
  <c r="Z181" i="1"/>
  <c r="BN205" i="1"/>
  <c r="Z207" i="1"/>
  <c r="Z224" i="1"/>
  <c r="BP238" i="1"/>
  <c r="Y252" i="1"/>
  <c r="BP250" i="1"/>
  <c r="Z250" i="1"/>
  <c r="Z251" i="1" s="1"/>
  <c r="BP261" i="1"/>
  <c r="BP265" i="1"/>
  <c r="Z265" i="1"/>
  <c r="BP282" i="1"/>
  <c r="Z322" i="1"/>
  <c r="BN360" i="1"/>
  <c r="BP360" i="1"/>
  <c r="Z360" i="1"/>
  <c r="BN368" i="1"/>
  <c r="BP368" i="1"/>
  <c r="Z368" i="1"/>
  <c r="BN500" i="1"/>
  <c r="BP500" i="1"/>
  <c r="Z500" i="1"/>
  <c r="Y138" i="1"/>
  <c r="Y144" i="1"/>
  <c r="Y171" i="1"/>
  <c r="BN307" i="1"/>
  <c r="Y308" i="1"/>
  <c r="BN315" i="1"/>
  <c r="Z342" i="1"/>
  <c r="Y348" i="1"/>
  <c r="BN384" i="1"/>
  <c r="Z404" i="1"/>
  <c r="Z430" i="1"/>
  <c r="Z463" i="1"/>
  <c r="Z473" i="1"/>
  <c r="Z479" i="1"/>
  <c r="Z498" i="1"/>
  <c r="Z549" i="1"/>
  <c r="Z550" i="1" s="1"/>
  <c r="BP549" i="1"/>
  <c r="Y25" i="1"/>
  <c r="Y33" i="1"/>
  <c r="Y62" i="1"/>
  <c r="Y95" i="1"/>
  <c r="Y106" i="1"/>
  <c r="Y120" i="1"/>
  <c r="Y131" i="1"/>
  <c r="Y139" i="1"/>
  <c r="Y145" i="1"/>
  <c r="Y156" i="1"/>
  <c r="Y160" i="1"/>
  <c r="J562" i="1"/>
  <c r="Y167" i="1"/>
  <c r="BP176" i="1"/>
  <c r="BN176" i="1"/>
  <c r="Z176" i="1"/>
  <c r="BP180" i="1"/>
  <c r="BN180" i="1"/>
  <c r="Z180" i="1"/>
  <c r="BP184" i="1"/>
  <c r="BN184" i="1"/>
  <c r="Z184" i="1"/>
  <c r="Y186" i="1"/>
  <c r="Y191" i="1"/>
  <c r="BP188" i="1"/>
  <c r="BN188" i="1"/>
  <c r="Z188" i="1"/>
  <c r="BP206" i="1"/>
  <c r="BN206" i="1"/>
  <c r="Z206" i="1"/>
  <c r="BP210" i="1"/>
  <c r="BN210" i="1"/>
  <c r="Z210" i="1"/>
  <c r="Y212" i="1"/>
  <c r="L562" i="1"/>
  <c r="Y216" i="1"/>
  <c r="BP215" i="1"/>
  <c r="BN215" i="1"/>
  <c r="Z215" i="1"/>
  <c r="Z216" i="1" s="1"/>
  <c r="Y217" i="1"/>
  <c r="Y234" i="1"/>
  <c r="BP219" i="1"/>
  <c r="BN219" i="1"/>
  <c r="Z219" i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BP256" i="1"/>
  <c r="BN256" i="1"/>
  <c r="Z256" i="1"/>
  <c r="Y258" i="1"/>
  <c r="Y263" i="1"/>
  <c r="BP260" i="1"/>
  <c r="BN260" i="1"/>
  <c r="Z260" i="1"/>
  <c r="Z262" i="1" s="1"/>
  <c r="BP268" i="1"/>
  <c r="BN268" i="1"/>
  <c r="Z268" i="1"/>
  <c r="BP272" i="1"/>
  <c r="BN272" i="1"/>
  <c r="Z272" i="1"/>
  <c r="BP277" i="1"/>
  <c r="BN277" i="1"/>
  <c r="Z277" i="1"/>
  <c r="Y289" i="1"/>
  <c r="BP281" i="1"/>
  <c r="BN281" i="1"/>
  <c r="Z281" i="1"/>
  <c r="BP285" i="1"/>
  <c r="BN285" i="1"/>
  <c r="Z285" i="1"/>
  <c r="BP298" i="1"/>
  <c r="BN298" i="1"/>
  <c r="Z298" i="1"/>
  <c r="Y304" i="1"/>
  <c r="BP302" i="1"/>
  <c r="BN302" i="1"/>
  <c r="Z302" i="1"/>
  <c r="BP341" i="1"/>
  <c r="BN341" i="1"/>
  <c r="Z341" i="1"/>
  <c r="BP391" i="1"/>
  <c r="BN391" i="1"/>
  <c r="Z391" i="1"/>
  <c r="Y395" i="1"/>
  <c r="BP399" i="1"/>
  <c r="BN399" i="1"/>
  <c r="Z399" i="1"/>
  <c r="Y401" i="1"/>
  <c r="Y406" i="1"/>
  <c r="BP403" i="1"/>
  <c r="BN403" i="1"/>
  <c r="Z403" i="1"/>
  <c r="Y407" i="1"/>
  <c r="BP417" i="1"/>
  <c r="BN417" i="1"/>
  <c r="Z417" i="1"/>
  <c r="Z419" i="1" s="1"/>
  <c r="Y419" i="1"/>
  <c r="Y43" i="1"/>
  <c r="Y53" i="1"/>
  <c r="Y70" i="1"/>
  <c r="Y74" i="1"/>
  <c r="Y80" i="1"/>
  <c r="Y87" i="1"/>
  <c r="Y114" i="1"/>
  <c r="H9" i="1"/>
  <c r="B562" i="1"/>
  <c r="X553" i="1"/>
  <c r="X554" i="1"/>
  <c r="Z23" i="1"/>
  <c r="BN23" i="1"/>
  <c r="Y24" i="1"/>
  <c r="X552" i="1"/>
  <c r="Z27" i="1"/>
  <c r="BN27" i="1"/>
  <c r="BP27" i="1"/>
  <c r="Z29" i="1"/>
  <c r="BN29" i="1"/>
  <c r="Z31" i="1"/>
  <c r="BN31" i="1"/>
  <c r="Z37" i="1"/>
  <c r="Z43" i="1" s="1"/>
  <c r="BN37" i="1"/>
  <c r="BP37" i="1"/>
  <c r="Z39" i="1"/>
  <c r="BN39" i="1"/>
  <c r="Z41" i="1"/>
  <c r="BN41" i="1"/>
  <c r="Y44" i="1"/>
  <c r="D562" i="1"/>
  <c r="Z49" i="1"/>
  <c r="BN49" i="1"/>
  <c r="Z51" i="1"/>
  <c r="BN51" i="1"/>
  <c r="Y52" i="1"/>
  <c r="Z56" i="1"/>
  <c r="BN56" i="1"/>
  <c r="BP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Z79" i="1" s="1"/>
  <c r="BN78" i="1"/>
  <c r="Z83" i="1"/>
  <c r="BN83" i="1"/>
  <c r="BP83" i="1"/>
  <c r="Z85" i="1"/>
  <c r="BN85" i="1"/>
  <c r="Y88" i="1"/>
  <c r="Z91" i="1"/>
  <c r="BN91" i="1"/>
  <c r="Z93" i="1"/>
  <c r="BN93" i="1"/>
  <c r="Z98" i="1"/>
  <c r="BN98" i="1"/>
  <c r="BP98" i="1"/>
  <c r="Z100" i="1"/>
  <c r="BN100" i="1"/>
  <c r="Z102" i="1"/>
  <c r="BN102" i="1"/>
  <c r="Z104" i="1"/>
  <c r="BN104" i="1"/>
  <c r="Y105" i="1"/>
  <c r="Z108" i="1"/>
  <c r="BN108" i="1"/>
  <c r="BP108" i="1"/>
  <c r="Z110" i="1"/>
  <c r="BN110" i="1"/>
  <c r="Z112" i="1"/>
  <c r="BN112" i="1"/>
  <c r="Z116" i="1"/>
  <c r="BN116" i="1"/>
  <c r="BP116" i="1"/>
  <c r="Z118" i="1"/>
  <c r="BN118" i="1"/>
  <c r="H562" i="1"/>
  <c r="Z129" i="1"/>
  <c r="Z131" i="1" s="1"/>
  <c r="BN129" i="1"/>
  <c r="Y132" i="1"/>
  <c r="Z135" i="1"/>
  <c r="BN135" i="1"/>
  <c r="Z137" i="1"/>
  <c r="BN137" i="1"/>
  <c r="Z141" i="1"/>
  <c r="BN141" i="1"/>
  <c r="BP141" i="1"/>
  <c r="Z143" i="1"/>
  <c r="BN143" i="1"/>
  <c r="Z148" i="1"/>
  <c r="Z155" i="1" s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Z166" i="1" s="1"/>
  <c r="BN163" i="1"/>
  <c r="BP163" i="1"/>
  <c r="BP164" i="1"/>
  <c r="BN164" i="1"/>
  <c r="Y166" i="1"/>
  <c r="BP170" i="1"/>
  <c r="BN170" i="1"/>
  <c r="Z170" i="1"/>
  <c r="Z171" i="1" s="1"/>
  <c r="Y172" i="1"/>
  <c r="Y185" i="1"/>
  <c r="BP174" i="1"/>
  <c r="BN174" i="1"/>
  <c r="Z174" i="1"/>
  <c r="BP178" i="1"/>
  <c r="BN178" i="1"/>
  <c r="Z178" i="1"/>
  <c r="BP182" i="1"/>
  <c r="BN182" i="1"/>
  <c r="Z182" i="1"/>
  <c r="BP190" i="1"/>
  <c r="BN190" i="1"/>
  <c r="Z190" i="1"/>
  <c r="Y192" i="1"/>
  <c r="Y195" i="1"/>
  <c r="BP194" i="1"/>
  <c r="BN194" i="1"/>
  <c r="Z194" i="1"/>
  <c r="Z195" i="1" s="1"/>
  <c r="Y196" i="1"/>
  <c r="Y199" i="1"/>
  <c r="BP198" i="1"/>
  <c r="BN198" i="1"/>
  <c r="Z198" i="1"/>
  <c r="Z199" i="1" s="1"/>
  <c r="Y200" i="1"/>
  <c r="K562" i="1"/>
  <c r="Y211" i="1"/>
  <c r="BP204" i="1"/>
  <c r="BN204" i="1"/>
  <c r="Z204" i="1"/>
  <c r="BP208" i="1"/>
  <c r="BN208" i="1"/>
  <c r="Z208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BP245" i="1"/>
  <c r="BN245" i="1"/>
  <c r="Z245" i="1"/>
  <c r="Z247" i="1" s="1"/>
  <c r="Y262" i="1"/>
  <c r="BP266" i="1"/>
  <c r="BN266" i="1"/>
  <c r="Z266" i="1"/>
  <c r="BP270" i="1"/>
  <c r="BN270" i="1"/>
  <c r="Z270" i="1"/>
  <c r="BP323" i="1"/>
  <c r="BN323" i="1"/>
  <c r="Z323" i="1"/>
  <c r="Y327" i="1"/>
  <c r="BP332" i="1"/>
  <c r="BN332" i="1"/>
  <c r="Z332" i="1"/>
  <c r="Z334" i="1" s="1"/>
  <c r="Y334" i="1"/>
  <c r="BP354" i="1"/>
  <c r="BN354" i="1"/>
  <c r="Z354" i="1"/>
  <c r="Y356" i="1"/>
  <c r="T562" i="1"/>
  <c r="Y364" i="1"/>
  <c r="BP359" i="1"/>
  <c r="BN359" i="1"/>
  <c r="Z359" i="1"/>
  <c r="BP363" i="1"/>
  <c r="BN363" i="1"/>
  <c r="Z363" i="1"/>
  <c r="Y365" i="1"/>
  <c r="Y374" i="1"/>
  <c r="BP367" i="1"/>
  <c r="BN367" i="1"/>
  <c r="Z367" i="1"/>
  <c r="Y375" i="1"/>
  <c r="BP371" i="1"/>
  <c r="BN371" i="1"/>
  <c r="Z371" i="1"/>
  <c r="BP379" i="1"/>
  <c r="BN379" i="1"/>
  <c r="Z379" i="1"/>
  <c r="BP427" i="1"/>
  <c r="BN427" i="1"/>
  <c r="Z427" i="1"/>
  <c r="M562" i="1"/>
  <c r="Y257" i="1"/>
  <c r="Y274" i="1"/>
  <c r="Y273" i="1"/>
  <c r="Y288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BP316" i="1"/>
  <c r="BN316" i="1"/>
  <c r="Z316" i="1"/>
  <c r="Y328" i="1"/>
  <c r="BP325" i="1"/>
  <c r="BN325" i="1"/>
  <c r="Z325" i="1"/>
  <c r="BP339" i="1"/>
  <c r="BN339" i="1"/>
  <c r="Z339" i="1"/>
  <c r="Y343" i="1"/>
  <c r="BP347" i="1"/>
  <c r="BN347" i="1"/>
  <c r="Z347" i="1"/>
  <c r="Z348" i="1" s="1"/>
  <c r="Y349" i="1"/>
  <c r="S562" i="1"/>
  <c r="Y355" i="1"/>
  <c r="BP352" i="1"/>
  <c r="BN352" i="1"/>
  <c r="Z352" i="1"/>
  <c r="BP361" i="1"/>
  <c r="BN361" i="1"/>
  <c r="Z361" i="1"/>
  <c r="BP369" i="1"/>
  <c r="BN369" i="1"/>
  <c r="Z369" i="1"/>
  <c r="BP373" i="1"/>
  <c r="BN373" i="1"/>
  <c r="Z373" i="1"/>
  <c r="Y382" i="1"/>
  <c r="BP377" i="1"/>
  <c r="BN377" i="1"/>
  <c r="Z377" i="1"/>
  <c r="Y381" i="1"/>
  <c r="BP385" i="1"/>
  <c r="BN385" i="1"/>
  <c r="Z385" i="1"/>
  <c r="Z387" i="1" s="1"/>
  <c r="Y394" i="1"/>
  <c r="BP393" i="1"/>
  <c r="BN393" i="1"/>
  <c r="Z393" i="1"/>
  <c r="Z394" i="1" s="1"/>
  <c r="Y400" i="1"/>
  <c r="BP397" i="1"/>
  <c r="BN397" i="1"/>
  <c r="Z397" i="1"/>
  <c r="BP405" i="1"/>
  <c r="BN405" i="1"/>
  <c r="Z405" i="1"/>
  <c r="U562" i="1"/>
  <c r="Y413" i="1"/>
  <c r="BP410" i="1"/>
  <c r="BN410" i="1"/>
  <c r="Z410" i="1"/>
  <c r="Z412" i="1" s="1"/>
  <c r="BP425" i="1"/>
  <c r="BN425" i="1"/>
  <c r="Z425" i="1"/>
  <c r="BP429" i="1"/>
  <c r="BN429" i="1"/>
  <c r="Z429" i="1"/>
  <c r="BP437" i="1"/>
  <c r="BN437" i="1"/>
  <c r="Z437" i="1"/>
  <c r="Y439" i="1"/>
  <c r="Y444" i="1"/>
  <c r="BP441" i="1"/>
  <c r="BN441" i="1"/>
  <c r="Z441" i="1"/>
  <c r="Y445" i="1"/>
  <c r="BP454" i="1"/>
  <c r="BN454" i="1"/>
  <c r="Z454" i="1"/>
  <c r="Y45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Y476" i="1"/>
  <c r="BP480" i="1"/>
  <c r="BN480" i="1"/>
  <c r="Z480" i="1"/>
  <c r="Z481" i="1" s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X562" i="1"/>
  <c r="O562" i="1"/>
  <c r="Y305" i="1"/>
  <c r="Q562" i="1"/>
  <c r="Y335" i="1"/>
  <c r="R562" i="1"/>
  <c r="Y344" i="1"/>
  <c r="V562" i="1"/>
  <c r="Y420" i="1"/>
  <c r="W562" i="1"/>
  <c r="Y432" i="1"/>
  <c r="BP431" i="1"/>
  <c r="BN431" i="1"/>
  <c r="Z431" i="1"/>
  <c r="Y433" i="1"/>
  <c r="Y438" i="1"/>
  <c r="BP435" i="1"/>
  <c r="BN435" i="1"/>
  <c r="Z435" i="1"/>
  <c r="BP443" i="1"/>
  <c r="BN443" i="1"/>
  <c r="Z443" i="1"/>
  <c r="Y450" i="1"/>
  <c r="BP447" i="1"/>
  <c r="BN447" i="1"/>
  <c r="Z447" i="1"/>
  <c r="Z449" i="1" s="1"/>
  <c r="Y455" i="1"/>
  <c r="BP464" i="1"/>
  <c r="BN464" i="1"/>
  <c r="Z464" i="1"/>
  <c r="Y562" i="1"/>
  <c r="Y477" i="1"/>
  <c r="BP470" i="1"/>
  <c r="BN470" i="1"/>
  <c r="Z470" i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Z512" i="1" l="1"/>
  <c r="Z455" i="1"/>
  <c r="Z400" i="1"/>
  <c r="Z318" i="1"/>
  <c r="Z438" i="1"/>
  <c r="Z343" i="1"/>
  <c r="Z241" i="1"/>
  <c r="Z138" i="1"/>
  <c r="Z24" i="1"/>
  <c r="Z257" i="1"/>
  <c r="Z381" i="1"/>
  <c r="Y554" i="1"/>
  <c r="Z432" i="1"/>
  <c r="Z355" i="1"/>
  <c r="Z327" i="1"/>
  <c r="Z120" i="1"/>
  <c r="Z69" i="1"/>
  <c r="Z62" i="1"/>
  <c r="Y553" i="1"/>
  <c r="Z288" i="1"/>
  <c r="Z94" i="1"/>
  <c r="Z52" i="1"/>
  <c r="Z304" i="1"/>
  <c r="Z506" i="1"/>
  <c r="Z476" i="1"/>
  <c r="Z492" i="1"/>
  <c r="Z374" i="1"/>
  <c r="Z364" i="1"/>
  <c r="Z273" i="1"/>
  <c r="Z211" i="1"/>
  <c r="Z144" i="1"/>
  <c r="Z113" i="1"/>
  <c r="Z105" i="1"/>
  <c r="Z87" i="1"/>
  <c r="Z32" i="1"/>
  <c r="Y556" i="1"/>
  <c r="X555" i="1"/>
  <c r="Z406" i="1"/>
  <c r="Z233" i="1"/>
  <c r="Z522" i="1"/>
  <c r="Z465" i="1"/>
  <c r="Z444" i="1"/>
  <c r="Z185" i="1"/>
  <c r="Z191" i="1"/>
  <c r="Y552" i="1"/>
  <c r="Y555" i="1" l="1"/>
  <c r="Z557" i="1"/>
</calcChain>
</file>

<file path=xl/sharedStrings.xml><?xml version="1.0" encoding="utf-8"?>
<sst xmlns="http://schemas.openxmlformats.org/spreadsheetml/2006/main" count="2499" uniqueCount="906">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</sst>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0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5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684" t="s">
        <v>0</v>
      </c>
      <c r="E1" s="675"/>
      <c r="F1" s="675"/>
      <c r="G1" s="12" t="s">
        <v>1</v>
      </c>
      <c r="H1" s="684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75" t="s">
        <v>7</v>
      </c>
      <c r="B5" s="738"/>
      <c r="C5" s="739"/>
      <c r="D5" s="685"/>
      <c r="E5" s="686"/>
      <c r="F5" s="957" t="s">
        <v>8</v>
      </c>
      <c r="G5" s="739"/>
      <c r="H5" s="685" t="s">
        <v>905</v>
      </c>
      <c r="I5" s="897"/>
      <c r="J5" s="897"/>
      <c r="K5" s="897"/>
      <c r="L5" s="897"/>
      <c r="M5" s="686"/>
      <c r="N5" s="58"/>
      <c r="P5" s="24" t="s">
        <v>9</v>
      </c>
      <c r="Q5" s="967">
        <v>46264</v>
      </c>
      <c r="R5" s="769"/>
      <c r="T5" s="819" t="s">
        <v>10</v>
      </c>
      <c r="U5" s="795"/>
      <c r="V5" s="820" t="s">
        <v>11</v>
      </c>
      <c r="W5" s="769"/>
      <c r="AB5" s="51"/>
      <c r="AC5" s="51"/>
      <c r="AD5" s="51"/>
      <c r="AE5" s="51"/>
    </row>
    <row r="6" spans="1:32" s="623" customFormat="1" ht="24" customHeight="1" x14ac:dyDescent="0.2">
      <c r="A6" s="775" t="s">
        <v>12</v>
      </c>
      <c r="B6" s="738"/>
      <c r="C6" s="739"/>
      <c r="D6" s="900" t="s">
        <v>878</v>
      </c>
      <c r="E6" s="901"/>
      <c r="F6" s="901"/>
      <c r="G6" s="901"/>
      <c r="H6" s="901"/>
      <c r="I6" s="901"/>
      <c r="J6" s="901"/>
      <c r="K6" s="901"/>
      <c r="L6" s="901"/>
      <c r="M6" s="769"/>
      <c r="N6" s="59"/>
      <c r="P6" s="24" t="s">
        <v>13</v>
      </c>
      <c r="Q6" s="976" t="str">
        <f>IF(Q5=0," ",CHOOSE(WEEKDAY(Q5,2),"Понедельник","Вторник","Среда","Четверг","Пятница","Суббота","Воскресенье"))</f>
        <v>Воскресенье</v>
      </c>
      <c r="R6" s="634"/>
      <c r="T6" s="825" t="s">
        <v>14</v>
      </c>
      <c r="U6" s="795"/>
      <c r="V6" s="885" t="s">
        <v>15</v>
      </c>
      <c r="W6" s="659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703" t="str">
        <f>IFERROR(VLOOKUP(DeliveryAddress,Table,3,0),1)</f>
        <v>5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43"/>
      <c r="U7" s="795"/>
      <c r="V7" s="886"/>
      <c r="W7" s="887"/>
      <c r="AB7" s="51"/>
      <c r="AC7" s="51"/>
      <c r="AD7" s="51"/>
      <c r="AE7" s="51"/>
    </row>
    <row r="8" spans="1:32" s="623" customFormat="1" ht="25.5" customHeight="1" x14ac:dyDescent="0.2">
      <c r="A8" s="991" t="s">
        <v>16</v>
      </c>
      <c r="B8" s="647"/>
      <c r="C8" s="648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17</v>
      </c>
      <c r="Q8" s="784">
        <v>0.41666666666666669</v>
      </c>
      <c r="R8" s="705"/>
      <c r="T8" s="643"/>
      <c r="U8" s="795"/>
      <c r="V8" s="886"/>
      <c r="W8" s="887"/>
      <c r="AB8" s="51"/>
      <c r="AC8" s="51"/>
      <c r="AD8" s="51"/>
      <c r="AE8" s="51"/>
    </row>
    <row r="9" spans="1:32" s="623" customFormat="1" ht="39.950000000000003" customHeight="1" x14ac:dyDescent="0.2">
      <c r="A9" s="7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6"/>
      <c r="E9" s="656"/>
      <c r="F9" s="7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1"/>
      <c r="P9" s="26" t="s">
        <v>18</v>
      </c>
      <c r="Q9" s="765"/>
      <c r="R9" s="766"/>
      <c r="T9" s="643"/>
      <c r="U9" s="795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6"/>
      <c r="E10" s="656"/>
      <c r="F10" s="7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7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6"/>
      <c r="R10" s="827"/>
      <c r="U10" s="24" t="s">
        <v>20</v>
      </c>
      <c r="V10" s="658" t="s">
        <v>21</v>
      </c>
      <c r="W10" s="659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8"/>
      <c r="R11" s="769"/>
      <c r="U11" s="24" t="s">
        <v>24</v>
      </c>
      <c r="V11" s="925" t="s">
        <v>25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09" t="s">
        <v>26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9"/>
      <c r="N12" s="62"/>
      <c r="P12" s="24" t="s">
        <v>27</v>
      </c>
      <c r="Q12" s="784"/>
      <c r="R12" s="705"/>
      <c r="S12" s="23"/>
      <c r="U12" s="24"/>
      <c r="V12" s="675"/>
      <c r="W12" s="643"/>
      <c r="AB12" s="51"/>
      <c r="AC12" s="51"/>
      <c r="AD12" s="51"/>
      <c r="AE12" s="51"/>
    </row>
    <row r="13" spans="1:32" s="623" customFormat="1" ht="23.25" customHeight="1" x14ac:dyDescent="0.2">
      <c r="A13" s="809" t="s">
        <v>28</v>
      </c>
      <c r="B13" s="738"/>
      <c r="C13" s="738"/>
      <c r="D13" s="738"/>
      <c r="E13" s="738"/>
      <c r="F13" s="738"/>
      <c r="G13" s="738"/>
      <c r="H13" s="738"/>
      <c r="I13" s="738"/>
      <c r="J13" s="738"/>
      <c r="K13" s="738"/>
      <c r="L13" s="738"/>
      <c r="M13" s="739"/>
      <c r="N13" s="62"/>
      <c r="O13" s="26"/>
      <c r="P13" s="26" t="s">
        <v>29</v>
      </c>
      <c r="Q13" s="925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09" t="s">
        <v>30</v>
      </c>
      <c r="B14" s="738"/>
      <c r="C14" s="738"/>
      <c r="D14" s="738"/>
      <c r="E14" s="738"/>
      <c r="F14" s="738"/>
      <c r="G14" s="738"/>
      <c r="H14" s="738"/>
      <c r="I14" s="738"/>
      <c r="J14" s="738"/>
      <c r="K14" s="738"/>
      <c r="L14" s="738"/>
      <c r="M14" s="7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39" t="s">
        <v>31</v>
      </c>
      <c r="B15" s="738"/>
      <c r="C15" s="738"/>
      <c r="D15" s="738"/>
      <c r="E15" s="738"/>
      <c r="F15" s="738"/>
      <c r="G15" s="738"/>
      <c r="H15" s="738"/>
      <c r="I15" s="738"/>
      <c r="J15" s="738"/>
      <c r="K15" s="738"/>
      <c r="L15" s="738"/>
      <c r="M15" s="739"/>
      <c r="N15" s="63"/>
      <c r="P15" s="816" t="s">
        <v>32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33</v>
      </c>
      <c r="B17" s="660" t="s">
        <v>34</v>
      </c>
      <c r="C17" s="792" t="s">
        <v>35</v>
      </c>
      <c r="D17" s="660" t="s">
        <v>36</v>
      </c>
      <c r="E17" s="743"/>
      <c r="F17" s="660" t="s">
        <v>37</v>
      </c>
      <c r="G17" s="660" t="s">
        <v>38</v>
      </c>
      <c r="H17" s="660" t="s">
        <v>39</v>
      </c>
      <c r="I17" s="660" t="s">
        <v>40</v>
      </c>
      <c r="J17" s="660" t="s">
        <v>41</v>
      </c>
      <c r="K17" s="660" t="s">
        <v>42</v>
      </c>
      <c r="L17" s="660" t="s">
        <v>43</v>
      </c>
      <c r="M17" s="660" t="s">
        <v>44</v>
      </c>
      <c r="N17" s="660" t="s">
        <v>45</v>
      </c>
      <c r="O17" s="660" t="s">
        <v>46</v>
      </c>
      <c r="P17" s="660" t="s">
        <v>47</v>
      </c>
      <c r="Q17" s="742"/>
      <c r="R17" s="742"/>
      <c r="S17" s="742"/>
      <c r="T17" s="743"/>
      <c r="U17" s="990" t="s">
        <v>48</v>
      </c>
      <c r="V17" s="739"/>
      <c r="W17" s="660" t="s">
        <v>49</v>
      </c>
      <c r="X17" s="660" t="s">
        <v>50</v>
      </c>
      <c r="Y17" s="988" t="s">
        <v>51</v>
      </c>
      <c r="Z17" s="883" t="s">
        <v>52</v>
      </c>
      <c r="AA17" s="875" t="s">
        <v>53</v>
      </c>
      <c r="AB17" s="875" t="s">
        <v>54</v>
      </c>
      <c r="AC17" s="875" t="s">
        <v>55</v>
      </c>
      <c r="AD17" s="875" t="s">
        <v>56</v>
      </c>
      <c r="AE17" s="952"/>
      <c r="AF17" s="953"/>
      <c r="AG17" s="66"/>
      <c r="BD17" s="65" t="s">
        <v>57</v>
      </c>
    </row>
    <row r="18" spans="1:68" ht="14.25" customHeight="1" x14ac:dyDescent="0.2">
      <c r="A18" s="661"/>
      <c r="B18" s="661"/>
      <c r="C18" s="661"/>
      <c r="D18" s="744"/>
      <c r="E18" s="746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44"/>
      <c r="Q18" s="745"/>
      <c r="R18" s="745"/>
      <c r="S18" s="745"/>
      <c r="T18" s="746"/>
      <c r="U18" s="67" t="s">
        <v>58</v>
      </c>
      <c r="V18" s="67" t="s">
        <v>59</v>
      </c>
      <c r="W18" s="661"/>
      <c r="X18" s="661"/>
      <c r="Y18" s="989"/>
      <c r="Z18" s="884"/>
      <c r="AA18" s="876"/>
      <c r="AB18" s="876"/>
      <c r="AC18" s="876"/>
      <c r="AD18" s="954"/>
      <c r="AE18" s="955"/>
      <c r="AF18" s="956"/>
      <c r="AG18" s="66"/>
      <c r="BD18" s="65"/>
    </row>
    <row r="19" spans="1:68" ht="27.75" hidden="1" customHeight="1" x14ac:dyDescent="0.2">
      <c r="A19" s="653" t="s">
        <v>60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hidden="1" customHeight="1" x14ac:dyDescent="0.25">
      <c r="A20" s="650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hidden="1" customHeight="1" x14ac:dyDescent="0.25">
      <c r="A21" s="652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2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7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hidden="1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hidden="1" customHeight="1" x14ac:dyDescent="0.2">
      <c r="A34" s="653" t="s">
        <v>91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hidden="1" customHeight="1" x14ac:dyDescent="0.25">
      <c r="A35" s="650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hidden="1" customHeight="1" x14ac:dyDescent="0.25">
      <c r="A36" s="652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66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53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48"/>
      <c r="AB45" s="48"/>
      <c r="AC45" s="48"/>
    </row>
    <row r="46" spans="1:68" ht="16.5" hidden="1" customHeight="1" x14ac:dyDescent="0.25">
      <c r="A46" s="650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hidden="1" customHeight="1" x14ac:dyDescent="0.25">
      <c r="A47" s="652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8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250</v>
      </c>
      <c r="Y48" s="630">
        <f>IFERROR(IF(X48="",0,CEILING((X48/$H48),1)*$H48),"")</f>
        <v>259.20000000000005</v>
      </c>
      <c r="Z48" s="36">
        <f>IFERROR(IF(Y48=0,"",ROUNDUP(Y48/H48,0)*0.01898),"")</f>
        <v>0.45552000000000004</v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259.4907407407407</v>
      </c>
      <c r="BN48" s="64">
        <f>IFERROR(Y48*I48/H48,"0")</f>
        <v>269.04000000000002</v>
      </c>
      <c r="BO48" s="64">
        <f>IFERROR(1/J48*(X48/H48),"0")</f>
        <v>0.36168981481481477</v>
      </c>
      <c r="BP48" s="64">
        <f>IFERROR(1/J48*(Y48/H48),"0")</f>
        <v>0.37500000000000006</v>
      </c>
    </row>
    <row r="49" spans="1:68" ht="27" hidden="1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7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23.148148148148145</v>
      </c>
      <c r="Y52" s="631">
        <f>IFERROR(Y48/H48,"0")+IFERROR(Y49/H49,"0")+IFERROR(Y50/H50,"0")+IFERROR(Y51/H51,"0")</f>
        <v>24.000000000000004</v>
      </c>
      <c r="Z52" s="631">
        <f>IFERROR(IF(Z48="",0,Z48),"0")+IFERROR(IF(Z49="",0,Z49),"0")+IFERROR(IF(Z50="",0,Z50),"0")+IFERROR(IF(Z51="",0,Z51),"0")</f>
        <v>0.45552000000000004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250</v>
      </c>
      <c r="Y53" s="631">
        <f>IFERROR(SUM(Y48:Y51),"0")</f>
        <v>259.20000000000005</v>
      </c>
      <c r="Z53" s="37"/>
      <c r="AA53" s="632"/>
      <c r="AB53" s="632"/>
      <c r="AC53" s="632"/>
    </row>
    <row r="54" spans="1:68" ht="16.5" hidden="1" customHeight="1" x14ac:dyDescent="0.25">
      <c r="A54" s="650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hidden="1" customHeight="1" x14ac:dyDescent="0.25">
      <c r="A55" s="652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hidden="1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7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0</v>
      </c>
      <c r="Y56" s="630">
        <f t="shared" ref="Y56:Y61" si="6">IFERROR(IF(X56="",0,CEILING((X56/$H56),1)*$H56),"")</f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0</v>
      </c>
      <c r="BN56" s="64">
        <f t="shared" ref="BN56:BN61" si="8">IFERROR(Y56*I56/H56,"0")</f>
        <v>0</v>
      </c>
      <c r="BO56" s="64">
        <f t="shared" ref="BO56:BO61" si="9">IFERROR(1/J56*(X56/H56),"0")</f>
        <v>0</v>
      </c>
      <c r="BP56" s="64">
        <f t="shared" ref="BP56:BP61" si="10">IFERROR(1/J56*(Y56/H56),"0")</f>
        <v>0</v>
      </c>
    </row>
    <row r="57" spans="1:68" ht="27" hidden="1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0</v>
      </c>
      <c r="Y57" s="630">
        <f t="shared" si="6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0</v>
      </c>
      <c r="BN57" s="64">
        <f t="shared" si="8"/>
        <v>0</v>
      </c>
      <c r="BO57" s="64">
        <f t="shared" si="9"/>
        <v>0</v>
      </c>
      <c r="BP57" s="64">
        <f t="shared" si="10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98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89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0</v>
      </c>
      <c r="Y59" s="630">
        <f t="shared" si="6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0</v>
      </c>
      <c r="BN59" s="64">
        <f t="shared" si="8"/>
        <v>0</v>
      </c>
      <c r="BO59" s="64">
        <f t="shared" si="9"/>
        <v>0</v>
      </c>
      <c r="BP59" s="64">
        <f t="shared" si="10"/>
        <v>0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hidden="1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86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idden="1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0</v>
      </c>
      <c r="Y62" s="631">
        <f>IFERROR(Y56/H56,"0")+IFERROR(Y57/H57,"0")+IFERROR(Y58/H58,"0")+IFERROR(Y59/H59,"0")+IFERROR(Y60/H60,"0")+IFERROR(Y61/H61,"0")</f>
        <v>0</v>
      </c>
      <c r="Z62" s="631">
        <f>IFERROR(IF(Z56="",0,Z56),"0")+IFERROR(IF(Z57="",0,Z57),"0")+IFERROR(IF(Z58="",0,Z58),"0")+IFERROR(IF(Z59="",0,Z59),"0")+IFERROR(IF(Z60="",0,Z60),"0")+IFERROR(IF(Z61="",0,Z61),"0")</f>
        <v>0</v>
      </c>
      <c r="AA62" s="632"/>
      <c r="AB62" s="632"/>
      <c r="AC62" s="632"/>
    </row>
    <row r="63" spans="1:68" hidden="1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0</v>
      </c>
      <c r="Y63" s="631">
        <f>IFERROR(SUM(Y56:Y61),"0")</f>
        <v>0</v>
      </c>
      <c r="Z63" s="37"/>
      <c r="AA63" s="632"/>
      <c r="AB63" s="632"/>
      <c r="AC63" s="632"/>
    </row>
    <row r="64" spans="1:68" ht="14.25" hidden="1" customHeight="1" x14ac:dyDescent="0.25">
      <c r="A64" s="652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hidden="1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0</v>
      </c>
      <c r="Y65" s="630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7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0</v>
      </c>
      <c r="Y69" s="631">
        <f>IFERROR(Y65/H65,"0")+IFERROR(Y66/H66,"0")+IFERROR(Y67/H67,"0")+IFERROR(Y68/H68,"0")</f>
        <v>0</v>
      </c>
      <c r="Z69" s="631">
        <f>IFERROR(IF(Z65="",0,Z65),"0")+IFERROR(IF(Z66="",0,Z66),"0")+IFERROR(IF(Z67="",0,Z67),"0")+IFERROR(IF(Z68="",0,Z68),"0")</f>
        <v>0</v>
      </c>
      <c r="AA69" s="632"/>
      <c r="AB69" s="632"/>
      <c r="AC69" s="632"/>
    </row>
    <row r="70" spans="1:68" hidden="1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0</v>
      </c>
      <c r="Y70" s="631">
        <f>IFERROR(SUM(Y65:Y68),"0")</f>
        <v>0</v>
      </c>
      <c r="Z70" s="37"/>
      <c r="AA70" s="632"/>
      <c r="AB70" s="632"/>
      <c r="AC70" s="632"/>
    </row>
    <row r="71" spans="1:68" ht="14.25" hidden="1" customHeight="1" x14ac:dyDescent="0.25">
      <c r="A71" s="652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hidden="1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10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2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0</v>
      </c>
      <c r="Y77" s="630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0</v>
      </c>
      <c r="Y79" s="631">
        <f>IFERROR(Y77/H77,"0")+IFERROR(Y78/H78,"0")</f>
        <v>0</v>
      </c>
      <c r="Z79" s="631">
        <f>IFERROR(IF(Z77="",0,Z77),"0")+IFERROR(IF(Z78="",0,Z78),"0")</f>
        <v>0</v>
      </c>
      <c r="AA79" s="632"/>
      <c r="AB79" s="632"/>
      <c r="AC79" s="632"/>
    </row>
    <row r="80" spans="1:68" hidden="1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0</v>
      </c>
      <c r="Y80" s="631">
        <f>IFERROR(SUM(Y77:Y78),"0")</f>
        <v>0</v>
      </c>
      <c r="Z80" s="37"/>
      <c r="AA80" s="632"/>
      <c r="AB80" s="632"/>
      <c r="AC80" s="632"/>
    </row>
    <row r="81" spans="1:68" ht="16.5" hidden="1" customHeight="1" x14ac:dyDescent="0.25">
      <c r="A81" s="650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hidden="1" customHeight="1" x14ac:dyDescent="0.25">
      <c r="A82" s="652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hidden="1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9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0</v>
      </c>
      <c r="Y86" s="63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idden="1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0</v>
      </c>
      <c r="Y87" s="631">
        <f>IFERROR(Y83/H83,"0")+IFERROR(Y84/H84,"0")+IFERROR(Y85/H85,"0")+IFERROR(Y86/H86,"0")</f>
        <v>0</v>
      </c>
      <c r="Z87" s="631">
        <f>IFERROR(IF(Z83="",0,Z83),"0")+IFERROR(IF(Z84="",0,Z84),"0")+IFERROR(IF(Z85="",0,Z85),"0")+IFERROR(IF(Z86="",0,Z86),"0")</f>
        <v>0</v>
      </c>
      <c r="AA87" s="632"/>
      <c r="AB87" s="632"/>
      <c r="AC87" s="632"/>
    </row>
    <row r="88" spans="1:68" hidden="1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0</v>
      </c>
      <c r="Y88" s="631">
        <f>IFERROR(SUM(Y83:Y86),"0")</f>
        <v>0</v>
      </c>
      <c r="Z88" s="37"/>
      <c r="AA88" s="632"/>
      <c r="AB88" s="632"/>
      <c r="AC88" s="632"/>
    </row>
    <row r="89" spans="1:68" ht="14.25" hidden="1" customHeight="1" x14ac:dyDescent="0.25">
      <c r="A89" s="652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hidden="1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0</v>
      </c>
      <c r="Y90" s="630">
        <f>IFERROR(IF(X90="",0,CEILING((X90/$H90),1)*$H90),"")</f>
        <v>0</v>
      </c>
      <c r="Z90" s="36" t="str">
        <f>IFERROR(IF(Y90=0,"",ROUNDUP(Y90/H90,0)*0.01898),"")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93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70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225</v>
      </c>
      <c r="Y92" s="630">
        <f>IFERROR(IF(X92="",0,CEILING((X92/$H92),1)*$H92),"")</f>
        <v>226.8</v>
      </c>
      <c r="Z92" s="36">
        <f>IFERROR(IF(Y92=0,"",ROUNDUP(Y92/H92,0)*0.00651),"")</f>
        <v>0.54683999999999999</v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246</v>
      </c>
      <c r="BN92" s="64">
        <f>IFERROR(Y92*I92/H92,"0")</f>
        <v>247.96799999999999</v>
      </c>
      <c r="BO92" s="64">
        <f>IFERROR(1/J92*(X92/H92),"0")</f>
        <v>0.45787545787545786</v>
      </c>
      <c r="BP92" s="64">
        <f>IFERROR(1/J92*(Y92/H92),"0")</f>
        <v>0.46153846153846156</v>
      </c>
    </row>
    <row r="93" spans="1:68" ht="16.5" hidden="1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83.333333333333329</v>
      </c>
      <c r="Y94" s="631">
        <f>IFERROR(Y90/H90,"0")+IFERROR(Y91/H91,"0")+IFERROR(Y92/H92,"0")+IFERROR(Y93/H93,"0")</f>
        <v>84</v>
      </c>
      <c r="Z94" s="631">
        <f>IFERROR(IF(Z90="",0,Z90),"0")+IFERROR(IF(Z91="",0,Z91),"0")+IFERROR(IF(Z92="",0,Z92),"0")+IFERROR(IF(Z93="",0,Z93),"0")</f>
        <v>0.54683999999999999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225</v>
      </c>
      <c r="Y95" s="631">
        <f>IFERROR(SUM(Y90:Y93),"0")</f>
        <v>226.8</v>
      </c>
      <c r="Z95" s="37"/>
      <c r="AA95" s="632"/>
      <c r="AB95" s="632"/>
      <c r="AC95" s="632"/>
    </row>
    <row r="96" spans="1:68" ht="16.5" hidden="1" customHeight="1" x14ac:dyDescent="0.25">
      <c r="A96" s="650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hidden="1" customHeight="1" x14ac:dyDescent="0.25">
      <c r="A97" s="652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100</v>
      </c>
      <c r="Y98" s="630">
        <f t="shared" ref="Y98:Y104" si="11">IFERROR(IF(X98="",0,CEILING((X98/$H98),1)*$H98),"")</f>
        <v>108</v>
      </c>
      <c r="Z98" s="36">
        <f>IFERROR(IF(Y98=0,"",ROUNDUP(Y98/H98,0)*0.01898),"")</f>
        <v>0.1898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103.79629629629629</v>
      </c>
      <c r="BN98" s="64">
        <f t="shared" ref="BN98:BN104" si="13">IFERROR(Y98*I98/H98,"0")</f>
        <v>112.1</v>
      </c>
      <c r="BO98" s="64">
        <f t="shared" ref="BO98:BO104" si="14">IFERROR(1/J98*(X98/H98),"0")</f>
        <v>0.14467592592592593</v>
      </c>
      <c r="BP98" s="64">
        <f t="shared" ref="BP98:BP104" si="15">IFERROR(1/J98*(Y98/H98),"0")</f>
        <v>0.15625</v>
      </c>
    </row>
    <row r="99" spans="1:68" ht="27" hidden="1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9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6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0</v>
      </c>
      <c r="Y103" s="630">
        <f t="shared" si="11"/>
        <v>0</v>
      </c>
      <c r="Z103" s="36" t="str">
        <f>IFERROR(IF(Y103=0,"",ROUNDUP(Y103/H103,0)*0.00902),"")</f>
        <v/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9.2592592592592595</v>
      </c>
      <c r="Y105" s="631">
        <f>IFERROR(Y98/H98,"0")+IFERROR(Y99/H99,"0")+IFERROR(Y100/H100,"0")+IFERROR(Y101/H101,"0")+IFERROR(Y102/H102,"0")+IFERROR(Y103/H103,"0")+IFERROR(Y104/H104,"0")</f>
        <v>10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0.1898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100</v>
      </c>
      <c r="Y106" s="631">
        <f>IFERROR(SUM(Y98:Y104),"0")</f>
        <v>108</v>
      </c>
      <c r="Z106" s="37"/>
      <c r="AA106" s="632"/>
      <c r="AB106" s="632"/>
      <c r="AC106" s="632"/>
    </row>
    <row r="107" spans="1:68" ht="14.25" hidden="1" customHeight="1" x14ac:dyDescent="0.25">
      <c r="A107" s="652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hidden="1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8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0</v>
      </c>
      <c r="Y113" s="631">
        <f>IFERROR(Y108/H108,"0")+IFERROR(Y109/H109,"0")+IFERROR(Y110/H110,"0")+IFERROR(Y111/H111,"0")+IFERROR(Y112/H112,"0")</f>
        <v>0</v>
      </c>
      <c r="Z113" s="631">
        <f>IFERROR(IF(Z108="",0,Z108),"0")+IFERROR(IF(Z109="",0,Z109),"0")+IFERROR(IF(Z110="",0,Z110),"0")+IFERROR(IF(Z111="",0,Z111),"0")+IFERROR(IF(Z112="",0,Z112),"0")</f>
        <v>0</v>
      </c>
      <c r="AA113" s="632"/>
      <c r="AB113" s="632"/>
      <c r="AC113" s="632"/>
    </row>
    <row r="114" spans="1:68" hidden="1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0</v>
      </c>
      <c r="Y114" s="631">
        <f>IFERROR(SUM(Y108:Y112),"0")</f>
        <v>0</v>
      </c>
      <c r="Z114" s="37"/>
      <c r="AA114" s="632"/>
      <c r="AB114" s="632"/>
      <c r="AC114" s="632"/>
    </row>
    <row r="115" spans="1:68" ht="14.25" hidden="1" customHeight="1" x14ac:dyDescent="0.25">
      <c r="A115" s="652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hidden="1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0</v>
      </c>
      <c r="Y116" s="630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225</v>
      </c>
      <c r="Y118" s="630">
        <f>IFERROR(IF(X118="",0,CEILING((X118/$H118),1)*$H118),"")</f>
        <v>226.8</v>
      </c>
      <c r="Z118" s="36">
        <f>IFERROR(IF(Y118=0,"",ROUNDUP(Y118/H118,0)*0.00651),"")</f>
        <v>0.54683999999999999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246</v>
      </c>
      <c r="BN118" s="64">
        <f>IFERROR(Y118*I118/H118,"0")</f>
        <v>247.96799999999999</v>
      </c>
      <c r="BO118" s="64">
        <f>IFERROR(1/J118*(X118/H118),"0")</f>
        <v>0.45787545787545786</v>
      </c>
      <c r="BP118" s="64">
        <f>IFERROR(1/J118*(Y118/H118),"0")</f>
        <v>0.46153846153846156</v>
      </c>
    </row>
    <row r="119" spans="1:68" ht="16.5" hidden="1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83.333333333333329</v>
      </c>
      <c r="Y120" s="631">
        <f>IFERROR(Y116/H116,"0")+IFERROR(Y117/H117,"0")+IFERROR(Y118/H118,"0")+IFERROR(Y119/H119,"0")</f>
        <v>84</v>
      </c>
      <c r="Z120" s="631">
        <f>IFERROR(IF(Z116="",0,Z116),"0")+IFERROR(IF(Z117="",0,Z117),"0")+IFERROR(IF(Z118="",0,Z118),"0")+IFERROR(IF(Z119="",0,Z119),"0")</f>
        <v>0.54683999999999999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225</v>
      </c>
      <c r="Y121" s="631">
        <f>IFERROR(SUM(Y116:Y119),"0")</f>
        <v>226.8</v>
      </c>
      <c r="Z121" s="37"/>
      <c r="AA121" s="632"/>
      <c r="AB121" s="632"/>
      <c r="AC121" s="632"/>
    </row>
    <row r="122" spans="1:68" ht="14.25" hidden="1" customHeight="1" x14ac:dyDescent="0.25">
      <c r="A122" s="652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hidden="1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5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0</v>
      </c>
      <c r="Y123" s="63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0</v>
      </c>
      <c r="Y124" s="631">
        <f>IFERROR(Y123/H123,"0")</f>
        <v>0</v>
      </c>
      <c r="Z124" s="631">
        <f>IFERROR(IF(Z123="",0,Z123),"0")</f>
        <v>0</v>
      </c>
      <c r="AA124" s="632"/>
      <c r="AB124" s="632"/>
      <c r="AC124" s="632"/>
    </row>
    <row r="125" spans="1:68" hidden="1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0</v>
      </c>
      <c r="Y125" s="631">
        <f>IFERROR(SUM(Y123:Y123),"0")</f>
        <v>0</v>
      </c>
      <c r="Z125" s="37"/>
      <c r="AA125" s="632"/>
      <c r="AB125" s="632"/>
      <c r="AC125" s="632"/>
    </row>
    <row r="126" spans="1:68" ht="16.5" hidden="1" customHeight="1" x14ac:dyDescent="0.25">
      <c r="A126" s="650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hidden="1" customHeight="1" x14ac:dyDescent="0.25">
      <c r="A127" s="652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hidden="1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5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0</v>
      </c>
      <c r="Y129" s="63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0</v>
      </c>
      <c r="Y131" s="631">
        <f>IFERROR(Y128/H128,"0")+IFERROR(Y129/H129,"0")+IFERROR(Y130/H130,"0")</f>
        <v>0</v>
      </c>
      <c r="Z131" s="631">
        <f>IFERROR(IF(Z128="",0,Z128),"0")+IFERROR(IF(Z129="",0,Z129),"0")+IFERROR(IF(Z130="",0,Z130),"0")</f>
        <v>0</v>
      </c>
      <c r="AA131" s="632"/>
      <c r="AB131" s="632"/>
      <c r="AC131" s="632"/>
    </row>
    <row r="132" spans="1:68" hidden="1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0</v>
      </c>
      <c r="Y132" s="631">
        <f>IFERROR(SUM(Y128:Y130),"0")</f>
        <v>0</v>
      </c>
      <c r="Z132" s="37"/>
      <c r="AA132" s="632"/>
      <c r="AB132" s="632"/>
      <c r="AC132" s="632"/>
    </row>
    <row r="133" spans="1:68" ht="14.25" hidden="1" customHeight="1" x14ac:dyDescent="0.25">
      <c r="A133" s="652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hidden="1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0</v>
      </c>
      <c r="Y135" s="63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0</v>
      </c>
      <c r="Y138" s="631">
        <f>IFERROR(Y134/H134,"0")+IFERROR(Y135/H135,"0")+IFERROR(Y136/H136,"0")+IFERROR(Y137/H137,"0")</f>
        <v>0</v>
      </c>
      <c r="Z138" s="631">
        <f>IFERROR(IF(Z134="",0,Z134),"0")+IFERROR(IF(Z135="",0,Z135),"0")+IFERROR(IF(Z136="",0,Z136),"0")+IFERROR(IF(Z137="",0,Z137),"0")</f>
        <v>0</v>
      </c>
      <c r="AA138" s="632"/>
      <c r="AB138" s="632"/>
      <c r="AC138" s="632"/>
    </row>
    <row r="139" spans="1:68" hidden="1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0</v>
      </c>
      <c r="Y139" s="631">
        <f>IFERROR(SUM(Y134:Y137),"0")</f>
        <v>0</v>
      </c>
      <c r="Z139" s="37"/>
      <c r="AA139" s="632"/>
      <c r="AB139" s="632"/>
      <c r="AC139" s="632"/>
    </row>
    <row r="140" spans="1:68" ht="14.25" hidden="1" customHeight="1" x14ac:dyDescent="0.25">
      <c r="A140" s="652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hidden="1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0</v>
      </c>
      <c r="Y142" s="63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0</v>
      </c>
      <c r="Y144" s="631">
        <f>IFERROR(Y141/H141,"0")+IFERROR(Y142/H142,"0")+IFERROR(Y143/H143,"0")</f>
        <v>0</v>
      </c>
      <c r="Z144" s="631">
        <f>IFERROR(IF(Z141="",0,Z141),"0")+IFERROR(IF(Z142="",0,Z142),"0")+IFERROR(IF(Z143="",0,Z143),"0")</f>
        <v>0</v>
      </c>
      <c r="AA144" s="632"/>
      <c r="AB144" s="632"/>
      <c r="AC144" s="632"/>
    </row>
    <row r="145" spans="1:68" hidden="1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0</v>
      </c>
      <c r="Y145" s="631">
        <f>IFERROR(SUM(Y141:Y143),"0")</f>
        <v>0</v>
      </c>
      <c r="Z145" s="37"/>
      <c r="AA145" s="632"/>
      <c r="AB145" s="632"/>
      <c r="AC145" s="632"/>
    </row>
    <row r="146" spans="1:68" ht="16.5" hidden="1" customHeight="1" x14ac:dyDescent="0.25">
      <c r="A146" s="650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hidden="1" customHeight="1" x14ac:dyDescent="0.25">
      <c r="A147" s="652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hidden="1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3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2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hidden="1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2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50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hidden="1" customHeight="1" x14ac:dyDescent="0.25">
      <c r="A162" s="652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hidden="1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idden="1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hidden="1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hidden="1" customHeight="1" x14ac:dyDescent="0.25">
      <c r="A168" s="652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hidden="1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8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9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2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hidden="1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0</v>
      </c>
      <c r="Y174" s="630">
        <f t="shared" ref="Y174:Y184" si="22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0</v>
      </c>
      <c r="BN174" s="64">
        <f t="shared" ref="BN174:BN184" si="24">IFERROR(Y174*I174/H174,"0")</f>
        <v>0</v>
      </c>
      <c r="BO174" s="64">
        <f t="shared" ref="BO174:BO184" si="25">IFERROR(1/J174*(X174/H174),"0")</f>
        <v>0</v>
      </c>
      <c r="BP174" s="64">
        <f t="shared" ref="BP174:BP184" si="26">IFERROR(1/J174*(Y174/H174),"0")</f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9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hidden="1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0</v>
      </c>
      <c r="Y176" s="630">
        <f t="shared" si="22"/>
        <v>0</v>
      </c>
      <c r="Z176" s="36" t="str">
        <f>IFERROR(IF(Y176=0,"",ROUNDUP(Y176/H176,0)*0.00902),"")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0</v>
      </c>
      <c r="BN176" s="64">
        <f t="shared" si="24"/>
        <v>0</v>
      </c>
      <c r="BO176" s="64">
        <f t="shared" si="25"/>
        <v>0</v>
      </c>
      <c r="BP176" s="64">
        <f t="shared" si="26"/>
        <v>0</v>
      </c>
    </row>
    <row r="177" spans="1:68" ht="27" hidden="1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90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0</v>
      </c>
      <c r="Y177" s="630">
        <f t="shared" si="22"/>
        <v>0</v>
      </c>
      <c r="Z177" s="36" t="str">
        <f>IFERROR(IF(Y177=0,"",ROUNDUP(Y177/H177,0)*0.00902),"")</f>
        <v/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0</v>
      </c>
      <c r="BN177" s="64">
        <f t="shared" si="24"/>
        <v>0</v>
      </c>
      <c r="BO177" s="64">
        <f t="shared" si="25"/>
        <v>0</v>
      </c>
      <c r="BP177" s="64">
        <f t="shared" si="26"/>
        <v>0</v>
      </c>
    </row>
    <row r="178" spans="1:68" ht="16.5" hidden="1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0</v>
      </c>
      <c r="Y179" s="630">
        <f t="shared" si="22"/>
        <v>0</v>
      </c>
      <c r="Z179" s="36" t="str">
        <f>IFERROR(IF(Y179=0,"",ROUNDUP(Y179/H179,0)*0.00502),"")</f>
        <v/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0</v>
      </c>
      <c r="BN179" s="64">
        <f t="shared" si="24"/>
        <v>0</v>
      </c>
      <c r="BO179" s="64">
        <f t="shared" si="25"/>
        <v>0</v>
      </c>
      <c r="BP179" s="64">
        <f t="shared" si="26"/>
        <v>0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7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hidden="1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0</v>
      </c>
      <c r="Y182" s="630">
        <f t="shared" si="22"/>
        <v>0</v>
      </c>
      <c r="Z182" s="36" t="str">
        <f>IFERROR(IF(Y182=0,"",ROUNDUP(Y182/H182,0)*0.00502),"")</f>
        <v/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0</v>
      </c>
      <c r="BN182" s="64">
        <f t="shared" si="24"/>
        <v>0</v>
      </c>
      <c r="BO182" s="64">
        <f t="shared" si="25"/>
        <v>0</v>
      </c>
      <c r="BP182" s="64">
        <f t="shared" si="26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hidden="1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0</v>
      </c>
      <c r="Y184" s="630">
        <f t="shared" si="22"/>
        <v>0</v>
      </c>
      <c r="Z184" s="36" t="str">
        <f>IFERROR(IF(Y184=0,"",ROUNDUP(Y184/H184,0)*0.00502),"")</f>
        <v/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0</v>
      </c>
      <c r="BN184" s="64">
        <f t="shared" si="24"/>
        <v>0</v>
      </c>
      <c r="BO184" s="64">
        <f t="shared" si="25"/>
        <v>0</v>
      </c>
      <c r="BP184" s="64">
        <f t="shared" si="26"/>
        <v>0</v>
      </c>
    </row>
    <row r="185" spans="1:68" hidden="1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32"/>
      <c r="AB185" s="632"/>
      <c r="AC185" s="632"/>
    </row>
    <row r="186" spans="1:68" hidden="1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0</v>
      </c>
      <c r="Y186" s="631">
        <f>IFERROR(SUM(Y174:Y184),"0")</f>
        <v>0</v>
      </c>
      <c r="Z186" s="37"/>
      <c r="AA186" s="632"/>
      <c r="AB186" s="632"/>
      <c r="AC186" s="632"/>
    </row>
    <row r="187" spans="1:68" ht="14.25" hidden="1" customHeight="1" x14ac:dyDescent="0.25">
      <c r="A187" s="652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hidden="1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2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hidden="1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5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2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hidden="1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53" t="s">
        <v>338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48"/>
      <c r="AB201" s="48"/>
      <c r="AC201" s="48"/>
    </row>
    <row r="202" spans="1:68" ht="16.5" hidden="1" customHeight="1" x14ac:dyDescent="0.25">
      <c r="A202" s="650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hidden="1" customHeight="1" x14ac:dyDescent="0.25">
      <c r="A203" s="652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hidden="1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7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6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50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hidden="1" customHeight="1" x14ac:dyDescent="0.25">
      <c r="A214" s="652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hidden="1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8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2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hidden="1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0</v>
      </c>
      <c r="Y219" s="630">
        <f t="shared" ref="Y219:Y232" si="33">IFERROR(IF(X219="",0,CEILING((X219/$H219),1)*$H219),"")</f>
        <v>0</v>
      </c>
      <c r="Z219" s="36" t="str">
        <f>IFERROR(IF(Y219=0,"",ROUNDUP(Y219/H219,0)*0.00902),"")</f>
        <v/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0</v>
      </c>
      <c r="BN219" s="64">
        <f t="shared" ref="BN219:BN232" si="35">IFERROR(Y219*I219/H219,"0")</f>
        <v>0</v>
      </c>
      <c r="BO219" s="64">
        <f t="shared" ref="BO219:BO232" si="36">IFERROR(1/J219*(X219/H219),"0")</f>
        <v>0</v>
      </c>
      <c r="BP219" s="64">
        <f t="shared" ref="BP219:BP232" si="37">IFERROR(1/J219*(Y219/H219),"0")</f>
        <v>0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6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hidden="1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0</v>
      </c>
      <c r="Y221" s="630">
        <f t="shared" si="33"/>
        <v>0</v>
      </c>
      <c r="Z221" s="36" t="str">
        <f>IFERROR(IF(Y221=0,"",ROUNDUP(Y221/H221,0)*0.00902),"")</f>
        <v/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0</v>
      </c>
      <c r="BN221" s="64">
        <f t="shared" si="35"/>
        <v>0</v>
      </c>
      <c r="BO221" s="64">
        <f t="shared" si="36"/>
        <v>0</v>
      </c>
      <c r="BP221" s="64">
        <f t="shared" si="37"/>
        <v>0</v>
      </c>
    </row>
    <row r="222" spans="1:68" ht="37.5" hidden="1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0</v>
      </c>
      <c r="Y222" s="630">
        <f t="shared" si="33"/>
        <v>0</v>
      </c>
      <c r="Z222" s="36" t="str">
        <f>IFERROR(IF(Y222=0,"",ROUNDUP(Y222/H222,0)*0.00556),"")</f>
        <v/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0</v>
      </c>
      <c r="BN222" s="64">
        <f t="shared" si="35"/>
        <v>0</v>
      </c>
      <c r="BO222" s="64">
        <f t="shared" si="36"/>
        <v>0</v>
      </c>
      <c r="BP222" s="64">
        <f t="shared" si="37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0</v>
      </c>
      <c r="Y223" s="630">
        <f t="shared" si="33"/>
        <v>0</v>
      </c>
      <c r="Z223" s="36" t="str">
        <f t="shared" ref="Z223:Z228" si="38">IFERROR(IF(Y223=0,"",ROUNDUP(Y223/H223,0)*0.00502),"")</f>
        <v/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0</v>
      </c>
      <c r="BN223" s="64">
        <f t="shared" si="35"/>
        <v>0</v>
      </c>
      <c r="BO223" s="64">
        <f t="shared" si="36"/>
        <v>0</v>
      </c>
      <c r="BP223" s="64">
        <f t="shared" si="37"/>
        <v>0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0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hidden="1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0</v>
      </c>
      <c r="Y228" s="630">
        <f t="shared" si="33"/>
        <v>0</v>
      </c>
      <c r="Z228" s="36" t="str">
        <f t="shared" si="38"/>
        <v/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0</v>
      </c>
      <c r="BN228" s="64">
        <f t="shared" si="35"/>
        <v>0</v>
      </c>
      <c r="BO228" s="64">
        <f t="shared" si="36"/>
        <v>0</v>
      </c>
      <c r="BP228" s="64">
        <f t="shared" si="37"/>
        <v>0</v>
      </c>
    </row>
    <row r="229" spans="1:68" ht="27" hidden="1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0</v>
      </c>
      <c r="Y229" s="630">
        <f t="shared" si="33"/>
        <v>0</v>
      </c>
      <c r="Z229" s="36" t="str">
        <f>IFERROR(IF(Y229=0,"",ROUNDUP(Y229/H229,0)*0.00417),"")</f>
        <v/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0</v>
      </c>
      <c r="BN229" s="64">
        <f t="shared" si="35"/>
        <v>0</v>
      </c>
      <c r="BO229" s="64">
        <f t="shared" si="36"/>
        <v>0</v>
      </c>
      <c r="BP229" s="64">
        <f t="shared" si="37"/>
        <v>0</v>
      </c>
    </row>
    <row r="230" spans="1:68" ht="37.5" hidden="1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6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0</v>
      </c>
      <c r="Y230" s="630">
        <f t="shared" si="33"/>
        <v>0</v>
      </c>
      <c r="Z230" s="36" t="str">
        <f>IFERROR(IF(Y230=0,"",ROUNDUP(Y230/H230,0)*0.00502),"")</f>
        <v/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0</v>
      </c>
      <c r="BN230" s="64">
        <f t="shared" si="35"/>
        <v>0</v>
      </c>
      <c r="BO230" s="64">
        <f t="shared" si="36"/>
        <v>0</v>
      </c>
      <c r="BP230" s="64">
        <f t="shared" si="37"/>
        <v>0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hidden="1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32"/>
      <c r="AB233" s="632"/>
      <c r="AC233" s="632"/>
    </row>
    <row r="234" spans="1:68" hidden="1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0</v>
      </c>
      <c r="Y234" s="631">
        <f>IFERROR(SUM(Y219:Y232),"0")</f>
        <v>0</v>
      </c>
      <c r="Z234" s="37"/>
      <c r="AA234" s="632"/>
      <c r="AB234" s="632"/>
      <c r="AC234" s="632"/>
    </row>
    <row r="235" spans="1:68" ht="14.25" hidden="1" customHeight="1" x14ac:dyDescent="0.25">
      <c r="A235" s="652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hidden="1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7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2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68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2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hidden="1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0</v>
      </c>
      <c r="Y246" s="63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0</v>
      </c>
      <c r="Y247" s="631">
        <f>IFERROR(Y244/H244,"0")+IFERROR(Y245/H245,"0")+IFERROR(Y246/H246,"0")</f>
        <v>0</v>
      </c>
      <c r="Z247" s="631">
        <f>IFERROR(IF(Z244="",0,Z244),"0")+IFERROR(IF(Z245="",0,Z245),"0")+IFERROR(IF(Z246="",0,Z246),"0")</f>
        <v>0</v>
      </c>
      <c r="AA247" s="632"/>
      <c r="AB247" s="632"/>
      <c r="AC247" s="632"/>
    </row>
    <row r="248" spans="1:68" hidden="1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0</v>
      </c>
      <c r="Y248" s="631">
        <f>IFERROR(SUM(Y244:Y246),"0")</f>
        <v>0</v>
      </c>
      <c r="Z248" s="37"/>
      <c r="AA248" s="632"/>
      <c r="AB248" s="632"/>
      <c r="AC248" s="632"/>
    </row>
    <row r="249" spans="1:68" ht="14.25" hidden="1" customHeight="1" x14ac:dyDescent="0.25">
      <c r="A249" s="652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hidden="1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0</v>
      </c>
      <c r="Y250" s="630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0</v>
      </c>
      <c r="Y251" s="631">
        <f>IFERROR(Y250/H250,"0")</f>
        <v>0</v>
      </c>
      <c r="Z251" s="631">
        <f>IFERROR(IF(Z250="",0,Z250),"0")</f>
        <v>0</v>
      </c>
      <c r="AA251" s="632"/>
      <c r="AB251" s="632"/>
      <c r="AC251" s="632"/>
    </row>
    <row r="252" spans="1:68" hidden="1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0</v>
      </c>
      <c r="Y252" s="631">
        <f>IFERROR(SUM(Y250:Y250),"0")</f>
        <v>0</v>
      </c>
      <c r="Z252" s="37"/>
      <c r="AA252" s="632"/>
      <c r="AB252" s="632"/>
      <c r="AC252" s="632"/>
    </row>
    <row r="253" spans="1:68" ht="16.5" hidden="1" customHeight="1" x14ac:dyDescent="0.25">
      <c r="A253" s="650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hidden="1" customHeight="1" x14ac:dyDescent="0.25">
      <c r="A254" s="652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hidden="1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8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2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hidden="1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2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hidden="1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0</v>
      </c>
      <c r="Y265" s="630">
        <f t="shared" ref="Y265:Y272" si="39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0</v>
      </c>
      <c r="BN265" s="64">
        <f t="shared" ref="BN265:BN272" si="41">IFERROR(Y265*I265/H265,"0")</f>
        <v>0</v>
      </c>
      <c r="BO265" s="64">
        <f t="shared" ref="BO265:BO272" si="42">IFERROR(1/J265*(X265/H265),"0")</f>
        <v>0</v>
      </c>
      <c r="BP265" s="64">
        <f t="shared" ref="BP265:BP272" si="43">IFERROR(1/J265*(Y265/H265),"0")</f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0</v>
      </c>
      <c r="Y266" s="630">
        <f t="shared" si="39"/>
        <v>0</v>
      </c>
      <c r="Z266" s="36" t="str">
        <f>IFERROR(IF(Y266=0,"",ROUNDUP(Y266/H266,0)*0.00902),"")</f>
        <v/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0</v>
      </c>
      <c r="BN266" s="64">
        <f t="shared" si="41"/>
        <v>0</v>
      </c>
      <c r="BO266" s="64">
        <f t="shared" si="42"/>
        <v>0</v>
      </c>
      <c r="BP266" s="64">
        <f t="shared" si="43"/>
        <v>0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200</v>
      </c>
      <c r="Y267" s="630">
        <f t="shared" si="39"/>
        <v>205.20000000000002</v>
      </c>
      <c r="Z267" s="36">
        <f>IFERROR(IF(Y267=0,"",ROUNDUP(Y267/H267,0)*0.00902),"")</f>
        <v>0.34276000000000001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207.03703703703701</v>
      </c>
      <c r="BN267" s="64">
        <f t="shared" si="41"/>
        <v>212.42</v>
      </c>
      <c r="BO267" s="64">
        <f t="shared" si="42"/>
        <v>0.28058361391694725</v>
      </c>
      <c r="BP267" s="64">
        <f t="shared" si="43"/>
        <v>0.2878787878787879</v>
      </c>
    </row>
    <row r="268" spans="1:68" ht="27" hidden="1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6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0</v>
      </c>
      <c r="Y268" s="630">
        <f t="shared" si="39"/>
        <v>0</v>
      </c>
      <c r="Z268" s="36" t="str">
        <f>IFERROR(IF(Y268=0,"",ROUNDUP(Y268/H268,0)*0.00902),"")</f>
        <v/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0</v>
      </c>
      <c r="BN268" s="64">
        <f t="shared" si="41"/>
        <v>0</v>
      </c>
      <c r="BO268" s="64">
        <f t="shared" si="42"/>
        <v>0</v>
      </c>
      <c r="BP268" s="64">
        <f t="shared" si="43"/>
        <v>0</v>
      </c>
    </row>
    <row r="269" spans="1:68" ht="27" hidden="1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0</v>
      </c>
      <c r="Y269" s="630">
        <f t="shared" si="39"/>
        <v>0</v>
      </c>
      <c r="Z269" s="36" t="str">
        <f>IFERROR(IF(Y269=0,"",ROUNDUP(Y269/H269,0)*0.00502),"")</f>
        <v/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0</v>
      </c>
      <c r="BN269" s="64">
        <f t="shared" si="41"/>
        <v>0</v>
      </c>
      <c r="BO269" s="64">
        <f t="shared" si="42"/>
        <v>0</v>
      </c>
      <c r="BP269" s="64">
        <f t="shared" si="43"/>
        <v>0</v>
      </c>
    </row>
    <row r="270" spans="1:68" ht="27" hidden="1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0</v>
      </c>
      <c r="Y270" s="630">
        <f t="shared" si="39"/>
        <v>0</v>
      </c>
      <c r="Z270" s="36" t="str">
        <f>IFERROR(IF(Y270=0,"",ROUNDUP(Y270/H270,0)*0.00502),"")</f>
        <v/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0</v>
      </c>
      <c r="BN270" s="64">
        <f t="shared" si="41"/>
        <v>0</v>
      </c>
      <c r="BO270" s="64">
        <f t="shared" si="42"/>
        <v>0</v>
      </c>
      <c r="BP270" s="64">
        <f t="shared" si="43"/>
        <v>0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0</v>
      </c>
      <c r="Y272" s="630">
        <f t="shared" si="39"/>
        <v>0</v>
      </c>
      <c r="Z272" s="36" t="str">
        <f>IFERROR(IF(Y272=0,"",ROUNDUP(Y272/H272,0)*0.00502),"")</f>
        <v/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0</v>
      </c>
      <c r="BN272" s="64">
        <f t="shared" si="41"/>
        <v>0</v>
      </c>
      <c r="BO272" s="64">
        <f t="shared" si="42"/>
        <v>0</v>
      </c>
      <c r="BP272" s="64">
        <f t="shared" si="43"/>
        <v>0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37.037037037037038</v>
      </c>
      <c r="Y273" s="631">
        <f>IFERROR(Y265/H265,"0")+IFERROR(Y266/H266,"0")+IFERROR(Y267/H267,"0")+IFERROR(Y268/H268,"0")+IFERROR(Y269/H269,"0")+IFERROR(Y270/H270,"0")+IFERROR(Y271/H271,"0")+IFERROR(Y272/H272,"0")</f>
        <v>38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0.34276000000000001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200</v>
      </c>
      <c r="Y274" s="631">
        <f>IFERROR(SUM(Y265:Y272),"0")</f>
        <v>205.20000000000002</v>
      </c>
      <c r="Z274" s="37"/>
      <c r="AA274" s="632"/>
      <c r="AB274" s="632"/>
      <c r="AC274" s="632"/>
    </row>
    <row r="275" spans="1:68" ht="14.25" hidden="1" customHeight="1" x14ac:dyDescent="0.25">
      <c r="A275" s="652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hidden="1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0</v>
      </c>
      <c r="Y276" s="630">
        <f t="shared" ref="Y276:Y287" si="44">IFERROR(IF(X276="",0,CEILING((X276/$H276),1)*$H276),"")</f>
        <v>0</v>
      </c>
      <c r="Z276" s="36" t="str">
        <f>IFERROR(IF(Y276=0,"",ROUNDUP(Y276/H276,0)*0.01898),"")</f>
        <v/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0</v>
      </c>
      <c r="BN276" s="64">
        <f t="shared" ref="BN276:BN287" si="46">IFERROR(Y276*I276/H276,"0")</f>
        <v>0</v>
      </c>
      <c r="BO276" s="64">
        <f t="shared" ref="BO276:BO287" si="47">IFERROR(1/J276*(X276/H276),"0")</f>
        <v>0</v>
      </c>
      <c r="BP276" s="64">
        <f t="shared" ref="BP276:BP287" si="48">IFERROR(1/J276*(Y276/H276),"0")</f>
        <v>0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0</v>
      </c>
      <c r="Y277" s="630">
        <f t="shared" si="44"/>
        <v>0</v>
      </c>
      <c r="Z277" s="36" t="str">
        <f>IFERROR(IF(Y277=0,"",ROUNDUP(Y277/H277,0)*0.01898),"")</f>
        <v/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0</v>
      </c>
      <c r="BN277" s="64">
        <f t="shared" si="46"/>
        <v>0</v>
      </c>
      <c r="BO277" s="64">
        <f t="shared" si="47"/>
        <v>0</v>
      </c>
      <c r="BP277" s="64">
        <f t="shared" si="48"/>
        <v>0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50</v>
      </c>
      <c r="Y278" s="630">
        <f t="shared" si="44"/>
        <v>52.199999999999996</v>
      </c>
      <c r="Z278" s="36">
        <f>IFERROR(IF(Y278=0,"",ROUNDUP(Y278/H278,0)*0.01898),"")</f>
        <v>0.11388000000000001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52.839080459770123</v>
      </c>
      <c r="BN278" s="64">
        <f t="shared" si="46"/>
        <v>55.164000000000009</v>
      </c>
      <c r="BO278" s="64">
        <f t="shared" si="47"/>
        <v>8.9798850574712652E-2</v>
      </c>
      <c r="BP278" s="64">
        <f t="shared" si="48"/>
        <v>9.375E-2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0</v>
      </c>
      <c r="Y279" s="630">
        <f t="shared" si="44"/>
        <v>0</v>
      </c>
      <c r="Z279" s="36" t="str">
        <f>IFERROR(IF(Y279=0,"",ROUNDUP(Y279/H279,0)*0.00651),"")</f>
        <v/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0</v>
      </c>
      <c r="BN279" s="64">
        <f t="shared" si="46"/>
        <v>0</v>
      </c>
      <c r="BO279" s="64">
        <f t="shared" si="47"/>
        <v>0</v>
      </c>
      <c r="BP279" s="64">
        <f t="shared" si="48"/>
        <v>0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200</v>
      </c>
      <c r="Y282" s="630">
        <f t="shared" si="44"/>
        <v>201.6</v>
      </c>
      <c r="Z282" s="36">
        <f>IFERROR(IF(Y282=0,"",ROUNDUP(Y282/H282,0)*0.00651),"")</f>
        <v>0.54683999999999999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221</v>
      </c>
      <c r="BN282" s="64">
        <f t="shared" si="46"/>
        <v>222.768</v>
      </c>
      <c r="BO282" s="64">
        <f t="shared" si="47"/>
        <v>0.45787545787545797</v>
      </c>
      <c r="BP282" s="64">
        <f t="shared" si="48"/>
        <v>0.46153846153846156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40</v>
      </c>
      <c r="Y284" s="630">
        <f t="shared" si="44"/>
        <v>40.799999999999997</v>
      </c>
      <c r="Z284" s="36">
        <f>IFERROR(IF(Y284=0,"",ROUNDUP(Y284/H284,0)*0.00651),"")</f>
        <v>0.11067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44.20000000000001</v>
      </c>
      <c r="BN284" s="64">
        <f t="shared" si="46"/>
        <v>45.084000000000003</v>
      </c>
      <c r="BO284" s="64">
        <f t="shared" si="47"/>
        <v>9.1575091575091583E-2</v>
      </c>
      <c r="BP284" s="64">
        <f t="shared" si="48"/>
        <v>9.3406593406593408E-2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6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0</v>
      </c>
      <c r="Y285" s="630">
        <f t="shared" si="44"/>
        <v>0</v>
      </c>
      <c r="Z285" s="36" t="str">
        <f>IFERROR(IF(Y285=0,"",ROUNDUP(Y285/H285,0)*0.00651),"")</f>
        <v/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0</v>
      </c>
      <c r="BN285" s="64">
        <f t="shared" si="46"/>
        <v>0</v>
      </c>
      <c r="BO285" s="64">
        <f t="shared" si="47"/>
        <v>0</v>
      </c>
      <c r="BP285" s="64">
        <f t="shared" si="48"/>
        <v>0</v>
      </c>
    </row>
    <row r="286" spans="1:68" ht="27" hidden="1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0</v>
      </c>
      <c r="Y286" s="630">
        <f t="shared" si="44"/>
        <v>0</v>
      </c>
      <c r="Z286" s="36" t="str">
        <f>IFERROR(IF(Y286=0,"",ROUNDUP(Y286/H286,0)*0.00651),"")</f>
        <v/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0</v>
      </c>
      <c r="BN286" s="64">
        <f t="shared" si="46"/>
        <v>0</v>
      </c>
      <c r="BO286" s="64">
        <f t="shared" si="47"/>
        <v>0</v>
      </c>
      <c r="BP286" s="64">
        <f t="shared" si="48"/>
        <v>0</v>
      </c>
    </row>
    <row r="287" spans="1:68" ht="27" hidden="1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105.74712643678163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107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0.77139000000000002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290</v>
      </c>
      <c r="Y289" s="631">
        <f>IFERROR(SUM(Y276:Y287),"0")</f>
        <v>294.59999999999997</v>
      </c>
      <c r="Z289" s="37"/>
      <c r="AA289" s="632"/>
      <c r="AB289" s="632"/>
      <c r="AC289" s="632"/>
    </row>
    <row r="290" spans="1:68" ht="14.25" hidden="1" customHeight="1" x14ac:dyDescent="0.25">
      <c r="A290" s="652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hidden="1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0</v>
      </c>
      <c r="Y291" s="630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0</v>
      </c>
      <c r="Y292" s="63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0</v>
      </c>
      <c r="Y293" s="631">
        <f>IFERROR(Y291/H291,"0")+IFERROR(Y292/H292,"0")</f>
        <v>0</v>
      </c>
      <c r="Z293" s="631">
        <f>IFERROR(IF(Z291="",0,Z291),"0")+IFERROR(IF(Z292="",0,Z292),"0")</f>
        <v>0</v>
      </c>
      <c r="AA293" s="632"/>
      <c r="AB293" s="632"/>
      <c r="AC293" s="632"/>
    </row>
    <row r="294" spans="1:68" hidden="1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0</v>
      </c>
      <c r="Y294" s="631">
        <f>IFERROR(SUM(Y291:Y292),"0")</f>
        <v>0</v>
      </c>
      <c r="Z294" s="37"/>
      <c r="AA294" s="632"/>
      <c r="AB294" s="632"/>
      <c r="AC294" s="632"/>
    </row>
    <row r="295" spans="1:68" ht="16.5" hidden="1" customHeight="1" x14ac:dyDescent="0.25">
      <c r="A295" s="650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hidden="1" customHeight="1" x14ac:dyDescent="0.25">
      <c r="A296" s="652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hidden="1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hidden="1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8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hidden="1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hidden="1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hidden="1" customHeight="1" x14ac:dyDescent="0.25">
      <c r="A306" s="652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hidden="1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2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hidden="1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0</v>
      </c>
      <c r="Y311" s="630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0</v>
      </c>
      <c r="Y312" s="631">
        <f>IFERROR(Y311/H311,"0")</f>
        <v>0</v>
      </c>
      <c r="Z312" s="631">
        <f>IFERROR(IF(Z311="",0,Z311),"0")</f>
        <v>0</v>
      </c>
      <c r="AA312" s="632"/>
      <c r="AB312" s="632"/>
      <c r="AC312" s="632"/>
    </row>
    <row r="313" spans="1:68" hidden="1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0</v>
      </c>
      <c r="Y313" s="631">
        <f>IFERROR(SUM(Y311:Y311),"0")</f>
        <v>0</v>
      </c>
      <c r="Z313" s="37"/>
      <c r="AA313" s="632"/>
      <c r="AB313" s="632"/>
      <c r="AC313" s="632"/>
    </row>
    <row r="314" spans="1:68" ht="14.25" hidden="1" customHeight="1" x14ac:dyDescent="0.25">
      <c r="A314" s="652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hidden="1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9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50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hidden="1" customHeight="1" x14ac:dyDescent="0.25">
      <c r="A321" s="652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hidden="1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9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50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hidden="1" customHeight="1" x14ac:dyDescent="0.25">
      <c r="A330" s="652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hidden="1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2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0</v>
      </c>
      <c r="Y332" s="63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0</v>
      </c>
      <c r="Y333" s="630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0</v>
      </c>
      <c r="Y334" s="631">
        <f>IFERROR(Y331/H331,"0")+IFERROR(Y332/H332,"0")+IFERROR(Y333/H333,"0")</f>
        <v>0</v>
      </c>
      <c r="Z334" s="631">
        <f>IFERROR(IF(Z331="",0,Z331),"0")+IFERROR(IF(Z332="",0,Z332),"0")+IFERROR(IF(Z333="",0,Z333),"0")</f>
        <v>0</v>
      </c>
      <c r="AA334" s="632"/>
      <c r="AB334" s="632"/>
      <c r="AC334" s="632"/>
    </row>
    <row r="335" spans="1:68" hidden="1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0</v>
      </c>
      <c r="Y335" s="631">
        <f>IFERROR(SUM(Y331:Y333),"0")</f>
        <v>0</v>
      </c>
      <c r="Z335" s="37"/>
      <c r="AA335" s="632"/>
      <c r="AB335" s="632"/>
      <c r="AC335" s="632"/>
    </row>
    <row r="336" spans="1:68" ht="16.5" hidden="1" customHeight="1" x14ac:dyDescent="0.25">
      <c r="A336" s="650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hidden="1" customHeight="1" x14ac:dyDescent="0.25">
      <c r="A337" s="652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hidden="1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6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87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2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hidden="1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50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hidden="1" customHeight="1" x14ac:dyDescent="0.25">
      <c r="A351" s="652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hidden="1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6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80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0</v>
      </c>
      <c r="Y353" s="63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0</v>
      </c>
      <c r="Y354" s="63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0</v>
      </c>
      <c r="Y355" s="631">
        <f>IFERROR(Y352/H352,"0")+IFERROR(Y353/H353,"0")+IFERROR(Y354/H354,"0")</f>
        <v>0</v>
      </c>
      <c r="Z355" s="631">
        <f>IFERROR(IF(Z352="",0,Z352),"0")+IFERROR(IF(Z353="",0,Z353),"0")+IFERROR(IF(Z354="",0,Z354),"0")</f>
        <v>0</v>
      </c>
      <c r="AA355" s="632"/>
      <c r="AB355" s="632"/>
      <c r="AC355" s="632"/>
    </row>
    <row r="356" spans="1:68" hidden="1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0</v>
      </c>
      <c r="Y356" s="631">
        <f>IFERROR(SUM(Y352:Y354),"0")</f>
        <v>0</v>
      </c>
      <c r="Z356" s="37"/>
      <c r="AA356" s="632"/>
      <c r="AB356" s="632"/>
      <c r="AC356" s="632"/>
    </row>
    <row r="357" spans="1:68" ht="16.5" hidden="1" customHeight="1" x14ac:dyDescent="0.25">
      <c r="A357" s="650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hidden="1" customHeight="1" x14ac:dyDescent="0.25">
      <c r="A358" s="652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hidden="1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2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hidden="1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0</v>
      </c>
      <c r="Y373" s="630">
        <f t="shared" si="54"/>
        <v>0</v>
      </c>
      <c r="Z373" s="36" t="str">
        <f>IFERROR(IF(Y373=0,"",ROUNDUP(Y373/H373,0)*0.00651),"")</f>
        <v/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0</v>
      </c>
      <c r="BN373" s="64">
        <f t="shared" si="56"/>
        <v>0</v>
      </c>
      <c r="BO373" s="64">
        <f t="shared" si="57"/>
        <v>0</v>
      </c>
      <c r="BP373" s="64">
        <f t="shared" si="58"/>
        <v>0</v>
      </c>
    </row>
    <row r="374" spans="1:68" hidden="1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0</v>
      </c>
      <c r="Y374" s="631">
        <f>IFERROR(Y367/H367,"0")+IFERROR(Y368/H368,"0")+IFERROR(Y369/H369,"0")+IFERROR(Y370/H370,"0")+IFERROR(Y371/H371,"0")+IFERROR(Y372/H372,"0")+IFERROR(Y373/H373,"0")</f>
        <v>0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2"/>
      <c r="AB374" s="632"/>
      <c r="AC374" s="632"/>
    </row>
    <row r="375" spans="1:68" hidden="1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0</v>
      </c>
      <c r="Y375" s="631">
        <f>IFERROR(SUM(Y367:Y373),"0")</f>
        <v>0</v>
      </c>
      <c r="Z375" s="37"/>
      <c r="AA375" s="632"/>
      <c r="AB375" s="632"/>
      <c r="AC375" s="632"/>
    </row>
    <row r="376" spans="1:68" ht="14.25" hidden="1" customHeight="1" x14ac:dyDescent="0.25">
      <c r="A376" s="652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hidden="1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2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hidden="1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0</v>
      </c>
      <c r="Y385" s="630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0</v>
      </c>
      <c r="Y387" s="631">
        <f>IFERROR(Y384/H384,"0")+IFERROR(Y385/H385,"0")+IFERROR(Y386/H386,"0")</f>
        <v>0</v>
      </c>
      <c r="Z387" s="631">
        <f>IFERROR(IF(Z384="",0,Z384),"0")+IFERROR(IF(Z385="",0,Z385),"0")+IFERROR(IF(Z386="",0,Z386),"0")</f>
        <v>0</v>
      </c>
      <c r="AA387" s="632"/>
      <c r="AB387" s="632"/>
      <c r="AC387" s="632"/>
    </row>
    <row r="388" spans="1:68" hidden="1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0</v>
      </c>
      <c r="Y388" s="631">
        <f>IFERROR(SUM(Y384:Y386),"0")</f>
        <v>0</v>
      </c>
      <c r="Z388" s="37"/>
      <c r="AA388" s="632"/>
      <c r="AB388" s="632"/>
      <c r="AC388" s="632"/>
    </row>
    <row r="389" spans="1:68" ht="14.25" hidden="1" customHeight="1" x14ac:dyDescent="0.25">
      <c r="A389" s="652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hidden="1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0</v>
      </c>
      <c r="Y393" s="630">
        <f>IFERROR(IF(X393="",0,CEILING((X393/$H393),1)*$H393),"")</f>
        <v>0</v>
      </c>
      <c r="Z393" s="36" t="str">
        <f>IFERROR(IF(Y393=0,"",ROUNDUP(Y393/H393,0)*0.00651),"")</f>
        <v/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0</v>
      </c>
      <c r="Y394" s="631">
        <f>IFERROR(Y390/H390,"0")+IFERROR(Y391/H391,"0")+IFERROR(Y392/H392,"0")+IFERROR(Y393/H393,"0")</f>
        <v>0</v>
      </c>
      <c r="Z394" s="631">
        <f>IFERROR(IF(Z390="",0,Z390),"0")+IFERROR(IF(Z391="",0,Z391),"0")+IFERROR(IF(Z392="",0,Z392),"0")+IFERROR(IF(Z393="",0,Z393),"0")</f>
        <v>0</v>
      </c>
      <c r="AA394" s="632"/>
      <c r="AB394" s="632"/>
      <c r="AC394" s="632"/>
    </row>
    <row r="395" spans="1:68" hidden="1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0</v>
      </c>
      <c r="Y395" s="631">
        <f>IFERROR(SUM(Y390:Y393),"0")</f>
        <v>0</v>
      </c>
      <c r="Z395" s="37"/>
      <c r="AA395" s="632"/>
      <c r="AB395" s="632"/>
      <c r="AC395" s="632"/>
    </row>
    <row r="396" spans="1:68" ht="14.25" hidden="1" customHeight="1" x14ac:dyDescent="0.25">
      <c r="A396" s="652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hidden="1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0</v>
      </c>
      <c r="Y397" s="630">
        <f>IFERROR(IF(X397="",0,CEILING((X397/$H397),1)*$H397),"")</f>
        <v>0</v>
      </c>
      <c r="Z397" s="36" t="str">
        <f>IFERROR(IF(Y397=0,"",ROUNDUP(Y397/H397,0)*0.00474),"")</f>
        <v/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9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0</v>
      </c>
      <c r="Y399" s="63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0</v>
      </c>
      <c r="Y400" s="631">
        <f>IFERROR(Y397/H397,"0")+IFERROR(Y398/H398,"0")+IFERROR(Y399/H399,"0")</f>
        <v>0</v>
      </c>
      <c r="Z400" s="631">
        <f>IFERROR(IF(Z397="",0,Z397),"0")+IFERROR(IF(Z398="",0,Z398),"0")+IFERROR(IF(Z399="",0,Z399),"0")</f>
        <v>0</v>
      </c>
      <c r="AA400" s="632"/>
      <c r="AB400" s="632"/>
      <c r="AC400" s="632"/>
    </row>
    <row r="401" spans="1:68" hidden="1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0</v>
      </c>
      <c r="Y401" s="631">
        <f>IFERROR(SUM(Y397:Y399),"0")</f>
        <v>0</v>
      </c>
      <c r="Z401" s="37"/>
      <c r="AA401" s="632"/>
      <c r="AB401" s="632"/>
      <c r="AC401" s="632"/>
    </row>
    <row r="402" spans="1:68" ht="14.25" hidden="1" customHeight="1" x14ac:dyDescent="0.25">
      <c r="A402" s="652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hidden="1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0</v>
      </c>
      <c r="Y403" s="630">
        <f>IFERROR(IF(X403="",0,CEILING((X403/$H403),1)*$H403),"")</f>
        <v>0</v>
      </c>
      <c r="Z403" s="36" t="str">
        <f>IFERROR(IF(Y403=0,"",ROUNDUP(Y403/H403,0)*0.0045),"")</f>
        <v/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70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0</v>
      </c>
      <c r="Y406" s="631">
        <f>IFERROR(Y403/H403,"0")+IFERROR(Y404/H404,"0")+IFERROR(Y405/H405,"0")</f>
        <v>0</v>
      </c>
      <c r="Z406" s="631">
        <f>IFERROR(IF(Z403="",0,Z403),"0")+IFERROR(IF(Z404="",0,Z404),"0")+IFERROR(IF(Z405="",0,Z405),"0")</f>
        <v>0</v>
      </c>
      <c r="AA406" s="632"/>
      <c r="AB406" s="632"/>
      <c r="AC406" s="632"/>
    </row>
    <row r="407" spans="1:68" hidden="1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0</v>
      </c>
      <c r="Y407" s="631">
        <f>IFERROR(SUM(Y403:Y405),"0")</f>
        <v>0</v>
      </c>
      <c r="Z407" s="37"/>
      <c r="AA407" s="632"/>
      <c r="AB407" s="632"/>
      <c r="AC407" s="632"/>
    </row>
    <row r="408" spans="1:68" ht="16.5" hidden="1" customHeight="1" x14ac:dyDescent="0.25">
      <c r="A408" s="650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hidden="1" customHeight="1" x14ac:dyDescent="0.25">
      <c r="A409" s="652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hidden="1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50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hidden="1" customHeight="1" x14ac:dyDescent="0.25">
      <c r="A415" s="652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hidden="1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35</v>
      </c>
      <c r="Y417" s="630">
        <f>IFERROR(IF(X417="",0,CEILING((X417/$H417),1)*$H417),"")</f>
        <v>35.700000000000003</v>
      </c>
      <c r="Z417" s="36">
        <f>IFERROR(IF(Y417=0,"",ROUNDUP(Y417/H417,0)*0.00651),"")</f>
        <v>0.11067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39.199999999999996</v>
      </c>
      <c r="BN417" s="64">
        <f>IFERROR(Y417*I417/H417,"0")</f>
        <v>39.984000000000002</v>
      </c>
      <c r="BO417" s="64">
        <f>IFERROR(1/J417*(X417/H417),"0")</f>
        <v>9.1575091575091569E-2</v>
      </c>
      <c r="BP417" s="64">
        <f>IFERROR(1/J417*(Y417/H417),"0")</f>
        <v>9.3406593406593408E-2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35</v>
      </c>
      <c r="Y418" s="630">
        <f>IFERROR(IF(X418="",0,CEILING((X418/$H418),1)*$H418),"")</f>
        <v>35.700000000000003</v>
      </c>
      <c r="Z418" s="36">
        <f>IFERROR(IF(Y418=0,"",ROUNDUP(Y418/H418,0)*0.00651),"")</f>
        <v>0.11067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38.999999999999993</v>
      </c>
      <c r="BN418" s="64">
        <f>IFERROR(Y418*I418/H418,"0")</f>
        <v>39.779999999999994</v>
      </c>
      <c r="BO418" s="64">
        <f>IFERROR(1/J418*(X418/H418),"0")</f>
        <v>9.1575091575091569E-2</v>
      </c>
      <c r="BP418" s="64">
        <f>IFERROR(1/J418*(Y418/H418),"0")</f>
        <v>9.3406593406593408E-2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33.333333333333329</v>
      </c>
      <c r="Y419" s="631">
        <f>IFERROR(Y416/H416,"0")+IFERROR(Y417/H417,"0")+IFERROR(Y418/H418,"0")</f>
        <v>34</v>
      </c>
      <c r="Z419" s="631">
        <f>IFERROR(IF(Z416="",0,Z416),"0")+IFERROR(IF(Z417="",0,Z417),"0")+IFERROR(IF(Z418="",0,Z418),"0")</f>
        <v>0.22134000000000001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70</v>
      </c>
      <c r="Y420" s="631">
        <f>IFERROR(SUM(Y416:Y418),"0")</f>
        <v>71.400000000000006</v>
      </c>
      <c r="Z420" s="37"/>
      <c r="AA420" s="632"/>
      <c r="AB420" s="632"/>
      <c r="AC420" s="632"/>
    </row>
    <row r="421" spans="1:68" ht="27.75" hidden="1" customHeight="1" x14ac:dyDescent="0.2">
      <c r="A421" s="653" t="s">
        <v>681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48"/>
      <c r="AB421" s="48"/>
      <c r="AC421" s="48"/>
    </row>
    <row r="422" spans="1:68" ht="16.5" hidden="1" customHeight="1" x14ac:dyDescent="0.25">
      <c r="A422" s="650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hidden="1" customHeight="1" x14ac:dyDescent="0.25">
      <c r="A423" s="652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hidden="1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400</v>
      </c>
      <c r="Y425" s="630">
        <f t="shared" si="59"/>
        <v>405</v>
      </c>
      <c r="Z425" s="36">
        <f>IFERROR(IF(Y425=0,"",ROUNDUP(Y425/H425,0)*0.02175),"")</f>
        <v>0.58724999999999994</v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412.53333333333336</v>
      </c>
      <c r="BN425" s="64">
        <f t="shared" si="61"/>
        <v>417.69</v>
      </c>
      <c r="BO425" s="64">
        <f t="shared" si="62"/>
        <v>0.55555555555555558</v>
      </c>
      <c r="BP425" s="64">
        <f t="shared" si="63"/>
        <v>0.5625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500</v>
      </c>
      <c r="Y427" s="630">
        <f t="shared" si="59"/>
        <v>510</v>
      </c>
      <c r="Z427" s="36">
        <f>IFERROR(IF(Y427=0,"",ROUNDUP(Y427/H427,0)*0.02175),"")</f>
        <v>0.73949999999999994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515.66666666666663</v>
      </c>
      <c r="BN427" s="64">
        <f t="shared" si="61"/>
        <v>525.98</v>
      </c>
      <c r="BO427" s="64">
        <f t="shared" si="62"/>
        <v>0.69444444444444442</v>
      </c>
      <c r="BP427" s="64">
        <f t="shared" si="63"/>
        <v>0.70833333333333326</v>
      </c>
    </row>
    <row r="428" spans="1:68" ht="27" hidden="1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0</v>
      </c>
      <c r="Y428" s="630">
        <f t="shared" si="59"/>
        <v>0</v>
      </c>
      <c r="Z428" s="36" t="str">
        <f>IFERROR(IF(Y428=0,"",ROUNDUP(Y428/H428,0)*0.02175),"")</f>
        <v/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0</v>
      </c>
      <c r="BN428" s="64">
        <f t="shared" si="61"/>
        <v>0</v>
      </c>
      <c r="BO428" s="64">
        <f t="shared" si="62"/>
        <v>0</v>
      </c>
      <c r="BP428" s="64">
        <f t="shared" si="63"/>
        <v>0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60</v>
      </c>
      <c r="Y432" s="631">
        <f>IFERROR(Y424/H424,"0")+IFERROR(Y425/H425,"0")+IFERROR(Y426/H426,"0")+IFERROR(Y427/H427,"0")+IFERROR(Y428/H428,"0")+IFERROR(Y429/H429,"0")+IFERROR(Y430/H430,"0")+IFERROR(Y431/H431,"0")</f>
        <v>61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1.3267499999999999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900</v>
      </c>
      <c r="Y433" s="631">
        <f>IFERROR(SUM(Y424:Y431),"0")</f>
        <v>915</v>
      </c>
      <c r="Z433" s="37"/>
      <c r="AA433" s="632"/>
      <c r="AB433" s="632"/>
      <c r="AC433" s="632"/>
    </row>
    <row r="434" spans="1:68" ht="14.25" hidden="1" customHeight="1" x14ac:dyDescent="0.25">
      <c r="A434" s="652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hidden="1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7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0</v>
      </c>
      <c r="Y435" s="630">
        <f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27" hidden="1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0</v>
      </c>
      <c r="Y438" s="631">
        <f>IFERROR(Y435/H435,"0")+IFERROR(Y436/H436,"0")+IFERROR(Y437/H437,"0")</f>
        <v>0</v>
      </c>
      <c r="Z438" s="631">
        <f>IFERROR(IF(Z435="",0,Z435),"0")+IFERROR(IF(Z436="",0,Z436),"0")+IFERROR(IF(Z437="",0,Z437),"0")</f>
        <v>0</v>
      </c>
      <c r="AA438" s="632"/>
      <c r="AB438" s="632"/>
      <c r="AC438" s="632"/>
    </row>
    <row r="439" spans="1:68" hidden="1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0</v>
      </c>
      <c r="Y439" s="631">
        <f>IFERROR(SUM(Y435:Y437),"0")</f>
        <v>0</v>
      </c>
      <c r="Z439" s="37"/>
      <c r="AA439" s="632"/>
      <c r="AB439" s="632"/>
      <c r="AC439" s="632"/>
    </row>
    <row r="440" spans="1:68" ht="14.25" hidden="1" customHeight="1" x14ac:dyDescent="0.25">
      <c r="A440" s="652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hidden="1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9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hidden="1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hidden="1" customHeight="1" x14ac:dyDescent="0.25">
      <c r="A446" s="652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hidden="1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hidden="1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0</v>
      </c>
      <c r="Y448" s="630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0</v>
      </c>
      <c r="Y449" s="631">
        <f>IFERROR(Y447/H447,"0")+IFERROR(Y448/H448,"0")</f>
        <v>0</v>
      </c>
      <c r="Z449" s="631">
        <f>IFERROR(IF(Z447="",0,Z447),"0")+IFERROR(IF(Z448="",0,Z448),"0")</f>
        <v>0</v>
      </c>
      <c r="AA449" s="632"/>
      <c r="AB449" s="632"/>
      <c r="AC449" s="632"/>
    </row>
    <row r="450" spans="1:68" hidden="1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0</v>
      </c>
      <c r="Y450" s="631">
        <f>IFERROR(SUM(Y447:Y448),"0")</f>
        <v>0</v>
      </c>
      <c r="Z450" s="37"/>
      <c r="AA450" s="632"/>
      <c r="AB450" s="632"/>
      <c r="AC450" s="632"/>
    </row>
    <row r="451" spans="1:68" ht="16.5" hidden="1" customHeight="1" x14ac:dyDescent="0.25">
      <c r="A451" s="650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hidden="1" customHeight="1" x14ac:dyDescent="0.25">
      <c r="A452" s="652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hidden="1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2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hidden="1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2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500</v>
      </c>
      <c r="Y462" s="630">
        <f>IFERROR(IF(X462="",0,CEILING((X462/$H462),1)*$H462),"")</f>
        <v>504</v>
      </c>
      <c r="Z462" s="36">
        <f>IFERROR(IF(Y462=0,"",ROUNDUP(Y462/H462,0)*0.01898),"")</f>
        <v>1.06288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527.44444444444446</v>
      </c>
      <c r="BN462" s="64">
        <f>IFERROR(Y462*I462/H462,"0")</f>
        <v>531.66399999999999</v>
      </c>
      <c r="BO462" s="64">
        <f>IFERROR(1/J462*(X462/H462),"0")</f>
        <v>0.86805555555555558</v>
      </c>
      <c r="BP462" s="64">
        <f>IFERROR(1/J462*(Y462/H462),"0")</f>
        <v>0.875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8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40</v>
      </c>
      <c r="Y463" s="630">
        <f>IFERROR(IF(X463="",0,CEILING((X463/$H463),1)*$H463),"")</f>
        <v>40.799999999999997</v>
      </c>
      <c r="Z463" s="36">
        <f>IFERROR(IF(Y463=0,"",ROUNDUP(Y463/H463,0)*0.00651),"")</f>
        <v>0.11067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44.400000000000006</v>
      </c>
      <c r="BN463" s="64">
        <f>IFERROR(Y463*I463/H463,"0")</f>
        <v>45.287999999999997</v>
      </c>
      <c r="BO463" s="64">
        <f>IFERROR(1/J463*(X463/H463),"0")</f>
        <v>9.1575091575091583E-2</v>
      </c>
      <c r="BP463" s="64">
        <f>IFERROR(1/J463*(Y463/H463),"0")</f>
        <v>9.3406593406593408E-2</v>
      </c>
    </row>
    <row r="464" spans="1:68" ht="27" hidden="1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72.222222222222229</v>
      </c>
      <c r="Y465" s="631">
        <f>IFERROR(Y462/H462,"0")+IFERROR(Y463/H463,"0")+IFERROR(Y464/H464,"0")</f>
        <v>73</v>
      </c>
      <c r="Z465" s="631">
        <f>IFERROR(IF(Z462="",0,Z462),"0")+IFERROR(IF(Z463="",0,Z463),"0")+IFERROR(IF(Z464="",0,Z464),"0")</f>
        <v>1.1735500000000001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540</v>
      </c>
      <c r="Y466" s="631">
        <f>IFERROR(SUM(Y462:Y464),"0")</f>
        <v>544.79999999999995</v>
      </c>
      <c r="Z466" s="37"/>
      <c r="AA466" s="632"/>
      <c r="AB466" s="632"/>
      <c r="AC466" s="632"/>
    </row>
    <row r="467" spans="1:68" ht="27.75" hidden="1" customHeight="1" x14ac:dyDescent="0.2">
      <c r="A467" s="653" t="s">
        <v>747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48"/>
      <c r="AB467" s="48"/>
      <c r="AC467" s="48"/>
    </row>
    <row r="468" spans="1:68" ht="16.5" hidden="1" customHeight="1" x14ac:dyDescent="0.25">
      <c r="A468" s="650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hidden="1" customHeight="1" x14ac:dyDescent="0.25">
      <c r="A469" s="652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hidden="1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2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64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hidden="1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hidden="1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hidden="1" customHeight="1" x14ac:dyDescent="0.25">
      <c r="A478" s="652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hidden="1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50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hidden="1" customHeight="1" x14ac:dyDescent="0.25">
      <c r="A484" s="652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hidden="1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2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hidden="1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hidden="1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hidden="1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hidden="1" customHeight="1" x14ac:dyDescent="0.2">
      <c r="A494" s="653" t="s">
        <v>783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48"/>
      <c r="AB494" s="48"/>
      <c r="AC494" s="48"/>
    </row>
    <row r="495" spans="1:68" ht="16.5" hidden="1" customHeight="1" x14ac:dyDescent="0.25">
      <c r="A495" s="650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hidden="1" customHeight="1" x14ac:dyDescent="0.25">
      <c r="A496" s="652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hidden="1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hidden="1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hidden="1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hidden="1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0</v>
      </c>
      <c r="Y500" s="630">
        <f t="shared" si="69"/>
        <v>0</v>
      </c>
      <c r="Z500" s="36" t="str">
        <f t="shared" si="70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0</v>
      </c>
      <c r="BN500" s="64">
        <f t="shared" si="72"/>
        <v>0</v>
      </c>
      <c r="BO500" s="64">
        <f t="shared" si="73"/>
        <v>0</v>
      </c>
      <c r="BP500" s="64">
        <f t="shared" si="74"/>
        <v>0</v>
      </c>
    </row>
    <row r="501" spans="1:68" ht="16.5" hidden="1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hidden="1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hidden="1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hidden="1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0</v>
      </c>
      <c r="Y505" s="630">
        <f t="shared" si="69"/>
        <v>0</v>
      </c>
      <c r="Z505" s="36" t="str">
        <f>IFERROR(IF(Y505=0,"",ROUNDUP(Y505/H505,0)*0.00902),"")</f>
        <v/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0</v>
      </c>
      <c r="BN505" s="64">
        <f t="shared" si="72"/>
        <v>0</v>
      </c>
      <c r="BO505" s="64">
        <f t="shared" si="73"/>
        <v>0</v>
      </c>
      <c r="BP505" s="64">
        <f t="shared" si="74"/>
        <v>0</v>
      </c>
    </row>
    <row r="506" spans="1:68" hidden="1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0</v>
      </c>
      <c r="Y506" s="631">
        <f>IFERROR(Y497/H497,"0")+IFERROR(Y498/H498,"0")+IFERROR(Y499/H499,"0")+IFERROR(Y500/H500,"0")+IFERROR(Y501/H501,"0")+IFERROR(Y502/H502,"0")+IFERROR(Y503/H503,"0")+IFERROR(Y504/H504,"0")+IFERROR(Y505/H505,"0")</f>
        <v>0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32"/>
      <c r="AB506" s="632"/>
      <c r="AC506" s="632"/>
    </row>
    <row r="507" spans="1:68" hidden="1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0</v>
      </c>
      <c r="Y507" s="631">
        <f>IFERROR(SUM(Y497:Y505),"0")</f>
        <v>0</v>
      </c>
      <c r="Z507" s="37"/>
      <c r="AA507" s="632"/>
      <c r="AB507" s="632"/>
      <c r="AC507" s="632"/>
    </row>
    <row r="508" spans="1:68" ht="14.25" hidden="1" customHeight="1" x14ac:dyDescent="0.25">
      <c r="A508" s="652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400</v>
      </c>
      <c r="Y509" s="630">
        <f>IFERROR(IF(X509="",0,CEILING((X509/$H509),1)*$H509),"")</f>
        <v>401.28000000000003</v>
      </c>
      <c r="Z509" s="36">
        <f>IFERROR(IF(Y509=0,"",ROUNDUP(Y509/H509,0)*0.01196),"")</f>
        <v>0.90895999999999999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426.5151515151515</v>
      </c>
      <c r="BN509" s="64">
        <f>IFERROR(Y509*I509/H509,"0")</f>
        <v>427.88</v>
      </c>
      <c r="BO509" s="64">
        <f>IFERROR(1/J509*(X509/H509),"0")</f>
        <v>0.72843822843822836</v>
      </c>
      <c r="BP509" s="64">
        <f>IFERROR(1/J509*(Y509/H509),"0")</f>
        <v>0.73076923076923084</v>
      </c>
    </row>
    <row r="510" spans="1:68" ht="16.5" hidden="1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hidden="1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75.757575757575751</v>
      </c>
      <c r="Y512" s="631">
        <f>IFERROR(Y509/H509,"0")+IFERROR(Y510/H510,"0")+IFERROR(Y511/H511,"0")</f>
        <v>76</v>
      </c>
      <c r="Z512" s="631">
        <f>IFERROR(IF(Z509="",0,Z509),"0")+IFERROR(IF(Z510="",0,Z510),"0")+IFERROR(IF(Z511="",0,Z511),"0")</f>
        <v>0.90895999999999999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400</v>
      </c>
      <c r="Y513" s="631">
        <f>IFERROR(SUM(Y509:Y511),"0")</f>
        <v>401.28000000000003</v>
      </c>
      <c r="Z513" s="37"/>
      <c r="AA513" s="632"/>
      <c r="AB513" s="632"/>
      <c r="AC513" s="632"/>
    </row>
    <row r="514" spans="1:68" ht="14.25" hidden="1" customHeight="1" x14ac:dyDescent="0.25">
      <c r="A514" s="652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hidden="1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0</v>
      </c>
      <c r="Y515" s="630">
        <f t="shared" ref="Y515:Y521" si="75"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0</v>
      </c>
      <c r="BN515" s="64">
        <f t="shared" ref="BN515:BN521" si="77">IFERROR(Y515*I515/H515,"0")</f>
        <v>0</v>
      </c>
      <c r="BO515" s="64">
        <f t="shared" ref="BO515:BO521" si="78">IFERROR(1/J515*(X515/H515),"0")</f>
        <v>0</v>
      </c>
      <c r="BP515" s="64">
        <f t="shared" ref="BP515:BP521" si="79">IFERROR(1/J515*(Y515/H515),"0")</f>
        <v>0</v>
      </c>
    </row>
    <row r="516" spans="1:68" ht="27" hidden="1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3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0</v>
      </c>
      <c r="Y516" s="630">
        <f t="shared" si="75"/>
        <v>0</v>
      </c>
      <c r="Z516" s="36" t="str">
        <f>IFERROR(IF(Y516=0,"",ROUNDUP(Y516/H516,0)*0.01196),"")</f>
        <v/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0</v>
      </c>
      <c r="Y517" s="630">
        <f t="shared" si="75"/>
        <v>0</v>
      </c>
      <c r="Z517" s="36" t="str">
        <f>IFERROR(IF(Y517=0,"",ROUNDUP(Y517/H517,0)*0.01196),"")</f>
        <v/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0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70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hidden="1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0</v>
      </c>
      <c r="Y522" s="631">
        <f>IFERROR(Y515/H515,"0")+IFERROR(Y516/H516,"0")+IFERROR(Y517/H517,"0")+IFERROR(Y518/H518,"0")+IFERROR(Y519/H519,"0")+IFERROR(Y520/H520,"0")+IFERROR(Y521/H521,"0")</f>
        <v>0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32"/>
      <c r="AB522" s="632"/>
      <c r="AC522" s="632"/>
    </row>
    <row r="523" spans="1:68" hidden="1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0</v>
      </c>
      <c r="Y523" s="631">
        <f>IFERROR(SUM(Y515:Y521),"0")</f>
        <v>0</v>
      </c>
      <c r="Z523" s="37"/>
      <c r="AA523" s="632"/>
      <c r="AB523" s="632"/>
      <c r="AC523" s="632"/>
    </row>
    <row r="524" spans="1:68" ht="27.75" hidden="1" customHeight="1" x14ac:dyDescent="0.2">
      <c r="A524" s="653" t="s">
        <v>830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48"/>
      <c r="AB524" s="48"/>
      <c r="AC524" s="48"/>
    </row>
    <row r="525" spans="1:68" ht="16.5" hidden="1" customHeight="1" x14ac:dyDescent="0.25">
      <c r="A525" s="650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hidden="1" customHeight="1" x14ac:dyDescent="0.25">
      <c r="A526" s="652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hidden="1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2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hidden="1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2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hidden="1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2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hidden="1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67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0</v>
      </c>
      <c r="Y539" s="630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0</v>
      </c>
      <c r="Y540" s="631">
        <f>IFERROR(Y539/H539,"0")</f>
        <v>0</v>
      </c>
      <c r="Z540" s="631">
        <f>IFERROR(IF(Z539="",0,Z539),"0")</f>
        <v>0</v>
      </c>
      <c r="AA540" s="632"/>
      <c r="AB540" s="632"/>
      <c r="AC540" s="632"/>
    </row>
    <row r="541" spans="1:68" hidden="1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0</v>
      </c>
      <c r="Y541" s="631">
        <f>IFERROR(SUM(Y539:Y539),"0")</f>
        <v>0</v>
      </c>
      <c r="Z541" s="37"/>
      <c r="AA541" s="632"/>
      <c r="AB541" s="632"/>
      <c r="AC541" s="632"/>
    </row>
    <row r="542" spans="1:68" ht="14.25" hidden="1" customHeight="1" x14ac:dyDescent="0.25">
      <c r="A542" s="652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hidden="1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50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hidden="1" customHeight="1" x14ac:dyDescent="0.25">
      <c r="A548" s="652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hidden="1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8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94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5"/>
      <c r="P552" s="737" t="s">
        <v>853</v>
      </c>
      <c r="Q552" s="738"/>
      <c r="R552" s="738"/>
      <c r="S552" s="738"/>
      <c r="T552" s="738"/>
      <c r="U552" s="738"/>
      <c r="V552" s="739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3200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3253.0800000000004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5"/>
      <c r="P553" s="737" t="s">
        <v>854</v>
      </c>
      <c r="Q553" s="738"/>
      <c r="R553" s="738"/>
      <c r="S553" s="738"/>
      <c r="T553" s="738"/>
      <c r="U553" s="738"/>
      <c r="V553" s="739"/>
      <c r="W553" s="37" t="s">
        <v>66</v>
      </c>
      <c r="X553" s="631">
        <f>IFERROR(SUM(BM22:BM549),"0")</f>
        <v>3385.12275049344</v>
      </c>
      <c r="Y553" s="631">
        <f>IFERROR(SUM(BN22:BN549),"0")</f>
        <v>3440.7779999999998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5"/>
      <c r="P554" s="737" t="s">
        <v>855</v>
      </c>
      <c r="Q554" s="738"/>
      <c r="R554" s="738"/>
      <c r="S554" s="738"/>
      <c r="T554" s="738"/>
      <c r="U554" s="738"/>
      <c r="V554" s="739"/>
      <c r="W554" s="37" t="s">
        <v>856</v>
      </c>
      <c r="X554" s="38">
        <f>ROUNDUP(SUM(BO22:BO549),0)</f>
        <v>6</v>
      </c>
      <c r="Y554" s="38">
        <f>ROUNDUP(SUM(BP22:BP549),0)</f>
        <v>6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5"/>
      <c r="P555" s="737" t="s">
        <v>857</v>
      </c>
      <c r="Q555" s="738"/>
      <c r="R555" s="738"/>
      <c r="S555" s="738"/>
      <c r="T555" s="738"/>
      <c r="U555" s="738"/>
      <c r="V555" s="739"/>
      <c r="W555" s="37" t="s">
        <v>66</v>
      </c>
      <c r="X555" s="631">
        <f>GrossWeightTotal+PalletQtyTotal*25</f>
        <v>3535.12275049344</v>
      </c>
      <c r="Y555" s="631">
        <f>GrossWeightTotalR+PalletQtyTotalR*25</f>
        <v>3590.7779999999998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5"/>
      <c r="P556" s="737" t="s">
        <v>858</v>
      </c>
      <c r="Q556" s="738"/>
      <c r="R556" s="738"/>
      <c r="S556" s="738"/>
      <c r="T556" s="738"/>
      <c r="U556" s="738"/>
      <c r="V556" s="739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583.17136886102401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591</v>
      </c>
      <c r="Z556" s="37"/>
      <c r="AA556" s="632"/>
      <c r="AB556" s="632"/>
      <c r="AC556" s="632"/>
    </row>
    <row r="557" spans="1:68" ht="14.25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5"/>
      <c r="P557" s="737" t="s">
        <v>859</v>
      </c>
      <c r="Q557" s="738"/>
      <c r="R557" s="738"/>
      <c r="S557" s="738"/>
      <c r="T557" s="738"/>
      <c r="U557" s="738"/>
      <c r="V557" s="739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6.4837500000000006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96" t="s">
        <v>110</v>
      </c>
      <c r="E559" s="720"/>
      <c r="F559" s="720"/>
      <c r="G559" s="720"/>
      <c r="H559" s="720"/>
      <c r="I559" s="720"/>
      <c r="J559" s="721"/>
      <c r="K559" s="696" t="s">
        <v>338</v>
      </c>
      <c r="L559" s="720"/>
      <c r="M559" s="720"/>
      <c r="N559" s="720"/>
      <c r="O559" s="720"/>
      <c r="P559" s="720"/>
      <c r="Q559" s="720"/>
      <c r="R559" s="720"/>
      <c r="S559" s="720"/>
      <c r="T559" s="720"/>
      <c r="U559" s="720"/>
      <c r="V559" s="721"/>
      <c r="W559" s="696" t="s">
        <v>681</v>
      </c>
      <c r="X559" s="721"/>
      <c r="Y559" s="696" t="s">
        <v>747</v>
      </c>
      <c r="Z559" s="721"/>
      <c r="AA559" s="626" t="s">
        <v>783</v>
      </c>
      <c r="AB559" s="696" t="s">
        <v>830</v>
      </c>
      <c r="AC559" s="721"/>
      <c r="AF559" s="627"/>
    </row>
    <row r="560" spans="1:68" ht="14.25" customHeight="1" thickTop="1" x14ac:dyDescent="0.2">
      <c r="A560" s="714" t="s">
        <v>862</v>
      </c>
      <c r="B560" s="696" t="s">
        <v>60</v>
      </c>
      <c r="C560" s="696" t="s">
        <v>92</v>
      </c>
      <c r="D560" s="696" t="s">
        <v>111</v>
      </c>
      <c r="E560" s="696" t="s">
        <v>127</v>
      </c>
      <c r="F560" s="696" t="s">
        <v>169</v>
      </c>
      <c r="G560" s="696" t="s">
        <v>190</v>
      </c>
      <c r="H560" s="696" t="s">
        <v>230</v>
      </c>
      <c r="I560" s="696" t="s">
        <v>254</v>
      </c>
      <c r="J560" s="696" t="s">
        <v>110</v>
      </c>
      <c r="K560" s="696" t="s">
        <v>339</v>
      </c>
      <c r="L560" s="696" t="s">
        <v>360</v>
      </c>
      <c r="M560" s="696" t="s">
        <v>427</v>
      </c>
      <c r="N560" s="627"/>
      <c r="O560" s="696" t="s">
        <v>495</v>
      </c>
      <c r="P560" s="696" t="s">
        <v>528</v>
      </c>
      <c r="Q560" s="696" t="s">
        <v>544</v>
      </c>
      <c r="R560" s="696" t="s">
        <v>553</v>
      </c>
      <c r="S560" s="696" t="s">
        <v>574</v>
      </c>
      <c r="T560" s="696" t="s">
        <v>583</v>
      </c>
      <c r="U560" s="696" t="s">
        <v>664</v>
      </c>
      <c r="V560" s="696" t="s">
        <v>671</v>
      </c>
      <c r="W560" s="696" t="s">
        <v>682</v>
      </c>
      <c r="X560" s="696" t="s">
        <v>731</v>
      </c>
      <c r="Y560" s="696" t="s">
        <v>748</v>
      </c>
      <c r="Z560" s="696" t="s">
        <v>771</v>
      </c>
      <c r="AA560" s="696" t="s">
        <v>783</v>
      </c>
      <c r="AB560" s="696" t="s">
        <v>830</v>
      </c>
      <c r="AC560" s="696" t="s">
        <v>849</v>
      </c>
      <c r="AF560" s="627"/>
    </row>
    <row r="561" spans="1:32" ht="13.5" customHeight="1" thickBot="1" x14ac:dyDescent="0.25">
      <c r="A561" s="715"/>
      <c r="B561" s="697"/>
      <c r="C561" s="697"/>
      <c r="D561" s="697"/>
      <c r="E561" s="697"/>
      <c r="F561" s="697"/>
      <c r="G561" s="697"/>
      <c r="H561" s="697"/>
      <c r="I561" s="697"/>
      <c r="J561" s="697"/>
      <c r="K561" s="697"/>
      <c r="L561" s="697"/>
      <c r="M561" s="697"/>
      <c r="N561" s="627"/>
      <c r="O561" s="697"/>
      <c r="P561" s="697"/>
      <c r="Q561" s="697"/>
      <c r="R561" s="697"/>
      <c r="S561" s="697"/>
      <c r="T561" s="697"/>
      <c r="U561" s="697"/>
      <c r="V561" s="697"/>
      <c r="W561" s="697"/>
      <c r="X561" s="697"/>
      <c r="Y561" s="697"/>
      <c r="Z561" s="697"/>
      <c r="AA561" s="697"/>
      <c r="AB561" s="697"/>
      <c r="AC561" s="697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259.20000000000005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46">
        <f>IFERROR(Y83*1,"0")+IFERROR(Y84*1,"0")+IFERROR(Y85*1,"0")+IFERROR(Y86*1,"0")+IFERROR(Y90*1,"0")+IFERROR(Y91*1,"0")+IFERROR(Y92*1,"0")+IFERROR(Y93*1,"0")</f>
        <v>226.8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334.8</v>
      </c>
      <c r="H562" s="46">
        <f>IFERROR(Y128*1,"0")+IFERROR(Y129*1,"0")+IFERROR(Y130*1,"0")+IFERROR(Y134*1,"0")+IFERROR(Y135*1,"0")+IFERROR(Y136*1,"0")+IFERROR(Y137*1,"0")+IFERROR(Y141*1,"0")+IFERROR(Y142*1,"0")+IFERROR(Y143*1,"0")</f>
        <v>0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499.8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0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0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46">
        <f>IFERROR(Y410*1,"0")+IFERROR(Y411*1,"0")</f>
        <v>0</v>
      </c>
      <c r="V562" s="46">
        <f>IFERROR(Y416*1,"0")+IFERROR(Y417*1,"0")+IFERROR(Y418*1,"0")</f>
        <v>71.400000000000006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915</v>
      </c>
      <c r="X562" s="46">
        <f>IFERROR(Y453*1,"0")+IFERROR(Y454*1,"0")+IFERROR(Y458*1,"0")+IFERROR(Y462*1,"0")+IFERROR(Y463*1,"0")+IFERROR(Y464*1,"0")</f>
        <v>544.79999999999995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401.28000000000003</v>
      </c>
      <c r="AB562" s="46">
        <f>IFERROR(Y527*1,"0")+IFERROR(Y531*1,"0")+IFERROR(Y535*1,"0")+IFERROR(Y539*1,"0")+IFERROR(Y543*1,"0")+IFERROR(Y544*1,"0")</f>
        <v>0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05,75"/>
        <filter val="200,00"/>
        <filter val="225,00"/>
        <filter val="23,15"/>
        <filter val="250,00"/>
        <filter val="290,00"/>
        <filter val="3 200,00"/>
        <filter val="3 385,12"/>
        <filter val="3 535,12"/>
        <filter val="33,33"/>
        <filter val="35,00"/>
        <filter val="37,04"/>
        <filter val="40,00"/>
        <filter val="400,00"/>
        <filter val="50,00"/>
        <filter val="500,00"/>
        <filter val="540,00"/>
        <filter val="583,17"/>
        <filter val="6"/>
        <filter val="60,00"/>
        <filter val="70,00"/>
        <filter val="72,22"/>
        <filter val="75,76"/>
        <filter val="83,33"/>
        <filter val="9,26"/>
        <filter val="900,00"/>
      </filters>
    </filterColumn>
    <filterColumn colId="29" showButton="0"/>
    <filterColumn colId="30" showButton="0"/>
  </autoFilter>
  <mergeCells count="989">
    <mergeCell ref="D170:E170"/>
    <mergeCell ref="P93:T93"/>
    <mergeCell ref="P132:V132"/>
    <mergeCell ref="P72:T72"/>
    <mergeCell ref="A124:O125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P69:V69"/>
    <mergeCell ref="A21:Z21"/>
    <mergeCell ref="D184:E184"/>
    <mergeCell ref="A355:O356"/>
    <mergeCell ref="P356:V356"/>
    <mergeCell ref="X17:X18"/>
    <mergeCell ref="D286:E286"/>
    <mergeCell ref="P216:V216"/>
    <mergeCell ref="D17:E18"/>
    <mergeCell ref="P373:T373"/>
    <mergeCell ref="P307:T307"/>
    <mergeCell ref="D123:E123"/>
    <mergeCell ref="D250:E250"/>
    <mergeCell ref="D50:E50"/>
    <mergeCell ref="D42:E42"/>
    <mergeCell ref="P149:T149"/>
    <mergeCell ref="P74:V74"/>
    <mergeCell ref="P447:T447"/>
    <mergeCell ref="P410:T410"/>
    <mergeCell ref="N17:N18"/>
    <mergeCell ref="P560:P561"/>
    <mergeCell ref="P58:T58"/>
    <mergeCell ref="O560:O561"/>
    <mergeCell ref="D331:E331"/>
    <mergeCell ref="D57:E57"/>
    <mergeCell ref="Q560:Q561"/>
    <mergeCell ref="A484:Z484"/>
    <mergeCell ref="P438:V438"/>
    <mergeCell ref="P505:T505"/>
    <mergeCell ref="A415:Z415"/>
    <mergeCell ref="D471:E471"/>
    <mergeCell ref="A449:O450"/>
    <mergeCell ref="P363:T363"/>
    <mergeCell ref="A35:Z35"/>
    <mergeCell ref="P370:T370"/>
    <mergeCell ref="F17:F18"/>
    <mergeCell ref="D276:E276"/>
    <mergeCell ref="A107:Z107"/>
    <mergeCell ref="D341:E341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P513:V513"/>
    <mergeCell ref="P134:T134"/>
    <mergeCell ref="A534:Z534"/>
    <mergeCell ref="A64:Z64"/>
    <mergeCell ref="P432:V432"/>
    <mergeCell ref="P510:T510"/>
    <mergeCell ref="P308:V308"/>
    <mergeCell ref="P185:V185"/>
    <mergeCell ref="P160:V160"/>
    <mergeCell ref="P83:T83"/>
    <mergeCell ref="D271:E271"/>
    <mergeCell ref="D151:E151"/>
    <mergeCell ref="D443:E443"/>
    <mergeCell ref="D272:E272"/>
    <mergeCell ref="A345:Z345"/>
    <mergeCell ref="D210:E210"/>
    <mergeCell ref="Q5:R5"/>
    <mergeCell ref="P497:T497"/>
    <mergeCell ref="P297:T297"/>
    <mergeCell ref="P435:T435"/>
    <mergeCell ref="D278:E278"/>
    <mergeCell ref="Q6:R6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P436:T436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D515:E515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A166:O167"/>
    <mergeCell ref="P278:T278"/>
    <mergeCell ref="D150:E150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AA560:AA561"/>
    <mergeCell ref="P482:V482"/>
    <mergeCell ref="A412:O413"/>
    <mergeCell ref="D386:E386"/>
    <mergeCell ref="D215:E215"/>
    <mergeCell ref="A364:O365"/>
    <mergeCell ref="P183:T183"/>
    <mergeCell ref="D164:E164"/>
    <mergeCell ref="A314:Z314"/>
    <mergeCell ref="P289:V289"/>
    <mergeCell ref="D298:E298"/>
    <mergeCell ref="D181:E181"/>
    <mergeCell ref="A351:Z351"/>
    <mergeCell ref="P252:V252"/>
    <mergeCell ref="P324:T324"/>
    <mergeCell ref="A126:Z126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P550:V550"/>
    <mergeCell ref="A528:O529"/>
    <mergeCell ref="F560:F561"/>
    <mergeCell ref="H560:H561"/>
    <mergeCell ref="P269:T269"/>
    <mergeCell ref="P462:T462"/>
    <mergeCell ref="D207:E207"/>
    <mergeCell ref="P164:T164"/>
    <mergeCell ref="P120:V120"/>
    <mergeCell ref="D299:E299"/>
    <mergeCell ref="D370:E370"/>
    <mergeCell ref="P476:V476"/>
    <mergeCell ref="D222:E222"/>
    <mergeCell ref="P51:T51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Z17:Z18"/>
    <mergeCell ref="AB17:AB18"/>
    <mergeCell ref="D85:E85"/>
    <mergeCell ref="P399:T399"/>
    <mergeCell ref="P333:T333"/>
    <mergeCell ref="A295:Z295"/>
    <mergeCell ref="P171:V171"/>
    <mergeCell ref="P413:V413"/>
    <mergeCell ref="P49:T49"/>
    <mergeCell ref="P101:T101"/>
    <mergeCell ref="P63:V63"/>
    <mergeCell ref="P53:V53"/>
    <mergeCell ref="D49:E49"/>
    <mergeCell ref="P91:T91"/>
    <mergeCell ref="A82:Z82"/>
    <mergeCell ref="P463:T463"/>
    <mergeCell ref="D384:E384"/>
    <mergeCell ref="A457:Z457"/>
    <mergeCell ref="A387:O388"/>
    <mergeCell ref="P341:T341"/>
    <mergeCell ref="A191:O192"/>
    <mergeCell ref="P260:T260"/>
    <mergeCell ref="D399:E399"/>
    <mergeCell ref="D59:E59"/>
    <mergeCell ref="D178:E178"/>
    <mergeCell ref="A218:Z218"/>
    <mergeCell ref="D462:E462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223:E223"/>
    <mergeCell ref="P192:V192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P241:V241"/>
    <mergeCell ref="P500:T500"/>
    <mergeCell ref="A444:O445"/>
    <mergeCell ref="P105:V105"/>
    <mergeCell ref="D39:E39"/>
    <mergeCell ref="P130:T130"/>
    <mergeCell ref="D136:E136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275:Z275"/>
    <mergeCell ref="P501:T501"/>
    <mergeCell ref="A253:Z253"/>
    <mergeCell ref="A495:Z495"/>
    <mergeCell ref="P355:V355"/>
    <mergeCell ref="Y559:Z559"/>
    <mergeCell ref="P387:V387"/>
    <mergeCell ref="D316:E316"/>
    <mergeCell ref="P517:T517"/>
    <mergeCell ref="D267:E267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A26:Z26"/>
    <mergeCell ref="D527:E527"/>
    <mergeCell ref="P335:V335"/>
    <mergeCell ref="A45:Z45"/>
    <mergeCell ref="A452:Z452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148:T148"/>
    <mergeCell ref="D463:E463"/>
    <mergeCell ref="P153:T153"/>
    <mergeCell ref="D509:E509"/>
    <mergeCell ref="D425:E425"/>
    <mergeCell ref="D359:E359"/>
    <mergeCell ref="D504:E504"/>
    <mergeCell ref="P190:T190"/>
    <mergeCell ref="P61:T61"/>
    <mergeCell ref="A105:O106"/>
    <mergeCell ref="P48:T48"/>
    <mergeCell ref="A400:O401"/>
    <mergeCell ref="P270:T270"/>
    <mergeCell ref="D86:E8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2026-08-27T13:09:10Z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