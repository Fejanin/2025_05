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57F8062-0C0F-4590-A4A1-361EF5DCEA7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Z357" i="2" s="1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Z417" i="2" s="1"/>
  <c r="BP421" i="2"/>
  <c r="BN450" i="2"/>
  <c r="BP453" i="2"/>
  <c r="Z292" i="2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25" i="2" l="1"/>
  <c r="Z146" i="2"/>
  <c r="Z288" i="2"/>
  <c r="Z293" i="2"/>
  <c r="Z481" i="2"/>
  <c r="Z258" i="2"/>
  <c r="Z362" i="2"/>
  <c r="Z302" i="2"/>
  <c r="Z214" i="2"/>
  <c r="Z90" i="2"/>
  <c r="Z267" i="2"/>
  <c r="Z319" i="2"/>
  <c r="Z66" i="2"/>
  <c r="Z135" i="2"/>
  <c r="Z242" i="2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<sst xmlns="http://schemas.openxmlformats.org/spreadsheetml/2006/main" count="3645" uniqueCount="788">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</sst>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6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60" t="s">
        <v>26</v>
      </c>
      <c r="E1" s="860"/>
      <c r="F1" s="860"/>
      <c r="G1" s="14" t="s">
        <v>66</v>
      </c>
      <c r="H1" s="860" t="s">
        <v>46</v>
      </c>
      <c r="I1" s="860"/>
      <c r="J1" s="860"/>
      <c r="K1" s="860"/>
      <c r="L1" s="860"/>
      <c r="M1" s="860"/>
      <c r="N1" s="860"/>
      <c r="O1" s="860"/>
      <c r="P1" s="860"/>
      <c r="Q1" s="860"/>
      <c r="R1" s="861" t="s">
        <v>67</v>
      </c>
      <c r="S1" s="862"/>
      <c r="T1" s="86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3"/>
      <c r="R2" s="863"/>
      <c r="S2" s="863"/>
      <c r="T2" s="863"/>
      <c r="U2" s="863"/>
      <c r="V2" s="863"/>
      <c r="W2" s="86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3"/>
      <c r="Q3" s="863"/>
      <c r="R3" s="863"/>
      <c r="S3" s="863"/>
      <c r="T3" s="863"/>
      <c r="U3" s="863"/>
      <c r="V3" s="863"/>
      <c r="W3" s="86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41" t="s">
        <v>8</v>
      </c>
      <c r="B5" s="841"/>
      <c r="C5" s="841"/>
      <c r="D5" s="864"/>
      <c r="E5" s="864"/>
      <c r="F5" s="865" t="s">
        <v>14</v>
      </c>
      <c r="G5" s="865"/>
      <c r="H5" s="864" t="s">
        <v>787</v>
      </c>
      <c r="I5" s="864"/>
      <c r="J5" s="864"/>
      <c r="K5" s="864"/>
      <c r="L5" s="864"/>
      <c r="M5" s="864"/>
      <c r="N5" s="69"/>
      <c r="P5" s="26" t="s">
        <v>4</v>
      </c>
      <c r="Q5" s="866">
        <v>46264</v>
      </c>
      <c r="R5" s="867"/>
      <c r="T5" s="868" t="s">
        <v>3</v>
      </c>
      <c r="U5" s="869"/>
      <c r="V5" s="870" t="s">
        <v>751</v>
      </c>
      <c r="W5" s="871"/>
      <c r="AB5" s="57"/>
      <c r="AC5" s="57"/>
      <c r="AD5" s="57"/>
      <c r="AE5" s="57"/>
    </row>
    <row r="6" spans="1:32" s="17" customFormat="1" ht="24" customHeight="1" x14ac:dyDescent="0.2">
      <c r="A6" s="841" t="s">
        <v>1</v>
      </c>
      <c r="B6" s="841"/>
      <c r="C6" s="841"/>
      <c r="D6" s="842" t="s">
        <v>767</v>
      </c>
      <c r="E6" s="842"/>
      <c r="F6" s="842"/>
      <c r="G6" s="842"/>
      <c r="H6" s="842"/>
      <c r="I6" s="842"/>
      <c r="J6" s="842"/>
      <c r="K6" s="842"/>
      <c r="L6" s="842"/>
      <c r="M6" s="842"/>
      <c r="N6" s="70"/>
      <c r="P6" s="26" t="s">
        <v>27</v>
      </c>
      <c r="Q6" s="843" t="str">
        <f>IF(Q5=0," ",CHOOSE(WEEKDAY(Q5,2),"Понедельник","Вторник","Среда","Четверг","Пятница","Суббота","Воскресенье"))</f>
        <v>Воскресенье</v>
      </c>
      <c r="R6" s="843"/>
      <c r="T6" s="844" t="s">
        <v>5</v>
      </c>
      <c r="U6" s="845"/>
      <c r="V6" s="846" t="s">
        <v>69</v>
      </c>
      <c r="W6" s="84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52" t="str">
        <f>IFERROR(VLOOKUP(DeliveryAddress,Table,3,0),1)</f>
        <v>6</v>
      </c>
      <c r="E7" s="853"/>
      <c r="F7" s="853"/>
      <c r="G7" s="853"/>
      <c r="H7" s="853"/>
      <c r="I7" s="853"/>
      <c r="J7" s="853"/>
      <c r="K7" s="853"/>
      <c r="L7" s="853"/>
      <c r="M7" s="854"/>
      <c r="N7" s="71"/>
      <c r="P7" s="26"/>
      <c r="Q7" s="46"/>
      <c r="R7" s="46"/>
      <c r="T7" s="844"/>
      <c r="U7" s="845"/>
      <c r="V7" s="848"/>
      <c r="W7" s="849"/>
      <c r="AB7" s="57"/>
      <c r="AC7" s="57"/>
      <c r="AD7" s="57"/>
      <c r="AE7" s="57"/>
    </row>
    <row r="8" spans="1:32" s="17" customFormat="1" ht="25.5" customHeight="1" x14ac:dyDescent="0.2">
      <c r="A8" s="855" t="s">
        <v>57</v>
      </c>
      <c r="B8" s="855"/>
      <c r="C8" s="855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72"/>
      <c r="P8" s="26" t="s">
        <v>11</v>
      </c>
      <c r="Q8" s="839">
        <v>0.45833333333333331</v>
      </c>
      <c r="R8" s="857"/>
      <c r="T8" s="844"/>
      <c r="U8" s="845"/>
      <c r="V8" s="848"/>
      <c r="W8" s="849"/>
      <c r="AB8" s="57"/>
      <c r="AC8" s="57"/>
      <c r="AD8" s="57"/>
      <c r="AE8" s="57"/>
    </row>
    <row r="9" spans="1:32" s="17" customFormat="1" ht="39.950000000000003" customHeight="1" x14ac:dyDescent="0.2">
      <c r="A9" s="8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1"/>
      <c r="C9" s="831"/>
      <c r="D9" s="832" t="s">
        <v>45</v>
      </c>
      <c r="E9" s="833"/>
      <c r="F9" s="8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1"/>
      <c r="H9" s="858" t="str">
        <f>IF(AND($A$9="Тип доверенности/получателя при получении в адресе перегруза:",$D$9="Разовая доверенность"),"Введите ФИО","")</f>
        <v/>
      </c>
      <c r="I9" s="858"/>
      <c r="J9" s="8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8"/>
      <c r="L9" s="858"/>
      <c r="M9" s="858"/>
      <c r="N9" s="67"/>
      <c r="P9" s="29" t="s">
        <v>15</v>
      </c>
      <c r="Q9" s="859">
        <v>46266</v>
      </c>
      <c r="R9" s="859"/>
      <c r="T9" s="844"/>
      <c r="U9" s="845"/>
      <c r="V9" s="850"/>
      <c r="W9" s="85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1"/>
      <c r="C10" s="831"/>
      <c r="D10" s="832"/>
      <c r="E10" s="833"/>
      <c r="F10" s="8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1"/>
      <c r="H10" s="834" t="str">
        <f>IFERROR(VLOOKUP($D$10,Proxy,2,FALSE),"")</f>
        <v/>
      </c>
      <c r="I10" s="834"/>
      <c r="J10" s="834"/>
      <c r="K10" s="834"/>
      <c r="L10" s="834"/>
      <c r="M10" s="834"/>
      <c r="N10" s="68"/>
      <c r="P10" s="29" t="s">
        <v>32</v>
      </c>
      <c r="Q10" s="835">
        <v>0.54166666666666663</v>
      </c>
      <c r="R10" s="835"/>
      <c r="U10" s="26" t="s">
        <v>12</v>
      </c>
      <c r="V10" s="836" t="s">
        <v>70</v>
      </c>
      <c r="W10" s="83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8"/>
      <c r="R11" s="838"/>
      <c r="U11" s="26" t="s">
        <v>28</v>
      </c>
      <c r="V11" s="817" t="s">
        <v>54</v>
      </c>
      <c r="W11" s="8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6" t="s">
        <v>71</v>
      </c>
      <c r="B12" s="816"/>
      <c r="C12" s="816"/>
      <c r="D12" s="816"/>
      <c r="E12" s="816"/>
      <c r="F12" s="816"/>
      <c r="G12" s="816"/>
      <c r="H12" s="816"/>
      <c r="I12" s="816"/>
      <c r="J12" s="816"/>
      <c r="K12" s="816"/>
      <c r="L12" s="816"/>
      <c r="M12" s="816"/>
      <c r="N12" s="73"/>
      <c r="P12" s="26" t="s">
        <v>30</v>
      </c>
      <c r="Q12" s="839"/>
      <c r="R12" s="839"/>
      <c r="S12" s="27"/>
      <c r="T12"/>
      <c r="U12" s="26" t="s">
        <v>45</v>
      </c>
      <c r="V12" s="840"/>
      <c r="W12" s="840"/>
      <c r="X12"/>
      <c r="AB12" s="57"/>
      <c r="AC12" s="57"/>
      <c r="AD12" s="57"/>
      <c r="AE12" s="57"/>
    </row>
    <row r="13" spans="1:32" s="17" customFormat="1" ht="23.25" customHeight="1" x14ac:dyDescent="0.2">
      <c r="A13" s="816" t="s">
        <v>72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16"/>
      <c r="N13" s="73"/>
      <c r="O13" s="29"/>
      <c r="P13" s="29" t="s">
        <v>31</v>
      </c>
      <c r="Q13" s="817"/>
      <c r="R13" s="8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6" t="s">
        <v>73</v>
      </c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8" t="s">
        <v>74</v>
      </c>
      <c r="B15" s="818"/>
      <c r="C15" s="818"/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74"/>
      <c r="O15"/>
      <c r="P15" s="819" t="s">
        <v>60</v>
      </c>
      <c r="Q15" s="819"/>
      <c r="R15" s="819"/>
      <c r="S15" s="819"/>
      <c r="T15" s="81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0"/>
      <c r="Q16" s="820"/>
      <c r="R16" s="820"/>
      <c r="S16" s="820"/>
      <c r="T16" s="8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2" t="s">
        <v>58</v>
      </c>
      <c r="B17" s="802" t="s">
        <v>48</v>
      </c>
      <c r="C17" s="823" t="s">
        <v>47</v>
      </c>
      <c r="D17" s="825" t="s">
        <v>49</v>
      </c>
      <c r="E17" s="826"/>
      <c r="F17" s="802" t="s">
        <v>21</v>
      </c>
      <c r="G17" s="802" t="s">
        <v>24</v>
      </c>
      <c r="H17" s="802" t="s">
        <v>22</v>
      </c>
      <c r="I17" s="802" t="s">
        <v>23</v>
      </c>
      <c r="J17" s="802" t="s">
        <v>16</v>
      </c>
      <c r="K17" s="802" t="s">
        <v>65</v>
      </c>
      <c r="L17" s="802" t="s">
        <v>63</v>
      </c>
      <c r="M17" s="802" t="s">
        <v>2</v>
      </c>
      <c r="N17" s="802" t="s">
        <v>62</v>
      </c>
      <c r="O17" s="802" t="s">
        <v>25</v>
      </c>
      <c r="P17" s="825" t="s">
        <v>17</v>
      </c>
      <c r="Q17" s="829"/>
      <c r="R17" s="829"/>
      <c r="S17" s="829"/>
      <c r="T17" s="826"/>
      <c r="U17" s="821" t="s">
        <v>55</v>
      </c>
      <c r="V17" s="822"/>
      <c r="W17" s="802" t="s">
        <v>6</v>
      </c>
      <c r="X17" s="802" t="s">
        <v>41</v>
      </c>
      <c r="Y17" s="804" t="s">
        <v>53</v>
      </c>
      <c r="Z17" s="806" t="s">
        <v>18</v>
      </c>
      <c r="AA17" s="808" t="s">
        <v>59</v>
      </c>
      <c r="AB17" s="808" t="s">
        <v>19</v>
      </c>
      <c r="AC17" s="808" t="s">
        <v>64</v>
      </c>
      <c r="AD17" s="810" t="s">
        <v>56</v>
      </c>
      <c r="AE17" s="811"/>
      <c r="AF17" s="812"/>
      <c r="AG17" s="77"/>
      <c r="BD17" s="76" t="s">
        <v>61</v>
      </c>
    </row>
    <row r="18" spans="1:68" ht="14.25" customHeight="1" x14ac:dyDescent="0.2">
      <c r="A18" s="803"/>
      <c r="B18" s="803"/>
      <c r="C18" s="824"/>
      <c r="D18" s="827"/>
      <c r="E18" s="828"/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27"/>
      <c r="Q18" s="830"/>
      <c r="R18" s="830"/>
      <c r="S18" s="830"/>
      <c r="T18" s="828"/>
      <c r="U18" s="78" t="s">
        <v>44</v>
      </c>
      <c r="V18" s="78" t="s">
        <v>43</v>
      </c>
      <c r="W18" s="803"/>
      <c r="X18" s="803"/>
      <c r="Y18" s="805"/>
      <c r="Z18" s="807"/>
      <c r="AA18" s="809"/>
      <c r="AB18" s="809"/>
      <c r="AC18" s="809"/>
      <c r="AD18" s="813"/>
      <c r="AE18" s="814"/>
      <c r="AF18" s="815"/>
      <c r="AG18" s="77"/>
      <c r="BD18" s="76"/>
    </row>
    <row r="19" spans="1:68" ht="27.75" hidden="1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hidden="1" customHeight="1" x14ac:dyDescent="0.25">
      <c r="A20" s="553" t="s">
        <v>75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62"/>
      <c r="AB20" s="62"/>
      <c r="AC20" s="62"/>
    </row>
    <row r="21" spans="1:68" ht="14.25" hidden="1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4301031446</v>
      </c>
      <c r="D22" s="555">
        <v>4680115887510</v>
      </c>
      <c r="E22" s="55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80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4301031278</v>
      </c>
      <c r="D23" s="555">
        <v>4680115886643</v>
      </c>
      <c r="E23" s="55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8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59" t="s">
        <v>40</v>
      </c>
      <c r="Q25" s="560"/>
      <c r="R25" s="560"/>
      <c r="S25" s="560"/>
      <c r="T25" s="560"/>
      <c r="U25" s="560"/>
      <c r="V25" s="5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554" t="s">
        <v>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555">
        <v>4680115885912</v>
      </c>
      <c r="E27" s="55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7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555">
        <v>4607091388237</v>
      </c>
      <c r="E28" s="55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7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555">
        <v>4680115887350</v>
      </c>
      <c r="E29" s="55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7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555">
        <v>4680115885905</v>
      </c>
      <c r="E30" s="55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79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4301052078</v>
      </c>
      <c r="D31" s="555">
        <v>4680115887657</v>
      </c>
      <c r="E31" s="55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7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57"/>
      <c r="R31" s="557"/>
      <c r="S31" s="557"/>
      <c r="T31" s="558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103</v>
      </c>
      <c r="B32" s="60" t="s">
        <v>104</v>
      </c>
      <c r="C32" s="34">
        <v>4301052071</v>
      </c>
      <c r="D32" s="555">
        <v>4680115887619</v>
      </c>
      <c r="E32" s="555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7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57"/>
      <c r="R32" s="557"/>
      <c r="S32" s="557"/>
      <c r="T32" s="558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59" t="s">
        <v>40</v>
      </c>
      <c r="Q33" s="560"/>
      <c r="R33" s="560"/>
      <c r="S33" s="560"/>
      <c r="T33" s="560"/>
      <c r="U33" s="560"/>
      <c r="V33" s="56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3"/>
      <c r="P34" s="559" t="s">
        <v>40</v>
      </c>
      <c r="Q34" s="560"/>
      <c r="R34" s="560"/>
      <c r="S34" s="560"/>
      <c r="T34" s="560"/>
      <c r="U34" s="560"/>
      <c r="V34" s="56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554" t="s">
        <v>106</v>
      </c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63"/>
      <c r="AB35" s="63"/>
      <c r="AC35" s="63"/>
    </row>
    <row r="36" spans="1:68" ht="27" hidden="1" customHeight="1" x14ac:dyDescent="0.25">
      <c r="A36" s="60" t="s">
        <v>107</v>
      </c>
      <c r="B36" s="60" t="s">
        <v>108</v>
      </c>
      <c r="C36" s="34">
        <v>4301032013</v>
      </c>
      <c r="D36" s="555">
        <v>4607091388503</v>
      </c>
      <c r="E36" s="555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7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57"/>
      <c r="R36" s="557"/>
      <c r="S36" s="557"/>
      <c r="T36" s="558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59" t="s">
        <v>40</v>
      </c>
      <c r="Q37" s="560"/>
      <c r="R37" s="560"/>
      <c r="S37" s="560"/>
      <c r="T37" s="560"/>
      <c r="U37" s="560"/>
      <c r="V37" s="56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562"/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3"/>
      <c r="P38" s="559" t="s">
        <v>40</v>
      </c>
      <c r="Q38" s="560"/>
      <c r="R38" s="560"/>
      <c r="S38" s="560"/>
      <c r="T38" s="560"/>
      <c r="U38" s="560"/>
      <c r="V38" s="56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574" t="s">
        <v>112</v>
      </c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  <c r="X39" s="574"/>
      <c r="Y39" s="574"/>
      <c r="Z39" s="574"/>
      <c r="AA39" s="52"/>
      <c r="AB39" s="52"/>
      <c r="AC39" s="52"/>
    </row>
    <row r="40" spans="1:68" ht="16.5" hidden="1" customHeight="1" x14ac:dyDescent="0.25">
      <c r="A40" s="553" t="s">
        <v>113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62"/>
      <c r="AB40" s="62"/>
      <c r="AC40" s="62"/>
    </row>
    <row r="41" spans="1:68" ht="14.25" hidden="1" customHeight="1" x14ac:dyDescent="0.25">
      <c r="A41" s="554" t="s">
        <v>114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555">
        <v>4607091385670</v>
      </c>
      <c r="E42" s="555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57"/>
      <c r="R42" s="557"/>
      <c r="S42" s="557"/>
      <c r="T42" s="558"/>
      <c r="U42" s="37" t="s">
        <v>45</v>
      </c>
      <c r="V42" s="37" t="s">
        <v>45</v>
      </c>
      <c r="W42" s="38" t="s">
        <v>0</v>
      </c>
      <c r="X42" s="56">
        <v>518.4</v>
      </c>
      <c r="Y42" s="53">
        <f>IFERROR(IF(X42="",0,CEILING((X42/$H42),1)*$H42),"")</f>
        <v>518.40000000000009</v>
      </c>
      <c r="Z42" s="39">
        <f>IFERROR(IF(Y42=0,"",ROUNDUP(Y42/H42,0)*0.01898),"")</f>
        <v>0.91104000000000007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538.07999999999993</v>
      </c>
      <c r="BN42" s="75">
        <f>IFERROR(Y42*I42/H42,"0")</f>
        <v>538.08000000000004</v>
      </c>
      <c r="BO42" s="75">
        <f>IFERROR(1/J42*(X42/H42),"0")</f>
        <v>0.74999999999999989</v>
      </c>
      <c r="BP42" s="75">
        <f>IFERROR(1/J42*(Y42/H42),"0")</f>
        <v>0.75000000000000011</v>
      </c>
    </row>
    <row r="43" spans="1:68" ht="27" hidden="1" customHeight="1" x14ac:dyDescent="0.25">
      <c r="A43" s="60" t="s">
        <v>120</v>
      </c>
      <c r="B43" s="60" t="s">
        <v>121</v>
      </c>
      <c r="C43" s="34">
        <v>4301011565</v>
      </c>
      <c r="D43" s="555">
        <v>4680115882539</v>
      </c>
      <c r="E43" s="555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7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7"/>
      <c r="R43" s="557"/>
      <c r="S43" s="557"/>
      <c r="T43" s="558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123</v>
      </c>
      <c r="B44" s="60" t="s">
        <v>124</v>
      </c>
      <c r="C44" s="34">
        <v>4301011382</v>
      </c>
      <c r="D44" s="555">
        <v>4607091385687</v>
      </c>
      <c r="E44" s="555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57"/>
      <c r="R44" s="557"/>
      <c r="S44" s="557"/>
      <c r="T44" s="558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59" t="s">
        <v>40</v>
      </c>
      <c r="Q45" s="560"/>
      <c r="R45" s="560"/>
      <c r="S45" s="560"/>
      <c r="T45" s="560"/>
      <c r="U45" s="560"/>
      <c r="V45" s="561"/>
      <c r="W45" s="40" t="s">
        <v>39</v>
      </c>
      <c r="X45" s="41">
        <f>IFERROR(X42/H42,"0")+IFERROR(X43/H43,"0")+IFERROR(X44/H44,"0")</f>
        <v>47.999999999999993</v>
      </c>
      <c r="Y45" s="41">
        <f>IFERROR(Y42/H42,"0")+IFERROR(Y43/H43,"0")+IFERROR(Y44/H44,"0")</f>
        <v>48.000000000000007</v>
      </c>
      <c r="Z45" s="41">
        <f>IFERROR(IF(Z42="",0,Z42),"0")+IFERROR(IF(Z43="",0,Z43),"0")+IFERROR(IF(Z44="",0,Z44),"0")</f>
        <v>0.91104000000000007</v>
      </c>
      <c r="AA45" s="64"/>
      <c r="AB45" s="64"/>
      <c r="AC45" s="64"/>
    </row>
    <row r="46" spans="1:68" x14ac:dyDescent="0.2">
      <c r="A46" s="562"/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3"/>
      <c r="P46" s="559" t="s">
        <v>40</v>
      </c>
      <c r="Q46" s="560"/>
      <c r="R46" s="560"/>
      <c r="S46" s="560"/>
      <c r="T46" s="560"/>
      <c r="U46" s="560"/>
      <c r="V46" s="561"/>
      <c r="W46" s="40" t="s">
        <v>0</v>
      </c>
      <c r="X46" s="41">
        <f>IFERROR(SUM(X42:X44),"0")</f>
        <v>518.4</v>
      </c>
      <c r="Y46" s="41">
        <f>IFERROR(SUM(Y42:Y44),"0")</f>
        <v>518.40000000000009</v>
      </c>
      <c r="Z46" s="40"/>
      <c r="AA46" s="64"/>
      <c r="AB46" s="64"/>
      <c r="AC46" s="64"/>
    </row>
    <row r="47" spans="1:68" ht="14.25" hidden="1" customHeight="1" x14ac:dyDescent="0.25">
      <c r="A47" s="554" t="s">
        <v>86</v>
      </c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63"/>
      <c r="AB47" s="63"/>
      <c r="AC47" s="63"/>
    </row>
    <row r="48" spans="1:68" ht="16.5" hidden="1" customHeight="1" x14ac:dyDescent="0.25">
      <c r="A48" s="60" t="s">
        <v>125</v>
      </c>
      <c r="B48" s="60" t="s">
        <v>126</v>
      </c>
      <c r="C48" s="34">
        <v>4301051820</v>
      </c>
      <c r="D48" s="555">
        <v>4680115884915</v>
      </c>
      <c r="E48" s="555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57"/>
      <c r="R48" s="557"/>
      <c r="S48" s="557"/>
      <c r="T48" s="558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idden="1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59" t="s">
        <v>40</v>
      </c>
      <c r="Q49" s="560"/>
      <c r="R49" s="560"/>
      <c r="S49" s="560"/>
      <c r="T49" s="560"/>
      <c r="U49" s="560"/>
      <c r="V49" s="561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hidden="1" x14ac:dyDescent="0.2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3"/>
      <c r="P50" s="559" t="s">
        <v>40</v>
      </c>
      <c r="Q50" s="560"/>
      <c r="R50" s="560"/>
      <c r="S50" s="560"/>
      <c r="T50" s="560"/>
      <c r="U50" s="560"/>
      <c r="V50" s="561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hidden="1" customHeight="1" x14ac:dyDescent="0.25">
      <c r="A51" s="553" t="s">
        <v>128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62"/>
      <c r="AB51" s="62"/>
      <c r="AC51" s="62"/>
    </row>
    <row r="52" spans="1:68" ht="14.25" hidden="1" customHeight="1" x14ac:dyDescent="0.25">
      <c r="A52" s="554" t="s">
        <v>114</v>
      </c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555">
        <v>4680115885882</v>
      </c>
      <c r="E53" s="555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57"/>
      <c r="R53" s="557"/>
      <c r="S53" s="557"/>
      <c r="T53" s="558"/>
      <c r="U53" s="37" t="s">
        <v>45</v>
      </c>
      <c r="V53" s="37" t="s">
        <v>45</v>
      </c>
      <c r="W53" s="38" t="s">
        <v>0</v>
      </c>
      <c r="X53" s="56">
        <v>89.6</v>
      </c>
      <c r="Y53" s="53">
        <f t="shared" ref="Y53:Y58" si="6">IFERROR(IF(X53="",0,CEILING((X53/$H53),1)*$H53),"")</f>
        <v>89.6</v>
      </c>
      <c r="Z53" s="39">
        <f>IFERROR(IF(Y53=0,"",ROUNDUP(Y53/H53,0)*0.01898),"")</f>
        <v>0.15184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92.88</v>
      </c>
      <c r="BN53" s="75">
        <f t="shared" ref="BN53:BN58" si="8">IFERROR(Y53*I53/H53,"0")</f>
        <v>92.88</v>
      </c>
      <c r="BO53" s="75">
        <f t="shared" ref="BO53:BO58" si="9">IFERROR(1/J53*(X53/H53),"0")</f>
        <v>0.125</v>
      </c>
      <c r="BP53" s="75">
        <f t="shared" ref="BP53:BP58" si="10">IFERROR(1/J53*(Y53/H53),"0")</f>
        <v>0.125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555">
        <v>4680115881426</v>
      </c>
      <c r="E54" s="555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57"/>
      <c r="R54" s="557"/>
      <c r="S54" s="557"/>
      <c r="T54" s="558"/>
      <c r="U54" s="37" t="s">
        <v>45</v>
      </c>
      <c r="V54" s="37" t="s">
        <v>45</v>
      </c>
      <c r="W54" s="38" t="s">
        <v>0</v>
      </c>
      <c r="X54" s="56">
        <v>172.8</v>
      </c>
      <c r="Y54" s="53">
        <f t="shared" si="6"/>
        <v>172.8</v>
      </c>
      <c r="Z54" s="39">
        <f>IFERROR(IF(Y54=0,"",ROUNDUP(Y54/H54,0)*0.01898),"")</f>
        <v>0.30368000000000001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179.36</v>
      </c>
      <c r="BN54" s="75">
        <f t="shared" si="8"/>
        <v>179.36</v>
      </c>
      <c r="BO54" s="75">
        <f t="shared" si="9"/>
        <v>0.25</v>
      </c>
      <c r="BP54" s="75">
        <f t="shared" si="10"/>
        <v>0.25</v>
      </c>
    </row>
    <row r="55" spans="1:68" ht="27" hidden="1" customHeight="1" x14ac:dyDescent="0.25">
      <c r="A55" s="60" t="s">
        <v>135</v>
      </c>
      <c r="B55" s="60" t="s">
        <v>136</v>
      </c>
      <c r="C55" s="34">
        <v>4301011386</v>
      </c>
      <c r="D55" s="555">
        <v>4680115880283</v>
      </c>
      <c r="E55" s="555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7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57"/>
      <c r="R55" s="557"/>
      <c r="S55" s="557"/>
      <c r="T55" s="558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hidden="1" customHeight="1" x14ac:dyDescent="0.25">
      <c r="A56" s="60" t="s">
        <v>138</v>
      </c>
      <c r="B56" s="60" t="s">
        <v>139</v>
      </c>
      <c r="C56" s="34">
        <v>4301011806</v>
      </c>
      <c r="D56" s="555">
        <v>4680115881525</v>
      </c>
      <c r="E56" s="555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57"/>
      <c r="R56" s="557"/>
      <c r="S56" s="557"/>
      <c r="T56" s="558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4301011589</v>
      </c>
      <c r="D57" s="555">
        <v>4680115885899</v>
      </c>
      <c r="E57" s="555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57"/>
      <c r="R57" s="557"/>
      <c r="S57" s="557"/>
      <c r="T57" s="558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hidden="1" customHeight="1" x14ac:dyDescent="0.25">
      <c r="A58" s="60" t="s">
        <v>144</v>
      </c>
      <c r="B58" s="60" t="s">
        <v>145</v>
      </c>
      <c r="C58" s="34">
        <v>4301011801</v>
      </c>
      <c r="D58" s="555">
        <v>4680115881419</v>
      </c>
      <c r="E58" s="555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57"/>
      <c r="R58" s="557"/>
      <c r="S58" s="557"/>
      <c r="T58" s="558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59" t="s">
        <v>40</v>
      </c>
      <c r="Q59" s="560"/>
      <c r="R59" s="560"/>
      <c r="S59" s="560"/>
      <c r="T59" s="560"/>
      <c r="U59" s="560"/>
      <c r="V59" s="561"/>
      <c r="W59" s="40" t="s">
        <v>39</v>
      </c>
      <c r="X59" s="41">
        <f>IFERROR(X53/H53,"0")+IFERROR(X54/H54,"0")+IFERROR(X55/H55,"0")+IFERROR(X56/H56,"0")+IFERROR(X57/H57,"0")+IFERROR(X58/H58,"0")</f>
        <v>24</v>
      </c>
      <c r="Y59" s="41">
        <f>IFERROR(Y53/H53,"0")+IFERROR(Y54/H54,"0")+IFERROR(Y55/H55,"0")+IFERROR(Y56/H56,"0")+IFERROR(Y57/H57,"0")+IFERROR(Y58/H58,"0")</f>
        <v>24</v>
      </c>
      <c r="Z59" s="41">
        <f>IFERROR(IF(Z53="",0,Z53),"0")+IFERROR(IF(Z54="",0,Z54),"0")+IFERROR(IF(Z55="",0,Z55),"0")+IFERROR(IF(Z56="",0,Z56),"0")+IFERROR(IF(Z57="",0,Z57),"0")+IFERROR(IF(Z58="",0,Z58),"0")</f>
        <v>0.45552000000000004</v>
      </c>
      <c r="AA59" s="64"/>
      <c r="AB59" s="64"/>
      <c r="AC59" s="64"/>
    </row>
    <row r="60" spans="1:68" x14ac:dyDescent="0.2">
      <c r="A60" s="562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3"/>
      <c r="P60" s="559" t="s">
        <v>40</v>
      </c>
      <c r="Q60" s="560"/>
      <c r="R60" s="560"/>
      <c r="S60" s="560"/>
      <c r="T60" s="560"/>
      <c r="U60" s="560"/>
      <c r="V60" s="561"/>
      <c r="W60" s="40" t="s">
        <v>0</v>
      </c>
      <c r="X60" s="41">
        <f>IFERROR(SUM(X53:X58),"0")</f>
        <v>262.39999999999998</v>
      </c>
      <c r="Y60" s="41">
        <f>IFERROR(SUM(Y53:Y58),"0")</f>
        <v>262.39999999999998</v>
      </c>
      <c r="Z60" s="40"/>
      <c r="AA60" s="64"/>
      <c r="AB60" s="64"/>
      <c r="AC60" s="64"/>
    </row>
    <row r="61" spans="1:68" ht="14.25" hidden="1" customHeight="1" x14ac:dyDescent="0.25">
      <c r="A61" s="554" t="s">
        <v>147</v>
      </c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555">
        <v>4680115881440</v>
      </c>
      <c r="E62" s="555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57"/>
      <c r="R62" s="557"/>
      <c r="S62" s="557"/>
      <c r="T62" s="558"/>
      <c r="U62" s="37" t="s">
        <v>45</v>
      </c>
      <c r="V62" s="37" t="s">
        <v>45</v>
      </c>
      <c r="W62" s="38" t="s">
        <v>0</v>
      </c>
      <c r="X62" s="56">
        <v>172.8</v>
      </c>
      <c r="Y62" s="53">
        <f>IFERROR(IF(X62="",0,CEILING((X62/$H62),1)*$H62),"")</f>
        <v>172.8</v>
      </c>
      <c r="Z62" s="39">
        <f>IFERROR(IF(Y62=0,"",ROUNDUP(Y62/H62,0)*0.01898),"")</f>
        <v>0.30368000000000001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179.36</v>
      </c>
      <c r="BN62" s="75">
        <f>IFERROR(Y62*I62/H62,"0")</f>
        <v>179.36</v>
      </c>
      <c r="BO62" s="75">
        <f>IFERROR(1/J62*(X62/H62),"0")</f>
        <v>0.25</v>
      </c>
      <c r="BP62" s="75">
        <f>IFERROR(1/J62*(Y62/H62),"0")</f>
        <v>0.25</v>
      </c>
    </row>
    <row r="63" spans="1:68" ht="16.5" hidden="1" customHeight="1" x14ac:dyDescent="0.25">
      <c r="A63" s="60" t="s">
        <v>151</v>
      </c>
      <c r="B63" s="60" t="s">
        <v>152</v>
      </c>
      <c r="C63" s="34">
        <v>4301020358</v>
      </c>
      <c r="D63" s="555">
        <v>4680115885950</v>
      </c>
      <c r="E63" s="555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57"/>
      <c r="R63" s="557"/>
      <c r="S63" s="557"/>
      <c r="T63" s="558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hidden="1" customHeight="1" x14ac:dyDescent="0.25">
      <c r="A64" s="60" t="s">
        <v>153</v>
      </c>
      <c r="B64" s="60" t="s">
        <v>154</v>
      </c>
      <c r="C64" s="34">
        <v>4301020371</v>
      </c>
      <c r="D64" s="555">
        <v>4680115887688</v>
      </c>
      <c r="E64" s="555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7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57"/>
      <c r="R64" s="557"/>
      <c r="S64" s="557"/>
      <c r="T64" s="558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hidden="1" customHeight="1" x14ac:dyDescent="0.25">
      <c r="A65" s="60" t="s">
        <v>157</v>
      </c>
      <c r="B65" s="60" t="s">
        <v>158</v>
      </c>
      <c r="C65" s="34">
        <v>4301020296</v>
      </c>
      <c r="D65" s="555">
        <v>4680115881433</v>
      </c>
      <c r="E65" s="555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57"/>
      <c r="R65" s="557"/>
      <c r="S65" s="557"/>
      <c r="T65" s="558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562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3"/>
      <c r="P66" s="559" t="s">
        <v>40</v>
      </c>
      <c r="Q66" s="560"/>
      <c r="R66" s="560"/>
      <c r="S66" s="560"/>
      <c r="T66" s="560"/>
      <c r="U66" s="560"/>
      <c r="V66" s="561"/>
      <c r="W66" s="40" t="s">
        <v>39</v>
      </c>
      <c r="X66" s="41">
        <f>IFERROR(X62/H62,"0")+IFERROR(X63/H63,"0")+IFERROR(X64/H64,"0")+IFERROR(X65/H65,"0")</f>
        <v>16</v>
      </c>
      <c r="Y66" s="41">
        <f>IFERROR(Y62/H62,"0")+IFERROR(Y63/H63,"0")+IFERROR(Y64/H64,"0")+IFERROR(Y65/H65,"0")</f>
        <v>16</v>
      </c>
      <c r="Z66" s="41">
        <f>IFERROR(IF(Z62="",0,Z62),"0")+IFERROR(IF(Z63="",0,Z63),"0")+IFERROR(IF(Z64="",0,Z64),"0")+IFERROR(IF(Z65="",0,Z65),"0")</f>
        <v>0.30368000000000001</v>
      </c>
      <c r="AA66" s="64"/>
      <c r="AB66" s="64"/>
      <c r="AC66" s="64"/>
    </row>
    <row r="67" spans="1:68" x14ac:dyDescent="0.2">
      <c r="A67" s="562"/>
      <c r="B67" s="562"/>
      <c r="C67" s="562"/>
      <c r="D67" s="562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3"/>
      <c r="P67" s="559" t="s">
        <v>40</v>
      </c>
      <c r="Q67" s="560"/>
      <c r="R67" s="560"/>
      <c r="S67" s="560"/>
      <c r="T67" s="560"/>
      <c r="U67" s="560"/>
      <c r="V67" s="561"/>
      <c r="W67" s="40" t="s">
        <v>0</v>
      </c>
      <c r="X67" s="41">
        <f>IFERROR(SUM(X62:X65),"0")</f>
        <v>172.8</v>
      </c>
      <c r="Y67" s="41">
        <f>IFERROR(SUM(Y62:Y65),"0")</f>
        <v>172.8</v>
      </c>
      <c r="Z67" s="40"/>
      <c r="AA67" s="64"/>
      <c r="AB67" s="64"/>
      <c r="AC67" s="64"/>
    </row>
    <row r="68" spans="1:68" ht="14.25" hidden="1" customHeight="1" x14ac:dyDescent="0.25">
      <c r="A68" s="554" t="s">
        <v>76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63"/>
      <c r="AB68" s="63"/>
      <c r="AC68" s="63"/>
    </row>
    <row r="69" spans="1:68" ht="27" hidden="1" customHeight="1" x14ac:dyDescent="0.25">
      <c r="A69" s="60" t="s">
        <v>159</v>
      </c>
      <c r="B69" s="60" t="s">
        <v>160</v>
      </c>
      <c r="C69" s="34">
        <v>4301031316</v>
      </c>
      <c r="D69" s="555">
        <v>4680115885097</v>
      </c>
      <c r="E69" s="555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7"/>
      <c r="R69" s="557"/>
      <c r="S69" s="557"/>
      <c r="T69" s="558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hidden="1" x14ac:dyDescent="0.2">
      <c r="A71" s="562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3"/>
      <c r="P71" s="559" t="s">
        <v>40</v>
      </c>
      <c r="Q71" s="560"/>
      <c r="R71" s="560"/>
      <c r="S71" s="560"/>
      <c r="T71" s="560"/>
      <c r="U71" s="560"/>
      <c r="V71" s="561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hidden="1" customHeight="1" x14ac:dyDescent="0.25">
      <c r="A72" s="554" t="s">
        <v>86</v>
      </c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63"/>
      <c r="AB72" s="63"/>
      <c r="AC72" s="63"/>
    </row>
    <row r="73" spans="1:68" ht="27" hidden="1" customHeight="1" x14ac:dyDescent="0.25">
      <c r="A73" s="60" t="s">
        <v>162</v>
      </c>
      <c r="B73" s="60" t="s">
        <v>163</v>
      </c>
      <c r="C73" s="34">
        <v>4301051846</v>
      </c>
      <c r="D73" s="555">
        <v>4680115885769</v>
      </c>
      <c r="E73" s="555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7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165</v>
      </c>
      <c r="B74" s="60" t="s">
        <v>166</v>
      </c>
      <c r="C74" s="34">
        <v>4301051837</v>
      </c>
      <c r="D74" s="555">
        <v>4680115884311</v>
      </c>
      <c r="E74" s="555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168</v>
      </c>
      <c r="B75" s="60" t="s">
        <v>169</v>
      </c>
      <c r="C75" s="34">
        <v>4301051844</v>
      </c>
      <c r="D75" s="555">
        <v>4680115885929</v>
      </c>
      <c r="E75" s="555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170</v>
      </c>
      <c r="B76" s="60" t="s">
        <v>171</v>
      </c>
      <c r="C76" s="34">
        <v>4301051929</v>
      </c>
      <c r="D76" s="555">
        <v>4680115884403</v>
      </c>
      <c r="E76" s="555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554" t="s">
        <v>173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555">
        <v>4680115881532</v>
      </c>
      <c r="E80" s="555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7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7" t="s">
        <v>45</v>
      </c>
      <c r="V80" s="37" t="s">
        <v>45</v>
      </c>
      <c r="W80" s="38" t="s">
        <v>0</v>
      </c>
      <c r="X80" s="56">
        <v>124.8</v>
      </c>
      <c r="Y80" s="53">
        <f>IFERROR(IF(X80="",0,CEILING((X80/$H80),1)*$H80),"")</f>
        <v>124.8</v>
      </c>
      <c r="Z80" s="39">
        <f>IFERROR(IF(Y80=0,"",ROUNDUP(Y80/H80,0)*0.01898),"")</f>
        <v>0.30368000000000001</v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131.36000000000001</v>
      </c>
      <c r="BN80" s="75">
        <f>IFERROR(Y80*I80/H80,"0")</f>
        <v>131.36000000000001</v>
      </c>
      <c r="BO80" s="75">
        <f>IFERROR(1/J80*(X80/H80),"0")</f>
        <v>0.25</v>
      </c>
      <c r="BP80" s="75">
        <f>IFERROR(1/J80*(Y80/H80),"0")</f>
        <v>0.25</v>
      </c>
    </row>
    <row r="81" spans="1:68" ht="27" hidden="1" customHeight="1" x14ac:dyDescent="0.25">
      <c r="A81" s="60" t="s">
        <v>177</v>
      </c>
      <c r="B81" s="60" t="s">
        <v>178</v>
      </c>
      <c r="C81" s="34">
        <v>4301060351</v>
      </c>
      <c r="D81" s="555">
        <v>4680115881464</v>
      </c>
      <c r="E81" s="555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0" t="s">
        <v>39</v>
      </c>
      <c r="X82" s="41">
        <f>IFERROR(X80/H80,"0")+IFERROR(X81/H81,"0")</f>
        <v>16</v>
      </c>
      <c r="Y82" s="41">
        <f>IFERROR(Y80/H80,"0")+IFERROR(Y81/H81,"0")</f>
        <v>16</v>
      </c>
      <c r="Z82" s="41">
        <f>IFERROR(IF(Z80="",0,Z80),"0")+IFERROR(IF(Z81="",0,Z81),"0")</f>
        <v>0.30368000000000001</v>
      </c>
      <c r="AA82" s="64"/>
      <c r="AB82" s="64"/>
      <c r="AC82" s="64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0" t="s">
        <v>0</v>
      </c>
      <c r="X83" s="41">
        <f>IFERROR(SUM(X80:X81),"0")</f>
        <v>124.8</v>
      </c>
      <c r="Y83" s="41">
        <f>IFERROR(SUM(Y80:Y81),"0")</f>
        <v>124.8</v>
      </c>
      <c r="Z83" s="40"/>
      <c r="AA83" s="64"/>
      <c r="AB83" s="64"/>
      <c r="AC83" s="64"/>
    </row>
    <row r="84" spans="1:68" ht="16.5" hidden="1" customHeight="1" x14ac:dyDescent="0.25">
      <c r="A84" s="553" t="s">
        <v>180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62"/>
      <c r="AB84" s="62"/>
      <c r="AC84" s="62"/>
    </row>
    <row r="85" spans="1:68" ht="14.25" hidden="1" customHeight="1" x14ac:dyDescent="0.25">
      <c r="A85" s="554" t="s">
        <v>114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555">
        <v>4680115881327</v>
      </c>
      <c r="E86" s="555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7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7" t="s">
        <v>45</v>
      </c>
      <c r="V86" s="37" t="s">
        <v>45</v>
      </c>
      <c r="W86" s="38" t="s">
        <v>0</v>
      </c>
      <c r="X86" s="56">
        <v>259.2</v>
      </c>
      <c r="Y86" s="53">
        <f>IFERROR(IF(X86="",0,CEILING((X86/$H86),1)*$H86),"")</f>
        <v>259.20000000000005</v>
      </c>
      <c r="Z86" s="39">
        <f>IFERROR(IF(Y86=0,"",ROUNDUP(Y86/H86,0)*0.01898),"")</f>
        <v>0.45552000000000004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269.03999999999996</v>
      </c>
      <c r="BN86" s="75">
        <f>IFERROR(Y86*I86/H86,"0")</f>
        <v>269.04000000000002</v>
      </c>
      <c r="BO86" s="75">
        <f>IFERROR(1/J86*(X86/H86),"0")</f>
        <v>0.37499999999999994</v>
      </c>
      <c r="BP86" s="75">
        <f>IFERROR(1/J86*(Y86/H86),"0")</f>
        <v>0.37500000000000006</v>
      </c>
    </row>
    <row r="87" spans="1:68" ht="27" hidden="1" customHeight="1" x14ac:dyDescent="0.25">
      <c r="A87" s="60" t="s">
        <v>184</v>
      </c>
      <c r="B87" s="60" t="s">
        <v>185</v>
      </c>
      <c r="C87" s="34">
        <v>4301011261</v>
      </c>
      <c r="D87" s="555">
        <v>4680115887732</v>
      </c>
      <c r="E87" s="555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76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57"/>
      <c r="R87" s="557"/>
      <c r="S87" s="557"/>
      <c r="T87" s="558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187</v>
      </c>
      <c r="B88" s="60" t="s">
        <v>188</v>
      </c>
      <c r="C88" s="34">
        <v>4301011476</v>
      </c>
      <c r="D88" s="555">
        <v>4680115881518</v>
      </c>
      <c r="E88" s="55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7"/>
      <c r="R88" s="557"/>
      <c r="S88" s="557"/>
      <c r="T88" s="558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189</v>
      </c>
      <c r="B89" s="60" t="s">
        <v>190</v>
      </c>
      <c r="C89" s="34">
        <v>4301011443</v>
      </c>
      <c r="D89" s="555">
        <v>4680115881303</v>
      </c>
      <c r="E89" s="55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7"/>
      <c r="R89" s="557"/>
      <c r="S89" s="557"/>
      <c r="T89" s="558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0" t="s">
        <v>39</v>
      </c>
      <c r="X90" s="41">
        <f>IFERROR(X86/H86,"0")+IFERROR(X87/H87,"0")+IFERROR(X88/H88,"0")+IFERROR(X89/H89,"0")</f>
        <v>23.999999999999996</v>
      </c>
      <c r="Y90" s="41">
        <f>IFERROR(Y86/H86,"0")+IFERROR(Y87/H87,"0")+IFERROR(Y88/H88,"0")+IFERROR(Y89/H89,"0")</f>
        <v>24.000000000000004</v>
      </c>
      <c r="Z90" s="41">
        <f>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3"/>
      <c r="P91" s="559" t="s">
        <v>40</v>
      </c>
      <c r="Q91" s="560"/>
      <c r="R91" s="560"/>
      <c r="S91" s="560"/>
      <c r="T91" s="560"/>
      <c r="U91" s="560"/>
      <c r="V91" s="561"/>
      <c r="W91" s="40" t="s">
        <v>0</v>
      </c>
      <c r="X91" s="41">
        <f>IFERROR(SUM(X86:X89),"0")</f>
        <v>259.2</v>
      </c>
      <c r="Y91" s="41">
        <f>IFERROR(SUM(Y86:Y89),"0")</f>
        <v>259.20000000000005</v>
      </c>
      <c r="Z91" s="40"/>
      <c r="AA91" s="64"/>
      <c r="AB91" s="64"/>
      <c r="AC91" s="64"/>
    </row>
    <row r="92" spans="1:68" ht="14.25" hidden="1" customHeight="1" x14ac:dyDescent="0.25">
      <c r="A92" s="554" t="s">
        <v>86</v>
      </c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555">
        <v>4607091386967</v>
      </c>
      <c r="E93" s="555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7"/>
      <c r="R93" s="557"/>
      <c r="S93" s="557"/>
      <c r="T93" s="558"/>
      <c r="U93" s="37" t="s">
        <v>45</v>
      </c>
      <c r="V93" s="37" t="s">
        <v>45</v>
      </c>
      <c r="W93" s="38" t="s">
        <v>0</v>
      </c>
      <c r="X93" s="56">
        <v>194.4</v>
      </c>
      <c r="Y93" s="53">
        <f>IFERROR(IF(X93="",0,CEILING((X93/$H93),1)*$H93),"")</f>
        <v>194.39999999999998</v>
      </c>
      <c r="Z93" s="39">
        <f>IFERROR(IF(Y93=0,"",ROUNDUP(Y93/H93,0)*0.01898),"")</f>
        <v>0.45552000000000004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206.256</v>
      </c>
      <c r="BN93" s="75">
        <f>IFERROR(Y93*I93/H93,"0")</f>
        <v>206.25599999999997</v>
      </c>
      <c r="BO93" s="75">
        <f>IFERROR(1/J93*(X93/H93),"0")</f>
        <v>0.375</v>
      </c>
      <c r="BP93" s="75">
        <f>IFERROR(1/J93*(Y93/H93),"0")</f>
        <v>0.375</v>
      </c>
    </row>
    <row r="94" spans="1:68" ht="27" hidden="1" customHeight="1" x14ac:dyDescent="0.25">
      <c r="A94" s="60" t="s">
        <v>194</v>
      </c>
      <c r="B94" s="60" t="s">
        <v>195</v>
      </c>
      <c r="C94" s="34">
        <v>4301051788</v>
      </c>
      <c r="D94" s="555">
        <v>4680115884953</v>
      </c>
      <c r="E94" s="555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7"/>
      <c r="R94" s="557"/>
      <c r="S94" s="557"/>
      <c r="T94" s="558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555">
        <v>4607091385731</v>
      </c>
      <c r="E95" s="555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7"/>
      <c r="R95" s="557"/>
      <c r="S95" s="557"/>
      <c r="T95" s="558"/>
      <c r="U95" s="37" t="s">
        <v>45</v>
      </c>
      <c r="V95" s="37" t="s">
        <v>45</v>
      </c>
      <c r="W95" s="38" t="s">
        <v>0</v>
      </c>
      <c r="X95" s="56">
        <v>37.799999999999997</v>
      </c>
      <c r="Y95" s="53">
        <f>IFERROR(IF(X95="",0,CEILING((X95/$H95),1)*$H95),"")</f>
        <v>37.800000000000004</v>
      </c>
      <c r="Z95" s="39">
        <f>IFERROR(IF(Y95=0,"",ROUNDUP(Y95/H95,0)*0.00651),"")</f>
        <v>9.1139999999999999E-2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41.327999999999989</v>
      </c>
      <c r="BN95" s="75">
        <f>IFERROR(Y95*I95/H95,"0")</f>
        <v>41.328000000000003</v>
      </c>
      <c r="BO95" s="75">
        <f>IFERROR(1/J95*(X95/H95),"0")</f>
        <v>7.6923076923076913E-2</v>
      </c>
      <c r="BP95" s="75">
        <f>IFERROR(1/J95*(Y95/H95),"0")</f>
        <v>7.6923076923076927E-2</v>
      </c>
    </row>
    <row r="96" spans="1:68" ht="16.5" hidden="1" customHeight="1" x14ac:dyDescent="0.25">
      <c r="A96" s="60" t="s">
        <v>198</v>
      </c>
      <c r="B96" s="60" t="s">
        <v>199</v>
      </c>
      <c r="C96" s="34">
        <v>4301051438</v>
      </c>
      <c r="D96" s="555">
        <v>4680115880894</v>
      </c>
      <c r="E96" s="555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7"/>
      <c r="R96" s="557"/>
      <c r="S96" s="557"/>
      <c r="T96" s="558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0" t="s">
        <v>39</v>
      </c>
      <c r="X97" s="41">
        <f>IFERROR(X93/H93,"0")+IFERROR(X94/H94,"0")+IFERROR(X95/H95,"0")+IFERROR(X96/H96,"0")</f>
        <v>38</v>
      </c>
      <c r="Y97" s="41">
        <f>IFERROR(Y93/H93,"0")+IFERROR(Y94/H94,"0")+IFERROR(Y95/H95,"0")+IFERROR(Y96/H96,"0")</f>
        <v>38</v>
      </c>
      <c r="Z97" s="41">
        <f>IFERROR(IF(Z93="",0,Z93),"0")+IFERROR(IF(Z94="",0,Z94),"0")+IFERROR(IF(Z95="",0,Z95),"0")+IFERROR(IF(Z96="",0,Z96),"0")</f>
        <v>0.54666000000000003</v>
      </c>
      <c r="AA97" s="64"/>
      <c r="AB97" s="64"/>
      <c r="AC97" s="64"/>
    </row>
    <row r="98" spans="1:68" x14ac:dyDescent="0.2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3"/>
      <c r="P98" s="559" t="s">
        <v>40</v>
      </c>
      <c r="Q98" s="560"/>
      <c r="R98" s="560"/>
      <c r="S98" s="560"/>
      <c r="T98" s="560"/>
      <c r="U98" s="560"/>
      <c r="V98" s="561"/>
      <c r="W98" s="40" t="s">
        <v>0</v>
      </c>
      <c r="X98" s="41">
        <f>IFERROR(SUM(X93:X96),"0")</f>
        <v>232.2</v>
      </c>
      <c r="Y98" s="41">
        <f>IFERROR(SUM(Y93:Y96),"0")</f>
        <v>232.2</v>
      </c>
      <c r="Z98" s="40"/>
      <c r="AA98" s="64"/>
      <c r="AB98" s="64"/>
      <c r="AC98" s="64"/>
    </row>
    <row r="99" spans="1:68" ht="16.5" hidden="1" customHeight="1" x14ac:dyDescent="0.25">
      <c r="A99" s="553" t="s">
        <v>201</v>
      </c>
      <c r="B99" s="553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53"/>
      <c r="X99" s="553"/>
      <c r="Y99" s="553"/>
      <c r="Z99" s="553"/>
      <c r="AA99" s="62"/>
      <c r="AB99" s="62"/>
      <c r="AC99" s="62"/>
    </row>
    <row r="100" spans="1:68" ht="14.25" hidden="1" customHeight="1" x14ac:dyDescent="0.25">
      <c r="A100" s="554" t="s">
        <v>114</v>
      </c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555">
        <v>4680115882133</v>
      </c>
      <c r="E101" s="555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7"/>
      <c r="R101" s="557"/>
      <c r="S101" s="557"/>
      <c r="T101" s="558"/>
      <c r="U101" s="37" t="s">
        <v>45</v>
      </c>
      <c r="V101" s="37" t="s">
        <v>45</v>
      </c>
      <c r="W101" s="38" t="s">
        <v>0</v>
      </c>
      <c r="X101" s="56">
        <v>432</v>
      </c>
      <c r="Y101" s="53">
        <f>IFERROR(IF(X101="",0,CEILING((X101/$H101),1)*$H101),"")</f>
        <v>432</v>
      </c>
      <c r="Z101" s="39">
        <f>IFERROR(IF(Y101=0,"",ROUNDUP(Y101/H101,0)*0.01898),"")</f>
        <v>0.75919999999999999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448.4</v>
      </c>
      <c r="BN101" s="75">
        <f>IFERROR(Y101*I101/H101,"0")</f>
        <v>448.4</v>
      </c>
      <c r="BO101" s="75">
        <f>IFERROR(1/J101*(X101/H101),"0")</f>
        <v>0.625</v>
      </c>
      <c r="BP101" s="75">
        <f>IFERROR(1/J101*(Y101/H101),"0")</f>
        <v>0.625</v>
      </c>
    </row>
    <row r="102" spans="1:68" ht="27" hidden="1" customHeight="1" x14ac:dyDescent="0.25">
      <c r="A102" s="60" t="s">
        <v>205</v>
      </c>
      <c r="B102" s="60" t="s">
        <v>206</v>
      </c>
      <c r="C102" s="34">
        <v>4301012051</v>
      </c>
      <c r="D102" s="555">
        <v>4680115887718</v>
      </c>
      <c r="E102" s="555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57"/>
      <c r="R102" s="557"/>
      <c r="S102" s="557"/>
      <c r="T102" s="558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208</v>
      </c>
      <c r="B103" s="60" t="s">
        <v>209</v>
      </c>
      <c r="C103" s="34">
        <v>4301011417</v>
      </c>
      <c r="D103" s="555">
        <v>4680115880269</v>
      </c>
      <c r="E103" s="555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7"/>
      <c r="R103" s="557"/>
      <c r="S103" s="557"/>
      <c r="T103" s="558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hidden="1" customHeight="1" x14ac:dyDescent="0.25">
      <c r="A104" s="60" t="s">
        <v>210</v>
      </c>
      <c r="B104" s="60" t="s">
        <v>211</v>
      </c>
      <c r="C104" s="34">
        <v>4301011415</v>
      </c>
      <c r="D104" s="555">
        <v>4680115880429</v>
      </c>
      <c r="E104" s="555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7"/>
      <c r="R104" s="557"/>
      <c r="S104" s="557"/>
      <c r="T104" s="558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hidden="1" customHeight="1" x14ac:dyDescent="0.25">
      <c r="A105" s="60" t="s">
        <v>212</v>
      </c>
      <c r="B105" s="60" t="s">
        <v>213</v>
      </c>
      <c r="C105" s="34">
        <v>4301011462</v>
      </c>
      <c r="D105" s="555">
        <v>4680115881457</v>
      </c>
      <c r="E105" s="555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7"/>
      <c r="R105" s="557"/>
      <c r="S105" s="557"/>
      <c r="T105" s="558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59" t="s">
        <v>40</v>
      </c>
      <c r="Q106" s="560"/>
      <c r="R106" s="560"/>
      <c r="S106" s="560"/>
      <c r="T106" s="560"/>
      <c r="U106" s="560"/>
      <c r="V106" s="561"/>
      <c r="W106" s="40" t="s">
        <v>39</v>
      </c>
      <c r="X106" s="41">
        <f>IFERROR(X101/H101,"0")+IFERROR(X102/H102,"0")+IFERROR(X103/H103,"0")+IFERROR(X104/H104,"0")+IFERROR(X105/H105,"0")</f>
        <v>40</v>
      </c>
      <c r="Y106" s="41">
        <f>IFERROR(Y101/H101,"0")+IFERROR(Y102/H102,"0")+IFERROR(Y103/H103,"0")+IFERROR(Y104/H104,"0")+IFERROR(Y105/H105,"0")</f>
        <v>40</v>
      </c>
      <c r="Z106" s="41">
        <f>IFERROR(IF(Z101="",0,Z101),"0")+IFERROR(IF(Z102="",0,Z102),"0")+IFERROR(IF(Z103="",0,Z103),"0")+IFERROR(IF(Z104="",0,Z104),"0")+IFERROR(IF(Z105="",0,Z105),"0")</f>
        <v>0.75919999999999999</v>
      </c>
      <c r="AA106" s="64"/>
      <c r="AB106" s="64"/>
      <c r="AC106" s="64"/>
    </row>
    <row r="107" spans="1:68" x14ac:dyDescent="0.2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3"/>
      <c r="P107" s="559" t="s">
        <v>40</v>
      </c>
      <c r="Q107" s="560"/>
      <c r="R107" s="560"/>
      <c r="S107" s="560"/>
      <c r="T107" s="560"/>
      <c r="U107" s="560"/>
      <c r="V107" s="561"/>
      <c r="W107" s="40" t="s">
        <v>0</v>
      </c>
      <c r="X107" s="41">
        <f>IFERROR(SUM(X101:X105),"0")</f>
        <v>432</v>
      </c>
      <c r="Y107" s="41">
        <f>IFERROR(SUM(Y101:Y105),"0")</f>
        <v>432</v>
      </c>
      <c r="Z107" s="40"/>
      <c r="AA107" s="64"/>
      <c r="AB107" s="64"/>
      <c r="AC107" s="64"/>
    </row>
    <row r="108" spans="1:68" ht="14.25" hidden="1" customHeight="1" x14ac:dyDescent="0.25">
      <c r="A108" s="554" t="s">
        <v>147</v>
      </c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63"/>
      <c r="AB108" s="63"/>
      <c r="AC108" s="63"/>
    </row>
    <row r="109" spans="1:68" ht="16.5" hidden="1" customHeight="1" x14ac:dyDescent="0.25">
      <c r="A109" s="60" t="s">
        <v>214</v>
      </c>
      <c r="B109" s="60" t="s">
        <v>215</v>
      </c>
      <c r="C109" s="34">
        <v>4301020345</v>
      </c>
      <c r="D109" s="555">
        <v>4680115881488</v>
      </c>
      <c r="E109" s="555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7"/>
      <c r="R109" s="557"/>
      <c r="S109" s="557"/>
      <c r="T109" s="558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217</v>
      </c>
      <c r="B110" s="60" t="s">
        <v>218</v>
      </c>
      <c r="C110" s="34">
        <v>4301020186</v>
      </c>
      <c r="D110" s="555">
        <v>4680115887664</v>
      </c>
      <c r="E110" s="555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75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57"/>
      <c r="R110" s="557"/>
      <c r="S110" s="557"/>
      <c r="T110" s="558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hidden="1" customHeight="1" x14ac:dyDescent="0.25">
      <c r="A111" s="60" t="s">
        <v>221</v>
      </c>
      <c r="B111" s="60" t="s">
        <v>222</v>
      </c>
      <c r="C111" s="34">
        <v>4301020346</v>
      </c>
      <c r="D111" s="555">
        <v>4680115882775</v>
      </c>
      <c r="E111" s="555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7"/>
      <c r="R111" s="557"/>
      <c r="S111" s="557"/>
      <c r="T111" s="558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hidden="1" customHeight="1" x14ac:dyDescent="0.25">
      <c r="A112" s="60" t="s">
        <v>223</v>
      </c>
      <c r="B112" s="60" t="s">
        <v>224</v>
      </c>
      <c r="C112" s="34">
        <v>4301020344</v>
      </c>
      <c r="D112" s="555">
        <v>4680115880658</v>
      </c>
      <c r="E112" s="555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7"/>
      <c r="R112" s="557"/>
      <c r="S112" s="557"/>
      <c r="T112" s="558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59" t="s">
        <v>40</v>
      </c>
      <c r="Q113" s="560"/>
      <c r="R113" s="560"/>
      <c r="S113" s="560"/>
      <c r="T113" s="560"/>
      <c r="U113" s="560"/>
      <c r="V113" s="561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3"/>
      <c r="P114" s="559" t="s">
        <v>40</v>
      </c>
      <c r="Q114" s="560"/>
      <c r="R114" s="560"/>
      <c r="S114" s="560"/>
      <c r="T114" s="560"/>
      <c r="U114" s="560"/>
      <c r="V114" s="561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554" t="s">
        <v>86</v>
      </c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555">
        <v>4607091385168</v>
      </c>
      <c r="E116" s="555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7"/>
      <c r="R116" s="557"/>
      <c r="S116" s="557"/>
      <c r="T116" s="558"/>
      <c r="U116" s="37" t="s">
        <v>45</v>
      </c>
      <c r="V116" s="37" t="s">
        <v>45</v>
      </c>
      <c r="W116" s="38" t="s">
        <v>0</v>
      </c>
      <c r="X116" s="56">
        <v>194.4</v>
      </c>
      <c r="Y116" s="53">
        <f>IFERROR(IF(X116="",0,CEILING((X116/$H116),1)*$H116),"")</f>
        <v>194.39999999999998</v>
      </c>
      <c r="Z116" s="39">
        <f>IFERROR(IF(Y116=0,"",ROUNDUP(Y116/H116,0)*0.01898),"")</f>
        <v>0.45552000000000004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206.11199999999999</v>
      </c>
      <c r="BN116" s="75">
        <f>IFERROR(Y116*I116/H116,"0")</f>
        <v>206.11199999999997</v>
      </c>
      <c r="BO116" s="75">
        <f>IFERROR(1/J116*(X116/H116),"0")</f>
        <v>0.375</v>
      </c>
      <c r="BP116" s="75">
        <f>IFERROR(1/J116*(Y116/H116),"0")</f>
        <v>0.375</v>
      </c>
    </row>
    <row r="117" spans="1:68" ht="27" hidden="1" customHeight="1" x14ac:dyDescent="0.25">
      <c r="A117" s="60" t="s">
        <v>228</v>
      </c>
      <c r="B117" s="60" t="s">
        <v>229</v>
      </c>
      <c r="C117" s="34">
        <v>4301051730</v>
      </c>
      <c r="D117" s="555">
        <v>4607091383256</v>
      </c>
      <c r="E117" s="555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7"/>
      <c r="R117" s="557"/>
      <c r="S117" s="557"/>
      <c r="T117" s="558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230</v>
      </c>
      <c r="B118" s="60" t="s">
        <v>231</v>
      </c>
      <c r="C118" s="34">
        <v>4301051721</v>
      </c>
      <c r="D118" s="555">
        <v>4607091385748</v>
      </c>
      <c r="E118" s="555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7"/>
      <c r="R118" s="557"/>
      <c r="S118" s="557"/>
      <c r="T118" s="558"/>
      <c r="U118" s="37" t="s">
        <v>45</v>
      </c>
      <c r="V118" s="37" t="s">
        <v>45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232</v>
      </c>
      <c r="B119" s="60" t="s">
        <v>233</v>
      </c>
      <c r="C119" s="34">
        <v>4301051740</v>
      </c>
      <c r="D119" s="555">
        <v>4680115884533</v>
      </c>
      <c r="E119" s="555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75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7"/>
      <c r="R119" s="557"/>
      <c r="S119" s="557"/>
      <c r="T119" s="558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0" t="s">
        <v>39</v>
      </c>
      <c r="X120" s="41">
        <f>IFERROR(X116/H116,"0")+IFERROR(X117/H117,"0")+IFERROR(X118/H118,"0")+IFERROR(X119/H119,"0")</f>
        <v>24</v>
      </c>
      <c r="Y120" s="41">
        <f>IFERROR(Y116/H116,"0")+IFERROR(Y117/H117,"0")+IFERROR(Y118/H118,"0")+IFERROR(Y119/H119,"0")</f>
        <v>24</v>
      </c>
      <c r="Z120" s="41">
        <f>IFERROR(IF(Z116="",0,Z116),"0")+IFERROR(IF(Z117="",0,Z117),"0")+IFERROR(IF(Z118="",0,Z118),"0")+IFERROR(IF(Z119="",0,Z119),"0")</f>
        <v>0.45552000000000004</v>
      </c>
      <c r="AA120" s="64"/>
      <c r="AB120" s="64"/>
      <c r="AC120" s="64"/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0" t="s">
        <v>0</v>
      </c>
      <c r="X121" s="41">
        <f>IFERROR(SUM(X116:X119),"0")</f>
        <v>194.4</v>
      </c>
      <c r="Y121" s="41">
        <f>IFERROR(SUM(Y116:Y119),"0")</f>
        <v>194.39999999999998</v>
      </c>
      <c r="Z121" s="40"/>
      <c r="AA121" s="64"/>
      <c r="AB121" s="64"/>
      <c r="AC121" s="64"/>
    </row>
    <row r="122" spans="1:68" ht="14.25" hidden="1" customHeight="1" x14ac:dyDescent="0.25">
      <c r="A122" s="554" t="s">
        <v>173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63"/>
      <c r="AB122" s="63"/>
      <c r="AC122" s="63"/>
    </row>
    <row r="123" spans="1:68" ht="16.5" hidden="1" customHeight="1" x14ac:dyDescent="0.25">
      <c r="A123" s="60" t="s">
        <v>235</v>
      </c>
      <c r="B123" s="60" t="s">
        <v>236</v>
      </c>
      <c r="C123" s="34">
        <v>4301060317</v>
      </c>
      <c r="D123" s="555">
        <v>4680115880238</v>
      </c>
      <c r="E123" s="555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7"/>
      <c r="R123" s="557"/>
      <c r="S123" s="557"/>
      <c r="T123" s="558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59" t="s">
        <v>40</v>
      </c>
      <c r="Q124" s="560"/>
      <c r="R124" s="560"/>
      <c r="S124" s="560"/>
      <c r="T124" s="560"/>
      <c r="U124" s="560"/>
      <c r="V124" s="56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3"/>
      <c r="P125" s="559" t="s">
        <v>40</v>
      </c>
      <c r="Q125" s="560"/>
      <c r="R125" s="560"/>
      <c r="S125" s="560"/>
      <c r="T125" s="560"/>
      <c r="U125" s="560"/>
      <c r="V125" s="56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553" t="s">
        <v>238</v>
      </c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3"/>
      <c r="X126" s="553"/>
      <c r="Y126" s="553"/>
      <c r="Z126" s="553"/>
      <c r="AA126" s="62"/>
      <c r="AB126" s="62"/>
      <c r="AC126" s="62"/>
    </row>
    <row r="127" spans="1:68" ht="14.25" hidden="1" customHeight="1" x14ac:dyDescent="0.25">
      <c r="A127" s="554" t="s">
        <v>114</v>
      </c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63"/>
      <c r="AB127" s="63"/>
      <c r="AC127" s="63"/>
    </row>
    <row r="128" spans="1:68" ht="27" hidden="1" customHeight="1" x14ac:dyDescent="0.25">
      <c r="A128" s="60" t="s">
        <v>239</v>
      </c>
      <c r="B128" s="60" t="s">
        <v>240</v>
      </c>
      <c r="C128" s="34">
        <v>4301011564</v>
      </c>
      <c r="D128" s="555">
        <v>4680115882577</v>
      </c>
      <c r="E128" s="55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239</v>
      </c>
      <c r="B129" s="60" t="s">
        <v>242</v>
      </c>
      <c r="C129" s="34">
        <v>4301011562</v>
      </c>
      <c r="D129" s="555">
        <v>4680115882577</v>
      </c>
      <c r="E129" s="555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57"/>
      <c r="R129" s="557"/>
      <c r="S129" s="557"/>
      <c r="T129" s="558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59" t="s">
        <v>40</v>
      </c>
      <c r="Q130" s="560"/>
      <c r="R130" s="560"/>
      <c r="S130" s="560"/>
      <c r="T130" s="560"/>
      <c r="U130" s="560"/>
      <c r="V130" s="561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hidden="1" x14ac:dyDescent="0.2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hidden="1" customHeight="1" x14ac:dyDescent="0.25">
      <c r="A132" s="554" t="s">
        <v>76</v>
      </c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63"/>
      <c r="AB132" s="63"/>
      <c r="AC132" s="63"/>
    </row>
    <row r="133" spans="1:68" ht="27" hidden="1" customHeight="1" x14ac:dyDescent="0.25">
      <c r="A133" s="60" t="s">
        <v>243</v>
      </c>
      <c r="B133" s="60" t="s">
        <v>244</v>
      </c>
      <c r="C133" s="34">
        <v>4301031234</v>
      </c>
      <c r="D133" s="555">
        <v>4680115883444</v>
      </c>
      <c r="E133" s="55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243</v>
      </c>
      <c r="B134" s="60" t="s">
        <v>246</v>
      </c>
      <c r="C134" s="34">
        <v>4301031235</v>
      </c>
      <c r="D134" s="555">
        <v>4680115883444</v>
      </c>
      <c r="E134" s="555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57"/>
      <c r="R134" s="557"/>
      <c r="S134" s="557"/>
      <c r="T134" s="558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59" t="s">
        <v>40</v>
      </c>
      <c r="Q135" s="560"/>
      <c r="R135" s="560"/>
      <c r="S135" s="560"/>
      <c r="T135" s="560"/>
      <c r="U135" s="560"/>
      <c r="V135" s="561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554" t="s">
        <v>86</v>
      </c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63"/>
      <c r="AB137" s="63"/>
      <c r="AC137" s="63"/>
    </row>
    <row r="138" spans="1:68" ht="16.5" hidden="1" customHeight="1" x14ac:dyDescent="0.25">
      <c r="A138" s="60" t="s">
        <v>247</v>
      </c>
      <c r="B138" s="60" t="s">
        <v>248</v>
      </c>
      <c r="C138" s="34">
        <v>4301051477</v>
      </c>
      <c r="D138" s="555">
        <v>4680115882584</v>
      </c>
      <c r="E138" s="55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7"/>
      <c r="R138" s="557"/>
      <c r="S138" s="557"/>
      <c r="T138" s="558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hidden="1" customHeight="1" x14ac:dyDescent="0.25">
      <c r="A139" s="60" t="s">
        <v>247</v>
      </c>
      <c r="B139" s="60" t="s">
        <v>249</v>
      </c>
      <c r="C139" s="34">
        <v>4301051476</v>
      </c>
      <c r="D139" s="555">
        <v>4680115882584</v>
      </c>
      <c r="E139" s="555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7"/>
      <c r="R139" s="557"/>
      <c r="S139" s="557"/>
      <c r="T139" s="558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59" t="s">
        <v>40</v>
      </c>
      <c r="Q140" s="560"/>
      <c r="R140" s="560"/>
      <c r="S140" s="560"/>
      <c r="T140" s="560"/>
      <c r="U140" s="560"/>
      <c r="V140" s="561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3"/>
      <c r="P141" s="559" t="s">
        <v>40</v>
      </c>
      <c r="Q141" s="560"/>
      <c r="R141" s="560"/>
      <c r="S141" s="560"/>
      <c r="T141" s="560"/>
      <c r="U141" s="560"/>
      <c r="V141" s="561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hidden="1" customHeight="1" x14ac:dyDescent="0.25">
      <c r="A142" s="553" t="s">
        <v>112</v>
      </c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3"/>
      <c r="W142" s="553"/>
      <c r="X142" s="553"/>
      <c r="Y142" s="553"/>
      <c r="Z142" s="553"/>
      <c r="AA142" s="62"/>
      <c r="AB142" s="62"/>
      <c r="AC142" s="62"/>
    </row>
    <row r="143" spans="1:68" ht="14.25" hidden="1" customHeight="1" x14ac:dyDescent="0.25">
      <c r="A143" s="554" t="s">
        <v>114</v>
      </c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63"/>
      <c r="AB143" s="63"/>
      <c r="AC143" s="63"/>
    </row>
    <row r="144" spans="1:68" ht="27" hidden="1" customHeight="1" x14ac:dyDescent="0.25">
      <c r="A144" s="60" t="s">
        <v>250</v>
      </c>
      <c r="B144" s="60" t="s">
        <v>251</v>
      </c>
      <c r="C144" s="34">
        <v>4301012244</v>
      </c>
      <c r="D144" s="555">
        <v>4680115887374</v>
      </c>
      <c r="E144" s="555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7"/>
      <c r="R144" s="557"/>
      <c r="S144" s="557"/>
      <c r="T144" s="558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hidden="1" customHeight="1" x14ac:dyDescent="0.25">
      <c r="A145" s="60" t="s">
        <v>253</v>
      </c>
      <c r="B145" s="60" t="s">
        <v>254</v>
      </c>
      <c r="C145" s="34">
        <v>4301011705</v>
      </c>
      <c r="D145" s="555">
        <v>4607091384604</v>
      </c>
      <c r="E145" s="555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7"/>
      <c r="R145" s="557"/>
      <c r="S145" s="557"/>
      <c r="T145" s="558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59" t="s">
        <v>40</v>
      </c>
      <c r="Q146" s="560"/>
      <c r="R146" s="560"/>
      <c r="S146" s="560"/>
      <c r="T146" s="560"/>
      <c r="U146" s="560"/>
      <c r="V146" s="56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3"/>
      <c r="P147" s="559" t="s">
        <v>40</v>
      </c>
      <c r="Q147" s="560"/>
      <c r="R147" s="560"/>
      <c r="S147" s="560"/>
      <c r="T147" s="560"/>
      <c r="U147" s="560"/>
      <c r="V147" s="56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hidden="1" customHeight="1" x14ac:dyDescent="0.25">
      <c r="A148" s="554" t="s">
        <v>76</v>
      </c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63"/>
      <c r="AB148" s="63"/>
      <c r="AC148" s="63"/>
    </row>
    <row r="149" spans="1:68" ht="16.5" hidden="1" customHeight="1" x14ac:dyDescent="0.25">
      <c r="A149" s="60" t="s">
        <v>256</v>
      </c>
      <c r="B149" s="60" t="s">
        <v>257</v>
      </c>
      <c r="C149" s="34">
        <v>4301031450</v>
      </c>
      <c r="D149" s="555">
        <v>4680115887428</v>
      </c>
      <c r="E149" s="55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7"/>
      <c r="R149" s="557"/>
      <c r="S149" s="557"/>
      <c r="T149" s="558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4301031453</v>
      </c>
      <c r="D150" s="555">
        <v>4680115887336</v>
      </c>
      <c r="E150" s="555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73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7"/>
      <c r="R150" s="557"/>
      <c r="S150" s="557"/>
      <c r="T150" s="558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262</v>
      </c>
      <c r="B151" s="60" t="s">
        <v>263</v>
      </c>
      <c r="C151" s="34">
        <v>4301030963</v>
      </c>
      <c r="D151" s="555">
        <v>4607091382426</v>
      </c>
      <c r="E151" s="555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7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7"/>
      <c r="R151" s="557"/>
      <c r="S151" s="557"/>
      <c r="T151" s="558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265</v>
      </c>
      <c r="B152" s="60" t="s">
        <v>266</v>
      </c>
      <c r="C152" s="34">
        <v>4301031456</v>
      </c>
      <c r="D152" s="555">
        <v>4680115887398</v>
      </c>
      <c r="E152" s="555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73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7"/>
      <c r="R152" s="557"/>
      <c r="S152" s="557"/>
      <c r="T152" s="558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268</v>
      </c>
      <c r="B153" s="60" t="s">
        <v>269</v>
      </c>
      <c r="C153" s="34">
        <v>4301031389</v>
      </c>
      <c r="D153" s="555">
        <v>4680115887763</v>
      </c>
      <c r="E153" s="555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740" t="s">
        <v>270</v>
      </c>
      <c r="Q153" s="557"/>
      <c r="R153" s="557"/>
      <c r="S153" s="557"/>
      <c r="T153" s="558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554" t="s">
        <v>86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63"/>
      <c r="AB156" s="63"/>
      <c r="AC156" s="63"/>
    </row>
    <row r="157" spans="1:68" ht="27" hidden="1" customHeight="1" x14ac:dyDescent="0.25">
      <c r="A157" s="60" t="s">
        <v>272</v>
      </c>
      <c r="B157" s="60" t="s">
        <v>273</v>
      </c>
      <c r="C157" s="34">
        <v>4301052064</v>
      </c>
      <c r="D157" s="555">
        <v>4680115887459</v>
      </c>
      <c r="E157" s="55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7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59" t="s">
        <v>40</v>
      </c>
      <c r="Q158" s="560"/>
      <c r="R158" s="560"/>
      <c r="S158" s="560"/>
      <c r="T158" s="560"/>
      <c r="U158" s="560"/>
      <c r="V158" s="56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hidden="1" customHeight="1" x14ac:dyDescent="0.2">
      <c r="A160" s="574" t="s">
        <v>275</v>
      </c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2"/>
      <c r="AB160" s="52"/>
      <c r="AC160" s="52"/>
    </row>
    <row r="161" spans="1:68" ht="16.5" hidden="1" customHeight="1" x14ac:dyDescent="0.25">
      <c r="A161" s="553" t="s">
        <v>276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62"/>
      <c r="AB161" s="62"/>
      <c r="AC161" s="62"/>
    </row>
    <row r="162" spans="1:68" ht="14.25" hidden="1" customHeight="1" x14ac:dyDescent="0.25">
      <c r="A162" s="554" t="s">
        <v>147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3"/>
      <c r="AB162" s="63"/>
      <c r="AC162" s="63"/>
    </row>
    <row r="163" spans="1:68" ht="27" hidden="1" customHeight="1" x14ac:dyDescent="0.25">
      <c r="A163" s="60" t="s">
        <v>277</v>
      </c>
      <c r="B163" s="60" t="s">
        <v>278</v>
      </c>
      <c r="C163" s="34">
        <v>4301020323</v>
      </c>
      <c r="D163" s="555">
        <v>4680115886223</v>
      </c>
      <c r="E163" s="55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7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59" t="s">
        <v>40</v>
      </c>
      <c r="Q164" s="560"/>
      <c r="R164" s="560"/>
      <c r="S164" s="560"/>
      <c r="T164" s="560"/>
      <c r="U164" s="560"/>
      <c r="V164" s="56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59" t="s">
        <v>40</v>
      </c>
      <c r="Q165" s="560"/>
      <c r="R165" s="560"/>
      <c r="S165" s="560"/>
      <c r="T165" s="560"/>
      <c r="U165" s="560"/>
      <c r="V165" s="56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554" t="s">
        <v>76</v>
      </c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555">
        <v>4680115880993</v>
      </c>
      <c r="E167" s="555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hidden="1" customHeight="1" x14ac:dyDescent="0.25">
      <c r="A168" s="60" t="s">
        <v>283</v>
      </c>
      <c r="B168" s="60" t="s">
        <v>284</v>
      </c>
      <c r="C168" s="34">
        <v>4301031204</v>
      </c>
      <c r="D168" s="555">
        <v>4680115881761</v>
      </c>
      <c r="E168" s="555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555">
        <v>4680115881563</v>
      </c>
      <c r="E169" s="555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7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7" t="s">
        <v>45</v>
      </c>
      <c r="V169" s="37" t="s">
        <v>45</v>
      </c>
      <c r="W169" s="38" t="s">
        <v>0</v>
      </c>
      <c r="X169" s="56">
        <v>252</v>
      </c>
      <c r="Y169" s="53">
        <f t="shared" si="11"/>
        <v>252</v>
      </c>
      <c r="Z169" s="39">
        <f>IFERROR(IF(Y169=0,"",ROUNDUP(Y169/H169,0)*0.00902),"")</f>
        <v>0.54120000000000001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263.39999999999998</v>
      </c>
      <c r="BN169" s="75">
        <f t="shared" si="13"/>
        <v>263.39999999999998</v>
      </c>
      <c r="BO169" s="75">
        <f t="shared" si="14"/>
        <v>0.45454545454545459</v>
      </c>
      <c r="BP169" s="75">
        <f t="shared" si="15"/>
        <v>0.45454545454545459</v>
      </c>
    </row>
    <row r="170" spans="1:68" ht="37.5" hidden="1" customHeight="1" x14ac:dyDescent="0.25">
      <c r="A170" s="60" t="s">
        <v>289</v>
      </c>
      <c r="B170" s="60" t="s">
        <v>290</v>
      </c>
      <c r="C170" s="34">
        <v>4301031447</v>
      </c>
      <c r="D170" s="555">
        <v>4680115887565</v>
      </c>
      <c r="E170" s="555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555">
        <v>4680115880986</v>
      </c>
      <c r="E171" s="555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hidden="1" customHeight="1" x14ac:dyDescent="0.25">
      <c r="A172" s="60" t="s">
        <v>294</v>
      </c>
      <c r="B172" s="60" t="s">
        <v>295</v>
      </c>
      <c r="C172" s="34">
        <v>4301031443</v>
      </c>
      <c r="D172" s="555">
        <v>4680115887213</v>
      </c>
      <c r="E172" s="555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hidden="1" customHeight="1" x14ac:dyDescent="0.25">
      <c r="A173" s="60" t="s">
        <v>297</v>
      </c>
      <c r="B173" s="60" t="s">
        <v>298</v>
      </c>
      <c r="C173" s="34">
        <v>4301031205</v>
      </c>
      <c r="D173" s="555">
        <v>4680115881785</v>
      </c>
      <c r="E173" s="55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hidden="1" customHeight="1" x14ac:dyDescent="0.25">
      <c r="A174" s="60" t="s">
        <v>299</v>
      </c>
      <c r="B174" s="60" t="s">
        <v>300</v>
      </c>
      <c r="C174" s="34">
        <v>4301031463</v>
      </c>
      <c r="D174" s="555">
        <v>4680115887824</v>
      </c>
      <c r="E174" s="555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57"/>
      <c r="R174" s="557"/>
      <c r="S174" s="557"/>
      <c r="T174" s="558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hidden="1" customHeight="1" x14ac:dyDescent="0.25">
      <c r="A175" s="60" t="s">
        <v>303</v>
      </c>
      <c r="B175" s="60" t="s">
        <v>304</v>
      </c>
      <c r="C175" s="34">
        <v>4301031464</v>
      </c>
      <c r="D175" s="555">
        <v>4680115887701</v>
      </c>
      <c r="E175" s="555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57"/>
      <c r="R175" s="557"/>
      <c r="S175" s="557"/>
      <c r="T175" s="558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hidden="1" customHeight="1" x14ac:dyDescent="0.25">
      <c r="A176" s="60" t="s">
        <v>305</v>
      </c>
      <c r="B176" s="60" t="s">
        <v>306</v>
      </c>
      <c r="C176" s="34">
        <v>4301031427</v>
      </c>
      <c r="D176" s="555">
        <v>4680115888104</v>
      </c>
      <c r="E176" s="555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25" t="s">
        <v>307</v>
      </c>
      <c r="Q176" s="557"/>
      <c r="R176" s="557"/>
      <c r="S176" s="557"/>
      <c r="T176" s="558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hidden="1" customHeight="1" x14ac:dyDescent="0.25">
      <c r="A177" s="60" t="s">
        <v>309</v>
      </c>
      <c r="B177" s="60" t="s">
        <v>310</v>
      </c>
      <c r="C177" s="34">
        <v>4301031399</v>
      </c>
      <c r="D177" s="555">
        <v>4680115886537</v>
      </c>
      <c r="E177" s="555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2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57"/>
      <c r="R177" s="557"/>
      <c r="S177" s="557"/>
      <c r="T177" s="558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4301031279</v>
      </c>
      <c r="D178" s="555">
        <v>4680115887596</v>
      </c>
      <c r="E178" s="555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57"/>
      <c r="R178" s="557"/>
      <c r="S178" s="557"/>
      <c r="T178" s="558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555">
        <v>4680115881679</v>
      </c>
      <c r="E179" s="555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57"/>
      <c r="R179" s="557"/>
      <c r="S179" s="557"/>
      <c r="T179" s="558"/>
      <c r="U179" s="37" t="s">
        <v>45</v>
      </c>
      <c r="V179" s="37" t="s">
        <v>45</v>
      </c>
      <c r="W179" s="38" t="s">
        <v>0</v>
      </c>
      <c r="X179" s="56">
        <v>75.599999999999994</v>
      </c>
      <c r="Y179" s="53">
        <f t="shared" si="11"/>
        <v>75.600000000000009</v>
      </c>
      <c r="Z179" s="39">
        <f>IFERROR(IF(Y179=0,"",ROUNDUP(Y179/H179,0)*0.00502),"")</f>
        <v>0.18071999999999999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79.199999999999989</v>
      </c>
      <c r="BN179" s="75">
        <f t="shared" si="13"/>
        <v>79.2</v>
      </c>
      <c r="BO179" s="75">
        <f t="shared" si="14"/>
        <v>0.15384615384615383</v>
      </c>
      <c r="BP179" s="75">
        <f t="shared" si="15"/>
        <v>0.15384615384615385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4301031158</v>
      </c>
      <c r="D180" s="555">
        <v>4680115880191</v>
      </c>
      <c r="E180" s="555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57"/>
      <c r="R180" s="557"/>
      <c r="S180" s="557"/>
      <c r="T180" s="558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4301031245</v>
      </c>
      <c r="D181" s="555">
        <v>4680115883963</v>
      </c>
      <c r="E181" s="55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57"/>
      <c r="R181" s="557"/>
      <c r="S181" s="557"/>
      <c r="T181" s="558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126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126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0.92052</v>
      </c>
      <c r="AA182" s="64"/>
      <c r="AB182" s="64"/>
      <c r="AC182" s="64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0" t="s">
        <v>0</v>
      </c>
      <c r="X183" s="41">
        <f>IFERROR(SUM(X167:X181),"0")</f>
        <v>415.79999999999995</v>
      </c>
      <c r="Y183" s="41">
        <f>IFERROR(SUM(Y167:Y181),"0")</f>
        <v>415.8</v>
      </c>
      <c r="Z183" s="40"/>
      <c r="AA183" s="64"/>
      <c r="AB183" s="64"/>
      <c r="AC183" s="64"/>
    </row>
    <row r="184" spans="1:68" ht="14.25" hidden="1" customHeight="1" x14ac:dyDescent="0.25">
      <c r="A184" s="554" t="s">
        <v>106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3"/>
      <c r="AB184" s="63"/>
      <c r="AC184" s="63"/>
    </row>
    <row r="185" spans="1:68" ht="27" hidden="1" customHeight="1" x14ac:dyDescent="0.25">
      <c r="A185" s="60" t="s">
        <v>322</v>
      </c>
      <c r="B185" s="60" t="s">
        <v>323</v>
      </c>
      <c r="C185" s="34">
        <v>4301032053</v>
      </c>
      <c r="D185" s="555">
        <v>4680115886780</v>
      </c>
      <c r="E185" s="55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57"/>
      <c r="R185" s="557"/>
      <c r="S185" s="557"/>
      <c r="T185" s="558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4301032051</v>
      </c>
      <c r="D186" s="555">
        <v>4680115886742</v>
      </c>
      <c r="E186" s="55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57"/>
      <c r="R186" s="557"/>
      <c r="S186" s="557"/>
      <c r="T186" s="558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329</v>
      </c>
      <c r="B187" s="60" t="s">
        <v>330</v>
      </c>
      <c r="C187" s="34">
        <v>4301032052</v>
      </c>
      <c r="D187" s="555">
        <v>4680115886766</v>
      </c>
      <c r="E187" s="555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57"/>
      <c r="R187" s="557"/>
      <c r="S187" s="557"/>
      <c r="T187" s="558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554" t="s">
        <v>331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3"/>
      <c r="AB190" s="63"/>
      <c r="AC190" s="63"/>
    </row>
    <row r="191" spans="1:68" ht="27" hidden="1" customHeight="1" x14ac:dyDescent="0.25">
      <c r="A191" s="60" t="s">
        <v>332</v>
      </c>
      <c r="B191" s="60" t="s">
        <v>333</v>
      </c>
      <c r="C191" s="34">
        <v>4301170013</v>
      </c>
      <c r="D191" s="555">
        <v>4680115886797</v>
      </c>
      <c r="E191" s="555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57"/>
      <c r="R191" s="557"/>
      <c r="S191" s="557"/>
      <c r="T191" s="558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hidden="1" customHeight="1" x14ac:dyDescent="0.25">
      <c r="A194" s="553" t="s">
        <v>334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62"/>
      <c r="AB194" s="62"/>
      <c r="AC194" s="62"/>
    </row>
    <row r="195" spans="1:68" ht="14.25" hidden="1" customHeight="1" x14ac:dyDescent="0.25">
      <c r="A195" s="554" t="s">
        <v>114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4301011450</v>
      </c>
      <c r="D196" s="555">
        <v>4680115881402</v>
      </c>
      <c r="E196" s="555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57"/>
      <c r="R196" s="557"/>
      <c r="S196" s="557"/>
      <c r="T196" s="558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338</v>
      </c>
      <c r="B197" s="60" t="s">
        <v>339</v>
      </c>
      <c r="C197" s="34">
        <v>4301011768</v>
      </c>
      <c r="D197" s="555">
        <v>4680115881396</v>
      </c>
      <c r="E197" s="555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57"/>
      <c r="R197" s="557"/>
      <c r="S197" s="557"/>
      <c r="T197" s="558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3"/>
      <c r="P198" s="559" t="s">
        <v>40</v>
      </c>
      <c r="Q198" s="560"/>
      <c r="R198" s="560"/>
      <c r="S198" s="560"/>
      <c r="T198" s="560"/>
      <c r="U198" s="560"/>
      <c r="V198" s="56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3"/>
      <c r="P199" s="559" t="s">
        <v>40</v>
      </c>
      <c r="Q199" s="560"/>
      <c r="R199" s="560"/>
      <c r="S199" s="560"/>
      <c r="T199" s="560"/>
      <c r="U199" s="560"/>
      <c r="V199" s="56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554" t="s">
        <v>147</v>
      </c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63"/>
      <c r="AB200" s="63"/>
      <c r="AC200" s="63"/>
    </row>
    <row r="201" spans="1:68" ht="16.5" hidden="1" customHeight="1" x14ac:dyDescent="0.25">
      <c r="A201" s="60" t="s">
        <v>340</v>
      </c>
      <c r="B201" s="60" t="s">
        <v>341</v>
      </c>
      <c r="C201" s="34">
        <v>4301020261</v>
      </c>
      <c r="D201" s="555">
        <v>4680115882935</v>
      </c>
      <c r="E201" s="555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57"/>
      <c r="R201" s="557"/>
      <c r="S201" s="557"/>
      <c r="T201" s="558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hidden="1" customHeight="1" x14ac:dyDescent="0.25">
      <c r="A202" s="60" t="s">
        <v>343</v>
      </c>
      <c r="B202" s="60" t="s">
        <v>344</v>
      </c>
      <c r="C202" s="34">
        <v>4301020220</v>
      </c>
      <c r="D202" s="555">
        <v>4680115880764</v>
      </c>
      <c r="E202" s="555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57"/>
      <c r="R202" s="557"/>
      <c r="S202" s="557"/>
      <c r="T202" s="558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hidden="1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hidden="1" customHeight="1" x14ac:dyDescent="0.25">
      <c r="A205" s="554" t="s">
        <v>76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555">
        <v>4680115882683</v>
      </c>
      <c r="E206" s="55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57"/>
      <c r="R206" s="557"/>
      <c r="S206" s="557"/>
      <c r="T206" s="558"/>
      <c r="U206" s="37" t="s">
        <v>45</v>
      </c>
      <c r="V206" s="37" t="s">
        <v>45</v>
      </c>
      <c r="W206" s="38" t="s">
        <v>0</v>
      </c>
      <c r="X206" s="56">
        <v>194.4</v>
      </c>
      <c r="Y206" s="53">
        <f t="shared" ref="Y206:Y213" si="16">IFERROR(IF(X206="",0,CEILING((X206/$H206),1)*$H206),"")</f>
        <v>194.4</v>
      </c>
      <c r="Z206" s="39">
        <f>IFERROR(IF(Y206=0,"",ROUNDUP(Y206/H206,0)*0.00902),"")</f>
        <v>0.32472000000000001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201.23999999999998</v>
      </c>
      <c r="BN206" s="75">
        <f t="shared" ref="BN206:BN213" si="18">IFERROR(Y206*I206/H206,"0")</f>
        <v>201.23999999999998</v>
      </c>
      <c r="BO206" s="75">
        <f t="shared" ref="BO206:BO213" si="19">IFERROR(1/J206*(X206/H206),"0")</f>
        <v>0.27272727272727271</v>
      </c>
      <c r="BP206" s="75">
        <f t="shared" ref="BP206:BP213" si="20">IFERROR(1/J206*(Y206/H206),"0")</f>
        <v>0.27272727272727271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555">
        <v>4680115882690</v>
      </c>
      <c r="E207" s="55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57"/>
      <c r="R207" s="557"/>
      <c r="S207" s="557"/>
      <c r="T207" s="558"/>
      <c r="U207" s="37" t="s">
        <v>45</v>
      </c>
      <c r="V207" s="37" t="s">
        <v>45</v>
      </c>
      <c r="W207" s="38" t="s">
        <v>0</v>
      </c>
      <c r="X207" s="56">
        <v>129.6</v>
      </c>
      <c r="Y207" s="53">
        <f t="shared" si="16"/>
        <v>129.60000000000002</v>
      </c>
      <c r="Z207" s="39">
        <f>IFERROR(IF(Y207=0,"",ROUNDUP(Y207/H207,0)*0.00902),"")</f>
        <v>0.21648000000000001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134.15999999999997</v>
      </c>
      <c r="BN207" s="75">
        <f t="shared" si="18"/>
        <v>134.16</v>
      </c>
      <c r="BO207" s="75">
        <f t="shared" si="19"/>
        <v>0.1818181818181818</v>
      </c>
      <c r="BP207" s="75">
        <f t="shared" si="20"/>
        <v>0.18181818181818185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555">
        <v>4680115882669</v>
      </c>
      <c r="E208" s="55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57"/>
      <c r="R208" s="557"/>
      <c r="S208" s="557"/>
      <c r="T208" s="558"/>
      <c r="U208" s="37" t="s">
        <v>45</v>
      </c>
      <c r="V208" s="37" t="s">
        <v>45</v>
      </c>
      <c r="W208" s="38" t="s">
        <v>0</v>
      </c>
      <c r="X208" s="56">
        <v>64.8</v>
      </c>
      <c r="Y208" s="53">
        <f t="shared" si="16"/>
        <v>64.800000000000011</v>
      </c>
      <c r="Z208" s="39">
        <f>IFERROR(IF(Y208=0,"",ROUNDUP(Y208/H208,0)*0.00902),"")</f>
        <v>0.10824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67.079999999999984</v>
      </c>
      <c r="BN208" s="75">
        <f t="shared" si="18"/>
        <v>67.08</v>
      </c>
      <c r="BO208" s="75">
        <f t="shared" si="19"/>
        <v>9.0909090909090898E-2</v>
      </c>
      <c r="BP208" s="75">
        <f t="shared" si="20"/>
        <v>9.0909090909090925E-2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555">
        <v>4680115882676</v>
      </c>
      <c r="E209" s="555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0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57"/>
      <c r="R209" s="557"/>
      <c r="S209" s="557"/>
      <c r="T209" s="558"/>
      <c r="U209" s="37" t="s">
        <v>45</v>
      </c>
      <c r="V209" s="37" t="s">
        <v>45</v>
      </c>
      <c r="W209" s="38" t="s">
        <v>0</v>
      </c>
      <c r="X209" s="56">
        <v>194.4</v>
      </c>
      <c r="Y209" s="53">
        <f t="shared" si="16"/>
        <v>194.4</v>
      </c>
      <c r="Z209" s="39">
        <f>IFERROR(IF(Y209=0,"",ROUNDUP(Y209/H209,0)*0.00902),"")</f>
        <v>0.32472000000000001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201.23999999999998</v>
      </c>
      <c r="BN209" s="75">
        <f t="shared" si="18"/>
        <v>201.23999999999998</v>
      </c>
      <c r="BO209" s="75">
        <f t="shared" si="19"/>
        <v>0.27272727272727271</v>
      </c>
      <c r="BP209" s="75">
        <f t="shared" si="20"/>
        <v>0.27272727272727271</v>
      </c>
    </row>
    <row r="210" spans="1:68" ht="27" hidden="1" customHeight="1" x14ac:dyDescent="0.25">
      <c r="A210" s="60" t="s">
        <v>357</v>
      </c>
      <c r="B210" s="60" t="s">
        <v>358</v>
      </c>
      <c r="C210" s="34">
        <v>4301031223</v>
      </c>
      <c r="D210" s="555">
        <v>4680115884014</v>
      </c>
      <c r="E210" s="555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57"/>
      <c r="R210" s="557"/>
      <c r="S210" s="557"/>
      <c r="T210" s="558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359</v>
      </c>
      <c r="B211" s="60" t="s">
        <v>360</v>
      </c>
      <c r="C211" s="34">
        <v>4301031222</v>
      </c>
      <c r="D211" s="555">
        <v>4680115884007</v>
      </c>
      <c r="E211" s="55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57"/>
      <c r="R211" s="557"/>
      <c r="S211" s="557"/>
      <c r="T211" s="558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hidden="1" customHeight="1" x14ac:dyDescent="0.25">
      <c r="A212" s="60" t="s">
        <v>361</v>
      </c>
      <c r="B212" s="60" t="s">
        <v>362</v>
      </c>
      <c r="C212" s="34">
        <v>4301031229</v>
      </c>
      <c r="D212" s="555">
        <v>4680115884038</v>
      </c>
      <c r="E212" s="55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57"/>
      <c r="R212" s="557"/>
      <c r="S212" s="557"/>
      <c r="T212" s="558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363</v>
      </c>
      <c r="B213" s="60" t="s">
        <v>364</v>
      </c>
      <c r="C213" s="34">
        <v>4301031225</v>
      </c>
      <c r="D213" s="555">
        <v>4680115884021</v>
      </c>
      <c r="E213" s="555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57"/>
      <c r="R213" s="557"/>
      <c r="S213" s="557"/>
      <c r="T213" s="558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3"/>
      <c r="P214" s="559" t="s">
        <v>40</v>
      </c>
      <c r="Q214" s="560"/>
      <c r="R214" s="560"/>
      <c r="S214" s="560"/>
      <c r="T214" s="560"/>
      <c r="U214" s="560"/>
      <c r="V214" s="561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108</v>
      </c>
      <c r="Y214" s="41">
        <f>IFERROR(Y206/H206,"0")+IFERROR(Y207/H207,"0")+IFERROR(Y208/H208,"0")+IFERROR(Y209/H209,"0")+IFERROR(Y210/H210,"0")+IFERROR(Y211/H211,"0")+IFERROR(Y212/H212,"0")+IFERROR(Y213/H213,"0")</f>
        <v>108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0.97416000000000003</v>
      </c>
      <c r="AA214" s="64"/>
      <c r="AB214" s="64"/>
      <c r="AC214" s="64"/>
    </row>
    <row r="215" spans="1:68" x14ac:dyDescent="0.2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0" t="s">
        <v>0</v>
      </c>
      <c r="X215" s="41">
        <f>IFERROR(SUM(X206:X213),"0")</f>
        <v>583.20000000000005</v>
      </c>
      <c r="Y215" s="41">
        <f>IFERROR(SUM(Y206:Y213),"0")</f>
        <v>583.20000000000005</v>
      </c>
      <c r="Z215" s="40"/>
      <c r="AA215" s="64"/>
      <c r="AB215" s="64"/>
      <c r="AC215" s="64"/>
    </row>
    <row r="216" spans="1:68" ht="14.25" hidden="1" customHeight="1" x14ac:dyDescent="0.25">
      <c r="A216" s="554" t="s">
        <v>86</v>
      </c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63"/>
      <c r="AB216" s="63"/>
      <c r="AC216" s="63"/>
    </row>
    <row r="217" spans="1:68" ht="37.5" hidden="1" customHeight="1" x14ac:dyDescent="0.25">
      <c r="A217" s="60" t="s">
        <v>365</v>
      </c>
      <c r="B217" s="60" t="s">
        <v>366</v>
      </c>
      <c r="C217" s="34">
        <v>4301051408</v>
      </c>
      <c r="D217" s="555">
        <v>4680115881594</v>
      </c>
      <c r="E217" s="555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57"/>
      <c r="R217" s="557"/>
      <c r="S217" s="557"/>
      <c r="T217" s="558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hidden="1" customHeight="1" x14ac:dyDescent="0.25">
      <c r="A218" s="60" t="s">
        <v>368</v>
      </c>
      <c r="B218" s="60" t="s">
        <v>369</v>
      </c>
      <c r="C218" s="34">
        <v>4301051411</v>
      </c>
      <c r="D218" s="555">
        <v>4680115881617</v>
      </c>
      <c r="E218" s="555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57"/>
      <c r="R218" s="557"/>
      <c r="S218" s="557"/>
      <c r="T218" s="558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555">
        <v>4680115880573</v>
      </c>
      <c r="E219" s="555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57"/>
      <c r="R219" s="557"/>
      <c r="S219" s="557"/>
      <c r="T219" s="558"/>
      <c r="U219" s="37" t="s">
        <v>45</v>
      </c>
      <c r="V219" s="37" t="s">
        <v>45</v>
      </c>
      <c r="W219" s="38" t="s">
        <v>0</v>
      </c>
      <c r="X219" s="56">
        <v>139.19999999999999</v>
      </c>
      <c r="Y219" s="53">
        <f t="shared" si="21"/>
        <v>139.19999999999999</v>
      </c>
      <c r="Z219" s="39">
        <f>IFERROR(IF(Y219=0,"",ROUNDUP(Y219/H219,0)*0.01898),"")</f>
        <v>0.30368000000000001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147.10400000000001</v>
      </c>
      <c r="BN219" s="75">
        <f t="shared" si="23"/>
        <v>147.10400000000001</v>
      </c>
      <c r="BO219" s="75">
        <f t="shared" si="24"/>
        <v>0.25</v>
      </c>
      <c r="BP219" s="75">
        <f t="shared" si="25"/>
        <v>0.25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555">
        <v>4680115882195</v>
      </c>
      <c r="E220" s="555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57"/>
      <c r="R220" s="557"/>
      <c r="S220" s="557"/>
      <c r="T220" s="558"/>
      <c r="U220" s="37" t="s">
        <v>45</v>
      </c>
      <c r="V220" s="37" t="s">
        <v>45</v>
      </c>
      <c r="W220" s="38" t="s">
        <v>0</v>
      </c>
      <c r="X220" s="56">
        <v>115.2</v>
      </c>
      <c r="Y220" s="53">
        <f t="shared" si="21"/>
        <v>115.19999999999999</v>
      </c>
      <c r="Z220" s="39">
        <f t="shared" ref="Z220:Z225" si="26">IFERROR(IF(Y220=0,"",ROUNDUP(Y220/H220,0)*0.00651),"")</f>
        <v>0.31247999999999998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128.16</v>
      </c>
      <c r="BN220" s="75">
        <f t="shared" si="23"/>
        <v>128.15999999999997</v>
      </c>
      <c r="BO220" s="75">
        <f t="shared" si="24"/>
        <v>0.26373626373626374</v>
      </c>
      <c r="BP220" s="75">
        <f t="shared" si="25"/>
        <v>0.26373626373626374</v>
      </c>
    </row>
    <row r="221" spans="1:68" ht="27" hidden="1" customHeight="1" x14ac:dyDescent="0.25">
      <c r="A221" s="60" t="s">
        <v>376</v>
      </c>
      <c r="B221" s="60" t="s">
        <v>377</v>
      </c>
      <c r="C221" s="34">
        <v>4301051752</v>
      </c>
      <c r="D221" s="555">
        <v>4680115882607</v>
      </c>
      <c r="E221" s="555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6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57"/>
      <c r="R221" s="557"/>
      <c r="S221" s="557"/>
      <c r="T221" s="558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378</v>
      </c>
      <c r="B222" s="60" t="s">
        <v>379</v>
      </c>
      <c r="C222" s="34">
        <v>4301051666</v>
      </c>
      <c r="D222" s="555">
        <v>4680115880092</v>
      </c>
      <c r="E222" s="55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57"/>
      <c r="R222" s="557"/>
      <c r="S222" s="557"/>
      <c r="T222" s="558"/>
      <c r="U222" s="37" t="s">
        <v>45</v>
      </c>
      <c r="V222" s="37" t="s">
        <v>45</v>
      </c>
      <c r="W222" s="38" t="s">
        <v>0</v>
      </c>
      <c r="X222" s="56">
        <v>0</v>
      </c>
      <c r="Y222" s="53">
        <f t="shared" si="21"/>
        <v>0</v>
      </c>
      <c r="Z222" s="39" t="str">
        <f t="shared" si="26"/>
        <v/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555">
        <v>4680115880221</v>
      </c>
      <c r="E223" s="55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57"/>
      <c r="R223" s="557"/>
      <c r="S223" s="557"/>
      <c r="T223" s="558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4301051945</v>
      </c>
      <c r="D224" s="555">
        <v>4680115880504</v>
      </c>
      <c r="E224" s="555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57"/>
      <c r="R224" s="557"/>
      <c r="S224" s="557"/>
      <c r="T224" s="558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555">
        <v>4680115882164</v>
      </c>
      <c r="E225" s="555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57"/>
      <c r="R225" s="557"/>
      <c r="S225" s="557"/>
      <c r="T225" s="558"/>
      <c r="U225" s="37" t="s">
        <v>45</v>
      </c>
      <c r="V225" s="37" t="s">
        <v>45</v>
      </c>
      <c r="W225" s="38" t="s">
        <v>0</v>
      </c>
      <c r="X225" s="56">
        <v>57.6</v>
      </c>
      <c r="Y225" s="53">
        <f t="shared" si="21"/>
        <v>57.599999999999994</v>
      </c>
      <c r="Z225" s="39">
        <f t="shared" si="26"/>
        <v>0.15623999999999999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63.792000000000002</v>
      </c>
      <c r="BN225" s="75">
        <f t="shared" si="23"/>
        <v>63.792000000000002</v>
      </c>
      <c r="BO225" s="75">
        <f t="shared" si="24"/>
        <v>0.13186813186813187</v>
      </c>
      <c r="BP225" s="75">
        <f t="shared" si="25"/>
        <v>0.13186813186813187</v>
      </c>
    </row>
    <row r="226" spans="1:68" x14ac:dyDescent="0.2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3"/>
      <c r="P226" s="559" t="s">
        <v>40</v>
      </c>
      <c r="Q226" s="560"/>
      <c r="R226" s="560"/>
      <c r="S226" s="560"/>
      <c r="T226" s="560"/>
      <c r="U226" s="560"/>
      <c r="V226" s="561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124</v>
      </c>
      <c r="Y226" s="41">
        <f>IFERROR(Y217/H217,"0")+IFERROR(Y218/H218,"0")+IFERROR(Y219/H219,"0")+IFERROR(Y220/H220,"0")+IFERROR(Y221/H221,"0")+IFERROR(Y222/H222,"0")+IFERROR(Y223/H223,"0")+IFERROR(Y224/H224,"0")+IFERROR(Y225/H225,"0")</f>
        <v>124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1.0067600000000001</v>
      </c>
      <c r="AA226" s="64"/>
      <c r="AB226" s="64"/>
      <c r="AC226" s="64"/>
    </row>
    <row r="227" spans="1:68" x14ac:dyDescent="0.2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3"/>
      <c r="P227" s="559" t="s">
        <v>40</v>
      </c>
      <c r="Q227" s="560"/>
      <c r="R227" s="560"/>
      <c r="S227" s="560"/>
      <c r="T227" s="560"/>
      <c r="U227" s="560"/>
      <c r="V227" s="561"/>
      <c r="W227" s="40" t="s">
        <v>0</v>
      </c>
      <c r="X227" s="41">
        <f>IFERROR(SUM(X217:X225),"0")</f>
        <v>398.4</v>
      </c>
      <c r="Y227" s="41">
        <f>IFERROR(SUM(Y217:Y225),"0")</f>
        <v>398.4</v>
      </c>
      <c r="Z227" s="40"/>
      <c r="AA227" s="64"/>
      <c r="AB227" s="64"/>
      <c r="AC227" s="64"/>
    </row>
    <row r="228" spans="1:68" ht="14.25" hidden="1" customHeight="1" x14ac:dyDescent="0.25">
      <c r="A228" s="554" t="s">
        <v>173</v>
      </c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63"/>
      <c r="AB228" s="63"/>
      <c r="AC228" s="63"/>
    </row>
    <row r="229" spans="1:68" ht="27" hidden="1" customHeight="1" x14ac:dyDescent="0.25">
      <c r="A229" s="60" t="s">
        <v>387</v>
      </c>
      <c r="B229" s="60" t="s">
        <v>388</v>
      </c>
      <c r="C229" s="34">
        <v>4301060463</v>
      </c>
      <c r="D229" s="555">
        <v>4680115880818</v>
      </c>
      <c r="E229" s="55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57"/>
      <c r="R229" s="557"/>
      <c r="S229" s="557"/>
      <c r="T229" s="558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hidden="1" customHeight="1" x14ac:dyDescent="0.25">
      <c r="A230" s="60" t="s">
        <v>390</v>
      </c>
      <c r="B230" s="60" t="s">
        <v>391</v>
      </c>
      <c r="C230" s="34">
        <v>4301060389</v>
      </c>
      <c r="D230" s="555">
        <v>4680115880801</v>
      </c>
      <c r="E230" s="555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6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57"/>
      <c r="R230" s="557"/>
      <c r="S230" s="557"/>
      <c r="T230" s="558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3"/>
      <c r="P231" s="559" t="s">
        <v>40</v>
      </c>
      <c r="Q231" s="560"/>
      <c r="R231" s="560"/>
      <c r="S231" s="560"/>
      <c r="T231" s="560"/>
      <c r="U231" s="560"/>
      <c r="V231" s="561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3"/>
      <c r="P232" s="559" t="s">
        <v>40</v>
      </c>
      <c r="Q232" s="560"/>
      <c r="R232" s="560"/>
      <c r="S232" s="560"/>
      <c r="T232" s="560"/>
      <c r="U232" s="560"/>
      <c r="V232" s="561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hidden="1" customHeight="1" x14ac:dyDescent="0.25">
      <c r="A233" s="553" t="s">
        <v>393</v>
      </c>
      <c r="B233" s="553"/>
      <c r="C233" s="553"/>
      <c r="D233" s="553"/>
      <c r="E233" s="553"/>
      <c r="F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62"/>
      <c r="AB233" s="62"/>
      <c r="AC233" s="62"/>
    </row>
    <row r="234" spans="1:68" ht="14.25" hidden="1" customHeight="1" x14ac:dyDescent="0.25">
      <c r="A234" s="554" t="s">
        <v>114</v>
      </c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63"/>
      <c r="AB234" s="63"/>
      <c r="AC234" s="63"/>
    </row>
    <row r="235" spans="1:68" ht="27" hidden="1" customHeight="1" x14ac:dyDescent="0.25">
      <c r="A235" s="60" t="s">
        <v>394</v>
      </c>
      <c r="B235" s="60" t="s">
        <v>395</v>
      </c>
      <c r="C235" s="34">
        <v>4301011826</v>
      </c>
      <c r="D235" s="555">
        <v>4680115884137</v>
      </c>
      <c r="E235" s="55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6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57"/>
      <c r="R235" s="557"/>
      <c r="S235" s="557"/>
      <c r="T235" s="558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hidden="1" customHeight="1" x14ac:dyDescent="0.25">
      <c r="A236" s="60" t="s">
        <v>397</v>
      </c>
      <c r="B236" s="60" t="s">
        <v>398</v>
      </c>
      <c r="C236" s="34">
        <v>4301011724</v>
      </c>
      <c r="D236" s="555">
        <v>4680115884236</v>
      </c>
      <c r="E236" s="55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57"/>
      <c r="R236" s="557"/>
      <c r="S236" s="557"/>
      <c r="T236" s="558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hidden="1" customHeight="1" x14ac:dyDescent="0.25">
      <c r="A237" s="60" t="s">
        <v>400</v>
      </c>
      <c r="B237" s="60" t="s">
        <v>401</v>
      </c>
      <c r="C237" s="34">
        <v>4301011721</v>
      </c>
      <c r="D237" s="555">
        <v>4680115884175</v>
      </c>
      <c r="E237" s="555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57"/>
      <c r="R237" s="557"/>
      <c r="S237" s="557"/>
      <c r="T237" s="558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hidden="1" customHeight="1" x14ac:dyDescent="0.25">
      <c r="A238" s="60" t="s">
        <v>403</v>
      </c>
      <c r="B238" s="60" t="s">
        <v>404</v>
      </c>
      <c r="C238" s="34">
        <v>4301011824</v>
      </c>
      <c r="D238" s="555">
        <v>4680115884144</v>
      </c>
      <c r="E238" s="55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6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57"/>
      <c r="R238" s="557"/>
      <c r="S238" s="557"/>
      <c r="T238" s="558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hidden="1" customHeight="1" x14ac:dyDescent="0.25">
      <c r="A239" s="60" t="s">
        <v>405</v>
      </c>
      <c r="B239" s="60" t="s">
        <v>406</v>
      </c>
      <c r="C239" s="34">
        <v>4301012149</v>
      </c>
      <c r="D239" s="555">
        <v>4680115886551</v>
      </c>
      <c r="E239" s="55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6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7"/>
      <c r="R239" s="557"/>
      <c r="S239" s="557"/>
      <c r="T239" s="558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hidden="1" customHeight="1" x14ac:dyDescent="0.25">
      <c r="A240" s="60" t="s">
        <v>408</v>
      </c>
      <c r="B240" s="60" t="s">
        <v>409</v>
      </c>
      <c r="C240" s="34">
        <v>4301012228</v>
      </c>
      <c r="D240" s="555">
        <v>4680115887282</v>
      </c>
      <c r="E240" s="55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6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7"/>
      <c r="R240" s="557"/>
      <c r="S240" s="557"/>
      <c r="T240" s="558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hidden="1" customHeight="1" x14ac:dyDescent="0.25">
      <c r="A241" s="60" t="s">
        <v>411</v>
      </c>
      <c r="B241" s="60" t="s">
        <v>412</v>
      </c>
      <c r="C241" s="34">
        <v>4301011722</v>
      </c>
      <c r="D241" s="555">
        <v>4680115884205</v>
      </c>
      <c r="E241" s="55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6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7"/>
      <c r="R241" s="557"/>
      <c r="S241" s="557"/>
      <c r="T241" s="558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hidden="1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554" t="s">
        <v>147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3"/>
      <c r="AB244" s="63"/>
      <c r="AC244" s="63"/>
    </row>
    <row r="245" spans="1:68" ht="27" hidden="1" customHeight="1" x14ac:dyDescent="0.25">
      <c r="A245" s="60" t="s">
        <v>413</v>
      </c>
      <c r="B245" s="60" t="s">
        <v>414</v>
      </c>
      <c r="C245" s="34">
        <v>4301020377</v>
      </c>
      <c r="D245" s="555">
        <v>4680115885981</v>
      </c>
      <c r="E245" s="555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6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7"/>
      <c r="R245" s="557"/>
      <c r="S245" s="557"/>
      <c r="T245" s="558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59" t="s">
        <v>40</v>
      </c>
      <c r="Q246" s="560"/>
      <c r="R246" s="560"/>
      <c r="S246" s="560"/>
      <c r="T246" s="560"/>
      <c r="U246" s="560"/>
      <c r="V246" s="561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hidden="1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59" t="s">
        <v>40</v>
      </c>
      <c r="Q247" s="560"/>
      <c r="R247" s="560"/>
      <c r="S247" s="560"/>
      <c r="T247" s="560"/>
      <c r="U247" s="560"/>
      <c r="V247" s="561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554" t="s">
        <v>416</v>
      </c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63"/>
      <c r="AB248" s="63"/>
      <c r="AC248" s="63"/>
    </row>
    <row r="249" spans="1:68" ht="27" hidden="1" customHeight="1" x14ac:dyDescent="0.25">
      <c r="A249" s="60" t="s">
        <v>417</v>
      </c>
      <c r="B249" s="60" t="s">
        <v>418</v>
      </c>
      <c r="C249" s="34">
        <v>4301040362</v>
      </c>
      <c r="D249" s="555">
        <v>4680115886803</v>
      </c>
      <c r="E249" s="555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7"/>
      <c r="R249" s="557"/>
      <c r="S249" s="557"/>
      <c r="T249" s="558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hidden="1" customHeight="1" x14ac:dyDescent="0.25">
      <c r="A252" s="554" t="s">
        <v>420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63"/>
      <c r="AB252" s="63"/>
      <c r="AC252" s="63"/>
    </row>
    <row r="253" spans="1:68" ht="27" hidden="1" customHeight="1" x14ac:dyDescent="0.25">
      <c r="A253" s="60" t="s">
        <v>421</v>
      </c>
      <c r="B253" s="60" t="s">
        <v>422</v>
      </c>
      <c r="C253" s="34">
        <v>4301041004</v>
      </c>
      <c r="D253" s="555">
        <v>4680115886704</v>
      </c>
      <c r="E253" s="555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7"/>
      <c r="R253" s="557"/>
      <c r="S253" s="557"/>
      <c r="T253" s="558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424</v>
      </c>
      <c r="B254" s="60" t="s">
        <v>425</v>
      </c>
      <c r="C254" s="34">
        <v>4301041008</v>
      </c>
      <c r="D254" s="555">
        <v>4680115886681</v>
      </c>
      <c r="E254" s="555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7"/>
      <c r="R254" s="557"/>
      <c r="S254" s="557"/>
      <c r="T254" s="558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426</v>
      </c>
      <c r="B255" s="60" t="s">
        <v>427</v>
      </c>
      <c r="C255" s="34">
        <v>4301041007</v>
      </c>
      <c r="D255" s="555">
        <v>4680115886735</v>
      </c>
      <c r="E255" s="555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6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7"/>
      <c r="R255" s="557"/>
      <c r="S255" s="557"/>
      <c r="T255" s="558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428</v>
      </c>
      <c r="B256" s="60" t="s">
        <v>429</v>
      </c>
      <c r="C256" s="34">
        <v>4301041006</v>
      </c>
      <c r="D256" s="555">
        <v>4680115886728</v>
      </c>
      <c r="E256" s="555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6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7"/>
      <c r="R256" s="557"/>
      <c r="S256" s="557"/>
      <c r="T256" s="558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430</v>
      </c>
      <c r="B257" s="60" t="s">
        <v>431</v>
      </c>
      <c r="C257" s="34">
        <v>4301041005</v>
      </c>
      <c r="D257" s="555">
        <v>4680115886711</v>
      </c>
      <c r="E257" s="55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6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7"/>
      <c r="R257" s="557"/>
      <c r="S257" s="557"/>
      <c r="T257" s="558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59" t="s">
        <v>40</v>
      </c>
      <c r="Q258" s="560"/>
      <c r="R258" s="560"/>
      <c r="S258" s="560"/>
      <c r="T258" s="560"/>
      <c r="U258" s="560"/>
      <c r="V258" s="561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hidden="1" customHeight="1" x14ac:dyDescent="0.25">
      <c r="A260" s="553" t="s">
        <v>432</v>
      </c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3"/>
      <c r="R260" s="553"/>
      <c r="S260" s="553"/>
      <c r="T260" s="553"/>
      <c r="U260" s="553"/>
      <c r="V260" s="553"/>
      <c r="W260" s="553"/>
      <c r="X260" s="553"/>
      <c r="Y260" s="553"/>
      <c r="Z260" s="553"/>
      <c r="AA260" s="62"/>
      <c r="AB260" s="62"/>
      <c r="AC260" s="62"/>
    </row>
    <row r="261" spans="1:68" ht="14.25" hidden="1" customHeight="1" x14ac:dyDescent="0.25">
      <c r="A261" s="554" t="s">
        <v>114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63"/>
      <c r="AB261" s="63"/>
      <c r="AC261" s="63"/>
    </row>
    <row r="262" spans="1:68" ht="27" hidden="1" customHeight="1" x14ac:dyDescent="0.25">
      <c r="A262" s="60" t="s">
        <v>433</v>
      </c>
      <c r="B262" s="60" t="s">
        <v>434</v>
      </c>
      <c r="C262" s="34">
        <v>4301011855</v>
      </c>
      <c r="D262" s="555">
        <v>4680115885837</v>
      </c>
      <c r="E262" s="555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7"/>
      <c r="R262" s="557"/>
      <c r="S262" s="557"/>
      <c r="T262" s="558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hidden="1" customHeight="1" x14ac:dyDescent="0.25">
      <c r="A263" s="60" t="s">
        <v>436</v>
      </c>
      <c r="B263" s="60" t="s">
        <v>437</v>
      </c>
      <c r="C263" s="34">
        <v>4301011853</v>
      </c>
      <c r="D263" s="555">
        <v>4680115885851</v>
      </c>
      <c r="E263" s="55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7"/>
      <c r="R263" s="557"/>
      <c r="S263" s="557"/>
      <c r="T263" s="558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hidden="1" customHeight="1" x14ac:dyDescent="0.25">
      <c r="A264" s="60" t="s">
        <v>439</v>
      </c>
      <c r="B264" s="60" t="s">
        <v>440</v>
      </c>
      <c r="C264" s="34">
        <v>4301011850</v>
      </c>
      <c r="D264" s="555">
        <v>4680115885806</v>
      </c>
      <c r="E264" s="55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7"/>
      <c r="R264" s="557"/>
      <c r="S264" s="557"/>
      <c r="T264" s="558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442</v>
      </c>
      <c r="B265" s="60" t="s">
        <v>443</v>
      </c>
      <c r="C265" s="34">
        <v>4301011852</v>
      </c>
      <c r="D265" s="555">
        <v>4680115885844</v>
      </c>
      <c r="E265" s="555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7"/>
      <c r="R265" s="557"/>
      <c r="S265" s="557"/>
      <c r="T265" s="558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hidden="1" customHeight="1" x14ac:dyDescent="0.25">
      <c r="A266" s="60" t="s">
        <v>445</v>
      </c>
      <c r="B266" s="60" t="s">
        <v>446</v>
      </c>
      <c r="C266" s="34">
        <v>4301011851</v>
      </c>
      <c r="D266" s="555">
        <v>4680115885820</v>
      </c>
      <c r="E266" s="55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7"/>
      <c r="R266" s="557"/>
      <c r="S266" s="557"/>
      <c r="T266" s="558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hidden="1" customHeight="1" x14ac:dyDescent="0.25">
      <c r="A269" s="553" t="s">
        <v>448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62"/>
      <c r="AB269" s="62"/>
      <c r="AC269" s="62"/>
    </row>
    <row r="270" spans="1:68" ht="14.25" hidden="1" customHeight="1" x14ac:dyDescent="0.25">
      <c r="A270" s="554" t="s">
        <v>114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3"/>
      <c r="AB270" s="63"/>
      <c r="AC270" s="63"/>
    </row>
    <row r="271" spans="1:68" ht="27" hidden="1" customHeight="1" x14ac:dyDescent="0.25">
      <c r="A271" s="60" t="s">
        <v>449</v>
      </c>
      <c r="B271" s="60" t="s">
        <v>450</v>
      </c>
      <c r="C271" s="34">
        <v>4301011223</v>
      </c>
      <c r="D271" s="555">
        <v>4607091383423</v>
      </c>
      <c r="E271" s="555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6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7"/>
      <c r="R271" s="557"/>
      <c r="S271" s="557"/>
      <c r="T271" s="558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hidden="1" customHeight="1" x14ac:dyDescent="0.25">
      <c r="A272" s="60" t="s">
        <v>451</v>
      </c>
      <c r="B272" s="60" t="s">
        <v>452</v>
      </c>
      <c r="C272" s="34">
        <v>4301012199</v>
      </c>
      <c r="D272" s="555">
        <v>4680115886957</v>
      </c>
      <c r="E272" s="555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6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7"/>
      <c r="R272" s="557"/>
      <c r="S272" s="557"/>
      <c r="T272" s="558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hidden="1" customHeight="1" x14ac:dyDescent="0.25">
      <c r="A273" s="60" t="s">
        <v>454</v>
      </c>
      <c r="B273" s="60" t="s">
        <v>455</v>
      </c>
      <c r="C273" s="34">
        <v>4301012098</v>
      </c>
      <c r="D273" s="555">
        <v>4680115885660</v>
      </c>
      <c r="E273" s="55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67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7"/>
      <c r="R273" s="557"/>
      <c r="S273" s="557"/>
      <c r="T273" s="558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hidden="1" customHeight="1" x14ac:dyDescent="0.25">
      <c r="A274" s="60" t="s">
        <v>456</v>
      </c>
      <c r="B274" s="60" t="s">
        <v>457</v>
      </c>
      <c r="C274" s="34">
        <v>4301012176</v>
      </c>
      <c r="D274" s="555">
        <v>4680115886773</v>
      </c>
      <c r="E274" s="555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6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7"/>
      <c r="R274" s="557"/>
      <c r="S274" s="557"/>
      <c r="T274" s="558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idden="1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hidden="1" customHeight="1" x14ac:dyDescent="0.25">
      <c r="A277" s="553" t="s">
        <v>459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62"/>
      <c r="AB277" s="62"/>
      <c r="AC277" s="62"/>
    </row>
    <row r="278" spans="1:68" ht="14.25" hidden="1" customHeight="1" x14ac:dyDescent="0.25">
      <c r="A278" s="554" t="s">
        <v>86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3"/>
      <c r="AB278" s="63"/>
      <c r="AC278" s="63"/>
    </row>
    <row r="279" spans="1:68" ht="27" hidden="1" customHeight="1" x14ac:dyDescent="0.25">
      <c r="A279" s="60" t="s">
        <v>460</v>
      </c>
      <c r="B279" s="60" t="s">
        <v>461</v>
      </c>
      <c r="C279" s="34">
        <v>4301051893</v>
      </c>
      <c r="D279" s="555">
        <v>4680115886186</v>
      </c>
      <c r="E279" s="555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6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7"/>
      <c r="R279" s="557"/>
      <c r="S279" s="557"/>
      <c r="T279" s="558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555">
        <v>4680115881228</v>
      </c>
      <c r="E280" s="555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7"/>
      <c r="R280" s="557"/>
      <c r="S280" s="557"/>
      <c r="T280" s="558"/>
      <c r="U280" s="37" t="s">
        <v>45</v>
      </c>
      <c r="V280" s="37" t="s">
        <v>45</v>
      </c>
      <c r="W280" s="38" t="s">
        <v>0</v>
      </c>
      <c r="X280" s="56">
        <v>28.8</v>
      </c>
      <c r="Y280" s="53">
        <f>IFERROR(IF(X280="",0,CEILING((X280/$H280),1)*$H280),"")</f>
        <v>28.799999999999997</v>
      </c>
      <c r="Z280" s="39">
        <f>IFERROR(IF(Y280=0,"",ROUNDUP(Y280/H280,0)*0.00651),"")</f>
        <v>7.8119999999999995E-2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31.824000000000002</v>
      </c>
      <c r="BN280" s="75">
        <f>IFERROR(Y280*I280/H280,"0")</f>
        <v>31.824000000000002</v>
      </c>
      <c r="BO280" s="75">
        <f>IFERROR(1/J280*(X280/H280),"0")</f>
        <v>6.5934065934065936E-2</v>
      </c>
      <c r="BP280" s="75">
        <f>IFERROR(1/J280*(Y280/H280),"0")</f>
        <v>6.5934065934065936E-2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555">
        <v>4680115881211</v>
      </c>
      <c r="E281" s="555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6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7"/>
      <c r="R281" s="557"/>
      <c r="S281" s="557"/>
      <c r="T281" s="558"/>
      <c r="U281" s="37" t="s">
        <v>45</v>
      </c>
      <c r="V281" s="37" t="s">
        <v>45</v>
      </c>
      <c r="W281" s="38" t="s">
        <v>0</v>
      </c>
      <c r="X281" s="56">
        <v>57.6</v>
      </c>
      <c r="Y281" s="53">
        <f>IFERROR(IF(X281="",0,CEILING((X281/$H281),1)*$H281),"")</f>
        <v>57.599999999999994</v>
      </c>
      <c r="Z281" s="39">
        <f>IFERROR(IF(Y281=0,"",ROUNDUP(Y281/H281,0)*0.00651),"")</f>
        <v>0.15623999999999999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61.92</v>
      </c>
      <c r="BN281" s="75">
        <f>IFERROR(Y281*I281/H281,"0")</f>
        <v>61.919999999999995</v>
      </c>
      <c r="BO281" s="75">
        <f>IFERROR(1/J281*(X281/H281),"0")</f>
        <v>0.13186813186813187</v>
      </c>
      <c r="BP281" s="75">
        <f>IFERROR(1/J281*(Y281/H281),"0")</f>
        <v>0.13186813186813187</v>
      </c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0" t="s">
        <v>39</v>
      </c>
      <c r="X282" s="41">
        <f>IFERROR(X279/H279,"0")+IFERROR(X280/H280,"0")+IFERROR(X281/H281,"0")</f>
        <v>36</v>
      </c>
      <c r="Y282" s="41">
        <f>IFERROR(Y279/H279,"0")+IFERROR(Y280/H280,"0")+IFERROR(Y281/H281,"0")</f>
        <v>36</v>
      </c>
      <c r="Z282" s="41">
        <f>IFERROR(IF(Z279="",0,Z279),"0")+IFERROR(IF(Z280="",0,Z280),"0")+IFERROR(IF(Z281="",0,Z281),"0")</f>
        <v>0.23435999999999998</v>
      </c>
      <c r="AA282" s="64"/>
      <c r="AB282" s="64"/>
      <c r="AC282" s="64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59" t="s">
        <v>40</v>
      </c>
      <c r="Q283" s="560"/>
      <c r="R283" s="560"/>
      <c r="S283" s="560"/>
      <c r="T283" s="560"/>
      <c r="U283" s="560"/>
      <c r="V283" s="561"/>
      <c r="W283" s="40" t="s">
        <v>0</v>
      </c>
      <c r="X283" s="41">
        <f>IFERROR(SUM(X279:X281),"0")</f>
        <v>86.4</v>
      </c>
      <c r="Y283" s="41">
        <f>IFERROR(SUM(Y279:Y281),"0")</f>
        <v>86.399999999999991</v>
      </c>
      <c r="Z283" s="40"/>
      <c r="AA283" s="64"/>
      <c r="AB283" s="64"/>
      <c r="AC283" s="64"/>
    </row>
    <row r="284" spans="1:68" ht="16.5" hidden="1" customHeight="1" x14ac:dyDescent="0.25">
      <c r="A284" s="553" t="s">
        <v>468</v>
      </c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3"/>
      <c r="R284" s="553"/>
      <c r="S284" s="553"/>
      <c r="T284" s="553"/>
      <c r="U284" s="553"/>
      <c r="V284" s="553"/>
      <c r="W284" s="553"/>
      <c r="X284" s="553"/>
      <c r="Y284" s="553"/>
      <c r="Z284" s="553"/>
      <c r="AA284" s="62"/>
      <c r="AB284" s="62"/>
      <c r="AC284" s="62"/>
    </row>
    <row r="285" spans="1:68" ht="14.25" hidden="1" customHeight="1" x14ac:dyDescent="0.25">
      <c r="A285" s="554" t="s">
        <v>76</v>
      </c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63"/>
      <c r="AB285" s="63"/>
      <c r="AC285" s="63"/>
    </row>
    <row r="286" spans="1:68" ht="27" hidden="1" customHeight="1" x14ac:dyDescent="0.25">
      <c r="A286" s="60" t="s">
        <v>469</v>
      </c>
      <c r="B286" s="60" t="s">
        <v>470</v>
      </c>
      <c r="C286" s="34">
        <v>4301031307</v>
      </c>
      <c r="D286" s="555">
        <v>4680115880344</v>
      </c>
      <c r="E286" s="555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6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7"/>
      <c r="R286" s="557"/>
      <c r="S286" s="557"/>
      <c r="T286" s="558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472</v>
      </c>
      <c r="B287" s="60" t="s">
        <v>473</v>
      </c>
      <c r="C287" s="34">
        <v>4301031429</v>
      </c>
      <c r="D287" s="555">
        <v>4680115886919</v>
      </c>
      <c r="E287" s="555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7"/>
      <c r="R287" s="557"/>
      <c r="S287" s="557"/>
      <c r="T287" s="558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idden="1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59" t="s">
        <v>40</v>
      </c>
      <c r="Q288" s="560"/>
      <c r="R288" s="560"/>
      <c r="S288" s="560"/>
      <c r="T288" s="560"/>
      <c r="U288" s="560"/>
      <c r="V288" s="561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hidden="1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59" t="s">
        <v>40</v>
      </c>
      <c r="Q289" s="560"/>
      <c r="R289" s="560"/>
      <c r="S289" s="560"/>
      <c r="T289" s="560"/>
      <c r="U289" s="560"/>
      <c r="V289" s="561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554" t="s">
        <v>86</v>
      </c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63"/>
      <c r="AB290" s="63"/>
      <c r="AC290" s="63"/>
    </row>
    <row r="291" spans="1:68" ht="37.5" hidden="1" customHeight="1" x14ac:dyDescent="0.25">
      <c r="A291" s="60" t="s">
        <v>475</v>
      </c>
      <c r="B291" s="60" t="s">
        <v>476</v>
      </c>
      <c r="C291" s="34">
        <v>4301051782</v>
      </c>
      <c r="D291" s="555">
        <v>4680115884618</v>
      </c>
      <c r="E291" s="555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6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7"/>
      <c r="R291" s="557"/>
      <c r="S291" s="557"/>
      <c r="T291" s="558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478</v>
      </c>
      <c r="B292" s="60" t="s">
        <v>479</v>
      </c>
      <c r="C292" s="34">
        <v>4301052057</v>
      </c>
      <c r="D292" s="555">
        <v>4680115887114</v>
      </c>
      <c r="E292" s="555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6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7"/>
      <c r="R292" s="557"/>
      <c r="S292" s="557"/>
      <c r="T292" s="558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59" t="s">
        <v>40</v>
      </c>
      <c r="Q293" s="560"/>
      <c r="R293" s="560"/>
      <c r="S293" s="560"/>
      <c r="T293" s="560"/>
      <c r="U293" s="560"/>
      <c r="V293" s="56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553" t="s">
        <v>481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62"/>
      <c r="AB295" s="62"/>
      <c r="AC295" s="62"/>
    </row>
    <row r="296" spans="1:68" ht="14.25" hidden="1" customHeight="1" x14ac:dyDescent="0.25">
      <c r="A296" s="554" t="s">
        <v>114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3"/>
      <c r="AB296" s="63"/>
      <c r="AC296" s="63"/>
    </row>
    <row r="297" spans="1:68" ht="27" hidden="1" customHeight="1" x14ac:dyDescent="0.25">
      <c r="A297" s="60" t="s">
        <v>482</v>
      </c>
      <c r="B297" s="60" t="s">
        <v>483</v>
      </c>
      <c r="C297" s="34">
        <v>4301012024</v>
      </c>
      <c r="D297" s="555">
        <v>4680115885615</v>
      </c>
      <c r="E297" s="555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6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hidden="1" customHeight="1" x14ac:dyDescent="0.25">
      <c r="A298" s="60" t="s">
        <v>485</v>
      </c>
      <c r="B298" s="60" t="s">
        <v>486</v>
      </c>
      <c r="C298" s="34">
        <v>4301011858</v>
      </c>
      <c r="D298" s="555">
        <v>4680115885646</v>
      </c>
      <c r="E298" s="55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488</v>
      </c>
      <c r="B299" s="60" t="s">
        <v>489</v>
      </c>
      <c r="C299" s="34">
        <v>4301012016</v>
      </c>
      <c r="D299" s="555">
        <v>4680115885554</v>
      </c>
      <c r="E299" s="55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491</v>
      </c>
      <c r="B300" s="60" t="s">
        <v>492</v>
      </c>
      <c r="C300" s="34">
        <v>4301011857</v>
      </c>
      <c r="D300" s="555">
        <v>4680115885622</v>
      </c>
      <c r="E300" s="555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493</v>
      </c>
      <c r="B301" s="60" t="s">
        <v>494</v>
      </c>
      <c r="C301" s="34">
        <v>4301011859</v>
      </c>
      <c r="D301" s="555">
        <v>4680115885608</v>
      </c>
      <c r="E301" s="555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6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59" t="s">
        <v>40</v>
      </c>
      <c r="Q302" s="560"/>
      <c r="R302" s="560"/>
      <c r="S302" s="560"/>
      <c r="T302" s="560"/>
      <c r="U302" s="560"/>
      <c r="V302" s="561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hidden="1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59" t="s">
        <v>40</v>
      </c>
      <c r="Q303" s="560"/>
      <c r="R303" s="560"/>
      <c r="S303" s="560"/>
      <c r="T303" s="560"/>
      <c r="U303" s="560"/>
      <c r="V303" s="561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554" t="s">
        <v>76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63"/>
      <c r="AB304" s="63"/>
      <c r="AC304" s="63"/>
    </row>
    <row r="305" spans="1:68" ht="27" hidden="1" customHeight="1" x14ac:dyDescent="0.25">
      <c r="A305" s="60" t="s">
        <v>496</v>
      </c>
      <c r="B305" s="60" t="s">
        <v>497</v>
      </c>
      <c r="C305" s="34">
        <v>4301030878</v>
      </c>
      <c r="D305" s="555">
        <v>4607091387193</v>
      </c>
      <c r="E305" s="555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6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hidden="1" customHeight="1" x14ac:dyDescent="0.25">
      <c r="A306" s="60" t="s">
        <v>499</v>
      </c>
      <c r="B306" s="60" t="s">
        <v>500</v>
      </c>
      <c r="C306" s="34">
        <v>4301031153</v>
      </c>
      <c r="D306" s="555">
        <v>4607091387230</v>
      </c>
      <c r="E306" s="555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6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hidden="1" customHeight="1" x14ac:dyDescent="0.25">
      <c r="A307" s="60" t="s">
        <v>502</v>
      </c>
      <c r="B307" s="60" t="s">
        <v>503</v>
      </c>
      <c r="C307" s="34">
        <v>4301031154</v>
      </c>
      <c r="D307" s="555">
        <v>4607091387292</v>
      </c>
      <c r="E307" s="555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6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hidden="1" customHeight="1" x14ac:dyDescent="0.25">
      <c r="A308" s="60" t="s">
        <v>505</v>
      </c>
      <c r="B308" s="60" t="s">
        <v>506</v>
      </c>
      <c r="C308" s="34">
        <v>4301031152</v>
      </c>
      <c r="D308" s="555">
        <v>4607091387285</v>
      </c>
      <c r="E308" s="555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6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hidden="1" customHeight="1" x14ac:dyDescent="0.25">
      <c r="A309" s="60" t="s">
        <v>507</v>
      </c>
      <c r="B309" s="60" t="s">
        <v>508</v>
      </c>
      <c r="C309" s="34">
        <v>4301031305</v>
      </c>
      <c r="D309" s="555">
        <v>4607091389845</v>
      </c>
      <c r="E309" s="555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hidden="1" customHeight="1" x14ac:dyDescent="0.25">
      <c r="A310" s="60" t="s">
        <v>510</v>
      </c>
      <c r="B310" s="60" t="s">
        <v>511</v>
      </c>
      <c r="C310" s="34">
        <v>4301031460</v>
      </c>
      <c r="D310" s="555">
        <v>4680115887442</v>
      </c>
      <c r="E310" s="555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654" t="s">
        <v>512</v>
      </c>
      <c r="Q310" s="557"/>
      <c r="R310" s="557"/>
      <c r="S310" s="557"/>
      <c r="T310" s="558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hidden="1" customHeight="1" x14ac:dyDescent="0.25">
      <c r="A311" s="60" t="s">
        <v>513</v>
      </c>
      <c r="B311" s="60" t="s">
        <v>514</v>
      </c>
      <c r="C311" s="34">
        <v>4301031066</v>
      </c>
      <c r="D311" s="555">
        <v>4607091383836</v>
      </c>
      <c r="E311" s="555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7"/>
      <c r="R311" s="557"/>
      <c r="S311" s="557"/>
      <c r="T311" s="558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hidden="1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554" t="s">
        <v>86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3"/>
      <c r="AB314" s="63"/>
      <c r="AC314" s="63"/>
    </row>
    <row r="315" spans="1:68" ht="27" hidden="1" customHeight="1" x14ac:dyDescent="0.25">
      <c r="A315" s="60" t="s">
        <v>516</v>
      </c>
      <c r="B315" s="60" t="s">
        <v>517</v>
      </c>
      <c r="C315" s="34">
        <v>4301051100</v>
      </c>
      <c r="D315" s="555">
        <v>4607091387766</v>
      </c>
      <c r="E315" s="555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7"/>
      <c r="R315" s="557"/>
      <c r="S315" s="557"/>
      <c r="T315" s="558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519</v>
      </c>
      <c r="B316" s="60" t="s">
        <v>520</v>
      </c>
      <c r="C316" s="34">
        <v>4301051818</v>
      </c>
      <c r="D316" s="555">
        <v>4607091387957</v>
      </c>
      <c r="E316" s="555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6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7"/>
      <c r="R316" s="557"/>
      <c r="S316" s="557"/>
      <c r="T316" s="558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522</v>
      </c>
      <c r="B317" s="60" t="s">
        <v>523</v>
      </c>
      <c r="C317" s="34">
        <v>4301051819</v>
      </c>
      <c r="D317" s="555">
        <v>4607091387964</v>
      </c>
      <c r="E317" s="555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6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7"/>
      <c r="R317" s="557"/>
      <c r="S317" s="557"/>
      <c r="T317" s="558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525</v>
      </c>
      <c r="B318" s="60" t="s">
        <v>526</v>
      </c>
      <c r="C318" s="34">
        <v>4301051734</v>
      </c>
      <c r="D318" s="555">
        <v>4680115884588</v>
      </c>
      <c r="E318" s="555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7"/>
      <c r="R318" s="557"/>
      <c r="S318" s="557"/>
      <c r="T318" s="558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hidden="1" x14ac:dyDescent="0.2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3"/>
      <c r="P320" s="559" t="s">
        <v>40</v>
      </c>
      <c r="Q320" s="560"/>
      <c r="R320" s="560"/>
      <c r="S320" s="560"/>
      <c r="T320" s="560"/>
      <c r="U320" s="560"/>
      <c r="V320" s="561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554" t="s">
        <v>173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555">
        <v>4607091380880</v>
      </c>
      <c r="E322" s="555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6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7"/>
      <c r="R322" s="557"/>
      <c r="S322" s="557"/>
      <c r="T322" s="558"/>
      <c r="U322" s="37" t="s">
        <v>45</v>
      </c>
      <c r="V322" s="37" t="s">
        <v>45</v>
      </c>
      <c r="W322" s="38" t="s">
        <v>0</v>
      </c>
      <c r="X322" s="56">
        <v>268.8</v>
      </c>
      <c r="Y322" s="53">
        <f>IFERROR(IF(X322="",0,CEILING((X322/$H322),1)*$H322),"")</f>
        <v>268.8</v>
      </c>
      <c r="Z322" s="39">
        <f>IFERROR(IF(Y322=0,"",ROUNDUP(Y322/H322,0)*0.01898),"")</f>
        <v>0.60736000000000001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284.608</v>
      </c>
      <c r="BN322" s="75">
        <f>IFERROR(Y322*I322/H322,"0")</f>
        <v>284.608</v>
      </c>
      <c r="BO322" s="75">
        <f>IFERROR(1/J322*(X322/H322),"0")</f>
        <v>0.5</v>
      </c>
      <c r="BP322" s="75">
        <f>IFERROR(1/J322*(Y322/H322),"0")</f>
        <v>0.5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555">
        <v>4607091384482</v>
      </c>
      <c r="E323" s="555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7"/>
      <c r="R323" s="557"/>
      <c r="S323" s="557"/>
      <c r="T323" s="558"/>
      <c r="U323" s="37" t="s">
        <v>45</v>
      </c>
      <c r="V323" s="37" t="s">
        <v>45</v>
      </c>
      <c r="W323" s="38" t="s">
        <v>0</v>
      </c>
      <c r="X323" s="56">
        <v>374.4</v>
      </c>
      <c r="Y323" s="53">
        <f>IFERROR(IF(X323="",0,CEILING((X323/$H323),1)*$H323),"")</f>
        <v>374.4</v>
      </c>
      <c r="Z323" s="39">
        <f>IFERROR(IF(Y323=0,"",ROUNDUP(Y323/H323,0)*0.01898),"")</f>
        <v>0.91104000000000007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398.11200000000002</v>
      </c>
      <c r="BN323" s="75">
        <f>IFERROR(Y323*I323/H323,"0")</f>
        <v>398.11200000000002</v>
      </c>
      <c r="BO323" s="75">
        <f>IFERROR(1/J323*(X323/H323),"0")</f>
        <v>0.75</v>
      </c>
      <c r="BP323" s="75">
        <f>IFERROR(1/J323*(Y323/H323),"0")</f>
        <v>0.75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555">
        <v>4607091380897</v>
      </c>
      <c r="E324" s="555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6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7"/>
      <c r="R324" s="557"/>
      <c r="S324" s="557"/>
      <c r="T324" s="558"/>
      <c r="U324" s="37" t="s">
        <v>45</v>
      </c>
      <c r="V324" s="37" t="s">
        <v>45</v>
      </c>
      <c r="W324" s="38" t="s">
        <v>0</v>
      </c>
      <c r="X324" s="56">
        <v>67.2</v>
      </c>
      <c r="Y324" s="53">
        <f>IFERROR(IF(X324="",0,CEILING((X324/$H324),1)*$H324),"")</f>
        <v>67.2</v>
      </c>
      <c r="Z324" s="39">
        <f>IFERROR(IF(Y324=0,"",ROUNDUP(Y324/H324,0)*0.01898),"")</f>
        <v>0.15184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71.152000000000001</v>
      </c>
      <c r="BN324" s="75">
        <f>IFERROR(Y324*I324/H324,"0")</f>
        <v>71.152000000000001</v>
      </c>
      <c r="BO324" s="75">
        <f>IFERROR(1/J324*(X324/H324),"0")</f>
        <v>0.125</v>
      </c>
      <c r="BP324" s="75">
        <f>IFERROR(1/J324*(Y324/H324),"0")</f>
        <v>0.125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0" t="s">
        <v>39</v>
      </c>
      <c r="X325" s="41">
        <f>IFERROR(X322/H322,"0")+IFERROR(X323/H323,"0")+IFERROR(X324/H324,"0")</f>
        <v>88</v>
      </c>
      <c r="Y325" s="41">
        <f>IFERROR(Y322/H322,"0")+IFERROR(Y323/H323,"0")+IFERROR(Y324/H324,"0")</f>
        <v>88</v>
      </c>
      <c r="Z325" s="41">
        <f>IFERROR(IF(Z322="",0,Z322),"0")+IFERROR(IF(Z323="",0,Z323),"0")+IFERROR(IF(Z324="",0,Z324),"0")</f>
        <v>1.6702400000000002</v>
      </c>
      <c r="AA325" s="64"/>
      <c r="AB325" s="64"/>
      <c r="AC325" s="64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0" t="s">
        <v>0</v>
      </c>
      <c r="X326" s="41">
        <f>IFERROR(SUM(X322:X324),"0")</f>
        <v>710.40000000000009</v>
      </c>
      <c r="Y326" s="41">
        <f>IFERROR(SUM(Y322:Y324),"0")</f>
        <v>710.40000000000009</v>
      </c>
      <c r="Z326" s="40"/>
      <c r="AA326" s="64"/>
      <c r="AB326" s="64"/>
      <c r="AC326" s="64"/>
    </row>
    <row r="327" spans="1:68" ht="14.25" hidden="1" customHeight="1" x14ac:dyDescent="0.25">
      <c r="A327" s="554" t="s">
        <v>106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3"/>
      <c r="AB327" s="63"/>
      <c r="AC327" s="63"/>
    </row>
    <row r="328" spans="1:68" ht="27" hidden="1" customHeight="1" x14ac:dyDescent="0.25">
      <c r="A328" s="60" t="s">
        <v>537</v>
      </c>
      <c r="B328" s="60" t="s">
        <v>538</v>
      </c>
      <c r="C328" s="34">
        <v>4301030235</v>
      </c>
      <c r="D328" s="555">
        <v>4607091388381</v>
      </c>
      <c r="E328" s="555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6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7"/>
      <c r="R328" s="557"/>
      <c r="S328" s="557"/>
      <c r="T328" s="558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540</v>
      </c>
      <c r="B329" s="60" t="s">
        <v>541</v>
      </c>
      <c r="C329" s="34">
        <v>4301030232</v>
      </c>
      <c r="D329" s="555">
        <v>4607091388374</v>
      </c>
      <c r="E329" s="555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6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7"/>
      <c r="R329" s="557"/>
      <c r="S329" s="557"/>
      <c r="T329" s="558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542</v>
      </c>
      <c r="B330" s="60" t="s">
        <v>543</v>
      </c>
      <c r="C330" s="34">
        <v>4301032015</v>
      </c>
      <c r="D330" s="555">
        <v>4607091383102</v>
      </c>
      <c r="E330" s="555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7"/>
      <c r="R330" s="557"/>
      <c r="S330" s="557"/>
      <c r="T330" s="558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544</v>
      </c>
      <c r="B331" s="60" t="s">
        <v>545</v>
      </c>
      <c r="C331" s="34">
        <v>4301030233</v>
      </c>
      <c r="D331" s="555">
        <v>4607091388404</v>
      </c>
      <c r="E331" s="555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6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7"/>
      <c r="R331" s="557"/>
      <c r="S331" s="557"/>
      <c r="T331" s="558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idden="1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3"/>
      <c r="P333" s="559" t="s">
        <v>40</v>
      </c>
      <c r="Q333" s="560"/>
      <c r="R333" s="560"/>
      <c r="S333" s="560"/>
      <c r="T333" s="560"/>
      <c r="U333" s="560"/>
      <c r="V333" s="56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hidden="1" customHeight="1" x14ac:dyDescent="0.25">
      <c r="A334" s="554" t="s">
        <v>546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3"/>
      <c r="AB334" s="63"/>
      <c r="AC334" s="63"/>
    </row>
    <row r="335" spans="1:68" ht="16.5" hidden="1" customHeight="1" x14ac:dyDescent="0.25">
      <c r="A335" s="60" t="s">
        <v>547</v>
      </c>
      <c r="B335" s="60" t="s">
        <v>548</v>
      </c>
      <c r="C335" s="34">
        <v>4301180007</v>
      </c>
      <c r="D335" s="555">
        <v>4680115881808</v>
      </c>
      <c r="E335" s="555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6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7"/>
      <c r="R335" s="557"/>
      <c r="S335" s="557"/>
      <c r="T335" s="558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551</v>
      </c>
      <c r="B336" s="60" t="s">
        <v>552</v>
      </c>
      <c r="C336" s="34">
        <v>4301180006</v>
      </c>
      <c r="D336" s="555">
        <v>4680115881822</v>
      </c>
      <c r="E336" s="55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7"/>
      <c r="R336" s="557"/>
      <c r="S336" s="557"/>
      <c r="T336" s="558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553</v>
      </c>
      <c r="B337" s="60" t="s">
        <v>554</v>
      </c>
      <c r="C337" s="34">
        <v>4301180001</v>
      </c>
      <c r="D337" s="555">
        <v>4680115880016</v>
      </c>
      <c r="E337" s="55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6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7"/>
      <c r="R337" s="557"/>
      <c r="S337" s="557"/>
      <c r="T337" s="558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553" t="s">
        <v>555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62"/>
      <c r="AB340" s="62"/>
      <c r="AC340" s="62"/>
    </row>
    <row r="341" spans="1:68" ht="14.25" hidden="1" customHeight="1" x14ac:dyDescent="0.25">
      <c r="A341" s="554" t="s">
        <v>86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555">
        <v>4607091387919</v>
      </c>
      <c r="E342" s="555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6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7"/>
      <c r="R342" s="557"/>
      <c r="S342" s="557"/>
      <c r="T342" s="558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hidden="1" customHeight="1" x14ac:dyDescent="0.25">
      <c r="A343" s="60" t="s">
        <v>559</v>
      </c>
      <c r="B343" s="60" t="s">
        <v>560</v>
      </c>
      <c r="C343" s="34">
        <v>4301051461</v>
      </c>
      <c r="D343" s="555">
        <v>4680115883604</v>
      </c>
      <c r="E343" s="555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7"/>
      <c r="R343" s="557"/>
      <c r="S343" s="557"/>
      <c r="T343" s="558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562</v>
      </c>
      <c r="B344" s="60" t="s">
        <v>563</v>
      </c>
      <c r="C344" s="34">
        <v>4301051864</v>
      </c>
      <c r="D344" s="555">
        <v>4680115883567</v>
      </c>
      <c r="E344" s="555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7"/>
      <c r="R344" s="557"/>
      <c r="S344" s="557"/>
      <c r="T344" s="558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59" t="s">
        <v>40</v>
      </c>
      <c r="Q345" s="560"/>
      <c r="R345" s="560"/>
      <c r="S345" s="560"/>
      <c r="T345" s="560"/>
      <c r="U345" s="560"/>
      <c r="V345" s="561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3"/>
      <c r="P346" s="559" t="s">
        <v>40</v>
      </c>
      <c r="Q346" s="560"/>
      <c r="R346" s="560"/>
      <c r="S346" s="560"/>
      <c r="T346" s="560"/>
      <c r="U346" s="560"/>
      <c r="V346" s="561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hidden="1" customHeight="1" x14ac:dyDescent="0.2">
      <c r="A347" s="574" t="s">
        <v>565</v>
      </c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  <c r="Z347" s="574"/>
      <c r="AA347" s="52"/>
      <c r="AB347" s="52"/>
      <c r="AC347" s="52"/>
    </row>
    <row r="348" spans="1:68" ht="16.5" hidden="1" customHeight="1" x14ac:dyDescent="0.25">
      <c r="A348" s="553" t="s">
        <v>566</v>
      </c>
      <c r="B348" s="553"/>
      <c r="C348" s="553"/>
      <c r="D348" s="553"/>
      <c r="E348" s="553"/>
      <c r="F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3"/>
      <c r="R348" s="553"/>
      <c r="S348" s="553"/>
      <c r="T348" s="553"/>
      <c r="U348" s="553"/>
      <c r="V348" s="553"/>
      <c r="W348" s="553"/>
      <c r="X348" s="553"/>
      <c r="Y348" s="553"/>
      <c r="Z348" s="553"/>
      <c r="AA348" s="62"/>
      <c r="AB348" s="62"/>
      <c r="AC348" s="62"/>
    </row>
    <row r="349" spans="1:68" ht="14.25" hidden="1" customHeight="1" x14ac:dyDescent="0.25">
      <c r="A349" s="554" t="s">
        <v>114</v>
      </c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555">
        <v>4680115884847</v>
      </c>
      <c r="E350" s="555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7"/>
      <c r="R350" s="557"/>
      <c r="S350" s="557"/>
      <c r="T350" s="558"/>
      <c r="U350" s="37" t="s">
        <v>45</v>
      </c>
      <c r="V350" s="37" t="s">
        <v>45</v>
      </c>
      <c r="W350" s="38" t="s">
        <v>0</v>
      </c>
      <c r="X350" s="56">
        <v>360</v>
      </c>
      <c r="Y350" s="53">
        <f t="shared" ref="Y350:Y356" si="37">IFERROR(IF(X350="",0,CEILING((X350/$H350),1)*$H350),"")</f>
        <v>360</v>
      </c>
      <c r="Z350" s="39">
        <f>IFERROR(IF(Y350=0,"",ROUNDUP(Y350/H350,0)*0.02175),"")</f>
        <v>0.52200000000000002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371.28</v>
      </c>
      <c r="BN350" s="75">
        <f t="shared" ref="BN350:BN356" si="39">IFERROR(Y350*I350/H350,"0")</f>
        <v>371.28</v>
      </c>
      <c r="BO350" s="75">
        <f t="shared" ref="BO350:BO356" si="40">IFERROR(1/J350*(X350/H350),"0")</f>
        <v>0.5</v>
      </c>
      <c r="BP350" s="75">
        <f t="shared" ref="BP350:BP356" si="41">IFERROR(1/J350*(Y350/H350),"0")</f>
        <v>0.5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555">
        <v>4680115884854</v>
      </c>
      <c r="E351" s="55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7"/>
      <c r="R351" s="557"/>
      <c r="S351" s="557"/>
      <c r="T351" s="558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555">
        <v>4680115884830</v>
      </c>
      <c r="E352" s="55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7" t="s">
        <v>45</v>
      </c>
      <c r="V352" s="37" t="s">
        <v>45</v>
      </c>
      <c r="W352" s="38" t="s">
        <v>0</v>
      </c>
      <c r="X352" s="56">
        <v>270</v>
      </c>
      <c r="Y352" s="53">
        <f t="shared" si="37"/>
        <v>270</v>
      </c>
      <c r="Z352" s="39">
        <f>IFERROR(IF(Y352=0,"",ROUNDUP(Y352/H352,0)*0.02175),"")</f>
        <v>0.39149999999999996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278.46000000000004</v>
      </c>
      <c r="BN352" s="75">
        <f t="shared" si="39"/>
        <v>278.46000000000004</v>
      </c>
      <c r="BO352" s="75">
        <f t="shared" si="40"/>
        <v>0.375</v>
      </c>
      <c r="BP352" s="75">
        <f t="shared" si="41"/>
        <v>0.375</v>
      </c>
    </row>
    <row r="353" spans="1:68" ht="27" hidden="1" customHeight="1" x14ac:dyDescent="0.25">
      <c r="A353" s="60" t="s">
        <v>576</v>
      </c>
      <c r="B353" s="60" t="s">
        <v>577</v>
      </c>
      <c r="C353" s="34">
        <v>4301012215</v>
      </c>
      <c r="D353" s="555">
        <v>4680115887046</v>
      </c>
      <c r="E353" s="55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6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7"/>
      <c r="R353" s="557"/>
      <c r="S353" s="557"/>
      <c r="T353" s="558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hidden="1" customHeight="1" x14ac:dyDescent="0.25">
      <c r="A354" s="60" t="s">
        <v>579</v>
      </c>
      <c r="B354" s="60" t="s">
        <v>580</v>
      </c>
      <c r="C354" s="34">
        <v>4301011433</v>
      </c>
      <c r="D354" s="555">
        <v>4680115882638</v>
      </c>
      <c r="E354" s="555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6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7"/>
      <c r="R354" s="557"/>
      <c r="S354" s="557"/>
      <c r="T354" s="558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hidden="1" customHeight="1" x14ac:dyDescent="0.25">
      <c r="A355" s="60" t="s">
        <v>582</v>
      </c>
      <c r="B355" s="60" t="s">
        <v>583</v>
      </c>
      <c r="C355" s="34">
        <v>4301011952</v>
      </c>
      <c r="D355" s="555">
        <v>4680115884922</v>
      </c>
      <c r="E355" s="555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6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7"/>
      <c r="R355" s="557"/>
      <c r="S355" s="557"/>
      <c r="T355" s="558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hidden="1" customHeight="1" x14ac:dyDescent="0.25">
      <c r="A356" s="60" t="s">
        <v>585</v>
      </c>
      <c r="B356" s="60" t="s">
        <v>586</v>
      </c>
      <c r="C356" s="34">
        <v>4301011868</v>
      </c>
      <c r="D356" s="555">
        <v>4680115884861</v>
      </c>
      <c r="E356" s="55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6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7"/>
      <c r="R356" s="557"/>
      <c r="S356" s="557"/>
      <c r="T356" s="558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59" t="s">
        <v>40</v>
      </c>
      <c r="Q357" s="560"/>
      <c r="R357" s="560"/>
      <c r="S357" s="560"/>
      <c r="T357" s="560"/>
      <c r="U357" s="560"/>
      <c r="V357" s="561"/>
      <c r="W357" s="40" t="s">
        <v>39</v>
      </c>
      <c r="X357" s="41">
        <f>IFERROR(X350/H350,"0")+IFERROR(X351/H351,"0")+IFERROR(X352/H352,"0")+IFERROR(X353/H353,"0")+IFERROR(X354/H354,"0")+IFERROR(X355/H355,"0")+IFERROR(X356/H356,"0")</f>
        <v>58</v>
      </c>
      <c r="Y357" s="41">
        <f>IFERROR(Y350/H350,"0")+IFERROR(Y351/H351,"0")+IFERROR(Y352/H352,"0")+IFERROR(Y353/H353,"0")+IFERROR(Y354/H354,"0")+IFERROR(Y355/H355,"0")+IFERROR(Y356/H356,"0")</f>
        <v>58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1.2614999999999998</v>
      </c>
      <c r="AA357" s="64"/>
      <c r="AB357" s="64"/>
      <c r="AC357" s="64"/>
    </row>
    <row r="358" spans="1:68" x14ac:dyDescent="0.2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3"/>
      <c r="P358" s="559" t="s">
        <v>40</v>
      </c>
      <c r="Q358" s="560"/>
      <c r="R358" s="560"/>
      <c r="S358" s="560"/>
      <c r="T358" s="560"/>
      <c r="U358" s="560"/>
      <c r="V358" s="561"/>
      <c r="W358" s="40" t="s">
        <v>0</v>
      </c>
      <c r="X358" s="41">
        <f>IFERROR(SUM(X350:X356),"0")</f>
        <v>870</v>
      </c>
      <c r="Y358" s="41">
        <f>IFERROR(SUM(Y350:Y356),"0")</f>
        <v>870</v>
      </c>
      <c r="Z358" s="40"/>
      <c r="AA358" s="64"/>
      <c r="AB358" s="64"/>
      <c r="AC358" s="64"/>
    </row>
    <row r="359" spans="1:68" ht="14.25" hidden="1" customHeight="1" x14ac:dyDescent="0.25">
      <c r="A359" s="554" t="s">
        <v>147</v>
      </c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555">
        <v>4607091383980</v>
      </c>
      <c r="E360" s="555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6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7"/>
      <c r="R360" s="557"/>
      <c r="S360" s="557"/>
      <c r="T360" s="558"/>
      <c r="U360" s="37" t="s">
        <v>45</v>
      </c>
      <c r="V360" s="37" t="s">
        <v>45</v>
      </c>
      <c r="W360" s="38" t="s">
        <v>0</v>
      </c>
      <c r="X360" s="56">
        <v>120</v>
      </c>
      <c r="Y360" s="53">
        <f>IFERROR(IF(X360="",0,CEILING((X360/$H360),1)*$H360),"")</f>
        <v>120</v>
      </c>
      <c r="Z360" s="39">
        <f>IFERROR(IF(Y360=0,"",ROUNDUP(Y360/H360,0)*0.02175),"")</f>
        <v>0.17399999999999999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123.76</v>
      </c>
      <c r="BN360" s="75">
        <f>IFERROR(Y360*I360/H360,"0")</f>
        <v>123.76</v>
      </c>
      <c r="BO360" s="75">
        <f>IFERROR(1/J360*(X360/H360),"0")</f>
        <v>0.16666666666666666</v>
      </c>
      <c r="BP360" s="75">
        <f>IFERROR(1/J360*(Y360/H360),"0")</f>
        <v>0.16666666666666666</v>
      </c>
    </row>
    <row r="361" spans="1:68" ht="27" hidden="1" customHeight="1" x14ac:dyDescent="0.25">
      <c r="A361" s="60" t="s">
        <v>590</v>
      </c>
      <c r="B361" s="60" t="s">
        <v>591</v>
      </c>
      <c r="C361" s="34">
        <v>4301020179</v>
      </c>
      <c r="D361" s="555">
        <v>4607091384178</v>
      </c>
      <c r="E361" s="555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6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7"/>
      <c r="R361" s="557"/>
      <c r="S361" s="557"/>
      <c r="T361" s="558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59" t="s">
        <v>40</v>
      </c>
      <c r="Q362" s="560"/>
      <c r="R362" s="560"/>
      <c r="S362" s="560"/>
      <c r="T362" s="560"/>
      <c r="U362" s="560"/>
      <c r="V362" s="561"/>
      <c r="W362" s="40" t="s">
        <v>39</v>
      </c>
      <c r="X362" s="41">
        <f>IFERROR(X360/H360,"0")+IFERROR(X361/H361,"0")</f>
        <v>8</v>
      </c>
      <c r="Y362" s="41">
        <f>IFERROR(Y360/H360,"0")+IFERROR(Y361/H361,"0")</f>
        <v>8</v>
      </c>
      <c r="Z362" s="41">
        <f>IFERROR(IF(Z360="",0,Z360),"0")+IFERROR(IF(Z361="",0,Z361),"0")</f>
        <v>0.17399999999999999</v>
      </c>
      <c r="AA362" s="64"/>
      <c r="AB362" s="64"/>
      <c r="AC362" s="64"/>
    </row>
    <row r="363" spans="1:68" x14ac:dyDescent="0.2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3"/>
      <c r="P363" s="559" t="s">
        <v>40</v>
      </c>
      <c r="Q363" s="560"/>
      <c r="R363" s="560"/>
      <c r="S363" s="560"/>
      <c r="T363" s="560"/>
      <c r="U363" s="560"/>
      <c r="V363" s="561"/>
      <c r="W363" s="40" t="s">
        <v>0</v>
      </c>
      <c r="X363" s="41">
        <f>IFERROR(SUM(X360:X361),"0")</f>
        <v>120</v>
      </c>
      <c r="Y363" s="41">
        <f>IFERROR(SUM(Y360:Y361),"0")</f>
        <v>120</v>
      </c>
      <c r="Z363" s="40"/>
      <c r="AA363" s="64"/>
      <c r="AB363" s="64"/>
      <c r="AC363" s="64"/>
    </row>
    <row r="364" spans="1:68" ht="14.25" hidden="1" customHeight="1" x14ac:dyDescent="0.25">
      <c r="A364" s="554" t="s">
        <v>86</v>
      </c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63"/>
      <c r="AB364" s="63"/>
      <c r="AC364" s="63"/>
    </row>
    <row r="365" spans="1:68" ht="27" hidden="1" customHeight="1" x14ac:dyDescent="0.25">
      <c r="A365" s="60" t="s">
        <v>593</v>
      </c>
      <c r="B365" s="60" t="s">
        <v>594</v>
      </c>
      <c r="C365" s="34">
        <v>4301051903</v>
      </c>
      <c r="D365" s="555">
        <v>4607091383928</v>
      </c>
      <c r="E365" s="555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7"/>
      <c r="R365" s="557"/>
      <c r="S365" s="557"/>
      <c r="T365" s="558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596</v>
      </c>
      <c r="B366" s="60" t="s">
        <v>597</v>
      </c>
      <c r="C366" s="34">
        <v>4301051897</v>
      </c>
      <c r="D366" s="555">
        <v>4607091384260</v>
      </c>
      <c r="E366" s="555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6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7"/>
      <c r="R366" s="557"/>
      <c r="S366" s="557"/>
      <c r="T366" s="558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idden="1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59" t="s">
        <v>40</v>
      </c>
      <c r="Q367" s="560"/>
      <c r="R367" s="560"/>
      <c r="S367" s="560"/>
      <c r="T367" s="560"/>
      <c r="U367" s="560"/>
      <c r="V367" s="561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hidden="1" x14ac:dyDescent="0.2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3"/>
      <c r="P368" s="559" t="s">
        <v>40</v>
      </c>
      <c r="Q368" s="560"/>
      <c r="R368" s="560"/>
      <c r="S368" s="560"/>
      <c r="T368" s="560"/>
      <c r="U368" s="560"/>
      <c r="V368" s="561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554" t="s">
        <v>173</v>
      </c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555">
        <v>4607091384673</v>
      </c>
      <c r="E370" s="555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7"/>
      <c r="R370" s="557"/>
      <c r="S370" s="557"/>
      <c r="T370" s="558"/>
      <c r="U370" s="37" t="s">
        <v>45</v>
      </c>
      <c r="V370" s="37" t="s">
        <v>45</v>
      </c>
      <c r="W370" s="38" t="s">
        <v>0</v>
      </c>
      <c r="X370" s="56">
        <v>72</v>
      </c>
      <c r="Y370" s="53">
        <f>IFERROR(IF(X370="",0,CEILING((X370/$H370),1)*$H370),"")</f>
        <v>72</v>
      </c>
      <c r="Z370" s="39">
        <f>IFERROR(IF(Y370=0,"",ROUNDUP(Y370/H370,0)*0.01898),"")</f>
        <v>0.15184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75.951999999999998</v>
      </c>
      <c r="BN370" s="75">
        <f>IFERROR(Y370*I370/H370,"0")</f>
        <v>75.951999999999998</v>
      </c>
      <c r="BO370" s="75">
        <f>IFERROR(1/J370*(X370/H370),"0")</f>
        <v>0.125</v>
      </c>
      <c r="BP370" s="75">
        <f>IFERROR(1/J370*(Y370/H370),"0")</f>
        <v>0.125</v>
      </c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0" t="s">
        <v>39</v>
      </c>
      <c r="X371" s="41">
        <f>IFERROR(X370/H370,"0")</f>
        <v>8</v>
      </c>
      <c r="Y371" s="41">
        <f>IFERROR(Y370/H370,"0")</f>
        <v>8</v>
      </c>
      <c r="Z371" s="41">
        <f>IFERROR(IF(Z370="",0,Z370),"0")</f>
        <v>0.15184</v>
      </c>
      <c r="AA371" s="64"/>
      <c r="AB371" s="64"/>
      <c r="AC371" s="64"/>
    </row>
    <row r="372" spans="1:68" x14ac:dyDescent="0.2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3"/>
      <c r="P372" s="559" t="s">
        <v>40</v>
      </c>
      <c r="Q372" s="560"/>
      <c r="R372" s="560"/>
      <c r="S372" s="560"/>
      <c r="T372" s="560"/>
      <c r="U372" s="560"/>
      <c r="V372" s="561"/>
      <c r="W372" s="40" t="s">
        <v>0</v>
      </c>
      <c r="X372" s="41">
        <f>IFERROR(SUM(X370:X370),"0")</f>
        <v>72</v>
      </c>
      <c r="Y372" s="41">
        <f>IFERROR(SUM(Y370:Y370),"0")</f>
        <v>72</v>
      </c>
      <c r="Z372" s="40"/>
      <c r="AA372" s="64"/>
      <c r="AB372" s="64"/>
      <c r="AC372" s="64"/>
    </row>
    <row r="373" spans="1:68" ht="16.5" hidden="1" customHeight="1" x14ac:dyDescent="0.25">
      <c r="A373" s="553" t="s">
        <v>602</v>
      </c>
      <c r="B373" s="553"/>
      <c r="C373" s="553"/>
      <c r="D373" s="553"/>
      <c r="E373" s="553"/>
      <c r="F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3"/>
      <c r="R373" s="553"/>
      <c r="S373" s="553"/>
      <c r="T373" s="553"/>
      <c r="U373" s="553"/>
      <c r="V373" s="553"/>
      <c r="W373" s="553"/>
      <c r="X373" s="553"/>
      <c r="Y373" s="553"/>
      <c r="Z373" s="553"/>
      <c r="AA373" s="62"/>
      <c r="AB373" s="62"/>
      <c r="AC373" s="62"/>
    </row>
    <row r="374" spans="1:68" ht="14.25" hidden="1" customHeight="1" x14ac:dyDescent="0.25">
      <c r="A374" s="554" t="s">
        <v>114</v>
      </c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555">
        <v>4680115884885</v>
      </c>
      <c r="E375" s="555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7"/>
      <c r="R375" s="557"/>
      <c r="S375" s="557"/>
      <c r="T375" s="558"/>
      <c r="U375" s="37" t="s">
        <v>45</v>
      </c>
      <c r="V375" s="37" t="s">
        <v>45</v>
      </c>
      <c r="W375" s="38" t="s">
        <v>0</v>
      </c>
      <c r="X375" s="56">
        <v>120</v>
      </c>
      <c r="Y375" s="53">
        <f>IFERROR(IF(X375="",0,CEILING((X375/$H375),1)*$H375),"")</f>
        <v>120</v>
      </c>
      <c r="Z375" s="39">
        <f>IFERROR(IF(Y375=0,"",ROUNDUP(Y375/H375,0)*0.01898),"")</f>
        <v>0.1898</v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124.10000000000001</v>
      </c>
      <c r="BN375" s="75">
        <f>IFERROR(Y375*I375/H375,"0")</f>
        <v>124.10000000000001</v>
      </c>
      <c r="BO375" s="75">
        <f>IFERROR(1/J375*(X375/H375),"0")</f>
        <v>0.15625</v>
      </c>
      <c r="BP375" s="75">
        <f>IFERROR(1/J375*(Y375/H375),"0")</f>
        <v>0.15625</v>
      </c>
    </row>
    <row r="376" spans="1:68" ht="37.5" hidden="1" customHeight="1" x14ac:dyDescent="0.25">
      <c r="A376" s="60" t="s">
        <v>606</v>
      </c>
      <c r="B376" s="60" t="s">
        <v>607</v>
      </c>
      <c r="C376" s="34">
        <v>4301011871</v>
      </c>
      <c r="D376" s="555">
        <v>4680115884908</v>
      </c>
      <c r="E376" s="555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6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7"/>
      <c r="R376" s="557"/>
      <c r="S376" s="557"/>
      <c r="T376" s="558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59" t="s">
        <v>40</v>
      </c>
      <c r="Q377" s="560"/>
      <c r="R377" s="560"/>
      <c r="S377" s="560"/>
      <c r="T377" s="560"/>
      <c r="U377" s="560"/>
      <c r="V377" s="561"/>
      <c r="W377" s="40" t="s">
        <v>39</v>
      </c>
      <c r="X377" s="41">
        <f>IFERROR(X375/H375,"0")+IFERROR(X376/H376,"0")</f>
        <v>10</v>
      </c>
      <c r="Y377" s="41">
        <f>IFERROR(Y375/H375,"0")+IFERROR(Y376/H376,"0")</f>
        <v>10</v>
      </c>
      <c r="Z377" s="41">
        <f>IFERROR(IF(Z375="",0,Z375),"0")+IFERROR(IF(Z376="",0,Z376),"0")</f>
        <v>0.1898</v>
      </c>
      <c r="AA377" s="64"/>
      <c r="AB377" s="64"/>
      <c r="AC377" s="64"/>
    </row>
    <row r="378" spans="1:68" x14ac:dyDescent="0.2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3"/>
      <c r="P378" s="559" t="s">
        <v>40</v>
      </c>
      <c r="Q378" s="560"/>
      <c r="R378" s="560"/>
      <c r="S378" s="560"/>
      <c r="T378" s="560"/>
      <c r="U378" s="560"/>
      <c r="V378" s="561"/>
      <c r="W378" s="40" t="s">
        <v>0</v>
      </c>
      <c r="X378" s="41">
        <f>IFERROR(SUM(X375:X376),"0")</f>
        <v>120</v>
      </c>
      <c r="Y378" s="41">
        <f>IFERROR(SUM(Y375:Y376),"0")</f>
        <v>120</v>
      </c>
      <c r="Z378" s="40"/>
      <c r="AA378" s="64"/>
      <c r="AB378" s="64"/>
      <c r="AC378" s="64"/>
    </row>
    <row r="379" spans="1:68" ht="14.25" hidden="1" customHeight="1" x14ac:dyDescent="0.25">
      <c r="A379" s="554" t="s">
        <v>76</v>
      </c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63"/>
      <c r="AB379" s="63"/>
      <c r="AC379" s="63"/>
    </row>
    <row r="380" spans="1:68" ht="27" hidden="1" customHeight="1" x14ac:dyDescent="0.25">
      <c r="A380" s="60" t="s">
        <v>608</v>
      </c>
      <c r="B380" s="60" t="s">
        <v>609</v>
      </c>
      <c r="C380" s="34">
        <v>4301031457</v>
      </c>
      <c r="D380" s="555">
        <v>4607091384802</v>
      </c>
      <c r="E380" s="555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6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7"/>
      <c r="R380" s="557"/>
      <c r="S380" s="557"/>
      <c r="T380" s="558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hidden="1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59" t="s">
        <v>40</v>
      </c>
      <c r="Q382" s="560"/>
      <c r="R382" s="560"/>
      <c r="S382" s="560"/>
      <c r="T382" s="560"/>
      <c r="U382" s="560"/>
      <c r="V382" s="561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554" t="s">
        <v>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555">
        <v>4607091384246</v>
      </c>
      <c r="E384" s="555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6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7" t="s">
        <v>45</v>
      </c>
      <c r="V384" s="37" t="s">
        <v>45</v>
      </c>
      <c r="W384" s="38" t="s">
        <v>0</v>
      </c>
      <c r="X384" s="56">
        <v>72</v>
      </c>
      <c r="Y384" s="53">
        <f>IFERROR(IF(X384="",0,CEILING((X384/$H384),1)*$H384),"")</f>
        <v>72</v>
      </c>
      <c r="Z384" s="39">
        <f>IFERROR(IF(Y384=0,"",ROUNDUP(Y384/H384,0)*0.01898),"")</f>
        <v>0.15184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75.951999999999998</v>
      </c>
      <c r="BN384" s="75">
        <f>IFERROR(Y384*I384/H384,"0")</f>
        <v>75.951999999999998</v>
      </c>
      <c r="BO384" s="75">
        <f>IFERROR(1/J384*(X384/H384),"0")</f>
        <v>0.125</v>
      </c>
      <c r="BP384" s="75">
        <f>IFERROR(1/J384*(Y384/H384),"0")</f>
        <v>0.125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555">
        <v>4607091384253</v>
      </c>
      <c r="E385" s="555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7" t="s">
        <v>45</v>
      </c>
      <c r="V385" s="37" t="s">
        <v>45</v>
      </c>
      <c r="W385" s="38" t="s">
        <v>0</v>
      </c>
      <c r="X385" s="56">
        <v>57.6</v>
      </c>
      <c r="Y385" s="53">
        <f>IFERROR(IF(X385="",0,CEILING((X385/$H385),1)*$H385),"")</f>
        <v>57.599999999999994</v>
      </c>
      <c r="Z385" s="39">
        <f>IFERROR(IF(Y385=0,"",ROUNDUP(Y385/H385,0)*0.00651),"")</f>
        <v>0.15623999999999999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63.936000000000007</v>
      </c>
      <c r="BN385" s="75">
        <f>IFERROR(Y385*I385/H385,"0")</f>
        <v>63.935999999999993</v>
      </c>
      <c r="BO385" s="75">
        <f>IFERROR(1/J385*(X385/H385),"0")</f>
        <v>0.13186813186813187</v>
      </c>
      <c r="BP385" s="75">
        <f>IFERROR(1/J385*(Y385/H385),"0")</f>
        <v>0.13186813186813187</v>
      </c>
    </row>
    <row r="386" spans="1:68" ht="27" hidden="1" customHeight="1" x14ac:dyDescent="0.25">
      <c r="A386" s="60" t="s">
        <v>614</v>
      </c>
      <c r="B386" s="60" t="s">
        <v>616</v>
      </c>
      <c r="C386" s="34">
        <v>4301052069</v>
      </c>
      <c r="D386" s="555">
        <v>4607091384253</v>
      </c>
      <c r="E386" s="555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6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59" t="s">
        <v>40</v>
      </c>
      <c r="Q387" s="560"/>
      <c r="R387" s="560"/>
      <c r="S387" s="560"/>
      <c r="T387" s="560"/>
      <c r="U387" s="560"/>
      <c r="V387" s="561"/>
      <c r="W387" s="40" t="s">
        <v>39</v>
      </c>
      <c r="X387" s="41">
        <f>IFERROR(X384/H384,"0")+IFERROR(X385/H385,"0")+IFERROR(X386/H386,"0")</f>
        <v>32</v>
      </c>
      <c r="Y387" s="41">
        <f>IFERROR(Y384/H384,"0")+IFERROR(Y385/H385,"0")+IFERROR(Y386/H386,"0")</f>
        <v>32</v>
      </c>
      <c r="Z387" s="41">
        <f>IFERROR(IF(Z384="",0,Z384),"0")+IFERROR(IF(Z385="",0,Z385),"0")+IFERROR(IF(Z386="",0,Z386),"0")</f>
        <v>0.30808000000000002</v>
      </c>
      <c r="AA387" s="64"/>
      <c r="AB387" s="64"/>
      <c r="AC387" s="64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59" t="s">
        <v>40</v>
      </c>
      <c r="Q388" s="560"/>
      <c r="R388" s="560"/>
      <c r="S388" s="560"/>
      <c r="T388" s="560"/>
      <c r="U388" s="560"/>
      <c r="V388" s="561"/>
      <c r="W388" s="40" t="s">
        <v>0</v>
      </c>
      <c r="X388" s="41">
        <f>IFERROR(SUM(X384:X386),"0")</f>
        <v>129.6</v>
      </c>
      <c r="Y388" s="41">
        <f>IFERROR(SUM(Y384:Y386),"0")</f>
        <v>129.6</v>
      </c>
      <c r="Z388" s="40"/>
      <c r="AA388" s="64"/>
      <c r="AB388" s="64"/>
      <c r="AC388" s="64"/>
    </row>
    <row r="389" spans="1:68" ht="27.75" hidden="1" customHeight="1" x14ac:dyDescent="0.2">
      <c r="A389" s="574" t="s">
        <v>618</v>
      </c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  <c r="Z389" s="574"/>
      <c r="AA389" s="52"/>
      <c r="AB389" s="52"/>
      <c r="AC389" s="52"/>
    </row>
    <row r="390" spans="1:68" ht="16.5" hidden="1" customHeight="1" x14ac:dyDescent="0.25">
      <c r="A390" s="553" t="s">
        <v>619</v>
      </c>
      <c r="B390" s="553"/>
      <c r="C390" s="553"/>
      <c r="D390" s="553"/>
      <c r="E390" s="553"/>
      <c r="F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3"/>
      <c r="R390" s="553"/>
      <c r="S390" s="553"/>
      <c r="T390" s="553"/>
      <c r="U390" s="553"/>
      <c r="V390" s="553"/>
      <c r="W390" s="553"/>
      <c r="X390" s="553"/>
      <c r="Y390" s="553"/>
      <c r="Z390" s="553"/>
      <c r="AA390" s="62"/>
      <c r="AB390" s="62"/>
      <c r="AC390" s="62"/>
    </row>
    <row r="391" spans="1:68" ht="14.25" hidden="1" customHeight="1" x14ac:dyDescent="0.25">
      <c r="A391" s="554" t="s">
        <v>76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63"/>
      <c r="AB391" s="63"/>
      <c r="AC391" s="63"/>
    </row>
    <row r="392" spans="1:68" ht="27" hidden="1" customHeight="1" x14ac:dyDescent="0.25">
      <c r="A392" s="60" t="s">
        <v>620</v>
      </c>
      <c r="B392" s="60" t="s">
        <v>621</v>
      </c>
      <c r="C392" s="34">
        <v>4301031405</v>
      </c>
      <c r="D392" s="555">
        <v>4680115886100</v>
      </c>
      <c r="E392" s="555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hidden="1" customHeight="1" x14ac:dyDescent="0.25">
      <c r="A393" s="60" t="s">
        <v>623</v>
      </c>
      <c r="B393" s="60" t="s">
        <v>624</v>
      </c>
      <c r="C393" s="34">
        <v>4301031406</v>
      </c>
      <c r="D393" s="555">
        <v>4680115886117</v>
      </c>
      <c r="E393" s="555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hidden="1" customHeight="1" x14ac:dyDescent="0.25">
      <c r="A394" s="60" t="s">
        <v>626</v>
      </c>
      <c r="B394" s="60" t="s">
        <v>627</v>
      </c>
      <c r="C394" s="34">
        <v>4301031402</v>
      </c>
      <c r="D394" s="555">
        <v>4680115886124</v>
      </c>
      <c r="E394" s="55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hidden="1" customHeight="1" x14ac:dyDescent="0.25">
      <c r="A395" s="60" t="s">
        <v>629</v>
      </c>
      <c r="B395" s="60" t="s">
        <v>630</v>
      </c>
      <c r="C395" s="34">
        <v>4301031366</v>
      </c>
      <c r="D395" s="555">
        <v>4680115883147</v>
      </c>
      <c r="E395" s="555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6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hidden="1" customHeight="1" x14ac:dyDescent="0.25">
      <c r="A396" s="60" t="s">
        <v>631</v>
      </c>
      <c r="B396" s="60" t="s">
        <v>632</v>
      </c>
      <c r="C396" s="34">
        <v>4301031362</v>
      </c>
      <c r="D396" s="555">
        <v>4607091384338</v>
      </c>
      <c r="E396" s="555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hidden="1" customHeight="1" x14ac:dyDescent="0.25">
      <c r="A397" s="60" t="s">
        <v>633</v>
      </c>
      <c r="B397" s="60" t="s">
        <v>634</v>
      </c>
      <c r="C397" s="34">
        <v>4301031361</v>
      </c>
      <c r="D397" s="555">
        <v>4607091389524</v>
      </c>
      <c r="E397" s="555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6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hidden="1" customHeight="1" x14ac:dyDescent="0.25">
      <c r="A398" s="60" t="s">
        <v>636</v>
      </c>
      <c r="B398" s="60" t="s">
        <v>637</v>
      </c>
      <c r="C398" s="34">
        <v>4301031364</v>
      </c>
      <c r="D398" s="555">
        <v>4680115883161</v>
      </c>
      <c r="E398" s="555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6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hidden="1" customHeight="1" x14ac:dyDescent="0.25">
      <c r="A399" s="60" t="s">
        <v>639</v>
      </c>
      <c r="B399" s="60" t="s">
        <v>640</v>
      </c>
      <c r="C399" s="34">
        <v>4301031358</v>
      </c>
      <c r="D399" s="555">
        <v>4607091389531</v>
      </c>
      <c r="E399" s="55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6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hidden="1" customHeight="1" x14ac:dyDescent="0.25">
      <c r="A400" s="60" t="s">
        <v>642</v>
      </c>
      <c r="B400" s="60" t="s">
        <v>643</v>
      </c>
      <c r="C400" s="34">
        <v>4301031360</v>
      </c>
      <c r="D400" s="555">
        <v>4607091384345</v>
      </c>
      <c r="E400" s="555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hidden="1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59" t="s">
        <v>40</v>
      </c>
      <c r="Q401" s="560"/>
      <c r="R401" s="560"/>
      <c r="S401" s="560"/>
      <c r="T401" s="560"/>
      <c r="U401" s="560"/>
      <c r="V401" s="561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59" t="s">
        <v>40</v>
      </c>
      <c r="Q402" s="560"/>
      <c r="R402" s="560"/>
      <c r="S402" s="560"/>
      <c r="T402" s="560"/>
      <c r="U402" s="560"/>
      <c r="V402" s="561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554" t="s">
        <v>86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63"/>
      <c r="AB403" s="63"/>
      <c r="AC403" s="63"/>
    </row>
    <row r="404" spans="1:68" ht="27" hidden="1" customHeight="1" x14ac:dyDescent="0.25">
      <c r="A404" s="60" t="s">
        <v>644</v>
      </c>
      <c r="B404" s="60" t="s">
        <v>645</v>
      </c>
      <c r="C404" s="34">
        <v>4301051284</v>
      </c>
      <c r="D404" s="555">
        <v>4607091384352</v>
      </c>
      <c r="E404" s="555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647</v>
      </c>
      <c r="B405" s="60" t="s">
        <v>648</v>
      </c>
      <c r="C405" s="34">
        <v>4301051431</v>
      </c>
      <c r="D405" s="555">
        <v>4607091389654</v>
      </c>
      <c r="E405" s="555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59" t="s">
        <v>40</v>
      </c>
      <c r="Q406" s="560"/>
      <c r="R406" s="560"/>
      <c r="S406" s="560"/>
      <c r="T406" s="560"/>
      <c r="U406" s="560"/>
      <c r="V406" s="561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59" t="s">
        <v>40</v>
      </c>
      <c r="Q407" s="560"/>
      <c r="R407" s="560"/>
      <c r="S407" s="560"/>
      <c r="T407" s="560"/>
      <c r="U407" s="560"/>
      <c r="V407" s="561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hidden="1" customHeight="1" x14ac:dyDescent="0.25">
      <c r="A408" s="553" t="s">
        <v>650</v>
      </c>
      <c r="B408" s="553"/>
      <c r="C408" s="553"/>
      <c r="D408" s="553"/>
      <c r="E408" s="553"/>
      <c r="F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3"/>
      <c r="R408" s="553"/>
      <c r="S408" s="553"/>
      <c r="T408" s="553"/>
      <c r="U408" s="553"/>
      <c r="V408" s="553"/>
      <c r="W408" s="553"/>
      <c r="X408" s="553"/>
      <c r="Y408" s="553"/>
      <c r="Z408" s="553"/>
      <c r="AA408" s="62"/>
      <c r="AB408" s="62"/>
      <c r="AC408" s="62"/>
    </row>
    <row r="409" spans="1:68" ht="14.25" hidden="1" customHeight="1" x14ac:dyDescent="0.25">
      <c r="A409" s="554" t="s">
        <v>147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63"/>
      <c r="AB409" s="63"/>
      <c r="AC409" s="63"/>
    </row>
    <row r="410" spans="1:68" ht="27" hidden="1" customHeight="1" x14ac:dyDescent="0.25">
      <c r="A410" s="60" t="s">
        <v>651</v>
      </c>
      <c r="B410" s="60" t="s">
        <v>652</v>
      </c>
      <c r="C410" s="34">
        <v>4301020319</v>
      </c>
      <c r="D410" s="555">
        <v>4680115885240</v>
      </c>
      <c r="E410" s="555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hidden="1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hidden="1" customHeight="1" x14ac:dyDescent="0.25">
      <c r="A413" s="554" t="s">
        <v>76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63"/>
      <c r="AB413" s="63"/>
      <c r="AC413" s="63"/>
    </row>
    <row r="414" spans="1:68" ht="27" hidden="1" customHeight="1" x14ac:dyDescent="0.25">
      <c r="A414" s="60" t="s">
        <v>654</v>
      </c>
      <c r="B414" s="60" t="s">
        <v>655</v>
      </c>
      <c r="C414" s="34">
        <v>4301031403</v>
      </c>
      <c r="D414" s="555">
        <v>4680115886094</v>
      </c>
      <c r="E414" s="555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657</v>
      </c>
      <c r="B415" s="60" t="s">
        <v>658</v>
      </c>
      <c r="C415" s="34">
        <v>4301031373</v>
      </c>
      <c r="D415" s="555">
        <v>4680115880771</v>
      </c>
      <c r="E415" s="555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7"/>
      <c r="R415" s="557"/>
      <c r="S415" s="557"/>
      <c r="T415" s="558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660</v>
      </c>
      <c r="B416" s="60" t="s">
        <v>661</v>
      </c>
      <c r="C416" s="34">
        <v>4301031359</v>
      </c>
      <c r="D416" s="555">
        <v>4607091389500</v>
      </c>
      <c r="E416" s="555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7"/>
      <c r="R416" s="557"/>
      <c r="S416" s="557"/>
      <c r="T416" s="558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59" t="s">
        <v>40</v>
      </c>
      <c r="Q418" s="560"/>
      <c r="R418" s="560"/>
      <c r="S418" s="560"/>
      <c r="T418" s="560"/>
      <c r="U418" s="560"/>
      <c r="V418" s="5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hidden="1" customHeight="1" x14ac:dyDescent="0.25">
      <c r="A419" s="553" t="s">
        <v>662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62"/>
      <c r="AB419" s="62"/>
      <c r="AC419" s="62"/>
    </row>
    <row r="420" spans="1:68" ht="14.25" hidden="1" customHeight="1" x14ac:dyDescent="0.25">
      <c r="A420" s="554" t="s">
        <v>76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3"/>
      <c r="AB420" s="63"/>
      <c r="AC420" s="63"/>
    </row>
    <row r="421" spans="1:68" ht="27" hidden="1" customHeight="1" x14ac:dyDescent="0.25">
      <c r="A421" s="60" t="s">
        <v>663</v>
      </c>
      <c r="B421" s="60" t="s">
        <v>664</v>
      </c>
      <c r="C421" s="34">
        <v>4301031347</v>
      </c>
      <c r="D421" s="555">
        <v>4680115885110</v>
      </c>
      <c r="E421" s="555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7"/>
      <c r="R421" s="557"/>
      <c r="S421" s="557"/>
      <c r="T421" s="558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3"/>
      <c r="P422" s="559" t="s">
        <v>40</v>
      </c>
      <c r="Q422" s="560"/>
      <c r="R422" s="560"/>
      <c r="S422" s="560"/>
      <c r="T422" s="560"/>
      <c r="U422" s="560"/>
      <c r="V422" s="561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59" t="s">
        <v>40</v>
      </c>
      <c r="Q423" s="560"/>
      <c r="R423" s="560"/>
      <c r="S423" s="560"/>
      <c r="T423" s="560"/>
      <c r="U423" s="560"/>
      <c r="V423" s="561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hidden="1" customHeight="1" x14ac:dyDescent="0.2">
      <c r="A424" s="574" t="s">
        <v>666</v>
      </c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  <c r="Z424" s="574"/>
      <c r="AA424" s="52"/>
      <c r="AB424" s="52"/>
      <c r="AC424" s="52"/>
    </row>
    <row r="425" spans="1:68" ht="16.5" hidden="1" customHeight="1" x14ac:dyDescent="0.25">
      <c r="A425" s="553" t="s">
        <v>666</v>
      </c>
      <c r="B425" s="553"/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62"/>
      <c r="AB425" s="62"/>
      <c r="AC425" s="62"/>
    </row>
    <row r="426" spans="1:68" ht="14.25" hidden="1" customHeight="1" x14ac:dyDescent="0.25">
      <c r="A426" s="554" t="s">
        <v>114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63"/>
      <c r="AB426" s="63"/>
      <c r="AC426" s="63"/>
    </row>
    <row r="427" spans="1:68" ht="27" hidden="1" customHeight="1" x14ac:dyDescent="0.25">
      <c r="A427" s="60" t="s">
        <v>667</v>
      </c>
      <c r="B427" s="60" t="s">
        <v>668</v>
      </c>
      <c r="C427" s="34">
        <v>4301011795</v>
      </c>
      <c r="D427" s="555">
        <v>4607091389067</v>
      </c>
      <c r="E427" s="555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7"/>
      <c r="R427" s="557"/>
      <c r="S427" s="557"/>
      <c r="T427" s="558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hidden="1" customHeight="1" x14ac:dyDescent="0.25">
      <c r="A428" s="60" t="s">
        <v>669</v>
      </c>
      <c r="B428" s="60" t="s">
        <v>670</v>
      </c>
      <c r="C428" s="34">
        <v>4301012145</v>
      </c>
      <c r="D428" s="555">
        <v>4607091383522</v>
      </c>
      <c r="E428" s="555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7"/>
      <c r="R428" s="557"/>
      <c r="S428" s="557"/>
      <c r="T428" s="558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hidden="1" customHeight="1" x14ac:dyDescent="0.25">
      <c r="A429" s="60" t="s">
        <v>669</v>
      </c>
      <c r="B429" s="60" t="s">
        <v>672</v>
      </c>
      <c r="C429" s="34">
        <v>4301012210</v>
      </c>
      <c r="D429" s="555">
        <v>4607091383522</v>
      </c>
      <c r="E429" s="555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7"/>
      <c r="R429" s="557"/>
      <c r="S429" s="557"/>
      <c r="T429" s="558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hidden="1" customHeight="1" x14ac:dyDescent="0.25">
      <c r="A430" s="60" t="s">
        <v>673</v>
      </c>
      <c r="B430" s="60" t="s">
        <v>674</v>
      </c>
      <c r="C430" s="34">
        <v>4301011961</v>
      </c>
      <c r="D430" s="555">
        <v>4680115885271</v>
      </c>
      <c r="E430" s="55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7"/>
      <c r="R430" s="557"/>
      <c r="S430" s="557"/>
      <c r="T430" s="558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555">
        <v>4680115885226</v>
      </c>
      <c r="E431" s="55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5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7"/>
      <c r="R431" s="557"/>
      <c r="S431" s="557"/>
      <c r="T431" s="558"/>
      <c r="U431" s="37" t="s">
        <v>45</v>
      </c>
      <c r="V431" s="37" t="s">
        <v>45</v>
      </c>
      <c r="W431" s="38" t="s">
        <v>0</v>
      </c>
      <c r="X431" s="56">
        <v>84.48</v>
      </c>
      <c r="Y431" s="53">
        <f t="shared" si="48"/>
        <v>84.48</v>
      </c>
      <c r="Z431" s="39">
        <f t="shared" si="49"/>
        <v>0.19136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90.08</v>
      </c>
      <c r="BN431" s="75">
        <f t="shared" si="51"/>
        <v>90.08</v>
      </c>
      <c r="BO431" s="75">
        <f t="shared" si="52"/>
        <v>0.15384615384615385</v>
      </c>
      <c r="BP431" s="75">
        <f t="shared" si="53"/>
        <v>0.15384615384615385</v>
      </c>
    </row>
    <row r="432" spans="1:68" ht="16.5" hidden="1" customHeight="1" x14ac:dyDescent="0.25">
      <c r="A432" s="60" t="s">
        <v>679</v>
      </c>
      <c r="B432" s="60" t="s">
        <v>680</v>
      </c>
      <c r="C432" s="34">
        <v>4301011774</v>
      </c>
      <c r="D432" s="555">
        <v>4680115884502</v>
      </c>
      <c r="E432" s="55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5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7"/>
      <c r="R432" s="557"/>
      <c r="S432" s="557"/>
      <c r="T432" s="558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555">
        <v>4607091389104</v>
      </c>
      <c r="E433" s="55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5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7"/>
      <c r="R433" s="557"/>
      <c r="S433" s="557"/>
      <c r="T433" s="558"/>
      <c r="U433" s="37" t="s">
        <v>45</v>
      </c>
      <c r="V433" s="37" t="s">
        <v>45</v>
      </c>
      <c r="W433" s="38" t="s">
        <v>0</v>
      </c>
      <c r="X433" s="56">
        <v>211.2</v>
      </c>
      <c r="Y433" s="53">
        <f t="shared" si="48"/>
        <v>211.20000000000002</v>
      </c>
      <c r="Z433" s="39">
        <f t="shared" si="49"/>
        <v>0.47839999999999999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225.19999999999996</v>
      </c>
      <c r="BN433" s="75">
        <f t="shared" si="51"/>
        <v>225.2</v>
      </c>
      <c r="BO433" s="75">
        <f t="shared" si="52"/>
        <v>0.38461538461538458</v>
      </c>
      <c r="BP433" s="75">
        <f t="shared" si="53"/>
        <v>0.38461538461538464</v>
      </c>
    </row>
    <row r="434" spans="1:68" ht="27" hidden="1" customHeight="1" x14ac:dyDescent="0.25">
      <c r="A434" s="60" t="s">
        <v>685</v>
      </c>
      <c r="B434" s="60" t="s">
        <v>686</v>
      </c>
      <c r="C434" s="34">
        <v>4301012125</v>
      </c>
      <c r="D434" s="555">
        <v>4680115886391</v>
      </c>
      <c r="E434" s="555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5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7"/>
      <c r="R434" s="557"/>
      <c r="S434" s="557"/>
      <c r="T434" s="558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hidden="1" customHeight="1" x14ac:dyDescent="0.25">
      <c r="A435" s="60" t="s">
        <v>687</v>
      </c>
      <c r="B435" s="60" t="s">
        <v>688</v>
      </c>
      <c r="C435" s="34">
        <v>4301012035</v>
      </c>
      <c r="D435" s="555">
        <v>4680115880603</v>
      </c>
      <c r="E435" s="555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7"/>
      <c r="R435" s="557"/>
      <c r="S435" s="557"/>
      <c r="T435" s="558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hidden="1" customHeight="1" x14ac:dyDescent="0.25">
      <c r="A436" s="60" t="s">
        <v>689</v>
      </c>
      <c r="B436" s="60" t="s">
        <v>690</v>
      </c>
      <c r="C436" s="34">
        <v>4301012036</v>
      </c>
      <c r="D436" s="555">
        <v>4680115882782</v>
      </c>
      <c r="E436" s="555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5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7"/>
      <c r="R436" s="557"/>
      <c r="S436" s="557"/>
      <c r="T436" s="558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hidden="1" customHeight="1" x14ac:dyDescent="0.25">
      <c r="A437" s="60" t="s">
        <v>691</v>
      </c>
      <c r="B437" s="60" t="s">
        <v>692</v>
      </c>
      <c r="C437" s="34">
        <v>4301012050</v>
      </c>
      <c r="D437" s="555">
        <v>4680115885479</v>
      </c>
      <c r="E437" s="55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7"/>
      <c r="R437" s="557"/>
      <c r="S437" s="557"/>
      <c r="T437" s="558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hidden="1" customHeight="1" x14ac:dyDescent="0.25">
      <c r="A438" s="60" t="s">
        <v>693</v>
      </c>
      <c r="B438" s="60" t="s">
        <v>694</v>
      </c>
      <c r="C438" s="34">
        <v>4301012034</v>
      </c>
      <c r="D438" s="555">
        <v>4607091389982</v>
      </c>
      <c r="E438" s="55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7"/>
      <c r="R438" s="557"/>
      <c r="S438" s="557"/>
      <c r="T438" s="558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55.999999999999993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56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0.66976000000000002</v>
      </c>
      <c r="AA439" s="64"/>
      <c r="AB439" s="64"/>
      <c r="AC439" s="64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59" t="s">
        <v>40</v>
      </c>
      <c r="Q440" s="560"/>
      <c r="R440" s="560"/>
      <c r="S440" s="560"/>
      <c r="T440" s="560"/>
      <c r="U440" s="560"/>
      <c r="V440" s="561"/>
      <c r="W440" s="40" t="s">
        <v>0</v>
      </c>
      <c r="X440" s="41">
        <f>IFERROR(SUM(X427:X438),"0")</f>
        <v>295.68</v>
      </c>
      <c r="Y440" s="41">
        <f>IFERROR(SUM(Y427:Y438),"0")</f>
        <v>295.68</v>
      </c>
      <c r="Z440" s="40"/>
      <c r="AA440" s="64"/>
      <c r="AB440" s="64"/>
      <c r="AC440" s="64"/>
    </row>
    <row r="441" spans="1:68" ht="14.25" hidden="1" customHeight="1" x14ac:dyDescent="0.25">
      <c r="A441" s="554" t="s">
        <v>147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555">
        <v>4607091388930</v>
      </c>
      <c r="E442" s="555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7"/>
      <c r="R442" s="557"/>
      <c r="S442" s="557"/>
      <c r="T442" s="558"/>
      <c r="U442" s="37" t="s">
        <v>45</v>
      </c>
      <c r="V442" s="37" t="s">
        <v>45</v>
      </c>
      <c r="W442" s="38" t="s">
        <v>0</v>
      </c>
      <c r="X442" s="56">
        <v>42.24</v>
      </c>
      <c r="Y442" s="53">
        <f>IFERROR(IF(X442="",0,CEILING((X442/$H442),1)*$H442),"")</f>
        <v>42.24</v>
      </c>
      <c r="Z442" s="39">
        <f>IFERROR(IF(Y442=0,"",ROUNDUP(Y442/H442,0)*0.01196),"")</f>
        <v>9.5680000000000001E-2</v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45.04</v>
      </c>
      <c r="BN442" s="75">
        <f>IFERROR(Y442*I442/H442,"0")</f>
        <v>45.04</v>
      </c>
      <c r="BO442" s="75">
        <f>IFERROR(1/J442*(X442/H442),"0")</f>
        <v>7.6923076923076927E-2</v>
      </c>
      <c r="BP442" s="75">
        <f>IFERROR(1/J442*(Y442/H442),"0")</f>
        <v>7.6923076923076927E-2</v>
      </c>
    </row>
    <row r="443" spans="1:68" ht="16.5" hidden="1" customHeight="1" x14ac:dyDescent="0.25">
      <c r="A443" s="60" t="s">
        <v>698</v>
      </c>
      <c r="B443" s="60" t="s">
        <v>699</v>
      </c>
      <c r="C443" s="34">
        <v>4301020374</v>
      </c>
      <c r="D443" s="555">
        <v>4680115886407</v>
      </c>
      <c r="E443" s="555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7"/>
      <c r="R443" s="557"/>
      <c r="S443" s="557"/>
      <c r="T443" s="558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700</v>
      </c>
      <c r="B444" s="60" t="s">
        <v>701</v>
      </c>
      <c r="C444" s="34">
        <v>4301020385</v>
      </c>
      <c r="D444" s="555">
        <v>4680115880054</v>
      </c>
      <c r="E444" s="555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7"/>
      <c r="R444" s="557"/>
      <c r="S444" s="557"/>
      <c r="T444" s="558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3"/>
      <c r="P445" s="559" t="s">
        <v>40</v>
      </c>
      <c r="Q445" s="560"/>
      <c r="R445" s="560"/>
      <c r="S445" s="560"/>
      <c r="T445" s="560"/>
      <c r="U445" s="560"/>
      <c r="V445" s="561"/>
      <c r="W445" s="40" t="s">
        <v>39</v>
      </c>
      <c r="X445" s="41">
        <f>IFERROR(X442/H442,"0")+IFERROR(X443/H443,"0")+IFERROR(X444/H444,"0")</f>
        <v>8</v>
      </c>
      <c r="Y445" s="41">
        <f>IFERROR(Y442/H442,"0")+IFERROR(Y443/H443,"0")+IFERROR(Y444/H444,"0")</f>
        <v>8</v>
      </c>
      <c r="Z445" s="41">
        <f>IFERROR(IF(Z442="",0,Z442),"0")+IFERROR(IF(Z443="",0,Z443),"0")+IFERROR(IF(Z444="",0,Z444),"0")</f>
        <v>9.5680000000000001E-2</v>
      </c>
      <c r="AA445" s="64"/>
      <c r="AB445" s="64"/>
      <c r="AC445" s="64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59" t="s">
        <v>40</v>
      </c>
      <c r="Q446" s="560"/>
      <c r="R446" s="560"/>
      <c r="S446" s="560"/>
      <c r="T446" s="560"/>
      <c r="U446" s="560"/>
      <c r="V446" s="561"/>
      <c r="W446" s="40" t="s">
        <v>0</v>
      </c>
      <c r="X446" s="41">
        <f>IFERROR(SUM(X442:X444),"0")</f>
        <v>42.24</v>
      </c>
      <c r="Y446" s="41">
        <f>IFERROR(SUM(Y442:Y444),"0")</f>
        <v>42.24</v>
      </c>
      <c r="Z446" s="40"/>
      <c r="AA446" s="64"/>
      <c r="AB446" s="64"/>
      <c r="AC446" s="64"/>
    </row>
    <row r="447" spans="1:68" ht="14.25" hidden="1" customHeight="1" x14ac:dyDescent="0.25">
      <c r="A447" s="554" t="s">
        <v>76</v>
      </c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555">
        <v>4680115883116</v>
      </c>
      <c r="E448" s="555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7"/>
      <c r="R448" s="557"/>
      <c r="S448" s="557"/>
      <c r="T448" s="558"/>
      <c r="U448" s="37" t="s">
        <v>45</v>
      </c>
      <c r="V448" s="37" t="s">
        <v>45</v>
      </c>
      <c r="W448" s="38" t="s">
        <v>0</v>
      </c>
      <c r="X448" s="56">
        <v>42.24</v>
      </c>
      <c r="Y448" s="53">
        <f t="shared" ref="Y448:Y454" si="54">IFERROR(IF(X448="",0,CEILING((X448/$H448),1)*$H448),"")</f>
        <v>42.24</v>
      </c>
      <c r="Z448" s="39">
        <f>IFERROR(IF(Y448=0,"",ROUNDUP(Y448/H448,0)*0.01196),"")</f>
        <v>9.5680000000000001E-2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45.04</v>
      </c>
      <c r="BN448" s="75">
        <f t="shared" ref="BN448:BN454" si="56">IFERROR(Y448*I448/H448,"0")</f>
        <v>45.04</v>
      </c>
      <c r="BO448" s="75">
        <f t="shared" ref="BO448:BO454" si="57">IFERROR(1/J448*(X448/H448),"0")</f>
        <v>7.6923076923076927E-2</v>
      </c>
      <c r="BP448" s="75">
        <f t="shared" ref="BP448:BP454" si="58">IFERROR(1/J448*(Y448/H448),"0")</f>
        <v>7.6923076923076927E-2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555">
        <v>4680115883093</v>
      </c>
      <c r="E449" s="555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7"/>
      <c r="R449" s="557"/>
      <c r="S449" s="557"/>
      <c r="T449" s="558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555">
        <v>4680115883109</v>
      </c>
      <c r="E450" s="555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7"/>
      <c r="R450" s="557"/>
      <c r="S450" s="557"/>
      <c r="T450" s="558"/>
      <c r="U450" s="37" t="s">
        <v>45</v>
      </c>
      <c r="V450" s="37" t="s">
        <v>45</v>
      </c>
      <c r="W450" s="38" t="s">
        <v>0</v>
      </c>
      <c r="X450" s="56">
        <v>84.48</v>
      </c>
      <c r="Y450" s="53">
        <f t="shared" si="54"/>
        <v>84.48</v>
      </c>
      <c r="Z450" s="39">
        <f>IFERROR(IF(Y450=0,"",ROUNDUP(Y450/H450,0)*0.01196),"")</f>
        <v>0.19136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90.08</v>
      </c>
      <c r="BN450" s="75">
        <f t="shared" si="56"/>
        <v>90.08</v>
      </c>
      <c r="BO450" s="75">
        <f t="shared" si="57"/>
        <v>0.15384615384615385</v>
      </c>
      <c r="BP450" s="75">
        <f t="shared" si="58"/>
        <v>0.15384615384615385</v>
      </c>
    </row>
    <row r="451" spans="1:68" ht="27" hidden="1" customHeight="1" x14ac:dyDescent="0.25">
      <c r="A451" s="60" t="s">
        <v>711</v>
      </c>
      <c r="B451" s="60" t="s">
        <v>712</v>
      </c>
      <c r="C451" s="34">
        <v>4301031419</v>
      </c>
      <c r="D451" s="555">
        <v>4680115882072</v>
      </c>
      <c r="E451" s="555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7"/>
      <c r="R451" s="557"/>
      <c r="S451" s="557"/>
      <c r="T451" s="558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hidden="1" customHeight="1" x14ac:dyDescent="0.25">
      <c r="A452" s="60" t="s">
        <v>713</v>
      </c>
      <c r="B452" s="60" t="s">
        <v>714</v>
      </c>
      <c r="C452" s="34">
        <v>4301031352</v>
      </c>
      <c r="D452" s="555">
        <v>4680115882102</v>
      </c>
      <c r="E452" s="555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578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57"/>
      <c r="R452" s="557"/>
      <c r="S452" s="557"/>
      <c r="T452" s="558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hidden="1" customHeight="1" x14ac:dyDescent="0.25">
      <c r="A453" s="60" t="s">
        <v>713</v>
      </c>
      <c r="B453" s="60" t="s">
        <v>715</v>
      </c>
      <c r="C453" s="34">
        <v>4301031418</v>
      </c>
      <c r="D453" s="555">
        <v>4680115882102</v>
      </c>
      <c r="E453" s="555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hidden="1" customHeight="1" x14ac:dyDescent="0.25">
      <c r="A454" s="60" t="s">
        <v>716</v>
      </c>
      <c r="B454" s="60" t="s">
        <v>717</v>
      </c>
      <c r="C454" s="34">
        <v>4301031417</v>
      </c>
      <c r="D454" s="555">
        <v>4680115882096</v>
      </c>
      <c r="E454" s="555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59" t="s">
        <v>40</v>
      </c>
      <c r="Q455" s="560"/>
      <c r="R455" s="560"/>
      <c r="S455" s="560"/>
      <c r="T455" s="560"/>
      <c r="U455" s="560"/>
      <c r="V455" s="561"/>
      <c r="W455" s="40" t="s">
        <v>39</v>
      </c>
      <c r="X455" s="41">
        <f>IFERROR(X448/H448,"0")+IFERROR(X449/H449,"0")+IFERROR(X450/H450,"0")+IFERROR(X451/H451,"0")+IFERROR(X452/H452,"0")+IFERROR(X453/H453,"0")+IFERROR(X454/H454,"0")</f>
        <v>40</v>
      </c>
      <c r="Y455" s="41">
        <f>IFERROR(Y448/H448,"0")+IFERROR(Y449/H449,"0")+IFERROR(Y450/H450,"0")+IFERROR(Y451/H451,"0")+IFERROR(Y452/H452,"0")+IFERROR(Y453/H453,"0")+IFERROR(Y454/H454,"0")</f>
        <v>40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0.47840000000000005</v>
      </c>
      <c r="AA455" s="64"/>
      <c r="AB455" s="64"/>
      <c r="AC455" s="64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59" t="s">
        <v>40</v>
      </c>
      <c r="Q456" s="560"/>
      <c r="R456" s="560"/>
      <c r="S456" s="560"/>
      <c r="T456" s="560"/>
      <c r="U456" s="560"/>
      <c r="V456" s="561"/>
      <c r="W456" s="40" t="s">
        <v>0</v>
      </c>
      <c r="X456" s="41">
        <f>IFERROR(SUM(X448:X454),"0")</f>
        <v>211.2</v>
      </c>
      <c r="Y456" s="41">
        <f>IFERROR(SUM(Y448:Y454),"0")</f>
        <v>211.2</v>
      </c>
      <c r="Z456" s="40"/>
      <c r="AA456" s="64"/>
      <c r="AB456" s="64"/>
      <c r="AC456" s="64"/>
    </row>
    <row r="457" spans="1:68" ht="27.75" hidden="1" customHeight="1" x14ac:dyDescent="0.2">
      <c r="A457" s="574" t="s">
        <v>718</v>
      </c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  <c r="Z457" s="574"/>
      <c r="AA457" s="52"/>
      <c r="AB457" s="52"/>
      <c r="AC457" s="52"/>
    </row>
    <row r="458" spans="1:68" ht="16.5" hidden="1" customHeight="1" x14ac:dyDescent="0.25">
      <c r="A458" s="553" t="s">
        <v>718</v>
      </c>
      <c r="B458" s="553"/>
      <c r="C458" s="553"/>
      <c r="D458" s="553"/>
      <c r="E458" s="553"/>
      <c r="F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3"/>
      <c r="R458" s="553"/>
      <c r="S458" s="553"/>
      <c r="T458" s="553"/>
      <c r="U458" s="553"/>
      <c r="V458" s="553"/>
      <c r="W458" s="553"/>
      <c r="X458" s="553"/>
      <c r="Y458" s="553"/>
      <c r="Z458" s="553"/>
      <c r="AA458" s="62"/>
      <c r="AB458" s="62"/>
      <c r="AC458" s="62"/>
    </row>
    <row r="459" spans="1:68" ht="14.25" hidden="1" customHeight="1" x14ac:dyDescent="0.25">
      <c r="A459" s="554" t="s">
        <v>114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63"/>
      <c r="AB459" s="63"/>
      <c r="AC459" s="63"/>
    </row>
    <row r="460" spans="1:68" ht="27" hidden="1" customHeight="1" x14ac:dyDescent="0.25">
      <c r="A460" s="60" t="s">
        <v>719</v>
      </c>
      <c r="B460" s="60" t="s">
        <v>720</v>
      </c>
      <c r="C460" s="34">
        <v>4301011763</v>
      </c>
      <c r="D460" s="555">
        <v>4640242181011</v>
      </c>
      <c r="E460" s="555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7"/>
      <c r="R460" s="557"/>
      <c r="S460" s="557"/>
      <c r="T460" s="558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722</v>
      </c>
      <c r="B461" s="60" t="s">
        <v>723</v>
      </c>
      <c r="C461" s="34">
        <v>4301011585</v>
      </c>
      <c r="D461" s="555">
        <v>4640242180441</v>
      </c>
      <c r="E461" s="555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7"/>
      <c r="R461" s="557"/>
      <c r="S461" s="557"/>
      <c r="T461" s="558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725</v>
      </c>
      <c r="B462" s="60" t="s">
        <v>726</v>
      </c>
      <c r="C462" s="34">
        <v>4301011584</v>
      </c>
      <c r="D462" s="555">
        <v>4640242180564</v>
      </c>
      <c r="E462" s="555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5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7"/>
      <c r="R462" s="557"/>
      <c r="S462" s="557"/>
      <c r="T462" s="558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728</v>
      </c>
      <c r="B463" s="60" t="s">
        <v>729</v>
      </c>
      <c r="C463" s="34">
        <v>4301011764</v>
      </c>
      <c r="D463" s="555">
        <v>4640242181189</v>
      </c>
      <c r="E463" s="555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7"/>
      <c r="R463" s="557"/>
      <c r="S463" s="557"/>
      <c r="T463" s="558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3"/>
      <c r="P464" s="559" t="s">
        <v>40</v>
      </c>
      <c r="Q464" s="560"/>
      <c r="R464" s="560"/>
      <c r="S464" s="560"/>
      <c r="T464" s="560"/>
      <c r="U464" s="560"/>
      <c r="V464" s="561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3"/>
      <c r="P465" s="559" t="s">
        <v>40</v>
      </c>
      <c r="Q465" s="560"/>
      <c r="R465" s="560"/>
      <c r="S465" s="560"/>
      <c r="T465" s="560"/>
      <c r="U465" s="560"/>
      <c r="V465" s="561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554" t="s">
        <v>147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63"/>
      <c r="AB466" s="63"/>
      <c r="AC466" s="63"/>
    </row>
    <row r="467" spans="1:68" ht="27" hidden="1" customHeight="1" x14ac:dyDescent="0.25">
      <c r="A467" s="60" t="s">
        <v>730</v>
      </c>
      <c r="B467" s="60" t="s">
        <v>731</v>
      </c>
      <c r="C467" s="34">
        <v>4301020400</v>
      </c>
      <c r="D467" s="555">
        <v>4640242180519</v>
      </c>
      <c r="E467" s="55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7"/>
      <c r="R467" s="557"/>
      <c r="S467" s="557"/>
      <c r="T467" s="558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hidden="1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hidden="1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3"/>
      <c r="AB470" s="63"/>
      <c r="AC470" s="63"/>
    </row>
    <row r="471" spans="1:68" ht="27" hidden="1" customHeight="1" x14ac:dyDescent="0.25">
      <c r="A471" s="60" t="s">
        <v>733</v>
      </c>
      <c r="B471" s="60" t="s">
        <v>734</v>
      </c>
      <c r="C471" s="34">
        <v>4301031467</v>
      </c>
      <c r="D471" s="555">
        <v>4640242180595</v>
      </c>
      <c r="E471" s="555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7"/>
      <c r="R471" s="557"/>
      <c r="S471" s="557"/>
      <c r="T471" s="558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3"/>
      <c r="P472" s="559" t="s">
        <v>40</v>
      </c>
      <c r="Q472" s="560"/>
      <c r="R472" s="560"/>
      <c r="S472" s="560"/>
      <c r="T472" s="560"/>
      <c r="U472" s="560"/>
      <c r="V472" s="561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hidden="1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554" t="s">
        <v>86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63"/>
      <c r="AB474" s="63"/>
      <c r="AC474" s="63"/>
    </row>
    <row r="475" spans="1:68" ht="27" hidden="1" customHeight="1" x14ac:dyDescent="0.25">
      <c r="A475" s="60" t="s">
        <v>736</v>
      </c>
      <c r="B475" s="60" t="s">
        <v>737</v>
      </c>
      <c r="C475" s="34">
        <v>4301052046</v>
      </c>
      <c r="D475" s="555">
        <v>4640242180533</v>
      </c>
      <c r="E475" s="555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5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7"/>
      <c r="R475" s="557"/>
      <c r="S475" s="557"/>
      <c r="T475" s="558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3"/>
      <c r="P476" s="559" t="s">
        <v>40</v>
      </c>
      <c r="Q476" s="560"/>
      <c r="R476" s="560"/>
      <c r="S476" s="560"/>
      <c r="T476" s="560"/>
      <c r="U476" s="560"/>
      <c r="V476" s="561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554" t="s">
        <v>173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63"/>
      <c r="AB478" s="63"/>
      <c r="AC478" s="63"/>
    </row>
    <row r="479" spans="1:68" ht="27" hidden="1" customHeight="1" x14ac:dyDescent="0.25">
      <c r="A479" s="60" t="s">
        <v>739</v>
      </c>
      <c r="B479" s="60" t="s">
        <v>740</v>
      </c>
      <c r="C479" s="34">
        <v>4301060491</v>
      </c>
      <c r="D479" s="555">
        <v>4640242180120</v>
      </c>
      <c r="E479" s="555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7"/>
      <c r="R479" s="557"/>
      <c r="S479" s="557"/>
      <c r="T479" s="558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742</v>
      </c>
      <c r="B480" s="60" t="s">
        <v>743</v>
      </c>
      <c r="C480" s="34">
        <v>4301060493</v>
      </c>
      <c r="D480" s="555">
        <v>4640242180137</v>
      </c>
      <c r="E480" s="555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7"/>
      <c r="R480" s="557"/>
      <c r="S480" s="557"/>
      <c r="T480" s="558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59" t="s">
        <v>40</v>
      </c>
      <c r="Q481" s="560"/>
      <c r="R481" s="560"/>
      <c r="S481" s="560"/>
      <c r="T481" s="560"/>
      <c r="U481" s="560"/>
      <c r="V481" s="56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553" t="s">
        <v>745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62"/>
      <c r="AB483" s="62"/>
      <c r="AC483" s="62"/>
    </row>
    <row r="484" spans="1:68" ht="14.25" hidden="1" customHeight="1" x14ac:dyDescent="0.25">
      <c r="A484" s="554" t="s">
        <v>147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63"/>
      <c r="AB484" s="63"/>
      <c r="AC484" s="63"/>
    </row>
    <row r="485" spans="1:68" ht="27" hidden="1" customHeight="1" x14ac:dyDescent="0.25">
      <c r="A485" s="60" t="s">
        <v>746</v>
      </c>
      <c r="B485" s="60" t="s">
        <v>747</v>
      </c>
      <c r="C485" s="34">
        <v>4301020314</v>
      </c>
      <c r="D485" s="555">
        <v>4640242180090</v>
      </c>
      <c r="E485" s="555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7"/>
      <c r="R485" s="557"/>
      <c r="S485" s="557"/>
      <c r="T485" s="558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59" t="s">
        <v>40</v>
      </c>
      <c r="Q486" s="560"/>
      <c r="R486" s="560"/>
      <c r="S486" s="560"/>
      <c r="T486" s="560"/>
      <c r="U486" s="560"/>
      <c r="V486" s="56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7"/>
      <c r="P488" s="564" t="s">
        <v>33</v>
      </c>
      <c r="Q488" s="565"/>
      <c r="R488" s="565"/>
      <c r="S488" s="565"/>
      <c r="T488" s="565"/>
      <c r="U488" s="565"/>
      <c r="V488" s="5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6315.92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6315.9200000000019</v>
      </c>
      <c r="Z488" s="40"/>
      <c r="AA488" s="64"/>
      <c r="AB488" s="64"/>
      <c r="AC488" s="64"/>
    </row>
    <row r="489" spans="1:68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34</v>
      </c>
      <c r="Q489" s="565"/>
      <c r="R489" s="565"/>
      <c r="S489" s="565"/>
      <c r="T489" s="565"/>
      <c r="U489" s="565"/>
      <c r="V489" s="566"/>
      <c r="W489" s="40" t="s">
        <v>0</v>
      </c>
      <c r="X489" s="41">
        <f>IFERROR(SUM(BM22:BM485),"0")</f>
        <v>6629.4120000000003</v>
      </c>
      <c r="Y489" s="41">
        <f>IFERROR(SUM(BN22:BN485),"0")</f>
        <v>6629.4120000000003</v>
      </c>
      <c r="Z489" s="40"/>
      <c r="AA489" s="64"/>
      <c r="AB489" s="64"/>
      <c r="AC489" s="64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35</v>
      </c>
      <c r="Q490" s="565"/>
      <c r="R490" s="565"/>
      <c r="S490" s="565"/>
      <c r="T490" s="565"/>
      <c r="U490" s="565"/>
      <c r="V490" s="566"/>
      <c r="W490" s="40" t="s">
        <v>20</v>
      </c>
      <c r="X490" s="42">
        <f>ROUNDUP(SUM(BO22:BO485),0)</f>
        <v>11</v>
      </c>
      <c r="Y490" s="42">
        <f>ROUNDUP(SUM(BP22:BP485),0)</f>
        <v>11</v>
      </c>
      <c r="Z490" s="40"/>
      <c r="AA490" s="64"/>
      <c r="AB490" s="64"/>
      <c r="AC490" s="64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36</v>
      </c>
      <c r="Q491" s="565"/>
      <c r="R491" s="565"/>
      <c r="S491" s="565"/>
      <c r="T491" s="565"/>
      <c r="U491" s="565"/>
      <c r="V491" s="566"/>
      <c r="W491" s="40" t="s">
        <v>0</v>
      </c>
      <c r="X491" s="41">
        <f>GrossWeightTotal+PalletQtyTotal*25</f>
        <v>6904.4120000000003</v>
      </c>
      <c r="Y491" s="41">
        <f>GrossWeightTotalR+PalletQtyTotalR*25</f>
        <v>6904.4120000000003</v>
      </c>
      <c r="Z491" s="40"/>
      <c r="AA491" s="64"/>
      <c r="AB491" s="64"/>
      <c r="AC491" s="64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37</v>
      </c>
      <c r="Q492" s="565"/>
      <c r="R492" s="565"/>
      <c r="S492" s="565"/>
      <c r="T492" s="565"/>
      <c r="U492" s="565"/>
      <c r="V492" s="5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940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940</v>
      </c>
      <c r="Z492" s="40"/>
      <c r="AA492" s="64"/>
      <c r="AB492" s="64"/>
      <c r="AC492" s="64"/>
    </row>
    <row r="493" spans="1:68" ht="14.25" hidden="1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38</v>
      </c>
      <c r="Q493" s="565"/>
      <c r="R493" s="565"/>
      <c r="S493" s="565"/>
      <c r="T493" s="565"/>
      <c r="U493" s="565"/>
      <c r="V493" s="5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12.47776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549" t="s">
        <v>112</v>
      </c>
      <c r="D495" s="549" t="s">
        <v>112</v>
      </c>
      <c r="E495" s="549" t="s">
        <v>112</v>
      </c>
      <c r="F495" s="549" t="s">
        <v>112</v>
      </c>
      <c r="G495" s="549" t="s">
        <v>112</v>
      </c>
      <c r="H495" s="549" t="s">
        <v>112</v>
      </c>
      <c r="I495" s="549" t="s">
        <v>275</v>
      </c>
      <c r="J495" s="549" t="s">
        <v>275</v>
      </c>
      <c r="K495" s="549" t="s">
        <v>275</v>
      </c>
      <c r="L495" s="549" t="s">
        <v>275</v>
      </c>
      <c r="M495" s="549" t="s">
        <v>275</v>
      </c>
      <c r="N495" s="550"/>
      <c r="O495" s="549" t="s">
        <v>275</v>
      </c>
      <c r="P495" s="549" t="s">
        <v>275</v>
      </c>
      <c r="Q495" s="549" t="s">
        <v>275</v>
      </c>
      <c r="R495" s="549" t="s">
        <v>275</v>
      </c>
      <c r="S495" s="549" t="s">
        <v>565</v>
      </c>
      <c r="T495" s="549" t="s">
        <v>565</v>
      </c>
      <c r="U495" s="549" t="s">
        <v>618</v>
      </c>
      <c r="V495" s="549" t="s">
        <v>618</v>
      </c>
      <c r="W495" s="549" t="s">
        <v>618</v>
      </c>
      <c r="X495" s="80" t="s">
        <v>666</v>
      </c>
      <c r="Y495" s="549" t="s">
        <v>718</v>
      </c>
      <c r="Z495" s="549" t="s">
        <v>718</v>
      </c>
      <c r="AB495" s="9"/>
      <c r="AC495" s="9"/>
      <c r="AF495" s="1"/>
    </row>
    <row r="496" spans="1:68" ht="14.25" customHeight="1" thickTop="1" x14ac:dyDescent="0.2">
      <c r="A496" s="551" t="s">
        <v>10</v>
      </c>
      <c r="B496" s="549" t="s">
        <v>75</v>
      </c>
      <c r="C496" s="549" t="s">
        <v>113</v>
      </c>
      <c r="D496" s="549" t="s">
        <v>128</v>
      </c>
      <c r="E496" s="549" t="s">
        <v>180</v>
      </c>
      <c r="F496" s="549" t="s">
        <v>201</v>
      </c>
      <c r="G496" s="549" t="s">
        <v>238</v>
      </c>
      <c r="H496" s="549" t="s">
        <v>112</v>
      </c>
      <c r="I496" s="549" t="s">
        <v>276</v>
      </c>
      <c r="J496" s="549" t="s">
        <v>334</v>
      </c>
      <c r="K496" s="549" t="s">
        <v>393</v>
      </c>
      <c r="L496" s="549" t="s">
        <v>432</v>
      </c>
      <c r="M496" s="549" t="s">
        <v>448</v>
      </c>
      <c r="N496" s="1"/>
      <c r="O496" s="549" t="s">
        <v>459</v>
      </c>
      <c r="P496" s="549" t="s">
        <v>468</v>
      </c>
      <c r="Q496" s="549" t="s">
        <v>481</v>
      </c>
      <c r="R496" s="549" t="s">
        <v>555</v>
      </c>
      <c r="S496" s="549" t="s">
        <v>566</v>
      </c>
      <c r="T496" s="549" t="s">
        <v>602</v>
      </c>
      <c r="U496" s="549" t="s">
        <v>619</v>
      </c>
      <c r="V496" s="549" t="s">
        <v>650</v>
      </c>
      <c r="W496" s="549" t="s">
        <v>662</v>
      </c>
      <c r="X496" s="549" t="s">
        <v>666</v>
      </c>
      <c r="Y496" s="549" t="s">
        <v>718</v>
      </c>
      <c r="Z496" s="549" t="s">
        <v>745</v>
      </c>
      <c r="AB496" s="9"/>
      <c r="AC496" s="9"/>
      <c r="AF496" s="1"/>
    </row>
    <row r="497" spans="1:32" ht="13.5" thickBot="1" x14ac:dyDescent="0.25">
      <c r="A497" s="552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1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518.40000000000009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560</v>
      </c>
      <c r="E498" s="50">
        <f>IFERROR(Y86*1,"0")+IFERROR(Y87*1,"0")+IFERROR(Y88*1,"0")+IFERROR(Y89*1,"0")+IFERROR(Y93*1,"0")+IFERROR(Y94*1,"0")+IFERROR(Y95*1,"0")+IFERROR(Y96*1,"0")</f>
        <v>491.40000000000003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626.4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415.8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981.60000000000014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86.399999999999991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710.40000000000009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1062</v>
      </c>
      <c r="T498" s="50">
        <f>IFERROR(Y375*1,"0")+IFERROR(Y376*1,"0")+IFERROR(Y380*1,"0")+IFERROR(Y384*1,"0")+IFERROR(Y385*1,"0")+IFERROR(Y386*1,"0")</f>
        <v>249.6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549.12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8,00"/>
        <filter val="11"/>
        <filter val="115,20"/>
        <filter val="120,00"/>
        <filter val="124,00"/>
        <filter val="124,80"/>
        <filter val="126,00"/>
        <filter val="129,60"/>
        <filter val="139,20"/>
        <filter val="16,00"/>
        <filter val="172,80"/>
        <filter val="194,40"/>
        <filter val="211,20"/>
        <filter val="232,20"/>
        <filter val="24,00"/>
        <filter val="240,00"/>
        <filter val="252,00"/>
        <filter val="259,20"/>
        <filter val="262,40"/>
        <filter val="268,80"/>
        <filter val="270,00"/>
        <filter val="28,80"/>
        <filter val="295,68"/>
        <filter val="32,00"/>
        <filter val="36,00"/>
        <filter val="360,00"/>
        <filter val="37,80"/>
        <filter val="374,40"/>
        <filter val="38,00"/>
        <filter val="398,40"/>
        <filter val="40,00"/>
        <filter val="415,80"/>
        <filter val="42,24"/>
        <filter val="432,00"/>
        <filter val="48,00"/>
        <filter val="50,40"/>
        <filter val="518,40"/>
        <filter val="56,00"/>
        <filter val="57,60"/>
        <filter val="58,00"/>
        <filter val="583,20"/>
        <filter val="6 315,92"/>
        <filter val="6 629,41"/>
        <filter val="6 904,41"/>
        <filter val="64,80"/>
        <filter val="67,20"/>
        <filter val="710,40"/>
        <filter val="72,00"/>
        <filter val="75,60"/>
        <filter val="8,00"/>
        <filter val="84,48"/>
        <filter val="86,40"/>
        <filter val="870,00"/>
        <filter val="88,00"/>
        <filter val="89,60"/>
        <filter val="940,00"/>
      </filters>
    </filterColumn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A8:N10">
    <cfRule type="expression" dxfId="5" priority="5" stopIfTrue="1">
      <formula>IF($V$5="самовывоз",1,0)</formula>
    </cfRule>
  </conditionalFormatting>
  <conditionalFormatting sqref="P6:R6 P5">
    <cfRule type="expression" dxfId="4" priority="4" stopIfTrue="1">
      <formula>IF($V$5="доставка",1,0)</formula>
    </cfRule>
  </conditionalFormatting>
  <conditionalFormatting sqref="P8">
    <cfRule type="expression" dxfId="3" priority="3" stopIfTrue="1">
      <formula>IF($V$5="доставка",1,0)</formula>
    </cfRule>
  </conditionalFormatting>
  <conditionalFormatting sqref="P9:R13">
    <cfRule type="expression" dxfId="2" priority="16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2026-08-27T13:17:36Z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