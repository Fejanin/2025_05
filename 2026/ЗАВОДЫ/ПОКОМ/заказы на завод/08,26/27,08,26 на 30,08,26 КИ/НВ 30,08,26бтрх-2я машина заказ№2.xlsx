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F923F0-55EF-42AD-9FD8-FDE77D664A1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Y477" i="2" s="1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BP454" i="2" s="1"/>
  <c r="P454" i="2"/>
  <c r="BO453" i="2"/>
  <c r="BM453" i="2"/>
  <c r="Y453" i="2"/>
  <c r="Y455" i="2" s="1"/>
  <c r="P453" i="2"/>
  <c r="X450" i="2"/>
  <c r="X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S562" i="2" s="1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Y242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M165" i="2"/>
  <c r="Y165" i="2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P56" i="2" s="1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P231" i="2" l="1"/>
  <c r="Z109" i="2"/>
  <c r="BN109" i="2"/>
  <c r="Z338" i="2"/>
  <c r="Z60" i="2"/>
  <c r="BN60" i="2"/>
  <c r="BP280" i="2"/>
  <c r="Z392" i="2"/>
  <c r="Z37" i="2"/>
  <c r="BN37" i="2"/>
  <c r="Z93" i="2"/>
  <c r="BN93" i="2"/>
  <c r="Z219" i="2"/>
  <c r="Z265" i="2"/>
  <c r="BN265" i="2"/>
  <c r="BP301" i="2"/>
  <c r="Z368" i="2"/>
  <c r="BN368" i="2"/>
  <c r="Z431" i="2"/>
  <c r="Z509" i="2"/>
  <c r="Z49" i="2"/>
  <c r="BN49" i="2"/>
  <c r="Y80" i="2"/>
  <c r="Z136" i="2"/>
  <c r="Z176" i="2"/>
  <c r="BN176" i="2"/>
  <c r="Z177" i="2"/>
  <c r="BN177" i="2"/>
  <c r="Z194" i="2"/>
  <c r="Z195" i="2" s="1"/>
  <c r="Y195" i="2"/>
  <c r="Z205" i="2"/>
  <c r="BN205" i="2"/>
  <c r="Z226" i="2"/>
  <c r="BN226" i="2"/>
  <c r="BP270" i="2"/>
  <c r="Y305" i="2"/>
  <c r="Z322" i="2"/>
  <c r="BN322" i="2"/>
  <c r="BP360" i="2"/>
  <c r="Z378" i="2"/>
  <c r="BN378" i="2"/>
  <c r="BP498" i="2"/>
  <c r="X554" i="2"/>
  <c r="X553" i="2"/>
  <c r="Z27" i="2"/>
  <c r="BN27" i="2"/>
  <c r="BP41" i="2"/>
  <c r="Z56" i="2"/>
  <c r="BN56" i="2"/>
  <c r="Z65" i="2"/>
  <c r="Z66" i="2"/>
  <c r="BN66" i="2"/>
  <c r="Z85" i="2"/>
  <c r="BN85" i="2"/>
  <c r="Z99" i="2"/>
  <c r="BN99" i="2"/>
  <c r="Z104" i="2"/>
  <c r="BN104" i="2"/>
  <c r="Y113" i="2"/>
  <c r="Z117" i="2"/>
  <c r="Y124" i="2"/>
  <c r="Z151" i="2"/>
  <c r="Y166" i="2"/>
  <c r="Z180" i="2"/>
  <c r="BP237" i="2"/>
  <c r="Z245" i="2"/>
  <c r="BN245" i="2"/>
  <c r="Z268" i="2"/>
  <c r="BN268" i="2"/>
  <c r="Z278" i="2"/>
  <c r="BN278" i="2"/>
  <c r="Z299" i="2"/>
  <c r="BN299" i="2"/>
  <c r="Y313" i="2"/>
  <c r="BP324" i="2"/>
  <c r="Z341" i="2"/>
  <c r="BN341" i="2"/>
  <c r="Y365" i="2"/>
  <c r="Z363" i="2"/>
  <c r="BN363" i="2"/>
  <c r="BP370" i="2"/>
  <c r="Y381" i="2"/>
  <c r="BP380" i="2"/>
  <c r="Z472" i="2"/>
  <c r="Y492" i="2"/>
  <c r="Y493" i="2"/>
  <c r="Z516" i="2"/>
  <c r="BN516" i="2"/>
  <c r="Z544" i="2"/>
  <c r="Z545" i="2" s="1"/>
  <c r="BN38" i="2"/>
  <c r="BP38" i="2"/>
  <c r="Y43" i="2"/>
  <c r="BN50" i="2"/>
  <c r="BP50" i="2"/>
  <c r="BN59" i="2"/>
  <c r="BN61" i="2"/>
  <c r="BP61" i="2"/>
  <c r="Y62" i="2"/>
  <c r="Y74" i="2"/>
  <c r="Z72" i="2"/>
  <c r="BP100" i="2"/>
  <c r="BN100" i="2"/>
  <c r="Z100" i="2"/>
  <c r="BN108" i="2"/>
  <c r="BP110" i="2"/>
  <c r="BN110" i="2"/>
  <c r="Z110" i="2"/>
  <c r="BN118" i="2"/>
  <c r="BP118" i="2"/>
  <c r="BP119" i="2"/>
  <c r="Z119" i="2"/>
  <c r="BP152" i="2"/>
  <c r="Z152" i="2"/>
  <c r="BP154" i="2"/>
  <c r="BN154" i="2"/>
  <c r="Z154" i="2"/>
  <c r="BP175" i="2"/>
  <c r="BN175" i="2"/>
  <c r="Z175" i="2"/>
  <c r="BP181" i="2"/>
  <c r="BN181" i="2"/>
  <c r="Z181" i="2"/>
  <c r="BN190" i="2"/>
  <c r="BP190" i="2"/>
  <c r="BP204" i="2"/>
  <c r="BN204" i="2"/>
  <c r="Z204" i="2"/>
  <c r="BP220" i="2"/>
  <c r="Z220" i="2"/>
  <c r="BP222" i="2"/>
  <c r="BN222" i="2"/>
  <c r="Z222" i="2"/>
  <c r="BN227" i="2"/>
  <c r="BP227" i="2"/>
  <c r="BN22" i="2"/>
  <c r="Z23" i="2"/>
  <c r="Z28" i="2"/>
  <c r="Z32" i="2" s="1"/>
  <c r="BN30" i="2"/>
  <c r="BP30" i="2"/>
  <c r="Z40" i="2"/>
  <c r="D562" i="2"/>
  <c r="Z51" i="2"/>
  <c r="BN51" i="2"/>
  <c r="E562" i="2"/>
  <c r="Y69" i="2"/>
  <c r="BP65" i="2"/>
  <c r="BP83" i="2"/>
  <c r="BN83" i="2"/>
  <c r="Z83" i="2"/>
  <c r="BP90" i="2"/>
  <c r="BN91" i="2"/>
  <c r="Z91" i="2"/>
  <c r="BP103" i="2"/>
  <c r="Z103" i="2"/>
  <c r="Y114" i="2"/>
  <c r="BP116" i="2"/>
  <c r="BN116" i="2"/>
  <c r="Z116" i="2"/>
  <c r="BP137" i="2"/>
  <c r="BN137" i="2"/>
  <c r="Z137" i="2"/>
  <c r="BP142" i="2"/>
  <c r="BN142" i="2"/>
  <c r="Z142" i="2"/>
  <c r="BP143" i="2"/>
  <c r="BN143" i="2"/>
  <c r="Z143" i="2"/>
  <c r="BP165" i="2"/>
  <c r="BN165" i="2"/>
  <c r="Z165" i="2"/>
  <c r="Y172" i="2"/>
  <c r="BP169" i="2"/>
  <c r="Y186" i="2"/>
  <c r="BN206" i="2"/>
  <c r="BP206" i="2"/>
  <c r="Y212" i="2"/>
  <c r="BN207" i="2"/>
  <c r="BP209" i="2"/>
  <c r="BN209" i="2"/>
  <c r="Z209" i="2"/>
  <c r="BP225" i="2"/>
  <c r="BN225" i="2"/>
  <c r="Z225" i="2"/>
  <c r="BN84" i="2"/>
  <c r="BP84" i="2"/>
  <c r="BN128" i="2"/>
  <c r="Y145" i="2"/>
  <c r="BN141" i="2"/>
  <c r="BN153" i="2"/>
  <c r="BN170" i="2"/>
  <c r="BN182" i="2"/>
  <c r="BP182" i="2"/>
  <c r="BN183" i="2"/>
  <c r="BP183" i="2"/>
  <c r="Y196" i="2"/>
  <c r="BN210" i="2"/>
  <c r="BN221" i="2"/>
  <c r="BN232" i="2"/>
  <c r="BP232" i="2"/>
  <c r="BN271" i="2"/>
  <c r="BP271" i="2"/>
  <c r="BN285" i="2"/>
  <c r="BP285" i="2"/>
  <c r="BP228" i="2"/>
  <c r="Z230" i="2"/>
  <c r="BN230" i="2"/>
  <c r="Z236" i="2"/>
  <c r="BN236" i="2"/>
  <c r="BP236" i="2"/>
  <c r="Z238" i="2"/>
  <c r="BN238" i="2"/>
  <c r="Z240" i="2"/>
  <c r="BN240" i="2"/>
  <c r="Y241" i="2"/>
  <c r="Z246" i="2"/>
  <c r="BN246" i="2"/>
  <c r="BN255" i="2"/>
  <c r="BP255" i="2"/>
  <c r="Y257" i="2"/>
  <c r="BP260" i="2"/>
  <c r="Y263" i="2"/>
  <c r="Z269" i="2"/>
  <c r="BN269" i="2"/>
  <c r="Z279" i="2"/>
  <c r="BN279" i="2"/>
  <c r="Z283" i="2"/>
  <c r="BN283" i="2"/>
  <c r="BN284" i="2"/>
  <c r="Z286" i="2"/>
  <c r="Z291" i="2"/>
  <c r="Z293" i="2" s="1"/>
  <c r="BN291" i="2"/>
  <c r="BP297" i="2"/>
  <c r="Z300" i="2"/>
  <c r="BN300" i="2"/>
  <c r="Z302" i="2"/>
  <c r="BN302" i="2"/>
  <c r="BN311" i="2"/>
  <c r="BP311" i="2"/>
  <c r="Y312" i="2"/>
  <c r="Z316" i="2"/>
  <c r="BN316" i="2"/>
  <c r="Y327" i="2"/>
  <c r="Z323" i="2"/>
  <c r="BN323" i="2"/>
  <c r="Y328" i="2"/>
  <c r="BN346" i="2"/>
  <c r="BP346" i="2"/>
  <c r="Y356" i="2"/>
  <c r="BP385" i="2"/>
  <c r="BN405" i="2"/>
  <c r="BP405" i="2"/>
  <c r="BN418" i="2"/>
  <c r="BN426" i="2"/>
  <c r="BP426" i="2"/>
  <c r="BN427" i="2"/>
  <c r="BP427" i="2"/>
  <c r="BN430" i="2"/>
  <c r="Y444" i="2"/>
  <c r="Y445" i="2"/>
  <c r="BP448" i="2"/>
  <c r="Y449" i="2"/>
  <c r="Y450" i="2"/>
  <c r="Y460" i="2"/>
  <c r="BN464" i="2"/>
  <c r="BP464" i="2"/>
  <c r="BN472" i="2"/>
  <c r="BP474" i="2"/>
  <c r="BN501" i="2"/>
  <c r="BP501" i="2"/>
  <c r="BN502" i="2"/>
  <c r="BP502" i="2"/>
  <c r="BN503" i="2"/>
  <c r="Y523" i="2"/>
  <c r="BN535" i="2"/>
  <c r="BP535" i="2"/>
  <c r="Y536" i="2"/>
  <c r="Y537" i="2"/>
  <c r="BN549" i="2"/>
  <c r="BP549" i="2"/>
  <c r="Z333" i="2"/>
  <c r="BN333" i="2"/>
  <c r="Z339" i="2"/>
  <c r="BN339" i="2"/>
  <c r="Z340" i="2"/>
  <c r="BP342" i="2"/>
  <c r="Y343" i="2"/>
  <c r="Z352" i="2"/>
  <c r="Z355" i="2" s="1"/>
  <c r="BN352" i="2"/>
  <c r="BP352" i="2"/>
  <c r="BN353" i="2"/>
  <c r="BP353" i="2"/>
  <c r="BN354" i="2"/>
  <c r="BP354" i="2"/>
  <c r="Y355" i="2"/>
  <c r="Z359" i="2"/>
  <c r="BN359" i="2"/>
  <c r="BP359" i="2"/>
  <c r="Z369" i="2"/>
  <c r="BN369" i="2"/>
  <c r="BN373" i="2"/>
  <c r="BP373" i="2"/>
  <c r="Z379" i="2"/>
  <c r="BN379" i="2"/>
  <c r="Z385" i="2"/>
  <c r="BP386" i="2"/>
  <c r="BN390" i="2"/>
  <c r="BP390" i="2"/>
  <c r="Z393" i="2"/>
  <c r="Z394" i="2" s="1"/>
  <c r="BN397" i="2"/>
  <c r="Z411" i="2"/>
  <c r="BN411" i="2"/>
  <c r="Z428" i="2"/>
  <c r="BN429" i="2"/>
  <c r="BP431" i="2"/>
  <c r="BN436" i="2"/>
  <c r="BP436" i="2"/>
  <c r="BN441" i="2"/>
  <c r="BP441" i="2"/>
  <c r="BN442" i="2"/>
  <c r="BP442" i="2"/>
  <c r="BN443" i="2"/>
  <c r="Z447" i="2"/>
  <c r="BN447" i="2"/>
  <c r="Z454" i="2"/>
  <c r="BN454" i="2"/>
  <c r="Z471" i="2"/>
  <c r="BN471" i="2"/>
  <c r="BP473" i="2"/>
  <c r="BN489" i="2"/>
  <c r="BP489" i="2"/>
  <c r="BN490" i="2"/>
  <c r="BP490" i="2"/>
  <c r="BN491" i="2"/>
  <c r="Z497" i="2"/>
  <c r="BN497" i="2"/>
  <c r="BN511" i="2"/>
  <c r="BP511" i="2"/>
  <c r="Z517" i="2"/>
  <c r="BN517" i="2"/>
  <c r="BP518" i="2"/>
  <c r="BN521" i="2"/>
  <c r="BP521" i="2"/>
  <c r="Y529" i="2"/>
  <c r="Y541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BN298" i="2"/>
  <c r="Z298" i="2"/>
  <c r="BP410" i="2"/>
  <c r="BN410" i="2"/>
  <c r="Z410" i="2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60" i="2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73" i="2"/>
  <c r="Z498" i="2"/>
  <c r="Z518" i="2"/>
  <c r="BN544" i="2"/>
  <c r="BP527" i="2"/>
  <c r="BP539" i="2"/>
  <c r="Y551" i="2"/>
  <c r="BP174" i="2"/>
  <c r="BP416" i="2"/>
  <c r="AB562" i="2"/>
  <c r="Z512" i="2" l="1"/>
  <c r="Z120" i="2"/>
  <c r="Z241" i="2"/>
  <c r="Z131" i="2"/>
  <c r="Z74" i="2"/>
  <c r="Z262" i="2"/>
  <c r="Z52" i="2"/>
  <c r="X555" i="2"/>
  <c r="Z449" i="2"/>
  <c r="Z327" i="2"/>
  <c r="Z387" i="2"/>
  <c r="Z343" i="2"/>
  <c r="Z166" i="2"/>
  <c r="Z24" i="2"/>
  <c r="Z304" i="2"/>
  <c r="Z94" i="2"/>
  <c r="Z481" i="2"/>
  <c r="Z334" i="2"/>
  <c r="Z318" i="2"/>
  <c r="Z155" i="2"/>
  <c r="Z211" i="2"/>
  <c r="Z144" i="2"/>
  <c r="Z455" i="2"/>
  <c r="Z364" i="2"/>
  <c r="Z506" i="2"/>
  <c r="Y554" i="2"/>
  <c r="Y553" i="2"/>
  <c r="Z69" i="2"/>
  <c r="Z400" i="2"/>
  <c r="Z233" i="2"/>
  <c r="Z171" i="2"/>
  <c r="Z273" i="2"/>
  <c r="Z247" i="2"/>
  <c r="Z43" i="2"/>
  <c r="Z412" i="2"/>
  <c r="Z185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<sst xmlns="http://schemas.openxmlformats.org/spreadsheetml/2006/main" count="4236" uniqueCount="907">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</sst>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116" sqref="AA11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906</v>
      </c>
      <c r="I5" s="994"/>
      <c r="J5" s="994"/>
      <c r="K5" s="994"/>
      <c r="L5" s="994"/>
      <c r="M5" s="994"/>
      <c r="N5" s="72"/>
      <c r="P5" s="27" t="s">
        <v>4</v>
      </c>
      <c r="Q5" s="996">
        <v>46264</v>
      </c>
      <c r="R5" s="996"/>
      <c r="T5" s="997" t="s">
        <v>3</v>
      </c>
      <c r="U5" s="998"/>
      <c r="V5" s="999" t="s">
        <v>866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879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Воскресенье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5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2" t="s">
        <v>45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54"/>
      <c r="AB34" s="54"/>
      <c r="AC34" s="54"/>
    </row>
    <row r="35" spans="1:68" ht="16.5" hidden="1" customHeight="1" x14ac:dyDescent="0.25">
      <c r="A35" s="655" t="s">
        <v>103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"/>
      <c r="AB35" s="65"/>
      <c r="AC35" s="79"/>
    </row>
    <row r="36" spans="1:68" ht="14.25" hidden="1" customHeight="1" x14ac:dyDescent="0.25">
      <c r="A36" s="656" t="s">
        <v>85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1">
        <v>4680115889354</v>
      </c>
      <c r="E37" s="65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1">
        <v>4680115888463</v>
      </c>
      <c r="E38" s="65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1">
        <v>4680115889590</v>
      </c>
      <c r="E39" s="65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1">
        <v>4680115888494</v>
      </c>
      <c r="E40" s="65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3"/>
      <c r="R40" s="653"/>
      <c r="S40" s="653"/>
      <c r="T40" s="65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1">
        <v>4680115888272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1">
        <v>4680115888364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5"/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6"/>
      <c r="P43" s="642" t="s">
        <v>40</v>
      </c>
      <c r="Q43" s="643"/>
      <c r="R43" s="643"/>
      <c r="S43" s="643"/>
      <c r="T43" s="643"/>
      <c r="U43" s="643"/>
      <c r="V43" s="644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5"/>
      <c r="B44" s="645"/>
      <c r="C44" s="645"/>
      <c r="D44" s="645"/>
      <c r="E44" s="645"/>
      <c r="F44" s="645"/>
      <c r="G44" s="645"/>
      <c r="H44" s="645"/>
      <c r="I44" s="645"/>
      <c r="J44" s="645"/>
      <c r="K44" s="645"/>
      <c r="L44" s="645"/>
      <c r="M44" s="645"/>
      <c r="N44" s="645"/>
      <c r="O44" s="646"/>
      <c r="P44" s="642" t="s">
        <v>40</v>
      </c>
      <c r="Q44" s="643"/>
      <c r="R44" s="643"/>
      <c r="S44" s="643"/>
      <c r="T44" s="643"/>
      <c r="U44" s="643"/>
      <c r="V44" s="644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2" t="s">
        <v>121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54"/>
      <c r="AB45" s="54"/>
      <c r="AC45" s="54"/>
    </row>
    <row r="46" spans="1:68" ht="16.5" hidden="1" customHeight="1" x14ac:dyDescent="0.25">
      <c r="A46" s="655" t="s">
        <v>122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"/>
      <c r="AB46" s="65"/>
      <c r="AC46" s="79"/>
    </row>
    <row r="47" spans="1:68" ht="14.25" hidden="1" customHeight="1" x14ac:dyDescent="0.25">
      <c r="A47" s="656" t="s">
        <v>123</v>
      </c>
      <c r="B47" s="656"/>
      <c r="C47" s="656"/>
      <c r="D47" s="656"/>
      <c r="E47" s="656"/>
      <c r="F47" s="656"/>
      <c r="G47" s="656"/>
      <c r="H47" s="656"/>
      <c r="I47" s="656"/>
      <c r="J47" s="656"/>
      <c r="K47" s="656"/>
      <c r="L47" s="656"/>
      <c r="M47" s="656"/>
      <c r="N47" s="656"/>
      <c r="O47" s="656"/>
      <c r="P47" s="656"/>
      <c r="Q47" s="656"/>
      <c r="R47" s="656"/>
      <c r="S47" s="656"/>
      <c r="T47" s="656"/>
      <c r="U47" s="656"/>
      <c r="V47" s="656"/>
      <c r="W47" s="656"/>
      <c r="X47" s="656"/>
      <c r="Y47" s="656"/>
      <c r="Z47" s="656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1">
        <v>4607091385670</v>
      </c>
      <c r="E48" s="65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3"/>
      <c r="R48" s="653"/>
      <c r="S48" s="653"/>
      <c r="T48" s="65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1">
        <v>4680115887725</v>
      </c>
      <c r="E49" s="65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3"/>
      <c r="R49" s="653"/>
      <c r="S49" s="653"/>
      <c r="T49" s="65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1">
        <v>4607091385687</v>
      </c>
      <c r="E50" s="65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3"/>
      <c r="R50" s="653"/>
      <c r="S50" s="653"/>
      <c r="T50" s="65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1">
        <v>4680115882539</v>
      </c>
      <c r="E51" s="65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5"/>
      <c r="B52" s="645"/>
      <c r="C52" s="645"/>
      <c r="D52" s="645"/>
      <c r="E52" s="645"/>
      <c r="F52" s="645"/>
      <c r="G52" s="645"/>
      <c r="H52" s="645"/>
      <c r="I52" s="645"/>
      <c r="J52" s="645"/>
      <c r="K52" s="645"/>
      <c r="L52" s="645"/>
      <c r="M52" s="645"/>
      <c r="N52" s="645"/>
      <c r="O52" s="646"/>
      <c r="P52" s="642" t="s">
        <v>40</v>
      </c>
      <c r="Q52" s="643"/>
      <c r="R52" s="643"/>
      <c r="S52" s="643"/>
      <c r="T52" s="643"/>
      <c r="U52" s="643"/>
      <c r="V52" s="644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5"/>
      <c r="B53" s="645"/>
      <c r="C53" s="645"/>
      <c r="D53" s="645"/>
      <c r="E53" s="645"/>
      <c r="F53" s="645"/>
      <c r="G53" s="645"/>
      <c r="H53" s="645"/>
      <c r="I53" s="645"/>
      <c r="J53" s="645"/>
      <c r="K53" s="645"/>
      <c r="L53" s="645"/>
      <c r="M53" s="645"/>
      <c r="N53" s="645"/>
      <c r="O53" s="646"/>
      <c r="P53" s="642" t="s">
        <v>40</v>
      </c>
      <c r="Q53" s="643"/>
      <c r="R53" s="643"/>
      <c r="S53" s="643"/>
      <c r="T53" s="643"/>
      <c r="U53" s="643"/>
      <c r="V53" s="644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5" t="s">
        <v>138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"/>
      <c r="AB54" s="65"/>
      <c r="AC54" s="79"/>
    </row>
    <row r="55" spans="1:68" ht="14.25" hidden="1" customHeight="1" x14ac:dyDescent="0.25">
      <c r="A55" s="656" t="s">
        <v>123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656"/>
      <c r="N55" s="656"/>
      <c r="O55" s="656"/>
      <c r="P55" s="656"/>
      <c r="Q55" s="656"/>
      <c r="R55" s="656"/>
      <c r="S55" s="656"/>
      <c r="T55" s="656"/>
      <c r="U55" s="656"/>
      <c r="V55" s="656"/>
      <c r="W55" s="656"/>
      <c r="X55" s="656"/>
      <c r="Y55" s="656"/>
      <c r="Z55" s="656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1">
        <v>4680115885882</v>
      </c>
      <c r="E56" s="65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3"/>
      <c r="R56" s="653"/>
      <c r="S56" s="653"/>
      <c r="T56" s="65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1">
        <v>4680115881426</v>
      </c>
      <c r="E57" s="65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3"/>
      <c r="R57" s="653"/>
      <c r="S57" s="653"/>
      <c r="T57" s="65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1">
        <v>4680115880283</v>
      </c>
      <c r="E58" s="65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1">
        <v>4680115881525</v>
      </c>
      <c r="E59" s="65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1">
        <v>4680115885899</v>
      </c>
      <c r="E60" s="65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1">
        <v>4680115881419</v>
      </c>
      <c r="E61" s="65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5"/>
      <c r="B62" s="645"/>
      <c r="C62" s="645"/>
      <c r="D62" s="645"/>
      <c r="E62" s="645"/>
      <c r="F62" s="645"/>
      <c r="G62" s="645"/>
      <c r="H62" s="645"/>
      <c r="I62" s="645"/>
      <c r="J62" s="645"/>
      <c r="K62" s="645"/>
      <c r="L62" s="645"/>
      <c r="M62" s="645"/>
      <c r="N62" s="645"/>
      <c r="O62" s="646"/>
      <c r="P62" s="642" t="s">
        <v>40</v>
      </c>
      <c r="Q62" s="643"/>
      <c r="R62" s="643"/>
      <c r="S62" s="643"/>
      <c r="T62" s="643"/>
      <c r="U62" s="643"/>
      <c r="V62" s="644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5"/>
      <c r="B63" s="645"/>
      <c r="C63" s="645"/>
      <c r="D63" s="645"/>
      <c r="E63" s="645"/>
      <c r="F63" s="645"/>
      <c r="G63" s="645"/>
      <c r="H63" s="645"/>
      <c r="I63" s="645"/>
      <c r="J63" s="645"/>
      <c r="K63" s="645"/>
      <c r="L63" s="645"/>
      <c r="M63" s="645"/>
      <c r="N63" s="645"/>
      <c r="O63" s="646"/>
      <c r="P63" s="642" t="s">
        <v>40</v>
      </c>
      <c r="Q63" s="643"/>
      <c r="R63" s="643"/>
      <c r="S63" s="643"/>
      <c r="T63" s="643"/>
      <c r="U63" s="643"/>
      <c r="V63" s="644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6" t="s">
        <v>156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1">
        <v>4680115881440</v>
      </c>
      <c r="E65" s="65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1">
        <v>4680115885950</v>
      </c>
      <c r="E66" s="65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1">
        <v>4680115887688</v>
      </c>
      <c r="E67" s="65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3"/>
      <c r="R67" s="653"/>
      <c r="S67" s="653"/>
      <c r="T67" s="65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1">
        <v>4680115881433</v>
      </c>
      <c r="E68" s="65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3"/>
      <c r="R68" s="653"/>
      <c r="S68" s="653"/>
      <c r="T68" s="65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5"/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6"/>
      <c r="P69" s="642" t="s">
        <v>40</v>
      </c>
      <c r="Q69" s="643"/>
      <c r="R69" s="643"/>
      <c r="S69" s="643"/>
      <c r="T69" s="643"/>
      <c r="U69" s="643"/>
      <c r="V69" s="6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5"/>
      <c r="B70" s="645"/>
      <c r="C70" s="645"/>
      <c r="D70" s="645"/>
      <c r="E70" s="645"/>
      <c r="F70" s="645"/>
      <c r="G70" s="645"/>
      <c r="H70" s="645"/>
      <c r="I70" s="645"/>
      <c r="J70" s="645"/>
      <c r="K70" s="645"/>
      <c r="L70" s="645"/>
      <c r="M70" s="645"/>
      <c r="N70" s="645"/>
      <c r="O70" s="646"/>
      <c r="P70" s="642" t="s">
        <v>40</v>
      </c>
      <c r="Q70" s="643"/>
      <c r="R70" s="643"/>
      <c r="S70" s="643"/>
      <c r="T70" s="643"/>
      <c r="U70" s="643"/>
      <c r="V70" s="6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6" t="s">
        <v>85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1">
        <v>4680115884311</v>
      </c>
      <c r="E72" s="65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1">
        <v>4680115884403</v>
      </c>
      <c r="E73" s="65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173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1">
        <v>4680115881532</v>
      </c>
      <c r="E77" s="65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1">
        <v>4680115881464</v>
      </c>
      <c r="E78" s="65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5" t="s">
        <v>180</v>
      </c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"/>
      <c r="AB81" s="65"/>
      <c r="AC81" s="79"/>
    </row>
    <row r="82" spans="1:68" ht="14.25" hidden="1" customHeight="1" x14ac:dyDescent="0.25">
      <c r="A82" s="656" t="s">
        <v>123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1">
        <v>4680115881327</v>
      </c>
      <c r="E83" s="65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1">
        <v>4680115887732</v>
      </c>
      <c r="E84" s="65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3"/>
      <c r="R84" s="653"/>
      <c r="S84" s="653"/>
      <c r="T84" s="65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1">
        <v>4680115881518</v>
      </c>
      <c r="E85" s="65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8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3"/>
      <c r="R85" s="653"/>
      <c r="S85" s="653"/>
      <c r="T85" s="65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1">
        <v>4680115881303</v>
      </c>
      <c r="E86" s="65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89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3"/>
      <c r="R86" s="653"/>
      <c r="S86" s="653"/>
      <c r="T86" s="65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5"/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6"/>
      <c r="P87" s="642" t="s">
        <v>40</v>
      </c>
      <c r="Q87" s="643"/>
      <c r="R87" s="643"/>
      <c r="S87" s="643"/>
      <c r="T87" s="643"/>
      <c r="U87" s="643"/>
      <c r="V87" s="644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5"/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6"/>
      <c r="P88" s="642" t="s">
        <v>40</v>
      </c>
      <c r="Q88" s="643"/>
      <c r="R88" s="643"/>
      <c r="S88" s="643"/>
      <c r="T88" s="643"/>
      <c r="U88" s="643"/>
      <c r="V88" s="644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6" t="s">
        <v>85</v>
      </c>
      <c r="B89" s="656"/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656"/>
      <c r="Z89" s="656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1">
        <v>4607091386967</v>
      </c>
      <c r="E90" s="65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1">
        <v>4680115884953</v>
      </c>
      <c r="E91" s="65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1">
        <v>4607091385731</v>
      </c>
      <c r="E92" s="65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3"/>
      <c r="R92" s="653"/>
      <c r="S92" s="653"/>
      <c r="T92" s="654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1">
        <v>4680115880894</v>
      </c>
      <c r="E93" s="65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3"/>
      <c r="R93" s="653"/>
      <c r="S93" s="653"/>
      <c r="T93" s="65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5"/>
      <c r="B94" s="645"/>
      <c r="C94" s="645"/>
      <c r="D94" s="645"/>
      <c r="E94" s="645"/>
      <c r="F94" s="645"/>
      <c r="G94" s="645"/>
      <c r="H94" s="645"/>
      <c r="I94" s="645"/>
      <c r="J94" s="645"/>
      <c r="K94" s="645"/>
      <c r="L94" s="645"/>
      <c r="M94" s="645"/>
      <c r="N94" s="645"/>
      <c r="O94" s="646"/>
      <c r="P94" s="642" t="s">
        <v>40</v>
      </c>
      <c r="Q94" s="643"/>
      <c r="R94" s="643"/>
      <c r="S94" s="643"/>
      <c r="T94" s="643"/>
      <c r="U94" s="643"/>
      <c r="V94" s="644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5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42" t="s">
        <v>40</v>
      </c>
      <c r="Q95" s="643"/>
      <c r="R95" s="643"/>
      <c r="S95" s="643"/>
      <c r="T95" s="643"/>
      <c r="U95" s="643"/>
      <c r="V95" s="644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5" t="s">
        <v>201</v>
      </c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"/>
      <c r="AB96" s="65"/>
      <c r="AC96" s="79"/>
    </row>
    <row r="97" spans="1:68" ht="14.25" hidden="1" customHeight="1" x14ac:dyDescent="0.25">
      <c r="A97" s="656" t="s">
        <v>123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1">
        <v>4680115882133</v>
      </c>
      <c r="E98" s="65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1">
        <v>4680115887718</v>
      </c>
      <c r="E99" s="65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3"/>
      <c r="R99" s="653"/>
      <c r="S99" s="653"/>
      <c r="T99" s="65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1">
        <v>4680115887718</v>
      </c>
      <c r="E100" s="65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3"/>
      <c r="R100" s="653"/>
      <c r="S100" s="653"/>
      <c r="T100" s="65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1">
        <v>4680115887718</v>
      </c>
      <c r="E101" s="65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3"/>
      <c r="R101" s="653"/>
      <c r="S101" s="653"/>
      <c r="T101" s="65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1">
        <v>4680115880269</v>
      </c>
      <c r="E102" s="65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3"/>
      <c r="R102" s="653"/>
      <c r="S102" s="653"/>
      <c r="T102" s="65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1">
        <v>4680115880429</v>
      </c>
      <c r="E103" s="65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8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1">
        <v>4680115881457</v>
      </c>
      <c r="E104" s="65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5"/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6"/>
      <c r="P105" s="642" t="s">
        <v>40</v>
      </c>
      <c r="Q105" s="643"/>
      <c r="R105" s="643"/>
      <c r="S105" s="643"/>
      <c r="T105" s="643"/>
      <c r="U105" s="643"/>
      <c r="V105" s="644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5"/>
      <c r="B106" s="645"/>
      <c r="C106" s="645"/>
      <c r="D106" s="645"/>
      <c r="E106" s="645"/>
      <c r="F106" s="645"/>
      <c r="G106" s="645"/>
      <c r="H106" s="645"/>
      <c r="I106" s="645"/>
      <c r="J106" s="645"/>
      <c r="K106" s="645"/>
      <c r="L106" s="645"/>
      <c r="M106" s="645"/>
      <c r="N106" s="645"/>
      <c r="O106" s="646"/>
      <c r="P106" s="642" t="s">
        <v>40</v>
      </c>
      <c r="Q106" s="643"/>
      <c r="R106" s="643"/>
      <c r="S106" s="643"/>
      <c r="T106" s="643"/>
      <c r="U106" s="643"/>
      <c r="V106" s="644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6" t="s">
        <v>156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6"/>
      <c r="N107" s="656"/>
      <c r="O107" s="656"/>
      <c r="P107" s="656"/>
      <c r="Q107" s="656"/>
      <c r="R107" s="656"/>
      <c r="S107" s="656"/>
      <c r="T107" s="656"/>
      <c r="U107" s="656"/>
      <c r="V107" s="656"/>
      <c r="W107" s="656"/>
      <c r="X107" s="656"/>
      <c r="Y107" s="656"/>
      <c r="Z107" s="656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1">
        <v>4680115881488</v>
      </c>
      <c r="E108" s="65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1">
        <v>4680115887664</v>
      </c>
      <c r="E109" s="65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3"/>
      <c r="R109" s="653"/>
      <c r="S109" s="653"/>
      <c r="T109" s="65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1">
        <v>4680115887664</v>
      </c>
      <c r="E110" s="65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3"/>
      <c r="R110" s="653"/>
      <c r="S110" s="653"/>
      <c r="T110" s="65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1">
        <v>4680115882775</v>
      </c>
      <c r="E111" s="65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3"/>
      <c r="R111" s="653"/>
      <c r="S111" s="653"/>
      <c r="T111" s="65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1">
        <v>4680115880658</v>
      </c>
      <c r="E112" s="65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5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42" t="s">
        <v>40</v>
      </c>
      <c r="Q113" s="643"/>
      <c r="R113" s="643"/>
      <c r="S113" s="643"/>
      <c r="T113" s="643"/>
      <c r="U113" s="643"/>
      <c r="V113" s="644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42" t="s">
        <v>40</v>
      </c>
      <c r="Q114" s="643"/>
      <c r="R114" s="643"/>
      <c r="S114" s="643"/>
      <c r="T114" s="643"/>
      <c r="U114" s="643"/>
      <c r="V114" s="644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6" t="s">
        <v>85</v>
      </c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1">
        <v>4607091385168</v>
      </c>
      <c r="E116" s="65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250</v>
      </c>
      <c r="Y116" s="55">
        <f>IFERROR(IF(X116="",0,CEILING((X116/$H116),1)*$H116),"")</f>
        <v>251.1</v>
      </c>
      <c r="Z116" s="41">
        <f>IFERROR(IF(Y116=0,"",ROUNDUP(Y116/H116,0)*0.01898),"")</f>
        <v>0.58838000000000001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265.06172839506172</v>
      </c>
      <c r="BN116" s="78">
        <f>IFERROR(Y116*I116/H116,"0")</f>
        <v>266.22799999999995</v>
      </c>
      <c r="BO116" s="78">
        <f>IFERROR(1/J116*(X116/H116),"0")</f>
        <v>0.48225308641975312</v>
      </c>
      <c r="BP116" s="78">
        <f>IFERROR(1/J116*(Y116/H116),"0")</f>
        <v>0.484375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1">
        <v>4607091383256</v>
      </c>
      <c r="E117" s="65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3"/>
      <c r="R117" s="653"/>
      <c r="S117" s="653"/>
      <c r="T117" s="65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1">
        <v>4607091385748</v>
      </c>
      <c r="E118" s="65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3"/>
      <c r="R118" s="653"/>
      <c r="S118" s="653"/>
      <c r="T118" s="65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1">
        <v>4680115884533</v>
      </c>
      <c r="E119" s="65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3"/>
      <c r="R119" s="653"/>
      <c r="S119" s="653"/>
      <c r="T119" s="65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5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42" t="s">
        <v>40</v>
      </c>
      <c r="Q120" s="643"/>
      <c r="R120" s="643"/>
      <c r="S120" s="643"/>
      <c r="T120" s="643"/>
      <c r="U120" s="643"/>
      <c r="V120" s="644"/>
      <c r="W120" s="42" t="s">
        <v>39</v>
      </c>
      <c r="X120" s="43">
        <f>IFERROR(X116/H116,"0")+IFERROR(X117/H117,"0")+IFERROR(X118/H118,"0")+IFERROR(X119/H119,"0")</f>
        <v>30.8641975308642</v>
      </c>
      <c r="Y120" s="43">
        <f>IFERROR(Y116/H116,"0")+IFERROR(Y117/H117,"0")+IFERROR(Y118/H118,"0")+IFERROR(Y119/H119,"0")</f>
        <v>31</v>
      </c>
      <c r="Z120" s="43">
        <f>IFERROR(IF(Z116="",0,Z116),"0")+IFERROR(IF(Z117="",0,Z117),"0")+IFERROR(IF(Z118="",0,Z118),"0")+IFERROR(IF(Z119="",0,Z119),"0")</f>
        <v>0.58838000000000001</v>
      </c>
      <c r="AA120" s="67"/>
      <c r="AB120" s="67"/>
      <c r="AC120" s="67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42" t="s">
        <v>40</v>
      </c>
      <c r="Q121" s="643"/>
      <c r="R121" s="643"/>
      <c r="S121" s="643"/>
      <c r="T121" s="643"/>
      <c r="U121" s="643"/>
      <c r="V121" s="644"/>
      <c r="W121" s="42" t="s">
        <v>0</v>
      </c>
      <c r="X121" s="43">
        <f>IFERROR(SUM(X116:X119),"0")</f>
        <v>250</v>
      </c>
      <c r="Y121" s="43">
        <f>IFERROR(SUM(Y116:Y119),"0")</f>
        <v>251.1</v>
      </c>
      <c r="Z121" s="42"/>
      <c r="AA121" s="67"/>
      <c r="AB121" s="67"/>
      <c r="AC121" s="67"/>
    </row>
    <row r="122" spans="1:68" ht="14.25" hidden="1" customHeight="1" x14ac:dyDescent="0.25">
      <c r="A122" s="656" t="s">
        <v>173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6"/>
      <c r="P122" s="656"/>
      <c r="Q122" s="656"/>
      <c r="R122" s="656"/>
      <c r="S122" s="656"/>
      <c r="T122" s="656"/>
      <c r="U122" s="656"/>
      <c r="V122" s="656"/>
      <c r="W122" s="656"/>
      <c r="X122" s="656"/>
      <c r="Y122" s="656"/>
      <c r="Z122" s="656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1">
        <v>4680115880238</v>
      </c>
      <c r="E123" s="65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5" t="s">
        <v>241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"/>
      <c r="AB126" s="65"/>
      <c r="AC126" s="79"/>
    </row>
    <row r="127" spans="1:68" ht="14.25" hidden="1" customHeight="1" x14ac:dyDescent="0.25">
      <c r="A127" s="656" t="s">
        <v>123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1">
        <v>4680115888784</v>
      </c>
      <c r="E128" s="65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3"/>
      <c r="R128" s="653"/>
      <c r="S128" s="653"/>
      <c r="T128" s="65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1">
        <v>4680115882577</v>
      </c>
      <c r="E129" s="65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3"/>
      <c r="R129" s="653"/>
      <c r="S129" s="653"/>
      <c r="T129" s="65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1">
        <v>4680115882577</v>
      </c>
      <c r="E130" s="65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3"/>
      <c r="R130" s="653"/>
      <c r="S130" s="653"/>
      <c r="T130" s="65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5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42" t="s">
        <v>40</v>
      </c>
      <c r="Q131" s="643"/>
      <c r="R131" s="643"/>
      <c r="S131" s="643"/>
      <c r="T131" s="643"/>
      <c r="U131" s="643"/>
      <c r="V131" s="644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42" t="s">
        <v>40</v>
      </c>
      <c r="Q132" s="643"/>
      <c r="R132" s="643"/>
      <c r="S132" s="643"/>
      <c r="T132" s="643"/>
      <c r="U132" s="643"/>
      <c r="V132" s="644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6" t="s">
        <v>76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6"/>
      <c r="P133" s="656"/>
      <c r="Q133" s="656"/>
      <c r="R133" s="656"/>
      <c r="S133" s="656"/>
      <c r="T133" s="656"/>
      <c r="U133" s="656"/>
      <c r="V133" s="656"/>
      <c r="W133" s="656"/>
      <c r="X133" s="656"/>
      <c r="Y133" s="656"/>
      <c r="Z133" s="656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1">
        <v>4680115888913</v>
      </c>
      <c r="E134" s="65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1">
        <v>4680115883444</v>
      </c>
      <c r="E135" s="65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1">
        <v>4680115883444</v>
      </c>
      <c r="E136" s="65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3"/>
      <c r="R136" s="653"/>
      <c r="S136" s="653"/>
      <c r="T136" s="65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1">
        <v>4680115888920</v>
      </c>
      <c r="E137" s="65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3"/>
      <c r="R137" s="653"/>
      <c r="S137" s="653"/>
      <c r="T137" s="65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42" t="s">
        <v>40</v>
      </c>
      <c r="Q138" s="643"/>
      <c r="R138" s="643"/>
      <c r="S138" s="643"/>
      <c r="T138" s="643"/>
      <c r="U138" s="643"/>
      <c r="V138" s="644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5"/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6"/>
      <c r="P139" s="642" t="s">
        <v>40</v>
      </c>
      <c r="Q139" s="643"/>
      <c r="R139" s="643"/>
      <c r="S139" s="643"/>
      <c r="T139" s="643"/>
      <c r="U139" s="643"/>
      <c r="V139" s="644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6" t="s">
        <v>85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1">
        <v>4680115888944</v>
      </c>
      <c r="E141" s="65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1">
        <v>4680115882584</v>
      </c>
      <c r="E142" s="65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6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1">
        <v>4680115882584</v>
      </c>
      <c r="E143" s="65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6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3"/>
      <c r="R143" s="653"/>
      <c r="S143" s="653"/>
      <c r="T143" s="65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5"/>
      <c r="B145" s="645"/>
      <c r="C145" s="645"/>
      <c r="D145" s="645"/>
      <c r="E145" s="645"/>
      <c r="F145" s="645"/>
      <c r="G145" s="645"/>
      <c r="H145" s="645"/>
      <c r="I145" s="645"/>
      <c r="J145" s="645"/>
      <c r="K145" s="645"/>
      <c r="L145" s="645"/>
      <c r="M145" s="645"/>
      <c r="N145" s="645"/>
      <c r="O145" s="646"/>
      <c r="P145" s="642" t="s">
        <v>40</v>
      </c>
      <c r="Q145" s="643"/>
      <c r="R145" s="643"/>
      <c r="S145" s="643"/>
      <c r="T145" s="643"/>
      <c r="U145" s="643"/>
      <c r="V145" s="644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5" t="s">
        <v>265</v>
      </c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"/>
      <c r="AB146" s="65"/>
      <c r="AC146" s="79"/>
    </row>
    <row r="147" spans="1:68" ht="14.25" hidden="1" customHeight="1" x14ac:dyDescent="0.25">
      <c r="A147" s="656" t="s">
        <v>85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1">
        <v>4680115888203</v>
      </c>
      <c r="E148" s="65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1">
        <v>4680115888180</v>
      </c>
      <c r="E149" s="65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1">
        <v>4680115888180</v>
      </c>
      <c r="E150" s="65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3"/>
      <c r="R150" s="653"/>
      <c r="S150" s="653"/>
      <c r="T150" s="65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1">
        <v>4680115888197</v>
      </c>
      <c r="E151" s="65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3"/>
      <c r="R151" s="653"/>
      <c r="S151" s="653"/>
      <c r="T151" s="65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1">
        <v>4680115888197</v>
      </c>
      <c r="E152" s="65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3"/>
      <c r="R152" s="653"/>
      <c r="S152" s="653"/>
      <c r="T152" s="65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1">
        <v>4680115888210</v>
      </c>
      <c r="E153" s="65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3"/>
      <c r="R153" s="653"/>
      <c r="S153" s="653"/>
      <c r="T153" s="65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1">
        <v>4680115888210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5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42" t="s">
        <v>40</v>
      </c>
      <c r="Q155" s="643"/>
      <c r="R155" s="643"/>
      <c r="S155" s="643"/>
      <c r="T155" s="643"/>
      <c r="U155" s="643"/>
      <c r="V155" s="644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42" t="s">
        <v>40</v>
      </c>
      <c r="Q156" s="643"/>
      <c r="R156" s="643"/>
      <c r="S156" s="643"/>
      <c r="T156" s="643"/>
      <c r="U156" s="643"/>
      <c r="V156" s="644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6" t="s">
        <v>281</v>
      </c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6"/>
      <c r="P157" s="656"/>
      <c r="Q157" s="656"/>
      <c r="R157" s="656"/>
      <c r="S157" s="656"/>
      <c r="T157" s="656"/>
      <c r="U157" s="656"/>
      <c r="V157" s="656"/>
      <c r="W157" s="656"/>
      <c r="X157" s="656"/>
      <c r="Y157" s="656"/>
      <c r="Z157" s="656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1">
        <v>4680115889132</v>
      </c>
      <c r="E158" s="65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3"/>
      <c r="R158" s="653"/>
      <c r="S158" s="653"/>
      <c r="T158" s="65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42" t="s">
        <v>40</v>
      </c>
      <c r="Q160" s="643"/>
      <c r="R160" s="643"/>
      <c r="S160" s="643"/>
      <c r="T160" s="643"/>
      <c r="U160" s="643"/>
      <c r="V160" s="644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5" t="s">
        <v>121</v>
      </c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"/>
      <c r="AB161" s="65"/>
      <c r="AC161" s="79"/>
    </row>
    <row r="162" spans="1:68" ht="14.25" hidden="1" customHeight="1" x14ac:dyDescent="0.25">
      <c r="A162" s="656" t="s">
        <v>123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1">
        <v>4680115887374</v>
      </c>
      <c r="E163" s="65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5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3"/>
      <c r="R163" s="653"/>
      <c r="S163" s="653"/>
      <c r="T163" s="65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1">
        <v>4607091384604</v>
      </c>
      <c r="E164" s="65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3"/>
      <c r="R164" s="653"/>
      <c r="S164" s="653"/>
      <c r="T164" s="65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1">
        <v>4680115888876</v>
      </c>
      <c r="E165" s="65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3"/>
      <c r="R165" s="653"/>
      <c r="S165" s="653"/>
      <c r="T165" s="65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5"/>
      <c r="B166" s="645"/>
      <c r="C166" s="645"/>
      <c r="D166" s="645"/>
      <c r="E166" s="645"/>
      <c r="F166" s="645"/>
      <c r="G166" s="645"/>
      <c r="H166" s="645"/>
      <c r="I166" s="645"/>
      <c r="J166" s="645"/>
      <c r="K166" s="645"/>
      <c r="L166" s="645"/>
      <c r="M166" s="645"/>
      <c r="N166" s="645"/>
      <c r="O166" s="646"/>
      <c r="P166" s="642" t="s">
        <v>40</v>
      </c>
      <c r="Q166" s="643"/>
      <c r="R166" s="643"/>
      <c r="S166" s="643"/>
      <c r="T166" s="643"/>
      <c r="U166" s="643"/>
      <c r="V166" s="644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5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42" t="s">
        <v>40</v>
      </c>
      <c r="Q167" s="643"/>
      <c r="R167" s="643"/>
      <c r="S167" s="643"/>
      <c r="T167" s="643"/>
      <c r="U167" s="643"/>
      <c r="V167" s="644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6" t="s">
        <v>156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1">
        <v>4680115887695</v>
      </c>
      <c r="E169" s="65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3"/>
      <c r="R169" s="653"/>
      <c r="S169" s="653"/>
      <c r="T169" s="65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1">
        <v>4680115889491</v>
      </c>
      <c r="E170" s="65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3"/>
      <c r="R170" s="653"/>
      <c r="S170" s="653"/>
      <c r="T170" s="65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5"/>
      <c r="B171" s="645"/>
      <c r="C171" s="645"/>
      <c r="D171" s="645"/>
      <c r="E171" s="645"/>
      <c r="F171" s="645"/>
      <c r="G171" s="645"/>
      <c r="H171" s="645"/>
      <c r="I171" s="645"/>
      <c r="J171" s="645"/>
      <c r="K171" s="645"/>
      <c r="L171" s="645"/>
      <c r="M171" s="645"/>
      <c r="N171" s="645"/>
      <c r="O171" s="646"/>
      <c r="P171" s="642" t="s">
        <v>40</v>
      </c>
      <c r="Q171" s="643"/>
      <c r="R171" s="643"/>
      <c r="S171" s="643"/>
      <c r="T171" s="643"/>
      <c r="U171" s="643"/>
      <c r="V171" s="644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5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42" t="s">
        <v>40</v>
      </c>
      <c r="Q172" s="643"/>
      <c r="R172" s="643"/>
      <c r="S172" s="643"/>
      <c r="T172" s="643"/>
      <c r="U172" s="643"/>
      <c r="V172" s="644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6" t="s">
        <v>76</v>
      </c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6"/>
      <c r="P173" s="656"/>
      <c r="Q173" s="656"/>
      <c r="R173" s="656"/>
      <c r="S173" s="656"/>
      <c r="T173" s="656"/>
      <c r="U173" s="656"/>
      <c r="V173" s="656"/>
      <c r="W173" s="656"/>
      <c r="X173" s="656"/>
      <c r="Y173" s="656"/>
      <c r="Z173" s="656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1">
        <v>4680115887428</v>
      </c>
      <c r="E174" s="65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3"/>
      <c r="R174" s="653"/>
      <c r="S174" s="653"/>
      <c r="T174" s="65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1">
        <v>4680115889170</v>
      </c>
      <c r="E175" s="65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3"/>
      <c r="R175" s="653"/>
      <c r="S175" s="653"/>
      <c r="T175" s="65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1">
        <v>4680115887398</v>
      </c>
      <c r="E176" s="65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3"/>
      <c r="R176" s="653"/>
      <c r="S176" s="653"/>
      <c r="T176" s="65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1">
        <v>4680115887336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1">
        <v>4680115887787</v>
      </c>
      <c r="E178" s="65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1">
        <v>4680115887503</v>
      </c>
      <c r="E179" s="65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4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1">
        <v>4680115887763</v>
      </c>
      <c r="E180" s="65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1">
        <v>4680115887763</v>
      </c>
      <c r="E181" s="65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1">
        <v>4680115887480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1">
        <v>4680115888067</v>
      </c>
      <c r="E183" s="65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1">
        <v>4680115887435</v>
      </c>
      <c r="E184" s="65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5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42" t="s">
        <v>40</v>
      </c>
      <c r="Q185" s="643"/>
      <c r="R185" s="643"/>
      <c r="S185" s="643"/>
      <c r="T185" s="643"/>
      <c r="U185" s="643"/>
      <c r="V185" s="644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42" t="s">
        <v>40</v>
      </c>
      <c r="Q186" s="643"/>
      <c r="R186" s="643"/>
      <c r="S186" s="643"/>
      <c r="T186" s="643"/>
      <c r="U186" s="643"/>
      <c r="V186" s="644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6" t="s">
        <v>85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/>
      <c r="Z187" s="656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1">
        <v>4680115888395</v>
      </c>
      <c r="E188" s="65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3"/>
      <c r="R188" s="653"/>
      <c r="S188" s="653"/>
      <c r="T188" s="65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1">
        <v>4680115888371</v>
      </c>
      <c r="E189" s="65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3"/>
      <c r="R189" s="653"/>
      <c r="S189" s="653"/>
      <c r="T189" s="65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1">
        <v>4680115887459</v>
      </c>
      <c r="E190" s="65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3"/>
      <c r="R190" s="653"/>
      <c r="S190" s="653"/>
      <c r="T190" s="65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42" t="s">
        <v>40</v>
      </c>
      <c r="Q191" s="643"/>
      <c r="R191" s="643"/>
      <c r="S191" s="643"/>
      <c r="T191" s="643"/>
      <c r="U191" s="643"/>
      <c r="V191" s="644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5"/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6"/>
      <c r="P192" s="642" t="s">
        <v>40</v>
      </c>
      <c r="Q192" s="643"/>
      <c r="R192" s="643"/>
      <c r="S192" s="643"/>
      <c r="T192" s="643"/>
      <c r="U192" s="643"/>
      <c r="V192" s="644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6" t="s">
        <v>281</v>
      </c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6"/>
      <c r="P193" s="656"/>
      <c r="Q193" s="656"/>
      <c r="R193" s="656"/>
      <c r="S193" s="656"/>
      <c r="T193" s="656"/>
      <c r="U193" s="656"/>
      <c r="V193" s="656"/>
      <c r="W193" s="656"/>
      <c r="X193" s="656"/>
      <c r="Y193" s="656"/>
      <c r="Z193" s="656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1">
        <v>4680115889026</v>
      </c>
      <c r="E194" s="65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3"/>
      <c r="R194" s="653"/>
      <c r="S194" s="653"/>
      <c r="T194" s="65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5"/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6"/>
      <c r="P196" s="642" t="s">
        <v>40</v>
      </c>
      <c r="Q196" s="643"/>
      <c r="R196" s="643"/>
      <c r="S196" s="643"/>
      <c r="T196" s="643"/>
      <c r="U196" s="643"/>
      <c r="V196" s="644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6" t="s">
        <v>345</v>
      </c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/>
      <c r="Z197" s="656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1">
        <v>4680115889033</v>
      </c>
      <c r="E198" s="65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2" t="s">
        <v>349</v>
      </c>
      <c r="B201" s="662"/>
      <c r="C201" s="662"/>
      <c r="D201" s="662"/>
      <c r="E201" s="662"/>
      <c r="F201" s="662"/>
      <c r="G201" s="662"/>
      <c r="H201" s="662"/>
      <c r="I201" s="662"/>
      <c r="J201" s="662"/>
      <c r="K201" s="662"/>
      <c r="L201" s="662"/>
      <c r="M201" s="662"/>
      <c r="N201" s="662"/>
      <c r="O201" s="662"/>
      <c r="P201" s="662"/>
      <c r="Q201" s="662"/>
      <c r="R201" s="662"/>
      <c r="S201" s="662"/>
      <c r="T201" s="662"/>
      <c r="U201" s="662"/>
      <c r="V201" s="662"/>
      <c r="W201" s="662"/>
      <c r="X201" s="662"/>
      <c r="Y201" s="662"/>
      <c r="Z201" s="662"/>
      <c r="AA201" s="54"/>
      <c r="AB201" s="54"/>
      <c r="AC201" s="54"/>
    </row>
    <row r="202" spans="1:68" ht="16.5" hidden="1" customHeight="1" x14ac:dyDescent="0.25">
      <c r="A202" s="655" t="s">
        <v>350</v>
      </c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"/>
      <c r="AB202" s="65"/>
      <c r="AC202" s="79"/>
    </row>
    <row r="203" spans="1:68" ht="14.25" hidden="1" customHeight="1" x14ac:dyDescent="0.25">
      <c r="A203" s="656" t="s">
        <v>123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/>
      <c r="V203" s="656"/>
      <c r="W203" s="656"/>
      <c r="X203" s="656"/>
      <c r="Y203" s="656"/>
      <c r="Z203" s="656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1">
        <v>4607091383423</v>
      </c>
      <c r="E204" s="65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3"/>
      <c r="R204" s="653"/>
      <c r="S204" s="653"/>
      <c r="T204" s="65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1">
        <v>4680115888760</v>
      </c>
      <c r="E205" s="65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3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3"/>
      <c r="R205" s="653"/>
      <c r="S205" s="653"/>
      <c r="T205" s="65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1">
        <v>4680115888807</v>
      </c>
      <c r="E206" s="65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3"/>
      <c r="R206" s="653"/>
      <c r="S206" s="653"/>
      <c r="T206" s="65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1">
        <v>4680115888852</v>
      </c>
      <c r="E207" s="65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3"/>
      <c r="R207" s="653"/>
      <c r="S207" s="653"/>
      <c r="T207" s="65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1">
        <v>4680115886957</v>
      </c>
      <c r="E208" s="65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1">
        <v>4680115885660</v>
      </c>
      <c r="E209" s="65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1">
        <v>4680115886773</v>
      </c>
      <c r="E210" s="65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42" t="s">
        <v>40</v>
      </c>
      <c r="Q211" s="643"/>
      <c r="R211" s="643"/>
      <c r="S211" s="643"/>
      <c r="T211" s="643"/>
      <c r="U211" s="643"/>
      <c r="V211" s="644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5"/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6"/>
      <c r="P212" s="642" t="s">
        <v>40</v>
      </c>
      <c r="Q212" s="643"/>
      <c r="R212" s="643"/>
      <c r="S212" s="643"/>
      <c r="T212" s="643"/>
      <c r="U212" s="643"/>
      <c r="V212" s="644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5" t="s">
        <v>371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"/>
      <c r="AB213" s="65"/>
      <c r="AC213" s="79"/>
    </row>
    <row r="214" spans="1:68" ht="14.25" hidden="1" customHeight="1" x14ac:dyDescent="0.25">
      <c r="A214" s="656" t="s">
        <v>156</v>
      </c>
      <c r="B214" s="656"/>
      <c r="C214" s="656"/>
      <c r="D214" s="656"/>
      <c r="E214" s="656"/>
      <c r="F214" s="656"/>
      <c r="G214" s="656"/>
      <c r="H214" s="656"/>
      <c r="I214" s="656"/>
      <c r="J214" s="656"/>
      <c r="K214" s="656"/>
      <c r="L214" s="656"/>
      <c r="M214" s="656"/>
      <c r="N214" s="656"/>
      <c r="O214" s="656"/>
      <c r="P214" s="656"/>
      <c r="Q214" s="656"/>
      <c r="R214" s="656"/>
      <c r="S214" s="656"/>
      <c r="T214" s="656"/>
      <c r="U214" s="656"/>
      <c r="V214" s="656"/>
      <c r="W214" s="656"/>
      <c r="X214" s="656"/>
      <c r="Y214" s="656"/>
      <c r="Z214" s="656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1">
        <v>4680115886223</v>
      </c>
      <c r="E215" s="65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3"/>
      <c r="R215" s="653"/>
      <c r="S215" s="653"/>
      <c r="T215" s="65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5"/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6"/>
      <c r="P217" s="642" t="s">
        <v>40</v>
      </c>
      <c r="Q217" s="643"/>
      <c r="R217" s="643"/>
      <c r="S217" s="643"/>
      <c r="T217" s="643"/>
      <c r="U217" s="643"/>
      <c r="V217" s="644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6" t="s">
        <v>76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1">
        <v>4680115880993</v>
      </c>
      <c r="E219" s="65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1">
        <v>4680115881761</v>
      </c>
      <c r="E220" s="65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3"/>
      <c r="R220" s="653"/>
      <c r="S220" s="653"/>
      <c r="T220" s="65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1">
        <v>4680115881563</v>
      </c>
      <c r="E221" s="65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3"/>
      <c r="R221" s="653"/>
      <c r="S221" s="653"/>
      <c r="T221" s="65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1">
        <v>4680115887565</v>
      </c>
      <c r="E222" s="65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3"/>
      <c r="R222" s="653"/>
      <c r="S222" s="653"/>
      <c r="T222" s="65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1">
        <v>4680115880986</v>
      </c>
      <c r="E223" s="65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1">
        <v>4680115887213</v>
      </c>
      <c r="E224" s="65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1">
        <v>4680115881785</v>
      </c>
      <c r="E225" s="65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1">
        <v>4680115888432</v>
      </c>
      <c r="E226" s="65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1">
        <v>4680115888104</v>
      </c>
      <c r="E227" s="65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1">
        <v>4680115886537</v>
      </c>
      <c r="E228" s="65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1">
        <v>4680115887596</v>
      </c>
      <c r="E229" s="65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1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1">
        <v>4680115881679</v>
      </c>
      <c r="E230" s="65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1">
        <v>4680115880191</v>
      </c>
      <c r="E231" s="65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1">
        <v>4680115883963</v>
      </c>
      <c r="E232" s="65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42" t="s">
        <v>40</v>
      </c>
      <c r="Q233" s="643"/>
      <c r="R233" s="643"/>
      <c r="S233" s="643"/>
      <c r="T233" s="643"/>
      <c r="U233" s="643"/>
      <c r="V233" s="644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5"/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6"/>
      <c r="P234" s="642" t="s">
        <v>40</v>
      </c>
      <c r="Q234" s="643"/>
      <c r="R234" s="643"/>
      <c r="S234" s="643"/>
      <c r="T234" s="643"/>
      <c r="U234" s="643"/>
      <c r="V234" s="644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6" t="s">
        <v>85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1">
        <v>4680115888692</v>
      </c>
      <c r="E236" s="65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1">
        <v>4680115888722</v>
      </c>
      <c r="E237" s="65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3"/>
      <c r="R237" s="653"/>
      <c r="S237" s="653"/>
      <c r="T237" s="65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1">
        <v>4680115888951</v>
      </c>
      <c r="E238" s="65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3"/>
      <c r="R238" s="653"/>
      <c r="S238" s="653"/>
      <c r="T238" s="65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1">
        <v>4680115888975</v>
      </c>
      <c r="E239" s="65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3"/>
      <c r="R239" s="653"/>
      <c r="S239" s="653"/>
      <c r="T239" s="65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1">
        <v>4680115888982</v>
      </c>
      <c r="E240" s="65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42" t="s">
        <v>40</v>
      </c>
      <c r="Q241" s="643"/>
      <c r="R241" s="643"/>
      <c r="S241" s="643"/>
      <c r="T241" s="643"/>
      <c r="U241" s="643"/>
      <c r="V241" s="644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5"/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6"/>
      <c r="P242" s="642" t="s">
        <v>40</v>
      </c>
      <c r="Q242" s="643"/>
      <c r="R242" s="643"/>
      <c r="S242" s="643"/>
      <c r="T242" s="643"/>
      <c r="U242" s="643"/>
      <c r="V242" s="644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6" t="s">
        <v>281</v>
      </c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6"/>
      <c r="P243" s="656"/>
      <c r="Q243" s="656"/>
      <c r="R243" s="656"/>
      <c r="S243" s="656"/>
      <c r="T243" s="656"/>
      <c r="U243" s="656"/>
      <c r="V243" s="656"/>
      <c r="W243" s="656"/>
      <c r="X243" s="656"/>
      <c r="Y243" s="656"/>
      <c r="Z243" s="656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1">
        <v>4680115886780</v>
      </c>
      <c r="E244" s="65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1">
        <v>4680115886742</v>
      </c>
      <c r="E245" s="65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3"/>
      <c r="R245" s="653"/>
      <c r="S245" s="653"/>
      <c r="T245" s="65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1">
        <v>4680115886766</v>
      </c>
      <c r="E246" s="65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0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3"/>
      <c r="R246" s="653"/>
      <c r="S246" s="653"/>
      <c r="T246" s="65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42" t="s">
        <v>40</v>
      </c>
      <c r="Q247" s="643"/>
      <c r="R247" s="643"/>
      <c r="S247" s="643"/>
      <c r="T247" s="643"/>
      <c r="U247" s="643"/>
      <c r="V247" s="644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5"/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6"/>
      <c r="P248" s="642" t="s">
        <v>40</v>
      </c>
      <c r="Q248" s="643"/>
      <c r="R248" s="643"/>
      <c r="S248" s="643"/>
      <c r="T248" s="643"/>
      <c r="U248" s="643"/>
      <c r="V248" s="644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6" t="s">
        <v>435</v>
      </c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6"/>
      <c r="P249" s="656"/>
      <c r="Q249" s="656"/>
      <c r="R249" s="656"/>
      <c r="S249" s="656"/>
      <c r="T249" s="656"/>
      <c r="U249" s="656"/>
      <c r="V249" s="656"/>
      <c r="W249" s="656"/>
      <c r="X249" s="656"/>
      <c r="Y249" s="656"/>
      <c r="Z249" s="656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1">
        <v>4680115886797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5" t="s">
        <v>438</v>
      </c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"/>
      <c r="AB253" s="65"/>
      <c r="AC253" s="79"/>
    </row>
    <row r="254" spans="1:68" ht="14.25" hidden="1" customHeight="1" x14ac:dyDescent="0.25">
      <c r="A254" s="656" t="s">
        <v>123</v>
      </c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6"/>
      <c r="P254" s="656"/>
      <c r="Q254" s="656"/>
      <c r="R254" s="656"/>
      <c r="S254" s="656"/>
      <c r="T254" s="656"/>
      <c r="U254" s="656"/>
      <c r="V254" s="656"/>
      <c r="W254" s="656"/>
      <c r="X254" s="656"/>
      <c r="Y254" s="656"/>
      <c r="Z254" s="656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1">
        <v>4680115881402</v>
      </c>
      <c r="E255" s="65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3"/>
      <c r="R255" s="653"/>
      <c r="S255" s="653"/>
      <c r="T255" s="65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1">
        <v>4680115881396</v>
      </c>
      <c r="E256" s="65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3"/>
      <c r="R256" s="653"/>
      <c r="S256" s="653"/>
      <c r="T256" s="65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42" t="s">
        <v>40</v>
      </c>
      <c r="Q257" s="643"/>
      <c r="R257" s="643"/>
      <c r="S257" s="643"/>
      <c r="T257" s="643"/>
      <c r="U257" s="643"/>
      <c r="V257" s="644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5"/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6"/>
      <c r="P258" s="642" t="s">
        <v>40</v>
      </c>
      <c r="Q258" s="643"/>
      <c r="R258" s="643"/>
      <c r="S258" s="643"/>
      <c r="T258" s="643"/>
      <c r="U258" s="643"/>
      <c r="V258" s="644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6" t="s">
        <v>156</v>
      </c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6"/>
      <c r="P259" s="656"/>
      <c r="Q259" s="656"/>
      <c r="R259" s="656"/>
      <c r="S259" s="656"/>
      <c r="T259" s="656"/>
      <c r="U259" s="656"/>
      <c r="V259" s="656"/>
      <c r="W259" s="656"/>
      <c r="X259" s="656"/>
      <c r="Y259" s="656"/>
      <c r="Z259" s="656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1">
        <v>4680115882935</v>
      </c>
      <c r="E260" s="65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1">
        <v>4680115880764</v>
      </c>
      <c r="E261" s="65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3"/>
      <c r="R261" s="653"/>
      <c r="S261" s="653"/>
      <c r="T261" s="65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5"/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6"/>
      <c r="P263" s="642" t="s">
        <v>40</v>
      </c>
      <c r="Q263" s="643"/>
      <c r="R263" s="643"/>
      <c r="S263" s="643"/>
      <c r="T263" s="643"/>
      <c r="U263" s="643"/>
      <c r="V263" s="644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6" t="s">
        <v>76</v>
      </c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6"/>
      <c r="P264" s="656"/>
      <c r="Q264" s="656"/>
      <c r="R264" s="656"/>
      <c r="S264" s="656"/>
      <c r="T264" s="656"/>
      <c r="U264" s="656"/>
      <c r="V264" s="656"/>
      <c r="W264" s="656"/>
      <c r="X264" s="656"/>
      <c r="Y264" s="656"/>
      <c r="Z264" s="656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1">
        <v>4680115882683</v>
      </c>
      <c r="E265" s="65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1">
        <v>4680115882690</v>
      </c>
      <c r="E266" s="65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3"/>
      <c r="R266" s="653"/>
      <c r="S266" s="653"/>
      <c r="T266" s="65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1">
        <v>4680115882669</v>
      </c>
      <c r="E267" s="65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3"/>
      <c r="R267" s="653"/>
      <c r="S267" s="653"/>
      <c r="T267" s="65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1">
        <v>4680115882676</v>
      </c>
      <c r="E268" s="65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3"/>
      <c r="R268" s="653"/>
      <c r="S268" s="653"/>
      <c r="T268" s="65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1">
        <v>4680115884014</v>
      </c>
      <c r="E269" s="65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1">
        <v>4680115884007</v>
      </c>
      <c r="E270" s="65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1">
        <v>4680115884038</v>
      </c>
      <c r="E271" s="65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1">
        <v>4680115884021</v>
      </c>
      <c r="E272" s="65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42" t="s">
        <v>40</v>
      </c>
      <c r="Q273" s="643"/>
      <c r="R273" s="643"/>
      <c r="S273" s="643"/>
      <c r="T273" s="643"/>
      <c r="U273" s="643"/>
      <c r="V273" s="644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5"/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6"/>
      <c r="P274" s="642" t="s">
        <v>40</v>
      </c>
      <c r="Q274" s="643"/>
      <c r="R274" s="643"/>
      <c r="S274" s="643"/>
      <c r="T274" s="643"/>
      <c r="U274" s="643"/>
      <c r="V274" s="644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6" t="s">
        <v>85</v>
      </c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6"/>
      <c r="P275" s="656"/>
      <c r="Q275" s="656"/>
      <c r="R275" s="656"/>
      <c r="S275" s="656"/>
      <c r="T275" s="656"/>
      <c r="U275" s="656"/>
      <c r="V275" s="656"/>
      <c r="W275" s="656"/>
      <c r="X275" s="656"/>
      <c r="Y275" s="656"/>
      <c r="Z275" s="656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1">
        <v>4680115881594</v>
      </c>
      <c r="E276" s="65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1">
        <v>4680115881617</v>
      </c>
      <c r="E277" s="65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3"/>
      <c r="R277" s="653"/>
      <c r="S277" s="653"/>
      <c r="T277" s="65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1">
        <v>4680115880573</v>
      </c>
      <c r="E278" s="65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3"/>
      <c r="R278" s="653"/>
      <c r="S278" s="653"/>
      <c r="T278" s="65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1">
        <v>4680115882195</v>
      </c>
      <c r="E279" s="65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3"/>
      <c r="R279" s="653"/>
      <c r="S279" s="653"/>
      <c r="T279" s="65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1">
        <v>4680115882607</v>
      </c>
      <c r="E280" s="65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1">
        <v>4680115882607</v>
      </c>
      <c r="E281" s="65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1">
        <v>4680115880092</v>
      </c>
      <c r="E282" s="65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1">
        <v>4680115889064</v>
      </c>
      <c r="E283" s="65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1">
        <v>4680115880221</v>
      </c>
      <c r="E284" s="65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1">
        <v>4680115880504</v>
      </c>
      <c r="E285" s="65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1">
        <v>4680115882164</v>
      </c>
      <c r="E286" s="65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1">
        <v>4680115888340</v>
      </c>
      <c r="E287" s="65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5"/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6"/>
      <c r="P288" s="642" t="s">
        <v>40</v>
      </c>
      <c r="Q288" s="643"/>
      <c r="R288" s="643"/>
      <c r="S288" s="643"/>
      <c r="T288" s="643"/>
      <c r="U288" s="643"/>
      <c r="V288" s="644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5"/>
      <c r="B289" s="645"/>
      <c r="C289" s="645"/>
      <c r="D289" s="645"/>
      <c r="E289" s="645"/>
      <c r="F289" s="645"/>
      <c r="G289" s="645"/>
      <c r="H289" s="645"/>
      <c r="I289" s="645"/>
      <c r="J289" s="645"/>
      <c r="K289" s="645"/>
      <c r="L289" s="645"/>
      <c r="M289" s="645"/>
      <c r="N289" s="645"/>
      <c r="O289" s="646"/>
      <c r="P289" s="642" t="s">
        <v>40</v>
      </c>
      <c r="Q289" s="643"/>
      <c r="R289" s="643"/>
      <c r="S289" s="643"/>
      <c r="T289" s="643"/>
      <c r="U289" s="643"/>
      <c r="V289" s="644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6" t="s">
        <v>173</v>
      </c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6"/>
      <c r="P290" s="656"/>
      <c r="Q290" s="656"/>
      <c r="R290" s="656"/>
      <c r="S290" s="656"/>
      <c r="T290" s="656"/>
      <c r="U290" s="656"/>
      <c r="V290" s="656"/>
      <c r="W290" s="656"/>
      <c r="X290" s="656"/>
      <c r="Y290" s="656"/>
      <c r="Z290" s="656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1">
        <v>4680115880818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1">
        <v>4680115880801</v>
      </c>
      <c r="E292" s="65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3"/>
      <c r="R292" s="653"/>
      <c r="S292" s="653"/>
      <c r="T292" s="65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5"/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6"/>
      <c r="P294" s="642" t="s">
        <v>40</v>
      </c>
      <c r="Q294" s="643"/>
      <c r="R294" s="643"/>
      <c r="S294" s="643"/>
      <c r="T294" s="643"/>
      <c r="U294" s="643"/>
      <c r="V294" s="644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5" t="s">
        <v>506</v>
      </c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"/>
      <c r="AB295" s="65"/>
      <c r="AC295" s="79"/>
    </row>
    <row r="296" spans="1:68" ht="14.25" hidden="1" customHeight="1" x14ac:dyDescent="0.25">
      <c r="A296" s="656" t="s">
        <v>123</v>
      </c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6"/>
      <c r="P296" s="656"/>
      <c r="Q296" s="656"/>
      <c r="R296" s="656"/>
      <c r="S296" s="656"/>
      <c r="T296" s="656"/>
      <c r="U296" s="656"/>
      <c r="V296" s="656"/>
      <c r="W296" s="656"/>
      <c r="X296" s="656"/>
      <c r="Y296" s="656"/>
      <c r="Z296" s="656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1">
        <v>4680115884137</v>
      </c>
      <c r="E297" s="65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3"/>
      <c r="R297" s="653"/>
      <c r="S297" s="653"/>
      <c r="T297" s="65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1">
        <v>4680115884236</v>
      </c>
      <c r="E298" s="65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3"/>
      <c r="R298" s="653"/>
      <c r="S298" s="653"/>
      <c r="T298" s="65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1">
        <v>4680115884175</v>
      </c>
      <c r="E299" s="65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3"/>
      <c r="R299" s="653"/>
      <c r="S299" s="653"/>
      <c r="T299" s="65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1">
        <v>4680115884144</v>
      </c>
      <c r="E300" s="65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3"/>
      <c r="R300" s="653"/>
      <c r="S300" s="653"/>
      <c r="T300" s="65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1">
        <v>4680115886551</v>
      </c>
      <c r="E301" s="65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1">
        <v>4680115887282</v>
      </c>
      <c r="E302" s="65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1">
        <v>4680115884205</v>
      </c>
      <c r="E303" s="65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5"/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6"/>
      <c r="P304" s="642" t="s">
        <v>40</v>
      </c>
      <c r="Q304" s="643"/>
      <c r="R304" s="643"/>
      <c r="S304" s="643"/>
      <c r="T304" s="643"/>
      <c r="U304" s="643"/>
      <c r="V304" s="644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5"/>
      <c r="B305" s="645"/>
      <c r="C305" s="645"/>
      <c r="D305" s="645"/>
      <c r="E305" s="645"/>
      <c r="F305" s="645"/>
      <c r="G305" s="645"/>
      <c r="H305" s="645"/>
      <c r="I305" s="645"/>
      <c r="J305" s="645"/>
      <c r="K305" s="645"/>
      <c r="L305" s="645"/>
      <c r="M305" s="645"/>
      <c r="N305" s="645"/>
      <c r="O305" s="646"/>
      <c r="P305" s="642" t="s">
        <v>40</v>
      </c>
      <c r="Q305" s="643"/>
      <c r="R305" s="643"/>
      <c r="S305" s="643"/>
      <c r="T305" s="643"/>
      <c r="U305" s="643"/>
      <c r="V305" s="644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6" t="s">
        <v>156</v>
      </c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6"/>
      <c r="P306" s="656"/>
      <c r="Q306" s="656"/>
      <c r="R306" s="656"/>
      <c r="S306" s="656"/>
      <c r="T306" s="656"/>
      <c r="U306" s="656"/>
      <c r="V306" s="656"/>
      <c r="W306" s="656"/>
      <c r="X306" s="656"/>
      <c r="Y306" s="656"/>
      <c r="Z306" s="656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1">
        <v>4680115885981</v>
      </c>
      <c r="E307" s="65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528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1">
        <v>4680115886803</v>
      </c>
      <c r="E311" s="65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345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1">
        <v>4680115886704</v>
      </c>
      <c r="E315" s="65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1">
        <v>4680115886681</v>
      </c>
      <c r="E316" s="65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3"/>
      <c r="R316" s="653"/>
      <c r="S316" s="653"/>
      <c r="T316" s="65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1">
        <v>4680115886735</v>
      </c>
      <c r="E317" s="65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3"/>
      <c r="R317" s="653"/>
      <c r="S317" s="653"/>
      <c r="T317" s="65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42" t="s">
        <v>40</v>
      </c>
      <c r="Q318" s="643"/>
      <c r="R318" s="643"/>
      <c r="S318" s="643"/>
      <c r="T318" s="643"/>
      <c r="U318" s="643"/>
      <c r="V318" s="644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5"/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6"/>
      <c r="P319" s="642" t="s">
        <v>40</v>
      </c>
      <c r="Q319" s="643"/>
      <c r="R319" s="643"/>
      <c r="S319" s="643"/>
      <c r="T319" s="643"/>
      <c r="U319" s="643"/>
      <c r="V319" s="644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5" t="s">
        <v>539</v>
      </c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"/>
      <c r="AB320" s="65"/>
      <c r="AC320" s="79"/>
    </row>
    <row r="321" spans="1:68" ht="14.25" hidden="1" customHeight="1" x14ac:dyDescent="0.25">
      <c r="A321" s="656" t="s">
        <v>123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1">
        <v>4680115885837</v>
      </c>
      <c r="E322" s="65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3"/>
      <c r="R322" s="653"/>
      <c r="S322" s="653"/>
      <c r="T322" s="65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1">
        <v>4680115887237</v>
      </c>
      <c r="E323" s="65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6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3"/>
      <c r="R323" s="653"/>
      <c r="S323" s="653"/>
      <c r="T323" s="65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1">
        <v>4680115885806</v>
      </c>
      <c r="E324" s="65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3"/>
      <c r="R324" s="653"/>
      <c r="S324" s="653"/>
      <c r="T324" s="65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1">
        <v>4680115885844</v>
      </c>
      <c r="E325" s="65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3"/>
      <c r="R325" s="653"/>
      <c r="S325" s="653"/>
      <c r="T325" s="65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1">
        <v>4680115885820</v>
      </c>
      <c r="E326" s="65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5"/>
      <c r="B327" s="645"/>
      <c r="C327" s="645"/>
      <c r="D327" s="645"/>
      <c r="E327" s="645"/>
      <c r="F327" s="645"/>
      <c r="G327" s="645"/>
      <c r="H327" s="645"/>
      <c r="I327" s="645"/>
      <c r="J327" s="645"/>
      <c r="K327" s="645"/>
      <c r="L327" s="645"/>
      <c r="M327" s="645"/>
      <c r="N327" s="645"/>
      <c r="O327" s="646"/>
      <c r="P327" s="642" t="s">
        <v>40</v>
      </c>
      <c r="Q327" s="643"/>
      <c r="R327" s="643"/>
      <c r="S327" s="643"/>
      <c r="T327" s="643"/>
      <c r="U327" s="643"/>
      <c r="V327" s="644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5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42" t="s">
        <v>40</v>
      </c>
      <c r="Q328" s="643"/>
      <c r="R328" s="643"/>
      <c r="S328" s="643"/>
      <c r="T328" s="643"/>
      <c r="U328" s="643"/>
      <c r="V328" s="644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5" t="s">
        <v>555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"/>
      <c r="AB329" s="65"/>
      <c r="AC329" s="79"/>
    </row>
    <row r="330" spans="1:68" ht="14.25" hidden="1" customHeight="1" x14ac:dyDescent="0.25">
      <c r="A330" s="656" t="s">
        <v>85</v>
      </c>
      <c r="B330" s="656"/>
      <c r="C330" s="656"/>
      <c r="D330" s="656"/>
      <c r="E330" s="656"/>
      <c r="F330" s="656"/>
      <c r="G330" s="656"/>
      <c r="H330" s="656"/>
      <c r="I330" s="656"/>
      <c r="J330" s="656"/>
      <c r="K330" s="656"/>
      <c r="L330" s="656"/>
      <c r="M330" s="656"/>
      <c r="N330" s="656"/>
      <c r="O330" s="656"/>
      <c r="P330" s="656"/>
      <c r="Q330" s="656"/>
      <c r="R330" s="656"/>
      <c r="S330" s="656"/>
      <c r="T330" s="656"/>
      <c r="U330" s="656"/>
      <c r="V330" s="656"/>
      <c r="W330" s="656"/>
      <c r="X330" s="656"/>
      <c r="Y330" s="656"/>
      <c r="Z330" s="656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1">
        <v>4680115886186</v>
      </c>
      <c r="E331" s="65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3"/>
      <c r="R331" s="653"/>
      <c r="S331" s="653"/>
      <c r="T331" s="65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1">
        <v>4680115881228</v>
      </c>
      <c r="E332" s="65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3"/>
      <c r="R332" s="653"/>
      <c r="S332" s="653"/>
      <c r="T332" s="65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1">
        <v>4680115881211</v>
      </c>
      <c r="E333" s="65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3"/>
      <c r="R333" s="653"/>
      <c r="S333" s="653"/>
      <c r="T333" s="65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5"/>
      <c r="B334" s="645"/>
      <c r="C334" s="645"/>
      <c r="D334" s="645"/>
      <c r="E334" s="645"/>
      <c r="F334" s="645"/>
      <c r="G334" s="645"/>
      <c r="H334" s="645"/>
      <c r="I334" s="645"/>
      <c r="J334" s="645"/>
      <c r="K334" s="645"/>
      <c r="L334" s="645"/>
      <c r="M334" s="645"/>
      <c r="N334" s="645"/>
      <c r="O334" s="646"/>
      <c r="P334" s="642" t="s">
        <v>40</v>
      </c>
      <c r="Q334" s="643"/>
      <c r="R334" s="643"/>
      <c r="S334" s="643"/>
      <c r="T334" s="643"/>
      <c r="U334" s="643"/>
      <c r="V334" s="644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5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42" t="s">
        <v>40</v>
      </c>
      <c r="Q335" s="643"/>
      <c r="R335" s="643"/>
      <c r="S335" s="643"/>
      <c r="T335" s="643"/>
      <c r="U335" s="643"/>
      <c r="V335" s="644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5" t="s">
        <v>564</v>
      </c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"/>
      <c r="AB336" s="65"/>
      <c r="AC336" s="79"/>
    </row>
    <row r="337" spans="1:68" ht="14.25" hidden="1" customHeight="1" x14ac:dyDescent="0.25">
      <c r="A337" s="656" t="s">
        <v>76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1">
        <v>4680115888319</v>
      </c>
      <c r="E338" s="65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3"/>
      <c r="R338" s="653"/>
      <c r="S338" s="653"/>
      <c r="T338" s="65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1">
        <v>4680115884700</v>
      </c>
      <c r="E339" s="65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5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3"/>
      <c r="R339" s="653"/>
      <c r="S339" s="653"/>
      <c r="T339" s="65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1">
        <v>4680115880344</v>
      </c>
      <c r="E340" s="65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3"/>
      <c r="R340" s="653"/>
      <c r="S340" s="653"/>
      <c r="T340" s="65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1">
        <v>4680115886919</v>
      </c>
      <c r="E341" s="65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3"/>
      <c r="R341" s="653"/>
      <c r="S341" s="653"/>
      <c r="T341" s="65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1">
        <v>4680115883970</v>
      </c>
      <c r="E342" s="65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5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42" t="s">
        <v>40</v>
      </c>
      <c r="Q343" s="643"/>
      <c r="R343" s="643"/>
      <c r="S343" s="643"/>
      <c r="T343" s="643"/>
      <c r="U343" s="643"/>
      <c r="V343" s="644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42" t="s">
        <v>40</v>
      </c>
      <c r="Q344" s="643"/>
      <c r="R344" s="643"/>
      <c r="S344" s="643"/>
      <c r="T344" s="643"/>
      <c r="U344" s="643"/>
      <c r="V344" s="644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6" t="s">
        <v>85</v>
      </c>
      <c r="B345" s="656"/>
      <c r="C345" s="656"/>
      <c r="D345" s="656"/>
      <c r="E345" s="656"/>
      <c r="F345" s="656"/>
      <c r="G345" s="656"/>
      <c r="H345" s="656"/>
      <c r="I345" s="656"/>
      <c r="J345" s="656"/>
      <c r="K345" s="656"/>
      <c r="L345" s="656"/>
      <c r="M345" s="656"/>
      <c r="N345" s="656"/>
      <c r="O345" s="656"/>
      <c r="P345" s="656"/>
      <c r="Q345" s="656"/>
      <c r="R345" s="656"/>
      <c r="S345" s="656"/>
      <c r="T345" s="656"/>
      <c r="U345" s="656"/>
      <c r="V345" s="656"/>
      <c r="W345" s="656"/>
      <c r="X345" s="656"/>
      <c r="Y345" s="656"/>
      <c r="Z345" s="656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1">
        <v>4680115884618</v>
      </c>
      <c r="E346" s="65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1">
        <v>4680115887114</v>
      </c>
      <c r="E347" s="65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3"/>
      <c r="R347" s="653"/>
      <c r="S347" s="653"/>
      <c r="T347" s="65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5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42" t="s">
        <v>40</v>
      </c>
      <c r="Q349" s="643"/>
      <c r="R349" s="643"/>
      <c r="S349" s="643"/>
      <c r="T349" s="643"/>
      <c r="U349" s="643"/>
      <c r="V349" s="644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5" t="s">
        <v>585</v>
      </c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"/>
      <c r="AB350" s="65"/>
      <c r="AC350" s="79"/>
    </row>
    <row r="351" spans="1:68" ht="14.25" hidden="1" customHeight="1" x14ac:dyDescent="0.25">
      <c r="A351" s="656" t="s">
        <v>123</v>
      </c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6"/>
      <c r="P351" s="656"/>
      <c r="Q351" s="656"/>
      <c r="R351" s="656"/>
      <c r="S351" s="656"/>
      <c r="T351" s="656"/>
      <c r="U351" s="656"/>
      <c r="V351" s="656"/>
      <c r="W351" s="656"/>
      <c r="X351" s="656"/>
      <c r="Y351" s="656"/>
      <c r="Z351" s="656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1">
        <v>4680115887947</v>
      </c>
      <c r="E352" s="65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3"/>
      <c r="R352" s="653"/>
      <c r="S352" s="653"/>
      <c r="T352" s="65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1">
        <v>4680115887978</v>
      </c>
      <c r="E353" s="65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3"/>
      <c r="R353" s="653"/>
      <c r="S353" s="653"/>
      <c r="T353" s="65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1">
        <v>4680115887992</v>
      </c>
      <c r="E354" s="65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3"/>
      <c r="R354" s="653"/>
      <c r="S354" s="653"/>
      <c r="T354" s="65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42" t="s">
        <v>40</v>
      </c>
      <c r="Q355" s="643"/>
      <c r="R355" s="643"/>
      <c r="S355" s="643"/>
      <c r="T355" s="643"/>
      <c r="U355" s="643"/>
      <c r="V355" s="644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5"/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6"/>
      <c r="P356" s="642" t="s">
        <v>40</v>
      </c>
      <c r="Q356" s="643"/>
      <c r="R356" s="643"/>
      <c r="S356" s="643"/>
      <c r="T356" s="643"/>
      <c r="U356" s="643"/>
      <c r="V356" s="644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5" t="s">
        <v>594</v>
      </c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"/>
      <c r="AB357" s="65"/>
      <c r="AC357" s="79"/>
    </row>
    <row r="358" spans="1:68" ht="14.25" hidden="1" customHeight="1" x14ac:dyDescent="0.25">
      <c r="A358" s="656" t="s">
        <v>123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4301012235</v>
      </c>
      <c r="D359" s="651">
        <v>4680115887190</v>
      </c>
      <c r="E359" s="65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53"/>
      <c r="R359" s="653"/>
      <c r="S359" s="653"/>
      <c r="T359" s="654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hidden="1" customHeight="1" x14ac:dyDescent="0.25">
      <c r="A360" s="63" t="s">
        <v>598</v>
      </c>
      <c r="B360" s="63" t="s">
        <v>599</v>
      </c>
      <c r="C360" s="36">
        <v>4301012233</v>
      </c>
      <c r="D360" s="651">
        <v>4680115887138</v>
      </c>
      <c r="E360" s="65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53"/>
      <c r="R360" s="653"/>
      <c r="S360" s="653"/>
      <c r="T360" s="654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4301012016</v>
      </c>
      <c r="D361" s="651">
        <v>4680115885554</v>
      </c>
      <c r="E361" s="65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74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53"/>
      <c r="R361" s="653"/>
      <c r="S361" s="653"/>
      <c r="T361" s="654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4301012236</v>
      </c>
      <c r="D362" s="651">
        <v>4680115887220</v>
      </c>
      <c r="E362" s="651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7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53"/>
      <c r="R362" s="653"/>
      <c r="S362" s="653"/>
      <c r="T362" s="654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606</v>
      </c>
      <c r="B363" s="63" t="s">
        <v>607</v>
      </c>
      <c r="C363" s="36">
        <v>4301011859</v>
      </c>
      <c r="D363" s="651">
        <v>4680115885608</v>
      </c>
      <c r="E363" s="65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645"/>
      <c r="B364" s="645"/>
      <c r="C364" s="645"/>
      <c r="D364" s="645"/>
      <c r="E364" s="645"/>
      <c r="F364" s="645"/>
      <c r="G364" s="645"/>
      <c r="H364" s="645"/>
      <c r="I364" s="645"/>
      <c r="J364" s="645"/>
      <c r="K364" s="645"/>
      <c r="L364" s="645"/>
      <c r="M364" s="645"/>
      <c r="N364" s="645"/>
      <c r="O364" s="646"/>
      <c r="P364" s="642" t="s">
        <v>40</v>
      </c>
      <c r="Q364" s="643"/>
      <c r="R364" s="643"/>
      <c r="S364" s="643"/>
      <c r="T364" s="643"/>
      <c r="U364" s="643"/>
      <c r="V364" s="644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hidden="1" x14ac:dyDescent="0.2">
      <c r="A365" s="645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42" t="s">
        <v>40</v>
      </c>
      <c r="Q365" s="643"/>
      <c r="R365" s="643"/>
      <c r="S365" s="643"/>
      <c r="T365" s="643"/>
      <c r="U365" s="643"/>
      <c r="V365" s="644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656" t="s">
        <v>76</v>
      </c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6"/>
      <c r="P366" s="656"/>
      <c r="Q366" s="656"/>
      <c r="R366" s="656"/>
      <c r="S366" s="656"/>
      <c r="T366" s="656"/>
      <c r="U366" s="656"/>
      <c r="V366" s="656"/>
      <c r="W366" s="656"/>
      <c r="X366" s="656"/>
      <c r="Y366" s="656"/>
      <c r="Z366" s="656"/>
      <c r="AA366" s="66"/>
      <c r="AB366" s="66"/>
      <c r="AC366" s="80"/>
    </row>
    <row r="367" spans="1:68" ht="27" hidden="1" customHeight="1" x14ac:dyDescent="0.25">
      <c r="A367" s="63" t="s">
        <v>609</v>
      </c>
      <c r="B367" s="63" t="s">
        <v>610</v>
      </c>
      <c r="C367" s="36">
        <v>4301030878</v>
      </c>
      <c r="D367" s="651">
        <v>4607091387193</v>
      </c>
      <c r="E367" s="651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7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4301031153</v>
      </c>
      <c r="D368" s="651">
        <v>4607091387230</v>
      </c>
      <c r="E368" s="65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7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4301031154</v>
      </c>
      <c r="D369" s="651">
        <v>4607091387292</v>
      </c>
      <c r="E369" s="651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53"/>
      <c r="R369" s="653"/>
      <c r="S369" s="653"/>
      <c r="T369" s="65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4301031152</v>
      </c>
      <c r="D370" s="651">
        <v>4607091387285</v>
      </c>
      <c r="E370" s="651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53"/>
      <c r="R370" s="653"/>
      <c r="S370" s="653"/>
      <c r="T370" s="65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4301031305</v>
      </c>
      <c r="D371" s="651">
        <v>4607091389845</v>
      </c>
      <c r="E371" s="651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53"/>
      <c r="R371" s="653"/>
      <c r="S371" s="653"/>
      <c r="T371" s="65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4301031460</v>
      </c>
      <c r="D372" s="651">
        <v>4680115887442</v>
      </c>
      <c r="E372" s="65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4301031066</v>
      </c>
      <c r="D373" s="651">
        <v>4607091383836</v>
      </c>
      <c r="E373" s="651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hidden="1" x14ac:dyDescent="0.2">
      <c r="A374" s="645"/>
      <c r="B374" s="645"/>
      <c r="C374" s="645"/>
      <c r="D374" s="645"/>
      <c r="E374" s="645"/>
      <c r="F374" s="645"/>
      <c r="G374" s="645"/>
      <c r="H374" s="645"/>
      <c r="I374" s="645"/>
      <c r="J374" s="645"/>
      <c r="K374" s="645"/>
      <c r="L374" s="645"/>
      <c r="M374" s="645"/>
      <c r="N374" s="645"/>
      <c r="O374" s="646"/>
      <c r="P374" s="642" t="s">
        <v>40</v>
      </c>
      <c r="Q374" s="643"/>
      <c r="R374" s="643"/>
      <c r="S374" s="643"/>
      <c r="T374" s="643"/>
      <c r="U374" s="643"/>
      <c r="V374" s="644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45"/>
      <c r="B375" s="645"/>
      <c r="C375" s="645"/>
      <c r="D375" s="645"/>
      <c r="E375" s="645"/>
      <c r="F375" s="645"/>
      <c r="G375" s="645"/>
      <c r="H375" s="645"/>
      <c r="I375" s="645"/>
      <c r="J375" s="645"/>
      <c r="K375" s="645"/>
      <c r="L375" s="645"/>
      <c r="M375" s="645"/>
      <c r="N375" s="645"/>
      <c r="O375" s="646"/>
      <c r="P375" s="642" t="s">
        <v>40</v>
      </c>
      <c r="Q375" s="643"/>
      <c r="R375" s="643"/>
      <c r="S375" s="643"/>
      <c r="T375" s="643"/>
      <c r="U375" s="643"/>
      <c r="V375" s="644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56" t="s">
        <v>85</v>
      </c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6"/>
      <c r="P376" s="656"/>
      <c r="Q376" s="656"/>
      <c r="R376" s="656"/>
      <c r="S376" s="656"/>
      <c r="T376" s="656"/>
      <c r="U376" s="656"/>
      <c r="V376" s="656"/>
      <c r="W376" s="656"/>
      <c r="X376" s="656"/>
      <c r="Y376" s="656"/>
      <c r="Z376" s="656"/>
      <c r="AA376" s="66"/>
      <c r="AB376" s="66"/>
      <c r="AC376" s="80"/>
    </row>
    <row r="377" spans="1:68" ht="27" hidden="1" customHeight="1" x14ac:dyDescent="0.25">
      <c r="A377" s="63" t="s">
        <v>628</v>
      </c>
      <c r="B377" s="63" t="s">
        <v>629</v>
      </c>
      <c r="C377" s="36">
        <v>4301051100</v>
      </c>
      <c r="D377" s="651">
        <v>4607091387766</v>
      </c>
      <c r="E377" s="651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7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4301051818</v>
      </c>
      <c r="D378" s="651">
        <v>4607091387957</v>
      </c>
      <c r="E378" s="651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4301051819</v>
      </c>
      <c r="D379" s="651">
        <v>4607091387964</v>
      </c>
      <c r="E379" s="651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53"/>
      <c r="R379" s="653"/>
      <c r="S379" s="653"/>
      <c r="T379" s="65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4301051734</v>
      </c>
      <c r="D380" s="651">
        <v>4680115884588</v>
      </c>
      <c r="E380" s="651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53"/>
      <c r="R380" s="653"/>
      <c r="S380" s="653"/>
      <c r="T380" s="65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45"/>
      <c r="B381" s="645"/>
      <c r="C381" s="645"/>
      <c r="D381" s="645"/>
      <c r="E381" s="645"/>
      <c r="F381" s="645"/>
      <c r="G381" s="645"/>
      <c r="H381" s="645"/>
      <c r="I381" s="645"/>
      <c r="J381" s="645"/>
      <c r="K381" s="645"/>
      <c r="L381" s="645"/>
      <c r="M381" s="645"/>
      <c r="N381" s="645"/>
      <c r="O381" s="646"/>
      <c r="P381" s="642" t="s">
        <v>40</v>
      </c>
      <c r="Q381" s="643"/>
      <c r="R381" s="643"/>
      <c r="S381" s="643"/>
      <c r="T381" s="643"/>
      <c r="U381" s="643"/>
      <c r="V381" s="644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45"/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6"/>
      <c r="P382" s="642" t="s">
        <v>40</v>
      </c>
      <c r="Q382" s="643"/>
      <c r="R382" s="643"/>
      <c r="S382" s="643"/>
      <c r="T382" s="643"/>
      <c r="U382" s="643"/>
      <c r="V382" s="644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56" t="s">
        <v>173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4301060387</v>
      </c>
      <c r="D384" s="651">
        <v>4607091380880</v>
      </c>
      <c r="E384" s="651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7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4301060406</v>
      </c>
      <c r="D385" s="651">
        <v>4607091384482</v>
      </c>
      <c r="E385" s="651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4301060484</v>
      </c>
      <c r="D386" s="651">
        <v>4607091380897</v>
      </c>
      <c r="E386" s="651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53"/>
      <c r="R386" s="653"/>
      <c r="S386" s="653"/>
      <c r="T386" s="65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645"/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6"/>
      <c r="P388" s="642" t="s">
        <v>40</v>
      </c>
      <c r="Q388" s="643"/>
      <c r="R388" s="643"/>
      <c r="S388" s="643"/>
      <c r="T388" s="643"/>
      <c r="U388" s="643"/>
      <c r="V388" s="64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656" t="s">
        <v>281</v>
      </c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6"/>
      <c r="P389" s="656"/>
      <c r="Q389" s="656"/>
      <c r="R389" s="656"/>
      <c r="S389" s="656"/>
      <c r="T389" s="656"/>
      <c r="U389" s="656"/>
      <c r="V389" s="656"/>
      <c r="W389" s="656"/>
      <c r="X389" s="656"/>
      <c r="Y389" s="656"/>
      <c r="Z389" s="656"/>
      <c r="AA389" s="66"/>
      <c r="AB389" s="66"/>
      <c r="AC389" s="80"/>
    </row>
    <row r="390" spans="1:68" ht="27" hidden="1" customHeight="1" x14ac:dyDescent="0.25">
      <c r="A390" s="63" t="s">
        <v>648</v>
      </c>
      <c r="B390" s="63" t="s">
        <v>649</v>
      </c>
      <c r="C390" s="36">
        <v>4301030235</v>
      </c>
      <c r="D390" s="651">
        <v>4607091388381</v>
      </c>
      <c r="E390" s="651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651</v>
      </c>
      <c r="B391" s="63" t="s">
        <v>652</v>
      </c>
      <c r="C391" s="36">
        <v>4301030232</v>
      </c>
      <c r="D391" s="651">
        <v>4607091388374</v>
      </c>
      <c r="E391" s="651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4301032015</v>
      </c>
      <c r="D392" s="651">
        <v>4607091383102</v>
      </c>
      <c r="E392" s="651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53"/>
      <c r="R392" s="653"/>
      <c r="S392" s="653"/>
      <c r="T392" s="65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4301030233</v>
      </c>
      <c r="D393" s="651">
        <v>4607091388404</v>
      </c>
      <c r="E393" s="651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53"/>
      <c r="R393" s="653"/>
      <c r="S393" s="653"/>
      <c r="T393" s="65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42" t="s">
        <v>40</v>
      </c>
      <c r="Q394" s="643"/>
      <c r="R394" s="643"/>
      <c r="S394" s="643"/>
      <c r="T394" s="643"/>
      <c r="U394" s="643"/>
      <c r="V394" s="644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45"/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6"/>
      <c r="P395" s="642" t="s">
        <v>40</v>
      </c>
      <c r="Q395" s="643"/>
      <c r="R395" s="643"/>
      <c r="S395" s="643"/>
      <c r="T395" s="643"/>
      <c r="U395" s="643"/>
      <c r="V395" s="644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56" t="s">
        <v>657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6"/>
      <c r="AB396" s="66"/>
      <c r="AC396" s="80"/>
    </row>
    <row r="397" spans="1:68" ht="16.5" hidden="1" customHeight="1" x14ac:dyDescent="0.25">
      <c r="A397" s="63" t="s">
        <v>658</v>
      </c>
      <c r="B397" s="63" t="s">
        <v>659</v>
      </c>
      <c r="C397" s="36">
        <v>4301180007</v>
      </c>
      <c r="D397" s="651">
        <v>4680115881808</v>
      </c>
      <c r="E397" s="651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4301180006</v>
      </c>
      <c r="D398" s="651">
        <v>4680115881822</v>
      </c>
      <c r="E398" s="65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4301180001</v>
      </c>
      <c r="D399" s="651">
        <v>4680115880016</v>
      </c>
      <c r="E399" s="65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7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53"/>
      <c r="R399" s="653"/>
      <c r="S399" s="653"/>
      <c r="T399" s="65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645"/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6"/>
      <c r="P401" s="642" t="s">
        <v>40</v>
      </c>
      <c r="Q401" s="643"/>
      <c r="R401" s="643"/>
      <c r="S401" s="643"/>
      <c r="T401" s="643"/>
      <c r="U401" s="643"/>
      <c r="V401" s="644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656" t="s">
        <v>666</v>
      </c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6"/>
      <c r="P402" s="656"/>
      <c r="Q402" s="656"/>
      <c r="R402" s="656"/>
      <c r="S402" s="656"/>
      <c r="T402" s="656"/>
      <c r="U402" s="656"/>
      <c r="V402" s="656"/>
      <c r="W402" s="656"/>
      <c r="X402" s="656"/>
      <c r="Y402" s="656"/>
      <c r="Z402" s="656"/>
      <c r="AA402" s="66"/>
      <c r="AB402" s="66"/>
      <c r="AC402" s="80"/>
    </row>
    <row r="403" spans="1:68" ht="27" hidden="1" customHeight="1" x14ac:dyDescent="0.25">
      <c r="A403" s="63" t="s">
        <v>667</v>
      </c>
      <c r="B403" s="63" t="s">
        <v>668</v>
      </c>
      <c r="C403" s="36">
        <v>4301220003</v>
      </c>
      <c r="D403" s="651">
        <v>4680115888678</v>
      </c>
      <c r="E403" s="651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7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670</v>
      </c>
      <c r="B404" s="63" t="s">
        <v>671</v>
      </c>
      <c r="C404" s="36">
        <v>4301220001</v>
      </c>
      <c r="D404" s="651">
        <v>4680115888654</v>
      </c>
      <c r="E404" s="651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7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4301220002</v>
      </c>
      <c r="D405" s="651">
        <v>4680115888753</v>
      </c>
      <c r="E405" s="651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7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53"/>
      <c r="R405" s="653"/>
      <c r="S405" s="653"/>
      <c r="T405" s="65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42" t="s">
        <v>40</v>
      </c>
      <c r="Q407" s="643"/>
      <c r="R407" s="643"/>
      <c r="S407" s="643"/>
      <c r="T407" s="643"/>
      <c r="U407" s="643"/>
      <c r="V407" s="644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55" t="s">
        <v>675</v>
      </c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"/>
      <c r="AB408" s="65"/>
      <c r="AC408" s="79"/>
    </row>
    <row r="409" spans="1:68" ht="14.25" hidden="1" customHeight="1" x14ac:dyDescent="0.25">
      <c r="A409" s="656" t="s">
        <v>85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6"/>
      <c r="AB409" s="66"/>
      <c r="AC409" s="80"/>
    </row>
    <row r="410" spans="1:68" ht="16.5" hidden="1" customHeight="1" x14ac:dyDescent="0.25">
      <c r="A410" s="63" t="s">
        <v>676</v>
      </c>
      <c r="B410" s="63" t="s">
        <v>677</v>
      </c>
      <c r="C410" s="36">
        <v>4301052235</v>
      </c>
      <c r="D410" s="651">
        <v>4680115889415</v>
      </c>
      <c r="E410" s="651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7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hidden="1" customHeight="1" x14ac:dyDescent="0.25">
      <c r="A411" s="63" t="s">
        <v>679</v>
      </c>
      <c r="B411" s="63" t="s">
        <v>680</v>
      </c>
      <c r="C411" s="36">
        <v>4301052236</v>
      </c>
      <c r="D411" s="651">
        <v>4680115889422</v>
      </c>
      <c r="E411" s="65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1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53"/>
      <c r="R411" s="653"/>
      <c r="S411" s="653"/>
      <c r="T411" s="65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42" t="s">
        <v>40</v>
      </c>
      <c r="Q413" s="643"/>
      <c r="R413" s="643"/>
      <c r="S413" s="643"/>
      <c r="T413" s="643"/>
      <c r="U413" s="643"/>
      <c r="V413" s="644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hidden="1" customHeight="1" x14ac:dyDescent="0.25">
      <c r="A414" s="655" t="s">
        <v>682</v>
      </c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"/>
      <c r="AB414" s="65"/>
      <c r="AC414" s="79"/>
    </row>
    <row r="415" spans="1:68" ht="14.25" hidden="1" customHeight="1" x14ac:dyDescent="0.25">
      <c r="A415" s="656" t="s">
        <v>85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6"/>
      <c r="AB415" s="66"/>
      <c r="AC415" s="80"/>
    </row>
    <row r="416" spans="1:68" ht="27" hidden="1" customHeight="1" x14ac:dyDescent="0.25">
      <c r="A416" s="63" t="s">
        <v>683</v>
      </c>
      <c r="B416" s="63" t="s">
        <v>684</v>
      </c>
      <c r="C416" s="36">
        <v>4301051489</v>
      </c>
      <c r="D416" s="651">
        <v>4607091387919</v>
      </c>
      <c r="E416" s="651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686</v>
      </c>
      <c r="B417" s="63" t="s">
        <v>687</v>
      </c>
      <c r="C417" s="36">
        <v>4301051461</v>
      </c>
      <c r="D417" s="651">
        <v>4680115883604</v>
      </c>
      <c r="E417" s="651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4301051864</v>
      </c>
      <c r="D418" s="651">
        <v>4680115883567</v>
      </c>
      <c r="E418" s="651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53"/>
      <c r="R418" s="653"/>
      <c r="S418" s="653"/>
      <c r="T418" s="65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hidden="1" x14ac:dyDescent="0.2">
      <c r="A420" s="645"/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6"/>
      <c r="P420" s="642" t="s">
        <v>40</v>
      </c>
      <c r="Q420" s="643"/>
      <c r="R420" s="643"/>
      <c r="S420" s="643"/>
      <c r="T420" s="643"/>
      <c r="U420" s="643"/>
      <c r="V420" s="644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hidden="1" customHeight="1" x14ac:dyDescent="0.2">
      <c r="A421" s="662" t="s">
        <v>692</v>
      </c>
      <c r="B421" s="662"/>
      <c r="C421" s="662"/>
      <c r="D421" s="662"/>
      <c r="E421" s="662"/>
      <c r="F421" s="662"/>
      <c r="G421" s="662"/>
      <c r="H421" s="662"/>
      <c r="I421" s="662"/>
      <c r="J421" s="662"/>
      <c r="K421" s="662"/>
      <c r="L421" s="662"/>
      <c r="M421" s="662"/>
      <c r="N421" s="662"/>
      <c r="O421" s="662"/>
      <c r="P421" s="662"/>
      <c r="Q421" s="662"/>
      <c r="R421" s="662"/>
      <c r="S421" s="662"/>
      <c r="T421" s="662"/>
      <c r="U421" s="662"/>
      <c r="V421" s="662"/>
      <c r="W421" s="662"/>
      <c r="X421" s="662"/>
      <c r="Y421" s="662"/>
      <c r="Z421" s="662"/>
      <c r="AA421" s="54"/>
      <c r="AB421" s="54"/>
      <c r="AC421" s="54"/>
    </row>
    <row r="422" spans="1:68" ht="16.5" hidden="1" customHeight="1" x14ac:dyDescent="0.25">
      <c r="A422" s="655" t="s">
        <v>693</v>
      </c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"/>
      <c r="AB422" s="65"/>
      <c r="AC422" s="79"/>
    </row>
    <row r="423" spans="1:68" ht="14.25" hidden="1" customHeight="1" x14ac:dyDescent="0.25">
      <c r="A423" s="656" t="s">
        <v>123</v>
      </c>
      <c r="B423" s="656"/>
      <c r="C423" s="656"/>
      <c r="D423" s="656"/>
      <c r="E423" s="656"/>
      <c r="F423" s="656"/>
      <c r="G423" s="656"/>
      <c r="H423" s="656"/>
      <c r="I423" s="656"/>
      <c r="J423" s="656"/>
      <c r="K423" s="656"/>
      <c r="L423" s="656"/>
      <c r="M423" s="656"/>
      <c r="N423" s="656"/>
      <c r="O423" s="656"/>
      <c r="P423" s="656"/>
      <c r="Q423" s="656"/>
      <c r="R423" s="656"/>
      <c r="S423" s="656"/>
      <c r="T423" s="656"/>
      <c r="U423" s="656"/>
      <c r="V423" s="656"/>
      <c r="W423" s="656"/>
      <c r="X423" s="656"/>
      <c r="Y423" s="656"/>
      <c r="Z423" s="656"/>
      <c r="AA423" s="66"/>
      <c r="AB423" s="66"/>
      <c r="AC423" s="80"/>
    </row>
    <row r="424" spans="1:68" ht="27" hidden="1" customHeight="1" x14ac:dyDescent="0.25">
      <c r="A424" s="63" t="s">
        <v>694</v>
      </c>
      <c r="B424" s="63" t="s">
        <v>695</v>
      </c>
      <c r="C424" s="36">
        <v>4301012332</v>
      </c>
      <c r="D424" s="651">
        <v>4680115888401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651">
        <v>4680115884847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300</v>
      </c>
      <c r="Y425" s="55">
        <f t="shared" si="59"/>
        <v>300</v>
      </c>
      <c r="Z425" s="41">
        <f>IFERROR(IF(Y425=0,"",ROUNDUP(Y425/H425,0)*0.02175),"")</f>
        <v>0.43499999999999994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309.39999999999998</v>
      </c>
      <c r="BN425" s="78">
        <f t="shared" si="61"/>
        <v>309.39999999999998</v>
      </c>
      <c r="BO425" s="78">
        <f t="shared" si="62"/>
        <v>0.41666666666666663</v>
      </c>
      <c r="BP425" s="78">
        <f t="shared" si="63"/>
        <v>0.41666666666666663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4301012083</v>
      </c>
      <c r="D426" s="651">
        <v>4680115884854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4301011867</v>
      </c>
      <c r="D427" s="651">
        <v>4680115884830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4301012356</v>
      </c>
      <c r="D428" s="651">
        <v>4680115889231</v>
      </c>
      <c r="E428" s="65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4301011433</v>
      </c>
      <c r="D429" s="651">
        <v>4680115882638</v>
      </c>
      <c r="E429" s="651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4301011952</v>
      </c>
      <c r="D430" s="651">
        <v>4680115884922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hidden="1" customHeight="1" x14ac:dyDescent="0.25">
      <c r="A431" s="63" t="s">
        <v>715</v>
      </c>
      <c r="B431" s="63" t="s">
        <v>716</v>
      </c>
      <c r="C431" s="36">
        <v>4301011868</v>
      </c>
      <c r="D431" s="651">
        <v>4680115884861</v>
      </c>
      <c r="E431" s="65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53"/>
      <c r="R431" s="653"/>
      <c r="S431" s="653"/>
      <c r="T431" s="65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20</v>
      </c>
      <c r="Y432" s="43">
        <f>IFERROR(Y424/H424,"0")+IFERROR(Y425/H425,"0")+IFERROR(Y426/H426,"0")+IFERROR(Y427/H427,"0")+IFERROR(Y428/H428,"0")+IFERROR(Y429/H429,"0")+IFERROR(Y430/H430,"0")+IFERROR(Y431/H431,"0")</f>
        <v>20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0.43499999999999994</v>
      </c>
      <c r="AA432" s="67"/>
      <c r="AB432" s="67"/>
      <c r="AC432" s="67"/>
    </row>
    <row r="433" spans="1:68" x14ac:dyDescent="0.2">
      <c r="A433" s="645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42" t="s">
        <v>40</v>
      </c>
      <c r="Q433" s="643"/>
      <c r="R433" s="643"/>
      <c r="S433" s="643"/>
      <c r="T433" s="643"/>
      <c r="U433" s="643"/>
      <c r="V433" s="644"/>
      <c r="W433" s="42" t="s">
        <v>0</v>
      </c>
      <c r="X433" s="43">
        <f>IFERROR(SUM(X424:X431),"0")</f>
        <v>300</v>
      </c>
      <c r="Y433" s="43">
        <f>IFERROR(SUM(Y424:Y431),"0")</f>
        <v>300</v>
      </c>
      <c r="Z433" s="42"/>
      <c r="AA433" s="67"/>
      <c r="AB433" s="67"/>
      <c r="AC433" s="67"/>
    </row>
    <row r="434" spans="1:68" ht="14.25" hidden="1" customHeight="1" x14ac:dyDescent="0.25">
      <c r="A434" s="656" t="s">
        <v>156</v>
      </c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6"/>
      <c r="P434" s="656"/>
      <c r="Q434" s="656"/>
      <c r="R434" s="656"/>
      <c r="S434" s="656"/>
      <c r="T434" s="656"/>
      <c r="U434" s="656"/>
      <c r="V434" s="656"/>
      <c r="W434" s="656"/>
      <c r="X434" s="656"/>
      <c r="Y434" s="656"/>
      <c r="Z434" s="656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651">
        <v>4607091383980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290</v>
      </c>
      <c r="Y435" s="55">
        <f>IFERROR(IF(X435="",0,CEILING((X435/$H435),1)*$H435),"")</f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299.0866666666667</v>
      </c>
      <c r="BN435" s="78">
        <f>IFERROR(Y435*I435/H435,"0")</f>
        <v>309.39999999999998</v>
      </c>
      <c r="BO435" s="78">
        <f>IFERROR(1/J435*(X435/H435),"0")</f>
        <v>0.40277777777777773</v>
      </c>
      <c r="BP435" s="78">
        <f>IFERROR(1/J435*(Y435/H435),"0")</f>
        <v>0.41666666666666663</v>
      </c>
    </row>
    <row r="436" spans="1:68" ht="27" hidden="1" customHeight="1" x14ac:dyDescent="0.25">
      <c r="A436" s="63" t="s">
        <v>721</v>
      </c>
      <c r="B436" s="63" t="s">
        <v>722</v>
      </c>
      <c r="C436" s="36">
        <v>4301020355</v>
      </c>
      <c r="D436" s="651">
        <v>4680115888425</v>
      </c>
      <c r="E436" s="65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4301020179</v>
      </c>
      <c r="D437" s="651">
        <v>4607091384178</v>
      </c>
      <c r="E437" s="651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53"/>
      <c r="R437" s="653"/>
      <c r="S437" s="653"/>
      <c r="T437" s="65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39</v>
      </c>
      <c r="X438" s="43">
        <f>IFERROR(X435/H435,"0")+IFERROR(X436/H436,"0")+IFERROR(X437/H437,"0")</f>
        <v>19.333333333333332</v>
      </c>
      <c r="Y438" s="43">
        <f>IFERROR(Y435/H435,"0")+IFERROR(Y436/H436,"0")+IFERROR(Y437/H437,"0")</f>
        <v>20</v>
      </c>
      <c r="Z438" s="43">
        <f>IFERROR(IF(Z435="",0,Z435),"0")+IFERROR(IF(Z436="",0,Z436),"0")+IFERROR(IF(Z437="",0,Z437),"0")</f>
        <v>0.43499999999999994</v>
      </c>
      <c r="AA438" s="67"/>
      <c r="AB438" s="67"/>
      <c r="AC438" s="67"/>
    </row>
    <row r="439" spans="1:68" x14ac:dyDescent="0.2">
      <c r="A439" s="645"/>
      <c r="B439" s="645"/>
      <c r="C439" s="645"/>
      <c r="D439" s="645"/>
      <c r="E439" s="645"/>
      <c r="F439" s="645"/>
      <c r="G439" s="645"/>
      <c r="H439" s="645"/>
      <c r="I439" s="645"/>
      <c r="J439" s="645"/>
      <c r="K439" s="645"/>
      <c r="L439" s="645"/>
      <c r="M439" s="645"/>
      <c r="N439" s="645"/>
      <c r="O439" s="646"/>
      <c r="P439" s="642" t="s">
        <v>40</v>
      </c>
      <c r="Q439" s="643"/>
      <c r="R439" s="643"/>
      <c r="S439" s="643"/>
      <c r="T439" s="643"/>
      <c r="U439" s="643"/>
      <c r="V439" s="644"/>
      <c r="W439" s="42" t="s">
        <v>0</v>
      </c>
      <c r="X439" s="43">
        <f>IFERROR(SUM(X435:X437),"0")</f>
        <v>290</v>
      </c>
      <c r="Y439" s="43">
        <f>IFERROR(SUM(Y435:Y437),"0")</f>
        <v>300</v>
      </c>
      <c r="Z439" s="42"/>
      <c r="AA439" s="67"/>
      <c r="AB439" s="67"/>
      <c r="AC439" s="67"/>
    </row>
    <row r="440" spans="1:68" ht="14.25" hidden="1" customHeight="1" x14ac:dyDescent="0.25">
      <c r="A440" s="656" t="s">
        <v>85</v>
      </c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6"/>
      <c r="P440" s="656"/>
      <c r="Q440" s="656"/>
      <c r="R440" s="656"/>
      <c r="S440" s="656"/>
      <c r="T440" s="656"/>
      <c r="U440" s="656"/>
      <c r="V440" s="656"/>
      <c r="W440" s="656"/>
      <c r="X440" s="656"/>
      <c r="Y440" s="656"/>
      <c r="Z440" s="656"/>
      <c r="AA440" s="66"/>
      <c r="AB440" s="66"/>
      <c r="AC440" s="80"/>
    </row>
    <row r="441" spans="1:68" ht="27" hidden="1" customHeight="1" x14ac:dyDescent="0.25">
      <c r="A441" s="63" t="s">
        <v>727</v>
      </c>
      <c r="B441" s="63" t="s">
        <v>728</v>
      </c>
      <c r="C441" s="36">
        <v>4301051903</v>
      </c>
      <c r="D441" s="651">
        <v>4607091383928</v>
      </c>
      <c r="E441" s="651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730</v>
      </c>
      <c r="B442" s="63" t="s">
        <v>731</v>
      </c>
      <c r="C442" s="36">
        <v>4301051897</v>
      </c>
      <c r="D442" s="651">
        <v>4607091384260</v>
      </c>
      <c r="E442" s="651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4301052220</v>
      </c>
      <c r="D443" s="651">
        <v>4680115889538</v>
      </c>
      <c r="E443" s="651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53"/>
      <c r="R443" s="653"/>
      <c r="S443" s="653"/>
      <c r="T443" s="65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45"/>
      <c r="B445" s="645"/>
      <c r="C445" s="645"/>
      <c r="D445" s="645"/>
      <c r="E445" s="645"/>
      <c r="F445" s="645"/>
      <c r="G445" s="645"/>
      <c r="H445" s="645"/>
      <c r="I445" s="645"/>
      <c r="J445" s="645"/>
      <c r="K445" s="645"/>
      <c r="L445" s="645"/>
      <c r="M445" s="645"/>
      <c r="N445" s="645"/>
      <c r="O445" s="646"/>
      <c r="P445" s="642" t="s">
        <v>40</v>
      </c>
      <c r="Q445" s="643"/>
      <c r="R445" s="643"/>
      <c r="S445" s="643"/>
      <c r="T445" s="643"/>
      <c r="U445" s="643"/>
      <c r="V445" s="64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56" t="s">
        <v>173</v>
      </c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6"/>
      <c r="P446" s="656"/>
      <c r="Q446" s="656"/>
      <c r="R446" s="656"/>
      <c r="S446" s="656"/>
      <c r="T446" s="656"/>
      <c r="U446" s="656"/>
      <c r="V446" s="656"/>
      <c r="W446" s="656"/>
      <c r="X446" s="656"/>
      <c r="Y446" s="656"/>
      <c r="Z446" s="656"/>
      <c r="AA446" s="66"/>
      <c r="AB446" s="66"/>
      <c r="AC446" s="80"/>
    </row>
    <row r="447" spans="1:68" ht="27" hidden="1" customHeight="1" x14ac:dyDescent="0.25">
      <c r="A447" s="63" t="s">
        <v>736</v>
      </c>
      <c r="B447" s="63" t="s">
        <v>737</v>
      </c>
      <c r="C447" s="36">
        <v>4301060537</v>
      </c>
      <c r="D447" s="651">
        <v>4680115889545</v>
      </c>
      <c r="E447" s="651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hidden="1" customHeight="1" x14ac:dyDescent="0.25">
      <c r="A448" s="63" t="s">
        <v>739</v>
      </c>
      <c r="B448" s="63" t="s">
        <v>740</v>
      </c>
      <c r="C448" s="36">
        <v>4301060524</v>
      </c>
      <c r="D448" s="651">
        <v>4607091384673</v>
      </c>
      <c r="E448" s="651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53"/>
      <c r="R448" s="653"/>
      <c r="S448" s="653"/>
      <c r="T448" s="65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hidden="1" x14ac:dyDescent="0.2">
      <c r="A450" s="645"/>
      <c r="B450" s="645"/>
      <c r="C450" s="645"/>
      <c r="D450" s="645"/>
      <c r="E450" s="645"/>
      <c r="F450" s="645"/>
      <c r="G450" s="645"/>
      <c r="H450" s="645"/>
      <c r="I450" s="645"/>
      <c r="J450" s="645"/>
      <c r="K450" s="645"/>
      <c r="L450" s="645"/>
      <c r="M450" s="645"/>
      <c r="N450" s="645"/>
      <c r="O450" s="646"/>
      <c r="P450" s="642" t="s">
        <v>40</v>
      </c>
      <c r="Q450" s="643"/>
      <c r="R450" s="643"/>
      <c r="S450" s="643"/>
      <c r="T450" s="643"/>
      <c r="U450" s="643"/>
      <c r="V450" s="644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hidden="1" customHeight="1" x14ac:dyDescent="0.25">
      <c r="A451" s="655" t="s">
        <v>742</v>
      </c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"/>
      <c r="AB451" s="65"/>
      <c r="AC451" s="79"/>
    </row>
    <row r="452" spans="1:68" ht="14.25" hidden="1" customHeight="1" x14ac:dyDescent="0.25">
      <c r="A452" s="656" t="s">
        <v>123</v>
      </c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6"/>
      <c r="P452" s="656"/>
      <c r="Q452" s="656"/>
      <c r="R452" s="656"/>
      <c r="S452" s="656"/>
      <c r="T452" s="656"/>
      <c r="U452" s="656"/>
      <c r="V452" s="656"/>
      <c r="W452" s="656"/>
      <c r="X452" s="656"/>
      <c r="Y452" s="656"/>
      <c r="Z452" s="656"/>
      <c r="AA452" s="66"/>
      <c r="AB452" s="66"/>
      <c r="AC452" s="80"/>
    </row>
    <row r="453" spans="1:68" ht="27" hidden="1" customHeight="1" x14ac:dyDescent="0.25">
      <c r="A453" s="63" t="s">
        <v>743</v>
      </c>
      <c r="B453" s="63" t="s">
        <v>744</v>
      </c>
      <c r="C453" s="36">
        <v>4301011875</v>
      </c>
      <c r="D453" s="651">
        <v>4680115884885</v>
      </c>
      <c r="E453" s="651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hidden="1" customHeight="1" x14ac:dyDescent="0.25">
      <c r="A454" s="63" t="s">
        <v>746</v>
      </c>
      <c r="B454" s="63" t="s">
        <v>747</v>
      </c>
      <c r="C454" s="36">
        <v>4301011871</v>
      </c>
      <c r="D454" s="651">
        <v>4680115884908</v>
      </c>
      <c r="E454" s="651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53"/>
      <c r="R454" s="653"/>
      <c r="S454" s="653"/>
      <c r="T454" s="65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645"/>
      <c r="B456" s="645"/>
      <c r="C456" s="645"/>
      <c r="D456" s="645"/>
      <c r="E456" s="645"/>
      <c r="F456" s="645"/>
      <c r="G456" s="645"/>
      <c r="H456" s="645"/>
      <c r="I456" s="645"/>
      <c r="J456" s="645"/>
      <c r="K456" s="645"/>
      <c r="L456" s="645"/>
      <c r="M456" s="645"/>
      <c r="N456" s="645"/>
      <c r="O456" s="646"/>
      <c r="P456" s="642" t="s">
        <v>40</v>
      </c>
      <c r="Q456" s="643"/>
      <c r="R456" s="643"/>
      <c r="S456" s="643"/>
      <c r="T456" s="643"/>
      <c r="U456" s="643"/>
      <c r="V456" s="644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56" t="s">
        <v>76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4301031457</v>
      </c>
      <c r="D458" s="651">
        <v>4607091384802</v>
      </c>
      <c r="E458" s="651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53"/>
      <c r="R458" s="653"/>
      <c r="S458" s="653"/>
      <c r="T458" s="65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645"/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6"/>
      <c r="P460" s="642" t="s">
        <v>40</v>
      </c>
      <c r="Q460" s="643"/>
      <c r="R460" s="643"/>
      <c r="S460" s="643"/>
      <c r="T460" s="643"/>
      <c r="U460" s="643"/>
      <c r="V460" s="644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6" t="s">
        <v>85</v>
      </c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6"/>
      <c r="P461" s="656"/>
      <c r="Q461" s="656"/>
      <c r="R461" s="656"/>
      <c r="S461" s="656"/>
      <c r="T461" s="656"/>
      <c r="U461" s="656"/>
      <c r="V461" s="656"/>
      <c r="W461" s="656"/>
      <c r="X461" s="656"/>
      <c r="Y461" s="656"/>
      <c r="Z461" s="656"/>
      <c r="AA461" s="66"/>
      <c r="AB461" s="66"/>
      <c r="AC461" s="80"/>
    </row>
    <row r="462" spans="1:68" ht="27" hidden="1" customHeight="1" x14ac:dyDescent="0.25">
      <c r="A462" s="63" t="s">
        <v>751</v>
      </c>
      <c r="B462" s="63" t="s">
        <v>752</v>
      </c>
      <c r="C462" s="36">
        <v>4301051899</v>
      </c>
      <c r="D462" s="651">
        <v>4607091384246</v>
      </c>
      <c r="E462" s="651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754</v>
      </c>
      <c r="B463" s="63" t="s">
        <v>755</v>
      </c>
      <c r="C463" s="36">
        <v>4301051660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754</v>
      </c>
      <c r="B464" s="63" t="s">
        <v>756</v>
      </c>
      <c r="C464" s="36">
        <v>4301052069</v>
      </c>
      <c r="D464" s="651">
        <v>4607091384253</v>
      </c>
      <c r="E464" s="65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53"/>
      <c r="R464" s="653"/>
      <c r="S464" s="653"/>
      <c r="T464" s="65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45"/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6"/>
      <c r="P466" s="642" t="s">
        <v>40</v>
      </c>
      <c r="Q466" s="643"/>
      <c r="R466" s="643"/>
      <c r="S466" s="643"/>
      <c r="T466" s="643"/>
      <c r="U466" s="643"/>
      <c r="V466" s="644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hidden="1" customHeight="1" x14ac:dyDescent="0.2">
      <c r="A467" s="662" t="s">
        <v>758</v>
      </c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2"/>
      <c r="P467" s="662"/>
      <c r="Q467" s="662"/>
      <c r="R467" s="662"/>
      <c r="S467" s="662"/>
      <c r="T467" s="662"/>
      <c r="U467" s="662"/>
      <c r="V467" s="662"/>
      <c r="W467" s="662"/>
      <c r="X467" s="662"/>
      <c r="Y467" s="662"/>
      <c r="Z467" s="662"/>
      <c r="AA467" s="54"/>
      <c r="AB467" s="54"/>
      <c r="AC467" s="54"/>
    </row>
    <row r="468" spans="1:68" ht="16.5" hidden="1" customHeight="1" x14ac:dyDescent="0.25">
      <c r="A468" s="655" t="s">
        <v>759</v>
      </c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"/>
      <c r="AB468" s="65"/>
      <c r="AC468" s="79"/>
    </row>
    <row r="469" spans="1:68" ht="14.25" hidden="1" customHeight="1" x14ac:dyDescent="0.25">
      <c r="A469" s="656" t="s">
        <v>76</v>
      </c>
      <c r="B469" s="656"/>
      <c r="C469" s="656"/>
      <c r="D469" s="656"/>
      <c r="E469" s="656"/>
      <c r="F469" s="656"/>
      <c r="G469" s="656"/>
      <c r="H469" s="656"/>
      <c r="I469" s="656"/>
      <c r="J469" s="656"/>
      <c r="K469" s="656"/>
      <c r="L469" s="656"/>
      <c r="M469" s="656"/>
      <c r="N469" s="656"/>
      <c r="O469" s="656"/>
      <c r="P469" s="656"/>
      <c r="Q469" s="656"/>
      <c r="R469" s="656"/>
      <c r="S469" s="656"/>
      <c r="T469" s="656"/>
      <c r="U469" s="656"/>
      <c r="V469" s="656"/>
      <c r="W469" s="656"/>
      <c r="X469" s="656"/>
      <c r="Y469" s="656"/>
      <c r="Z469" s="656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4301031405</v>
      </c>
      <c r="D470" s="651">
        <v>4680115886100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4301031402</v>
      </c>
      <c r="D471" s="651">
        <v>4680115886124</v>
      </c>
      <c r="E471" s="65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4301031362</v>
      </c>
      <c r="D472" s="651">
        <v>4607091384338</v>
      </c>
      <c r="E472" s="65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hidden="1" customHeight="1" x14ac:dyDescent="0.25">
      <c r="A473" s="63" t="s">
        <v>768</v>
      </c>
      <c r="B473" s="63" t="s">
        <v>769</v>
      </c>
      <c r="C473" s="36">
        <v>4301031364</v>
      </c>
      <c r="D473" s="651">
        <v>4680115883161</v>
      </c>
      <c r="E473" s="651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4301031358</v>
      </c>
      <c r="D474" s="651">
        <v>4607091389531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hidden="1" customHeight="1" x14ac:dyDescent="0.25">
      <c r="A475" s="63" t="s">
        <v>774</v>
      </c>
      <c r="B475" s="63" t="s">
        <v>775</v>
      </c>
      <c r="C475" s="36">
        <v>4301031360</v>
      </c>
      <c r="D475" s="651">
        <v>4607091384345</v>
      </c>
      <c r="E475" s="65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53"/>
      <c r="R475" s="653"/>
      <c r="S475" s="653"/>
      <c r="T475" s="65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45"/>
      <c r="B477" s="645"/>
      <c r="C477" s="645"/>
      <c r="D477" s="645"/>
      <c r="E477" s="645"/>
      <c r="F477" s="645"/>
      <c r="G477" s="645"/>
      <c r="H477" s="645"/>
      <c r="I477" s="645"/>
      <c r="J477" s="645"/>
      <c r="K477" s="645"/>
      <c r="L477" s="645"/>
      <c r="M477" s="645"/>
      <c r="N477" s="645"/>
      <c r="O477" s="646"/>
      <c r="P477" s="642" t="s">
        <v>40</v>
      </c>
      <c r="Q477" s="643"/>
      <c r="R477" s="643"/>
      <c r="S477" s="643"/>
      <c r="T477" s="643"/>
      <c r="U477" s="643"/>
      <c r="V477" s="644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56" t="s">
        <v>85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66"/>
      <c r="AB478" s="66"/>
      <c r="AC478" s="80"/>
    </row>
    <row r="479" spans="1:68" ht="27" hidden="1" customHeight="1" x14ac:dyDescent="0.25">
      <c r="A479" s="63" t="s">
        <v>776</v>
      </c>
      <c r="B479" s="63" t="s">
        <v>777</v>
      </c>
      <c r="C479" s="36">
        <v>4301051284</v>
      </c>
      <c r="D479" s="651">
        <v>4607091384352</v>
      </c>
      <c r="E479" s="651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4301051431</v>
      </c>
      <c r="D480" s="651">
        <v>4607091389654</v>
      </c>
      <c r="E480" s="651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53"/>
      <c r="R480" s="653"/>
      <c r="S480" s="653"/>
      <c r="T480" s="65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45"/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6"/>
      <c r="P482" s="642" t="s">
        <v>40</v>
      </c>
      <c r="Q482" s="643"/>
      <c r="R482" s="643"/>
      <c r="S482" s="643"/>
      <c r="T482" s="643"/>
      <c r="U482" s="643"/>
      <c r="V482" s="644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55" t="s">
        <v>782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"/>
      <c r="AB483" s="65"/>
      <c r="AC483" s="79"/>
    </row>
    <row r="484" spans="1:68" ht="14.25" hidden="1" customHeight="1" x14ac:dyDescent="0.25">
      <c r="A484" s="656" t="s">
        <v>156</v>
      </c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6"/>
      <c r="P484" s="656"/>
      <c r="Q484" s="656"/>
      <c r="R484" s="656"/>
      <c r="S484" s="656"/>
      <c r="T484" s="656"/>
      <c r="U484" s="656"/>
      <c r="V484" s="656"/>
      <c r="W484" s="656"/>
      <c r="X484" s="656"/>
      <c r="Y484" s="656"/>
      <c r="Z484" s="656"/>
      <c r="AA484" s="66"/>
      <c r="AB484" s="66"/>
      <c r="AC484" s="80"/>
    </row>
    <row r="485" spans="1:68" ht="27" hidden="1" customHeight="1" x14ac:dyDescent="0.25">
      <c r="A485" s="63" t="s">
        <v>783</v>
      </c>
      <c r="B485" s="63" t="s">
        <v>784</v>
      </c>
      <c r="C485" s="36">
        <v>4301020416</v>
      </c>
      <c r="D485" s="651">
        <v>4680115885240</v>
      </c>
      <c r="E485" s="651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53"/>
      <c r="R485" s="653"/>
      <c r="S485" s="653"/>
      <c r="T485" s="65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45"/>
      <c r="B487" s="645"/>
      <c r="C487" s="645"/>
      <c r="D487" s="645"/>
      <c r="E487" s="645"/>
      <c r="F487" s="645"/>
      <c r="G487" s="645"/>
      <c r="H487" s="645"/>
      <c r="I487" s="645"/>
      <c r="J487" s="645"/>
      <c r="K487" s="645"/>
      <c r="L487" s="645"/>
      <c r="M487" s="645"/>
      <c r="N487" s="645"/>
      <c r="O487" s="646"/>
      <c r="P487" s="642" t="s">
        <v>40</v>
      </c>
      <c r="Q487" s="643"/>
      <c r="R487" s="643"/>
      <c r="S487" s="643"/>
      <c r="T487" s="643"/>
      <c r="U487" s="643"/>
      <c r="V487" s="644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56" t="s">
        <v>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6"/>
      <c r="AB488" s="66"/>
      <c r="AC488" s="80"/>
    </row>
    <row r="489" spans="1:68" ht="27" hidden="1" customHeight="1" x14ac:dyDescent="0.25">
      <c r="A489" s="63" t="s">
        <v>786</v>
      </c>
      <c r="B489" s="63" t="s">
        <v>787</v>
      </c>
      <c r="C489" s="36">
        <v>4301031407</v>
      </c>
      <c r="D489" s="651">
        <v>4680115886094</v>
      </c>
      <c r="E489" s="651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789</v>
      </c>
      <c r="B490" s="63" t="s">
        <v>790</v>
      </c>
      <c r="C490" s="36">
        <v>4301031373</v>
      </c>
      <c r="D490" s="651">
        <v>4680115880771</v>
      </c>
      <c r="E490" s="651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4301031359</v>
      </c>
      <c r="D491" s="651">
        <v>4607091389500</v>
      </c>
      <c r="E491" s="651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53"/>
      <c r="R491" s="653"/>
      <c r="S491" s="653"/>
      <c r="T491" s="65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hidden="1" x14ac:dyDescent="0.2">
      <c r="A493" s="645"/>
      <c r="B493" s="645"/>
      <c r="C493" s="645"/>
      <c r="D493" s="645"/>
      <c r="E493" s="645"/>
      <c r="F493" s="645"/>
      <c r="G493" s="645"/>
      <c r="H493" s="645"/>
      <c r="I493" s="645"/>
      <c r="J493" s="645"/>
      <c r="K493" s="645"/>
      <c r="L493" s="645"/>
      <c r="M493" s="645"/>
      <c r="N493" s="645"/>
      <c r="O493" s="646"/>
      <c r="P493" s="642" t="s">
        <v>40</v>
      </c>
      <c r="Q493" s="643"/>
      <c r="R493" s="643"/>
      <c r="S493" s="643"/>
      <c r="T493" s="643"/>
      <c r="U493" s="643"/>
      <c r="V493" s="644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hidden="1" customHeight="1" x14ac:dyDescent="0.2">
      <c r="A494" s="662" t="s">
        <v>794</v>
      </c>
      <c r="B494" s="662"/>
      <c r="C494" s="662"/>
      <c r="D494" s="662"/>
      <c r="E494" s="662"/>
      <c r="F494" s="662"/>
      <c r="G494" s="662"/>
      <c r="H494" s="662"/>
      <c r="I494" s="662"/>
      <c r="J494" s="662"/>
      <c r="K494" s="662"/>
      <c r="L494" s="662"/>
      <c r="M494" s="662"/>
      <c r="N494" s="662"/>
      <c r="O494" s="662"/>
      <c r="P494" s="662"/>
      <c r="Q494" s="662"/>
      <c r="R494" s="662"/>
      <c r="S494" s="662"/>
      <c r="T494" s="662"/>
      <c r="U494" s="662"/>
      <c r="V494" s="662"/>
      <c r="W494" s="662"/>
      <c r="X494" s="662"/>
      <c r="Y494" s="662"/>
      <c r="Z494" s="662"/>
      <c r="AA494" s="54"/>
      <c r="AB494" s="54"/>
      <c r="AC494" s="54"/>
    </row>
    <row r="495" spans="1:68" ht="16.5" hidden="1" customHeight="1" x14ac:dyDescent="0.25">
      <c r="A495" s="655" t="s">
        <v>794</v>
      </c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"/>
      <c r="AB495" s="65"/>
      <c r="AC495" s="79"/>
    </row>
    <row r="496" spans="1:68" ht="14.25" hidden="1" customHeight="1" x14ac:dyDescent="0.25">
      <c r="A496" s="656" t="s">
        <v>123</v>
      </c>
      <c r="B496" s="656"/>
      <c r="C496" s="656"/>
      <c r="D496" s="656"/>
      <c r="E496" s="656"/>
      <c r="F496" s="656"/>
      <c r="G496" s="656"/>
      <c r="H496" s="656"/>
      <c r="I496" s="656"/>
      <c r="J496" s="656"/>
      <c r="K496" s="656"/>
      <c r="L496" s="656"/>
      <c r="M496" s="656"/>
      <c r="N496" s="656"/>
      <c r="O496" s="656"/>
      <c r="P496" s="656"/>
      <c r="Q496" s="656"/>
      <c r="R496" s="656"/>
      <c r="S496" s="656"/>
      <c r="T496" s="656"/>
      <c r="U496" s="656"/>
      <c r="V496" s="656"/>
      <c r="W496" s="656"/>
      <c r="X496" s="656"/>
      <c r="Y496" s="656"/>
      <c r="Z496" s="656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4301011769</v>
      </c>
      <c r="D497" s="651">
        <v>4607091389067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hidden="1" customHeight="1" x14ac:dyDescent="0.25">
      <c r="A498" s="63" t="s">
        <v>797</v>
      </c>
      <c r="B498" s="63" t="s">
        <v>798</v>
      </c>
      <c r="C498" s="36">
        <v>4301012380</v>
      </c>
      <c r="D498" s="651">
        <v>4680115889576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4301011961</v>
      </c>
      <c r="D499" s="651">
        <v>4680115885271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651">
        <v>4680115885226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400</v>
      </c>
      <c r="Y500" s="55">
        <f t="shared" si="69"/>
        <v>401.28000000000003</v>
      </c>
      <c r="Z500" s="41">
        <f t="shared" si="70"/>
        <v>0.90895999999999999</v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426.5151515151515</v>
      </c>
      <c r="BN500" s="78">
        <f t="shared" si="72"/>
        <v>427.88</v>
      </c>
      <c r="BO500" s="78">
        <f t="shared" si="73"/>
        <v>0.72843822843822836</v>
      </c>
      <c r="BP500" s="78">
        <f t="shared" si="74"/>
        <v>0.73076923076923084</v>
      </c>
    </row>
    <row r="501" spans="1:68" ht="16.5" hidden="1" customHeight="1" x14ac:dyDescent="0.25">
      <c r="A501" s="63" t="s">
        <v>806</v>
      </c>
      <c r="B501" s="63" t="s">
        <v>807</v>
      </c>
      <c r="C501" s="36">
        <v>4301011797</v>
      </c>
      <c r="D501" s="651">
        <v>4680115884502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4301011771</v>
      </c>
      <c r="D502" s="651">
        <v>4607091389104</v>
      </c>
      <c r="E502" s="65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4301012125</v>
      </c>
      <c r="D503" s="651">
        <v>4680115886391</v>
      </c>
      <c r="E503" s="651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hidden="1" customHeight="1" x14ac:dyDescent="0.25">
      <c r="A504" s="63" t="s">
        <v>814</v>
      </c>
      <c r="B504" s="63" t="s">
        <v>815</v>
      </c>
      <c r="C504" s="36">
        <v>4301012048</v>
      </c>
      <c r="D504" s="651">
        <v>4680115880603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hidden="1" customHeight="1" x14ac:dyDescent="0.25">
      <c r="A505" s="63" t="s">
        <v>816</v>
      </c>
      <c r="B505" s="63" t="s">
        <v>817</v>
      </c>
      <c r="C505" s="36">
        <v>4301012034</v>
      </c>
      <c r="D505" s="651">
        <v>4607091389982</v>
      </c>
      <c r="E505" s="65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53"/>
      <c r="R505" s="653"/>
      <c r="S505" s="653"/>
      <c r="T505" s="65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75.757575757575751</v>
      </c>
      <c r="Y506" s="43">
        <f>IFERROR(Y497/H497,"0")+IFERROR(Y498/H498,"0")+IFERROR(Y499/H499,"0")+IFERROR(Y500/H500,"0")+IFERROR(Y501/H501,"0")+IFERROR(Y502/H502,"0")+IFERROR(Y503/H503,"0")+IFERROR(Y504/H504,"0")+IFERROR(Y505/H505,"0")</f>
        <v>76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0.90895999999999999</v>
      </c>
      <c r="AA506" s="67"/>
      <c r="AB506" s="67"/>
      <c r="AC506" s="67"/>
    </row>
    <row r="507" spans="1:68" x14ac:dyDescent="0.2">
      <c r="A507" s="645"/>
      <c r="B507" s="645"/>
      <c r="C507" s="645"/>
      <c r="D507" s="645"/>
      <c r="E507" s="645"/>
      <c r="F507" s="645"/>
      <c r="G507" s="645"/>
      <c r="H507" s="645"/>
      <c r="I507" s="645"/>
      <c r="J507" s="645"/>
      <c r="K507" s="645"/>
      <c r="L507" s="645"/>
      <c r="M507" s="645"/>
      <c r="N507" s="645"/>
      <c r="O507" s="646"/>
      <c r="P507" s="642" t="s">
        <v>40</v>
      </c>
      <c r="Q507" s="643"/>
      <c r="R507" s="643"/>
      <c r="S507" s="643"/>
      <c r="T507" s="643"/>
      <c r="U507" s="643"/>
      <c r="V507" s="644"/>
      <c r="W507" s="42" t="s">
        <v>0</v>
      </c>
      <c r="X507" s="43">
        <f>IFERROR(SUM(X497:X505),"0")</f>
        <v>400</v>
      </c>
      <c r="Y507" s="43">
        <f>IFERROR(SUM(Y497:Y505),"0")</f>
        <v>401.28000000000003</v>
      </c>
      <c r="Z507" s="42"/>
      <c r="AA507" s="67"/>
      <c r="AB507" s="67"/>
      <c r="AC507" s="67"/>
    </row>
    <row r="508" spans="1:68" ht="14.25" hidden="1" customHeight="1" x14ac:dyDescent="0.25">
      <c r="A508" s="656" t="s">
        <v>156</v>
      </c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6"/>
      <c r="P508" s="656"/>
      <c r="Q508" s="656"/>
      <c r="R508" s="656"/>
      <c r="S508" s="656"/>
      <c r="T508" s="656"/>
      <c r="U508" s="656"/>
      <c r="V508" s="656"/>
      <c r="W508" s="656"/>
      <c r="X508" s="656"/>
      <c r="Y508" s="656"/>
      <c r="Z508" s="656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651">
        <v>4607091388930</v>
      </c>
      <c r="E509" s="65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280</v>
      </c>
      <c r="Y509" s="55">
        <f>IFERROR(IF(X509="",0,CEILING((X509/$H509),1)*$H509),"")</f>
        <v>285.12</v>
      </c>
      <c r="Z509" s="41">
        <f>IFERROR(IF(Y509=0,"",ROUNDUP(Y509/H509,0)*0.01196),"")</f>
        <v>0.64583999999999997</v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298.56060606060601</v>
      </c>
      <c r="BN509" s="78">
        <f>IFERROR(Y509*I509/H509,"0")</f>
        <v>304.02</v>
      </c>
      <c r="BO509" s="78">
        <f>IFERROR(1/J509*(X509/H509),"0")</f>
        <v>0.50990675990675993</v>
      </c>
      <c r="BP509" s="78">
        <f>IFERROR(1/J509*(Y509/H509),"0")</f>
        <v>0.51923076923076927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4301020374</v>
      </c>
      <c r="D510" s="651">
        <v>4680115886407</v>
      </c>
      <c r="E510" s="651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823</v>
      </c>
      <c r="B511" s="63" t="s">
        <v>824</v>
      </c>
      <c r="C511" s="36">
        <v>4301020385</v>
      </c>
      <c r="D511" s="651">
        <v>4680115880054</v>
      </c>
      <c r="E511" s="651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53"/>
      <c r="R511" s="653"/>
      <c r="S511" s="653"/>
      <c r="T511" s="65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39</v>
      </c>
      <c r="X512" s="43">
        <f>IFERROR(X509/H509,"0")+IFERROR(X510/H510,"0")+IFERROR(X511/H511,"0")</f>
        <v>53.030303030303031</v>
      </c>
      <c r="Y512" s="43">
        <f>IFERROR(Y509/H509,"0")+IFERROR(Y510/H510,"0")+IFERROR(Y511/H511,"0")</f>
        <v>54</v>
      </c>
      <c r="Z512" s="43">
        <f>IFERROR(IF(Z509="",0,Z509),"0")+IFERROR(IF(Z510="",0,Z510),"0")+IFERROR(IF(Z511="",0,Z511),"0")</f>
        <v>0.64583999999999997</v>
      </c>
      <c r="AA512" s="67"/>
      <c r="AB512" s="67"/>
      <c r="AC512" s="67"/>
    </row>
    <row r="513" spans="1:68" x14ac:dyDescent="0.2">
      <c r="A513" s="645"/>
      <c r="B513" s="645"/>
      <c r="C513" s="645"/>
      <c r="D513" s="645"/>
      <c r="E513" s="645"/>
      <c r="F513" s="645"/>
      <c r="G513" s="645"/>
      <c r="H513" s="645"/>
      <c r="I513" s="645"/>
      <c r="J513" s="645"/>
      <c r="K513" s="645"/>
      <c r="L513" s="645"/>
      <c r="M513" s="645"/>
      <c r="N513" s="645"/>
      <c r="O513" s="646"/>
      <c r="P513" s="642" t="s">
        <v>40</v>
      </c>
      <c r="Q513" s="643"/>
      <c r="R513" s="643"/>
      <c r="S513" s="643"/>
      <c r="T513" s="643"/>
      <c r="U513" s="643"/>
      <c r="V513" s="644"/>
      <c r="W513" s="42" t="s">
        <v>0</v>
      </c>
      <c r="X513" s="43">
        <f>IFERROR(SUM(X509:X511),"0")</f>
        <v>280</v>
      </c>
      <c r="Y513" s="43">
        <f>IFERROR(SUM(Y509:Y511),"0")</f>
        <v>285.12</v>
      </c>
      <c r="Z513" s="42"/>
      <c r="AA513" s="67"/>
      <c r="AB513" s="67"/>
      <c r="AC513" s="67"/>
    </row>
    <row r="514" spans="1:68" ht="14.25" hidden="1" customHeight="1" x14ac:dyDescent="0.25">
      <c r="A514" s="656" t="s">
        <v>76</v>
      </c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6"/>
      <c r="P514" s="656"/>
      <c r="Q514" s="656"/>
      <c r="R514" s="656"/>
      <c r="S514" s="656"/>
      <c r="T514" s="656"/>
      <c r="U514" s="656"/>
      <c r="V514" s="656"/>
      <c r="W514" s="656"/>
      <c r="X514" s="656"/>
      <c r="Y514" s="656"/>
      <c r="Z514" s="656"/>
      <c r="AA514" s="66"/>
      <c r="AB514" s="66"/>
      <c r="AC514" s="80"/>
    </row>
    <row r="515" spans="1:68" ht="27" hidden="1" customHeight="1" x14ac:dyDescent="0.25">
      <c r="A515" s="63" t="s">
        <v>825</v>
      </c>
      <c r="B515" s="63" t="s">
        <v>826</v>
      </c>
      <c r="C515" s="36">
        <v>4301031349</v>
      </c>
      <c r="D515" s="651">
        <v>4680115883116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hidden="1" customHeight="1" x14ac:dyDescent="0.25">
      <c r="A516" s="63" t="s">
        <v>828</v>
      </c>
      <c r="B516" s="63" t="s">
        <v>829</v>
      </c>
      <c r="C516" s="36">
        <v>4301031350</v>
      </c>
      <c r="D516" s="651">
        <v>4680115883093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4301031353</v>
      </c>
      <c r="D517" s="651">
        <v>4680115883109</v>
      </c>
      <c r="E517" s="65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4301031419</v>
      </c>
      <c r="D518" s="651">
        <v>4680115882072</v>
      </c>
      <c r="E518" s="651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hidden="1" customHeight="1" x14ac:dyDescent="0.25">
      <c r="A519" s="63" t="s">
        <v>836</v>
      </c>
      <c r="B519" s="63" t="s">
        <v>837</v>
      </c>
      <c r="C519" s="36">
        <v>4301031352</v>
      </c>
      <c r="D519" s="651">
        <v>4680115882102</v>
      </c>
      <c r="E519" s="651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hidden="1" customHeight="1" x14ac:dyDescent="0.25">
      <c r="A520" s="63" t="s">
        <v>836</v>
      </c>
      <c r="B520" s="63" t="s">
        <v>838</v>
      </c>
      <c r="C520" s="36">
        <v>4301031418</v>
      </c>
      <c r="D520" s="651">
        <v>4680115882102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hidden="1" customHeight="1" x14ac:dyDescent="0.25">
      <c r="A521" s="63" t="s">
        <v>839</v>
      </c>
      <c r="B521" s="63" t="s">
        <v>840</v>
      </c>
      <c r="C521" s="36">
        <v>4301031417</v>
      </c>
      <c r="D521" s="651">
        <v>4680115882096</v>
      </c>
      <c r="E521" s="65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53"/>
      <c r="R521" s="653"/>
      <c r="S521" s="653"/>
      <c r="T521" s="65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645"/>
      <c r="B523" s="645"/>
      <c r="C523" s="645"/>
      <c r="D523" s="645"/>
      <c r="E523" s="645"/>
      <c r="F523" s="645"/>
      <c r="G523" s="645"/>
      <c r="H523" s="645"/>
      <c r="I523" s="645"/>
      <c r="J523" s="645"/>
      <c r="K523" s="645"/>
      <c r="L523" s="645"/>
      <c r="M523" s="645"/>
      <c r="N523" s="645"/>
      <c r="O523" s="646"/>
      <c r="P523" s="642" t="s">
        <v>40</v>
      </c>
      <c r="Q523" s="643"/>
      <c r="R523" s="643"/>
      <c r="S523" s="643"/>
      <c r="T523" s="643"/>
      <c r="U523" s="643"/>
      <c r="V523" s="644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hidden="1" customHeight="1" x14ac:dyDescent="0.2">
      <c r="A524" s="662" t="s">
        <v>841</v>
      </c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2"/>
      <c r="P524" s="662"/>
      <c r="Q524" s="662"/>
      <c r="R524" s="662"/>
      <c r="S524" s="662"/>
      <c r="T524" s="662"/>
      <c r="U524" s="662"/>
      <c r="V524" s="662"/>
      <c r="W524" s="662"/>
      <c r="X524" s="662"/>
      <c r="Y524" s="662"/>
      <c r="Z524" s="662"/>
      <c r="AA524" s="54"/>
      <c r="AB524" s="54"/>
      <c r="AC524" s="54"/>
    </row>
    <row r="525" spans="1:68" ht="16.5" hidden="1" customHeight="1" x14ac:dyDescent="0.25">
      <c r="A525" s="655" t="s">
        <v>841</v>
      </c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"/>
      <c r="AB525" s="65"/>
      <c r="AC525" s="79"/>
    </row>
    <row r="526" spans="1:68" ht="14.25" hidden="1" customHeight="1" x14ac:dyDescent="0.25">
      <c r="A526" s="656" t="s">
        <v>123</v>
      </c>
      <c r="B526" s="656"/>
      <c r="C526" s="656"/>
      <c r="D526" s="656"/>
      <c r="E526" s="656"/>
      <c r="F526" s="656"/>
      <c r="G526" s="656"/>
      <c r="H526" s="656"/>
      <c r="I526" s="656"/>
      <c r="J526" s="656"/>
      <c r="K526" s="656"/>
      <c r="L526" s="656"/>
      <c r="M526" s="656"/>
      <c r="N526" s="656"/>
      <c r="O526" s="656"/>
      <c r="P526" s="656"/>
      <c r="Q526" s="656"/>
      <c r="R526" s="656"/>
      <c r="S526" s="656"/>
      <c r="T526" s="656"/>
      <c r="U526" s="656"/>
      <c r="V526" s="656"/>
      <c r="W526" s="656"/>
      <c r="X526" s="656"/>
      <c r="Y526" s="656"/>
      <c r="Z526" s="656"/>
      <c r="AA526" s="66"/>
      <c r="AB526" s="66"/>
      <c r="AC526" s="80"/>
    </row>
    <row r="527" spans="1:68" ht="27" hidden="1" customHeight="1" x14ac:dyDescent="0.25">
      <c r="A527" s="63" t="s">
        <v>842</v>
      </c>
      <c r="B527" s="63" t="s">
        <v>843</v>
      </c>
      <c r="C527" s="36">
        <v>4301011584</v>
      </c>
      <c r="D527" s="651">
        <v>4640242180564</v>
      </c>
      <c r="E527" s="651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53"/>
      <c r="R527" s="653"/>
      <c r="S527" s="653"/>
      <c r="T527" s="654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hidden="1" x14ac:dyDescent="0.2">
      <c r="A529" s="645"/>
      <c r="B529" s="645"/>
      <c r="C529" s="645"/>
      <c r="D529" s="645"/>
      <c r="E529" s="645"/>
      <c r="F529" s="645"/>
      <c r="G529" s="645"/>
      <c r="H529" s="645"/>
      <c r="I529" s="645"/>
      <c r="J529" s="645"/>
      <c r="K529" s="645"/>
      <c r="L529" s="645"/>
      <c r="M529" s="645"/>
      <c r="N529" s="645"/>
      <c r="O529" s="646"/>
      <c r="P529" s="642" t="s">
        <v>40</v>
      </c>
      <c r="Q529" s="643"/>
      <c r="R529" s="643"/>
      <c r="S529" s="643"/>
      <c r="T529" s="643"/>
      <c r="U529" s="643"/>
      <c r="V529" s="644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hidden="1" customHeight="1" x14ac:dyDescent="0.25">
      <c r="A530" s="656" t="s">
        <v>156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6"/>
      <c r="AB530" s="66"/>
      <c r="AC530" s="80"/>
    </row>
    <row r="531" spans="1:68" ht="27" hidden="1" customHeight="1" x14ac:dyDescent="0.25">
      <c r="A531" s="63" t="s">
        <v>845</v>
      </c>
      <c r="B531" s="63" t="s">
        <v>846</v>
      </c>
      <c r="C531" s="36">
        <v>4301020400</v>
      </c>
      <c r="D531" s="651">
        <v>4640242180519</v>
      </c>
      <c r="E531" s="65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53"/>
      <c r="R531" s="653"/>
      <c r="S531" s="653"/>
      <c r="T531" s="65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45"/>
      <c r="B533" s="645"/>
      <c r="C533" s="645"/>
      <c r="D533" s="645"/>
      <c r="E533" s="645"/>
      <c r="F533" s="645"/>
      <c r="G533" s="645"/>
      <c r="H533" s="645"/>
      <c r="I533" s="645"/>
      <c r="J533" s="645"/>
      <c r="K533" s="645"/>
      <c r="L533" s="645"/>
      <c r="M533" s="645"/>
      <c r="N533" s="645"/>
      <c r="O533" s="646"/>
      <c r="P533" s="642" t="s">
        <v>40</v>
      </c>
      <c r="Q533" s="643"/>
      <c r="R533" s="643"/>
      <c r="S533" s="643"/>
      <c r="T533" s="643"/>
      <c r="U533" s="643"/>
      <c r="V533" s="64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hidden="1" customHeight="1" x14ac:dyDescent="0.25">
      <c r="A534" s="656" t="s">
        <v>76</v>
      </c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6"/>
      <c r="P534" s="656"/>
      <c r="Q534" s="656"/>
      <c r="R534" s="656"/>
      <c r="S534" s="656"/>
      <c r="T534" s="656"/>
      <c r="U534" s="656"/>
      <c r="V534" s="656"/>
      <c r="W534" s="656"/>
      <c r="X534" s="656"/>
      <c r="Y534" s="656"/>
      <c r="Z534" s="656"/>
      <c r="AA534" s="66"/>
      <c r="AB534" s="66"/>
      <c r="AC534" s="80"/>
    </row>
    <row r="535" spans="1:68" ht="27" hidden="1" customHeight="1" x14ac:dyDescent="0.25">
      <c r="A535" s="63" t="s">
        <v>848</v>
      </c>
      <c r="B535" s="63" t="s">
        <v>849</v>
      </c>
      <c r="C535" s="36">
        <v>4301031500</v>
      </c>
      <c r="D535" s="651">
        <v>4640242180595</v>
      </c>
      <c r="E535" s="651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53"/>
      <c r="R535" s="653"/>
      <c r="S535" s="653"/>
      <c r="T535" s="654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45"/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6"/>
      <c r="P537" s="642" t="s">
        <v>40</v>
      </c>
      <c r="Q537" s="643"/>
      <c r="R537" s="643"/>
      <c r="S537" s="643"/>
      <c r="T537" s="643"/>
      <c r="U537" s="643"/>
      <c r="V537" s="644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56" t="s">
        <v>85</v>
      </c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6"/>
      <c r="P538" s="656"/>
      <c r="Q538" s="656"/>
      <c r="R538" s="656"/>
      <c r="S538" s="656"/>
      <c r="T538" s="656"/>
      <c r="U538" s="656"/>
      <c r="V538" s="656"/>
      <c r="W538" s="656"/>
      <c r="X538" s="656"/>
      <c r="Y538" s="656"/>
      <c r="Z538" s="656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4301052043</v>
      </c>
      <c r="D539" s="651">
        <v>4640242180533</v>
      </c>
      <c r="E539" s="651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53"/>
      <c r="R539" s="653"/>
      <c r="S539" s="653"/>
      <c r="T539" s="65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42" t="s">
        <v>40</v>
      </c>
      <c r="Q541" s="643"/>
      <c r="R541" s="643"/>
      <c r="S541" s="643"/>
      <c r="T541" s="643"/>
      <c r="U541" s="643"/>
      <c r="V541" s="64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6" t="s">
        <v>173</v>
      </c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6"/>
      <c r="P542" s="656"/>
      <c r="Q542" s="656"/>
      <c r="R542" s="656"/>
      <c r="S542" s="656"/>
      <c r="T542" s="656"/>
      <c r="U542" s="656"/>
      <c r="V542" s="656"/>
      <c r="W542" s="656"/>
      <c r="X542" s="656"/>
      <c r="Y542" s="656"/>
      <c r="Z542" s="656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4301060535</v>
      </c>
      <c r="D543" s="651">
        <v>4640242180120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hidden="1" customHeight="1" x14ac:dyDescent="0.25">
      <c r="A544" s="63" t="s">
        <v>857</v>
      </c>
      <c r="B544" s="63" t="s">
        <v>858</v>
      </c>
      <c r="C544" s="36">
        <v>4301060536</v>
      </c>
      <c r="D544" s="651">
        <v>4640242180137</v>
      </c>
      <c r="E544" s="65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53"/>
      <c r="R544" s="653"/>
      <c r="S544" s="653"/>
      <c r="T544" s="65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hidden="1" x14ac:dyDescent="0.2">
      <c r="A546" s="645"/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6"/>
      <c r="P546" s="642" t="s">
        <v>40</v>
      </c>
      <c r="Q546" s="643"/>
      <c r="R546" s="643"/>
      <c r="S546" s="643"/>
      <c r="T546" s="643"/>
      <c r="U546" s="643"/>
      <c r="V546" s="644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hidden="1" customHeight="1" x14ac:dyDescent="0.25">
      <c r="A547" s="655" t="s">
        <v>860</v>
      </c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"/>
      <c r="AB547" s="65"/>
      <c r="AC547" s="79"/>
    </row>
    <row r="548" spans="1:68" ht="14.25" hidden="1" customHeight="1" x14ac:dyDescent="0.25">
      <c r="A548" s="656" t="s">
        <v>156</v>
      </c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6"/>
      <c r="P548" s="656"/>
      <c r="Q548" s="656"/>
      <c r="R548" s="656"/>
      <c r="S548" s="656"/>
      <c r="T548" s="656"/>
      <c r="U548" s="656"/>
      <c r="V548" s="656"/>
      <c r="W548" s="656"/>
      <c r="X548" s="656"/>
      <c r="Y548" s="656"/>
      <c r="Z548" s="656"/>
      <c r="AA548" s="66"/>
      <c r="AB548" s="66"/>
      <c r="AC548" s="80"/>
    </row>
    <row r="549" spans="1:68" ht="27" hidden="1" customHeight="1" x14ac:dyDescent="0.25">
      <c r="A549" s="63" t="s">
        <v>861</v>
      </c>
      <c r="B549" s="63" t="s">
        <v>862</v>
      </c>
      <c r="C549" s="36">
        <v>4301020428</v>
      </c>
      <c r="D549" s="651">
        <v>4640242180090</v>
      </c>
      <c r="E549" s="651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53"/>
      <c r="R549" s="653"/>
      <c r="S549" s="653"/>
      <c r="T549" s="65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46"/>
      <c r="P551" s="642" t="s">
        <v>40</v>
      </c>
      <c r="Q551" s="643"/>
      <c r="R551" s="643"/>
      <c r="S551" s="643"/>
      <c r="T551" s="643"/>
      <c r="U551" s="643"/>
      <c r="V551" s="644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33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1520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1537.5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34</v>
      </c>
      <c r="Q553" s="648"/>
      <c r="R553" s="648"/>
      <c r="S553" s="648"/>
      <c r="T553" s="648"/>
      <c r="U553" s="648"/>
      <c r="V553" s="649"/>
      <c r="W553" s="42" t="s">
        <v>0</v>
      </c>
      <c r="X553" s="43">
        <f>IFERROR(SUM(BM22:BM549),"0")</f>
        <v>1598.6241526374861</v>
      </c>
      <c r="Y553" s="43">
        <f>IFERROR(SUM(BN22:BN549),"0")</f>
        <v>1616.9279999999999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35</v>
      </c>
      <c r="Q554" s="648"/>
      <c r="R554" s="648"/>
      <c r="S554" s="648"/>
      <c r="T554" s="648"/>
      <c r="U554" s="648"/>
      <c r="V554" s="649"/>
      <c r="W554" s="42" t="s">
        <v>20</v>
      </c>
      <c r="X554" s="44">
        <f>ROUNDUP(SUM(BO22:BO549),0)</f>
        <v>3</v>
      </c>
      <c r="Y554" s="44">
        <f>ROUNDUP(SUM(BP22:BP549),0)</f>
        <v>3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36</v>
      </c>
      <c r="Q555" s="648"/>
      <c r="R555" s="648"/>
      <c r="S555" s="648"/>
      <c r="T555" s="648"/>
      <c r="U555" s="648"/>
      <c r="V555" s="649"/>
      <c r="W555" s="42" t="s">
        <v>0</v>
      </c>
      <c r="X555" s="43">
        <f>GrossWeightTotal+PalletQtyTotal*25</f>
        <v>1673.6241526374861</v>
      </c>
      <c r="Y555" s="43">
        <f>GrossWeightTotalR+PalletQtyTotalR*25</f>
        <v>1691.9279999999999</v>
      </c>
      <c r="Z555" s="42"/>
      <c r="AA555" s="67"/>
      <c r="AB555" s="67"/>
      <c r="AC555" s="67"/>
    </row>
    <row r="556" spans="1:68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37</v>
      </c>
      <c r="Q556" s="648"/>
      <c r="R556" s="648"/>
      <c r="S556" s="648"/>
      <c r="T556" s="648"/>
      <c r="U556" s="648"/>
      <c r="V556" s="649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198.9854096520763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201</v>
      </c>
      <c r="Z556" s="42"/>
      <c r="AA556" s="67"/>
      <c r="AB556" s="67"/>
      <c r="AC556" s="67"/>
    </row>
    <row r="557" spans="1:68" ht="14.25" hidden="1" x14ac:dyDescent="0.2">
      <c r="A557" s="645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50"/>
      <c r="P557" s="647" t="s">
        <v>38</v>
      </c>
      <c r="Q557" s="648"/>
      <c r="R557" s="648"/>
      <c r="S557" s="648"/>
      <c r="T557" s="648"/>
      <c r="U557" s="648"/>
      <c r="V557" s="649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3.0131800000000002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75</v>
      </c>
      <c r="C559" s="85" t="s">
        <v>45</v>
      </c>
      <c r="D559" s="638" t="s">
        <v>121</v>
      </c>
      <c r="E559" s="638" t="s">
        <v>121</v>
      </c>
      <c r="F559" s="638" t="s">
        <v>121</v>
      </c>
      <c r="G559" s="638" t="s">
        <v>121</v>
      </c>
      <c r="H559" s="638" t="s">
        <v>121</v>
      </c>
      <c r="I559" s="638" t="s">
        <v>121</v>
      </c>
      <c r="J559" s="638" t="s">
        <v>121</v>
      </c>
      <c r="K559" s="638" t="s">
        <v>349</v>
      </c>
      <c r="L559" s="638" t="s">
        <v>349</v>
      </c>
      <c r="M559" s="638" t="s">
        <v>349</v>
      </c>
      <c r="N559" s="639"/>
      <c r="O559" s="638" t="s">
        <v>349</v>
      </c>
      <c r="P559" s="638" t="s">
        <v>349</v>
      </c>
      <c r="Q559" s="638" t="s">
        <v>349</v>
      </c>
      <c r="R559" s="638" t="s">
        <v>349</v>
      </c>
      <c r="S559" s="638" t="s">
        <v>349</v>
      </c>
      <c r="T559" s="638" t="s">
        <v>349</v>
      </c>
      <c r="U559" s="638" t="s">
        <v>349</v>
      </c>
      <c r="V559" s="638" t="s">
        <v>349</v>
      </c>
      <c r="W559" s="638" t="s">
        <v>692</v>
      </c>
      <c r="X559" s="638" t="s">
        <v>692</v>
      </c>
      <c r="Y559" s="638" t="s">
        <v>758</v>
      </c>
      <c r="Z559" s="638" t="s">
        <v>758</v>
      </c>
      <c r="AA559" s="85" t="s">
        <v>794</v>
      </c>
      <c r="AB559" s="638" t="s">
        <v>841</v>
      </c>
      <c r="AC559" s="638" t="s">
        <v>841</v>
      </c>
      <c r="AF559" s="1"/>
    </row>
    <row r="560" spans="1:68" ht="14.25" customHeight="1" thickTop="1" x14ac:dyDescent="0.2">
      <c r="A560" s="640" t="s">
        <v>10</v>
      </c>
      <c r="B560" s="638" t="s">
        <v>75</v>
      </c>
      <c r="C560" s="638" t="s">
        <v>103</v>
      </c>
      <c r="D560" s="638" t="s">
        <v>122</v>
      </c>
      <c r="E560" s="638" t="s">
        <v>138</v>
      </c>
      <c r="F560" s="638" t="s">
        <v>180</v>
      </c>
      <c r="G560" s="638" t="s">
        <v>201</v>
      </c>
      <c r="H560" s="638" t="s">
        <v>241</v>
      </c>
      <c r="I560" s="638" t="s">
        <v>265</v>
      </c>
      <c r="J560" s="638" t="s">
        <v>121</v>
      </c>
      <c r="K560" s="638" t="s">
        <v>350</v>
      </c>
      <c r="L560" s="638" t="s">
        <v>371</v>
      </c>
      <c r="M560" s="638" t="s">
        <v>438</v>
      </c>
      <c r="N560" s="1"/>
      <c r="O560" s="638" t="s">
        <v>506</v>
      </c>
      <c r="P560" s="638" t="s">
        <v>539</v>
      </c>
      <c r="Q560" s="638" t="s">
        <v>555</v>
      </c>
      <c r="R560" s="638" t="s">
        <v>564</v>
      </c>
      <c r="S560" s="638" t="s">
        <v>585</v>
      </c>
      <c r="T560" s="638" t="s">
        <v>594</v>
      </c>
      <c r="U560" s="638" t="s">
        <v>675</v>
      </c>
      <c r="V560" s="638" t="s">
        <v>682</v>
      </c>
      <c r="W560" s="638" t="s">
        <v>693</v>
      </c>
      <c r="X560" s="638" t="s">
        <v>742</v>
      </c>
      <c r="Y560" s="638" t="s">
        <v>759</v>
      </c>
      <c r="Z560" s="638" t="s">
        <v>782</v>
      </c>
      <c r="AA560" s="638" t="s">
        <v>794</v>
      </c>
      <c r="AB560" s="638" t="s">
        <v>841</v>
      </c>
      <c r="AC560" s="638" t="s">
        <v>860</v>
      </c>
      <c r="AF560" s="1"/>
    </row>
    <row r="561" spans="1:32" ht="13.5" thickBot="1" x14ac:dyDescent="0.25">
      <c r="A561" s="641"/>
      <c r="B561" s="63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38"/>
      <c r="N561" s="1"/>
      <c r="O561" s="638"/>
      <c r="P561" s="638"/>
      <c r="Q561" s="638"/>
      <c r="R561" s="638"/>
      <c r="S561" s="638"/>
      <c r="T561" s="638"/>
      <c r="U561" s="638"/>
      <c r="V561" s="638"/>
      <c r="W561" s="638"/>
      <c r="X561" s="638"/>
      <c r="Y561" s="638"/>
      <c r="Z561" s="638"/>
      <c r="AA561" s="638"/>
      <c r="AB561" s="638"/>
      <c r="AC561" s="638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251.1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600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686.40000000000009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20,00"/>
        <filter val="1 598,62"/>
        <filter val="1 673,62"/>
        <filter val="19,33"/>
        <filter val="198,99"/>
        <filter val="20,00"/>
        <filter val="250,00"/>
        <filter val="280,00"/>
        <filter val="290,00"/>
        <filter val="3"/>
        <filter val="30,86"/>
        <filter val="300,00"/>
        <filter val="400,00"/>
        <filter val="53,03"/>
        <filter val="75,76"/>
      </filters>
    </filterColumn>
    <filterColumn colId="29" showButton="0"/>
    <filterColumn colId="30" showButton="0"/>
  </autoFilter>
  <dataConsolidate/>
  <mergeCells count="98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2026-08-27T13:10:52Z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