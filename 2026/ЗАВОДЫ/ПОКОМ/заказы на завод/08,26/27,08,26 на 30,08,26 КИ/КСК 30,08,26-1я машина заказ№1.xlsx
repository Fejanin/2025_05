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403547F-ECE3-42D5-8AF1-013F31121CC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Z517" i="2" s="1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X508" i="2"/>
  <c r="X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BP498" i="2" s="1"/>
  <c r="P498" i="2"/>
  <c r="X494" i="2"/>
  <c r="X493" i="2"/>
  <c r="BO492" i="2"/>
  <c r="BM492" i="2"/>
  <c r="Y492" i="2"/>
  <c r="P492" i="2"/>
  <c r="BP491" i="2"/>
  <c r="BO491" i="2"/>
  <c r="BM491" i="2"/>
  <c r="Y491" i="2"/>
  <c r="BN491" i="2" s="1"/>
  <c r="P491" i="2"/>
  <c r="BO490" i="2"/>
  <c r="BM490" i="2"/>
  <c r="Y490" i="2"/>
  <c r="Z490" i="2" s="1"/>
  <c r="P490" i="2"/>
  <c r="X488" i="2"/>
  <c r="X487" i="2"/>
  <c r="BO486" i="2"/>
  <c r="BM486" i="2"/>
  <c r="Y486" i="2"/>
  <c r="BN486" i="2" s="1"/>
  <c r="P486" i="2"/>
  <c r="X483" i="2"/>
  <c r="X482" i="2"/>
  <c r="BO481" i="2"/>
  <c r="BM481" i="2"/>
  <c r="Y481" i="2"/>
  <c r="P481" i="2"/>
  <c r="BO480" i="2"/>
  <c r="BM480" i="2"/>
  <c r="Y480" i="2"/>
  <c r="Z480" i="2" s="1"/>
  <c r="P480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BP473" i="2" s="1"/>
  <c r="P473" i="2"/>
  <c r="BO472" i="2"/>
  <c r="BM472" i="2"/>
  <c r="Y472" i="2"/>
  <c r="P472" i="2"/>
  <c r="BO471" i="2"/>
  <c r="BM471" i="2"/>
  <c r="Y471" i="2"/>
  <c r="BP471" i="2" s="1"/>
  <c r="P471" i="2"/>
  <c r="X467" i="2"/>
  <c r="X466" i="2"/>
  <c r="BO465" i="2"/>
  <c r="BM465" i="2"/>
  <c r="Y465" i="2"/>
  <c r="P465" i="2"/>
  <c r="BO464" i="2"/>
  <c r="BM464" i="2"/>
  <c r="Y464" i="2"/>
  <c r="BP464" i="2" s="1"/>
  <c r="P464" i="2"/>
  <c r="BO463" i="2"/>
  <c r="BM463" i="2"/>
  <c r="Y463" i="2"/>
  <c r="P463" i="2"/>
  <c r="X461" i="2"/>
  <c r="X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N454" i="2" s="1"/>
  <c r="P454" i="2"/>
  <c r="X451" i="2"/>
  <c r="X450" i="2"/>
  <c r="BO449" i="2"/>
  <c r="BM449" i="2"/>
  <c r="Y449" i="2"/>
  <c r="BN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Z417" i="2" s="1"/>
  <c r="P417" i="2"/>
  <c r="X414" i="2"/>
  <c r="X413" i="2"/>
  <c r="BO412" i="2"/>
  <c r="BM412" i="2"/>
  <c r="Y412" i="2"/>
  <c r="P412" i="2"/>
  <c r="BO411" i="2"/>
  <c r="BM411" i="2"/>
  <c r="Y411" i="2"/>
  <c r="BN411" i="2" s="1"/>
  <c r="P411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N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BN378" i="2" s="1"/>
  <c r="P378" i="2"/>
  <c r="X376" i="2"/>
  <c r="X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P372" i="2" s="1"/>
  <c r="P372" i="2"/>
  <c r="BP371" i="2"/>
  <c r="BO371" i="2"/>
  <c r="BM371" i="2"/>
  <c r="Y371" i="2"/>
  <c r="BN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BN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Z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BP332" i="2" s="1"/>
  <c r="P332" i="2"/>
  <c r="BO331" i="2"/>
  <c r="BM331" i="2"/>
  <c r="Y331" i="2"/>
  <c r="P331" i="2"/>
  <c r="X328" i="2"/>
  <c r="X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BO323" i="2"/>
  <c r="BM323" i="2"/>
  <c r="Z323" i="2"/>
  <c r="Y323" i="2"/>
  <c r="BN323" i="2" s="1"/>
  <c r="P323" i="2"/>
  <c r="BO322" i="2"/>
  <c r="BM322" i="2"/>
  <c r="Y322" i="2"/>
  <c r="BN322" i="2" s="1"/>
  <c r="P322" i="2"/>
  <c r="X319" i="2"/>
  <c r="X318" i="2"/>
  <c r="BO317" i="2"/>
  <c r="BM317" i="2"/>
  <c r="Y317" i="2"/>
  <c r="Z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Z298" i="2"/>
  <c r="Y298" i="2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BN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BN276" i="2" s="1"/>
  <c r="P276" i="2"/>
  <c r="X274" i="2"/>
  <c r="X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BN265" i="2" s="1"/>
  <c r="P265" i="2"/>
  <c r="X263" i="2"/>
  <c r="X262" i="2"/>
  <c r="BO261" i="2"/>
  <c r="BM261" i="2"/>
  <c r="Y261" i="2"/>
  <c r="P261" i="2"/>
  <c r="BO260" i="2"/>
  <c r="BM260" i="2"/>
  <c r="Y260" i="2"/>
  <c r="BP260" i="2" s="1"/>
  <c r="P260" i="2"/>
  <c r="X258" i="2"/>
  <c r="X257" i="2"/>
  <c r="BO256" i="2"/>
  <c r="BM256" i="2"/>
  <c r="Y256" i="2"/>
  <c r="BP256" i="2" s="1"/>
  <c r="P256" i="2"/>
  <c r="BO255" i="2"/>
  <c r="BM255" i="2"/>
  <c r="Y255" i="2"/>
  <c r="BN255" i="2" s="1"/>
  <c r="P255" i="2"/>
  <c r="X252" i="2"/>
  <c r="X251" i="2"/>
  <c r="BO250" i="2"/>
  <c r="BM250" i="2"/>
  <c r="Y250" i="2"/>
  <c r="BP250" i="2" s="1"/>
  <c r="P250" i="2"/>
  <c r="X248" i="2"/>
  <c r="X247" i="2"/>
  <c r="BO246" i="2"/>
  <c r="BM246" i="2"/>
  <c r="Y246" i="2"/>
  <c r="BP246" i="2" s="1"/>
  <c r="P246" i="2"/>
  <c r="BO245" i="2"/>
  <c r="BM245" i="2"/>
  <c r="Y245" i="2"/>
  <c r="Z245" i="2" s="1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N236" i="2" s="1"/>
  <c r="P236" i="2"/>
  <c r="X234" i="2"/>
  <c r="X233" i="2"/>
  <c r="BP232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P227" i="2"/>
  <c r="BO227" i="2"/>
  <c r="BN227" i="2"/>
  <c r="BM227" i="2"/>
  <c r="Z227" i="2"/>
  <c r="Y227" i="2"/>
  <c r="P227" i="2"/>
  <c r="BO226" i="2"/>
  <c r="BM226" i="2"/>
  <c r="Y226" i="2"/>
  <c r="BN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P219" i="2"/>
  <c r="X217" i="2"/>
  <c r="X216" i="2"/>
  <c r="BO215" i="2"/>
  <c r="BM215" i="2"/>
  <c r="Y215" i="2"/>
  <c r="Y216" i="2" s="1"/>
  <c r="P215" i="2"/>
  <c r="X212" i="2"/>
  <c r="X211" i="2"/>
  <c r="BO210" i="2"/>
  <c r="BM210" i="2"/>
  <c r="Y210" i="2"/>
  <c r="P210" i="2"/>
  <c r="BO209" i="2"/>
  <c r="BN209" i="2"/>
  <c r="BM209" i="2"/>
  <c r="Z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BP206" i="2" s="1"/>
  <c r="P206" i="2"/>
  <c r="BO205" i="2"/>
  <c r="BM205" i="2"/>
  <c r="Z205" i="2"/>
  <c r="Y205" i="2"/>
  <c r="BN205" i="2" s="1"/>
  <c r="P205" i="2"/>
  <c r="BO204" i="2"/>
  <c r="BM204" i="2"/>
  <c r="Y204" i="2"/>
  <c r="BN204" i="2" s="1"/>
  <c r="P204" i="2"/>
  <c r="X200" i="2"/>
  <c r="X199" i="2"/>
  <c r="BO198" i="2"/>
  <c r="BM198" i="2"/>
  <c r="Y198" i="2"/>
  <c r="Z198" i="2" s="1"/>
  <c r="Z199" i="2" s="1"/>
  <c r="P198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Z190" i="2" s="1"/>
  <c r="P190" i="2"/>
  <c r="BO189" i="2"/>
  <c r="BM189" i="2"/>
  <c r="Y189" i="2"/>
  <c r="P189" i="2"/>
  <c r="BO188" i="2"/>
  <c r="BM188" i="2"/>
  <c r="Y188" i="2"/>
  <c r="Z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P174" i="2"/>
  <c r="X172" i="2"/>
  <c r="X171" i="2"/>
  <c r="BO170" i="2"/>
  <c r="BM170" i="2"/>
  <c r="Y170" i="2"/>
  <c r="Z170" i="2" s="1"/>
  <c r="P170" i="2"/>
  <c r="BO169" i="2"/>
  <c r="BM169" i="2"/>
  <c r="Y169" i="2"/>
  <c r="P169" i="2"/>
  <c r="X167" i="2"/>
  <c r="X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P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Z150" i="2" s="1"/>
  <c r="P150" i="2"/>
  <c r="BO149" i="2"/>
  <c r="BM149" i="2"/>
  <c r="Z149" i="2"/>
  <c r="Y149" i="2"/>
  <c r="BP149" i="2" s="1"/>
  <c r="P149" i="2"/>
  <c r="BO148" i="2"/>
  <c r="BM148" i="2"/>
  <c r="Y148" i="2"/>
  <c r="P148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BO141" i="2"/>
  <c r="BM141" i="2"/>
  <c r="Y141" i="2"/>
  <c r="P141" i="2"/>
  <c r="X139" i="2"/>
  <c r="X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BP135" i="2" s="1"/>
  <c r="P135" i="2"/>
  <c r="BO134" i="2"/>
  <c r="BM134" i="2"/>
  <c r="Y134" i="2"/>
  <c r="BN134" i="2" s="1"/>
  <c r="P134" i="2"/>
  <c r="X132" i="2"/>
  <c r="X131" i="2"/>
  <c r="BO130" i="2"/>
  <c r="BM130" i="2"/>
  <c r="Y130" i="2"/>
  <c r="BP130" i="2" s="1"/>
  <c r="P130" i="2"/>
  <c r="BO129" i="2"/>
  <c r="BM129" i="2"/>
  <c r="Y129" i="2"/>
  <c r="BN129" i="2" s="1"/>
  <c r="P129" i="2"/>
  <c r="BO128" i="2"/>
  <c r="BM128" i="2"/>
  <c r="Y128" i="2"/>
  <c r="BN128" i="2" s="1"/>
  <c r="P128" i="2"/>
  <c r="X125" i="2"/>
  <c r="X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N108" i="2" s="1"/>
  <c r="P108" i="2"/>
  <c r="X106" i="2"/>
  <c r="X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BP98" i="2" s="1"/>
  <c r="P98" i="2"/>
  <c r="X95" i="2"/>
  <c r="X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BN90" i="2" s="1"/>
  <c r="P90" i="2"/>
  <c r="X88" i="2"/>
  <c r="X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BP84" i="2" s="1"/>
  <c r="P84" i="2"/>
  <c r="BO83" i="2"/>
  <c r="BM83" i="2"/>
  <c r="Y83" i="2"/>
  <c r="BN83" i="2" s="1"/>
  <c r="P83" i="2"/>
  <c r="X80" i="2"/>
  <c r="X79" i="2"/>
  <c r="BO78" i="2"/>
  <c r="BM78" i="2"/>
  <c r="Y78" i="2"/>
  <c r="BN78" i="2" s="1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Z68" i="2"/>
  <c r="Y68" i="2"/>
  <c r="BP68" i="2" s="1"/>
  <c r="P68" i="2"/>
  <c r="BO67" i="2"/>
  <c r="BM67" i="2"/>
  <c r="Y67" i="2"/>
  <c r="BN67" i="2" s="1"/>
  <c r="P67" i="2"/>
  <c r="BO66" i="2"/>
  <c r="BM66" i="2"/>
  <c r="Y66" i="2"/>
  <c r="BP66" i="2" s="1"/>
  <c r="P66" i="2"/>
  <c r="BO65" i="2"/>
  <c r="BM65" i="2"/>
  <c r="Y65" i="2"/>
  <c r="P65" i="2"/>
  <c r="X63" i="2"/>
  <c r="X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X53" i="2"/>
  <c r="X52" i="2"/>
  <c r="BO51" i="2"/>
  <c r="BM51" i="2"/>
  <c r="Y51" i="2"/>
  <c r="BN51" i="2" s="1"/>
  <c r="P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P48" i="2"/>
  <c r="X44" i="2"/>
  <c r="X43" i="2"/>
  <c r="BO42" i="2"/>
  <c r="BM42" i="2"/>
  <c r="Y42" i="2"/>
  <c r="Z42" i="2" s="1"/>
  <c r="P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BN41" i="2" l="1"/>
  <c r="BN60" i="2"/>
  <c r="BN137" i="2"/>
  <c r="Z206" i="2"/>
  <c r="BN206" i="2"/>
  <c r="BP228" i="2"/>
  <c r="BP323" i="2"/>
  <c r="Z380" i="2"/>
  <c r="BN380" i="2"/>
  <c r="BP411" i="2"/>
  <c r="BN436" i="2"/>
  <c r="BN476" i="2"/>
  <c r="BP31" i="2"/>
  <c r="BN38" i="2"/>
  <c r="BN50" i="2"/>
  <c r="BP78" i="2"/>
  <c r="BN104" i="2"/>
  <c r="BN181" i="2"/>
  <c r="BN283" i="2"/>
  <c r="BN301" i="2"/>
  <c r="BN490" i="2"/>
  <c r="BN501" i="2"/>
  <c r="BN506" i="2"/>
  <c r="BN279" i="2"/>
  <c r="Z230" i="2"/>
  <c r="Z220" i="2"/>
  <c r="BP333" i="2"/>
  <c r="BN518" i="2"/>
  <c r="BN92" i="2"/>
  <c r="BN511" i="2"/>
  <c r="Z511" i="2"/>
  <c r="Z506" i="2"/>
  <c r="Z504" i="2"/>
  <c r="BN504" i="2"/>
  <c r="Z501" i="2"/>
  <c r="BN498" i="2"/>
  <c r="Z498" i="2"/>
  <c r="Z476" i="2"/>
  <c r="BN473" i="2"/>
  <c r="Z473" i="2"/>
  <c r="Y461" i="2"/>
  <c r="BP449" i="2"/>
  <c r="BN444" i="2"/>
  <c r="Z444" i="2"/>
  <c r="Z436" i="2"/>
  <c r="Z432" i="2"/>
  <c r="BN428" i="2"/>
  <c r="Z400" i="2"/>
  <c r="BP400" i="2"/>
  <c r="Z398" i="2"/>
  <c r="Y401" i="2"/>
  <c r="BN398" i="2"/>
  <c r="Y402" i="2"/>
  <c r="Z393" i="2"/>
  <c r="BP378" i="2"/>
  <c r="BN369" i="2"/>
  <c r="Z369" i="2"/>
  <c r="BN363" i="2"/>
  <c r="Z363" i="2"/>
  <c r="Z360" i="2"/>
  <c r="BP360" i="2"/>
  <c r="BN352" i="2"/>
  <c r="Y356" i="2"/>
  <c r="Z352" i="2"/>
  <c r="Z339" i="2"/>
  <c r="BN338" i="2"/>
  <c r="BP325" i="2"/>
  <c r="Y319" i="2"/>
  <c r="BN317" i="2"/>
  <c r="BN316" i="2"/>
  <c r="Z316" i="2"/>
  <c r="BP311" i="2"/>
  <c r="Z311" i="2"/>
  <c r="Z312" i="2" s="1"/>
  <c r="BN311" i="2"/>
  <c r="Y312" i="2"/>
  <c r="Z301" i="2"/>
  <c r="Z297" i="2"/>
  <c r="Z286" i="2"/>
  <c r="BN286" i="2"/>
  <c r="BN284" i="2"/>
  <c r="Z283" i="2"/>
  <c r="Z279" i="2"/>
  <c r="BP271" i="2"/>
  <c r="Z269" i="2"/>
  <c r="BP269" i="2"/>
  <c r="BN260" i="2"/>
  <c r="Z260" i="2"/>
  <c r="BN256" i="2"/>
  <c r="Z256" i="2"/>
  <c r="BN246" i="2"/>
  <c r="Z246" i="2"/>
  <c r="BN245" i="2"/>
  <c r="Z236" i="2"/>
  <c r="BP236" i="2"/>
  <c r="BN230" i="2"/>
  <c r="BP226" i="2"/>
  <c r="Z226" i="2"/>
  <c r="Z223" i="2"/>
  <c r="BP207" i="2"/>
  <c r="BP205" i="2"/>
  <c r="BP204" i="2"/>
  <c r="BN190" i="2"/>
  <c r="Z179" i="2"/>
  <c r="Z175" i="2"/>
  <c r="BN170" i="2"/>
  <c r="Z165" i="2"/>
  <c r="BN154" i="2"/>
  <c r="BN149" i="2"/>
  <c r="BN136" i="2"/>
  <c r="BP129" i="2"/>
  <c r="BP118" i="2"/>
  <c r="BN110" i="2"/>
  <c r="BP108" i="2"/>
  <c r="BN103" i="2"/>
  <c r="BN100" i="2"/>
  <c r="BN93" i="2"/>
  <c r="BP85" i="2"/>
  <c r="BP83" i="2"/>
  <c r="Z83" i="2"/>
  <c r="BN77" i="2"/>
  <c r="Z67" i="2"/>
  <c r="Y70" i="2"/>
  <c r="BN66" i="2"/>
  <c r="Z60" i="2"/>
  <c r="D563" i="2"/>
  <c r="Z50" i="2"/>
  <c r="Z41" i="2"/>
  <c r="C563" i="2"/>
  <c r="Z38" i="2"/>
  <c r="X553" i="2"/>
  <c r="X554" i="2"/>
  <c r="BP48" i="2"/>
  <c r="BP57" i="2"/>
  <c r="BP90" i="2"/>
  <c r="BP101" i="2"/>
  <c r="BP111" i="2"/>
  <c r="Y125" i="2"/>
  <c r="BP134" i="2"/>
  <c r="Y289" i="2"/>
  <c r="Z277" i="2"/>
  <c r="BN307" i="2"/>
  <c r="Y308" i="2"/>
  <c r="Z307" i="2"/>
  <c r="Z308" i="2" s="1"/>
  <c r="Y334" i="2"/>
  <c r="Z331" i="2"/>
  <c r="BN412" i="2"/>
  <c r="BP412" i="2"/>
  <c r="Z412" i="2"/>
  <c r="BP438" i="2"/>
  <c r="BN438" i="2"/>
  <c r="BP492" i="2"/>
  <c r="BN492" i="2"/>
  <c r="Z492" i="2"/>
  <c r="BN22" i="2"/>
  <c r="BN29" i="2"/>
  <c r="Z37" i="2"/>
  <c r="BP37" i="2"/>
  <c r="BP39" i="2"/>
  <c r="BN49" i="2"/>
  <c r="Z57" i="2"/>
  <c r="Z61" i="2"/>
  <c r="BP61" i="2"/>
  <c r="Y80" i="2"/>
  <c r="BN84" i="2"/>
  <c r="Z90" i="2"/>
  <c r="Z94" i="2" s="1"/>
  <c r="Z101" i="2"/>
  <c r="Z111" i="2"/>
  <c r="Z123" i="2"/>
  <c r="Z124" i="2" s="1"/>
  <c r="Z134" i="2"/>
  <c r="BP152" i="2"/>
  <c r="BP189" i="2"/>
  <c r="Z189" i="2"/>
  <c r="Z210" i="2"/>
  <c r="BN210" i="2"/>
  <c r="BN237" i="2"/>
  <c r="BP237" i="2"/>
  <c r="Z237" i="2"/>
  <c r="BP240" i="2"/>
  <c r="BN240" i="2"/>
  <c r="Z240" i="2"/>
  <c r="BN250" i="2"/>
  <c r="Y251" i="2"/>
  <c r="Z250" i="2"/>
  <c r="Z251" i="2" s="1"/>
  <c r="BN266" i="2"/>
  <c r="Z266" i="2"/>
  <c r="BN270" i="2"/>
  <c r="BP270" i="2"/>
  <c r="Z270" i="2"/>
  <c r="BN379" i="2"/>
  <c r="BP379" i="2"/>
  <c r="Z379" i="2"/>
  <c r="BP392" i="2"/>
  <c r="BN392" i="2"/>
  <c r="Z406" i="2"/>
  <c r="BN406" i="2"/>
  <c r="BN499" i="2"/>
  <c r="BP499" i="2"/>
  <c r="Y507" i="2"/>
  <c r="Y529" i="2"/>
  <c r="BP528" i="2"/>
  <c r="X555" i="2"/>
  <c r="BN30" i="2"/>
  <c r="BN48" i="2"/>
  <c r="Z93" i="2"/>
  <c r="G563" i="2"/>
  <c r="Z104" i="2"/>
  <c r="Y124" i="2"/>
  <c r="H563" i="2"/>
  <c r="Z137" i="2"/>
  <c r="Z138" i="2" s="1"/>
  <c r="Y145" i="2"/>
  <c r="BP141" i="2"/>
  <c r="BN143" i="2"/>
  <c r="Z152" i="2"/>
  <c r="BN182" i="2"/>
  <c r="BP182" i="2"/>
  <c r="Z182" i="2"/>
  <c r="BN285" i="2"/>
  <c r="BP285" i="2"/>
  <c r="BN361" i="2"/>
  <c r="BP361" i="2"/>
  <c r="Z374" i="2"/>
  <c r="BN374" i="2"/>
  <c r="BP431" i="2"/>
  <c r="BN431" i="2"/>
  <c r="BN443" i="2"/>
  <c r="BP443" i="2"/>
  <c r="BN472" i="2"/>
  <c r="BP472" i="2"/>
  <c r="Z472" i="2"/>
  <c r="BN481" i="2"/>
  <c r="BP481" i="2"/>
  <c r="Z22" i="2"/>
  <c r="X557" i="2"/>
  <c r="Z29" i="2"/>
  <c r="BN37" i="2"/>
  <c r="BN42" i="2"/>
  <c r="Z49" i="2"/>
  <c r="BP51" i="2"/>
  <c r="E563" i="2"/>
  <c r="Z58" i="2"/>
  <c r="Y63" i="2"/>
  <c r="BP59" i="2"/>
  <c r="Y62" i="2"/>
  <c r="BP67" i="2"/>
  <c r="F563" i="2"/>
  <c r="Z84" i="2"/>
  <c r="Z91" i="2"/>
  <c r="BP92" i="2"/>
  <c r="Z102" i="2"/>
  <c r="BP103" i="2"/>
  <c r="Y114" i="2"/>
  <c r="Z112" i="2"/>
  <c r="BN123" i="2"/>
  <c r="Z128" i="2"/>
  <c r="BP128" i="2"/>
  <c r="Z135" i="2"/>
  <c r="BP136" i="2"/>
  <c r="Z141" i="2"/>
  <c r="Y156" i="2"/>
  <c r="Y171" i="2"/>
  <c r="Z169" i="2"/>
  <c r="Z171" i="2" s="1"/>
  <c r="BN178" i="2"/>
  <c r="Z178" i="2"/>
  <c r="BP224" i="2"/>
  <c r="Z224" i="2"/>
  <c r="Z231" i="2"/>
  <c r="BN231" i="2"/>
  <c r="Y248" i="2"/>
  <c r="Z244" i="2"/>
  <c r="BN261" i="2"/>
  <c r="BP261" i="2"/>
  <c r="BN300" i="2"/>
  <c r="BP300" i="2"/>
  <c r="Z300" i="2"/>
  <c r="BP307" i="2"/>
  <c r="BP331" i="2"/>
  <c r="BP387" i="2"/>
  <c r="Z387" i="2"/>
  <c r="Z465" i="2"/>
  <c r="BN465" i="2"/>
  <c r="BN503" i="2"/>
  <c r="BP503" i="2"/>
  <c r="BP521" i="2"/>
  <c r="BN521" i="2"/>
  <c r="Z521" i="2"/>
  <c r="BP170" i="2"/>
  <c r="Y186" i="2"/>
  <c r="BP175" i="2"/>
  <c r="BN177" i="2"/>
  <c r="BN180" i="2"/>
  <c r="BP190" i="2"/>
  <c r="BN198" i="2"/>
  <c r="BN215" i="2"/>
  <c r="BP225" i="2"/>
  <c r="BP245" i="2"/>
  <c r="BP255" i="2"/>
  <c r="Y257" i="2"/>
  <c r="Y263" i="2"/>
  <c r="BN268" i="2"/>
  <c r="BP278" i="2"/>
  <c r="BN280" i="2"/>
  <c r="Y304" i="2"/>
  <c r="BP322" i="2"/>
  <c r="BN324" i="2"/>
  <c r="BN346" i="2"/>
  <c r="BP354" i="2"/>
  <c r="BN364" i="2"/>
  <c r="BP368" i="2"/>
  <c r="BN370" i="2"/>
  <c r="BN373" i="2"/>
  <c r="BP381" i="2"/>
  <c r="Y389" i="2"/>
  <c r="Y388" i="2"/>
  <c r="BP393" i="2"/>
  <c r="BN405" i="2"/>
  <c r="Y421" i="2"/>
  <c r="BP417" i="2"/>
  <c r="BN419" i="2"/>
  <c r="BN426" i="2"/>
  <c r="BP432" i="2"/>
  <c r="BN442" i="2"/>
  <c r="BN448" i="2"/>
  <c r="X563" i="2"/>
  <c r="BN459" i="2"/>
  <c r="Y460" i="2"/>
  <c r="BN464" i="2"/>
  <c r="BP474" i="2"/>
  <c r="AA563" i="2"/>
  <c r="BN502" i="2"/>
  <c r="Y514" i="2"/>
  <c r="BN512" i="2"/>
  <c r="BP516" i="2"/>
  <c r="BN517" i="2"/>
  <c r="BP518" i="2"/>
  <c r="BN519" i="2"/>
  <c r="J563" i="2"/>
  <c r="BN165" i="2"/>
  <c r="Y167" i="2"/>
  <c r="Z181" i="2"/>
  <c r="BP183" i="2"/>
  <c r="Y191" i="2"/>
  <c r="BP188" i="2"/>
  <c r="BP223" i="2"/>
  <c r="BP276" i="2"/>
  <c r="Y305" i="2"/>
  <c r="BP299" i="2"/>
  <c r="BP342" i="2"/>
  <c r="T563" i="2"/>
  <c r="BP386" i="2"/>
  <c r="Y408" i="2"/>
  <c r="W563" i="2"/>
  <c r="BP429" i="2"/>
  <c r="Y450" i="2"/>
  <c r="BP455" i="2"/>
  <c r="Y467" i="2"/>
  <c r="Y493" i="2"/>
  <c r="BP180" i="2"/>
  <c r="Z191" i="2"/>
  <c r="BP215" i="2"/>
  <c r="Y233" i="2"/>
  <c r="BP220" i="2"/>
  <c r="BN222" i="2"/>
  <c r="BN225" i="2"/>
  <c r="Y234" i="2"/>
  <c r="Y241" i="2"/>
  <c r="Y258" i="2"/>
  <c r="Y274" i="2"/>
  <c r="Z267" i="2"/>
  <c r="BP268" i="2"/>
  <c r="Z276" i="2"/>
  <c r="BN278" i="2"/>
  <c r="Z280" i="2"/>
  <c r="BP297" i="2"/>
  <c r="Z324" i="2"/>
  <c r="Z332" i="2"/>
  <c r="BP339" i="2"/>
  <c r="BN341" i="2"/>
  <c r="Z342" i="2"/>
  <c r="Z346" i="2"/>
  <c r="Z348" i="2" s="1"/>
  <c r="BN353" i="2"/>
  <c r="Z359" i="2"/>
  <c r="BP359" i="2"/>
  <c r="Z370" i="2"/>
  <c r="Z373" i="2"/>
  <c r="Z386" i="2"/>
  <c r="Z405" i="2"/>
  <c r="Z426" i="2"/>
  <c r="Z429" i="2"/>
  <c r="Y445" i="2"/>
  <c r="Z448" i="2"/>
  <c r="Z455" i="2"/>
  <c r="Z459" i="2"/>
  <c r="Z460" i="2" s="1"/>
  <c r="Z464" i="2"/>
  <c r="Y477" i="2"/>
  <c r="Y482" i="2"/>
  <c r="Z563" i="2"/>
  <c r="BP517" i="2"/>
  <c r="Z247" i="2"/>
  <c r="BN116" i="2"/>
  <c r="BP281" i="2"/>
  <c r="BP291" i="2"/>
  <c r="BP302" i="2"/>
  <c r="BN347" i="2"/>
  <c r="BN391" i="2"/>
  <c r="BN427" i="2"/>
  <c r="BN437" i="2"/>
  <c r="Y508" i="2"/>
  <c r="BP519" i="2"/>
  <c r="Y546" i="2"/>
  <c r="K563" i="2"/>
  <c r="BP27" i="2"/>
  <c r="BN72" i="2"/>
  <c r="BN150" i="2"/>
  <c r="Z176" i="2"/>
  <c r="Z221" i="2"/>
  <c r="Y242" i="2"/>
  <c r="Z340" i="2"/>
  <c r="Z394" i="2"/>
  <c r="Z418" i="2"/>
  <c r="Z430" i="2"/>
  <c r="Y478" i="2"/>
  <c r="BN522" i="2"/>
  <c r="BN536" i="2"/>
  <c r="L563" i="2"/>
  <c r="Z153" i="2"/>
  <c r="Z148" i="2"/>
  <c r="BP150" i="2"/>
  <c r="Z158" i="2"/>
  <c r="Z159" i="2" s="1"/>
  <c r="Y172" i="2"/>
  <c r="Y192" i="2"/>
  <c r="Y217" i="2"/>
  <c r="Y262" i="2"/>
  <c r="Z287" i="2"/>
  <c r="Y335" i="2"/>
  <c r="BP347" i="2"/>
  <c r="Y382" i="2"/>
  <c r="BP391" i="2"/>
  <c r="Z399" i="2"/>
  <c r="Z425" i="2"/>
  <c r="BP427" i="2"/>
  <c r="BP437" i="2"/>
  <c r="Y483" i="2"/>
  <c r="Z505" i="2"/>
  <c r="Y530" i="2"/>
  <c r="Y542" i="2"/>
  <c r="M563" i="2"/>
  <c r="Z28" i="2"/>
  <c r="BP30" i="2"/>
  <c r="Z40" i="2"/>
  <c r="BP42" i="2"/>
  <c r="BN65" i="2"/>
  <c r="BP77" i="2"/>
  <c r="Z86" i="2"/>
  <c r="BN99" i="2"/>
  <c r="BN109" i="2"/>
  <c r="BN119" i="2"/>
  <c r="Z130" i="2"/>
  <c r="BN142" i="2"/>
  <c r="BN153" i="2"/>
  <c r="Z164" i="2"/>
  <c r="BN176" i="2"/>
  <c r="Z184" i="2"/>
  <c r="BP198" i="2"/>
  <c r="Z208" i="2"/>
  <c r="BP210" i="2"/>
  <c r="BN221" i="2"/>
  <c r="Z229" i="2"/>
  <c r="BP231" i="2"/>
  <c r="Z239" i="2"/>
  <c r="Y252" i="2"/>
  <c r="Z272" i="2"/>
  <c r="Z282" i="2"/>
  <c r="BP284" i="2"/>
  <c r="Z292" i="2"/>
  <c r="Z303" i="2"/>
  <c r="Z315" i="2"/>
  <c r="Z318" i="2" s="1"/>
  <c r="BP317" i="2"/>
  <c r="Z326" i="2"/>
  <c r="BN340" i="2"/>
  <c r="Y343" i="2"/>
  <c r="BP353" i="2"/>
  <c r="Z362" i="2"/>
  <c r="BP364" i="2"/>
  <c r="Z372" i="2"/>
  <c r="BP374" i="2"/>
  <c r="BN394" i="2"/>
  <c r="Z404" i="2"/>
  <c r="BP406" i="2"/>
  <c r="BN418" i="2"/>
  <c r="BN430" i="2"/>
  <c r="Y433" i="2"/>
  <c r="BP442" i="2"/>
  <c r="Y456" i="2"/>
  <c r="Z463" i="2"/>
  <c r="BP465" i="2"/>
  <c r="Z475" i="2"/>
  <c r="BP490" i="2"/>
  <c r="Z500" i="2"/>
  <c r="BP502" i="2"/>
  <c r="Z510" i="2"/>
  <c r="Z513" i="2" s="1"/>
  <c r="BP512" i="2"/>
  <c r="Z520" i="2"/>
  <c r="BP522" i="2"/>
  <c r="BP536" i="2"/>
  <c r="Y547" i="2"/>
  <c r="O563" i="2"/>
  <c r="Z119" i="2"/>
  <c r="Z23" i="2"/>
  <c r="BP116" i="2"/>
  <c r="BN148" i="2"/>
  <c r="BN287" i="2"/>
  <c r="Y348" i="2"/>
  <c r="BN399" i="2"/>
  <c r="BN425" i="2"/>
  <c r="Y446" i="2"/>
  <c r="Y494" i="2"/>
  <c r="BN505" i="2"/>
  <c r="P563" i="2"/>
  <c r="Z65" i="2"/>
  <c r="BN158" i="2"/>
  <c r="F9" i="2"/>
  <c r="BN28" i="2"/>
  <c r="BN40" i="2"/>
  <c r="Y53" i="2"/>
  <c r="BP65" i="2"/>
  <c r="Z73" i="2"/>
  <c r="Z74" i="2" s="1"/>
  <c r="BN86" i="2"/>
  <c r="BP99" i="2"/>
  <c r="BP109" i="2"/>
  <c r="Z117" i="2"/>
  <c r="BN130" i="2"/>
  <c r="BP142" i="2"/>
  <c r="Z151" i="2"/>
  <c r="BN164" i="2"/>
  <c r="Z174" i="2"/>
  <c r="BN184" i="2"/>
  <c r="Z194" i="2"/>
  <c r="Z195" i="2" s="1"/>
  <c r="Y199" i="2"/>
  <c r="BN208" i="2"/>
  <c r="Y211" i="2"/>
  <c r="Z219" i="2"/>
  <c r="BN229" i="2"/>
  <c r="BN239" i="2"/>
  <c r="BN272" i="2"/>
  <c r="BN282" i="2"/>
  <c r="BN292" i="2"/>
  <c r="BN303" i="2"/>
  <c r="BN315" i="2"/>
  <c r="Y318" i="2"/>
  <c r="BN326" i="2"/>
  <c r="Z338" i="2"/>
  <c r="BN362" i="2"/>
  <c r="Y365" i="2"/>
  <c r="BN372" i="2"/>
  <c r="Y375" i="2"/>
  <c r="Y383" i="2"/>
  <c r="Z392" i="2"/>
  <c r="BN404" i="2"/>
  <c r="Y407" i="2"/>
  <c r="Z428" i="2"/>
  <c r="Z438" i="2"/>
  <c r="Z439" i="2" s="1"/>
  <c r="Y451" i="2"/>
  <c r="BN463" i="2"/>
  <c r="Y466" i="2"/>
  <c r="BN475" i="2"/>
  <c r="Z486" i="2"/>
  <c r="Z487" i="2" s="1"/>
  <c r="BN500" i="2"/>
  <c r="BN510" i="2"/>
  <c r="Y513" i="2"/>
  <c r="BN520" i="2"/>
  <c r="Y523" i="2"/>
  <c r="Z532" i="2"/>
  <c r="Z533" i="2" s="1"/>
  <c r="Y537" i="2"/>
  <c r="Z544" i="2"/>
  <c r="Q563" i="2"/>
  <c r="Y43" i="2"/>
  <c r="H9" i="2"/>
  <c r="BP23" i="2"/>
  <c r="Z31" i="2"/>
  <c r="BN58" i="2"/>
  <c r="BN68" i="2"/>
  <c r="Z78" i="2"/>
  <c r="Z79" i="2" s="1"/>
  <c r="BN91" i="2"/>
  <c r="Y94" i="2"/>
  <c r="BN102" i="2"/>
  <c r="Y105" i="2"/>
  <c r="BN112" i="2"/>
  <c r="BN135" i="2"/>
  <c r="Y138" i="2"/>
  <c r="BP148" i="2"/>
  <c r="BP158" i="2"/>
  <c r="BN169" i="2"/>
  <c r="BN179" i="2"/>
  <c r="BN189" i="2"/>
  <c r="BN224" i="2"/>
  <c r="Z232" i="2"/>
  <c r="BN244" i="2"/>
  <c r="Y247" i="2"/>
  <c r="Z255" i="2"/>
  <c r="Z257" i="2" s="1"/>
  <c r="BN267" i="2"/>
  <c r="BN277" i="2"/>
  <c r="Z285" i="2"/>
  <c r="BN298" i="2"/>
  <c r="Y309" i="2"/>
  <c r="BN332" i="2"/>
  <c r="Y344" i="2"/>
  <c r="Z354" i="2"/>
  <c r="Z355" i="2" s="1"/>
  <c r="BN387" i="2"/>
  <c r="Y413" i="2"/>
  <c r="BP425" i="2"/>
  <c r="Y434" i="2"/>
  <c r="Z443" i="2"/>
  <c r="Z445" i="2" s="1"/>
  <c r="Y457" i="2"/>
  <c r="BN480" i="2"/>
  <c r="Z491" i="2"/>
  <c r="Z503" i="2"/>
  <c r="Z550" i="2"/>
  <c r="Z551" i="2" s="1"/>
  <c r="R563" i="2"/>
  <c r="BN73" i="2"/>
  <c r="BN117" i="2"/>
  <c r="Y120" i="2"/>
  <c r="BN151" i="2"/>
  <c r="BN194" i="2"/>
  <c r="BN219" i="2"/>
  <c r="Y349" i="2"/>
  <c r="Y395" i="2"/>
  <c r="BP404" i="2"/>
  <c r="BP463" i="2"/>
  <c r="BP510" i="2"/>
  <c r="BN532" i="2"/>
  <c r="BN544" i="2"/>
  <c r="S563" i="2"/>
  <c r="J9" i="2"/>
  <c r="BN174" i="2"/>
  <c r="BP315" i="2"/>
  <c r="A10" i="2"/>
  <c r="Y24" i="2"/>
  <c r="Y44" i="2"/>
  <c r="Z56" i="2"/>
  <c r="Z66" i="2"/>
  <c r="Z100" i="2"/>
  <c r="Z110" i="2"/>
  <c r="Z143" i="2"/>
  <c r="Z144" i="2" s="1"/>
  <c r="Z154" i="2"/>
  <c r="Y159" i="2"/>
  <c r="BP169" i="2"/>
  <c r="Z177" i="2"/>
  <c r="Y200" i="2"/>
  <c r="Y212" i="2"/>
  <c r="Z222" i="2"/>
  <c r="BP244" i="2"/>
  <c r="Z265" i="2"/>
  <c r="BP277" i="2"/>
  <c r="Y288" i="2"/>
  <c r="BP298" i="2"/>
  <c r="Z341" i="2"/>
  <c r="Y366" i="2"/>
  <c r="Y376" i="2"/>
  <c r="Z385" i="2"/>
  <c r="Z419" i="2"/>
  <c r="Z431" i="2"/>
  <c r="Z454" i="2"/>
  <c r="BP480" i="2"/>
  <c r="Y524" i="2"/>
  <c r="Y538" i="2"/>
  <c r="BN550" i="2"/>
  <c r="Z109" i="2"/>
  <c r="Y52" i="2"/>
  <c r="BP72" i="2"/>
  <c r="Y87" i="2"/>
  <c r="Y95" i="2"/>
  <c r="Y106" i="2"/>
  <c r="Y131" i="2"/>
  <c r="Y139" i="2"/>
  <c r="BP174" i="2"/>
  <c r="Y185" i="2"/>
  <c r="BP194" i="2"/>
  <c r="BP219" i="2"/>
  <c r="Y273" i="2"/>
  <c r="Y293" i="2"/>
  <c r="Y327" i="2"/>
  <c r="Y414" i="2"/>
  <c r="BP486" i="2"/>
  <c r="BP532" i="2"/>
  <c r="B563" i="2"/>
  <c r="U563" i="2"/>
  <c r="Y113" i="2"/>
  <c r="Y396" i="2"/>
  <c r="BP550" i="2"/>
  <c r="V563" i="2"/>
  <c r="Y69" i="2"/>
  <c r="Y121" i="2"/>
  <c r="Y25" i="2"/>
  <c r="Z48" i="2"/>
  <c r="Z59" i="2"/>
  <c r="Y74" i="2"/>
  <c r="Y195" i="2"/>
  <c r="Z204" i="2"/>
  <c r="Z215" i="2"/>
  <c r="Z216" i="2" s="1"/>
  <c r="Z299" i="2"/>
  <c r="Z322" i="2"/>
  <c r="Z333" i="2"/>
  <c r="Z368" i="2"/>
  <c r="Z378" i="2"/>
  <c r="Z411" i="2"/>
  <c r="Z413" i="2" s="1"/>
  <c r="Y439" i="2"/>
  <c r="Z471" i="2"/>
  <c r="Z481" i="2"/>
  <c r="Z482" i="2" s="1"/>
  <c r="Y487" i="2"/>
  <c r="Z516" i="2"/>
  <c r="Z528" i="2"/>
  <c r="Z529" i="2" s="1"/>
  <c r="Y533" i="2"/>
  <c r="Z540" i="2"/>
  <c r="Z541" i="2" s="1"/>
  <c r="Y32" i="2"/>
  <c r="BP56" i="2"/>
  <c r="Y79" i="2"/>
  <c r="Y88" i="2"/>
  <c r="Z98" i="2"/>
  <c r="Z108" i="2"/>
  <c r="Z118" i="2"/>
  <c r="Y132" i="2"/>
  <c r="BP265" i="2"/>
  <c r="Y294" i="2"/>
  <c r="Y328" i="2"/>
  <c r="Y355" i="2"/>
  <c r="BP385" i="2"/>
  <c r="BP454" i="2"/>
  <c r="Z545" i="2"/>
  <c r="Y551" i="2"/>
  <c r="BN471" i="2"/>
  <c r="BN528" i="2"/>
  <c r="BN540" i="2"/>
  <c r="Y563" i="2"/>
  <c r="Z27" i="2"/>
  <c r="Z39" i="2"/>
  <c r="Z51" i="2"/>
  <c r="Y75" i="2"/>
  <c r="Z85" i="2"/>
  <c r="BN98" i="2"/>
  <c r="Z129" i="2"/>
  <c r="BN141" i="2"/>
  <c r="Y144" i="2"/>
  <c r="Y155" i="2"/>
  <c r="Z163" i="2"/>
  <c r="Z183" i="2"/>
  <c r="Z207" i="2"/>
  <c r="Z228" i="2"/>
  <c r="Z238" i="2"/>
  <c r="Z261" i="2"/>
  <c r="Z262" i="2" s="1"/>
  <c r="Z271" i="2"/>
  <c r="Z281" i="2"/>
  <c r="Z291" i="2"/>
  <c r="Z302" i="2"/>
  <c r="Z325" i="2"/>
  <c r="Z361" i="2"/>
  <c r="Z371" i="2"/>
  <c r="Z381" i="2"/>
  <c r="BN417" i="2"/>
  <c r="Y420" i="2"/>
  <c r="Y440" i="2"/>
  <c r="Z449" i="2"/>
  <c r="Z450" i="2" s="1"/>
  <c r="Z474" i="2"/>
  <c r="Y488" i="2"/>
  <c r="Z499" i="2"/>
  <c r="BN545" i="2"/>
  <c r="Y33" i="2"/>
  <c r="BP540" i="2"/>
  <c r="Y552" i="2"/>
  <c r="BN163" i="2"/>
  <c r="Y166" i="2"/>
  <c r="BN238" i="2"/>
  <c r="I563" i="2"/>
  <c r="AB563" i="2"/>
  <c r="BN188" i="2"/>
  <c r="BN331" i="2"/>
  <c r="Z120" i="2" l="1"/>
  <c r="Z395" i="2"/>
  <c r="Z523" i="2"/>
  <c r="Z493" i="2"/>
  <c r="Z456" i="2"/>
  <c r="Z401" i="2"/>
  <c r="Z388" i="2"/>
  <c r="Z365" i="2"/>
  <c r="Z334" i="2"/>
  <c r="Z87" i="2"/>
  <c r="Z52" i="2"/>
  <c r="X556" i="2"/>
  <c r="Y555" i="2"/>
  <c r="Z507" i="2"/>
  <c r="Z241" i="2"/>
  <c r="Z382" i="2"/>
  <c r="Z304" i="2"/>
  <c r="Z273" i="2"/>
  <c r="Z24" i="2"/>
  <c r="Z288" i="2"/>
  <c r="Z43" i="2"/>
  <c r="Z62" i="2"/>
  <c r="Z407" i="2"/>
  <c r="Z433" i="2"/>
  <c r="Z420" i="2"/>
  <c r="Z105" i="2"/>
  <c r="Y554" i="2"/>
  <c r="Z466" i="2"/>
  <c r="Y553" i="2"/>
  <c r="Z233" i="2"/>
  <c r="Z166" i="2"/>
  <c r="Z375" i="2"/>
  <c r="Z327" i="2"/>
  <c r="Y557" i="2"/>
  <c r="Z69" i="2"/>
  <c r="Z477" i="2"/>
  <c r="Z113" i="2"/>
  <c r="Z546" i="2"/>
  <c r="Z131" i="2"/>
  <c r="Z293" i="2"/>
  <c r="Z211" i="2"/>
  <c r="Z185" i="2"/>
  <c r="Z155" i="2"/>
  <c r="Z32" i="2"/>
  <c r="Z343" i="2"/>
  <c r="Y556" i="2" l="1"/>
  <c r="Z558" i="2"/>
</calcChain>
</file>

<file path=xl/sharedStrings.xml><?xml version="1.0" encoding="utf-8"?>
<sst xmlns="http://schemas.openxmlformats.org/spreadsheetml/2006/main" count="4209" uniqueCount="889">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</sst>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 t="s">
        <v>888</v>
      </c>
      <c r="I5" s="645"/>
      <c r="J5" s="645"/>
      <c r="K5" s="645"/>
      <c r="L5" s="645"/>
      <c r="M5" s="645"/>
      <c r="N5" s="72"/>
      <c r="P5" s="27" t="s">
        <v>4</v>
      </c>
      <c r="Q5" s="647">
        <v>46264</v>
      </c>
      <c r="R5" s="647"/>
      <c r="T5" s="648" t="s">
        <v>3</v>
      </c>
      <c r="U5" s="649"/>
      <c r="V5" s="650" t="s">
        <v>869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870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Воскресенье</v>
      </c>
      <c r="R6" s="653"/>
      <c r="T6" s="654" t="s">
        <v>5</v>
      </c>
      <c r="U6" s="655"/>
      <c r="V6" s="656" t="s">
        <v>69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1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0.375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70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71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72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hidden="1" customHeight="1" x14ac:dyDescent="0.2">
      <c r="A19" s="708" t="s">
        <v>75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hidden="1" customHeight="1" x14ac:dyDescent="0.25">
      <c r="A20" s="709" t="s">
        <v>75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hidden="1" customHeight="1" x14ac:dyDescent="0.25">
      <c r="A21" s="710" t="s">
        <v>76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0" t="s">
        <v>85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hidden="1" customHeight="1" x14ac:dyDescent="0.25">
      <c r="A35" s="709" t="s">
        <v>103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hidden="1" customHeight="1" x14ac:dyDescent="0.25">
      <c r="A36" s="710" t="s">
        <v>85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11">
        <v>4680115889354</v>
      </c>
      <c r="E37" s="71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11">
        <v>4680115888463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11">
        <v>4680115889590</v>
      </c>
      <c r="E39" s="71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customHeight="1" x14ac:dyDescent="0.25">
      <c r="A41" s="63" t="s">
        <v>115</v>
      </c>
      <c r="B41" s="63" t="s">
        <v>116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32</v>
      </c>
      <c r="Y41" s="55">
        <f t="shared" si="0"/>
        <v>32.64</v>
      </c>
      <c r="Z41" s="41">
        <f t="shared" si="1"/>
        <v>0.11067</v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35</v>
      </c>
      <c r="BN41" s="78">
        <f t="shared" si="3"/>
        <v>35.70000000000001</v>
      </c>
      <c r="BO41" s="78">
        <f t="shared" si="4"/>
        <v>9.1575091575091583E-2</v>
      </c>
      <c r="BP41" s="78">
        <f t="shared" si="5"/>
        <v>9.3406593406593408E-2</v>
      </c>
    </row>
    <row r="42" spans="1:68" ht="27" customHeight="1" x14ac:dyDescent="0.25">
      <c r="A42" s="63" t="s">
        <v>118</v>
      </c>
      <c r="B42" s="63" t="s">
        <v>119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32</v>
      </c>
      <c r="Y42" s="55">
        <f t="shared" si="0"/>
        <v>32.64</v>
      </c>
      <c r="Z42" s="41">
        <f t="shared" si="1"/>
        <v>0.11067</v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35</v>
      </c>
      <c r="BN42" s="78">
        <f t="shared" si="3"/>
        <v>35.70000000000001</v>
      </c>
      <c r="BO42" s="78">
        <f t="shared" si="4"/>
        <v>9.1575091575091583E-2</v>
      </c>
      <c r="BP42" s="78">
        <f t="shared" si="5"/>
        <v>9.3406593406593408E-2</v>
      </c>
    </row>
    <row r="43" spans="1:68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33.333333333333336</v>
      </c>
      <c r="Y43" s="43">
        <f>IFERROR(Y37/H37,"0")+IFERROR(Y38/H38,"0")+IFERROR(Y39/H39,"0")+IFERROR(Y40/H40,"0")+IFERROR(Y41/H41,"0")+IFERROR(Y42/H42,"0")</f>
        <v>34</v>
      </c>
      <c r="Z43" s="43">
        <f>IFERROR(IF(Z37="",0,Z37),"0")+IFERROR(IF(Z38="",0,Z38),"0")+IFERROR(IF(Z39="",0,Z39),"0")+IFERROR(IF(Z40="",0,Z40),"0")+IFERROR(IF(Z41="",0,Z41),"0")+IFERROR(IF(Z42="",0,Z42),"0")</f>
        <v>0.22134000000000001</v>
      </c>
      <c r="AA43" s="67"/>
      <c r="AB43" s="67"/>
      <c r="AC43" s="67"/>
    </row>
    <row r="44" spans="1:68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64</v>
      </c>
      <c r="Y44" s="43">
        <f>IFERROR(SUM(Y37:Y42),"0")</f>
        <v>65.28</v>
      </c>
      <c r="Z44" s="42"/>
      <c r="AA44" s="67"/>
      <c r="AB44" s="67"/>
      <c r="AC44" s="67"/>
    </row>
    <row r="45" spans="1:68" ht="27.75" hidden="1" customHeight="1" x14ac:dyDescent="0.2">
      <c r="A45" s="708" t="s">
        <v>121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hidden="1" customHeight="1" x14ac:dyDescent="0.25">
      <c r="A46" s="709" t="s">
        <v>122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hidden="1" customHeight="1" x14ac:dyDescent="0.25">
      <c r="A47" s="710" t="s">
        <v>123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>
        <v>400</v>
      </c>
      <c r="Y48" s="55">
        <f>IFERROR(IF(X48="",0,CEILING((X48/$H48),1)*$H48),"")</f>
        <v>410.40000000000003</v>
      </c>
      <c r="Z48" s="41">
        <f>IFERROR(IF(Y48=0,"",ROUNDUP(Y48/H48,0)*0.01898),"")</f>
        <v>0.72123999999999999</v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415.18518518518516</v>
      </c>
      <c r="BN48" s="78">
        <f>IFERROR(Y48*I48/H48,"0")</f>
        <v>425.98</v>
      </c>
      <c r="BO48" s="78">
        <f>IFERROR(1/J48*(X48/H48),"0")</f>
        <v>0.57870370370370372</v>
      </c>
      <c r="BP48" s="78">
        <f>IFERROR(1/J48*(Y48/H48),"0")</f>
        <v>0.59375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120</v>
      </c>
      <c r="Y50" s="55">
        <f>IFERROR(IF(X50="",0,CEILING((X50/$H50),1)*$H50),"")</f>
        <v>120</v>
      </c>
      <c r="Z50" s="41">
        <f>IFERROR(IF(Y50=0,"",ROUNDUP(Y50/H50,0)*0.00902),"")</f>
        <v>0.27060000000000001</v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125.70000000000002</v>
      </c>
      <c r="BN50" s="78">
        <f>IFERROR(Y50*I50/H50,"0")</f>
        <v>125.70000000000002</v>
      </c>
      <c r="BO50" s="78">
        <f>IFERROR(1/J50*(X50/H50),"0")</f>
        <v>0.22727272727272729</v>
      </c>
      <c r="BP50" s="78">
        <f>IFERROR(1/J50*(Y50/H50),"0")</f>
        <v>0.22727272727272729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67.037037037037038</v>
      </c>
      <c r="Y52" s="43">
        <f>IFERROR(Y48/H48,"0")+IFERROR(Y49/H49,"0")+IFERROR(Y50/H50,"0")+IFERROR(Y51/H51,"0")</f>
        <v>68</v>
      </c>
      <c r="Z52" s="43">
        <f>IFERROR(IF(Z48="",0,Z48),"0")+IFERROR(IF(Z49="",0,Z49),"0")+IFERROR(IF(Z50="",0,Z50),"0")+IFERROR(IF(Z51="",0,Z51),"0")</f>
        <v>0.99184000000000005</v>
      </c>
      <c r="AA52" s="67"/>
      <c r="AB52" s="67"/>
      <c r="AC52" s="67"/>
    </row>
    <row r="53" spans="1:68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520</v>
      </c>
      <c r="Y53" s="43">
        <f>IFERROR(SUM(Y48:Y51),"0")</f>
        <v>530.40000000000009</v>
      </c>
      <c r="Z53" s="42"/>
      <c r="AA53" s="67"/>
      <c r="AB53" s="67"/>
      <c r="AC53" s="67"/>
    </row>
    <row r="54" spans="1:68" ht="16.5" hidden="1" customHeight="1" x14ac:dyDescent="0.25">
      <c r="A54" s="709" t="s">
        <v>138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hidden="1" customHeight="1" x14ac:dyDescent="0.25">
      <c r="A55" s="710" t="s">
        <v>123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>
        <v>400</v>
      </c>
      <c r="Y57" s="55">
        <f t="shared" si="6"/>
        <v>410.40000000000003</v>
      </c>
      <c r="Z57" s="41">
        <f>IFERROR(IF(Y57=0,"",ROUNDUP(Y57/H57,0)*0.01898),"")</f>
        <v>0.72123999999999999</v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415.18518518518516</v>
      </c>
      <c r="BN57" s="78">
        <f t="shared" si="8"/>
        <v>425.98</v>
      </c>
      <c r="BO57" s="78">
        <f t="shared" si="9"/>
        <v>0.57870370370370372</v>
      </c>
      <c r="BP57" s="78">
        <f t="shared" si="10"/>
        <v>0.59375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37.037037037037038</v>
      </c>
      <c r="Y62" s="43">
        <f>IFERROR(Y56/H56,"0")+IFERROR(Y57/H57,"0")+IFERROR(Y58/H58,"0")+IFERROR(Y59/H59,"0")+IFERROR(Y60/H60,"0")+IFERROR(Y61/H61,"0")</f>
        <v>38</v>
      </c>
      <c r="Z62" s="43">
        <f>IFERROR(IF(Z56="",0,Z56),"0")+IFERROR(IF(Z57="",0,Z57),"0")+IFERROR(IF(Z58="",0,Z58),"0")+IFERROR(IF(Z59="",0,Z59),"0")+IFERROR(IF(Z60="",0,Z60),"0")+IFERROR(IF(Z61="",0,Z61),"0")</f>
        <v>0.72123999999999999</v>
      </c>
      <c r="AA62" s="67"/>
      <c r="AB62" s="67"/>
      <c r="AC62" s="67"/>
    </row>
    <row r="63" spans="1:68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400</v>
      </c>
      <c r="Y63" s="43">
        <f>IFERROR(SUM(Y56:Y61),"0")</f>
        <v>410.40000000000003</v>
      </c>
      <c r="Z63" s="42"/>
      <c r="AA63" s="67"/>
      <c r="AB63" s="67"/>
      <c r="AC63" s="67"/>
    </row>
    <row r="64" spans="1:68" ht="14.25" hidden="1" customHeight="1" x14ac:dyDescent="0.25">
      <c r="A64" s="710" t="s">
        <v>156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90</v>
      </c>
      <c r="Y68" s="55">
        <f>IFERROR(IF(X68="",0,CEILING((X68/$H68),1)*$H68),"")</f>
        <v>91.800000000000011</v>
      </c>
      <c r="Z68" s="41">
        <f>IFERROR(IF(Y68=0,"",ROUNDUP(Y68/H68,0)*0.00651),"")</f>
        <v>0.22134000000000001</v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95.999999999999986</v>
      </c>
      <c r="BN68" s="78">
        <f>IFERROR(Y68*I68/H68,"0")</f>
        <v>97.92</v>
      </c>
      <c r="BO68" s="78">
        <f>IFERROR(1/J68*(X68/H68),"0")</f>
        <v>0.18315018315018314</v>
      </c>
      <c r="BP68" s="78">
        <f>IFERROR(1/J68*(Y68/H68),"0")</f>
        <v>0.18681318681318682</v>
      </c>
    </row>
    <row r="69" spans="1:68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33.333333333333329</v>
      </c>
      <c r="Y69" s="43">
        <f>IFERROR(Y65/H65,"0")+IFERROR(Y66/H66,"0")+IFERROR(Y67/H67,"0")+IFERROR(Y68/H68,"0")</f>
        <v>34</v>
      </c>
      <c r="Z69" s="43">
        <f>IFERROR(IF(Z65="",0,Z65),"0")+IFERROR(IF(Z66="",0,Z66),"0")+IFERROR(IF(Z67="",0,Z67),"0")+IFERROR(IF(Z68="",0,Z68),"0")</f>
        <v>0.22134000000000001</v>
      </c>
      <c r="AA69" s="67"/>
      <c r="AB69" s="67"/>
      <c r="AC69" s="67"/>
    </row>
    <row r="70" spans="1:68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90</v>
      </c>
      <c r="Y70" s="43">
        <f>IFERROR(SUM(Y65:Y68),"0")</f>
        <v>91.800000000000011</v>
      </c>
      <c r="Z70" s="42"/>
      <c r="AA70" s="67"/>
      <c r="AB70" s="67"/>
      <c r="AC70" s="67"/>
    </row>
    <row r="71" spans="1:68" ht="14.25" hidden="1" customHeight="1" x14ac:dyDescent="0.25">
      <c r="A71" s="710" t="s">
        <v>85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10" t="s">
        <v>173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709" t="s">
        <v>180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hidden="1" customHeight="1" x14ac:dyDescent="0.25">
      <c r="A82" s="710" t="s">
        <v>123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630</v>
      </c>
      <c r="Y86" s="55">
        <f>IFERROR(IF(X86="",0,CEILING((X86/$H86),1)*$H86),"")</f>
        <v>630</v>
      </c>
      <c r="Z86" s="41">
        <f>IFERROR(IF(Y86=0,"",ROUNDUP(Y86/H86,0)*0.00902),"")</f>
        <v>1.2627999999999999</v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656.6</v>
      </c>
      <c r="BN86" s="78">
        <f>IFERROR(Y86*I86/H86,"0")</f>
        <v>656.6</v>
      </c>
      <c r="BO86" s="78">
        <f>IFERROR(1/J86*(X86/H86),"0")</f>
        <v>1.0606060606060606</v>
      </c>
      <c r="BP86" s="78">
        <f>IFERROR(1/J86*(Y86/H86),"0")</f>
        <v>1.0606060606060606</v>
      </c>
    </row>
    <row r="87" spans="1:68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140</v>
      </c>
      <c r="Y87" s="43">
        <f>IFERROR(Y83/H83,"0")+IFERROR(Y84/H84,"0")+IFERROR(Y85/H85,"0")+IFERROR(Y86/H86,"0")</f>
        <v>140</v>
      </c>
      <c r="Z87" s="43">
        <f>IFERROR(IF(Z83="",0,Z83),"0")+IFERROR(IF(Z84="",0,Z84),"0")+IFERROR(IF(Z85="",0,Z85),"0")+IFERROR(IF(Z86="",0,Z86),"0")</f>
        <v>1.2627999999999999</v>
      </c>
      <c r="AA87" s="67"/>
      <c r="AB87" s="67"/>
      <c r="AC87" s="67"/>
    </row>
    <row r="88" spans="1:68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630</v>
      </c>
      <c r="Y88" s="43">
        <f>IFERROR(SUM(Y83:Y86),"0")</f>
        <v>630</v>
      </c>
      <c r="Z88" s="42"/>
      <c r="AA88" s="67"/>
      <c r="AB88" s="67"/>
      <c r="AC88" s="67"/>
    </row>
    <row r="89" spans="1:68" ht="14.25" hidden="1" customHeight="1" x14ac:dyDescent="0.25">
      <c r="A89" s="710" t="s">
        <v>85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500</v>
      </c>
      <c r="Y90" s="55">
        <f>IFERROR(IF(X90="",0,CEILING((X90/$H90),1)*$H90),"")</f>
        <v>502.2</v>
      </c>
      <c r="Z90" s="41">
        <f>IFERROR(IF(Y90=0,"",ROUNDUP(Y90/H90,0)*0.01898),"")</f>
        <v>1.17676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530.49382716049388</v>
      </c>
      <c r="BN90" s="78">
        <f>IFERROR(Y90*I90/H90,"0")</f>
        <v>532.82799999999997</v>
      </c>
      <c r="BO90" s="78">
        <f>IFERROR(1/J90*(X90/H90),"0")</f>
        <v>0.96450617283950624</v>
      </c>
      <c r="BP90" s="78">
        <f>IFERROR(1/J90*(Y90/H90),"0")</f>
        <v>0.96875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90</v>
      </c>
      <c r="Y92" s="55">
        <f>IFERROR(IF(X92="",0,CEILING((X92/$H92),1)*$H92),"")</f>
        <v>91.800000000000011</v>
      </c>
      <c r="Z92" s="41">
        <f>IFERROR(IF(Y92=0,"",ROUNDUP(Y92/H92,0)*0.00651),"")</f>
        <v>0.22134000000000001</v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98.399999999999991</v>
      </c>
      <c r="BN92" s="78">
        <f>IFERROR(Y92*I92/H92,"0")</f>
        <v>100.36799999999999</v>
      </c>
      <c r="BO92" s="78">
        <f>IFERROR(1/J92*(X92/H92),"0")</f>
        <v>0.18315018315018314</v>
      </c>
      <c r="BP92" s="78">
        <f>IFERROR(1/J92*(Y92/H92),"0")</f>
        <v>0.18681318681318682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95.061728395061721</v>
      </c>
      <c r="Y94" s="43">
        <f>IFERROR(Y90/H90,"0")+IFERROR(Y91/H91,"0")+IFERROR(Y92/H92,"0")+IFERROR(Y93/H93,"0")</f>
        <v>96</v>
      </c>
      <c r="Z94" s="43">
        <f>IFERROR(IF(Z90="",0,Z90),"0")+IFERROR(IF(Z91="",0,Z91),"0")+IFERROR(IF(Z92="",0,Z92),"0")+IFERROR(IF(Z93="",0,Z93),"0")</f>
        <v>1.3981000000000001</v>
      </c>
      <c r="AA94" s="67"/>
      <c r="AB94" s="67"/>
      <c r="AC94" s="67"/>
    </row>
    <row r="95" spans="1:68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590</v>
      </c>
      <c r="Y95" s="43">
        <f>IFERROR(SUM(Y90:Y93),"0")</f>
        <v>594</v>
      </c>
      <c r="Z95" s="42"/>
      <c r="AA95" s="67"/>
      <c r="AB95" s="67"/>
      <c r="AC95" s="67"/>
    </row>
    <row r="96" spans="1:68" ht="16.5" hidden="1" customHeight="1" x14ac:dyDescent="0.25">
      <c r="A96" s="709" t="s">
        <v>201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hidden="1" customHeight="1" x14ac:dyDescent="0.25">
      <c r="A97" s="710" t="s">
        <v>123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customHeight="1" x14ac:dyDescent="0.25">
      <c r="A98" s="63" t="s">
        <v>202</v>
      </c>
      <c r="B98" s="63" t="s">
        <v>203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>
        <v>30</v>
      </c>
      <c r="Y98" s="55">
        <f t="shared" ref="Y98:Y104" si="11">IFERROR(IF(X98="",0,CEILING((X98/$H98),1)*$H98),"")</f>
        <v>32.400000000000006</v>
      </c>
      <c r="Z98" s="41">
        <f>IFERROR(IF(Y98=0,"",ROUNDUP(Y98/H98,0)*0.01898),"")</f>
        <v>5.6940000000000004E-2</v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31.138888888888889</v>
      </c>
      <c r="BN98" s="78">
        <f t="shared" ref="BN98:BN104" si="13">IFERROR(Y98*I98/H98,"0")</f>
        <v>33.630000000000003</v>
      </c>
      <c r="BO98" s="78">
        <f t="shared" ref="BO98:BO104" si="14">IFERROR(1/J98*(X98/H98),"0")</f>
        <v>4.3402777777777776E-2</v>
      </c>
      <c r="BP98" s="78">
        <f t="shared" ref="BP98:BP104" si="15">IFERROR(1/J98*(Y98/H98),"0")</f>
        <v>4.6875000000000007E-2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315</v>
      </c>
      <c r="Y103" s="55">
        <f t="shared" si="11"/>
        <v>315</v>
      </c>
      <c r="Z103" s="41">
        <f>IFERROR(IF(Y103=0,"",ROUNDUP(Y103/H103,0)*0.00902),"")</f>
        <v>0.63139999999999996</v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328.3</v>
      </c>
      <c r="BN103" s="78">
        <f t="shared" si="13"/>
        <v>328.3</v>
      </c>
      <c r="BO103" s="78">
        <f t="shared" si="14"/>
        <v>0.53030303030303028</v>
      </c>
      <c r="BP103" s="78">
        <f t="shared" si="15"/>
        <v>0.53030303030303028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72.777777777777771</v>
      </c>
      <c r="Y105" s="43">
        <f>IFERROR(Y98/H98,"0")+IFERROR(Y99/H99,"0")+IFERROR(Y100/H100,"0")+IFERROR(Y101/H101,"0")+IFERROR(Y102/H102,"0")+IFERROR(Y103/H103,"0")+IFERROR(Y104/H104,"0")</f>
        <v>73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0.68833999999999995</v>
      </c>
      <c r="AA105" s="67"/>
      <c r="AB105" s="67"/>
      <c r="AC105" s="67"/>
    </row>
    <row r="106" spans="1:68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345</v>
      </c>
      <c r="Y106" s="43">
        <f>IFERROR(SUM(Y98:Y104),"0")</f>
        <v>347.4</v>
      </c>
      <c r="Z106" s="42"/>
      <c r="AA106" s="67"/>
      <c r="AB106" s="67"/>
      <c r="AC106" s="67"/>
    </row>
    <row r="107" spans="1:68" ht="14.25" hidden="1" customHeight="1" x14ac:dyDescent="0.25">
      <c r="A107" s="710" t="s">
        <v>156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0" t="s">
        <v>85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800</v>
      </c>
      <c r="Y116" s="55">
        <f>IFERROR(IF(X116="",0,CEILING((X116/$H116),1)*$H116),"")</f>
        <v>801.9</v>
      </c>
      <c r="Z116" s="41">
        <f>IFERROR(IF(Y116=0,"",ROUNDUP(Y116/H116,0)*0.01898),"")</f>
        <v>1.8790200000000001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848.19753086419757</v>
      </c>
      <c r="BN116" s="78">
        <f>IFERROR(Y116*I116/H116,"0")</f>
        <v>850.21199999999988</v>
      </c>
      <c r="BO116" s="78">
        <f>IFERROR(1/J116*(X116/H116),"0")</f>
        <v>1.5432098765432098</v>
      </c>
      <c r="BP116" s="78">
        <f>IFERROR(1/J116*(Y116/H116),"0")</f>
        <v>1.546875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235</v>
      </c>
      <c r="B119" s="63" t="s">
        <v>236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90</v>
      </c>
      <c r="Y119" s="55">
        <f>IFERROR(IF(X119="",0,CEILING((X119/$H119),1)*$H119),"")</f>
        <v>90</v>
      </c>
      <c r="Z119" s="41">
        <f>IFERROR(IF(Y119=0,"",ROUNDUP(Y119/H119,0)*0.00651),"")</f>
        <v>0.32550000000000001</v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98.999999999999986</v>
      </c>
      <c r="BN119" s="78">
        <f>IFERROR(Y119*I119/H119,"0")</f>
        <v>98.999999999999986</v>
      </c>
      <c r="BO119" s="78">
        <f>IFERROR(1/J119*(X119/H119),"0")</f>
        <v>0.27472527472527475</v>
      </c>
      <c r="BP119" s="78">
        <f>IFERROR(1/J119*(Y119/H119),"0")</f>
        <v>0.27472527472527475</v>
      </c>
    </row>
    <row r="120" spans="1:68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148.76543209876542</v>
      </c>
      <c r="Y120" s="43">
        <f>IFERROR(Y116/H116,"0")+IFERROR(Y117/H117,"0")+IFERROR(Y118/H118,"0")+IFERROR(Y119/H119,"0")</f>
        <v>149</v>
      </c>
      <c r="Z120" s="43">
        <f>IFERROR(IF(Z116="",0,Z116),"0")+IFERROR(IF(Z117="",0,Z117),"0")+IFERROR(IF(Z118="",0,Z118),"0")+IFERROR(IF(Z119="",0,Z119),"0")</f>
        <v>2.20452</v>
      </c>
      <c r="AA120" s="67"/>
      <c r="AB120" s="67"/>
      <c r="AC120" s="67"/>
    </row>
    <row r="121" spans="1:68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890</v>
      </c>
      <c r="Y121" s="43">
        <f>IFERROR(SUM(Y116:Y119),"0")</f>
        <v>891.9</v>
      </c>
      <c r="Z121" s="42"/>
      <c r="AA121" s="67"/>
      <c r="AB121" s="67"/>
      <c r="AC121" s="67"/>
    </row>
    <row r="122" spans="1:68" ht="14.25" hidden="1" customHeight="1" x14ac:dyDescent="0.25">
      <c r="A122" s="710" t="s">
        <v>173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customHeight="1" x14ac:dyDescent="0.25">
      <c r="A123" s="63" t="s">
        <v>238</v>
      </c>
      <c r="B123" s="63" t="s">
        <v>239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36.300000000000004</v>
      </c>
      <c r="Y123" s="55">
        <f>IFERROR(IF(X123="",0,CEILING((X123/$H123),1)*$H123),"")</f>
        <v>37.619999999999997</v>
      </c>
      <c r="Z123" s="41">
        <f>IFERROR(IF(Y123=0,"",ROUNDUP(Y123/H123,0)*0.00651),"")</f>
        <v>0.12369000000000001</v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41.03</v>
      </c>
      <c r="BN123" s="78">
        <f>IFERROR(Y123*I123/H123,"0")</f>
        <v>42.521999999999998</v>
      </c>
      <c r="BO123" s="78">
        <f>IFERROR(1/J123*(X123/H123),"0")</f>
        <v>0.10073260073260075</v>
      </c>
      <c r="BP123" s="78">
        <f>IFERROR(1/J123*(Y123/H123),"0")</f>
        <v>0.1043956043956044</v>
      </c>
    </row>
    <row r="124" spans="1:68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18.333333333333336</v>
      </c>
      <c r="Y124" s="43">
        <f>IFERROR(Y123/H123,"0")</f>
        <v>19</v>
      </c>
      <c r="Z124" s="43">
        <f>IFERROR(IF(Z123="",0,Z123),"0")</f>
        <v>0.12369000000000001</v>
      </c>
      <c r="AA124" s="67"/>
      <c r="AB124" s="67"/>
      <c r="AC124" s="67"/>
    </row>
    <row r="125" spans="1:68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36.300000000000004</v>
      </c>
      <c r="Y125" s="43">
        <f>IFERROR(SUM(Y123:Y123),"0")</f>
        <v>37.619999999999997</v>
      </c>
      <c r="Z125" s="42"/>
      <c r="AA125" s="67"/>
      <c r="AB125" s="67"/>
      <c r="AC125" s="67"/>
    </row>
    <row r="126" spans="1:68" ht="16.5" hidden="1" customHeight="1" x14ac:dyDescent="0.25">
      <c r="A126" s="709" t="s">
        <v>241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hidden="1" customHeight="1" x14ac:dyDescent="0.25">
      <c r="A127" s="710" t="s">
        <v>123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customHeight="1" x14ac:dyDescent="0.25">
      <c r="A128" s="63" t="s">
        <v>242</v>
      </c>
      <c r="B128" s="63" t="s">
        <v>243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30</v>
      </c>
      <c r="Y128" s="55">
        <f>IFERROR(IF(X128="",0,CEILING((X128/$H128),1)*$H128),"")</f>
        <v>30</v>
      </c>
      <c r="Z128" s="41">
        <f>IFERROR(IF(Y128=0,"",ROUNDUP(Y128/H128,0)*0.01196),"")</f>
        <v>5.9799999999999999E-2</v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31.900000000000002</v>
      </c>
      <c r="BN128" s="78">
        <f>IFERROR(Y128*I128/H128,"0")</f>
        <v>31.900000000000002</v>
      </c>
      <c r="BO128" s="78">
        <f>IFERROR(1/J128*(X128/H128),"0")</f>
        <v>4.807692307692308E-2</v>
      </c>
      <c r="BP128" s="78">
        <f>IFERROR(1/J128*(Y128/H128),"0")</f>
        <v>4.807692307692308E-2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246</v>
      </c>
      <c r="B130" s="63" t="s">
        <v>250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80</v>
      </c>
      <c r="Y130" s="55">
        <f>IFERROR(IF(X130="",0,CEILING((X130/$H130),1)*$H130),"")</f>
        <v>80</v>
      </c>
      <c r="Z130" s="41">
        <f>IFERROR(IF(Y130=0,"",ROUNDUP(Y130/H130,0)*0.00651),"")</f>
        <v>0.16275000000000001</v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84.499999999999986</v>
      </c>
      <c r="BN130" s="78">
        <f>IFERROR(Y130*I130/H130,"0")</f>
        <v>84.499999999999986</v>
      </c>
      <c r="BO130" s="78">
        <f>IFERROR(1/J130*(X130/H130),"0")</f>
        <v>0.13736263736263737</v>
      </c>
      <c r="BP130" s="78">
        <f>IFERROR(1/J130*(Y130/H130),"0")</f>
        <v>0.13736263736263737</v>
      </c>
    </row>
    <row r="131" spans="1:68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30</v>
      </c>
      <c r="Y131" s="43">
        <f>IFERROR(Y128/H128,"0")+IFERROR(Y129/H129,"0")+IFERROR(Y130/H130,"0")</f>
        <v>30</v>
      </c>
      <c r="Z131" s="43">
        <f>IFERROR(IF(Z128="",0,Z128),"0")+IFERROR(IF(Z129="",0,Z129),"0")+IFERROR(IF(Z130="",0,Z130),"0")</f>
        <v>0.22255</v>
      </c>
      <c r="AA131" s="67"/>
      <c r="AB131" s="67"/>
      <c r="AC131" s="67"/>
    </row>
    <row r="132" spans="1:68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110</v>
      </c>
      <c r="Y132" s="43">
        <f>IFERROR(SUM(Y128:Y130),"0")</f>
        <v>110</v>
      </c>
      <c r="Z132" s="42"/>
      <c r="AA132" s="67"/>
      <c r="AB132" s="67"/>
      <c r="AC132" s="67"/>
    </row>
    <row r="133" spans="1:68" ht="14.25" hidden="1" customHeight="1" x14ac:dyDescent="0.25">
      <c r="A133" s="710" t="s">
        <v>76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customHeight="1" x14ac:dyDescent="0.25">
      <c r="A134" s="63" t="s">
        <v>251</v>
      </c>
      <c r="B134" s="63" t="s">
        <v>252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30</v>
      </c>
      <c r="Y134" s="55">
        <f>IFERROR(IF(X134="",0,CEILING((X134/$H134),1)*$H134),"")</f>
        <v>33.6</v>
      </c>
      <c r="Z134" s="41">
        <f>IFERROR(IF(Y134=0,"",ROUNDUP(Y134/H134,0)*0.01196),"")</f>
        <v>9.5680000000000001E-2</v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32.714285714285715</v>
      </c>
      <c r="BN134" s="78">
        <f>IFERROR(Y134*I134/H134,"0")</f>
        <v>36.64</v>
      </c>
      <c r="BO134" s="78">
        <f>IFERROR(1/J134*(X134/H134),"0")</f>
        <v>6.8681318681318687E-2</v>
      </c>
      <c r="BP134" s="78">
        <f>IFERROR(1/J134*(Y134/H134),"0")</f>
        <v>7.6923076923076927E-2</v>
      </c>
    </row>
    <row r="135" spans="1:68" ht="27" customHeight="1" x14ac:dyDescent="0.25">
      <c r="A135" s="63" t="s">
        <v>254</v>
      </c>
      <c r="B135" s="63" t="s">
        <v>255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56</v>
      </c>
      <c r="Y135" s="55">
        <f>IFERROR(IF(X135="",0,CEILING((X135/$H135),1)*$H135),"")</f>
        <v>56</v>
      </c>
      <c r="Z135" s="41">
        <f>IFERROR(IF(Y135=0,"",ROUNDUP(Y135/H135,0)*0.00651),"")</f>
        <v>0.13020000000000001</v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61.36</v>
      </c>
      <c r="BN135" s="78">
        <f>IFERROR(Y135*I135/H135,"0")</f>
        <v>61.36</v>
      </c>
      <c r="BO135" s="78">
        <f>IFERROR(1/J135*(X135/H135),"0")</f>
        <v>0.1098901098901099</v>
      </c>
      <c r="BP135" s="78">
        <f>IFERROR(1/J135*(Y135/H135),"0")</f>
        <v>0.1098901098901099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27.142857142857142</v>
      </c>
      <c r="Y138" s="43">
        <f>IFERROR(Y134/H134,"0")+IFERROR(Y135/H135,"0")+IFERROR(Y136/H136,"0")+IFERROR(Y137/H137,"0")</f>
        <v>28</v>
      </c>
      <c r="Z138" s="43">
        <f>IFERROR(IF(Z134="",0,Z134),"0")+IFERROR(IF(Z135="",0,Z135),"0")+IFERROR(IF(Z136="",0,Z136),"0")+IFERROR(IF(Z137="",0,Z137),"0")</f>
        <v>0.22588000000000003</v>
      </c>
      <c r="AA138" s="67"/>
      <c r="AB138" s="67"/>
      <c r="AC138" s="67"/>
    </row>
    <row r="139" spans="1:68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86</v>
      </c>
      <c r="Y139" s="43">
        <f>IFERROR(SUM(Y134:Y137),"0")</f>
        <v>89.6</v>
      </c>
      <c r="Z139" s="42"/>
      <c r="AA139" s="67"/>
      <c r="AB139" s="67"/>
      <c r="AC139" s="67"/>
    </row>
    <row r="140" spans="1:68" ht="14.25" hidden="1" customHeight="1" x14ac:dyDescent="0.25">
      <c r="A140" s="710" t="s">
        <v>85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262</v>
      </c>
      <c r="B142" s="63" t="s">
        <v>263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82.5</v>
      </c>
      <c r="Y142" s="55">
        <f>IFERROR(IF(X142="",0,CEILING((X142/$H142),1)*$H142),"")</f>
        <v>84.48</v>
      </c>
      <c r="Z142" s="41">
        <f>IFERROR(IF(Y142=0,"",ROUNDUP(Y142/H142,0)*0.00651),"")</f>
        <v>0.20832000000000001</v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90.875</v>
      </c>
      <c r="BN142" s="78">
        <f>IFERROR(Y142*I142/H142,"0")</f>
        <v>93.055999999999997</v>
      </c>
      <c r="BO142" s="78">
        <f>IFERROR(1/J142*(X142/H142),"0")</f>
        <v>0.1717032967032967</v>
      </c>
      <c r="BP142" s="78">
        <f>IFERROR(1/J142*(Y142/H142),"0")</f>
        <v>0.17582417582417584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31.25</v>
      </c>
      <c r="Y144" s="43">
        <f>IFERROR(Y141/H141,"0")+IFERROR(Y142/H142,"0")+IFERROR(Y143/H143,"0")</f>
        <v>32</v>
      </c>
      <c r="Z144" s="43">
        <f>IFERROR(IF(Z141="",0,Z141),"0")+IFERROR(IF(Z142="",0,Z142),"0")+IFERROR(IF(Z143="",0,Z143),"0")</f>
        <v>0.20832000000000001</v>
      </c>
      <c r="AA144" s="67"/>
      <c r="AB144" s="67"/>
      <c r="AC144" s="67"/>
    </row>
    <row r="145" spans="1:68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82.5</v>
      </c>
      <c r="Y145" s="43">
        <f>IFERROR(SUM(Y141:Y143),"0")</f>
        <v>84.48</v>
      </c>
      <c r="Z145" s="42"/>
      <c r="AA145" s="67"/>
      <c r="AB145" s="67"/>
      <c r="AC145" s="67"/>
    </row>
    <row r="146" spans="1:68" ht="16.5" hidden="1" customHeight="1" x14ac:dyDescent="0.25">
      <c r="A146" s="709" t="s">
        <v>265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hidden="1" customHeight="1" x14ac:dyDescent="0.25">
      <c r="A147" s="710" t="s">
        <v>85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0" t="s">
        <v>281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9" t="s">
        <v>121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hidden="1" customHeight="1" x14ac:dyDescent="0.25">
      <c r="A162" s="710" t="s">
        <v>123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10" t="s">
        <v>156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710" t="s">
        <v>76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200</v>
      </c>
      <c r="Y174" s="55">
        <f t="shared" ref="Y174:Y184" si="22">IFERROR(IF(X174="",0,CEILING((X174/$H174),1)*$H174),"")</f>
        <v>203</v>
      </c>
      <c r="Z174" s="41">
        <f>IFERROR(IF(Y174=0,"",ROUNDUP(Y174/H174,0)*0.00902),"")</f>
        <v>0.52316000000000007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210.85714285714286</v>
      </c>
      <c r="BN174" s="78">
        <f t="shared" ref="BN174:BN184" si="24">IFERROR(Y174*I174/H174,"0")</f>
        <v>214.01999999999998</v>
      </c>
      <c r="BO174" s="78">
        <f t="shared" ref="BO174:BO184" si="25">IFERROR(1/J174*(X174/H174),"0")</f>
        <v>0.43290043290043295</v>
      </c>
      <c r="BP174" s="78">
        <f t="shared" ref="BP174:BP184" si="26">IFERROR(1/J174*(Y174/H174),"0")</f>
        <v>0.43939393939393939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300</v>
      </c>
      <c r="Y176" s="55">
        <f t="shared" si="22"/>
        <v>301</v>
      </c>
      <c r="Z176" s="41">
        <f>IFERROR(IF(Y176=0,"",ROUNDUP(Y176/H176,0)*0.00902),"")</f>
        <v>0.77571999999999997</v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316.28571428571428</v>
      </c>
      <c r="BN176" s="78">
        <f t="shared" si="24"/>
        <v>317.34000000000003</v>
      </c>
      <c r="BO176" s="78">
        <f t="shared" si="25"/>
        <v>0.64935064935064934</v>
      </c>
      <c r="BP176" s="78">
        <f t="shared" si="26"/>
        <v>0.65151515151515149</v>
      </c>
    </row>
    <row r="177" spans="1:68" ht="27" customHeight="1" x14ac:dyDescent="0.25">
      <c r="A177" s="63" t="s">
        <v>312</v>
      </c>
      <c r="B177" s="63" t="s">
        <v>313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400</v>
      </c>
      <c r="Y177" s="55">
        <f t="shared" si="22"/>
        <v>402.5</v>
      </c>
      <c r="Z177" s="41">
        <f>IFERROR(IF(Y177=0,"",ROUNDUP(Y177/H177,0)*0.00902),"")</f>
        <v>1.0373000000000001</v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421.71428571428572</v>
      </c>
      <c r="BN177" s="78">
        <f t="shared" si="24"/>
        <v>424.34999999999997</v>
      </c>
      <c r="BO177" s="78">
        <f t="shared" si="25"/>
        <v>0.8658008658008659</v>
      </c>
      <c r="BP177" s="78">
        <f t="shared" si="26"/>
        <v>0.87121212121212122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84.000000000000014</v>
      </c>
      <c r="Y179" s="55">
        <f t="shared" si="22"/>
        <v>84</v>
      </c>
      <c r="Z179" s="41">
        <f>IFERROR(IF(Y179=0,"",ROUNDUP(Y179/H179,0)*0.00502),"")</f>
        <v>0.251</v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89.000000000000028</v>
      </c>
      <c r="BN179" s="78">
        <f t="shared" si="24"/>
        <v>89.000000000000014</v>
      </c>
      <c r="BO179" s="78">
        <f t="shared" si="25"/>
        <v>0.21367521367521372</v>
      </c>
      <c r="BP179" s="78">
        <f t="shared" si="26"/>
        <v>0.21367521367521369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324</v>
      </c>
      <c r="B182" s="63" t="s">
        <v>325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84.000000000000014</v>
      </c>
      <c r="Y182" s="55">
        <f t="shared" si="22"/>
        <v>84</v>
      </c>
      <c r="Z182" s="41">
        <f>IFERROR(IF(Y182=0,"",ROUNDUP(Y182/H182,0)*0.00502),"")</f>
        <v>0.251</v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89.000000000000028</v>
      </c>
      <c r="BN182" s="78">
        <f t="shared" si="24"/>
        <v>89.000000000000014</v>
      </c>
      <c r="BO182" s="78">
        <f t="shared" si="25"/>
        <v>0.21367521367521372</v>
      </c>
      <c r="BP182" s="78">
        <f t="shared" si="26"/>
        <v>0.21367521367521369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84.000000000000014</v>
      </c>
      <c r="Y184" s="55">
        <f t="shared" si="22"/>
        <v>84</v>
      </c>
      <c r="Z184" s="41">
        <f>IFERROR(IF(Y184=0,"",ROUNDUP(Y184/H184,0)*0.00502),"")</f>
        <v>0.251</v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89.000000000000028</v>
      </c>
      <c r="BN184" s="78">
        <f t="shared" si="24"/>
        <v>89.000000000000014</v>
      </c>
      <c r="BO184" s="78">
        <f t="shared" si="25"/>
        <v>0.21367521367521372</v>
      </c>
      <c r="BP184" s="78">
        <f t="shared" si="26"/>
        <v>0.21367521367521369</v>
      </c>
    </row>
    <row r="185" spans="1:68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407.14285714285717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409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3.0891799999999998</v>
      </c>
      <c r="AA185" s="67"/>
      <c r="AB185" s="67"/>
      <c r="AC185" s="67"/>
    </row>
    <row r="186" spans="1:68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1152</v>
      </c>
      <c r="Y186" s="43">
        <f>IFERROR(SUM(Y174:Y184),"0")</f>
        <v>1158.5</v>
      </c>
      <c r="Z186" s="42"/>
      <c r="AA186" s="67"/>
      <c r="AB186" s="67"/>
      <c r="AC186" s="67"/>
    </row>
    <row r="187" spans="1:68" ht="14.25" hidden="1" customHeight="1" x14ac:dyDescent="0.25">
      <c r="A187" s="710" t="s">
        <v>85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0" t="s">
        <v>281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10" t="s">
        <v>345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8" t="s">
        <v>349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hidden="1" customHeight="1" x14ac:dyDescent="0.25">
      <c r="A202" s="709" t="s">
        <v>350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hidden="1" customHeight="1" x14ac:dyDescent="0.25">
      <c r="A203" s="710" t="s">
        <v>123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709" t="s">
        <v>371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hidden="1" customHeight="1" x14ac:dyDescent="0.25">
      <c r="A214" s="710" t="s">
        <v>156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10" t="s">
        <v>76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customHeight="1" x14ac:dyDescent="0.25">
      <c r="A219" s="63" t="s">
        <v>375</v>
      </c>
      <c r="B219" s="63" t="s">
        <v>376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80</v>
      </c>
      <c r="Y219" s="55">
        <f t="shared" ref="Y219:Y232" si="33">IFERROR(IF(X219="",0,CEILING((X219/$H219),1)*$H219),"")</f>
        <v>84</v>
      </c>
      <c r="Z219" s="41">
        <f>IFERROR(IF(Y219=0,"",ROUNDUP(Y219/H219,0)*0.00902),"")</f>
        <v>0.1804</v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84.761904761904759</v>
      </c>
      <c r="BN219" s="78">
        <f t="shared" ref="BN219:BN232" si="35">IFERROR(Y219*I219/H219,"0")</f>
        <v>89</v>
      </c>
      <c r="BO219" s="78">
        <f t="shared" ref="BO219:BO232" si="36">IFERROR(1/J219*(X219/H219),"0")</f>
        <v>0.14430014430014429</v>
      </c>
      <c r="BP219" s="78">
        <f t="shared" ref="BP219:BP232" si="37">IFERROR(1/J219*(Y219/H219),"0")</f>
        <v>0.15151515151515152</v>
      </c>
    </row>
    <row r="220" spans="1:68" ht="27" customHeight="1" x14ac:dyDescent="0.25">
      <c r="A220" s="63" t="s">
        <v>378</v>
      </c>
      <c r="B220" s="63" t="s">
        <v>379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20</v>
      </c>
      <c r="Y220" s="55">
        <f t="shared" si="33"/>
        <v>21</v>
      </c>
      <c r="Z220" s="41">
        <f>IFERROR(IF(Y220=0,"",ROUNDUP(Y220/H220,0)*0.00902),"")</f>
        <v>4.5100000000000001E-2</v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21.19047619047619</v>
      </c>
      <c r="BN220" s="78">
        <f t="shared" si="35"/>
        <v>22.25</v>
      </c>
      <c r="BO220" s="78">
        <f t="shared" si="36"/>
        <v>3.6075036075036072E-2</v>
      </c>
      <c r="BP220" s="78">
        <f t="shared" si="37"/>
        <v>3.787878787878788E-2</v>
      </c>
    </row>
    <row r="221" spans="1:68" ht="27" customHeight="1" x14ac:dyDescent="0.25">
      <c r="A221" s="63" t="s">
        <v>381</v>
      </c>
      <c r="B221" s="63" t="s">
        <v>382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100</v>
      </c>
      <c r="Y221" s="55">
        <f t="shared" si="33"/>
        <v>100.80000000000001</v>
      </c>
      <c r="Z221" s="41">
        <f>IFERROR(IF(Y221=0,"",ROUNDUP(Y221/H221,0)*0.00902),"")</f>
        <v>0.21648000000000001</v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104.5238095238095</v>
      </c>
      <c r="BN221" s="78">
        <f t="shared" si="35"/>
        <v>105.36</v>
      </c>
      <c r="BO221" s="78">
        <f t="shared" si="36"/>
        <v>0.18037518037518038</v>
      </c>
      <c r="BP221" s="78">
        <f t="shared" si="37"/>
        <v>0.18181818181818182</v>
      </c>
    </row>
    <row r="222" spans="1:68" ht="37.5" customHeight="1" x14ac:dyDescent="0.25">
      <c r="A222" s="63" t="s">
        <v>384</v>
      </c>
      <c r="B222" s="63" t="s">
        <v>385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12</v>
      </c>
      <c r="Y222" s="55">
        <f t="shared" si="33"/>
        <v>12</v>
      </c>
      <c r="Z222" s="41">
        <f>IFERROR(IF(Y222=0,"",ROUNDUP(Y222/H222,0)*0.00556),"")</f>
        <v>8.3400000000000002E-2</v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13.95</v>
      </c>
      <c r="BN222" s="78">
        <f t="shared" si="35"/>
        <v>13.95</v>
      </c>
      <c r="BO222" s="78">
        <f t="shared" si="36"/>
        <v>5.9523809523809521E-2</v>
      </c>
      <c r="BP222" s="78">
        <f t="shared" si="37"/>
        <v>5.9523809523809521E-2</v>
      </c>
    </row>
    <row r="223" spans="1:68" ht="27" customHeight="1" x14ac:dyDescent="0.25">
      <c r="A223" s="63" t="s">
        <v>387</v>
      </c>
      <c r="B223" s="63" t="s">
        <v>388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35</v>
      </c>
      <c r="Y223" s="55">
        <f t="shared" si="33"/>
        <v>35.700000000000003</v>
      </c>
      <c r="Z223" s="41">
        <f t="shared" ref="Z223:Z228" si="38">IFERROR(IF(Y223=0,"",ROUNDUP(Y223/H223,0)*0.00502),"")</f>
        <v>8.5339999999999999E-2</v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37.166666666666664</v>
      </c>
      <c r="BN223" s="78">
        <f t="shared" si="35"/>
        <v>37.910000000000004</v>
      </c>
      <c r="BO223" s="78">
        <f t="shared" si="36"/>
        <v>7.1225071225071226E-2</v>
      </c>
      <c r="BP223" s="78">
        <f t="shared" si="37"/>
        <v>7.2649572649572655E-2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392</v>
      </c>
      <c r="B225" s="63" t="s">
        <v>393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175</v>
      </c>
      <c r="Y225" s="55">
        <f t="shared" si="33"/>
        <v>176.4</v>
      </c>
      <c r="Z225" s="41">
        <f t="shared" si="38"/>
        <v>0.42168</v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185.83333333333331</v>
      </c>
      <c r="BN225" s="78">
        <f t="shared" si="35"/>
        <v>187.32</v>
      </c>
      <c r="BO225" s="78">
        <f t="shared" si="36"/>
        <v>0.35612535612535612</v>
      </c>
      <c r="BP225" s="78">
        <f t="shared" si="37"/>
        <v>0.35897435897435903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customHeight="1" x14ac:dyDescent="0.25">
      <c r="A229" s="63" t="s">
        <v>403</v>
      </c>
      <c r="B229" s="63" t="s">
        <v>404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12</v>
      </c>
      <c r="Y229" s="55">
        <f t="shared" si="33"/>
        <v>12</v>
      </c>
      <c r="Z229" s="41">
        <f>IFERROR(IF(Y229=0,"",ROUNDUP(Y229/H229,0)*0.00417),"")</f>
        <v>6.2549999999999994E-2</v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15.15</v>
      </c>
      <c r="BN229" s="78">
        <f t="shared" si="35"/>
        <v>15.15</v>
      </c>
      <c r="BO229" s="78">
        <f t="shared" si="36"/>
        <v>4.4642857142857137E-2</v>
      </c>
      <c r="BP229" s="78">
        <f t="shared" si="37"/>
        <v>4.4642857142857137E-2</v>
      </c>
    </row>
    <row r="230" spans="1:68" ht="37.5" customHeight="1" x14ac:dyDescent="0.25">
      <c r="A230" s="63" t="s">
        <v>406</v>
      </c>
      <c r="B230" s="63" t="s">
        <v>407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175</v>
      </c>
      <c r="Y230" s="55">
        <f t="shared" si="33"/>
        <v>176.4</v>
      </c>
      <c r="Z230" s="41">
        <f>IFERROR(IF(Y230=0,"",ROUNDUP(Y230/H230,0)*0.00502),"")</f>
        <v>0.42168</v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183.33333333333334</v>
      </c>
      <c r="BN230" s="78">
        <f t="shared" si="35"/>
        <v>184.8</v>
      </c>
      <c r="BO230" s="78">
        <f t="shared" si="36"/>
        <v>0.35612535612535612</v>
      </c>
      <c r="BP230" s="78">
        <f t="shared" si="37"/>
        <v>0.35897435897435903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260.95238095238091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264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1.5166299999999999</v>
      </c>
      <c r="AA233" s="67"/>
      <c r="AB233" s="67"/>
      <c r="AC233" s="67"/>
    </row>
    <row r="234" spans="1:68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609</v>
      </c>
      <c r="Y234" s="43">
        <f>IFERROR(SUM(Y219:Y232),"0")</f>
        <v>618.29999999999995</v>
      </c>
      <c r="Z234" s="42"/>
      <c r="AA234" s="67"/>
      <c r="AB234" s="67"/>
      <c r="AC234" s="67"/>
    </row>
    <row r="235" spans="1:68" ht="14.25" hidden="1" customHeight="1" x14ac:dyDescent="0.25">
      <c r="A235" s="710" t="s">
        <v>85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0" t="s">
        <v>281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433</v>
      </c>
      <c r="B246" s="63" t="s">
        <v>434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7.0000000000000009</v>
      </c>
      <c r="Y246" s="55">
        <f>IFERROR(IF(X246="",0,CEILING((X246/$H246),1)*$H246),"")</f>
        <v>7.5600000000000005</v>
      </c>
      <c r="Z246" s="41">
        <f>IFERROR(IF(Y246=0,"",ROUNDUP(Y246/H246,0)*0.0059),"")</f>
        <v>3.5400000000000001E-2</v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8.0555555555555554</v>
      </c>
      <c r="BN246" s="78">
        <f>IFERROR(Y246*I246/H246,"0")</f>
        <v>8.6999999999999993</v>
      </c>
      <c r="BO246" s="78">
        <f>IFERROR(1/J246*(X246/H246),"0")</f>
        <v>2.5720164609053499E-2</v>
      </c>
      <c r="BP246" s="78">
        <f>IFERROR(1/J246*(Y246/H246),"0")</f>
        <v>2.7777777777777776E-2</v>
      </c>
    </row>
    <row r="247" spans="1:68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5.5555555555555562</v>
      </c>
      <c r="Y247" s="43">
        <f>IFERROR(Y244/H244,"0")+IFERROR(Y245/H245,"0")+IFERROR(Y246/H246,"0")</f>
        <v>6</v>
      </c>
      <c r="Z247" s="43">
        <f>IFERROR(IF(Z244="",0,Z244),"0")+IFERROR(IF(Z245="",0,Z245),"0")+IFERROR(IF(Z246="",0,Z246),"0")</f>
        <v>3.5400000000000001E-2</v>
      </c>
      <c r="AA247" s="67"/>
      <c r="AB247" s="67"/>
      <c r="AC247" s="67"/>
    </row>
    <row r="248" spans="1:68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7.0000000000000009</v>
      </c>
      <c r="Y248" s="43">
        <f>IFERROR(SUM(Y244:Y246),"0")</f>
        <v>7.5600000000000005</v>
      </c>
      <c r="Z248" s="42"/>
      <c r="AA248" s="67"/>
      <c r="AB248" s="67"/>
      <c r="AC248" s="67"/>
    </row>
    <row r="249" spans="1:68" ht="14.25" hidden="1" customHeight="1" x14ac:dyDescent="0.25">
      <c r="A249" s="710" t="s">
        <v>435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09" t="s">
        <v>438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hidden="1" customHeight="1" x14ac:dyDescent="0.25">
      <c r="A254" s="710" t="s">
        <v>123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0" t="s">
        <v>156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0" t="s">
        <v>76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200</v>
      </c>
      <c r="Y265" s="55">
        <f t="shared" ref="Y265:Y272" si="39">IFERROR(IF(X265="",0,CEILING((X265/$H265),1)*$H265),"")</f>
        <v>205.20000000000002</v>
      </c>
      <c r="Z265" s="41">
        <f>IFERROR(IF(Y265=0,"",ROUNDUP(Y265/H265,0)*0.00902),"")</f>
        <v>0.34276000000000001</v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207.03703703703701</v>
      </c>
      <c r="BN265" s="78">
        <f t="shared" ref="BN265:BN272" si="41">IFERROR(Y265*I265/H265,"0")</f>
        <v>212.42</v>
      </c>
      <c r="BO265" s="78">
        <f t="shared" ref="BO265:BO272" si="42">IFERROR(1/J265*(X265/H265),"0")</f>
        <v>0.28058361391694725</v>
      </c>
      <c r="BP265" s="78">
        <f t="shared" ref="BP265:BP272" si="43">IFERROR(1/J265*(Y265/H265),"0")</f>
        <v>0.2878787878787879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>
        <v>60</v>
      </c>
      <c r="Y266" s="55">
        <f t="shared" si="39"/>
        <v>64.800000000000011</v>
      </c>
      <c r="Z266" s="41">
        <f>IFERROR(IF(Y266=0,"",ROUNDUP(Y266/H266,0)*0.00902),"")</f>
        <v>0.10824</v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62.1111111111111</v>
      </c>
      <c r="BN266" s="78">
        <f t="shared" si="41"/>
        <v>67.08</v>
      </c>
      <c r="BO266" s="78">
        <f t="shared" si="42"/>
        <v>8.4175084175084181E-2</v>
      </c>
      <c r="BP266" s="78">
        <f t="shared" si="43"/>
        <v>9.0909090909090925E-2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200</v>
      </c>
      <c r="Y267" s="55">
        <f t="shared" si="39"/>
        <v>205.20000000000002</v>
      </c>
      <c r="Z267" s="41">
        <f>IFERROR(IF(Y267=0,"",ROUNDUP(Y267/H267,0)*0.00902),"")</f>
        <v>0.34276000000000001</v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207.03703703703701</v>
      </c>
      <c r="BN267" s="78">
        <f t="shared" si="41"/>
        <v>212.42</v>
      </c>
      <c r="BO267" s="78">
        <f t="shared" si="42"/>
        <v>0.28058361391694725</v>
      </c>
      <c r="BP267" s="78">
        <f t="shared" si="43"/>
        <v>0.2878787878787879</v>
      </c>
    </row>
    <row r="268" spans="1:68" ht="27" customHeight="1" x14ac:dyDescent="0.25">
      <c r="A268" s="63" t="s">
        <v>458</v>
      </c>
      <c r="B268" s="63" t="s">
        <v>459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50</v>
      </c>
      <c r="Y268" s="55">
        <f t="shared" si="39"/>
        <v>54</v>
      </c>
      <c r="Z268" s="41">
        <f>IFERROR(IF(Y268=0,"",ROUNDUP(Y268/H268,0)*0.00902),"")</f>
        <v>9.0200000000000002E-2</v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51.759259259259252</v>
      </c>
      <c r="BN268" s="78">
        <f t="shared" si="41"/>
        <v>55.9</v>
      </c>
      <c r="BO268" s="78">
        <f t="shared" si="42"/>
        <v>7.0145903479236812E-2</v>
      </c>
      <c r="BP268" s="78">
        <f t="shared" si="43"/>
        <v>7.575757575757576E-2</v>
      </c>
    </row>
    <row r="269" spans="1:68" ht="27" customHeight="1" x14ac:dyDescent="0.25">
      <c r="A269" s="63" t="s">
        <v>461</v>
      </c>
      <c r="B269" s="63" t="s">
        <v>462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60</v>
      </c>
      <c r="Y269" s="55">
        <f t="shared" si="39"/>
        <v>61.2</v>
      </c>
      <c r="Z269" s="41">
        <f>IFERROR(IF(Y269=0,"",ROUNDUP(Y269/H269,0)*0.00502),"")</f>
        <v>0.17068</v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64.333333333333329</v>
      </c>
      <c r="BN269" s="78">
        <f t="shared" si="41"/>
        <v>65.62</v>
      </c>
      <c r="BO269" s="78">
        <f t="shared" si="42"/>
        <v>0.14245014245014248</v>
      </c>
      <c r="BP269" s="78">
        <f t="shared" si="43"/>
        <v>0.14529914529914531</v>
      </c>
    </row>
    <row r="270" spans="1:68" ht="27" customHeight="1" x14ac:dyDescent="0.25">
      <c r="A270" s="63" t="s">
        <v>463</v>
      </c>
      <c r="B270" s="63" t="s">
        <v>464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60</v>
      </c>
      <c r="Y270" s="55">
        <f t="shared" si="39"/>
        <v>61.2</v>
      </c>
      <c r="Z270" s="41">
        <f>IFERROR(IF(Y270=0,"",ROUNDUP(Y270/H270,0)*0.00502),"")</f>
        <v>0.17068</v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63.333333333333329</v>
      </c>
      <c r="BN270" s="78">
        <f t="shared" si="41"/>
        <v>64.599999999999994</v>
      </c>
      <c r="BO270" s="78">
        <f t="shared" si="42"/>
        <v>0.14245014245014248</v>
      </c>
      <c r="BP270" s="78">
        <f t="shared" si="43"/>
        <v>0.14529914529914531</v>
      </c>
    </row>
    <row r="271" spans="1:68" ht="27" customHeight="1" x14ac:dyDescent="0.25">
      <c r="A271" s="63" t="s">
        <v>465</v>
      </c>
      <c r="B271" s="63" t="s">
        <v>466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60</v>
      </c>
      <c r="Y271" s="55">
        <f t="shared" si="39"/>
        <v>61.2</v>
      </c>
      <c r="Z271" s="41">
        <f>IFERROR(IF(Y271=0,"",ROUNDUP(Y271/H271,0)*0.00502),"")</f>
        <v>0.17068</v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63.333333333333329</v>
      </c>
      <c r="BN271" s="78">
        <f t="shared" si="41"/>
        <v>64.599999999999994</v>
      </c>
      <c r="BO271" s="78">
        <f t="shared" si="42"/>
        <v>0.14245014245014248</v>
      </c>
      <c r="BP271" s="78">
        <f t="shared" si="43"/>
        <v>0.14529914529914531</v>
      </c>
    </row>
    <row r="272" spans="1:68" ht="27" customHeight="1" x14ac:dyDescent="0.25">
      <c r="A272" s="63" t="s">
        <v>467</v>
      </c>
      <c r="B272" s="63" t="s">
        <v>468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60</v>
      </c>
      <c r="Y272" s="55">
        <f t="shared" si="39"/>
        <v>61.2</v>
      </c>
      <c r="Z272" s="41">
        <f>IFERROR(IF(Y272=0,"",ROUNDUP(Y272/H272,0)*0.00502),"")</f>
        <v>0.17068</v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63.333333333333329</v>
      </c>
      <c r="BN272" s="78">
        <f t="shared" si="41"/>
        <v>64.599999999999994</v>
      </c>
      <c r="BO272" s="78">
        <f t="shared" si="42"/>
        <v>0.14245014245014248</v>
      </c>
      <c r="BP272" s="78">
        <f t="shared" si="43"/>
        <v>0.14529914529914531</v>
      </c>
    </row>
    <row r="273" spans="1:68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227.77777777777783</v>
      </c>
      <c r="Y273" s="43">
        <f>IFERROR(Y265/H265,"0")+IFERROR(Y266/H266,"0")+IFERROR(Y267/H267,"0")+IFERROR(Y268/H268,"0")+IFERROR(Y269/H269,"0")+IFERROR(Y270/H270,"0")+IFERROR(Y271/H271,"0")+IFERROR(Y272/H272,"0")</f>
        <v>234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1.5666799999999999</v>
      </c>
      <c r="AA273" s="67"/>
      <c r="AB273" s="67"/>
      <c r="AC273" s="67"/>
    </row>
    <row r="274" spans="1:68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750</v>
      </c>
      <c r="Y274" s="43">
        <f>IFERROR(SUM(Y265:Y272),"0")</f>
        <v>774.00000000000023</v>
      </c>
      <c r="Z274" s="42"/>
      <c r="AA274" s="67"/>
      <c r="AB274" s="67"/>
      <c r="AC274" s="67"/>
    </row>
    <row r="275" spans="1:68" ht="14.25" hidden="1" customHeight="1" x14ac:dyDescent="0.25">
      <c r="A275" s="710" t="s">
        <v>85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customHeight="1" x14ac:dyDescent="0.25">
      <c r="A276" s="63" t="s">
        <v>469</v>
      </c>
      <c r="B276" s="63" t="s">
        <v>470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600</v>
      </c>
      <c r="Y276" s="55">
        <f t="shared" ref="Y276:Y287" si="44">IFERROR(IF(X276="",0,CEILING((X276/$H276),1)*$H276),"")</f>
        <v>607.5</v>
      </c>
      <c r="Z276" s="41">
        <f>IFERROR(IF(Y276=0,"",ROUNDUP(Y276/H276,0)*0.01898),"")</f>
        <v>1.4235</v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636.59259259259261</v>
      </c>
      <c r="BN276" s="78">
        <f t="shared" ref="BN276:BN287" si="46">IFERROR(Y276*I276/H276,"0")</f>
        <v>644.54999999999995</v>
      </c>
      <c r="BO276" s="78">
        <f t="shared" ref="BO276:BO287" si="47">IFERROR(1/J276*(X276/H276),"0")</f>
        <v>1.1574074074074074</v>
      </c>
      <c r="BP276" s="78">
        <f t="shared" ref="BP276:BP287" si="48">IFERROR(1/J276*(Y276/H276),"0")</f>
        <v>1.171875</v>
      </c>
    </row>
    <row r="277" spans="1:68" ht="27" customHeight="1" x14ac:dyDescent="0.25">
      <c r="A277" s="63" t="s">
        <v>472</v>
      </c>
      <c r="B277" s="63" t="s">
        <v>473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450</v>
      </c>
      <c r="Y277" s="55">
        <f t="shared" si="44"/>
        <v>453.59999999999997</v>
      </c>
      <c r="Z277" s="41">
        <f>IFERROR(IF(Y277=0,"",ROUNDUP(Y277/H277,0)*0.01898),"")</f>
        <v>1.06288</v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476.44444444444451</v>
      </c>
      <c r="BN277" s="78">
        <f t="shared" si="46"/>
        <v>480.25599999999997</v>
      </c>
      <c r="BO277" s="78">
        <f t="shared" si="47"/>
        <v>0.86805555555555558</v>
      </c>
      <c r="BP277" s="78">
        <f t="shared" si="48"/>
        <v>0.875</v>
      </c>
    </row>
    <row r="278" spans="1:68" ht="27" customHeight="1" x14ac:dyDescent="0.25">
      <c r="A278" s="63" t="s">
        <v>475</v>
      </c>
      <c r="B278" s="63" t="s">
        <v>476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100</v>
      </c>
      <c r="Y278" s="55">
        <f t="shared" si="44"/>
        <v>104.39999999999999</v>
      </c>
      <c r="Z278" s="41">
        <f>IFERROR(IF(Y278=0,"",ROUNDUP(Y278/H278,0)*0.01898),"")</f>
        <v>0.22776000000000002</v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105.67816091954025</v>
      </c>
      <c r="BN278" s="78">
        <f t="shared" si="46"/>
        <v>110.32800000000002</v>
      </c>
      <c r="BO278" s="78">
        <f t="shared" si="47"/>
        <v>0.1795977011494253</v>
      </c>
      <c r="BP278" s="78">
        <f t="shared" si="48"/>
        <v>0.1875</v>
      </c>
    </row>
    <row r="279" spans="1:68" ht="27" customHeight="1" x14ac:dyDescent="0.25">
      <c r="A279" s="63" t="s">
        <v>478</v>
      </c>
      <c r="B279" s="63" t="s">
        <v>479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320</v>
      </c>
      <c r="Y279" s="55">
        <f t="shared" si="44"/>
        <v>321.59999999999997</v>
      </c>
      <c r="Z279" s="41">
        <f>IFERROR(IF(Y279=0,"",ROUNDUP(Y279/H279,0)*0.00651),"")</f>
        <v>0.87234</v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356</v>
      </c>
      <c r="BN279" s="78">
        <f t="shared" si="46"/>
        <v>357.78</v>
      </c>
      <c r="BO279" s="78">
        <f t="shared" si="47"/>
        <v>0.73260073260073266</v>
      </c>
      <c r="BP279" s="78">
        <f t="shared" si="48"/>
        <v>0.73626373626373631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485</v>
      </c>
      <c r="B282" s="63" t="s">
        <v>486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600</v>
      </c>
      <c r="Y282" s="55">
        <f t="shared" si="44"/>
        <v>600</v>
      </c>
      <c r="Z282" s="41">
        <f>IFERROR(IF(Y282=0,"",ROUNDUP(Y282/H282,0)*0.00651),"")</f>
        <v>1.6274999999999999</v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663</v>
      </c>
      <c r="BN282" s="78">
        <f t="shared" si="46"/>
        <v>663</v>
      </c>
      <c r="BO282" s="78">
        <f t="shared" si="47"/>
        <v>1.3736263736263736</v>
      </c>
      <c r="BP282" s="78">
        <f t="shared" si="48"/>
        <v>1.3736263736263736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180</v>
      </c>
      <c r="Y285" s="55">
        <f t="shared" si="44"/>
        <v>180</v>
      </c>
      <c r="Z285" s="41">
        <f>IFERROR(IF(Y285=0,"",ROUNDUP(Y285/H285,0)*0.00651),"")</f>
        <v>0.48825000000000002</v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198.9</v>
      </c>
      <c r="BN285" s="78">
        <f t="shared" si="46"/>
        <v>198.9</v>
      </c>
      <c r="BO285" s="78">
        <f t="shared" si="47"/>
        <v>0.41208791208791212</v>
      </c>
      <c r="BP285" s="78">
        <f t="shared" si="48"/>
        <v>0.41208791208791212</v>
      </c>
    </row>
    <row r="286" spans="1:68" ht="27" customHeight="1" x14ac:dyDescent="0.25">
      <c r="A286" s="63" t="s">
        <v>494</v>
      </c>
      <c r="B286" s="63" t="s">
        <v>495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160</v>
      </c>
      <c r="Y286" s="55">
        <f t="shared" si="44"/>
        <v>160.79999999999998</v>
      </c>
      <c r="Z286" s="41">
        <f>IFERROR(IF(Y286=0,"",ROUNDUP(Y286/H286,0)*0.00651),"")</f>
        <v>0.43617</v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177.2</v>
      </c>
      <c r="BN286" s="78">
        <f t="shared" si="46"/>
        <v>178.08599999999998</v>
      </c>
      <c r="BO286" s="78">
        <f t="shared" si="47"/>
        <v>0.36630036630036633</v>
      </c>
      <c r="BP286" s="78">
        <f t="shared" si="48"/>
        <v>0.36813186813186816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666.12388250319282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669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6.138399999999999</v>
      </c>
      <c r="AA288" s="67"/>
      <c r="AB288" s="67"/>
      <c r="AC288" s="67"/>
    </row>
    <row r="289" spans="1:68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2410</v>
      </c>
      <c r="Y289" s="43">
        <f>IFERROR(SUM(Y276:Y287),"0")</f>
        <v>2427.9</v>
      </c>
      <c r="Z289" s="42"/>
      <c r="AA289" s="67"/>
      <c r="AB289" s="67"/>
      <c r="AC289" s="67"/>
    </row>
    <row r="290" spans="1:68" ht="14.25" hidden="1" customHeight="1" x14ac:dyDescent="0.25">
      <c r="A290" s="710" t="s">
        <v>173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customHeight="1" x14ac:dyDescent="0.25">
      <c r="A291" s="63" t="s">
        <v>500</v>
      </c>
      <c r="B291" s="63" t="s">
        <v>501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60</v>
      </c>
      <c r="Y291" s="55">
        <f>IFERROR(IF(X291="",0,CEILING((X291/$H291),1)*$H291),"")</f>
        <v>60</v>
      </c>
      <c r="Z291" s="41">
        <f>IFERROR(IF(Y291=0,"",ROUNDUP(Y291/H291,0)*0.00651),"")</f>
        <v>0.16275000000000001</v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66.300000000000011</v>
      </c>
      <c r="BN291" s="78">
        <f>IFERROR(Y291*I291/H291,"0")</f>
        <v>66.300000000000011</v>
      </c>
      <c r="BO291" s="78">
        <f>IFERROR(1/J291*(X291/H291),"0")</f>
        <v>0.13736263736263737</v>
      </c>
      <c r="BP291" s="78">
        <f>IFERROR(1/J291*(Y291/H291),"0")</f>
        <v>0.13736263736263737</v>
      </c>
    </row>
    <row r="292" spans="1:68" ht="27" customHeight="1" x14ac:dyDescent="0.25">
      <c r="A292" s="63" t="s">
        <v>503</v>
      </c>
      <c r="B292" s="63" t="s">
        <v>504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220</v>
      </c>
      <c r="Y292" s="55">
        <f>IFERROR(IF(X292="",0,CEILING((X292/$H292),1)*$H292),"")</f>
        <v>220.79999999999998</v>
      </c>
      <c r="Z292" s="41">
        <f>IFERROR(IF(Y292=0,"",ROUNDUP(Y292/H292,0)*0.00651),"")</f>
        <v>0.59892000000000001</v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243.10000000000002</v>
      </c>
      <c r="BN292" s="78">
        <f>IFERROR(Y292*I292/H292,"0")</f>
        <v>243.98400000000001</v>
      </c>
      <c r="BO292" s="78">
        <f>IFERROR(1/J292*(X292/H292),"0")</f>
        <v>0.50366300366300376</v>
      </c>
      <c r="BP292" s="78">
        <f>IFERROR(1/J292*(Y292/H292),"0")</f>
        <v>0.50549450549450559</v>
      </c>
    </row>
    <row r="293" spans="1:68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116.66666666666667</v>
      </c>
      <c r="Y293" s="43">
        <f>IFERROR(Y291/H291,"0")+IFERROR(Y292/H292,"0")</f>
        <v>117</v>
      </c>
      <c r="Z293" s="43">
        <f>IFERROR(IF(Z291="",0,Z291),"0")+IFERROR(IF(Z292="",0,Z292),"0")</f>
        <v>0.76167000000000007</v>
      </c>
      <c r="AA293" s="67"/>
      <c r="AB293" s="67"/>
      <c r="AC293" s="67"/>
    </row>
    <row r="294" spans="1:68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280</v>
      </c>
      <c r="Y294" s="43">
        <f>IFERROR(SUM(Y291:Y292),"0")</f>
        <v>280.79999999999995</v>
      </c>
      <c r="Z294" s="42"/>
      <c r="AA294" s="67"/>
      <c r="AB294" s="67"/>
      <c r="AC294" s="67"/>
    </row>
    <row r="295" spans="1:68" ht="16.5" hidden="1" customHeight="1" x14ac:dyDescent="0.25">
      <c r="A295" s="709" t="s">
        <v>506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hidden="1" customHeight="1" x14ac:dyDescent="0.25">
      <c r="A296" s="710" t="s">
        <v>123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customHeight="1" x14ac:dyDescent="0.25">
      <c r="A300" s="63" t="s">
        <v>515</v>
      </c>
      <c r="B300" s="63" t="s">
        <v>516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24</v>
      </c>
      <c r="Y300" s="55">
        <f t="shared" si="49"/>
        <v>24</v>
      </c>
      <c r="Z300" s="41">
        <f>IFERROR(IF(Y300=0,"",ROUNDUP(Y300/H300,0)*0.00902),"")</f>
        <v>5.4120000000000001E-2</v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25.14</v>
      </c>
      <c r="BN300" s="78">
        <f t="shared" si="51"/>
        <v>25.14</v>
      </c>
      <c r="BO300" s="78">
        <f t="shared" si="52"/>
        <v>4.5454545454545456E-2</v>
      </c>
      <c r="BP300" s="78">
        <f t="shared" si="53"/>
        <v>4.5454545454545456E-2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customHeight="1" x14ac:dyDescent="0.25">
      <c r="A303" s="63" t="s">
        <v>523</v>
      </c>
      <c r="B303" s="63" t="s">
        <v>524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40</v>
      </c>
      <c r="Y303" s="55">
        <f t="shared" si="49"/>
        <v>40</v>
      </c>
      <c r="Z303" s="41">
        <f>IFERROR(IF(Y303=0,"",ROUNDUP(Y303/H303,0)*0.00902),"")</f>
        <v>9.0200000000000002E-2</v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41.900000000000006</v>
      </c>
      <c r="BN303" s="78">
        <f t="shared" si="51"/>
        <v>41.900000000000006</v>
      </c>
      <c r="BO303" s="78">
        <f t="shared" si="52"/>
        <v>7.575757575757576E-2</v>
      </c>
      <c r="BP303" s="78">
        <f t="shared" si="53"/>
        <v>7.575757575757576E-2</v>
      </c>
    </row>
    <row r="304" spans="1:68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16</v>
      </c>
      <c r="Y304" s="43">
        <f>IFERROR(Y297/H297,"0")+IFERROR(Y298/H298,"0")+IFERROR(Y299/H299,"0")+IFERROR(Y300/H300,"0")+IFERROR(Y301/H301,"0")+IFERROR(Y302/H302,"0")+IFERROR(Y303/H303,"0")</f>
        <v>16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0.14432</v>
      </c>
      <c r="AA304" s="67"/>
      <c r="AB304" s="67"/>
      <c r="AC304" s="67"/>
    </row>
    <row r="305" spans="1:68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64</v>
      </c>
      <c r="Y305" s="43">
        <f>IFERROR(SUM(Y297:Y303),"0")</f>
        <v>64</v>
      </c>
      <c r="Z305" s="42"/>
      <c r="AA305" s="67"/>
      <c r="AB305" s="67"/>
      <c r="AC305" s="67"/>
    </row>
    <row r="306" spans="1:68" ht="14.25" hidden="1" customHeight="1" x14ac:dyDescent="0.25">
      <c r="A306" s="710" t="s">
        <v>156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customHeight="1" x14ac:dyDescent="0.25">
      <c r="A307" s="63" t="s">
        <v>525</v>
      </c>
      <c r="B307" s="63" t="s">
        <v>526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66</v>
      </c>
      <c r="Y307" s="55">
        <f>IFERROR(IF(X307="",0,CEILING((X307/$H307),1)*$H307),"")</f>
        <v>67.319999999999993</v>
      </c>
      <c r="Z307" s="41">
        <f>IFERROR(IF(Y307=0,"",ROUNDUP(Y307/H307,0)*0.00502),"")</f>
        <v>0.17068</v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69.333333333333329</v>
      </c>
      <c r="BN307" s="78">
        <f>IFERROR(Y307*I307/H307,"0")</f>
        <v>70.72</v>
      </c>
      <c r="BO307" s="78">
        <f>IFERROR(1/J307*(X307/H307),"0")</f>
        <v>0.14245014245014248</v>
      </c>
      <c r="BP307" s="78">
        <f>IFERROR(1/J307*(Y307/H307),"0")</f>
        <v>0.14529914529914531</v>
      </c>
    </row>
    <row r="308" spans="1:68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33.333333333333336</v>
      </c>
      <c r="Y308" s="43">
        <f>IFERROR(Y307/H307,"0")</f>
        <v>34</v>
      </c>
      <c r="Z308" s="43">
        <f>IFERROR(IF(Z307="",0,Z307),"0")</f>
        <v>0.17068</v>
      </c>
      <c r="AA308" s="67"/>
      <c r="AB308" s="67"/>
      <c r="AC308" s="67"/>
    </row>
    <row r="309" spans="1:68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66</v>
      </c>
      <c r="Y309" s="43">
        <f>IFERROR(SUM(Y307:Y307),"0")</f>
        <v>67.319999999999993</v>
      </c>
      <c r="Z309" s="42"/>
      <c r="AA309" s="67"/>
      <c r="AB309" s="67"/>
      <c r="AC309" s="67"/>
    </row>
    <row r="310" spans="1:68" ht="14.25" hidden="1" customHeight="1" x14ac:dyDescent="0.25">
      <c r="A310" s="710" t="s">
        <v>528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0" t="s">
        <v>345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535</v>
      </c>
      <c r="B316" s="63" t="s">
        <v>536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24</v>
      </c>
      <c r="Y316" s="55">
        <f>IFERROR(IF(X316="",0,CEILING((X316/$H316),1)*$H316),"")</f>
        <v>25.2</v>
      </c>
      <c r="Z316" s="41">
        <f>IFERROR(IF(Y316=0,"",ROUNDUP(Y316/H316,0)*0.0059),"")</f>
        <v>8.2599999999999993E-2</v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26.333333333333336</v>
      </c>
      <c r="BN316" s="78">
        <f>IFERROR(Y316*I316/H316,"0")</f>
        <v>27.650000000000002</v>
      </c>
      <c r="BO316" s="78">
        <f>IFERROR(1/J316*(X316/H316),"0")</f>
        <v>6.1728395061728385E-2</v>
      </c>
      <c r="BP316" s="78">
        <f>IFERROR(1/J316*(Y316/H316),"0")</f>
        <v>6.4814814814814811E-2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13.333333333333332</v>
      </c>
      <c r="Y318" s="43">
        <f>IFERROR(Y315/H315,"0")+IFERROR(Y316/H316,"0")+IFERROR(Y317/H317,"0")</f>
        <v>14</v>
      </c>
      <c r="Z318" s="43">
        <f>IFERROR(IF(Z315="",0,Z315),"0")+IFERROR(IF(Z316="",0,Z316),"0")+IFERROR(IF(Z317="",0,Z317),"0")</f>
        <v>8.2599999999999993E-2</v>
      </c>
      <c r="AA318" s="67"/>
      <c r="AB318" s="67"/>
      <c r="AC318" s="67"/>
    </row>
    <row r="319" spans="1:68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24</v>
      </c>
      <c r="Y319" s="43">
        <f>IFERROR(SUM(Y315:Y317),"0")</f>
        <v>25.2</v>
      </c>
      <c r="Z319" s="42"/>
      <c r="AA319" s="67"/>
      <c r="AB319" s="67"/>
      <c r="AC319" s="67"/>
    </row>
    <row r="320" spans="1:68" ht="16.5" hidden="1" customHeight="1" x14ac:dyDescent="0.25">
      <c r="A320" s="709" t="s">
        <v>539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hidden="1" customHeight="1" x14ac:dyDescent="0.25">
      <c r="A321" s="710" t="s">
        <v>123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09" t="s">
        <v>555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hidden="1" customHeight="1" x14ac:dyDescent="0.25">
      <c r="A330" s="710" t="s">
        <v>85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559</v>
      </c>
      <c r="B332" s="63" t="s">
        <v>560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160</v>
      </c>
      <c r="Y332" s="55">
        <f>IFERROR(IF(X332="",0,CEILING((X332/$H332),1)*$H332),"")</f>
        <v>160.79999999999998</v>
      </c>
      <c r="Z332" s="41">
        <f>IFERROR(IF(Y332=0,"",ROUNDUP(Y332/H332,0)*0.00651),"")</f>
        <v>0.43617</v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176.80000000000004</v>
      </c>
      <c r="BN332" s="78">
        <f>IFERROR(Y332*I332/H332,"0")</f>
        <v>177.684</v>
      </c>
      <c r="BO332" s="78">
        <f>IFERROR(1/J332*(X332/H332),"0")</f>
        <v>0.36630036630036633</v>
      </c>
      <c r="BP332" s="78">
        <f>IFERROR(1/J332*(Y332/H332),"0")</f>
        <v>0.36813186813186816</v>
      </c>
    </row>
    <row r="333" spans="1:68" ht="27" customHeight="1" x14ac:dyDescent="0.25">
      <c r="A333" s="63" t="s">
        <v>562</v>
      </c>
      <c r="B333" s="63" t="s">
        <v>563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320</v>
      </c>
      <c r="Y333" s="55">
        <f>IFERROR(IF(X333="",0,CEILING((X333/$H333),1)*$H333),"")</f>
        <v>321.59999999999997</v>
      </c>
      <c r="Z333" s="41">
        <f>IFERROR(IF(Y333=0,"",ROUNDUP(Y333/H333,0)*0.00651),"")</f>
        <v>0.87234</v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344</v>
      </c>
      <c r="BN333" s="78">
        <f>IFERROR(Y333*I333/H333,"0")</f>
        <v>345.71999999999997</v>
      </c>
      <c r="BO333" s="78">
        <f>IFERROR(1/J333*(X333/H333),"0")</f>
        <v>0.73260073260073266</v>
      </c>
      <c r="BP333" s="78">
        <f>IFERROR(1/J333*(Y333/H333),"0")</f>
        <v>0.73626373626373631</v>
      </c>
    </row>
    <row r="334" spans="1:68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200</v>
      </c>
      <c r="Y334" s="43">
        <f>IFERROR(Y331/H331,"0")+IFERROR(Y332/H332,"0")+IFERROR(Y333/H333,"0")</f>
        <v>201</v>
      </c>
      <c r="Z334" s="43">
        <f>IFERROR(IF(Z331="",0,Z331),"0")+IFERROR(IF(Z332="",0,Z332),"0")+IFERROR(IF(Z333="",0,Z333),"0")</f>
        <v>1.3085100000000001</v>
      </c>
      <c r="AA334" s="67"/>
      <c r="AB334" s="67"/>
      <c r="AC334" s="67"/>
    </row>
    <row r="335" spans="1:68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480</v>
      </c>
      <c r="Y335" s="43">
        <f>IFERROR(SUM(Y331:Y333),"0")</f>
        <v>482.4</v>
      </c>
      <c r="Z335" s="42"/>
      <c r="AA335" s="67"/>
      <c r="AB335" s="67"/>
      <c r="AC335" s="67"/>
    </row>
    <row r="336" spans="1:68" ht="16.5" hidden="1" customHeight="1" x14ac:dyDescent="0.25">
      <c r="A336" s="709" t="s">
        <v>564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hidden="1" customHeight="1" x14ac:dyDescent="0.25">
      <c r="A337" s="710" t="s">
        <v>76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0" t="s">
        <v>85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9" t="s">
        <v>585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hidden="1" customHeight="1" x14ac:dyDescent="0.25">
      <c r="A351" s="710" t="s">
        <v>123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customHeight="1" x14ac:dyDescent="0.25">
      <c r="A352" s="63" t="s">
        <v>586</v>
      </c>
      <c r="B352" s="63" t="s">
        <v>587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400</v>
      </c>
      <c r="Y352" s="55">
        <f>IFERROR(IF(X352="",0,CEILING((X352/$H352),1)*$H352),"")</f>
        <v>405.59999999999997</v>
      </c>
      <c r="Z352" s="41">
        <f>IFERROR(IF(Y352=0,"",ROUNDUP(Y352/H352,0)*0.01898),"")</f>
        <v>0.98696000000000006</v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421.02564102564111</v>
      </c>
      <c r="BN352" s="78">
        <f>IFERROR(Y352*I352/H352,"0")</f>
        <v>426.92</v>
      </c>
      <c r="BO352" s="78">
        <f>IFERROR(1/J352*(X352/H352),"0")</f>
        <v>0.80128205128205132</v>
      </c>
      <c r="BP352" s="78">
        <f>IFERROR(1/J352*(Y352/H352),"0")</f>
        <v>0.8125</v>
      </c>
    </row>
    <row r="353" spans="1:68" ht="27" customHeight="1" x14ac:dyDescent="0.25">
      <c r="A353" s="63" t="s">
        <v>588</v>
      </c>
      <c r="B353" s="63" t="s">
        <v>589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500</v>
      </c>
      <c r="Y353" s="55">
        <f>IFERROR(IF(X353="",0,CEILING((X353/$H353),1)*$H353),"")</f>
        <v>507</v>
      </c>
      <c r="Z353" s="41">
        <f>IFERROR(IF(Y353=0,"",ROUNDUP(Y353/H353,0)*0.01898),"")</f>
        <v>1.2337</v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526.28205128205127</v>
      </c>
      <c r="BN353" s="78">
        <f>IFERROR(Y353*I353/H353,"0")</f>
        <v>533.65000000000009</v>
      </c>
      <c r="BO353" s="78">
        <f>IFERROR(1/J353*(X353/H353),"0")</f>
        <v>1.0016025641025641</v>
      </c>
      <c r="BP353" s="78">
        <f>IFERROR(1/J353*(Y353/H353),"0")</f>
        <v>1.015625</v>
      </c>
    </row>
    <row r="354" spans="1:68" ht="27" customHeight="1" x14ac:dyDescent="0.25">
      <c r="A354" s="63" t="s">
        <v>591</v>
      </c>
      <c r="B354" s="63" t="s">
        <v>592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200</v>
      </c>
      <c r="Y354" s="55">
        <f>IFERROR(IF(X354="",0,CEILING((X354/$H354),1)*$H354),"")</f>
        <v>202.79999999999998</v>
      </c>
      <c r="Z354" s="41">
        <f>IFERROR(IF(Y354=0,"",ROUNDUP(Y354/H354,0)*0.01898),"")</f>
        <v>0.49348000000000003</v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210.51282051282055</v>
      </c>
      <c r="BN354" s="78">
        <f>IFERROR(Y354*I354/H354,"0")</f>
        <v>213.46</v>
      </c>
      <c r="BO354" s="78">
        <f>IFERROR(1/J354*(X354/H354),"0")</f>
        <v>0.40064102564102566</v>
      </c>
      <c r="BP354" s="78">
        <f>IFERROR(1/J354*(Y354/H354),"0")</f>
        <v>0.40625</v>
      </c>
    </row>
    <row r="355" spans="1:68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141.02564102564102</v>
      </c>
      <c r="Y355" s="43">
        <f>IFERROR(Y352/H352,"0")+IFERROR(Y353/H353,"0")+IFERROR(Y354/H354,"0")</f>
        <v>143</v>
      </c>
      <c r="Z355" s="43">
        <f>IFERROR(IF(Z352="",0,Z352),"0")+IFERROR(IF(Z353="",0,Z353),"0")+IFERROR(IF(Z354="",0,Z354),"0")</f>
        <v>2.71414</v>
      </c>
      <c r="AA355" s="67"/>
      <c r="AB355" s="67"/>
      <c r="AC355" s="67"/>
    </row>
    <row r="356" spans="1:68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1100</v>
      </c>
      <c r="Y356" s="43">
        <f>IFERROR(SUM(Y352:Y354),"0")</f>
        <v>1115.3999999999999</v>
      </c>
      <c r="Z356" s="42"/>
      <c r="AA356" s="67"/>
      <c r="AB356" s="67"/>
      <c r="AC356" s="67"/>
    </row>
    <row r="357" spans="1:68" ht="16.5" hidden="1" customHeight="1" x14ac:dyDescent="0.25">
      <c r="A357" s="709" t="s">
        <v>594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hidden="1" customHeight="1" x14ac:dyDescent="0.25">
      <c r="A358" s="710" t="s">
        <v>123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30</v>
      </c>
      <c r="Y359" s="55">
        <f t="shared" ref="Y359:Y364" si="54">IFERROR(IF(X359="",0,CEILING((X359/$H359),1)*$H359),"")</f>
        <v>32.400000000000006</v>
      </c>
      <c r="Z359" s="41">
        <f>IFERROR(IF(Y359=0,"",ROUNDUP(Y359/H359,0)*0.01898),"")</f>
        <v>5.6940000000000004E-2</v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31.138888888888889</v>
      </c>
      <c r="BN359" s="78">
        <f t="shared" ref="BN359:BN364" si="56">IFERROR(Y359*I359/H359,"0")</f>
        <v>33.630000000000003</v>
      </c>
      <c r="BO359" s="78">
        <f t="shared" ref="BO359:BO364" si="57">IFERROR(1/J359*(X359/H359),"0")</f>
        <v>4.3402777777777776E-2</v>
      </c>
      <c r="BP359" s="78">
        <f t="shared" ref="BP359:BP364" si="58">IFERROR(1/J359*(Y359/H359),"0")</f>
        <v>4.6875000000000007E-2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2.7777777777777777</v>
      </c>
      <c r="Y365" s="43">
        <f>IFERROR(Y359/H359,"0")+IFERROR(Y360/H360,"0")+IFERROR(Y361/H361,"0")+IFERROR(Y362/H362,"0")+IFERROR(Y363/H363,"0")+IFERROR(Y364/H364,"0")</f>
        <v>3.0000000000000004</v>
      </c>
      <c r="Z365" s="43">
        <f>IFERROR(IF(Z359="",0,Z359),"0")+IFERROR(IF(Z360="",0,Z360),"0")+IFERROR(IF(Z361="",0,Z361),"0")+IFERROR(IF(Z362="",0,Z362),"0")+IFERROR(IF(Z363="",0,Z363),"0")+IFERROR(IF(Z364="",0,Z364),"0")</f>
        <v>5.6940000000000004E-2</v>
      </c>
      <c r="AA365" s="67"/>
      <c r="AB365" s="67"/>
      <c r="AC365" s="67"/>
    </row>
    <row r="366" spans="1:68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30</v>
      </c>
      <c r="Y366" s="43">
        <f>IFERROR(SUM(Y359:Y364),"0")</f>
        <v>32.400000000000006</v>
      </c>
      <c r="Z366" s="42"/>
      <c r="AA366" s="67"/>
      <c r="AB366" s="67"/>
      <c r="AC366" s="67"/>
    </row>
    <row r="367" spans="1:68" ht="14.25" hidden="1" customHeight="1" x14ac:dyDescent="0.25">
      <c r="A367" s="710" t="s">
        <v>76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customHeight="1" x14ac:dyDescent="0.25">
      <c r="A372" s="63" t="s">
        <v>623</v>
      </c>
      <c r="B372" s="63" t="s">
        <v>624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175</v>
      </c>
      <c r="Y372" s="55">
        <f t="shared" si="59"/>
        <v>176.4</v>
      </c>
      <c r="Z372" s="41">
        <f>IFERROR(IF(Y372=0,"",ROUNDUP(Y372/H372,0)*0.00502),"")</f>
        <v>0.42168</v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183.33333333333334</v>
      </c>
      <c r="BN372" s="78">
        <f t="shared" si="61"/>
        <v>184.8</v>
      </c>
      <c r="BO372" s="78">
        <f t="shared" si="62"/>
        <v>0.35612535612535612</v>
      </c>
      <c r="BP372" s="78">
        <f t="shared" si="63"/>
        <v>0.35897435897435903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83.333333333333329</v>
      </c>
      <c r="Y375" s="43">
        <f>IFERROR(Y368/H368,"0")+IFERROR(Y369/H369,"0")+IFERROR(Y370/H370,"0")+IFERROR(Y371/H371,"0")+IFERROR(Y372/H372,"0")+IFERROR(Y373/H373,"0")+IFERROR(Y374/H374,"0")</f>
        <v>84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0.42168</v>
      </c>
      <c r="AA375" s="67"/>
      <c r="AB375" s="67"/>
      <c r="AC375" s="67"/>
    </row>
    <row r="376" spans="1:68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175</v>
      </c>
      <c r="Y376" s="43">
        <f>IFERROR(SUM(Y368:Y374),"0")</f>
        <v>176.4</v>
      </c>
      <c r="Z376" s="42"/>
      <c r="AA376" s="67"/>
      <c r="AB376" s="67"/>
      <c r="AC376" s="67"/>
    </row>
    <row r="377" spans="1:68" ht="14.25" hidden="1" customHeight="1" x14ac:dyDescent="0.25">
      <c r="A377" s="710" t="s">
        <v>85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10" t="s">
        <v>173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500</v>
      </c>
      <c r="Y385" s="55">
        <f>IFERROR(IF(X385="",0,CEILING((X385/$H385),1)*$H385),"")</f>
        <v>504</v>
      </c>
      <c r="Z385" s="41">
        <f>IFERROR(IF(Y385=0,"",ROUNDUP(Y385/H385,0)*0.01898),"")</f>
        <v>1.1388</v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529.40476190476193</v>
      </c>
      <c r="BN385" s="78">
        <f>IFERROR(Y385*I385/H385,"0")</f>
        <v>533.64</v>
      </c>
      <c r="BO385" s="78">
        <f>IFERROR(1/J385*(X385/H385),"0")</f>
        <v>0.93005952380952372</v>
      </c>
      <c r="BP385" s="78">
        <f>IFERROR(1/J385*(Y385/H385),"0")</f>
        <v>0.9375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>
        <v>600</v>
      </c>
      <c r="Y386" s="55">
        <f>IFERROR(IF(X386="",0,CEILING((X386/$H386),1)*$H386),"")</f>
        <v>600.6</v>
      </c>
      <c r="Z386" s="41">
        <f>IFERROR(IF(Y386=0,"",ROUNDUP(Y386/H386,0)*0.01898),"")</f>
        <v>1.46146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638.00000000000011</v>
      </c>
      <c r="BN386" s="78">
        <f>IFERROR(Y386*I386/H386,"0")</f>
        <v>638.63800000000003</v>
      </c>
      <c r="BO386" s="78">
        <f>IFERROR(1/J386*(X386/H386),"0")</f>
        <v>1.2019230769230769</v>
      </c>
      <c r="BP386" s="78">
        <f>IFERROR(1/J386*(Y386/H386),"0")</f>
        <v>1.203125</v>
      </c>
    </row>
    <row r="387" spans="1:68" ht="27" customHeight="1" x14ac:dyDescent="0.25">
      <c r="A387" s="63" t="s">
        <v>648</v>
      </c>
      <c r="B387" s="63" t="s">
        <v>649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100</v>
      </c>
      <c r="Y387" s="55">
        <f>IFERROR(IF(X387="",0,CEILING((X387/$H387),1)*$H387),"")</f>
        <v>100.80000000000001</v>
      </c>
      <c r="Z387" s="41">
        <f>IFERROR(IF(Y387=0,"",ROUNDUP(Y387/H387,0)*0.01898),"")</f>
        <v>0.22776000000000002</v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105.88095238095238</v>
      </c>
      <c r="BN387" s="78">
        <f>IFERROR(Y387*I387/H387,"0")</f>
        <v>106.72800000000001</v>
      </c>
      <c r="BO387" s="78">
        <f>IFERROR(1/J387*(X387/H387),"0")</f>
        <v>0.18601190476190477</v>
      </c>
      <c r="BP387" s="78">
        <f>IFERROR(1/J387*(Y387/H387),"0")</f>
        <v>0.1875</v>
      </c>
    </row>
    <row r="388" spans="1:68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148.35164835164832</v>
      </c>
      <c r="Y388" s="43">
        <f>IFERROR(Y385/H385,"0")+IFERROR(Y386/H386,"0")+IFERROR(Y387/H387,"0")</f>
        <v>149</v>
      </c>
      <c r="Z388" s="43">
        <f>IFERROR(IF(Z385="",0,Z385),"0")+IFERROR(IF(Z386="",0,Z386),"0")+IFERROR(IF(Z387="",0,Z387),"0")</f>
        <v>2.82802</v>
      </c>
      <c r="AA388" s="67"/>
      <c r="AB388" s="67"/>
      <c r="AC388" s="67"/>
    </row>
    <row r="389" spans="1:68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1200</v>
      </c>
      <c r="Y389" s="43">
        <f>IFERROR(SUM(Y385:Y387),"0")</f>
        <v>1205.3999999999999</v>
      </c>
      <c r="Z389" s="42"/>
      <c r="AA389" s="67"/>
      <c r="AB389" s="67"/>
      <c r="AC389" s="67"/>
    </row>
    <row r="390" spans="1:68" ht="14.25" hidden="1" customHeight="1" x14ac:dyDescent="0.25">
      <c r="A390" s="710" t="s">
        <v>281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customHeight="1" x14ac:dyDescent="0.25">
      <c r="A391" s="63" t="s">
        <v>651</v>
      </c>
      <c r="B391" s="63" t="s">
        <v>652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30</v>
      </c>
      <c r="Y391" s="55">
        <f>IFERROR(IF(X391="",0,CEILING((X391/$H391),1)*$H391),"")</f>
        <v>30.4</v>
      </c>
      <c r="Z391" s="41">
        <f>IFERROR(IF(Y391=0,"",ROUNDUP(Y391/H391,0)*0.00902),"")</f>
        <v>9.0200000000000002E-2</v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32.664473684210527</v>
      </c>
      <c r="BN391" s="78">
        <f>IFERROR(Y391*I391/H391,"0")</f>
        <v>33.1</v>
      </c>
      <c r="BO391" s="78">
        <f>IFERROR(1/J391*(X391/H391),"0")</f>
        <v>7.4760765550239236E-2</v>
      </c>
      <c r="BP391" s="78">
        <f>IFERROR(1/J391*(Y391/H391),"0")</f>
        <v>7.575757575757576E-2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9.8684210526315788</v>
      </c>
      <c r="Y395" s="43">
        <f>IFERROR(Y391/H391,"0")+IFERROR(Y392/H392,"0")+IFERROR(Y393/H393,"0")+IFERROR(Y394/H394,"0")</f>
        <v>10</v>
      </c>
      <c r="Z395" s="43">
        <f>IFERROR(IF(Z391="",0,Z391),"0")+IFERROR(IF(Z392="",0,Z392),"0")+IFERROR(IF(Z393="",0,Z393),"0")+IFERROR(IF(Z394="",0,Z394),"0")</f>
        <v>9.0200000000000002E-2</v>
      </c>
      <c r="AA395" s="67"/>
      <c r="AB395" s="67"/>
      <c r="AC395" s="67"/>
    </row>
    <row r="396" spans="1:68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30</v>
      </c>
      <c r="Y396" s="43">
        <f>IFERROR(SUM(Y391:Y394),"0")</f>
        <v>30.4</v>
      </c>
      <c r="Z396" s="42"/>
      <c r="AA396" s="67"/>
      <c r="AB396" s="67"/>
      <c r="AC396" s="67"/>
    </row>
    <row r="397" spans="1:68" ht="14.25" hidden="1" customHeight="1" x14ac:dyDescent="0.25">
      <c r="A397" s="710" t="s">
        <v>660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0" t="s">
        <v>669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709" t="s">
        <v>678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hidden="1" customHeight="1" x14ac:dyDescent="0.25">
      <c r="A410" s="710" t="s">
        <v>85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09" t="s">
        <v>685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hidden="1" customHeight="1" x14ac:dyDescent="0.25">
      <c r="A416" s="710" t="s">
        <v>85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hidden="1" customHeight="1" x14ac:dyDescent="0.2">
      <c r="A422" s="708" t="s">
        <v>695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hidden="1" customHeight="1" x14ac:dyDescent="0.25">
      <c r="A423" s="709" t="s">
        <v>696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hidden="1" customHeight="1" x14ac:dyDescent="0.25">
      <c r="A424" s="710" t="s">
        <v>123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customHeight="1" x14ac:dyDescent="0.25">
      <c r="A427" s="63" t="s">
        <v>703</v>
      </c>
      <c r="B427" s="63" t="s">
        <v>704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200</v>
      </c>
      <c r="Y427" s="55">
        <f t="shared" si="64"/>
        <v>210</v>
      </c>
      <c r="Z427" s="41">
        <f>IFERROR(IF(Y427=0,"",ROUNDUP(Y427/H427,0)*0.02175),"")</f>
        <v>0.30449999999999999</v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206.26666666666668</v>
      </c>
      <c r="BN427" s="78">
        <f t="shared" si="66"/>
        <v>216.58</v>
      </c>
      <c r="BO427" s="78">
        <f t="shared" si="67"/>
        <v>0.27777777777777779</v>
      </c>
      <c r="BP427" s="78">
        <f t="shared" si="68"/>
        <v>0.29166666666666663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customHeight="1" x14ac:dyDescent="0.25">
      <c r="A429" s="63" t="s">
        <v>709</v>
      </c>
      <c r="B429" s="63" t="s">
        <v>710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600</v>
      </c>
      <c r="Y429" s="55">
        <f t="shared" si="64"/>
        <v>600</v>
      </c>
      <c r="Z429" s="41">
        <f>IFERROR(IF(Y429=0,"",ROUNDUP(Y429/H429,0)*0.02175),"")</f>
        <v>0.86999999999999988</v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618.79999999999995</v>
      </c>
      <c r="BN429" s="78">
        <f t="shared" si="66"/>
        <v>618.79999999999995</v>
      </c>
      <c r="BO429" s="78">
        <f t="shared" si="67"/>
        <v>0.83333333333333326</v>
      </c>
      <c r="BP429" s="78">
        <f t="shared" si="68"/>
        <v>0.83333333333333326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53.333333333333336</v>
      </c>
      <c r="Y433" s="43">
        <f>IFERROR(Y425/H425,"0")+IFERROR(Y426/H426,"0")+IFERROR(Y427/H427,"0")+IFERROR(Y428/H428,"0")+IFERROR(Y429/H429,"0")+IFERROR(Y430/H430,"0")+IFERROR(Y431/H431,"0")+IFERROR(Y432/H432,"0")</f>
        <v>54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1.1744999999999999</v>
      </c>
      <c r="AA433" s="67"/>
      <c r="AB433" s="67"/>
      <c r="AC433" s="67"/>
    </row>
    <row r="434" spans="1:68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800</v>
      </c>
      <c r="Y434" s="43">
        <f>IFERROR(SUM(Y425:Y432),"0")</f>
        <v>810</v>
      </c>
      <c r="Z434" s="42"/>
      <c r="AA434" s="67"/>
      <c r="AB434" s="67"/>
      <c r="AC434" s="67"/>
    </row>
    <row r="435" spans="1:68" ht="14.25" hidden="1" customHeight="1" x14ac:dyDescent="0.25">
      <c r="A435" s="710" t="s">
        <v>156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1200</v>
      </c>
      <c r="Y436" s="55">
        <f>IFERROR(IF(X436="",0,CEILING((X436/$H436),1)*$H436),"")</f>
        <v>1200</v>
      </c>
      <c r="Z436" s="41">
        <f>IFERROR(IF(Y436=0,"",ROUNDUP(Y436/H436,0)*0.02175),"")</f>
        <v>1.7399999999999998</v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1237.5999999999999</v>
      </c>
      <c r="BN436" s="78">
        <f>IFERROR(Y436*I436/H436,"0")</f>
        <v>1237.5999999999999</v>
      </c>
      <c r="BO436" s="78">
        <f>IFERROR(1/J436*(X436/H436),"0")</f>
        <v>1.6666666666666665</v>
      </c>
      <c r="BP436" s="78">
        <f>IFERROR(1/J436*(Y436/H436),"0")</f>
        <v>1.6666666666666665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80</v>
      </c>
      <c r="Y439" s="43">
        <f>IFERROR(Y436/H436,"0")+IFERROR(Y437/H437,"0")+IFERROR(Y438/H438,"0")</f>
        <v>80</v>
      </c>
      <c r="Z439" s="43">
        <f>IFERROR(IF(Z436="",0,Z436),"0")+IFERROR(IF(Z437="",0,Z437),"0")+IFERROR(IF(Z438="",0,Z438),"0")</f>
        <v>1.7399999999999998</v>
      </c>
      <c r="AA439" s="67"/>
      <c r="AB439" s="67"/>
      <c r="AC439" s="67"/>
    </row>
    <row r="440" spans="1:68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1200</v>
      </c>
      <c r="Y440" s="43">
        <f>IFERROR(SUM(Y436:Y438),"0")</f>
        <v>1200</v>
      </c>
      <c r="Z440" s="42"/>
      <c r="AA440" s="67"/>
      <c r="AB440" s="67"/>
      <c r="AC440" s="67"/>
    </row>
    <row r="441" spans="1:68" ht="14.25" hidden="1" customHeight="1" x14ac:dyDescent="0.25">
      <c r="A441" s="710" t="s">
        <v>85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733</v>
      </c>
      <c r="B443" s="63" t="s">
        <v>734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50</v>
      </c>
      <c r="Y443" s="55">
        <f>IFERROR(IF(X443="",0,CEILING((X443/$H443),1)*$H443),"")</f>
        <v>54</v>
      </c>
      <c r="Z443" s="41">
        <f>IFERROR(IF(Y443=0,"",ROUNDUP(Y443/H443,0)*0.01898),"")</f>
        <v>0.11388000000000001</v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52.74444444444444</v>
      </c>
      <c r="BN443" s="78">
        <f>IFERROR(Y443*I443/H443,"0")</f>
        <v>56.963999999999992</v>
      </c>
      <c r="BO443" s="78">
        <f>IFERROR(1/J443*(X443/H443),"0")</f>
        <v>8.6805555555555552E-2</v>
      </c>
      <c r="BP443" s="78">
        <f>IFERROR(1/J443*(Y443/H443),"0")</f>
        <v>9.375E-2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5.5555555555555554</v>
      </c>
      <c r="Y445" s="43">
        <f>IFERROR(Y442/H442,"0")+IFERROR(Y443/H443,"0")+IFERROR(Y444/H444,"0")</f>
        <v>6</v>
      </c>
      <c r="Z445" s="43">
        <f>IFERROR(IF(Z442="",0,Z442),"0")+IFERROR(IF(Z443="",0,Z443),"0")+IFERROR(IF(Z444="",0,Z444),"0")</f>
        <v>0.11388000000000001</v>
      </c>
      <c r="AA445" s="67"/>
      <c r="AB445" s="67"/>
      <c r="AC445" s="67"/>
    </row>
    <row r="446" spans="1:68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50</v>
      </c>
      <c r="Y446" s="43">
        <f>IFERROR(SUM(Y442:Y444),"0")</f>
        <v>54</v>
      </c>
      <c r="Z446" s="42"/>
      <c r="AA446" s="67"/>
      <c r="AB446" s="67"/>
      <c r="AC446" s="67"/>
    </row>
    <row r="447" spans="1:68" ht="14.25" hidden="1" customHeight="1" x14ac:dyDescent="0.25">
      <c r="A447" s="710" t="s">
        <v>173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customHeight="1" x14ac:dyDescent="0.25">
      <c r="A449" s="63" t="s">
        <v>742</v>
      </c>
      <c r="B449" s="63" t="s">
        <v>743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50</v>
      </c>
      <c r="Y449" s="55">
        <f>IFERROR(IF(X449="",0,CEILING((X449/$H449),1)*$H449),"")</f>
        <v>54</v>
      </c>
      <c r="Z449" s="41">
        <f>IFERROR(IF(Y449=0,"",ROUNDUP(Y449/H449,0)*0.01898),"")</f>
        <v>0.11388000000000001</v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52.74444444444444</v>
      </c>
      <c r="BN449" s="78">
        <f>IFERROR(Y449*I449/H449,"0")</f>
        <v>56.963999999999992</v>
      </c>
      <c r="BO449" s="78">
        <f>IFERROR(1/J449*(X449/H449),"0")</f>
        <v>8.6805555555555552E-2</v>
      </c>
      <c r="BP449" s="78">
        <f>IFERROR(1/J449*(Y449/H449),"0")</f>
        <v>9.375E-2</v>
      </c>
    </row>
    <row r="450" spans="1:68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5.5555555555555554</v>
      </c>
      <c r="Y450" s="43">
        <f>IFERROR(Y448/H448,"0")+IFERROR(Y449/H449,"0")</f>
        <v>6</v>
      </c>
      <c r="Z450" s="43">
        <f>IFERROR(IF(Z448="",0,Z448),"0")+IFERROR(IF(Z449="",0,Z449),"0")</f>
        <v>0.11388000000000001</v>
      </c>
      <c r="AA450" s="67"/>
      <c r="AB450" s="67"/>
      <c r="AC450" s="67"/>
    </row>
    <row r="451" spans="1:68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50</v>
      </c>
      <c r="Y451" s="43">
        <f>IFERROR(SUM(Y448:Y449),"0")</f>
        <v>54</v>
      </c>
      <c r="Z451" s="42"/>
      <c r="AA451" s="67"/>
      <c r="AB451" s="67"/>
      <c r="AC451" s="67"/>
    </row>
    <row r="452" spans="1:68" ht="16.5" hidden="1" customHeight="1" x14ac:dyDescent="0.25">
      <c r="A452" s="709" t="s">
        <v>745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hidden="1" customHeight="1" x14ac:dyDescent="0.25">
      <c r="A453" s="710" t="s">
        <v>123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10" t="s">
        <v>76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10" t="s">
        <v>85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customHeight="1" x14ac:dyDescent="0.25">
      <c r="A463" s="63" t="s">
        <v>754</v>
      </c>
      <c r="B463" s="63" t="s">
        <v>755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50</v>
      </c>
      <c r="Y463" s="55">
        <f>IFERROR(IF(X463="",0,CEILING((X463/$H463),1)*$H463),"")</f>
        <v>54</v>
      </c>
      <c r="Z463" s="41">
        <f>IFERROR(IF(Y463=0,"",ROUNDUP(Y463/H463,0)*0.01898),"")</f>
        <v>0.11388000000000001</v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52.74444444444444</v>
      </c>
      <c r="BN463" s="78">
        <f>IFERROR(Y463*I463/H463,"0")</f>
        <v>56.963999999999992</v>
      </c>
      <c r="BO463" s="78">
        <f>IFERROR(1/J463*(X463/H463),"0")</f>
        <v>8.6805555555555552E-2</v>
      </c>
      <c r="BP463" s="78">
        <f>IFERROR(1/J463*(Y463/H463),"0")</f>
        <v>9.375E-2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5.5555555555555554</v>
      </c>
      <c r="Y466" s="43">
        <f>IFERROR(Y463/H463,"0")+IFERROR(Y464/H464,"0")+IFERROR(Y465/H465,"0")</f>
        <v>6</v>
      </c>
      <c r="Z466" s="43">
        <f>IFERROR(IF(Z463="",0,Z463),"0")+IFERROR(IF(Z464="",0,Z464),"0")+IFERROR(IF(Z465="",0,Z465),"0")</f>
        <v>0.11388000000000001</v>
      </c>
      <c r="AA466" s="67"/>
      <c r="AB466" s="67"/>
      <c r="AC466" s="67"/>
    </row>
    <row r="467" spans="1:68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50</v>
      </c>
      <c r="Y467" s="43">
        <f>IFERROR(SUM(Y463:Y465),"0")</f>
        <v>54</v>
      </c>
      <c r="Z467" s="42"/>
      <c r="AA467" s="67"/>
      <c r="AB467" s="67"/>
      <c r="AC467" s="67"/>
    </row>
    <row r="468" spans="1:68" ht="27.75" hidden="1" customHeight="1" x14ac:dyDescent="0.2">
      <c r="A468" s="708" t="s">
        <v>761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hidden="1" customHeight="1" x14ac:dyDescent="0.25">
      <c r="A469" s="709" t="s">
        <v>762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hidden="1" customHeight="1" x14ac:dyDescent="0.25">
      <c r="A470" s="710" t="s">
        <v>76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710" t="s">
        <v>85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709" t="s">
        <v>785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hidden="1" customHeight="1" x14ac:dyDescent="0.25">
      <c r="A485" s="710" t="s">
        <v>156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10" t="s">
        <v>76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708" t="s">
        <v>797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hidden="1" customHeight="1" x14ac:dyDescent="0.25">
      <c r="A496" s="709" t="s">
        <v>797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hidden="1" customHeight="1" x14ac:dyDescent="0.25">
      <c r="A497" s="710" t="s">
        <v>123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50</v>
      </c>
      <c r="Y498" s="55">
        <f t="shared" ref="Y498:Y506" si="74">IFERROR(IF(X498="",0,CEILING((X498/$H498),1)*$H498),"")</f>
        <v>52.800000000000004</v>
      </c>
      <c r="Z498" s="41">
        <f t="shared" ref="Z498:Z503" si="75">IFERROR(IF(Y498=0,"",ROUNDUP(Y498/H498,0)*0.01196),"")</f>
        <v>0.1196</v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53.314393939393938</v>
      </c>
      <c r="BN498" s="78">
        <f t="shared" ref="BN498:BN506" si="77">IFERROR(Y498*I498/H498,"0")</f>
        <v>56.3</v>
      </c>
      <c r="BO498" s="78">
        <f t="shared" ref="BO498:BO506" si="78">IFERROR(1/J498*(X498/H498),"0")</f>
        <v>9.1054778554778545E-2</v>
      </c>
      <c r="BP498" s="78">
        <f t="shared" ref="BP498:BP506" si="79">IFERROR(1/J498*(Y498/H498),"0")</f>
        <v>9.6153846153846159E-2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50</v>
      </c>
      <c r="Y501" s="55">
        <f t="shared" si="74"/>
        <v>52.800000000000004</v>
      </c>
      <c r="Z501" s="41">
        <f t="shared" si="75"/>
        <v>0.1196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53.314393939393938</v>
      </c>
      <c r="BN501" s="78">
        <f t="shared" si="77"/>
        <v>56.3</v>
      </c>
      <c r="BO501" s="78">
        <f t="shared" si="78"/>
        <v>9.1054778554778545E-2</v>
      </c>
      <c r="BP501" s="78">
        <f t="shared" si="79"/>
        <v>9.6153846153846159E-2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>
        <v>700</v>
      </c>
      <c r="Y503" s="55">
        <f t="shared" si="74"/>
        <v>702.24</v>
      </c>
      <c r="Z503" s="41">
        <f t="shared" si="75"/>
        <v>1.5906800000000001</v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746.40151515151513</v>
      </c>
      <c r="BN503" s="78">
        <f t="shared" si="77"/>
        <v>748.79</v>
      </c>
      <c r="BO503" s="78">
        <f t="shared" si="78"/>
        <v>1.2747668997668997</v>
      </c>
      <c r="BP503" s="78">
        <f t="shared" si="79"/>
        <v>1.278846153846154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customHeight="1" x14ac:dyDescent="0.25">
      <c r="A506" s="63" t="s">
        <v>819</v>
      </c>
      <c r="B506" s="63" t="s">
        <v>820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60</v>
      </c>
      <c r="Y506" s="55">
        <f t="shared" si="74"/>
        <v>62.4</v>
      </c>
      <c r="Z506" s="41">
        <f>IFERROR(IF(Y506=0,"",ROUNDUP(Y506/H506,0)*0.00902),"")</f>
        <v>0.11726</v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86.375000000000014</v>
      </c>
      <c r="BN506" s="78">
        <f t="shared" si="77"/>
        <v>89.830000000000013</v>
      </c>
      <c r="BO506" s="78">
        <f t="shared" si="78"/>
        <v>9.4696969696969696E-2</v>
      </c>
      <c r="BP506" s="78">
        <f t="shared" si="79"/>
        <v>9.8484848484848481E-2</v>
      </c>
    </row>
    <row r="507" spans="1:68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164.0151515151515</v>
      </c>
      <c r="Y507" s="43">
        <f>IFERROR(Y498/H498,"0")+IFERROR(Y499/H499,"0")+IFERROR(Y500/H500,"0")+IFERROR(Y501/H501,"0")+IFERROR(Y502/H502,"0")+IFERROR(Y503/H503,"0")+IFERROR(Y504/H504,"0")+IFERROR(Y505/H505,"0")+IFERROR(Y506/H506,"0")</f>
        <v>166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1.9471400000000001</v>
      </c>
      <c r="AA507" s="67"/>
      <c r="AB507" s="67"/>
      <c r="AC507" s="67"/>
    </row>
    <row r="508" spans="1:68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860</v>
      </c>
      <c r="Y508" s="43">
        <f>IFERROR(SUM(Y498:Y506),"0")</f>
        <v>870.24</v>
      </c>
      <c r="Z508" s="42"/>
      <c r="AA508" s="67"/>
      <c r="AB508" s="67"/>
      <c r="AC508" s="67"/>
    </row>
    <row r="509" spans="1:68" ht="14.25" hidden="1" customHeight="1" x14ac:dyDescent="0.25">
      <c r="A509" s="710" t="s">
        <v>156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700</v>
      </c>
      <c r="Y510" s="55">
        <f>IFERROR(IF(X510="",0,CEILING((X510/$H510),1)*$H510),"")</f>
        <v>702.24</v>
      </c>
      <c r="Z510" s="41">
        <f>IFERROR(IF(Y510=0,"",ROUNDUP(Y510/H510,0)*0.01196),"")</f>
        <v>1.5906800000000001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746.40151515151513</v>
      </c>
      <c r="BN510" s="78">
        <f>IFERROR(Y510*I510/H510,"0")</f>
        <v>748.79</v>
      </c>
      <c r="BO510" s="78">
        <f>IFERROR(1/J510*(X510/H510),"0")</f>
        <v>1.2747668997668997</v>
      </c>
      <c r="BP510" s="78">
        <f>IFERROR(1/J510*(Y510/H510),"0")</f>
        <v>1.278846153846154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826</v>
      </c>
      <c r="B512" s="63" t="s">
        <v>827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120</v>
      </c>
      <c r="Y512" s="55">
        <f>IFERROR(IF(X512="",0,CEILING((X512/$H512),1)*$H512),"")</f>
        <v>120</v>
      </c>
      <c r="Z512" s="41">
        <f>IFERROR(IF(Y512=0,"",ROUNDUP(Y512/H512,0)*0.00902),"")</f>
        <v>0.22550000000000001</v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172.75000000000003</v>
      </c>
      <c r="BN512" s="78">
        <f>IFERROR(Y512*I512/H512,"0")</f>
        <v>172.75000000000003</v>
      </c>
      <c r="BO512" s="78">
        <f>IFERROR(1/J512*(X512/H512),"0")</f>
        <v>0.18939393939393939</v>
      </c>
      <c r="BP512" s="78">
        <f>IFERROR(1/J512*(Y512/H512),"0")</f>
        <v>0.18939393939393939</v>
      </c>
    </row>
    <row r="513" spans="1:68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157.57575757575756</v>
      </c>
      <c r="Y513" s="43">
        <f>IFERROR(Y510/H510,"0")+IFERROR(Y511/H511,"0")+IFERROR(Y512/H512,"0")</f>
        <v>158</v>
      </c>
      <c r="Z513" s="43">
        <f>IFERROR(IF(Z510="",0,Z510),"0")+IFERROR(IF(Z511="",0,Z511),"0")+IFERROR(IF(Z512="",0,Z512),"0")</f>
        <v>1.8161800000000001</v>
      </c>
      <c r="AA513" s="67"/>
      <c r="AB513" s="67"/>
      <c r="AC513" s="67"/>
    </row>
    <row r="514" spans="1:68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820</v>
      </c>
      <c r="Y514" s="43">
        <f>IFERROR(SUM(Y510:Y512),"0")</f>
        <v>822.24</v>
      </c>
      <c r="Z514" s="42"/>
      <c r="AA514" s="67"/>
      <c r="AB514" s="67"/>
      <c r="AC514" s="67"/>
    </row>
    <row r="515" spans="1:68" ht="14.25" hidden="1" customHeight="1" x14ac:dyDescent="0.25">
      <c r="A515" s="710" t="s">
        <v>76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customHeight="1" x14ac:dyDescent="0.25">
      <c r="A516" s="63" t="s">
        <v>828</v>
      </c>
      <c r="B516" s="63" t="s">
        <v>829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30</v>
      </c>
      <c r="Y516" s="55">
        <f t="shared" ref="Y516:Y522" si="80">IFERROR(IF(X516="",0,CEILING((X516/$H516),1)*$H516),"")</f>
        <v>31.68</v>
      </c>
      <c r="Z516" s="41">
        <f>IFERROR(IF(Y516=0,"",ROUNDUP(Y516/H516,0)*0.01196),"")</f>
        <v>7.1760000000000004E-2</v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31.988636363636363</v>
      </c>
      <c r="BN516" s="78">
        <f t="shared" ref="BN516:BN522" si="82">IFERROR(Y516*I516/H516,"0")</f>
        <v>33.779999999999994</v>
      </c>
      <c r="BO516" s="78">
        <f t="shared" ref="BO516:BO522" si="83">IFERROR(1/J516*(X516/H516),"0")</f>
        <v>5.4632867132867136E-2</v>
      </c>
      <c r="BP516" s="78">
        <f t="shared" ref="BP516:BP522" si="84">IFERROR(1/J516*(Y516/H516),"0")</f>
        <v>5.7692307692307696E-2</v>
      </c>
    </row>
    <row r="517" spans="1:68" ht="27" customHeight="1" x14ac:dyDescent="0.25">
      <c r="A517" s="63" t="s">
        <v>831</v>
      </c>
      <c r="B517" s="63" t="s">
        <v>832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30</v>
      </c>
      <c r="Y517" s="55">
        <f t="shared" si="80"/>
        <v>31.68</v>
      </c>
      <c r="Z517" s="41">
        <f>IFERROR(IF(Y517=0,"",ROUNDUP(Y517/H517,0)*0.01196),"")</f>
        <v>7.1760000000000004E-2</v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31.988636363636363</v>
      </c>
      <c r="BN517" s="78">
        <f t="shared" si="82"/>
        <v>33.779999999999994</v>
      </c>
      <c r="BO517" s="78">
        <f t="shared" si="83"/>
        <v>5.4632867132867136E-2</v>
      </c>
      <c r="BP517" s="78">
        <f t="shared" si="84"/>
        <v>5.7692307692307696E-2</v>
      </c>
    </row>
    <row r="518" spans="1:68" ht="27" customHeight="1" x14ac:dyDescent="0.25">
      <c r="A518" s="63" t="s">
        <v>834</v>
      </c>
      <c r="B518" s="63" t="s">
        <v>835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450</v>
      </c>
      <c r="Y518" s="55">
        <f t="shared" si="80"/>
        <v>454.08000000000004</v>
      </c>
      <c r="Z518" s="41">
        <f>IFERROR(IF(Y518=0,"",ROUNDUP(Y518/H518,0)*0.01196),"")</f>
        <v>1.0285599999999999</v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479.82954545454544</v>
      </c>
      <c r="BN518" s="78">
        <f t="shared" si="82"/>
        <v>484.18</v>
      </c>
      <c r="BO518" s="78">
        <f t="shared" si="83"/>
        <v>0.81949300699300698</v>
      </c>
      <c r="BP518" s="78">
        <f t="shared" si="84"/>
        <v>0.82692307692307698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customHeight="1" x14ac:dyDescent="0.25">
      <c r="A521" s="63" t="s">
        <v>839</v>
      </c>
      <c r="B521" s="63" t="s">
        <v>841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24</v>
      </c>
      <c r="Y521" s="55">
        <f t="shared" si="80"/>
        <v>24</v>
      </c>
      <c r="Z521" s="41">
        <f>IFERROR(IF(Y521=0,"",ROUNDUP(Y521/H521,0)*0.00902),"")</f>
        <v>4.5100000000000001E-2</v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33.35</v>
      </c>
      <c r="BN521" s="78">
        <f t="shared" si="82"/>
        <v>33.35</v>
      </c>
      <c r="BO521" s="78">
        <f t="shared" si="83"/>
        <v>3.787878787878788E-2</v>
      </c>
      <c r="BP521" s="78">
        <f t="shared" si="84"/>
        <v>3.787878787878788E-2</v>
      </c>
    </row>
    <row r="522" spans="1:68" ht="27" customHeight="1" x14ac:dyDescent="0.25">
      <c r="A522" s="63" t="s">
        <v>842</v>
      </c>
      <c r="B522" s="63" t="s">
        <v>843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120</v>
      </c>
      <c r="Y522" s="55">
        <f t="shared" si="80"/>
        <v>120</v>
      </c>
      <c r="Z522" s="41">
        <f>IFERROR(IF(Y522=0,"",ROUNDUP(Y522/H522,0)*0.00902),"")</f>
        <v>0.22550000000000001</v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166.75</v>
      </c>
      <c r="BN522" s="78">
        <f t="shared" si="82"/>
        <v>166.75</v>
      </c>
      <c r="BO522" s="78">
        <f t="shared" si="83"/>
        <v>0.18939393939393939</v>
      </c>
      <c r="BP522" s="78">
        <f t="shared" si="84"/>
        <v>0.18939393939393939</v>
      </c>
    </row>
    <row r="523" spans="1:68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126.59090909090908</v>
      </c>
      <c r="Y523" s="43">
        <f>IFERROR(Y516/H516,"0")+IFERROR(Y517/H517,"0")+IFERROR(Y518/H518,"0")+IFERROR(Y519/H519,"0")+IFERROR(Y520/H520,"0")+IFERROR(Y521/H521,"0")+IFERROR(Y522/H522,"0")</f>
        <v>128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1.44268</v>
      </c>
      <c r="AA523" s="67"/>
      <c r="AB523" s="67"/>
      <c r="AC523" s="67"/>
    </row>
    <row r="524" spans="1:68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654</v>
      </c>
      <c r="Y524" s="43">
        <f>IFERROR(SUM(Y516:Y522),"0")</f>
        <v>661.44</v>
      </c>
      <c r="Z524" s="42"/>
      <c r="AA524" s="67"/>
      <c r="AB524" s="67"/>
      <c r="AC524" s="67"/>
    </row>
    <row r="525" spans="1:68" ht="27.75" hidden="1" customHeight="1" x14ac:dyDescent="0.2">
      <c r="A525" s="708" t="s">
        <v>844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hidden="1" customHeight="1" x14ac:dyDescent="0.25">
      <c r="A526" s="709" t="s">
        <v>844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hidden="1" customHeight="1" x14ac:dyDescent="0.25">
      <c r="A527" s="710" t="s">
        <v>123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customHeight="1" x14ac:dyDescent="0.25">
      <c r="A528" s="63" t="s">
        <v>845</v>
      </c>
      <c r="B528" s="63" t="s">
        <v>846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>
        <v>30</v>
      </c>
      <c r="Y528" s="55">
        <f>IFERROR(IF(X528="",0,CEILING((X528/$H528),1)*$H528),"")</f>
        <v>36</v>
      </c>
      <c r="Z528" s="41">
        <f>IFERROR(IF(Y528=0,"",ROUNDUP(Y528/H528,0)*0.01898),"")</f>
        <v>5.6940000000000004E-2</v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31.025000000000002</v>
      </c>
      <c r="BN528" s="78">
        <f>IFERROR(Y528*I528/H528,"0")</f>
        <v>37.229999999999997</v>
      </c>
      <c r="BO528" s="78">
        <f>IFERROR(1/J528*(X528/H528),"0")</f>
        <v>3.90625E-2</v>
      </c>
      <c r="BP528" s="78">
        <f>IFERROR(1/J528*(Y528/H528),"0")</f>
        <v>4.6875E-2</v>
      </c>
    </row>
    <row r="529" spans="1:68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2.5</v>
      </c>
      <c r="Y529" s="43">
        <f>IFERROR(Y528/H528,"0")</f>
        <v>3</v>
      </c>
      <c r="Z529" s="43">
        <f>IFERROR(IF(Z528="",0,Z528),"0")</f>
        <v>5.6940000000000004E-2</v>
      </c>
      <c r="AA529" s="67"/>
      <c r="AB529" s="67"/>
      <c r="AC529" s="67"/>
    </row>
    <row r="530" spans="1:68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30</v>
      </c>
      <c r="Y530" s="43">
        <f>IFERROR(SUM(Y528:Y528),"0")</f>
        <v>36</v>
      </c>
      <c r="Z530" s="42"/>
      <c r="AA530" s="67"/>
      <c r="AB530" s="67"/>
      <c r="AC530" s="67"/>
    </row>
    <row r="531" spans="1:68" ht="14.25" hidden="1" customHeight="1" x14ac:dyDescent="0.25">
      <c r="A531" s="710" t="s">
        <v>156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10" t="s">
        <v>76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10" t="s">
        <v>85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customHeight="1" x14ac:dyDescent="0.25">
      <c r="A540" s="63" t="s">
        <v>854</v>
      </c>
      <c r="B540" s="63" t="s">
        <v>855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300</v>
      </c>
      <c r="Y540" s="55">
        <f>IFERROR(IF(X540="",0,CEILING((X540/$H540),1)*$H540),"")</f>
        <v>306</v>
      </c>
      <c r="Z540" s="41">
        <f>IFERROR(IF(Y540=0,"",ROUNDUP(Y540/H540,0)*0.01898),"")</f>
        <v>0.64532</v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316.46666666666664</v>
      </c>
      <c r="BN540" s="78">
        <f>IFERROR(Y540*I540/H540,"0")</f>
        <v>322.79599999999999</v>
      </c>
      <c r="BO540" s="78">
        <f>IFERROR(1/J540*(X540/H540),"0")</f>
        <v>0.52083333333333337</v>
      </c>
      <c r="BP540" s="78">
        <f>IFERROR(1/J540*(Y540/H540),"0")</f>
        <v>0.53125</v>
      </c>
    </row>
    <row r="541" spans="1:68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33.333333333333336</v>
      </c>
      <c r="Y541" s="43">
        <f>IFERROR(Y540/H540,"0")</f>
        <v>34</v>
      </c>
      <c r="Z541" s="43">
        <f>IFERROR(IF(Z540="",0,Z540),"0")</f>
        <v>0.64532</v>
      </c>
      <c r="AA541" s="67"/>
      <c r="AB541" s="67"/>
      <c r="AC541" s="67"/>
    </row>
    <row r="542" spans="1:68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300</v>
      </c>
      <c r="Y542" s="43">
        <f>IFERROR(SUM(Y540:Y540),"0")</f>
        <v>306</v>
      </c>
      <c r="Z542" s="42"/>
      <c r="AA542" s="67"/>
      <c r="AB542" s="67"/>
      <c r="AC542" s="67"/>
    </row>
    <row r="543" spans="1:68" ht="14.25" hidden="1" customHeight="1" x14ac:dyDescent="0.25">
      <c r="A543" s="710" t="s">
        <v>173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709" t="s">
        <v>863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hidden="1" customHeight="1" x14ac:dyDescent="0.25">
      <c r="A549" s="710" t="s">
        <v>156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17034.8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17216.78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18164.499993664438</v>
      </c>
      <c r="Y554" s="43">
        <f>IFERROR(SUM(BN22:BN550),"0")</f>
        <v>18357.347999999984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33</v>
      </c>
      <c r="Y555" s="44">
        <f>ROUNDUP(SUM(BP22:BP550),0)</f>
        <v>33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18989.499993664438</v>
      </c>
      <c r="Y556" s="43">
        <f>GrossWeightTotalR+PalletQtyTotalR*25</f>
        <v>19182.347999999984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3700.3296298098185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3735</v>
      </c>
      <c r="Z557" s="42"/>
      <c r="AA557" s="67"/>
      <c r="AB557" s="67"/>
      <c r="AC557" s="67"/>
    </row>
    <row r="558" spans="1:68" ht="14.25" hidden="1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38.579409999999996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1000" t="s">
        <v>121</v>
      </c>
      <c r="E560" s="1000" t="s">
        <v>121</v>
      </c>
      <c r="F560" s="1000" t="s">
        <v>121</v>
      </c>
      <c r="G560" s="1000" t="s">
        <v>121</v>
      </c>
      <c r="H560" s="1000" t="s">
        <v>121</v>
      </c>
      <c r="I560" s="1000" t="s">
        <v>121</v>
      </c>
      <c r="J560" s="1000" t="s">
        <v>121</v>
      </c>
      <c r="K560" s="1000" t="s">
        <v>349</v>
      </c>
      <c r="L560" s="1000" t="s">
        <v>349</v>
      </c>
      <c r="M560" s="1000" t="s">
        <v>349</v>
      </c>
      <c r="N560" s="1001"/>
      <c r="O560" s="1000" t="s">
        <v>349</v>
      </c>
      <c r="P560" s="1000" t="s">
        <v>349</v>
      </c>
      <c r="Q560" s="1000" t="s">
        <v>349</v>
      </c>
      <c r="R560" s="1000" t="s">
        <v>349</v>
      </c>
      <c r="S560" s="1000" t="s">
        <v>349</v>
      </c>
      <c r="T560" s="1000" t="s">
        <v>349</v>
      </c>
      <c r="U560" s="1000" t="s">
        <v>349</v>
      </c>
      <c r="V560" s="1000" t="s">
        <v>349</v>
      </c>
      <c r="W560" s="1000" t="s">
        <v>695</v>
      </c>
      <c r="X560" s="1000" t="s">
        <v>695</v>
      </c>
      <c r="Y560" s="1000" t="s">
        <v>761</v>
      </c>
      <c r="Z560" s="1000" t="s">
        <v>761</v>
      </c>
      <c r="AA560" s="85" t="s">
        <v>797</v>
      </c>
      <c r="AB560" s="1000" t="s">
        <v>844</v>
      </c>
      <c r="AC560" s="1000" t="s">
        <v>844</v>
      </c>
      <c r="AF560" s="1"/>
    </row>
    <row r="561" spans="1:32" ht="14.25" customHeight="1" thickTop="1" x14ac:dyDescent="0.2">
      <c r="A561" s="1002" t="s">
        <v>10</v>
      </c>
      <c r="B561" s="1000" t="s">
        <v>75</v>
      </c>
      <c r="C561" s="1000" t="s">
        <v>103</v>
      </c>
      <c r="D561" s="1000" t="s">
        <v>122</v>
      </c>
      <c r="E561" s="1000" t="s">
        <v>138</v>
      </c>
      <c r="F561" s="1000" t="s">
        <v>180</v>
      </c>
      <c r="G561" s="1000" t="s">
        <v>201</v>
      </c>
      <c r="H561" s="1000" t="s">
        <v>241</v>
      </c>
      <c r="I561" s="1000" t="s">
        <v>265</v>
      </c>
      <c r="J561" s="1000" t="s">
        <v>121</v>
      </c>
      <c r="K561" s="1000" t="s">
        <v>350</v>
      </c>
      <c r="L561" s="1000" t="s">
        <v>371</v>
      </c>
      <c r="M561" s="1000" t="s">
        <v>438</v>
      </c>
      <c r="N561" s="1"/>
      <c r="O561" s="1000" t="s">
        <v>506</v>
      </c>
      <c r="P561" s="1000" t="s">
        <v>539</v>
      </c>
      <c r="Q561" s="1000" t="s">
        <v>555</v>
      </c>
      <c r="R561" s="1000" t="s">
        <v>564</v>
      </c>
      <c r="S561" s="1000" t="s">
        <v>585</v>
      </c>
      <c r="T561" s="1000" t="s">
        <v>594</v>
      </c>
      <c r="U561" s="1000" t="s">
        <v>678</v>
      </c>
      <c r="V561" s="1000" t="s">
        <v>685</v>
      </c>
      <c r="W561" s="1000" t="s">
        <v>696</v>
      </c>
      <c r="X561" s="1000" t="s">
        <v>745</v>
      </c>
      <c r="Y561" s="1000" t="s">
        <v>762</v>
      </c>
      <c r="Z561" s="1000" t="s">
        <v>785</v>
      </c>
      <c r="AA561" s="1000" t="s">
        <v>797</v>
      </c>
      <c r="AB561" s="1000" t="s">
        <v>844</v>
      </c>
      <c r="AC561" s="1000" t="s">
        <v>863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65.28</v>
      </c>
      <c r="D563" s="52">
        <f>IFERROR(Y48*1,"0")+IFERROR(Y49*1,"0")+IFERROR(Y50*1,"0")+IFERROR(Y51*1,"0")</f>
        <v>530.40000000000009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502.20000000000005</v>
      </c>
      <c r="F563" s="52">
        <f>IFERROR(Y83*1,"0")+IFERROR(Y84*1,"0")+IFERROR(Y85*1,"0")+IFERROR(Y86*1,"0")+IFERROR(Y90*1,"0")+IFERROR(Y91*1,"0")+IFERROR(Y92*1,"0")+IFERROR(Y93*1,"0")</f>
        <v>1224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1276.9199999999998</v>
      </c>
      <c r="H563" s="52">
        <f>IFERROR(Y128*1,"0")+IFERROR(Y129*1,"0")+IFERROR(Y130*1,"0")+IFERROR(Y134*1,"0")+IFERROR(Y135*1,"0")+IFERROR(Y136*1,"0")+IFERROR(Y137*1,"0")+IFERROR(Y141*1,"0")+IFERROR(Y142*1,"0")+IFERROR(Y143*1,"0")</f>
        <v>284.08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1158.5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625.8599999999999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3482.7000000000007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156.51999999999998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482.4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1115.3999999999999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1444.6000000000001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2118</v>
      </c>
      <c r="X563" s="52">
        <f>IFERROR(Y454*1,"0")+IFERROR(Y455*1,"0")+IFERROR(Y459*1,"0")+IFERROR(Y463*1,"0")+IFERROR(Y464*1,"0")+IFERROR(Y465*1,"0")</f>
        <v>54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2353.92</v>
      </c>
      <c r="AB563" s="52">
        <f>IFERROR(Y528*1,"0")+IFERROR(Y532*1,"0")+IFERROR(Y536*1,"0")+IFERROR(Y540*1,"0")+IFERROR(Y544*1,"0")+IFERROR(Y545*1,"0")</f>
        <v>342</v>
      </c>
      <c r="AC563" s="52">
        <f>IFERROR(Y550*1,"0")</f>
        <v>0</v>
      </c>
      <c r="AF563" s="1"/>
    </row>
  </sheetData>
  <sheetProtection algorithmName="SHA-512" hashValue="625E/Ox0Dh7cPCzFN23NAzM4g1uK2PI9MIxWnwT518AEwGRlfhk4Yh22ZsP7ZrKejmxYezTDGnJ82vPV1pVeMg==" saltValue="BKxHuhJMrmwBZzduNz5YUA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152,00"/>
        <filter val="1 200,00"/>
        <filter val="100,00"/>
        <filter val="110,00"/>
        <filter val="116,67"/>
        <filter val="12,00"/>
        <filter val="120,00"/>
        <filter val="126,59"/>
        <filter val="13,33"/>
        <filter val="140,00"/>
        <filter val="141,03"/>
        <filter val="148,35"/>
        <filter val="148,77"/>
        <filter val="157,58"/>
        <filter val="16,00"/>
        <filter val="160,00"/>
        <filter val="164,02"/>
        <filter val="17 034,80"/>
        <filter val="175,00"/>
        <filter val="18 164,50"/>
        <filter val="18 989,50"/>
        <filter val="18,33"/>
        <filter val="180,00"/>
        <filter val="2 410,00"/>
        <filter val="2,50"/>
        <filter val="2,78"/>
        <filter val="20,00"/>
        <filter val="200,00"/>
        <filter val="220,00"/>
        <filter val="227,78"/>
        <filter val="24,00"/>
        <filter val="260,95"/>
        <filter val="27,14"/>
        <filter val="280,00"/>
        <filter val="3 700,33"/>
        <filter val="30,00"/>
        <filter val="300,00"/>
        <filter val="31,25"/>
        <filter val="315,00"/>
        <filter val="32,00"/>
        <filter val="320,00"/>
        <filter val="33"/>
        <filter val="33,33"/>
        <filter val="345,00"/>
        <filter val="35,00"/>
        <filter val="36,30"/>
        <filter val="37,04"/>
        <filter val="40,00"/>
        <filter val="400,00"/>
        <filter val="407,14"/>
        <filter val="450,00"/>
        <filter val="480,00"/>
        <filter val="5,56"/>
        <filter val="50,00"/>
        <filter val="500,00"/>
        <filter val="520,00"/>
        <filter val="53,33"/>
        <filter val="56,00"/>
        <filter val="590,00"/>
        <filter val="60,00"/>
        <filter val="600,00"/>
        <filter val="609,00"/>
        <filter val="630,00"/>
        <filter val="64,00"/>
        <filter val="654,00"/>
        <filter val="66,00"/>
        <filter val="666,12"/>
        <filter val="67,04"/>
        <filter val="7,00"/>
        <filter val="700,00"/>
        <filter val="72,78"/>
        <filter val="750,00"/>
        <filter val="80,00"/>
        <filter val="800,00"/>
        <filter val="82,50"/>
        <filter val="820,00"/>
        <filter val="83,33"/>
        <filter val="84,00"/>
        <filter val="86,00"/>
        <filter val="860,00"/>
        <filter val="890,00"/>
        <filter val="9,87"/>
        <filter val="90,00"/>
        <filter val="95,06"/>
      </filters>
    </filterColumn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9" spans="2:8" x14ac:dyDescent="0.2">
      <c r="B9" s="53" t="s">
        <v>876</v>
      </c>
      <c r="C9" s="53" t="s">
        <v>871</v>
      </c>
      <c r="D9" s="53" t="s">
        <v>46</v>
      </c>
      <c r="E9" s="53" t="s">
        <v>46</v>
      </c>
    </row>
    <row r="11" spans="2:8" x14ac:dyDescent="0.2">
      <c r="B11" s="53" t="s">
        <v>876</v>
      </c>
      <c r="C11" s="53" t="s">
        <v>874</v>
      </c>
      <c r="D11" s="53" t="s">
        <v>46</v>
      </c>
      <c r="E11" s="53" t="s">
        <v>46</v>
      </c>
    </row>
    <row r="13" spans="2:8" x14ac:dyDescent="0.2">
      <c r="B13" s="53" t="s">
        <v>877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879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887</v>
      </c>
      <c r="C23" s="53" t="s">
        <v>46</v>
      </c>
      <c r="D23" s="53" t="s">
        <v>46</v>
      </c>
      <c r="E23" s="53" t="s">
        <v>46</v>
      </c>
    </row>
  </sheetData>
  <sheetProtection algorithmName="SHA-512" hashValue="G3MpW7zquKIvn8CaE1NzFi5nDw0blno9SfuJRHkCgfDwqeOCMImVZUOLgxXUiYYGiLsE2W1Lm4WTR7SLXY/akA==" saltValue="wtUMqr6XvqIx/tXEdnwGW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1151</vt:i4>
      </vt:variant>
    </vt:vector>
  </HeadingPairs>
  <TitlesOfParts>
    <vt:vector size="11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2026-08-27T13:05:52Z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