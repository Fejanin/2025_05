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2C5808-F3CD-473F-90DB-47826656F8C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<sst xmlns="http://schemas.openxmlformats.org/spreadsheetml/2006/main" count="3645" uniqueCount="788">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</sst>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80" sqref="AA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 t="s">
        <v>787</v>
      </c>
      <c r="I5" s="559"/>
      <c r="J5" s="559"/>
      <c r="K5" s="559"/>
      <c r="L5" s="559"/>
      <c r="M5" s="559"/>
      <c r="N5" s="72"/>
      <c r="P5" s="27" t="s">
        <v>4</v>
      </c>
      <c r="Q5" s="561">
        <v>46264</v>
      </c>
      <c r="R5" s="562"/>
      <c r="T5" s="563" t="s">
        <v>3</v>
      </c>
      <c r="U5" s="564"/>
      <c r="V5" s="565" t="s">
        <v>751</v>
      </c>
      <c r="W5" s="566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7" t="s">
        <v>767</v>
      </c>
      <c r="E6" s="567"/>
      <c r="F6" s="567"/>
      <c r="G6" s="567"/>
      <c r="H6" s="567"/>
      <c r="I6" s="567"/>
      <c r="J6" s="567"/>
      <c r="K6" s="567"/>
      <c r="L6" s="567"/>
      <c r="M6" s="567"/>
      <c r="N6" s="73"/>
      <c r="P6" s="27" t="s">
        <v>27</v>
      </c>
      <c r="Q6" s="568" t="str">
        <f>IF(Q5=0," ",CHOOSE(WEEKDAY(Q5,2),"Понедельник","Вторник","Среда","Четверг","Пятница","Суббота","Воскресенье"))</f>
        <v>Воскресенье</v>
      </c>
      <c r="R6" s="568"/>
      <c r="T6" s="569" t="s">
        <v>5</v>
      </c>
      <c r="U6" s="570"/>
      <c r="V6" s="571" t="s">
        <v>69</v>
      </c>
      <c r="W6" s="57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7" t="str">
        <f>IFERROR(VLOOKUP(DeliveryAddress,Table,3,0),1)</f>
        <v>6</v>
      </c>
      <c r="E7" s="578"/>
      <c r="F7" s="578"/>
      <c r="G7" s="578"/>
      <c r="H7" s="578"/>
      <c r="I7" s="578"/>
      <c r="J7" s="578"/>
      <c r="K7" s="578"/>
      <c r="L7" s="578"/>
      <c r="M7" s="579"/>
      <c r="N7" s="74"/>
      <c r="P7" s="29"/>
      <c r="Q7" s="48"/>
      <c r="R7" s="48"/>
      <c r="T7" s="569"/>
      <c r="U7" s="570"/>
      <c r="V7" s="573"/>
      <c r="W7" s="574"/>
      <c r="AB7" s="59"/>
      <c r="AC7" s="59"/>
      <c r="AD7" s="59"/>
      <c r="AE7" s="59"/>
    </row>
    <row r="8" spans="1:32" s="17" customFormat="1" ht="25.5" customHeight="1" x14ac:dyDescent="0.2">
      <c r="A8" s="580" t="s">
        <v>57</v>
      </c>
      <c r="B8" s="580"/>
      <c r="C8" s="580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75"/>
      <c r="P8" s="27" t="s">
        <v>11</v>
      </c>
      <c r="Q8" s="582">
        <v>0.45833333333333331</v>
      </c>
      <c r="R8" s="583"/>
      <c r="T8" s="569"/>
      <c r="U8" s="570"/>
      <c r="V8" s="573"/>
      <c r="W8" s="574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>
        <v>46266</v>
      </c>
      <c r="R9" s="588"/>
      <c r="T9" s="569"/>
      <c r="U9" s="570"/>
      <c r="V9" s="575"/>
      <c r="W9" s="57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>
        <v>0.54166666666666663</v>
      </c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2"/>
      <c r="R12" s="582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hidden="1" customHeight="1" x14ac:dyDescent="0.2">
      <c r="A19" s="624" t="s">
        <v>75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hidden="1" customHeight="1" x14ac:dyDescent="0.25">
      <c r="A20" s="625" t="s">
        <v>75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hidden="1" customHeight="1" x14ac:dyDescent="0.25">
      <c r="A21" s="626" t="s">
        <v>76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6" t="s">
        <v>86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627">
        <v>4680115887657</v>
      </c>
      <c r="E31" s="6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4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627">
        <v>4680115887619</v>
      </c>
      <c r="E32" s="62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9"/>
      <c r="R32" s="629"/>
      <c r="S32" s="629"/>
      <c r="T32" s="630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35"/>
      <c r="B34" s="635"/>
      <c r="C34" s="635"/>
      <c r="D34" s="635"/>
      <c r="E34" s="635"/>
      <c r="F34" s="635"/>
      <c r="G34" s="635"/>
      <c r="H34" s="635"/>
      <c r="I34" s="635"/>
      <c r="J34" s="635"/>
      <c r="K34" s="635"/>
      <c r="L34" s="635"/>
      <c r="M34" s="635"/>
      <c r="N34" s="635"/>
      <c r="O34" s="636"/>
      <c r="P34" s="632" t="s">
        <v>40</v>
      </c>
      <c r="Q34" s="633"/>
      <c r="R34" s="633"/>
      <c r="S34" s="633"/>
      <c r="T34" s="633"/>
      <c r="U34" s="633"/>
      <c r="V34" s="634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6" t="s">
        <v>106</v>
      </c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6"/>
      <c r="R35" s="626"/>
      <c r="S35" s="626"/>
      <c r="T35" s="626"/>
      <c r="U35" s="626"/>
      <c r="V35" s="626"/>
      <c r="W35" s="626"/>
      <c r="X35" s="626"/>
      <c r="Y35" s="626"/>
      <c r="Z35" s="626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627">
        <v>4607091388503</v>
      </c>
      <c r="E36" s="62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9"/>
      <c r="R36" s="629"/>
      <c r="S36" s="629"/>
      <c r="T36" s="630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35"/>
      <c r="B38" s="635"/>
      <c r="C38" s="635"/>
      <c r="D38" s="635"/>
      <c r="E38" s="635"/>
      <c r="F38" s="635"/>
      <c r="G38" s="635"/>
      <c r="H38" s="635"/>
      <c r="I38" s="635"/>
      <c r="J38" s="635"/>
      <c r="K38" s="635"/>
      <c r="L38" s="635"/>
      <c r="M38" s="635"/>
      <c r="N38" s="635"/>
      <c r="O38" s="636"/>
      <c r="P38" s="632" t="s">
        <v>40</v>
      </c>
      <c r="Q38" s="633"/>
      <c r="R38" s="633"/>
      <c r="S38" s="633"/>
      <c r="T38" s="633"/>
      <c r="U38" s="633"/>
      <c r="V38" s="63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24" t="s">
        <v>112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54"/>
      <c r="AB39" s="54"/>
      <c r="AC39" s="54"/>
    </row>
    <row r="40" spans="1:68" ht="16.5" hidden="1" customHeight="1" x14ac:dyDescent="0.25">
      <c r="A40" s="625" t="s">
        <v>113</v>
      </c>
      <c r="B40" s="625"/>
      <c r="C40" s="625"/>
      <c r="D40" s="625"/>
      <c r="E40" s="625"/>
      <c r="F40" s="625"/>
      <c r="G40" s="625"/>
      <c r="H40" s="625"/>
      <c r="I40" s="625"/>
      <c r="J40" s="625"/>
      <c r="K40" s="625"/>
      <c r="L40" s="625"/>
      <c r="M40" s="625"/>
      <c r="N40" s="625"/>
      <c r="O40" s="625"/>
      <c r="P40" s="625"/>
      <c r="Q40" s="625"/>
      <c r="R40" s="625"/>
      <c r="S40" s="625"/>
      <c r="T40" s="625"/>
      <c r="U40" s="625"/>
      <c r="V40" s="625"/>
      <c r="W40" s="625"/>
      <c r="X40" s="625"/>
      <c r="Y40" s="625"/>
      <c r="Z40" s="625"/>
      <c r="AA40" s="65"/>
      <c r="AB40" s="65"/>
      <c r="AC40" s="79"/>
    </row>
    <row r="41" spans="1:68" ht="14.25" hidden="1" customHeight="1" x14ac:dyDescent="0.25">
      <c r="A41" s="626" t="s">
        <v>114</v>
      </c>
      <c r="B41" s="626"/>
      <c r="C41" s="626"/>
      <c r="D41" s="626"/>
      <c r="E41" s="626"/>
      <c r="F41" s="626"/>
      <c r="G41" s="626"/>
      <c r="H41" s="626"/>
      <c r="I41" s="626"/>
      <c r="J41" s="626"/>
      <c r="K41" s="626"/>
      <c r="L41" s="626"/>
      <c r="M41" s="626"/>
      <c r="N41" s="626"/>
      <c r="O41" s="626"/>
      <c r="P41" s="626"/>
      <c r="Q41" s="626"/>
      <c r="R41" s="626"/>
      <c r="S41" s="626"/>
      <c r="T41" s="626"/>
      <c r="U41" s="626"/>
      <c r="V41" s="626"/>
      <c r="W41" s="626"/>
      <c r="X41" s="626"/>
      <c r="Y41" s="626"/>
      <c r="Z41" s="626"/>
      <c r="AA41" s="66"/>
      <c r="AB41" s="66"/>
      <c r="AC41" s="80"/>
    </row>
    <row r="42" spans="1:68" ht="16.5" hidden="1" customHeight="1" x14ac:dyDescent="0.25">
      <c r="A42" s="63" t="s">
        <v>115</v>
      </c>
      <c r="B42" s="63" t="s">
        <v>116</v>
      </c>
      <c r="C42" s="36">
        <v>4301011380</v>
      </c>
      <c r="D42" s="627">
        <v>4607091385670</v>
      </c>
      <c r="E42" s="627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627">
        <v>4680115882539</v>
      </c>
      <c r="E43" s="627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627">
        <v>4607091385687</v>
      </c>
      <c r="E44" s="627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9"/>
      <c r="R44" s="629"/>
      <c r="S44" s="629"/>
      <c r="T44" s="630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idden="1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hidden="1" x14ac:dyDescent="0.2">
      <c r="A46" s="635"/>
      <c r="B46" s="635"/>
      <c r="C46" s="635"/>
      <c r="D46" s="635"/>
      <c r="E46" s="635"/>
      <c r="F46" s="635"/>
      <c r="G46" s="635"/>
      <c r="H46" s="635"/>
      <c r="I46" s="635"/>
      <c r="J46" s="635"/>
      <c r="K46" s="635"/>
      <c r="L46" s="635"/>
      <c r="M46" s="635"/>
      <c r="N46" s="635"/>
      <c r="O46" s="636"/>
      <c r="P46" s="632" t="s">
        <v>40</v>
      </c>
      <c r="Q46" s="633"/>
      <c r="R46" s="633"/>
      <c r="S46" s="633"/>
      <c r="T46" s="633"/>
      <c r="U46" s="633"/>
      <c r="V46" s="634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hidden="1" customHeight="1" x14ac:dyDescent="0.25">
      <c r="A47" s="626" t="s">
        <v>86</v>
      </c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6"/>
      <c r="P47" s="626"/>
      <c r="Q47" s="626"/>
      <c r="R47" s="626"/>
      <c r="S47" s="626"/>
      <c r="T47" s="626"/>
      <c r="U47" s="626"/>
      <c r="V47" s="626"/>
      <c r="W47" s="626"/>
      <c r="X47" s="626"/>
      <c r="Y47" s="626"/>
      <c r="Z47" s="626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627">
        <v>4680115884915</v>
      </c>
      <c r="E48" s="627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9"/>
      <c r="R48" s="629"/>
      <c r="S48" s="629"/>
      <c r="T48" s="630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635"/>
      <c r="B50" s="635"/>
      <c r="C50" s="635"/>
      <c r="D50" s="635"/>
      <c r="E50" s="635"/>
      <c r="F50" s="635"/>
      <c r="G50" s="635"/>
      <c r="H50" s="635"/>
      <c r="I50" s="635"/>
      <c r="J50" s="635"/>
      <c r="K50" s="635"/>
      <c r="L50" s="635"/>
      <c r="M50" s="635"/>
      <c r="N50" s="635"/>
      <c r="O50" s="636"/>
      <c r="P50" s="632" t="s">
        <v>40</v>
      </c>
      <c r="Q50" s="633"/>
      <c r="R50" s="633"/>
      <c r="S50" s="633"/>
      <c r="T50" s="633"/>
      <c r="U50" s="633"/>
      <c r="V50" s="634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625" t="s">
        <v>128</v>
      </c>
      <c r="B51" s="625"/>
      <c r="C51" s="625"/>
      <c r="D51" s="625"/>
      <c r="E51" s="625"/>
      <c r="F51" s="625"/>
      <c r="G51" s="625"/>
      <c r="H51" s="625"/>
      <c r="I51" s="625"/>
      <c r="J51" s="625"/>
      <c r="K51" s="625"/>
      <c r="L51" s="625"/>
      <c r="M51" s="625"/>
      <c r="N51" s="625"/>
      <c r="O51" s="625"/>
      <c r="P51" s="625"/>
      <c r="Q51" s="625"/>
      <c r="R51" s="625"/>
      <c r="S51" s="625"/>
      <c r="T51" s="625"/>
      <c r="U51" s="625"/>
      <c r="V51" s="625"/>
      <c r="W51" s="625"/>
      <c r="X51" s="625"/>
      <c r="Y51" s="625"/>
      <c r="Z51" s="625"/>
      <c r="AA51" s="65"/>
      <c r="AB51" s="65"/>
      <c r="AC51" s="79"/>
    </row>
    <row r="52" spans="1:68" ht="14.25" hidden="1" customHeight="1" x14ac:dyDescent="0.25">
      <c r="A52" s="626" t="s">
        <v>114</v>
      </c>
      <c r="B52" s="626"/>
      <c r="C52" s="626"/>
      <c r="D52" s="626"/>
      <c r="E52" s="626"/>
      <c r="F52" s="626"/>
      <c r="G52" s="626"/>
      <c r="H52" s="626"/>
      <c r="I52" s="626"/>
      <c r="J52" s="626"/>
      <c r="K52" s="626"/>
      <c r="L52" s="626"/>
      <c r="M52" s="626"/>
      <c r="N52" s="626"/>
      <c r="O52" s="626"/>
      <c r="P52" s="626"/>
      <c r="Q52" s="626"/>
      <c r="R52" s="626"/>
      <c r="S52" s="626"/>
      <c r="T52" s="626"/>
      <c r="U52" s="626"/>
      <c r="V52" s="626"/>
      <c r="W52" s="626"/>
      <c r="X52" s="626"/>
      <c r="Y52" s="626"/>
      <c r="Z52" s="626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627">
        <v>4680115885882</v>
      </c>
      <c r="E53" s="627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4301011816</v>
      </c>
      <c r="D54" s="627">
        <v>4680115881426</v>
      </c>
      <c r="E54" s="627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627">
        <v>4680115880283</v>
      </c>
      <c r="E55" s="627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627">
        <v>4680115881525</v>
      </c>
      <c r="E56" s="627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627">
        <v>4680115885899</v>
      </c>
      <c r="E57" s="627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627">
        <v>4680115881419</v>
      </c>
      <c r="E58" s="627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9"/>
      <c r="R58" s="629"/>
      <c r="S58" s="629"/>
      <c r="T58" s="630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idden="1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hidden="1" x14ac:dyDescent="0.2">
      <c r="A60" s="635"/>
      <c r="B60" s="635"/>
      <c r="C60" s="635"/>
      <c r="D60" s="635"/>
      <c r="E60" s="635"/>
      <c r="F60" s="635"/>
      <c r="G60" s="635"/>
      <c r="H60" s="635"/>
      <c r="I60" s="635"/>
      <c r="J60" s="635"/>
      <c r="K60" s="635"/>
      <c r="L60" s="635"/>
      <c r="M60" s="635"/>
      <c r="N60" s="635"/>
      <c r="O60" s="636"/>
      <c r="P60" s="632" t="s">
        <v>40</v>
      </c>
      <c r="Q60" s="633"/>
      <c r="R60" s="633"/>
      <c r="S60" s="633"/>
      <c r="T60" s="633"/>
      <c r="U60" s="633"/>
      <c r="V60" s="634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hidden="1" customHeight="1" x14ac:dyDescent="0.25">
      <c r="A61" s="626" t="s">
        <v>147</v>
      </c>
      <c r="B61" s="626"/>
      <c r="C61" s="626"/>
      <c r="D61" s="626"/>
      <c r="E61" s="626"/>
      <c r="F61" s="626"/>
      <c r="G61" s="626"/>
      <c r="H61" s="626"/>
      <c r="I61" s="626"/>
      <c r="J61" s="626"/>
      <c r="K61" s="626"/>
      <c r="L61" s="626"/>
      <c r="M61" s="626"/>
      <c r="N61" s="626"/>
      <c r="O61" s="626"/>
      <c r="P61" s="626"/>
      <c r="Q61" s="626"/>
      <c r="R61" s="626"/>
      <c r="S61" s="626"/>
      <c r="T61" s="626"/>
      <c r="U61" s="626"/>
      <c r="V61" s="626"/>
      <c r="W61" s="626"/>
      <c r="X61" s="626"/>
      <c r="Y61" s="626"/>
      <c r="Z61" s="626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627">
        <v>4680115881440</v>
      </c>
      <c r="E62" s="62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627">
        <v>4680115885950</v>
      </c>
      <c r="E63" s="627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627">
        <v>4680115887688</v>
      </c>
      <c r="E64" s="627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9"/>
      <c r="R64" s="629"/>
      <c r="S64" s="629"/>
      <c r="T64" s="630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627">
        <v>4680115881433</v>
      </c>
      <c r="E65" s="627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9"/>
      <c r="R65" s="629"/>
      <c r="S65" s="629"/>
      <c r="T65" s="630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635"/>
      <c r="B66" s="635"/>
      <c r="C66" s="635"/>
      <c r="D66" s="635"/>
      <c r="E66" s="635"/>
      <c r="F66" s="635"/>
      <c r="G66" s="635"/>
      <c r="H66" s="635"/>
      <c r="I66" s="635"/>
      <c r="J66" s="635"/>
      <c r="K66" s="635"/>
      <c r="L66" s="635"/>
      <c r="M66" s="635"/>
      <c r="N66" s="635"/>
      <c r="O66" s="636"/>
      <c r="P66" s="632" t="s">
        <v>40</v>
      </c>
      <c r="Q66" s="633"/>
      <c r="R66" s="633"/>
      <c r="S66" s="633"/>
      <c r="T66" s="633"/>
      <c r="U66" s="633"/>
      <c r="V66" s="634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35"/>
      <c r="B67" s="635"/>
      <c r="C67" s="635"/>
      <c r="D67" s="635"/>
      <c r="E67" s="635"/>
      <c r="F67" s="635"/>
      <c r="G67" s="635"/>
      <c r="H67" s="635"/>
      <c r="I67" s="635"/>
      <c r="J67" s="635"/>
      <c r="K67" s="635"/>
      <c r="L67" s="635"/>
      <c r="M67" s="635"/>
      <c r="N67" s="635"/>
      <c r="O67" s="636"/>
      <c r="P67" s="632" t="s">
        <v>40</v>
      </c>
      <c r="Q67" s="633"/>
      <c r="R67" s="633"/>
      <c r="S67" s="633"/>
      <c r="T67" s="633"/>
      <c r="U67" s="633"/>
      <c r="V67" s="634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626" t="s">
        <v>76</v>
      </c>
      <c r="B68" s="626"/>
      <c r="C68" s="626"/>
      <c r="D68" s="626"/>
      <c r="E68" s="626"/>
      <c r="F68" s="626"/>
      <c r="G68" s="626"/>
      <c r="H68" s="626"/>
      <c r="I68" s="626"/>
      <c r="J68" s="626"/>
      <c r="K68" s="626"/>
      <c r="L68" s="626"/>
      <c r="M68" s="626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  <c r="Z68" s="626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627">
        <v>4680115885097</v>
      </c>
      <c r="E69" s="627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9"/>
      <c r="R69" s="629"/>
      <c r="S69" s="629"/>
      <c r="T69" s="630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635"/>
      <c r="B71" s="635"/>
      <c r="C71" s="635"/>
      <c r="D71" s="635"/>
      <c r="E71" s="635"/>
      <c r="F71" s="635"/>
      <c r="G71" s="635"/>
      <c r="H71" s="635"/>
      <c r="I71" s="635"/>
      <c r="J71" s="635"/>
      <c r="K71" s="635"/>
      <c r="L71" s="635"/>
      <c r="M71" s="635"/>
      <c r="N71" s="635"/>
      <c r="O71" s="636"/>
      <c r="P71" s="632" t="s">
        <v>40</v>
      </c>
      <c r="Q71" s="633"/>
      <c r="R71" s="633"/>
      <c r="S71" s="633"/>
      <c r="T71" s="633"/>
      <c r="U71" s="633"/>
      <c r="V71" s="634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626" t="s">
        <v>86</v>
      </c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627">
        <v>4680115885769</v>
      </c>
      <c r="E73" s="627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627">
        <v>4680115884311</v>
      </c>
      <c r="E74" s="627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627">
        <v>4680115885929</v>
      </c>
      <c r="E75" s="627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627">
        <v>4680115884403</v>
      </c>
      <c r="E76" s="6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9"/>
      <c r="R76" s="629"/>
      <c r="S76" s="629"/>
      <c r="T76" s="630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635"/>
      <c r="B78" s="635"/>
      <c r="C78" s="635"/>
      <c r="D78" s="635"/>
      <c r="E78" s="635"/>
      <c r="F78" s="635"/>
      <c r="G78" s="635"/>
      <c r="H78" s="635"/>
      <c r="I78" s="635"/>
      <c r="J78" s="635"/>
      <c r="K78" s="635"/>
      <c r="L78" s="635"/>
      <c r="M78" s="635"/>
      <c r="N78" s="635"/>
      <c r="O78" s="636"/>
      <c r="P78" s="632" t="s">
        <v>40</v>
      </c>
      <c r="Q78" s="633"/>
      <c r="R78" s="633"/>
      <c r="S78" s="633"/>
      <c r="T78" s="633"/>
      <c r="U78" s="633"/>
      <c r="V78" s="634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626" t="s">
        <v>173</v>
      </c>
      <c r="B79" s="626"/>
      <c r="C79" s="626"/>
      <c r="D79" s="626"/>
      <c r="E79" s="626"/>
      <c r="F79" s="626"/>
      <c r="G79" s="626"/>
      <c r="H79" s="626"/>
      <c r="I79" s="626"/>
      <c r="J79" s="626"/>
      <c r="K79" s="626"/>
      <c r="L79" s="626"/>
      <c r="M79" s="626"/>
      <c r="N79" s="626"/>
      <c r="O79" s="626"/>
      <c r="P79" s="626"/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27">
        <v>4680115881532</v>
      </c>
      <c r="E80" s="6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65.680000000000007</v>
      </c>
      <c r="BN80" s="78">
        <f>IFERROR(Y80*I80/H80,"0")</f>
        <v>65.680000000000007</v>
      </c>
      <c r="BO80" s="78">
        <f>IFERROR(1/J80*(X80/H80),"0")</f>
        <v>0.125</v>
      </c>
      <c r="BP80" s="78">
        <f>IFERROR(1/J80*(Y80/H80),"0")</f>
        <v>0.125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627">
        <v>4680115881464</v>
      </c>
      <c r="E81" s="627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9"/>
      <c r="R81" s="629"/>
      <c r="S81" s="629"/>
      <c r="T81" s="630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635"/>
      <c r="B83" s="635"/>
      <c r="C83" s="635"/>
      <c r="D83" s="635"/>
      <c r="E83" s="635"/>
      <c r="F83" s="635"/>
      <c r="G83" s="635"/>
      <c r="H83" s="635"/>
      <c r="I83" s="635"/>
      <c r="J83" s="635"/>
      <c r="K83" s="635"/>
      <c r="L83" s="635"/>
      <c r="M83" s="635"/>
      <c r="N83" s="635"/>
      <c r="O83" s="636"/>
      <c r="P83" s="632" t="s">
        <v>40</v>
      </c>
      <c r="Q83" s="633"/>
      <c r="R83" s="633"/>
      <c r="S83" s="633"/>
      <c r="T83" s="633"/>
      <c r="U83" s="633"/>
      <c r="V83" s="634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hidden="1" customHeight="1" x14ac:dyDescent="0.25">
      <c r="A84" s="625" t="s">
        <v>180</v>
      </c>
      <c r="B84" s="625"/>
      <c r="C84" s="625"/>
      <c r="D84" s="625"/>
      <c r="E84" s="625"/>
      <c r="F84" s="625"/>
      <c r="G84" s="625"/>
      <c r="H84" s="625"/>
      <c r="I84" s="625"/>
      <c r="J84" s="625"/>
      <c r="K84" s="625"/>
      <c r="L84" s="625"/>
      <c r="M84" s="625"/>
      <c r="N84" s="625"/>
      <c r="O84" s="625"/>
      <c r="P84" s="625"/>
      <c r="Q84" s="625"/>
      <c r="R84" s="625"/>
      <c r="S84" s="625"/>
      <c r="T84" s="625"/>
      <c r="U84" s="625"/>
      <c r="V84" s="625"/>
      <c r="W84" s="625"/>
      <c r="X84" s="625"/>
      <c r="Y84" s="625"/>
      <c r="Z84" s="625"/>
      <c r="AA84" s="65"/>
      <c r="AB84" s="65"/>
      <c r="AC84" s="79"/>
    </row>
    <row r="85" spans="1:68" ht="14.25" hidden="1" customHeight="1" x14ac:dyDescent="0.25">
      <c r="A85" s="626" t="s">
        <v>114</v>
      </c>
      <c r="B85" s="626"/>
      <c r="C85" s="626"/>
      <c r="D85" s="626"/>
      <c r="E85" s="626"/>
      <c r="F85" s="626"/>
      <c r="G85" s="626"/>
      <c r="H85" s="626"/>
      <c r="I85" s="626"/>
      <c r="J85" s="626"/>
      <c r="K85" s="626"/>
      <c r="L85" s="626"/>
      <c r="M85" s="626"/>
      <c r="N85" s="626"/>
      <c r="O85" s="626"/>
      <c r="P85" s="626"/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627">
        <v>4680115881327</v>
      </c>
      <c r="E86" s="627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627">
        <v>4680115887732</v>
      </c>
      <c r="E87" s="627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627">
        <v>4680115881518</v>
      </c>
      <c r="E88" s="62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627">
        <v>4680115881303</v>
      </c>
      <c r="E89" s="62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9"/>
      <c r="R89" s="629"/>
      <c r="S89" s="629"/>
      <c r="T89" s="630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5"/>
      <c r="B91" s="635"/>
      <c r="C91" s="635"/>
      <c r="D91" s="635"/>
      <c r="E91" s="635"/>
      <c r="F91" s="635"/>
      <c r="G91" s="635"/>
      <c r="H91" s="635"/>
      <c r="I91" s="635"/>
      <c r="J91" s="635"/>
      <c r="K91" s="635"/>
      <c r="L91" s="635"/>
      <c r="M91" s="635"/>
      <c r="N91" s="635"/>
      <c r="O91" s="636"/>
      <c r="P91" s="632" t="s">
        <v>40</v>
      </c>
      <c r="Q91" s="633"/>
      <c r="R91" s="633"/>
      <c r="S91" s="633"/>
      <c r="T91" s="633"/>
      <c r="U91" s="633"/>
      <c r="V91" s="634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626" t="s">
        <v>86</v>
      </c>
      <c r="B92" s="626"/>
      <c r="C92" s="626"/>
      <c r="D92" s="626"/>
      <c r="E92" s="626"/>
      <c r="F92" s="626"/>
      <c r="G92" s="626"/>
      <c r="H92" s="626"/>
      <c r="I92" s="626"/>
      <c r="J92" s="626"/>
      <c r="K92" s="626"/>
      <c r="L92" s="626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  <c r="Z92" s="626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627">
        <v>4607091386967</v>
      </c>
      <c r="E93" s="62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627">
        <v>4680115884953</v>
      </c>
      <c r="E94" s="62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627">
        <v>4607091385731</v>
      </c>
      <c r="E95" s="62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627">
        <v>4680115880894</v>
      </c>
      <c r="E96" s="62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9"/>
      <c r="R96" s="629"/>
      <c r="S96" s="629"/>
      <c r="T96" s="630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5"/>
      <c r="B98" s="635"/>
      <c r="C98" s="635"/>
      <c r="D98" s="635"/>
      <c r="E98" s="635"/>
      <c r="F98" s="635"/>
      <c r="G98" s="635"/>
      <c r="H98" s="635"/>
      <c r="I98" s="635"/>
      <c r="J98" s="635"/>
      <c r="K98" s="635"/>
      <c r="L98" s="635"/>
      <c r="M98" s="635"/>
      <c r="N98" s="635"/>
      <c r="O98" s="636"/>
      <c r="P98" s="632" t="s">
        <v>40</v>
      </c>
      <c r="Q98" s="633"/>
      <c r="R98" s="633"/>
      <c r="S98" s="633"/>
      <c r="T98" s="633"/>
      <c r="U98" s="633"/>
      <c r="V98" s="634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25" t="s">
        <v>201</v>
      </c>
      <c r="B99" s="625"/>
      <c r="C99" s="625"/>
      <c r="D99" s="625"/>
      <c r="E99" s="625"/>
      <c r="F99" s="625"/>
      <c r="G99" s="625"/>
      <c r="H99" s="625"/>
      <c r="I99" s="625"/>
      <c r="J99" s="625"/>
      <c r="K99" s="625"/>
      <c r="L99" s="625"/>
      <c r="M99" s="625"/>
      <c r="N99" s="625"/>
      <c r="O99" s="625"/>
      <c r="P99" s="625"/>
      <c r="Q99" s="625"/>
      <c r="R99" s="625"/>
      <c r="S99" s="625"/>
      <c r="T99" s="625"/>
      <c r="U99" s="625"/>
      <c r="V99" s="625"/>
      <c r="W99" s="625"/>
      <c r="X99" s="625"/>
      <c r="Y99" s="625"/>
      <c r="Z99" s="625"/>
      <c r="AA99" s="65"/>
      <c r="AB99" s="65"/>
      <c r="AC99" s="79"/>
    </row>
    <row r="100" spans="1:68" ht="14.25" hidden="1" customHeight="1" x14ac:dyDescent="0.25">
      <c r="A100" s="626" t="s">
        <v>114</v>
      </c>
      <c r="B100" s="626"/>
      <c r="C100" s="626"/>
      <c r="D100" s="626"/>
      <c r="E100" s="626"/>
      <c r="F100" s="626"/>
      <c r="G100" s="626"/>
      <c r="H100" s="626"/>
      <c r="I100" s="626"/>
      <c r="J100" s="626"/>
      <c r="K100" s="626"/>
      <c r="L100" s="626"/>
      <c r="M100" s="626"/>
      <c r="N100" s="626"/>
      <c r="O100" s="626"/>
      <c r="P100" s="626"/>
      <c r="Q100" s="626"/>
      <c r="R100" s="626"/>
      <c r="S100" s="626"/>
      <c r="T100" s="626"/>
      <c r="U100" s="626"/>
      <c r="V100" s="626"/>
      <c r="W100" s="626"/>
      <c r="X100" s="626"/>
      <c r="Y100" s="626"/>
      <c r="Z100" s="626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7">
        <v>4680115882133</v>
      </c>
      <c r="E101" s="62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627">
        <v>4680115887718</v>
      </c>
      <c r="E102" s="627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627">
        <v>4680115880269</v>
      </c>
      <c r="E103" s="62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627">
        <v>4680115880429</v>
      </c>
      <c r="E104" s="62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627">
        <v>4680115881457</v>
      </c>
      <c r="E105" s="62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9"/>
      <c r="R105" s="629"/>
      <c r="S105" s="629"/>
      <c r="T105" s="630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635"/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  <c r="M107" s="635"/>
      <c r="N107" s="635"/>
      <c r="O107" s="636"/>
      <c r="P107" s="632" t="s">
        <v>40</v>
      </c>
      <c r="Q107" s="633"/>
      <c r="R107" s="633"/>
      <c r="S107" s="633"/>
      <c r="T107" s="633"/>
      <c r="U107" s="633"/>
      <c r="V107" s="634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hidden="1" customHeight="1" x14ac:dyDescent="0.25">
      <c r="A108" s="626" t="s">
        <v>147</v>
      </c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626"/>
      <c r="Y108" s="626"/>
      <c r="Z108" s="626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627">
        <v>4680115881488</v>
      </c>
      <c r="E109" s="62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627">
        <v>4680115887664</v>
      </c>
      <c r="E110" s="62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627">
        <v>4680115882775</v>
      </c>
      <c r="E111" s="627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627">
        <v>4680115880658</v>
      </c>
      <c r="E112" s="6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9"/>
      <c r="R112" s="629"/>
      <c r="S112" s="629"/>
      <c r="T112" s="630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35"/>
      <c r="B114" s="635"/>
      <c r="C114" s="635"/>
      <c r="D114" s="635"/>
      <c r="E114" s="635"/>
      <c r="F114" s="635"/>
      <c r="G114" s="635"/>
      <c r="H114" s="635"/>
      <c r="I114" s="635"/>
      <c r="J114" s="635"/>
      <c r="K114" s="635"/>
      <c r="L114" s="635"/>
      <c r="M114" s="635"/>
      <c r="N114" s="635"/>
      <c r="O114" s="636"/>
      <c r="P114" s="632" t="s">
        <v>40</v>
      </c>
      <c r="Q114" s="633"/>
      <c r="R114" s="633"/>
      <c r="S114" s="633"/>
      <c r="T114" s="633"/>
      <c r="U114" s="633"/>
      <c r="V114" s="634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26" t="s">
        <v>86</v>
      </c>
      <c r="B115" s="626"/>
      <c r="C115" s="626"/>
      <c r="D115" s="626"/>
      <c r="E115" s="626"/>
      <c r="F115" s="626"/>
      <c r="G115" s="626"/>
      <c r="H115" s="626"/>
      <c r="I115" s="626"/>
      <c r="J115" s="626"/>
      <c r="K115" s="626"/>
      <c r="L115" s="626"/>
      <c r="M115" s="626"/>
      <c r="N115" s="626"/>
      <c r="O115" s="626"/>
      <c r="P115" s="626"/>
      <c r="Q115" s="626"/>
      <c r="R115" s="626"/>
      <c r="S115" s="626"/>
      <c r="T115" s="626"/>
      <c r="U115" s="626"/>
      <c r="V115" s="626"/>
      <c r="W115" s="626"/>
      <c r="X115" s="626"/>
      <c r="Y115" s="626"/>
      <c r="Z115" s="626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627">
        <v>4607091385168</v>
      </c>
      <c r="E116" s="627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627">
        <v>4607091383256</v>
      </c>
      <c r="E117" s="627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627">
        <v>4607091385748</v>
      </c>
      <c r="E118" s="627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627">
        <v>4680115884533</v>
      </c>
      <c r="E119" s="627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9"/>
      <c r="R119" s="629"/>
      <c r="S119" s="629"/>
      <c r="T119" s="630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5"/>
      <c r="O121" s="636"/>
      <c r="P121" s="632" t="s">
        <v>40</v>
      </c>
      <c r="Q121" s="633"/>
      <c r="R121" s="633"/>
      <c r="S121" s="633"/>
      <c r="T121" s="633"/>
      <c r="U121" s="633"/>
      <c r="V121" s="634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6" t="s">
        <v>173</v>
      </c>
      <c r="B122" s="626"/>
      <c r="C122" s="626"/>
      <c r="D122" s="626"/>
      <c r="E122" s="626"/>
      <c r="F122" s="626"/>
      <c r="G122" s="626"/>
      <c r="H122" s="626"/>
      <c r="I122" s="626"/>
      <c r="J122" s="626"/>
      <c r="K122" s="626"/>
      <c r="L122" s="626"/>
      <c r="M122" s="626"/>
      <c r="N122" s="626"/>
      <c r="O122" s="626"/>
      <c r="P122" s="626"/>
      <c r="Q122" s="626"/>
      <c r="R122" s="626"/>
      <c r="S122" s="626"/>
      <c r="T122" s="626"/>
      <c r="U122" s="626"/>
      <c r="V122" s="626"/>
      <c r="W122" s="626"/>
      <c r="X122" s="626"/>
      <c r="Y122" s="626"/>
      <c r="Z122" s="626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627">
        <v>4680115880238</v>
      </c>
      <c r="E123" s="627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9"/>
      <c r="R123" s="629"/>
      <c r="S123" s="629"/>
      <c r="T123" s="630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5"/>
      <c r="O125" s="636"/>
      <c r="P125" s="632" t="s">
        <v>40</v>
      </c>
      <c r="Q125" s="633"/>
      <c r="R125" s="633"/>
      <c r="S125" s="633"/>
      <c r="T125" s="633"/>
      <c r="U125" s="633"/>
      <c r="V125" s="63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25" t="s">
        <v>238</v>
      </c>
      <c r="B126" s="625"/>
      <c r="C126" s="625"/>
      <c r="D126" s="625"/>
      <c r="E126" s="625"/>
      <c r="F126" s="625"/>
      <c r="G126" s="625"/>
      <c r="H126" s="625"/>
      <c r="I126" s="625"/>
      <c r="J126" s="625"/>
      <c r="K126" s="625"/>
      <c r="L126" s="625"/>
      <c r="M126" s="625"/>
      <c r="N126" s="625"/>
      <c r="O126" s="625"/>
      <c r="P126" s="625"/>
      <c r="Q126" s="625"/>
      <c r="R126" s="625"/>
      <c r="S126" s="625"/>
      <c r="T126" s="625"/>
      <c r="U126" s="625"/>
      <c r="V126" s="625"/>
      <c r="W126" s="625"/>
      <c r="X126" s="625"/>
      <c r="Y126" s="625"/>
      <c r="Z126" s="625"/>
      <c r="AA126" s="65"/>
      <c r="AB126" s="65"/>
      <c r="AC126" s="79"/>
    </row>
    <row r="127" spans="1:68" ht="14.25" hidden="1" customHeight="1" x14ac:dyDescent="0.25">
      <c r="A127" s="626" t="s">
        <v>114</v>
      </c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6"/>
      <c r="P127" s="626"/>
      <c r="Q127" s="626"/>
      <c r="R127" s="626"/>
      <c r="S127" s="626"/>
      <c r="T127" s="626"/>
      <c r="U127" s="626"/>
      <c r="V127" s="626"/>
      <c r="W127" s="626"/>
      <c r="X127" s="626"/>
      <c r="Y127" s="626"/>
      <c r="Z127" s="626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627">
        <v>4680115882577</v>
      </c>
      <c r="E129" s="627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9"/>
      <c r="R129" s="629"/>
      <c r="S129" s="629"/>
      <c r="T129" s="630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635"/>
      <c r="B131" s="635"/>
      <c r="C131" s="635"/>
      <c r="D131" s="635"/>
      <c r="E131" s="635"/>
      <c r="F131" s="635"/>
      <c r="G131" s="635"/>
      <c r="H131" s="635"/>
      <c r="I131" s="635"/>
      <c r="J131" s="635"/>
      <c r="K131" s="635"/>
      <c r="L131" s="635"/>
      <c r="M131" s="635"/>
      <c r="N131" s="635"/>
      <c r="O131" s="636"/>
      <c r="P131" s="632" t="s">
        <v>40</v>
      </c>
      <c r="Q131" s="633"/>
      <c r="R131" s="633"/>
      <c r="S131" s="633"/>
      <c r="T131" s="633"/>
      <c r="U131" s="633"/>
      <c r="V131" s="634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626" t="s">
        <v>76</v>
      </c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6"/>
      <c r="P132" s="626"/>
      <c r="Q132" s="626"/>
      <c r="R132" s="626"/>
      <c r="S132" s="626"/>
      <c r="T132" s="626"/>
      <c r="U132" s="626"/>
      <c r="V132" s="626"/>
      <c r="W132" s="626"/>
      <c r="X132" s="626"/>
      <c r="Y132" s="626"/>
      <c r="Z132" s="626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627">
        <v>4680115883444</v>
      </c>
      <c r="E134" s="627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9"/>
      <c r="R134" s="629"/>
      <c r="S134" s="629"/>
      <c r="T134" s="630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35"/>
      <c r="B136" s="635"/>
      <c r="C136" s="635"/>
      <c r="D136" s="635"/>
      <c r="E136" s="635"/>
      <c r="F136" s="635"/>
      <c r="G136" s="635"/>
      <c r="H136" s="635"/>
      <c r="I136" s="635"/>
      <c r="J136" s="635"/>
      <c r="K136" s="635"/>
      <c r="L136" s="635"/>
      <c r="M136" s="635"/>
      <c r="N136" s="635"/>
      <c r="O136" s="636"/>
      <c r="P136" s="632" t="s">
        <v>40</v>
      </c>
      <c r="Q136" s="633"/>
      <c r="R136" s="633"/>
      <c r="S136" s="633"/>
      <c r="T136" s="633"/>
      <c r="U136" s="633"/>
      <c r="V136" s="634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26" t="s">
        <v>86</v>
      </c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6"/>
      <c r="P137" s="626"/>
      <c r="Q137" s="626"/>
      <c r="R137" s="626"/>
      <c r="S137" s="626"/>
      <c r="T137" s="626"/>
      <c r="U137" s="626"/>
      <c r="V137" s="626"/>
      <c r="W137" s="626"/>
      <c r="X137" s="626"/>
      <c r="Y137" s="626"/>
      <c r="Z137" s="626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627">
        <v>4680115882584</v>
      </c>
      <c r="E139" s="627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9"/>
      <c r="R139" s="629"/>
      <c r="S139" s="629"/>
      <c r="T139" s="630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35"/>
      <c r="B141" s="635"/>
      <c r="C141" s="635"/>
      <c r="D141" s="635"/>
      <c r="E141" s="635"/>
      <c r="F141" s="635"/>
      <c r="G141" s="635"/>
      <c r="H141" s="635"/>
      <c r="I141" s="635"/>
      <c r="J141" s="635"/>
      <c r="K141" s="635"/>
      <c r="L141" s="635"/>
      <c r="M141" s="635"/>
      <c r="N141" s="635"/>
      <c r="O141" s="636"/>
      <c r="P141" s="632" t="s">
        <v>40</v>
      </c>
      <c r="Q141" s="633"/>
      <c r="R141" s="633"/>
      <c r="S141" s="633"/>
      <c r="T141" s="633"/>
      <c r="U141" s="633"/>
      <c r="V141" s="634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625" t="s">
        <v>112</v>
      </c>
      <c r="B142" s="625"/>
      <c r="C142" s="625"/>
      <c r="D142" s="625"/>
      <c r="E142" s="625"/>
      <c r="F142" s="625"/>
      <c r="G142" s="625"/>
      <c r="H142" s="625"/>
      <c r="I142" s="625"/>
      <c r="J142" s="625"/>
      <c r="K142" s="625"/>
      <c r="L142" s="625"/>
      <c r="M142" s="625"/>
      <c r="N142" s="625"/>
      <c r="O142" s="625"/>
      <c r="P142" s="625"/>
      <c r="Q142" s="625"/>
      <c r="R142" s="625"/>
      <c r="S142" s="625"/>
      <c r="T142" s="625"/>
      <c r="U142" s="625"/>
      <c r="V142" s="625"/>
      <c r="W142" s="625"/>
      <c r="X142" s="625"/>
      <c r="Y142" s="625"/>
      <c r="Z142" s="625"/>
      <c r="AA142" s="65"/>
      <c r="AB142" s="65"/>
      <c r="AC142" s="79"/>
    </row>
    <row r="143" spans="1:68" ht="14.25" hidden="1" customHeight="1" x14ac:dyDescent="0.25">
      <c r="A143" s="626" t="s">
        <v>114</v>
      </c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6"/>
      <c r="P143" s="626"/>
      <c r="Q143" s="626"/>
      <c r="R143" s="626"/>
      <c r="S143" s="626"/>
      <c r="T143" s="626"/>
      <c r="U143" s="626"/>
      <c r="V143" s="626"/>
      <c r="W143" s="626"/>
      <c r="X143" s="626"/>
      <c r="Y143" s="626"/>
      <c r="Z143" s="626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627">
        <v>4680115887374</v>
      </c>
      <c r="E144" s="627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627">
        <v>4607091384604</v>
      </c>
      <c r="E145" s="627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9"/>
      <c r="R145" s="629"/>
      <c r="S145" s="629"/>
      <c r="T145" s="630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35"/>
      <c r="B147" s="635"/>
      <c r="C147" s="635"/>
      <c r="D147" s="635"/>
      <c r="E147" s="635"/>
      <c r="F147" s="635"/>
      <c r="G147" s="635"/>
      <c r="H147" s="635"/>
      <c r="I147" s="635"/>
      <c r="J147" s="635"/>
      <c r="K147" s="635"/>
      <c r="L147" s="635"/>
      <c r="M147" s="635"/>
      <c r="N147" s="635"/>
      <c r="O147" s="636"/>
      <c r="P147" s="632" t="s">
        <v>40</v>
      </c>
      <c r="Q147" s="633"/>
      <c r="R147" s="633"/>
      <c r="S147" s="633"/>
      <c r="T147" s="633"/>
      <c r="U147" s="633"/>
      <c r="V147" s="6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626" t="s">
        <v>76</v>
      </c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6"/>
      <c r="Z148" s="626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627">
        <v>4680115887428</v>
      </c>
      <c r="E149" s="627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627">
        <v>4680115887336</v>
      </c>
      <c r="E150" s="627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627">
        <v>4607091382426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627">
        <v>4680115887398</v>
      </c>
      <c r="E152" s="627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9"/>
      <c r="R152" s="629"/>
      <c r="S152" s="629"/>
      <c r="T152" s="630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627">
        <v>4680115887763</v>
      </c>
      <c r="E153" s="627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9" t="s">
        <v>270</v>
      </c>
      <c r="Q153" s="629"/>
      <c r="R153" s="629"/>
      <c r="S153" s="629"/>
      <c r="T153" s="630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5"/>
      <c r="O155" s="636"/>
      <c r="P155" s="632" t="s">
        <v>40</v>
      </c>
      <c r="Q155" s="633"/>
      <c r="R155" s="633"/>
      <c r="S155" s="633"/>
      <c r="T155" s="633"/>
      <c r="U155" s="633"/>
      <c r="V155" s="634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26" t="s">
        <v>86</v>
      </c>
      <c r="B156" s="626"/>
      <c r="C156" s="626"/>
      <c r="D156" s="626"/>
      <c r="E156" s="626"/>
      <c r="F156" s="626"/>
      <c r="G156" s="626"/>
      <c r="H156" s="626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627">
        <v>4680115887459</v>
      </c>
      <c r="E157" s="627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0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9"/>
      <c r="R157" s="629"/>
      <c r="S157" s="629"/>
      <c r="T157" s="630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5"/>
      <c r="O158" s="636"/>
      <c r="P158" s="632" t="s">
        <v>40</v>
      </c>
      <c r="Q158" s="633"/>
      <c r="R158" s="633"/>
      <c r="S158" s="633"/>
      <c r="T158" s="633"/>
      <c r="U158" s="633"/>
      <c r="V158" s="63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5"/>
      <c r="O159" s="636"/>
      <c r="P159" s="632" t="s">
        <v>40</v>
      </c>
      <c r="Q159" s="633"/>
      <c r="R159" s="633"/>
      <c r="S159" s="633"/>
      <c r="T159" s="633"/>
      <c r="U159" s="633"/>
      <c r="V159" s="63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624" t="s">
        <v>275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54"/>
      <c r="AB160" s="54"/>
      <c r="AC160" s="54"/>
    </row>
    <row r="161" spans="1:68" ht="16.5" hidden="1" customHeight="1" x14ac:dyDescent="0.25">
      <c r="A161" s="625" t="s">
        <v>276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5"/>
      <c r="AB161" s="65"/>
      <c r="AC161" s="79"/>
    </row>
    <row r="162" spans="1:68" ht="14.25" hidden="1" customHeight="1" x14ac:dyDescent="0.25">
      <c r="A162" s="626" t="s">
        <v>147</v>
      </c>
      <c r="B162" s="626"/>
      <c r="C162" s="626"/>
      <c r="D162" s="626"/>
      <c r="E162" s="626"/>
      <c r="F162" s="626"/>
      <c r="G162" s="626"/>
      <c r="H162" s="626"/>
      <c r="I162" s="626"/>
      <c r="J162" s="626"/>
      <c r="K162" s="626"/>
      <c r="L162" s="626"/>
      <c r="M162" s="626"/>
      <c r="N162" s="626"/>
      <c r="O162" s="626"/>
      <c r="P162" s="626"/>
      <c r="Q162" s="626"/>
      <c r="R162" s="626"/>
      <c r="S162" s="626"/>
      <c r="T162" s="626"/>
      <c r="U162" s="626"/>
      <c r="V162" s="626"/>
      <c r="W162" s="626"/>
      <c r="X162" s="626"/>
      <c r="Y162" s="626"/>
      <c r="Z162" s="626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627">
        <v>4680115886223</v>
      </c>
      <c r="E163" s="627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9"/>
      <c r="R163" s="629"/>
      <c r="S163" s="629"/>
      <c r="T163" s="630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6"/>
      <c r="P164" s="632" t="s">
        <v>40</v>
      </c>
      <c r="Q164" s="633"/>
      <c r="R164" s="633"/>
      <c r="S164" s="633"/>
      <c r="T164" s="633"/>
      <c r="U164" s="633"/>
      <c r="V164" s="63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6" t="s">
        <v>76</v>
      </c>
      <c r="B166" s="626"/>
      <c r="C166" s="626"/>
      <c r="D166" s="626"/>
      <c r="E166" s="626"/>
      <c r="F166" s="626"/>
      <c r="G166" s="626"/>
      <c r="H166" s="626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627">
        <v>4680115880993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627">
        <v>4680115881761</v>
      </c>
      <c r="E168" s="627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627">
        <v>4680115881563</v>
      </c>
      <c r="E169" s="627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627">
        <v>4680115887565</v>
      </c>
      <c r="E170" s="627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627">
        <v>4680115880986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627">
        <v>4680115887213</v>
      </c>
      <c r="E172" s="627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627">
        <v>4680115881785</v>
      </c>
      <c r="E173" s="627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627">
        <v>4680115887824</v>
      </c>
      <c r="E174" s="627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627">
        <v>4680115887701</v>
      </c>
      <c r="E175" s="627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1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627">
        <v>4680115888104</v>
      </c>
      <c r="E176" s="627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11" t="s">
        <v>307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627">
        <v>4680115886537</v>
      </c>
      <c r="E177" s="627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9"/>
      <c r="R177" s="629"/>
      <c r="S177" s="629"/>
      <c r="T177" s="630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627">
        <v>4680115887596</v>
      </c>
      <c r="E178" s="627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9"/>
      <c r="R178" s="629"/>
      <c r="S178" s="629"/>
      <c r="T178" s="630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627">
        <v>4680115881679</v>
      </c>
      <c r="E179" s="627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9"/>
      <c r="R179" s="629"/>
      <c r="S179" s="629"/>
      <c r="T179" s="630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627">
        <v>4680115880191</v>
      </c>
      <c r="E180" s="627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9"/>
      <c r="R180" s="629"/>
      <c r="S180" s="629"/>
      <c r="T180" s="630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627">
        <v>4680115883963</v>
      </c>
      <c r="E181" s="627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9"/>
      <c r="R181" s="629"/>
      <c r="S181" s="629"/>
      <c r="T181" s="630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635"/>
      <c r="B182" s="635"/>
      <c r="C182" s="635"/>
      <c r="D182" s="635"/>
      <c r="E182" s="635"/>
      <c r="F182" s="635"/>
      <c r="G182" s="635"/>
      <c r="H182" s="635"/>
      <c r="I182" s="635"/>
      <c r="J182" s="635"/>
      <c r="K182" s="635"/>
      <c r="L182" s="635"/>
      <c r="M182" s="635"/>
      <c r="N182" s="635"/>
      <c r="O182" s="636"/>
      <c r="P182" s="632" t="s">
        <v>40</v>
      </c>
      <c r="Q182" s="633"/>
      <c r="R182" s="633"/>
      <c r="S182" s="633"/>
      <c r="T182" s="633"/>
      <c r="U182" s="633"/>
      <c r="V182" s="634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635"/>
      <c r="B183" s="635"/>
      <c r="C183" s="635"/>
      <c r="D183" s="635"/>
      <c r="E183" s="635"/>
      <c r="F183" s="635"/>
      <c r="G183" s="635"/>
      <c r="H183" s="635"/>
      <c r="I183" s="635"/>
      <c r="J183" s="635"/>
      <c r="K183" s="635"/>
      <c r="L183" s="635"/>
      <c r="M183" s="635"/>
      <c r="N183" s="635"/>
      <c r="O183" s="636"/>
      <c r="P183" s="632" t="s">
        <v>40</v>
      </c>
      <c r="Q183" s="633"/>
      <c r="R183" s="633"/>
      <c r="S183" s="633"/>
      <c r="T183" s="633"/>
      <c r="U183" s="633"/>
      <c r="V183" s="634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626" t="s">
        <v>106</v>
      </c>
      <c r="B184" s="626"/>
      <c r="C184" s="626"/>
      <c r="D184" s="626"/>
      <c r="E184" s="626"/>
      <c r="F184" s="626"/>
      <c r="G184" s="626"/>
      <c r="H184" s="626"/>
      <c r="I184" s="626"/>
      <c r="J184" s="626"/>
      <c r="K184" s="626"/>
      <c r="L184" s="626"/>
      <c r="M184" s="626"/>
      <c r="N184" s="626"/>
      <c r="O184" s="626"/>
      <c r="P184" s="626"/>
      <c r="Q184" s="626"/>
      <c r="R184" s="626"/>
      <c r="S184" s="626"/>
      <c r="T184" s="626"/>
      <c r="U184" s="626"/>
      <c r="V184" s="626"/>
      <c r="W184" s="626"/>
      <c r="X184" s="626"/>
      <c r="Y184" s="626"/>
      <c r="Z184" s="626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627">
        <v>4680115886780</v>
      </c>
      <c r="E185" s="627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9"/>
      <c r="R185" s="629"/>
      <c r="S185" s="629"/>
      <c r="T185" s="630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627">
        <v>4680115886742</v>
      </c>
      <c r="E186" s="627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9"/>
      <c r="R186" s="629"/>
      <c r="S186" s="629"/>
      <c r="T186" s="630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627">
        <v>4680115886766</v>
      </c>
      <c r="E187" s="627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9"/>
      <c r="R187" s="629"/>
      <c r="S187" s="629"/>
      <c r="T187" s="630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635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5"/>
      <c r="M188" s="635"/>
      <c r="N188" s="635"/>
      <c r="O188" s="636"/>
      <c r="P188" s="632" t="s">
        <v>40</v>
      </c>
      <c r="Q188" s="633"/>
      <c r="R188" s="633"/>
      <c r="S188" s="633"/>
      <c r="T188" s="633"/>
      <c r="U188" s="633"/>
      <c r="V188" s="634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26" t="s">
        <v>331</v>
      </c>
      <c r="B190" s="626"/>
      <c r="C190" s="626"/>
      <c r="D190" s="626"/>
      <c r="E190" s="626"/>
      <c r="F190" s="626"/>
      <c r="G190" s="626"/>
      <c r="H190" s="626"/>
      <c r="I190" s="626"/>
      <c r="J190" s="626"/>
      <c r="K190" s="626"/>
      <c r="L190" s="626"/>
      <c r="M190" s="626"/>
      <c r="N190" s="626"/>
      <c r="O190" s="626"/>
      <c r="P190" s="626"/>
      <c r="Q190" s="626"/>
      <c r="R190" s="626"/>
      <c r="S190" s="626"/>
      <c r="T190" s="626"/>
      <c r="U190" s="626"/>
      <c r="V190" s="626"/>
      <c r="W190" s="626"/>
      <c r="X190" s="626"/>
      <c r="Y190" s="626"/>
      <c r="Z190" s="626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627">
        <v>4680115886797</v>
      </c>
      <c r="E191" s="627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9"/>
      <c r="R191" s="629"/>
      <c r="S191" s="629"/>
      <c r="T191" s="630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35"/>
      <c r="B192" s="635"/>
      <c r="C192" s="635"/>
      <c r="D192" s="635"/>
      <c r="E192" s="635"/>
      <c r="F192" s="635"/>
      <c r="G192" s="635"/>
      <c r="H192" s="635"/>
      <c r="I192" s="635"/>
      <c r="J192" s="635"/>
      <c r="K192" s="635"/>
      <c r="L192" s="635"/>
      <c r="M192" s="635"/>
      <c r="N192" s="635"/>
      <c r="O192" s="636"/>
      <c r="P192" s="632" t="s">
        <v>40</v>
      </c>
      <c r="Q192" s="633"/>
      <c r="R192" s="633"/>
      <c r="S192" s="633"/>
      <c r="T192" s="633"/>
      <c r="U192" s="633"/>
      <c r="V192" s="634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635"/>
      <c r="B193" s="635"/>
      <c r="C193" s="635"/>
      <c r="D193" s="635"/>
      <c r="E193" s="635"/>
      <c r="F193" s="635"/>
      <c r="G193" s="635"/>
      <c r="H193" s="635"/>
      <c r="I193" s="635"/>
      <c r="J193" s="635"/>
      <c r="K193" s="635"/>
      <c r="L193" s="635"/>
      <c r="M193" s="635"/>
      <c r="N193" s="635"/>
      <c r="O193" s="636"/>
      <c r="P193" s="632" t="s">
        <v>40</v>
      </c>
      <c r="Q193" s="633"/>
      <c r="R193" s="633"/>
      <c r="S193" s="633"/>
      <c r="T193" s="633"/>
      <c r="U193" s="633"/>
      <c r="V193" s="634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625" t="s">
        <v>334</v>
      </c>
      <c r="B194" s="625"/>
      <c r="C194" s="625"/>
      <c r="D194" s="625"/>
      <c r="E194" s="625"/>
      <c r="F194" s="625"/>
      <c r="G194" s="625"/>
      <c r="H194" s="625"/>
      <c r="I194" s="625"/>
      <c r="J194" s="625"/>
      <c r="K194" s="625"/>
      <c r="L194" s="625"/>
      <c r="M194" s="625"/>
      <c r="N194" s="625"/>
      <c r="O194" s="625"/>
      <c r="P194" s="625"/>
      <c r="Q194" s="625"/>
      <c r="R194" s="625"/>
      <c r="S194" s="625"/>
      <c r="T194" s="625"/>
      <c r="U194" s="625"/>
      <c r="V194" s="625"/>
      <c r="W194" s="625"/>
      <c r="X194" s="625"/>
      <c r="Y194" s="625"/>
      <c r="Z194" s="625"/>
      <c r="AA194" s="65"/>
      <c r="AB194" s="65"/>
      <c r="AC194" s="79"/>
    </row>
    <row r="195" spans="1:68" ht="14.25" hidden="1" customHeight="1" x14ac:dyDescent="0.25">
      <c r="A195" s="626" t="s">
        <v>114</v>
      </c>
      <c r="B195" s="626"/>
      <c r="C195" s="626"/>
      <c r="D195" s="626"/>
      <c r="E195" s="626"/>
      <c r="F195" s="626"/>
      <c r="G195" s="626"/>
      <c r="H195" s="626"/>
      <c r="I195" s="626"/>
      <c r="J195" s="626"/>
      <c r="K195" s="626"/>
      <c r="L195" s="626"/>
      <c r="M195" s="626"/>
      <c r="N195" s="626"/>
      <c r="O195" s="626"/>
      <c r="P195" s="626"/>
      <c r="Q195" s="626"/>
      <c r="R195" s="626"/>
      <c r="S195" s="626"/>
      <c r="T195" s="626"/>
      <c r="U195" s="626"/>
      <c r="V195" s="626"/>
      <c r="W195" s="626"/>
      <c r="X195" s="626"/>
      <c r="Y195" s="626"/>
      <c r="Z195" s="626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627">
        <v>4680115881402</v>
      </c>
      <c r="E196" s="627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9"/>
      <c r="R196" s="629"/>
      <c r="S196" s="629"/>
      <c r="T196" s="630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627">
        <v>4680115881396</v>
      </c>
      <c r="E197" s="627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9"/>
      <c r="R197" s="629"/>
      <c r="S197" s="629"/>
      <c r="T197" s="630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35"/>
      <c r="B198" s="635"/>
      <c r="C198" s="635"/>
      <c r="D198" s="635"/>
      <c r="E198" s="635"/>
      <c r="F198" s="635"/>
      <c r="G198" s="635"/>
      <c r="H198" s="635"/>
      <c r="I198" s="635"/>
      <c r="J198" s="635"/>
      <c r="K198" s="635"/>
      <c r="L198" s="635"/>
      <c r="M198" s="635"/>
      <c r="N198" s="635"/>
      <c r="O198" s="636"/>
      <c r="P198" s="632" t="s">
        <v>40</v>
      </c>
      <c r="Q198" s="633"/>
      <c r="R198" s="633"/>
      <c r="S198" s="633"/>
      <c r="T198" s="633"/>
      <c r="U198" s="633"/>
      <c r="V198" s="634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635"/>
      <c r="B199" s="635"/>
      <c r="C199" s="635"/>
      <c r="D199" s="635"/>
      <c r="E199" s="635"/>
      <c r="F199" s="635"/>
      <c r="G199" s="635"/>
      <c r="H199" s="635"/>
      <c r="I199" s="635"/>
      <c r="J199" s="635"/>
      <c r="K199" s="635"/>
      <c r="L199" s="635"/>
      <c r="M199" s="635"/>
      <c r="N199" s="635"/>
      <c r="O199" s="636"/>
      <c r="P199" s="632" t="s">
        <v>40</v>
      </c>
      <c r="Q199" s="633"/>
      <c r="R199" s="633"/>
      <c r="S199" s="633"/>
      <c r="T199" s="633"/>
      <c r="U199" s="633"/>
      <c r="V199" s="634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26" t="s">
        <v>147</v>
      </c>
      <c r="B200" s="626"/>
      <c r="C200" s="626"/>
      <c r="D200" s="626"/>
      <c r="E200" s="626"/>
      <c r="F200" s="626"/>
      <c r="G200" s="626"/>
      <c r="H200" s="626"/>
      <c r="I200" s="626"/>
      <c r="J200" s="626"/>
      <c r="K200" s="626"/>
      <c r="L200" s="626"/>
      <c r="M200" s="626"/>
      <c r="N200" s="626"/>
      <c r="O200" s="626"/>
      <c r="P200" s="626"/>
      <c r="Q200" s="626"/>
      <c r="R200" s="626"/>
      <c r="S200" s="626"/>
      <c r="T200" s="626"/>
      <c r="U200" s="626"/>
      <c r="V200" s="626"/>
      <c r="W200" s="626"/>
      <c r="X200" s="626"/>
      <c r="Y200" s="626"/>
      <c r="Z200" s="626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627">
        <v>4680115882935</v>
      </c>
      <c r="E201" s="627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9"/>
      <c r="R201" s="629"/>
      <c r="S201" s="629"/>
      <c r="T201" s="630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627">
        <v>4680115880764</v>
      </c>
      <c r="E202" s="627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9"/>
      <c r="R202" s="629"/>
      <c r="S202" s="629"/>
      <c r="T202" s="630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35"/>
      <c r="B203" s="635"/>
      <c r="C203" s="635"/>
      <c r="D203" s="635"/>
      <c r="E203" s="635"/>
      <c r="F203" s="635"/>
      <c r="G203" s="635"/>
      <c r="H203" s="635"/>
      <c r="I203" s="635"/>
      <c r="J203" s="635"/>
      <c r="K203" s="635"/>
      <c r="L203" s="635"/>
      <c r="M203" s="635"/>
      <c r="N203" s="635"/>
      <c r="O203" s="636"/>
      <c r="P203" s="632" t="s">
        <v>40</v>
      </c>
      <c r="Q203" s="633"/>
      <c r="R203" s="633"/>
      <c r="S203" s="633"/>
      <c r="T203" s="633"/>
      <c r="U203" s="633"/>
      <c r="V203" s="634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635"/>
      <c r="B204" s="635"/>
      <c r="C204" s="635"/>
      <c r="D204" s="635"/>
      <c r="E204" s="635"/>
      <c r="F204" s="635"/>
      <c r="G204" s="635"/>
      <c r="H204" s="635"/>
      <c r="I204" s="635"/>
      <c r="J204" s="635"/>
      <c r="K204" s="635"/>
      <c r="L204" s="635"/>
      <c r="M204" s="635"/>
      <c r="N204" s="635"/>
      <c r="O204" s="636"/>
      <c r="P204" s="632" t="s">
        <v>40</v>
      </c>
      <c r="Q204" s="633"/>
      <c r="R204" s="633"/>
      <c r="S204" s="633"/>
      <c r="T204" s="633"/>
      <c r="U204" s="633"/>
      <c r="V204" s="634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626" t="s">
        <v>76</v>
      </c>
      <c r="B205" s="626"/>
      <c r="C205" s="626"/>
      <c r="D205" s="626"/>
      <c r="E205" s="626"/>
      <c r="F205" s="626"/>
      <c r="G205" s="626"/>
      <c r="H205" s="626"/>
      <c r="I205" s="626"/>
      <c r="J205" s="626"/>
      <c r="K205" s="626"/>
      <c r="L205" s="626"/>
      <c r="M205" s="626"/>
      <c r="N205" s="626"/>
      <c r="O205" s="626"/>
      <c r="P205" s="626"/>
      <c r="Q205" s="626"/>
      <c r="R205" s="626"/>
      <c r="S205" s="626"/>
      <c r="T205" s="626"/>
      <c r="U205" s="626"/>
      <c r="V205" s="626"/>
      <c r="W205" s="626"/>
      <c r="X205" s="626"/>
      <c r="Y205" s="626"/>
      <c r="Z205" s="626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627">
        <v>4680115882683</v>
      </c>
      <c r="E206" s="627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627">
        <v>4680115882690</v>
      </c>
      <c r="E207" s="627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627">
        <v>4680115882669</v>
      </c>
      <c r="E208" s="627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627">
        <v>4680115882676</v>
      </c>
      <c r="E209" s="627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9"/>
      <c r="R209" s="629"/>
      <c r="S209" s="629"/>
      <c r="T209" s="63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627">
        <v>4680115884014</v>
      </c>
      <c r="E210" s="627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9"/>
      <c r="R210" s="629"/>
      <c r="S210" s="629"/>
      <c r="T210" s="63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627">
        <v>4680115884007</v>
      </c>
      <c r="E211" s="627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9"/>
      <c r="R211" s="629"/>
      <c r="S211" s="629"/>
      <c r="T211" s="630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627">
        <v>4680115884038</v>
      </c>
      <c r="E212" s="627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9"/>
      <c r="R212" s="629"/>
      <c r="S212" s="629"/>
      <c r="T212" s="630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627">
        <v>4680115884021</v>
      </c>
      <c r="E213" s="627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9"/>
      <c r="R213" s="629"/>
      <c r="S213" s="629"/>
      <c r="T213" s="630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635"/>
      <c r="B214" s="635"/>
      <c r="C214" s="635"/>
      <c r="D214" s="635"/>
      <c r="E214" s="635"/>
      <c r="F214" s="635"/>
      <c r="G214" s="635"/>
      <c r="H214" s="635"/>
      <c r="I214" s="635"/>
      <c r="J214" s="635"/>
      <c r="K214" s="635"/>
      <c r="L214" s="635"/>
      <c r="M214" s="635"/>
      <c r="N214" s="635"/>
      <c r="O214" s="636"/>
      <c r="P214" s="632" t="s">
        <v>40</v>
      </c>
      <c r="Q214" s="633"/>
      <c r="R214" s="633"/>
      <c r="S214" s="633"/>
      <c r="T214" s="633"/>
      <c r="U214" s="633"/>
      <c r="V214" s="634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35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5"/>
      <c r="M215" s="635"/>
      <c r="N215" s="635"/>
      <c r="O215" s="636"/>
      <c r="P215" s="632" t="s">
        <v>40</v>
      </c>
      <c r="Q215" s="633"/>
      <c r="R215" s="633"/>
      <c r="S215" s="633"/>
      <c r="T215" s="633"/>
      <c r="U215" s="633"/>
      <c r="V215" s="634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626" t="s">
        <v>86</v>
      </c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6"/>
      <c r="P216" s="626"/>
      <c r="Q216" s="626"/>
      <c r="R216" s="626"/>
      <c r="S216" s="626"/>
      <c r="T216" s="626"/>
      <c r="U216" s="626"/>
      <c r="V216" s="626"/>
      <c r="W216" s="626"/>
      <c r="X216" s="626"/>
      <c r="Y216" s="626"/>
      <c r="Z216" s="626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627">
        <v>4680115881594</v>
      </c>
      <c r="E217" s="627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627">
        <v>4680115881617</v>
      </c>
      <c r="E218" s="627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627">
        <v>4680115880573</v>
      </c>
      <c r="E219" s="627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627">
        <v>4680115882195</v>
      </c>
      <c r="E220" s="627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627">
        <v>4680115882607</v>
      </c>
      <c r="E221" s="627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9"/>
      <c r="R221" s="629"/>
      <c r="S221" s="629"/>
      <c r="T221" s="63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627">
        <v>4680115880092</v>
      </c>
      <c r="E222" s="627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9"/>
      <c r="R222" s="629"/>
      <c r="S222" s="629"/>
      <c r="T222" s="63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627">
        <v>4680115880221</v>
      </c>
      <c r="E223" s="627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9"/>
      <c r="R223" s="629"/>
      <c r="S223" s="629"/>
      <c r="T223" s="630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627">
        <v>4680115880504</v>
      </c>
      <c r="E224" s="627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4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9"/>
      <c r="R224" s="629"/>
      <c r="S224" s="629"/>
      <c r="T224" s="630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627">
        <v>4680115882164</v>
      </c>
      <c r="E225" s="627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4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9"/>
      <c r="R225" s="629"/>
      <c r="S225" s="629"/>
      <c r="T225" s="630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635"/>
      <c r="B226" s="635"/>
      <c r="C226" s="635"/>
      <c r="D226" s="635"/>
      <c r="E226" s="635"/>
      <c r="F226" s="635"/>
      <c r="G226" s="635"/>
      <c r="H226" s="635"/>
      <c r="I226" s="635"/>
      <c r="J226" s="635"/>
      <c r="K226" s="635"/>
      <c r="L226" s="635"/>
      <c r="M226" s="635"/>
      <c r="N226" s="635"/>
      <c r="O226" s="636"/>
      <c r="P226" s="632" t="s">
        <v>40</v>
      </c>
      <c r="Q226" s="633"/>
      <c r="R226" s="633"/>
      <c r="S226" s="633"/>
      <c r="T226" s="633"/>
      <c r="U226" s="633"/>
      <c r="V226" s="634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635"/>
      <c r="B227" s="635"/>
      <c r="C227" s="635"/>
      <c r="D227" s="635"/>
      <c r="E227" s="635"/>
      <c r="F227" s="635"/>
      <c r="G227" s="635"/>
      <c r="H227" s="635"/>
      <c r="I227" s="635"/>
      <c r="J227" s="635"/>
      <c r="K227" s="635"/>
      <c r="L227" s="635"/>
      <c r="M227" s="635"/>
      <c r="N227" s="635"/>
      <c r="O227" s="636"/>
      <c r="P227" s="632" t="s">
        <v>40</v>
      </c>
      <c r="Q227" s="633"/>
      <c r="R227" s="633"/>
      <c r="S227" s="633"/>
      <c r="T227" s="633"/>
      <c r="U227" s="633"/>
      <c r="V227" s="634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626" t="s">
        <v>173</v>
      </c>
      <c r="B228" s="626"/>
      <c r="C228" s="626"/>
      <c r="D228" s="626"/>
      <c r="E228" s="626"/>
      <c r="F228" s="626"/>
      <c r="G228" s="626"/>
      <c r="H228" s="626"/>
      <c r="I228" s="626"/>
      <c r="J228" s="626"/>
      <c r="K228" s="626"/>
      <c r="L228" s="626"/>
      <c r="M228" s="626"/>
      <c r="N228" s="626"/>
      <c r="O228" s="626"/>
      <c r="P228" s="626"/>
      <c r="Q228" s="626"/>
      <c r="R228" s="626"/>
      <c r="S228" s="626"/>
      <c r="T228" s="626"/>
      <c r="U228" s="626"/>
      <c r="V228" s="626"/>
      <c r="W228" s="626"/>
      <c r="X228" s="626"/>
      <c r="Y228" s="626"/>
      <c r="Z228" s="626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627">
        <v>4680115880818</v>
      </c>
      <c r="E229" s="627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9"/>
      <c r="R229" s="629"/>
      <c r="S229" s="629"/>
      <c r="T229" s="630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627">
        <v>4680115880801</v>
      </c>
      <c r="E230" s="627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9"/>
      <c r="R230" s="629"/>
      <c r="S230" s="629"/>
      <c r="T230" s="630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35"/>
      <c r="B231" s="635"/>
      <c r="C231" s="635"/>
      <c r="D231" s="635"/>
      <c r="E231" s="635"/>
      <c r="F231" s="635"/>
      <c r="G231" s="635"/>
      <c r="H231" s="635"/>
      <c r="I231" s="635"/>
      <c r="J231" s="635"/>
      <c r="K231" s="635"/>
      <c r="L231" s="635"/>
      <c r="M231" s="635"/>
      <c r="N231" s="635"/>
      <c r="O231" s="636"/>
      <c r="P231" s="632" t="s">
        <v>40</v>
      </c>
      <c r="Q231" s="633"/>
      <c r="R231" s="633"/>
      <c r="S231" s="633"/>
      <c r="T231" s="633"/>
      <c r="U231" s="633"/>
      <c r="V231" s="634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635"/>
      <c r="B232" s="635"/>
      <c r="C232" s="635"/>
      <c r="D232" s="635"/>
      <c r="E232" s="635"/>
      <c r="F232" s="635"/>
      <c r="G232" s="635"/>
      <c r="H232" s="635"/>
      <c r="I232" s="635"/>
      <c r="J232" s="635"/>
      <c r="K232" s="635"/>
      <c r="L232" s="635"/>
      <c r="M232" s="635"/>
      <c r="N232" s="635"/>
      <c r="O232" s="636"/>
      <c r="P232" s="632" t="s">
        <v>40</v>
      </c>
      <c r="Q232" s="633"/>
      <c r="R232" s="633"/>
      <c r="S232" s="633"/>
      <c r="T232" s="633"/>
      <c r="U232" s="633"/>
      <c r="V232" s="634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625" t="s">
        <v>393</v>
      </c>
      <c r="B233" s="625"/>
      <c r="C233" s="625"/>
      <c r="D233" s="625"/>
      <c r="E233" s="625"/>
      <c r="F233" s="625"/>
      <c r="G233" s="625"/>
      <c r="H233" s="625"/>
      <c r="I233" s="625"/>
      <c r="J233" s="625"/>
      <c r="K233" s="625"/>
      <c r="L233" s="625"/>
      <c r="M233" s="625"/>
      <c r="N233" s="625"/>
      <c r="O233" s="625"/>
      <c r="P233" s="625"/>
      <c r="Q233" s="625"/>
      <c r="R233" s="625"/>
      <c r="S233" s="625"/>
      <c r="T233" s="625"/>
      <c r="U233" s="625"/>
      <c r="V233" s="625"/>
      <c r="W233" s="625"/>
      <c r="X233" s="625"/>
      <c r="Y233" s="625"/>
      <c r="Z233" s="625"/>
      <c r="AA233" s="65"/>
      <c r="AB233" s="65"/>
      <c r="AC233" s="79"/>
    </row>
    <row r="234" spans="1:68" ht="14.25" hidden="1" customHeight="1" x14ac:dyDescent="0.25">
      <c r="A234" s="626" t="s">
        <v>114</v>
      </c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6"/>
      <c r="P234" s="626"/>
      <c r="Q234" s="626"/>
      <c r="R234" s="626"/>
      <c r="S234" s="626"/>
      <c r="T234" s="626"/>
      <c r="U234" s="626"/>
      <c r="V234" s="626"/>
      <c r="W234" s="626"/>
      <c r="X234" s="626"/>
      <c r="Y234" s="626"/>
      <c r="Z234" s="626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627">
        <v>4680115884137</v>
      </c>
      <c r="E235" s="627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627">
        <v>4680115884236</v>
      </c>
      <c r="E236" s="627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627">
        <v>4680115884175</v>
      </c>
      <c r="E237" s="627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627">
        <v>4680115884144</v>
      </c>
      <c r="E238" s="627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627">
        <v>4680115886551</v>
      </c>
      <c r="E239" s="627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9"/>
      <c r="R239" s="629"/>
      <c r="S239" s="629"/>
      <c r="T239" s="630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627">
        <v>4680115887282</v>
      </c>
      <c r="E240" s="627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9"/>
      <c r="R240" s="629"/>
      <c r="S240" s="629"/>
      <c r="T240" s="630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627">
        <v>4680115884205</v>
      </c>
      <c r="E241" s="627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9"/>
      <c r="R241" s="629"/>
      <c r="S241" s="629"/>
      <c r="T241" s="630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35"/>
      <c r="B243" s="635"/>
      <c r="C243" s="635"/>
      <c r="D243" s="635"/>
      <c r="E243" s="635"/>
      <c r="F243" s="635"/>
      <c r="G243" s="635"/>
      <c r="H243" s="635"/>
      <c r="I243" s="635"/>
      <c r="J243" s="635"/>
      <c r="K243" s="635"/>
      <c r="L243" s="635"/>
      <c r="M243" s="635"/>
      <c r="N243" s="635"/>
      <c r="O243" s="636"/>
      <c r="P243" s="632" t="s">
        <v>40</v>
      </c>
      <c r="Q243" s="633"/>
      <c r="R243" s="633"/>
      <c r="S243" s="633"/>
      <c r="T243" s="633"/>
      <c r="U243" s="633"/>
      <c r="V243" s="634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26" t="s">
        <v>147</v>
      </c>
      <c r="B244" s="626"/>
      <c r="C244" s="626"/>
      <c r="D244" s="626"/>
      <c r="E244" s="626"/>
      <c r="F244" s="626"/>
      <c r="G244" s="626"/>
      <c r="H244" s="626"/>
      <c r="I244" s="626"/>
      <c r="J244" s="626"/>
      <c r="K244" s="626"/>
      <c r="L244" s="626"/>
      <c r="M244" s="626"/>
      <c r="N244" s="626"/>
      <c r="O244" s="626"/>
      <c r="P244" s="626"/>
      <c r="Q244" s="626"/>
      <c r="R244" s="626"/>
      <c r="S244" s="626"/>
      <c r="T244" s="626"/>
      <c r="U244" s="626"/>
      <c r="V244" s="626"/>
      <c r="W244" s="626"/>
      <c r="X244" s="626"/>
      <c r="Y244" s="626"/>
      <c r="Z244" s="626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627">
        <v>4680115885981</v>
      </c>
      <c r="E245" s="627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9"/>
      <c r="R245" s="629"/>
      <c r="S245" s="629"/>
      <c r="T245" s="630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635"/>
      <c r="B247" s="635"/>
      <c r="C247" s="635"/>
      <c r="D247" s="635"/>
      <c r="E247" s="635"/>
      <c r="F247" s="635"/>
      <c r="G247" s="635"/>
      <c r="H247" s="635"/>
      <c r="I247" s="635"/>
      <c r="J247" s="635"/>
      <c r="K247" s="635"/>
      <c r="L247" s="635"/>
      <c r="M247" s="635"/>
      <c r="N247" s="635"/>
      <c r="O247" s="636"/>
      <c r="P247" s="632" t="s">
        <v>40</v>
      </c>
      <c r="Q247" s="633"/>
      <c r="R247" s="633"/>
      <c r="S247" s="633"/>
      <c r="T247" s="633"/>
      <c r="U247" s="633"/>
      <c r="V247" s="634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26" t="s">
        <v>416</v>
      </c>
      <c r="B248" s="626"/>
      <c r="C248" s="626"/>
      <c r="D248" s="626"/>
      <c r="E248" s="626"/>
      <c r="F248" s="626"/>
      <c r="G248" s="626"/>
      <c r="H248" s="626"/>
      <c r="I248" s="626"/>
      <c r="J248" s="626"/>
      <c r="K248" s="626"/>
      <c r="L248" s="626"/>
      <c r="M248" s="626"/>
      <c r="N248" s="626"/>
      <c r="O248" s="626"/>
      <c r="P248" s="626"/>
      <c r="Q248" s="626"/>
      <c r="R248" s="626"/>
      <c r="S248" s="626"/>
      <c r="T248" s="626"/>
      <c r="U248" s="626"/>
      <c r="V248" s="626"/>
      <c r="W248" s="626"/>
      <c r="X248" s="626"/>
      <c r="Y248" s="626"/>
      <c r="Z248" s="626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627">
        <v>4680115886803</v>
      </c>
      <c r="E249" s="627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9"/>
      <c r="R249" s="629"/>
      <c r="S249" s="629"/>
      <c r="T249" s="630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5"/>
      <c r="M250" s="635"/>
      <c r="N250" s="635"/>
      <c r="O250" s="636"/>
      <c r="P250" s="632" t="s">
        <v>40</v>
      </c>
      <c r="Q250" s="633"/>
      <c r="R250" s="633"/>
      <c r="S250" s="633"/>
      <c r="T250" s="633"/>
      <c r="U250" s="633"/>
      <c r="V250" s="634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35"/>
      <c r="B251" s="635"/>
      <c r="C251" s="635"/>
      <c r="D251" s="635"/>
      <c r="E251" s="635"/>
      <c r="F251" s="635"/>
      <c r="G251" s="635"/>
      <c r="H251" s="635"/>
      <c r="I251" s="635"/>
      <c r="J251" s="635"/>
      <c r="K251" s="635"/>
      <c r="L251" s="635"/>
      <c r="M251" s="635"/>
      <c r="N251" s="635"/>
      <c r="O251" s="636"/>
      <c r="P251" s="632" t="s">
        <v>40</v>
      </c>
      <c r="Q251" s="633"/>
      <c r="R251" s="633"/>
      <c r="S251" s="633"/>
      <c r="T251" s="633"/>
      <c r="U251" s="633"/>
      <c r="V251" s="634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626" t="s">
        <v>420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6"/>
      <c r="Q252" s="626"/>
      <c r="R252" s="626"/>
      <c r="S252" s="626"/>
      <c r="T252" s="626"/>
      <c r="U252" s="626"/>
      <c r="V252" s="626"/>
      <c r="W252" s="626"/>
      <c r="X252" s="626"/>
      <c r="Y252" s="626"/>
      <c r="Z252" s="626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627">
        <v>4680115886704</v>
      </c>
      <c r="E253" s="627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627">
        <v>4680115886681</v>
      </c>
      <c r="E254" s="627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627">
        <v>4680115886735</v>
      </c>
      <c r="E255" s="627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9"/>
      <c r="R255" s="629"/>
      <c r="S255" s="629"/>
      <c r="T255" s="63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627">
        <v>4680115886728</v>
      </c>
      <c r="E256" s="627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9"/>
      <c r="R256" s="629"/>
      <c r="S256" s="629"/>
      <c r="T256" s="63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627">
        <v>4680115886711</v>
      </c>
      <c r="E257" s="627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9"/>
      <c r="R257" s="629"/>
      <c r="S257" s="629"/>
      <c r="T257" s="630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6"/>
      <c r="P258" s="632" t="s">
        <v>40</v>
      </c>
      <c r="Q258" s="633"/>
      <c r="R258" s="633"/>
      <c r="S258" s="633"/>
      <c r="T258" s="633"/>
      <c r="U258" s="633"/>
      <c r="V258" s="634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35"/>
      <c r="B259" s="635"/>
      <c r="C259" s="635"/>
      <c r="D259" s="635"/>
      <c r="E259" s="635"/>
      <c r="F259" s="635"/>
      <c r="G259" s="635"/>
      <c r="H259" s="635"/>
      <c r="I259" s="635"/>
      <c r="J259" s="635"/>
      <c r="K259" s="635"/>
      <c r="L259" s="635"/>
      <c r="M259" s="635"/>
      <c r="N259" s="635"/>
      <c r="O259" s="636"/>
      <c r="P259" s="632" t="s">
        <v>40</v>
      </c>
      <c r="Q259" s="633"/>
      <c r="R259" s="633"/>
      <c r="S259" s="633"/>
      <c r="T259" s="633"/>
      <c r="U259" s="633"/>
      <c r="V259" s="634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25" t="s">
        <v>432</v>
      </c>
      <c r="B260" s="625"/>
      <c r="C260" s="625"/>
      <c r="D260" s="625"/>
      <c r="E260" s="625"/>
      <c r="F260" s="625"/>
      <c r="G260" s="625"/>
      <c r="H260" s="625"/>
      <c r="I260" s="625"/>
      <c r="J260" s="625"/>
      <c r="K260" s="625"/>
      <c r="L260" s="625"/>
      <c r="M260" s="625"/>
      <c r="N260" s="625"/>
      <c r="O260" s="625"/>
      <c r="P260" s="625"/>
      <c r="Q260" s="625"/>
      <c r="R260" s="625"/>
      <c r="S260" s="625"/>
      <c r="T260" s="625"/>
      <c r="U260" s="625"/>
      <c r="V260" s="625"/>
      <c r="W260" s="625"/>
      <c r="X260" s="625"/>
      <c r="Y260" s="625"/>
      <c r="Z260" s="625"/>
      <c r="AA260" s="65"/>
      <c r="AB260" s="65"/>
      <c r="AC260" s="79"/>
    </row>
    <row r="261" spans="1:68" ht="14.25" hidden="1" customHeight="1" x14ac:dyDescent="0.25">
      <c r="A261" s="626" t="s">
        <v>114</v>
      </c>
      <c r="B261" s="626"/>
      <c r="C261" s="626"/>
      <c r="D261" s="626"/>
      <c r="E261" s="626"/>
      <c r="F261" s="626"/>
      <c r="G261" s="626"/>
      <c r="H261" s="626"/>
      <c r="I261" s="626"/>
      <c r="J261" s="626"/>
      <c r="K261" s="626"/>
      <c r="L261" s="626"/>
      <c r="M261" s="626"/>
      <c r="N261" s="626"/>
      <c r="O261" s="626"/>
      <c r="P261" s="626"/>
      <c r="Q261" s="626"/>
      <c r="R261" s="626"/>
      <c r="S261" s="626"/>
      <c r="T261" s="626"/>
      <c r="U261" s="626"/>
      <c r="V261" s="626"/>
      <c r="W261" s="626"/>
      <c r="X261" s="626"/>
      <c r="Y261" s="626"/>
      <c r="Z261" s="626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627">
        <v>4680115885837</v>
      </c>
      <c r="E262" s="6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627">
        <v>4680115885851</v>
      </c>
      <c r="E263" s="6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627">
        <v>4680115885806</v>
      </c>
      <c r="E264" s="62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9"/>
      <c r="R264" s="629"/>
      <c r="S264" s="629"/>
      <c r="T264" s="63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627">
        <v>4680115885844</v>
      </c>
      <c r="E265" s="627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9"/>
      <c r="R265" s="629"/>
      <c r="S265" s="629"/>
      <c r="T265" s="63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627">
        <v>4680115885820</v>
      </c>
      <c r="E266" s="627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9"/>
      <c r="R266" s="629"/>
      <c r="S266" s="629"/>
      <c r="T266" s="630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5"/>
      <c r="B268" s="635"/>
      <c r="C268" s="635"/>
      <c r="D268" s="635"/>
      <c r="E268" s="635"/>
      <c r="F268" s="635"/>
      <c r="G268" s="635"/>
      <c r="H268" s="635"/>
      <c r="I268" s="635"/>
      <c r="J268" s="635"/>
      <c r="K268" s="635"/>
      <c r="L268" s="635"/>
      <c r="M268" s="635"/>
      <c r="N268" s="635"/>
      <c r="O268" s="636"/>
      <c r="P268" s="632" t="s">
        <v>40</v>
      </c>
      <c r="Q268" s="633"/>
      <c r="R268" s="633"/>
      <c r="S268" s="633"/>
      <c r="T268" s="633"/>
      <c r="U268" s="633"/>
      <c r="V268" s="634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625" t="s">
        <v>448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5"/>
      <c r="AB269" s="65"/>
      <c r="AC269" s="79"/>
    </row>
    <row r="270" spans="1:68" ht="14.25" hidden="1" customHeight="1" x14ac:dyDescent="0.25">
      <c r="A270" s="626" t="s">
        <v>114</v>
      </c>
      <c r="B270" s="626"/>
      <c r="C270" s="626"/>
      <c r="D270" s="626"/>
      <c r="E270" s="626"/>
      <c r="F270" s="626"/>
      <c r="G270" s="626"/>
      <c r="H270" s="626"/>
      <c r="I270" s="626"/>
      <c r="J270" s="626"/>
      <c r="K270" s="626"/>
      <c r="L270" s="626"/>
      <c r="M270" s="626"/>
      <c r="N270" s="626"/>
      <c r="O270" s="626"/>
      <c r="P270" s="626"/>
      <c r="Q270" s="626"/>
      <c r="R270" s="626"/>
      <c r="S270" s="626"/>
      <c r="T270" s="626"/>
      <c r="U270" s="626"/>
      <c r="V270" s="626"/>
      <c r="W270" s="626"/>
      <c r="X270" s="626"/>
      <c r="Y270" s="626"/>
      <c r="Z270" s="626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627">
        <v>4607091383423</v>
      </c>
      <c r="E271" s="627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627">
        <v>4680115886957</v>
      </c>
      <c r="E272" s="627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9"/>
      <c r="R272" s="629"/>
      <c r="S272" s="629"/>
      <c r="T272" s="630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627">
        <v>4680115885660</v>
      </c>
      <c r="E273" s="627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9"/>
      <c r="R273" s="629"/>
      <c r="S273" s="629"/>
      <c r="T273" s="630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627">
        <v>4680115886773</v>
      </c>
      <c r="E274" s="627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9"/>
      <c r="R274" s="629"/>
      <c r="S274" s="629"/>
      <c r="T274" s="630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635"/>
      <c r="O275" s="636"/>
      <c r="P275" s="632" t="s">
        <v>40</v>
      </c>
      <c r="Q275" s="633"/>
      <c r="R275" s="633"/>
      <c r="S275" s="633"/>
      <c r="T275" s="633"/>
      <c r="U275" s="633"/>
      <c r="V275" s="634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35"/>
      <c r="B276" s="635"/>
      <c r="C276" s="635"/>
      <c r="D276" s="635"/>
      <c r="E276" s="635"/>
      <c r="F276" s="635"/>
      <c r="G276" s="635"/>
      <c r="H276" s="635"/>
      <c r="I276" s="635"/>
      <c r="J276" s="635"/>
      <c r="K276" s="635"/>
      <c r="L276" s="635"/>
      <c r="M276" s="635"/>
      <c r="N276" s="635"/>
      <c r="O276" s="636"/>
      <c r="P276" s="632" t="s">
        <v>40</v>
      </c>
      <c r="Q276" s="633"/>
      <c r="R276" s="633"/>
      <c r="S276" s="633"/>
      <c r="T276" s="633"/>
      <c r="U276" s="633"/>
      <c r="V276" s="634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625" t="s">
        <v>459</v>
      </c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5"/>
      <c r="P277" s="625"/>
      <c r="Q277" s="625"/>
      <c r="R277" s="625"/>
      <c r="S277" s="625"/>
      <c r="T277" s="625"/>
      <c r="U277" s="625"/>
      <c r="V277" s="625"/>
      <c r="W277" s="625"/>
      <c r="X277" s="625"/>
      <c r="Y277" s="625"/>
      <c r="Z277" s="625"/>
      <c r="AA277" s="65"/>
      <c r="AB277" s="65"/>
      <c r="AC277" s="79"/>
    </row>
    <row r="278" spans="1:68" ht="14.25" hidden="1" customHeight="1" x14ac:dyDescent="0.25">
      <c r="A278" s="626" t="s">
        <v>86</v>
      </c>
      <c r="B278" s="626"/>
      <c r="C278" s="626"/>
      <c r="D278" s="626"/>
      <c r="E278" s="626"/>
      <c r="F278" s="626"/>
      <c r="G278" s="626"/>
      <c r="H278" s="626"/>
      <c r="I278" s="626"/>
      <c r="J278" s="626"/>
      <c r="K278" s="626"/>
      <c r="L278" s="626"/>
      <c r="M278" s="626"/>
      <c r="N278" s="626"/>
      <c r="O278" s="626"/>
      <c r="P278" s="626"/>
      <c r="Q278" s="626"/>
      <c r="R278" s="626"/>
      <c r="S278" s="626"/>
      <c r="T278" s="626"/>
      <c r="U278" s="626"/>
      <c r="V278" s="626"/>
      <c r="W278" s="626"/>
      <c r="X278" s="626"/>
      <c r="Y278" s="626"/>
      <c r="Z278" s="626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627">
        <v>4680115886186</v>
      </c>
      <c r="E279" s="627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9"/>
      <c r="R279" s="629"/>
      <c r="S279" s="629"/>
      <c r="T279" s="630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627">
        <v>4680115881228</v>
      </c>
      <c r="E280" s="627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9"/>
      <c r="R280" s="629"/>
      <c r="S280" s="629"/>
      <c r="T280" s="630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627">
        <v>4680115881211</v>
      </c>
      <c r="E281" s="627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9"/>
      <c r="R281" s="629"/>
      <c r="S281" s="629"/>
      <c r="T281" s="630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5"/>
      <c r="B283" s="635"/>
      <c r="C283" s="635"/>
      <c r="D283" s="635"/>
      <c r="E283" s="635"/>
      <c r="F283" s="635"/>
      <c r="G283" s="635"/>
      <c r="H283" s="635"/>
      <c r="I283" s="635"/>
      <c r="J283" s="635"/>
      <c r="K283" s="635"/>
      <c r="L283" s="635"/>
      <c r="M283" s="635"/>
      <c r="N283" s="635"/>
      <c r="O283" s="636"/>
      <c r="P283" s="632" t="s">
        <v>40</v>
      </c>
      <c r="Q283" s="633"/>
      <c r="R283" s="633"/>
      <c r="S283" s="633"/>
      <c r="T283" s="633"/>
      <c r="U283" s="633"/>
      <c r="V283" s="634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625" t="s">
        <v>468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5"/>
      <c r="AB284" s="65"/>
      <c r="AC284" s="79"/>
    </row>
    <row r="285" spans="1:68" ht="14.25" hidden="1" customHeight="1" x14ac:dyDescent="0.25">
      <c r="A285" s="626" t="s">
        <v>76</v>
      </c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6"/>
      <c r="P285" s="626"/>
      <c r="Q285" s="626"/>
      <c r="R285" s="626"/>
      <c r="S285" s="626"/>
      <c r="T285" s="626"/>
      <c r="U285" s="626"/>
      <c r="V285" s="626"/>
      <c r="W285" s="626"/>
      <c r="X285" s="626"/>
      <c r="Y285" s="626"/>
      <c r="Z285" s="626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627">
        <v>4680115880344</v>
      </c>
      <c r="E286" s="627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9"/>
      <c r="R286" s="629"/>
      <c r="S286" s="629"/>
      <c r="T286" s="630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627">
        <v>4680115886919</v>
      </c>
      <c r="E287" s="627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9"/>
      <c r="R287" s="629"/>
      <c r="S287" s="629"/>
      <c r="T287" s="630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35"/>
      <c r="B289" s="635"/>
      <c r="C289" s="635"/>
      <c r="D289" s="635"/>
      <c r="E289" s="635"/>
      <c r="F289" s="635"/>
      <c r="G289" s="635"/>
      <c r="H289" s="635"/>
      <c r="I289" s="635"/>
      <c r="J289" s="635"/>
      <c r="K289" s="635"/>
      <c r="L289" s="635"/>
      <c r="M289" s="635"/>
      <c r="N289" s="635"/>
      <c r="O289" s="636"/>
      <c r="P289" s="632" t="s">
        <v>40</v>
      </c>
      <c r="Q289" s="633"/>
      <c r="R289" s="633"/>
      <c r="S289" s="633"/>
      <c r="T289" s="633"/>
      <c r="U289" s="633"/>
      <c r="V289" s="634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26" t="s">
        <v>86</v>
      </c>
      <c r="B290" s="626"/>
      <c r="C290" s="626"/>
      <c r="D290" s="626"/>
      <c r="E290" s="626"/>
      <c r="F290" s="626"/>
      <c r="G290" s="626"/>
      <c r="H290" s="626"/>
      <c r="I290" s="626"/>
      <c r="J290" s="626"/>
      <c r="K290" s="626"/>
      <c r="L290" s="626"/>
      <c r="M290" s="626"/>
      <c r="N290" s="626"/>
      <c r="O290" s="626"/>
      <c r="P290" s="626"/>
      <c r="Q290" s="626"/>
      <c r="R290" s="626"/>
      <c r="S290" s="626"/>
      <c r="T290" s="626"/>
      <c r="U290" s="626"/>
      <c r="V290" s="626"/>
      <c r="W290" s="626"/>
      <c r="X290" s="626"/>
      <c r="Y290" s="626"/>
      <c r="Z290" s="626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627">
        <v>4680115884618</v>
      </c>
      <c r="E291" s="627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9"/>
      <c r="R291" s="629"/>
      <c r="S291" s="629"/>
      <c r="T291" s="630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627">
        <v>4680115887114</v>
      </c>
      <c r="E292" s="627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9"/>
      <c r="R292" s="629"/>
      <c r="S292" s="629"/>
      <c r="T292" s="630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36"/>
      <c r="P293" s="632" t="s">
        <v>40</v>
      </c>
      <c r="Q293" s="633"/>
      <c r="R293" s="633"/>
      <c r="S293" s="633"/>
      <c r="T293" s="633"/>
      <c r="U293" s="633"/>
      <c r="V293" s="634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35"/>
      <c r="B294" s="635"/>
      <c r="C294" s="635"/>
      <c r="D294" s="635"/>
      <c r="E294" s="635"/>
      <c r="F294" s="635"/>
      <c r="G294" s="635"/>
      <c r="H294" s="635"/>
      <c r="I294" s="635"/>
      <c r="J294" s="635"/>
      <c r="K294" s="635"/>
      <c r="L294" s="635"/>
      <c r="M294" s="635"/>
      <c r="N294" s="635"/>
      <c r="O294" s="636"/>
      <c r="P294" s="632" t="s">
        <v>40</v>
      </c>
      <c r="Q294" s="633"/>
      <c r="R294" s="633"/>
      <c r="S294" s="633"/>
      <c r="T294" s="633"/>
      <c r="U294" s="633"/>
      <c r="V294" s="634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25" t="s">
        <v>481</v>
      </c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5"/>
      <c r="P295" s="625"/>
      <c r="Q295" s="625"/>
      <c r="R295" s="625"/>
      <c r="S295" s="625"/>
      <c r="T295" s="625"/>
      <c r="U295" s="625"/>
      <c r="V295" s="625"/>
      <c r="W295" s="625"/>
      <c r="X295" s="625"/>
      <c r="Y295" s="625"/>
      <c r="Z295" s="625"/>
      <c r="AA295" s="65"/>
      <c r="AB295" s="65"/>
      <c r="AC295" s="79"/>
    </row>
    <row r="296" spans="1:68" ht="14.25" hidden="1" customHeight="1" x14ac:dyDescent="0.25">
      <c r="A296" s="626" t="s">
        <v>114</v>
      </c>
      <c r="B296" s="626"/>
      <c r="C296" s="626"/>
      <c r="D296" s="626"/>
      <c r="E296" s="626"/>
      <c r="F296" s="626"/>
      <c r="G296" s="626"/>
      <c r="H296" s="626"/>
      <c r="I296" s="626"/>
      <c r="J296" s="626"/>
      <c r="K296" s="626"/>
      <c r="L296" s="626"/>
      <c r="M296" s="626"/>
      <c r="N296" s="626"/>
      <c r="O296" s="626"/>
      <c r="P296" s="626"/>
      <c r="Q296" s="626"/>
      <c r="R296" s="626"/>
      <c r="S296" s="626"/>
      <c r="T296" s="626"/>
      <c r="U296" s="626"/>
      <c r="V296" s="626"/>
      <c r="W296" s="626"/>
      <c r="X296" s="626"/>
      <c r="Y296" s="626"/>
      <c r="Z296" s="626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627">
        <v>4680115885615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627">
        <v>4680115885646</v>
      </c>
      <c r="E298" s="627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627">
        <v>4680115885554</v>
      </c>
      <c r="E299" s="627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627">
        <v>4680115885622</v>
      </c>
      <c r="E300" s="627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9"/>
      <c r="R300" s="629"/>
      <c r="S300" s="629"/>
      <c r="T300" s="630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627">
        <v>4680115885608</v>
      </c>
      <c r="E301" s="627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9"/>
      <c r="R301" s="629"/>
      <c r="S301" s="629"/>
      <c r="T301" s="630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35"/>
      <c r="B303" s="635"/>
      <c r="C303" s="635"/>
      <c r="D303" s="635"/>
      <c r="E303" s="635"/>
      <c r="F303" s="635"/>
      <c r="G303" s="635"/>
      <c r="H303" s="635"/>
      <c r="I303" s="635"/>
      <c r="J303" s="635"/>
      <c r="K303" s="635"/>
      <c r="L303" s="635"/>
      <c r="M303" s="635"/>
      <c r="N303" s="635"/>
      <c r="O303" s="636"/>
      <c r="P303" s="632" t="s">
        <v>40</v>
      </c>
      <c r="Q303" s="633"/>
      <c r="R303" s="633"/>
      <c r="S303" s="633"/>
      <c r="T303" s="633"/>
      <c r="U303" s="633"/>
      <c r="V303" s="634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6" t="s">
        <v>76</v>
      </c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6"/>
      <c r="P304" s="626"/>
      <c r="Q304" s="626"/>
      <c r="R304" s="626"/>
      <c r="S304" s="626"/>
      <c r="T304" s="626"/>
      <c r="U304" s="626"/>
      <c r="V304" s="626"/>
      <c r="W304" s="626"/>
      <c r="X304" s="626"/>
      <c r="Y304" s="626"/>
      <c r="Z304" s="626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627">
        <v>4607091387193</v>
      </c>
      <c r="E305" s="627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627">
        <v>4607091387230</v>
      </c>
      <c r="E306" s="627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627">
        <v>4607091387292</v>
      </c>
      <c r="E307" s="627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627">
        <v>4607091387285</v>
      </c>
      <c r="E308" s="627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627">
        <v>4607091389845</v>
      </c>
      <c r="E309" s="627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9"/>
      <c r="R309" s="629"/>
      <c r="S309" s="629"/>
      <c r="T309" s="630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627">
        <v>4680115887442</v>
      </c>
      <c r="E310" s="627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4" t="s">
        <v>512</v>
      </c>
      <c r="Q310" s="629"/>
      <c r="R310" s="629"/>
      <c r="S310" s="629"/>
      <c r="T310" s="630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627">
        <v>4607091383836</v>
      </c>
      <c r="E311" s="627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9"/>
      <c r="R311" s="629"/>
      <c r="S311" s="629"/>
      <c r="T311" s="630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635"/>
      <c r="B312" s="635"/>
      <c r="C312" s="635"/>
      <c r="D312" s="635"/>
      <c r="E312" s="635"/>
      <c r="F312" s="635"/>
      <c r="G312" s="635"/>
      <c r="H312" s="635"/>
      <c r="I312" s="635"/>
      <c r="J312" s="635"/>
      <c r="K312" s="635"/>
      <c r="L312" s="635"/>
      <c r="M312" s="635"/>
      <c r="N312" s="635"/>
      <c r="O312" s="636"/>
      <c r="P312" s="632" t="s">
        <v>40</v>
      </c>
      <c r="Q312" s="633"/>
      <c r="R312" s="633"/>
      <c r="S312" s="633"/>
      <c r="T312" s="633"/>
      <c r="U312" s="633"/>
      <c r="V312" s="6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5"/>
      <c r="B313" s="635"/>
      <c r="C313" s="635"/>
      <c r="D313" s="635"/>
      <c r="E313" s="635"/>
      <c r="F313" s="635"/>
      <c r="G313" s="635"/>
      <c r="H313" s="635"/>
      <c r="I313" s="635"/>
      <c r="J313" s="635"/>
      <c r="K313" s="635"/>
      <c r="L313" s="635"/>
      <c r="M313" s="635"/>
      <c r="N313" s="635"/>
      <c r="O313" s="636"/>
      <c r="P313" s="632" t="s">
        <v>40</v>
      </c>
      <c r="Q313" s="633"/>
      <c r="R313" s="633"/>
      <c r="S313" s="633"/>
      <c r="T313" s="633"/>
      <c r="U313" s="633"/>
      <c r="V313" s="6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26" t="s">
        <v>86</v>
      </c>
      <c r="B314" s="626"/>
      <c r="C314" s="626"/>
      <c r="D314" s="626"/>
      <c r="E314" s="626"/>
      <c r="F314" s="626"/>
      <c r="G314" s="626"/>
      <c r="H314" s="626"/>
      <c r="I314" s="626"/>
      <c r="J314" s="626"/>
      <c r="K314" s="626"/>
      <c r="L314" s="626"/>
      <c r="M314" s="626"/>
      <c r="N314" s="626"/>
      <c r="O314" s="626"/>
      <c r="P314" s="626"/>
      <c r="Q314" s="626"/>
      <c r="R314" s="626"/>
      <c r="S314" s="626"/>
      <c r="T314" s="626"/>
      <c r="U314" s="626"/>
      <c r="V314" s="626"/>
      <c r="W314" s="626"/>
      <c r="X314" s="626"/>
      <c r="Y314" s="626"/>
      <c r="Z314" s="626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627">
        <v>4607091387766</v>
      </c>
      <c r="E315" s="627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627">
        <v>4607091387957</v>
      </c>
      <c r="E316" s="627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9"/>
      <c r="R316" s="629"/>
      <c r="S316" s="629"/>
      <c r="T316" s="63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627">
        <v>4607091387964</v>
      </c>
      <c r="E317" s="627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9"/>
      <c r="R317" s="629"/>
      <c r="S317" s="629"/>
      <c r="T317" s="630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627">
        <v>4680115884588</v>
      </c>
      <c r="E318" s="627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9"/>
      <c r="R318" s="629"/>
      <c r="S318" s="629"/>
      <c r="T318" s="630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35"/>
      <c r="B319" s="635"/>
      <c r="C319" s="635"/>
      <c r="D319" s="635"/>
      <c r="E319" s="635"/>
      <c r="F319" s="635"/>
      <c r="G319" s="635"/>
      <c r="H319" s="635"/>
      <c r="I319" s="635"/>
      <c r="J319" s="635"/>
      <c r="K319" s="635"/>
      <c r="L319" s="635"/>
      <c r="M319" s="635"/>
      <c r="N319" s="635"/>
      <c r="O319" s="636"/>
      <c r="P319" s="632" t="s">
        <v>40</v>
      </c>
      <c r="Q319" s="633"/>
      <c r="R319" s="633"/>
      <c r="S319" s="633"/>
      <c r="T319" s="633"/>
      <c r="U319" s="633"/>
      <c r="V319" s="634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35"/>
      <c r="B320" s="635"/>
      <c r="C320" s="635"/>
      <c r="D320" s="635"/>
      <c r="E320" s="635"/>
      <c r="F320" s="635"/>
      <c r="G320" s="635"/>
      <c r="H320" s="635"/>
      <c r="I320" s="635"/>
      <c r="J320" s="635"/>
      <c r="K320" s="635"/>
      <c r="L320" s="635"/>
      <c r="M320" s="635"/>
      <c r="N320" s="635"/>
      <c r="O320" s="636"/>
      <c r="P320" s="632" t="s">
        <v>40</v>
      </c>
      <c r="Q320" s="633"/>
      <c r="R320" s="633"/>
      <c r="S320" s="633"/>
      <c r="T320" s="633"/>
      <c r="U320" s="633"/>
      <c r="V320" s="634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26" t="s">
        <v>173</v>
      </c>
      <c r="B321" s="626"/>
      <c r="C321" s="626"/>
      <c r="D321" s="626"/>
      <c r="E321" s="626"/>
      <c r="F321" s="626"/>
      <c r="G321" s="626"/>
      <c r="H321" s="626"/>
      <c r="I321" s="626"/>
      <c r="J321" s="626"/>
      <c r="K321" s="626"/>
      <c r="L321" s="626"/>
      <c r="M321" s="626"/>
      <c r="N321" s="626"/>
      <c r="O321" s="626"/>
      <c r="P321" s="626"/>
      <c r="Q321" s="626"/>
      <c r="R321" s="626"/>
      <c r="S321" s="626"/>
      <c r="T321" s="626"/>
      <c r="U321" s="626"/>
      <c r="V321" s="626"/>
      <c r="W321" s="626"/>
      <c r="X321" s="626"/>
      <c r="Y321" s="626"/>
      <c r="Z321" s="626"/>
      <c r="AA321" s="66"/>
      <c r="AB321" s="66"/>
      <c r="AC321" s="80"/>
    </row>
    <row r="322" spans="1:68" ht="27" hidden="1" customHeight="1" x14ac:dyDescent="0.25">
      <c r="A322" s="63" t="s">
        <v>528</v>
      </c>
      <c r="B322" s="63" t="s">
        <v>529</v>
      </c>
      <c r="C322" s="36">
        <v>4301060387</v>
      </c>
      <c r="D322" s="627">
        <v>4607091380880</v>
      </c>
      <c r="E322" s="627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9"/>
      <c r="R322" s="629"/>
      <c r="S322" s="629"/>
      <c r="T322" s="630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7">
        <v>4607091384482</v>
      </c>
      <c r="E323" s="627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9"/>
      <c r="R323" s="629"/>
      <c r="S323" s="629"/>
      <c r="T323" s="630"/>
      <c r="U323" s="39" t="s">
        <v>45</v>
      </c>
      <c r="V323" s="39" t="s">
        <v>45</v>
      </c>
      <c r="W323" s="40" t="s">
        <v>0</v>
      </c>
      <c r="X323" s="58">
        <v>62.4</v>
      </c>
      <c r="Y323" s="55">
        <f>IFERROR(IF(X323="",0,CEILING((X323/$H323),1)*$H323),"")</f>
        <v>62.4</v>
      </c>
      <c r="Z323" s="41">
        <f>IFERROR(IF(Y323=0,"",ROUNDUP(Y323/H323,0)*0.01898),"")</f>
        <v>0.15184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66.352000000000004</v>
      </c>
      <c r="BN323" s="78">
        <f>IFERROR(Y323*I323/H323,"0")</f>
        <v>66.352000000000004</v>
      </c>
      <c r="BO323" s="78">
        <f>IFERROR(1/J323*(X323/H323),"0")</f>
        <v>0.125</v>
      </c>
      <c r="BP323" s="78">
        <f>IFERROR(1/J323*(Y323/H323),"0")</f>
        <v>0.125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627">
        <v>4607091380897</v>
      </c>
      <c r="E324" s="627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9"/>
      <c r="R324" s="629"/>
      <c r="S324" s="629"/>
      <c r="T324" s="630"/>
      <c r="U324" s="39" t="s">
        <v>45</v>
      </c>
      <c r="V324" s="39" t="s">
        <v>45</v>
      </c>
      <c r="W324" s="40" t="s">
        <v>0</v>
      </c>
      <c r="X324" s="58">
        <v>67.2</v>
      </c>
      <c r="Y324" s="55">
        <f>IFERROR(IF(X324="",0,CEILING((X324/$H324),1)*$H324),"")</f>
        <v>67.2</v>
      </c>
      <c r="Z324" s="41">
        <f>IFERROR(IF(Y324=0,"",ROUNDUP(Y324/H324,0)*0.01898),"")</f>
        <v>0.15184</v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71.152000000000001</v>
      </c>
      <c r="BN324" s="78">
        <f>IFERROR(Y324*I324/H324,"0")</f>
        <v>71.152000000000001</v>
      </c>
      <c r="BO324" s="78">
        <f>IFERROR(1/J324*(X324/H324),"0")</f>
        <v>0.125</v>
      </c>
      <c r="BP324" s="78">
        <f>IFERROR(1/J324*(Y324/H324),"0")</f>
        <v>0.125</v>
      </c>
    </row>
    <row r="325" spans="1:68" x14ac:dyDescent="0.2">
      <c r="A325" s="635"/>
      <c r="B325" s="635"/>
      <c r="C325" s="635"/>
      <c r="D325" s="635"/>
      <c r="E325" s="635"/>
      <c r="F325" s="635"/>
      <c r="G325" s="635"/>
      <c r="H325" s="635"/>
      <c r="I325" s="635"/>
      <c r="J325" s="635"/>
      <c r="K325" s="635"/>
      <c r="L325" s="635"/>
      <c r="M325" s="635"/>
      <c r="N325" s="635"/>
      <c r="O325" s="636"/>
      <c r="P325" s="632" t="s">
        <v>40</v>
      </c>
      <c r="Q325" s="633"/>
      <c r="R325" s="633"/>
      <c r="S325" s="633"/>
      <c r="T325" s="633"/>
      <c r="U325" s="633"/>
      <c r="V325" s="634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635"/>
      <c r="B326" s="635"/>
      <c r="C326" s="635"/>
      <c r="D326" s="635"/>
      <c r="E326" s="635"/>
      <c r="F326" s="635"/>
      <c r="G326" s="635"/>
      <c r="H326" s="635"/>
      <c r="I326" s="635"/>
      <c r="J326" s="635"/>
      <c r="K326" s="635"/>
      <c r="L326" s="635"/>
      <c r="M326" s="635"/>
      <c r="N326" s="635"/>
      <c r="O326" s="636"/>
      <c r="P326" s="632" t="s">
        <v>40</v>
      </c>
      <c r="Q326" s="633"/>
      <c r="R326" s="633"/>
      <c r="S326" s="633"/>
      <c r="T326" s="633"/>
      <c r="U326" s="633"/>
      <c r="V326" s="634"/>
      <c r="W326" s="42" t="s">
        <v>0</v>
      </c>
      <c r="X326" s="43">
        <f>IFERROR(SUM(X322:X324),"0")</f>
        <v>129.6</v>
      </c>
      <c r="Y326" s="43">
        <f>IFERROR(SUM(Y322:Y324),"0")</f>
        <v>129.6</v>
      </c>
      <c r="Z326" s="42"/>
      <c r="AA326" s="67"/>
      <c r="AB326" s="67"/>
      <c r="AC326" s="67"/>
    </row>
    <row r="327" spans="1:68" ht="14.25" hidden="1" customHeight="1" x14ac:dyDescent="0.25">
      <c r="A327" s="626" t="s">
        <v>106</v>
      </c>
      <c r="B327" s="626"/>
      <c r="C327" s="626"/>
      <c r="D327" s="626"/>
      <c r="E327" s="626"/>
      <c r="F327" s="626"/>
      <c r="G327" s="626"/>
      <c r="H327" s="626"/>
      <c r="I327" s="626"/>
      <c r="J327" s="626"/>
      <c r="K327" s="626"/>
      <c r="L327" s="626"/>
      <c r="M327" s="626"/>
      <c r="N327" s="626"/>
      <c r="O327" s="626"/>
      <c r="P327" s="626"/>
      <c r="Q327" s="626"/>
      <c r="R327" s="626"/>
      <c r="S327" s="626"/>
      <c r="T327" s="626"/>
      <c r="U327" s="626"/>
      <c r="V327" s="626"/>
      <c r="W327" s="626"/>
      <c r="X327" s="626"/>
      <c r="Y327" s="626"/>
      <c r="Z327" s="626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627">
        <v>4607091388381</v>
      </c>
      <c r="E328" s="627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627">
        <v>4607091388374</v>
      </c>
      <c r="E329" s="627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9"/>
      <c r="R329" s="629"/>
      <c r="S329" s="629"/>
      <c r="T329" s="63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627">
        <v>4607091383102</v>
      </c>
      <c r="E330" s="627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9"/>
      <c r="R330" s="629"/>
      <c r="S330" s="629"/>
      <c r="T330" s="630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627">
        <v>4607091388404</v>
      </c>
      <c r="E331" s="627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9"/>
      <c r="R331" s="629"/>
      <c r="S331" s="629"/>
      <c r="T331" s="630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635"/>
      <c r="B332" s="635"/>
      <c r="C332" s="635"/>
      <c r="D332" s="635"/>
      <c r="E332" s="635"/>
      <c r="F332" s="635"/>
      <c r="G332" s="635"/>
      <c r="H332" s="635"/>
      <c r="I332" s="635"/>
      <c r="J332" s="635"/>
      <c r="K332" s="635"/>
      <c r="L332" s="635"/>
      <c r="M332" s="635"/>
      <c r="N332" s="635"/>
      <c r="O332" s="636"/>
      <c r="P332" s="632" t="s">
        <v>40</v>
      </c>
      <c r="Q332" s="633"/>
      <c r="R332" s="633"/>
      <c r="S332" s="633"/>
      <c r="T332" s="633"/>
      <c r="U332" s="633"/>
      <c r="V332" s="634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35"/>
      <c r="B333" s="635"/>
      <c r="C333" s="635"/>
      <c r="D333" s="635"/>
      <c r="E333" s="635"/>
      <c r="F333" s="635"/>
      <c r="G333" s="635"/>
      <c r="H333" s="635"/>
      <c r="I333" s="635"/>
      <c r="J333" s="635"/>
      <c r="K333" s="635"/>
      <c r="L333" s="635"/>
      <c r="M333" s="635"/>
      <c r="N333" s="635"/>
      <c r="O333" s="636"/>
      <c r="P333" s="632" t="s">
        <v>40</v>
      </c>
      <c r="Q333" s="633"/>
      <c r="R333" s="633"/>
      <c r="S333" s="633"/>
      <c r="T333" s="633"/>
      <c r="U333" s="633"/>
      <c r="V333" s="634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626" t="s">
        <v>546</v>
      </c>
      <c r="B334" s="626"/>
      <c r="C334" s="626"/>
      <c r="D334" s="626"/>
      <c r="E334" s="626"/>
      <c r="F334" s="626"/>
      <c r="G334" s="626"/>
      <c r="H334" s="626"/>
      <c r="I334" s="626"/>
      <c r="J334" s="626"/>
      <c r="K334" s="626"/>
      <c r="L334" s="626"/>
      <c r="M334" s="626"/>
      <c r="N334" s="626"/>
      <c r="O334" s="626"/>
      <c r="P334" s="626"/>
      <c r="Q334" s="626"/>
      <c r="R334" s="626"/>
      <c r="S334" s="626"/>
      <c r="T334" s="626"/>
      <c r="U334" s="626"/>
      <c r="V334" s="626"/>
      <c r="W334" s="626"/>
      <c r="X334" s="626"/>
      <c r="Y334" s="626"/>
      <c r="Z334" s="626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627">
        <v>4680115881808</v>
      </c>
      <c r="E335" s="627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9"/>
      <c r="R335" s="629"/>
      <c r="S335" s="629"/>
      <c r="T335" s="630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627">
        <v>4680115881822</v>
      </c>
      <c r="E336" s="627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9"/>
      <c r="R336" s="629"/>
      <c r="S336" s="629"/>
      <c r="T336" s="630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627">
        <v>4680115880016</v>
      </c>
      <c r="E337" s="627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9"/>
      <c r="R337" s="629"/>
      <c r="S337" s="629"/>
      <c r="T337" s="630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35"/>
      <c r="B338" s="635"/>
      <c r="C338" s="635"/>
      <c r="D338" s="635"/>
      <c r="E338" s="635"/>
      <c r="F338" s="635"/>
      <c r="G338" s="635"/>
      <c r="H338" s="635"/>
      <c r="I338" s="635"/>
      <c r="J338" s="635"/>
      <c r="K338" s="635"/>
      <c r="L338" s="635"/>
      <c r="M338" s="635"/>
      <c r="N338" s="635"/>
      <c r="O338" s="636"/>
      <c r="P338" s="632" t="s">
        <v>40</v>
      </c>
      <c r="Q338" s="633"/>
      <c r="R338" s="633"/>
      <c r="S338" s="633"/>
      <c r="T338" s="633"/>
      <c r="U338" s="633"/>
      <c r="V338" s="63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35"/>
      <c r="B339" s="635"/>
      <c r="C339" s="635"/>
      <c r="D339" s="635"/>
      <c r="E339" s="635"/>
      <c r="F339" s="635"/>
      <c r="G339" s="635"/>
      <c r="H339" s="635"/>
      <c r="I339" s="635"/>
      <c r="J339" s="635"/>
      <c r="K339" s="635"/>
      <c r="L339" s="635"/>
      <c r="M339" s="635"/>
      <c r="N339" s="635"/>
      <c r="O339" s="636"/>
      <c r="P339" s="632" t="s">
        <v>40</v>
      </c>
      <c r="Q339" s="633"/>
      <c r="R339" s="633"/>
      <c r="S339" s="633"/>
      <c r="T339" s="633"/>
      <c r="U339" s="633"/>
      <c r="V339" s="63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25" t="s">
        <v>555</v>
      </c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625"/>
      <c r="Y340" s="625"/>
      <c r="Z340" s="625"/>
      <c r="AA340" s="65"/>
      <c r="AB340" s="65"/>
      <c r="AC340" s="79"/>
    </row>
    <row r="341" spans="1:68" ht="14.25" hidden="1" customHeight="1" x14ac:dyDescent="0.25">
      <c r="A341" s="626" t="s">
        <v>86</v>
      </c>
      <c r="B341" s="626"/>
      <c r="C341" s="626"/>
      <c r="D341" s="626"/>
      <c r="E341" s="626"/>
      <c r="F341" s="626"/>
      <c r="G341" s="626"/>
      <c r="H341" s="626"/>
      <c r="I341" s="626"/>
      <c r="J341" s="626"/>
      <c r="K341" s="626"/>
      <c r="L341" s="626"/>
      <c r="M341" s="626"/>
      <c r="N341" s="626"/>
      <c r="O341" s="626"/>
      <c r="P341" s="626"/>
      <c r="Q341" s="626"/>
      <c r="R341" s="626"/>
      <c r="S341" s="626"/>
      <c r="T341" s="626"/>
      <c r="U341" s="626"/>
      <c r="V341" s="626"/>
      <c r="W341" s="626"/>
      <c r="X341" s="626"/>
      <c r="Y341" s="626"/>
      <c r="Z341" s="626"/>
      <c r="AA341" s="66"/>
      <c r="AB341" s="66"/>
      <c r="AC341" s="80"/>
    </row>
    <row r="342" spans="1:68" ht="27" hidden="1" customHeight="1" x14ac:dyDescent="0.25">
      <c r="A342" s="63" t="s">
        <v>556</v>
      </c>
      <c r="B342" s="63" t="s">
        <v>557</v>
      </c>
      <c r="C342" s="36">
        <v>4301051489</v>
      </c>
      <c r="D342" s="627">
        <v>4607091387919</v>
      </c>
      <c r="E342" s="627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80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9"/>
      <c r="R342" s="629"/>
      <c r="S342" s="629"/>
      <c r="T342" s="630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627">
        <v>4680115883604</v>
      </c>
      <c r="E343" s="627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8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9"/>
      <c r="R343" s="629"/>
      <c r="S343" s="629"/>
      <c r="T343" s="630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627">
        <v>4680115883567</v>
      </c>
      <c r="E344" s="627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9"/>
      <c r="R344" s="629"/>
      <c r="S344" s="629"/>
      <c r="T344" s="630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35"/>
      <c r="B345" s="635"/>
      <c r="C345" s="635"/>
      <c r="D345" s="635"/>
      <c r="E345" s="635"/>
      <c r="F345" s="635"/>
      <c r="G345" s="635"/>
      <c r="H345" s="635"/>
      <c r="I345" s="635"/>
      <c r="J345" s="635"/>
      <c r="K345" s="635"/>
      <c r="L345" s="635"/>
      <c r="M345" s="635"/>
      <c r="N345" s="635"/>
      <c r="O345" s="636"/>
      <c r="P345" s="632" t="s">
        <v>40</v>
      </c>
      <c r="Q345" s="633"/>
      <c r="R345" s="633"/>
      <c r="S345" s="633"/>
      <c r="T345" s="633"/>
      <c r="U345" s="633"/>
      <c r="V345" s="634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35"/>
      <c r="B346" s="635"/>
      <c r="C346" s="635"/>
      <c r="D346" s="635"/>
      <c r="E346" s="635"/>
      <c r="F346" s="635"/>
      <c r="G346" s="635"/>
      <c r="H346" s="635"/>
      <c r="I346" s="635"/>
      <c r="J346" s="635"/>
      <c r="K346" s="635"/>
      <c r="L346" s="635"/>
      <c r="M346" s="635"/>
      <c r="N346" s="635"/>
      <c r="O346" s="636"/>
      <c r="P346" s="632" t="s">
        <v>40</v>
      </c>
      <c r="Q346" s="633"/>
      <c r="R346" s="633"/>
      <c r="S346" s="633"/>
      <c r="T346" s="633"/>
      <c r="U346" s="633"/>
      <c r="V346" s="634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624" t="s">
        <v>565</v>
      </c>
      <c r="B347" s="624"/>
      <c r="C347" s="624"/>
      <c r="D347" s="624"/>
      <c r="E347" s="624"/>
      <c r="F347" s="624"/>
      <c r="G347" s="624"/>
      <c r="H347" s="624"/>
      <c r="I347" s="624"/>
      <c r="J347" s="624"/>
      <c r="K347" s="624"/>
      <c r="L347" s="624"/>
      <c r="M347" s="624"/>
      <c r="N347" s="624"/>
      <c r="O347" s="624"/>
      <c r="P347" s="624"/>
      <c r="Q347" s="624"/>
      <c r="R347" s="624"/>
      <c r="S347" s="624"/>
      <c r="T347" s="624"/>
      <c r="U347" s="624"/>
      <c r="V347" s="624"/>
      <c r="W347" s="624"/>
      <c r="X347" s="624"/>
      <c r="Y347" s="624"/>
      <c r="Z347" s="624"/>
      <c r="AA347" s="54"/>
      <c r="AB347" s="54"/>
      <c r="AC347" s="54"/>
    </row>
    <row r="348" spans="1:68" ht="16.5" hidden="1" customHeight="1" x14ac:dyDescent="0.25">
      <c r="A348" s="625" t="s">
        <v>566</v>
      </c>
      <c r="B348" s="625"/>
      <c r="C348" s="625"/>
      <c r="D348" s="625"/>
      <c r="E348" s="625"/>
      <c r="F348" s="625"/>
      <c r="G348" s="625"/>
      <c r="H348" s="625"/>
      <c r="I348" s="625"/>
      <c r="J348" s="625"/>
      <c r="K348" s="625"/>
      <c r="L348" s="625"/>
      <c r="M348" s="625"/>
      <c r="N348" s="625"/>
      <c r="O348" s="625"/>
      <c r="P348" s="625"/>
      <c r="Q348" s="625"/>
      <c r="R348" s="625"/>
      <c r="S348" s="625"/>
      <c r="T348" s="625"/>
      <c r="U348" s="625"/>
      <c r="V348" s="625"/>
      <c r="W348" s="625"/>
      <c r="X348" s="625"/>
      <c r="Y348" s="625"/>
      <c r="Z348" s="625"/>
      <c r="AA348" s="65"/>
      <c r="AB348" s="65"/>
      <c r="AC348" s="79"/>
    </row>
    <row r="349" spans="1:68" ht="14.25" hidden="1" customHeight="1" x14ac:dyDescent="0.25">
      <c r="A349" s="626" t="s">
        <v>114</v>
      </c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6"/>
      <c r="P349" s="626"/>
      <c r="Q349" s="626"/>
      <c r="R349" s="626"/>
      <c r="S349" s="626"/>
      <c r="T349" s="626"/>
      <c r="U349" s="626"/>
      <c r="V349" s="626"/>
      <c r="W349" s="626"/>
      <c r="X349" s="626"/>
      <c r="Y349" s="626"/>
      <c r="Z349" s="626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7">
        <v>4680115884847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627">
        <v>4680115884854</v>
      </c>
      <c r="E351" s="627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7">
        <v>4680115884830</v>
      </c>
      <c r="E352" s="627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627">
        <v>4680115887046</v>
      </c>
      <c r="E353" s="627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627">
        <v>4680115882638</v>
      </c>
      <c r="E354" s="627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9"/>
      <c r="R354" s="629"/>
      <c r="S354" s="629"/>
      <c r="T354" s="630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627">
        <v>4680115884922</v>
      </c>
      <c r="E355" s="627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9"/>
      <c r="R355" s="629"/>
      <c r="S355" s="629"/>
      <c r="T355" s="630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627">
        <v>4680115884861</v>
      </c>
      <c r="E356" s="627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9"/>
      <c r="R356" s="629"/>
      <c r="S356" s="629"/>
      <c r="T356" s="630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5"/>
      <c r="B357" s="635"/>
      <c r="C357" s="635"/>
      <c r="D357" s="635"/>
      <c r="E357" s="635"/>
      <c r="F357" s="635"/>
      <c r="G357" s="635"/>
      <c r="H357" s="635"/>
      <c r="I357" s="635"/>
      <c r="J357" s="635"/>
      <c r="K357" s="635"/>
      <c r="L357" s="635"/>
      <c r="M357" s="635"/>
      <c r="N357" s="635"/>
      <c r="O357" s="636"/>
      <c r="P357" s="632" t="s">
        <v>40</v>
      </c>
      <c r="Q357" s="633"/>
      <c r="R357" s="633"/>
      <c r="S357" s="633"/>
      <c r="T357" s="633"/>
      <c r="U357" s="633"/>
      <c r="V357" s="634"/>
      <c r="W357" s="42" t="s">
        <v>39</v>
      </c>
      <c r="X357" s="43">
        <f>IFERROR(X350/H350,"0")+IFERROR(X351/H351,"0")+IFERROR(X352/H352,"0")+IFERROR(X353/H353,"0")+IFERROR(X354/H354,"0")+IFERROR(X355/H355,"0")+IFERROR(X356/H356,"0")</f>
        <v>16</v>
      </c>
      <c r="Y357" s="43">
        <f>IFERROR(Y350/H350,"0")+IFERROR(Y351/H351,"0")+IFERROR(Y352/H352,"0")+IFERROR(Y353/H353,"0")+IFERROR(Y354/H354,"0")+IFERROR(Y355/H355,"0")+IFERROR(Y356/H356,"0")</f>
        <v>16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67"/>
      <c r="AB357" s="67"/>
      <c r="AC357" s="67"/>
    </row>
    <row r="358" spans="1:68" x14ac:dyDescent="0.2">
      <c r="A358" s="635"/>
      <c r="B358" s="635"/>
      <c r="C358" s="635"/>
      <c r="D358" s="635"/>
      <c r="E358" s="635"/>
      <c r="F358" s="635"/>
      <c r="G358" s="635"/>
      <c r="H358" s="635"/>
      <c r="I358" s="635"/>
      <c r="J358" s="635"/>
      <c r="K358" s="635"/>
      <c r="L358" s="635"/>
      <c r="M358" s="635"/>
      <c r="N358" s="635"/>
      <c r="O358" s="636"/>
      <c r="P358" s="632" t="s">
        <v>40</v>
      </c>
      <c r="Q358" s="633"/>
      <c r="R358" s="633"/>
      <c r="S358" s="633"/>
      <c r="T358" s="633"/>
      <c r="U358" s="633"/>
      <c r="V358" s="634"/>
      <c r="W358" s="42" t="s">
        <v>0</v>
      </c>
      <c r="X358" s="43">
        <f>IFERROR(SUM(X350:X356),"0")</f>
        <v>240</v>
      </c>
      <c r="Y358" s="43">
        <f>IFERROR(SUM(Y350:Y356),"0")</f>
        <v>240</v>
      </c>
      <c r="Z358" s="42"/>
      <c r="AA358" s="67"/>
      <c r="AB358" s="67"/>
      <c r="AC358" s="67"/>
    </row>
    <row r="359" spans="1:68" ht="14.25" hidden="1" customHeight="1" x14ac:dyDescent="0.25">
      <c r="A359" s="626" t="s">
        <v>147</v>
      </c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6"/>
      <c r="P359" s="626"/>
      <c r="Q359" s="626"/>
      <c r="R359" s="626"/>
      <c r="S359" s="626"/>
      <c r="T359" s="626"/>
      <c r="U359" s="626"/>
      <c r="V359" s="626"/>
      <c r="W359" s="626"/>
      <c r="X359" s="626"/>
      <c r="Y359" s="626"/>
      <c r="Z359" s="626"/>
      <c r="AA359" s="66"/>
      <c r="AB359" s="66"/>
      <c r="AC359" s="80"/>
    </row>
    <row r="360" spans="1:68" ht="27" hidden="1" customHeight="1" x14ac:dyDescent="0.25">
      <c r="A360" s="63" t="s">
        <v>587</v>
      </c>
      <c r="B360" s="63" t="s">
        <v>588</v>
      </c>
      <c r="C360" s="36">
        <v>4301020178</v>
      </c>
      <c r="D360" s="627">
        <v>4607091383980</v>
      </c>
      <c r="E360" s="627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9"/>
      <c r="R360" s="629"/>
      <c r="S360" s="629"/>
      <c r="T360" s="630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627">
        <v>4607091384178</v>
      </c>
      <c r="E361" s="627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9"/>
      <c r="R361" s="629"/>
      <c r="S361" s="629"/>
      <c r="T361" s="630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35"/>
      <c r="B362" s="635"/>
      <c r="C362" s="635"/>
      <c r="D362" s="635"/>
      <c r="E362" s="635"/>
      <c r="F362" s="635"/>
      <c r="G362" s="635"/>
      <c r="H362" s="635"/>
      <c r="I362" s="635"/>
      <c r="J362" s="635"/>
      <c r="K362" s="635"/>
      <c r="L362" s="635"/>
      <c r="M362" s="635"/>
      <c r="N362" s="635"/>
      <c r="O362" s="636"/>
      <c r="P362" s="632" t="s">
        <v>40</v>
      </c>
      <c r="Q362" s="633"/>
      <c r="R362" s="633"/>
      <c r="S362" s="633"/>
      <c r="T362" s="633"/>
      <c r="U362" s="633"/>
      <c r="V362" s="634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635"/>
      <c r="B363" s="635"/>
      <c r="C363" s="635"/>
      <c r="D363" s="635"/>
      <c r="E363" s="635"/>
      <c r="F363" s="635"/>
      <c r="G363" s="635"/>
      <c r="H363" s="635"/>
      <c r="I363" s="635"/>
      <c r="J363" s="635"/>
      <c r="K363" s="635"/>
      <c r="L363" s="635"/>
      <c r="M363" s="635"/>
      <c r="N363" s="635"/>
      <c r="O363" s="636"/>
      <c r="P363" s="632" t="s">
        <v>40</v>
      </c>
      <c r="Q363" s="633"/>
      <c r="R363" s="633"/>
      <c r="S363" s="633"/>
      <c r="T363" s="633"/>
      <c r="U363" s="633"/>
      <c r="V363" s="634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626" t="s">
        <v>86</v>
      </c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6"/>
      <c r="P364" s="626"/>
      <c r="Q364" s="626"/>
      <c r="R364" s="626"/>
      <c r="S364" s="626"/>
      <c r="T364" s="626"/>
      <c r="U364" s="626"/>
      <c r="V364" s="626"/>
      <c r="W364" s="626"/>
      <c r="X364" s="626"/>
      <c r="Y364" s="626"/>
      <c r="Z364" s="626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627">
        <v>4607091383928</v>
      </c>
      <c r="E365" s="627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9"/>
      <c r="R365" s="629"/>
      <c r="S365" s="629"/>
      <c r="T365" s="630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627">
        <v>4607091384260</v>
      </c>
      <c r="E366" s="627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9"/>
      <c r="R366" s="629"/>
      <c r="S366" s="629"/>
      <c r="T366" s="630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35"/>
      <c r="B367" s="635"/>
      <c r="C367" s="635"/>
      <c r="D367" s="635"/>
      <c r="E367" s="635"/>
      <c r="F367" s="635"/>
      <c r="G367" s="635"/>
      <c r="H367" s="635"/>
      <c r="I367" s="635"/>
      <c r="J367" s="635"/>
      <c r="K367" s="635"/>
      <c r="L367" s="635"/>
      <c r="M367" s="635"/>
      <c r="N367" s="635"/>
      <c r="O367" s="636"/>
      <c r="P367" s="632" t="s">
        <v>40</v>
      </c>
      <c r="Q367" s="633"/>
      <c r="R367" s="633"/>
      <c r="S367" s="633"/>
      <c r="T367" s="633"/>
      <c r="U367" s="633"/>
      <c r="V367" s="634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635"/>
      <c r="B368" s="635"/>
      <c r="C368" s="635"/>
      <c r="D368" s="635"/>
      <c r="E368" s="635"/>
      <c r="F368" s="635"/>
      <c r="G368" s="635"/>
      <c r="H368" s="635"/>
      <c r="I368" s="635"/>
      <c r="J368" s="635"/>
      <c r="K368" s="635"/>
      <c r="L368" s="635"/>
      <c r="M368" s="635"/>
      <c r="N368" s="635"/>
      <c r="O368" s="636"/>
      <c r="P368" s="632" t="s">
        <v>40</v>
      </c>
      <c r="Q368" s="633"/>
      <c r="R368" s="633"/>
      <c r="S368" s="633"/>
      <c r="T368" s="633"/>
      <c r="U368" s="633"/>
      <c r="V368" s="634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26" t="s">
        <v>173</v>
      </c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6"/>
      <c r="P369" s="626"/>
      <c r="Q369" s="626"/>
      <c r="R369" s="626"/>
      <c r="S369" s="626"/>
      <c r="T369" s="626"/>
      <c r="U369" s="626"/>
      <c r="V369" s="626"/>
      <c r="W369" s="626"/>
      <c r="X369" s="626"/>
      <c r="Y369" s="626"/>
      <c r="Z369" s="626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627">
        <v>4607091384673</v>
      </c>
      <c r="E370" s="627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9"/>
      <c r="R370" s="629"/>
      <c r="S370" s="629"/>
      <c r="T370" s="630"/>
      <c r="U370" s="39" t="s">
        <v>45</v>
      </c>
      <c r="V370" s="39" t="s">
        <v>45</v>
      </c>
      <c r="W370" s="40" t="s">
        <v>0</v>
      </c>
      <c r="X370" s="58">
        <v>72</v>
      </c>
      <c r="Y370" s="55">
        <f>IFERROR(IF(X370="",0,CEILING((X370/$H370),1)*$H370),"")</f>
        <v>72</v>
      </c>
      <c r="Z370" s="41">
        <f>IFERROR(IF(Y370=0,"",ROUNDUP(Y370/H370,0)*0.01898),"")</f>
        <v>0.15184</v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75.951999999999998</v>
      </c>
      <c r="BN370" s="78">
        <f>IFERROR(Y370*I370/H370,"0")</f>
        <v>75.951999999999998</v>
      </c>
      <c r="BO370" s="78">
        <f>IFERROR(1/J370*(X370/H370),"0")</f>
        <v>0.125</v>
      </c>
      <c r="BP370" s="78">
        <f>IFERROR(1/J370*(Y370/H370),"0")</f>
        <v>0.125</v>
      </c>
    </row>
    <row r="371" spans="1:68" x14ac:dyDescent="0.2">
      <c r="A371" s="635"/>
      <c r="B371" s="635"/>
      <c r="C371" s="635"/>
      <c r="D371" s="635"/>
      <c r="E371" s="635"/>
      <c r="F371" s="635"/>
      <c r="G371" s="635"/>
      <c r="H371" s="635"/>
      <c r="I371" s="635"/>
      <c r="J371" s="635"/>
      <c r="K371" s="635"/>
      <c r="L371" s="635"/>
      <c r="M371" s="635"/>
      <c r="N371" s="635"/>
      <c r="O371" s="636"/>
      <c r="P371" s="632" t="s">
        <v>40</v>
      </c>
      <c r="Q371" s="633"/>
      <c r="R371" s="633"/>
      <c r="S371" s="633"/>
      <c r="T371" s="633"/>
      <c r="U371" s="633"/>
      <c r="V371" s="634"/>
      <c r="W371" s="42" t="s">
        <v>39</v>
      </c>
      <c r="X371" s="43">
        <f>IFERROR(X370/H370,"0")</f>
        <v>8</v>
      </c>
      <c r="Y371" s="43">
        <f>IFERROR(Y370/H370,"0")</f>
        <v>8</v>
      </c>
      <c r="Z371" s="43">
        <f>IFERROR(IF(Z370="",0,Z370),"0")</f>
        <v>0.15184</v>
      </c>
      <c r="AA371" s="67"/>
      <c r="AB371" s="67"/>
      <c r="AC371" s="67"/>
    </row>
    <row r="372" spans="1:68" x14ac:dyDescent="0.2">
      <c r="A372" s="635"/>
      <c r="B372" s="635"/>
      <c r="C372" s="635"/>
      <c r="D372" s="635"/>
      <c r="E372" s="635"/>
      <c r="F372" s="635"/>
      <c r="G372" s="635"/>
      <c r="H372" s="635"/>
      <c r="I372" s="635"/>
      <c r="J372" s="635"/>
      <c r="K372" s="635"/>
      <c r="L372" s="635"/>
      <c r="M372" s="635"/>
      <c r="N372" s="635"/>
      <c r="O372" s="636"/>
      <c r="P372" s="632" t="s">
        <v>40</v>
      </c>
      <c r="Q372" s="633"/>
      <c r="R372" s="633"/>
      <c r="S372" s="633"/>
      <c r="T372" s="633"/>
      <c r="U372" s="633"/>
      <c r="V372" s="634"/>
      <c r="W372" s="42" t="s">
        <v>0</v>
      </c>
      <c r="X372" s="43">
        <f>IFERROR(SUM(X370:X370),"0")</f>
        <v>72</v>
      </c>
      <c r="Y372" s="43">
        <f>IFERROR(SUM(Y370:Y370),"0")</f>
        <v>72</v>
      </c>
      <c r="Z372" s="42"/>
      <c r="AA372" s="67"/>
      <c r="AB372" s="67"/>
      <c r="AC372" s="67"/>
    </row>
    <row r="373" spans="1:68" ht="16.5" hidden="1" customHeight="1" x14ac:dyDescent="0.25">
      <c r="A373" s="625" t="s">
        <v>602</v>
      </c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625"/>
      <c r="Y373" s="625"/>
      <c r="Z373" s="625"/>
      <c r="AA373" s="65"/>
      <c r="AB373" s="65"/>
      <c r="AC373" s="79"/>
    </row>
    <row r="374" spans="1:68" ht="14.25" hidden="1" customHeight="1" x14ac:dyDescent="0.25">
      <c r="A374" s="626" t="s">
        <v>114</v>
      </c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6"/>
      <c r="P374" s="626"/>
      <c r="Q374" s="626"/>
      <c r="R374" s="626"/>
      <c r="S374" s="626"/>
      <c r="T374" s="626"/>
      <c r="U374" s="626"/>
      <c r="V374" s="626"/>
      <c r="W374" s="626"/>
      <c r="X374" s="626"/>
      <c r="Y374" s="626"/>
      <c r="Z374" s="626"/>
      <c r="AA374" s="66"/>
      <c r="AB374" s="66"/>
      <c r="AC374" s="80"/>
    </row>
    <row r="375" spans="1:68" ht="37.5" hidden="1" customHeight="1" x14ac:dyDescent="0.25">
      <c r="A375" s="63" t="s">
        <v>603</v>
      </c>
      <c r="B375" s="63" t="s">
        <v>604</v>
      </c>
      <c r="C375" s="36">
        <v>4301011875</v>
      </c>
      <c r="D375" s="627">
        <v>4680115884885</v>
      </c>
      <c r="E375" s="627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9"/>
      <c r="R375" s="629"/>
      <c r="S375" s="629"/>
      <c r="T375" s="630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627">
        <v>4680115884908</v>
      </c>
      <c r="E376" s="627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9"/>
      <c r="R376" s="629"/>
      <c r="S376" s="629"/>
      <c r="T376" s="630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5"/>
      <c r="B377" s="635"/>
      <c r="C377" s="635"/>
      <c r="D377" s="635"/>
      <c r="E377" s="635"/>
      <c r="F377" s="635"/>
      <c r="G377" s="635"/>
      <c r="H377" s="635"/>
      <c r="I377" s="635"/>
      <c r="J377" s="635"/>
      <c r="K377" s="635"/>
      <c r="L377" s="635"/>
      <c r="M377" s="635"/>
      <c r="N377" s="635"/>
      <c r="O377" s="636"/>
      <c r="P377" s="632" t="s">
        <v>40</v>
      </c>
      <c r="Q377" s="633"/>
      <c r="R377" s="633"/>
      <c r="S377" s="633"/>
      <c r="T377" s="633"/>
      <c r="U377" s="633"/>
      <c r="V377" s="634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635"/>
      <c r="B378" s="635"/>
      <c r="C378" s="635"/>
      <c r="D378" s="635"/>
      <c r="E378" s="635"/>
      <c r="F378" s="635"/>
      <c r="G378" s="635"/>
      <c r="H378" s="635"/>
      <c r="I378" s="635"/>
      <c r="J378" s="635"/>
      <c r="K378" s="635"/>
      <c r="L378" s="635"/>
      <c r="M378" s="635"/>
      <c r="N378" s="635"/>
      <c r="O378" s="636"/>
      <c r="P378" s="632" t="s">
        <v>40</v>
      </c>
      <c r="Q378" s="633"/>
      <c r="R378" s="633"/>
      <c r="S378" s="633"/>
      <c r="T378" s="633"/>
      <c r="U378" s="633"/>
      <c r="V378" s="634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26" t="s">
        <v>76</v>
      </c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6"/>
      <c r="P379" s="626"/>
      <c r="Q379" s="626"/>
      <c r="R379" s="626"/>
      <c r="S379" s="626"/>
      <c r="T379" s="626"/>
      <c r="U379" s="626"/>
      <c r="V379" s="626"/>
      <c r="W379" s="626"/>
      <c r="X379" s="626"/>
      <c r="Y379" s="626"/>
      <c r="Z379" s="626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627">
        <v>4607091384802</v>
      </c>
      <c r="E380" s="627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9"/>
      <c r="R380" s="629"/>
      <c r="S380" s="629"/>
      <c r="T380" s="630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5"/>
      <c r="M381" s="635"/>
      <c r="N381" s="635"/>
      <c r="O381" s="636"/>
      <c r="P381" s="632" t="s">
        <v>40</v>
      </c>
      <c r="Q381" s="633"/>
      <c r="R381" s="633"/>
      <c r="S381" s="633"/>
      <c r="T381" s="633"/>
      <c r="U381" s="633"/>
      <c r="V381" s="634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635"/>
      <c r="B382" s="635"/>
      <c r="C382" s="635"/>
      <c r="D382" s="635"/>
      <c r="E382" s="635"/>
      <c r="F382" s="635"/>
      <c r="G382" s="635"/>
      <c r="H382" s="635"/>
      <c r="I382" s="635"/>
      <c r="J382" s="635"/>
      <c r="K382" s="635"/>
      <c r="L382" s="635"/>
      <c r="M382" s="635"/>
      <c r="N382" s="635"/>
      <c r="O382" s="636"/>
      <c r="P382" s="632" t="s">
        <v>40</v>
      </c>
      <c r="Q382" s="633"/>
      <c r="R382" s="633"/>
      <c r="S382" s="633"/>
      <c r="T382" s="633"/>
      <c r="U382" s="633"/>
      <c r="V382" s="634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26" t="s">
        <v>86</v>
      </c>
      <c r="B383" s="626"/>
      <c r="C383" s="626"/>
      <c r="D383" s="626"/>
      <c r="E383" s="626"/>
      <c r="F383" s="626"/>
      <c r="G383" s="626"/>
      <c r="H383" s="626"/>
      <c r="I383" s="626"/>
      <c r="J383" s="626"/>
      <c r="K383" s="626"/>
      <c r="L383" s="626"/>
      <c r="M383" s="626"/>
      <c r="N383" s="626"/>
      <c r="O383" s="626"/>
      <c r="P383" s="626"/>
      <c r="Q383" s="626"/>
      <c r="R383" s="626"/>
      <c r="S383" s="626"/>
      <c r="T383" s="626"/>
      <c r="U383" s="626"/>
      <c r="V383" s="626"/>
      <c r="W383" s="626"/>
      <c r="X383" s="626"/>
      <c r="Y383" s="626"/>
      <c r="Z383" s="626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7">
        <v>4607091384246</v>
      </c>
      <c r="E384" s="627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7">
        <v>4607091384253</v>
      </c>
      <c r="E385" s="627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9"/>
      <c r="R385" s="629"/>
      <c r="S385" s="629"/>
      <c r="T385" s="630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627">
        <v>4607091384253</v>
      </c>
      <c r="E386" s="627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9"/>
      <c r="R386" s="629"/>
      <c r="S386" s="629"/>
      <c r="T386" s="630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6"/>
      <c r="P387" s="632" t="s">
        <v>40</v>
      </c>
      <c r="Q387" s="633"/>
      <c r="R387" s="633"/>
      <c r="S387" s="633"/>
      <c r="T387" s="633"/>
      <c r="U387" s="633"/>
      <c r="V387" s="634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635"/>
      <c r="B388" s="635"/>
      <c r="C388" s="635"/>
      <c r="D388" s="635"/>
      <c r="E388" s="635"/>
      <c r="F388" s="635"/>
      <c r="G388" s="635"/>
      <c r="H388" s="635"/>
      <c r="I388" s="635"/>
      <c r="J388" s="635"/>
      <c r="K388" s="635"/>
      <c r="L388" s="635"/>
      <c r="M388" s="635"/>
      <c r="N388" s="635"/>
      <c r="O388" s="636"/>
      <c r="P388" s="632" t="s">
        <v>40</v>
      </c>
      <c r="Q388" s="633"/>
      <c r="R388" s="633"/>
      <c r="S388" s="633"/>
      <c r="T388" s="633"/>
      <c r="U388" s="633"/>
      <c r="V388" s="634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hidden="1" customHeight="1" x14ac:dyDescent="0.2">
      <c r="A389" s="624" t="s">
        <v>618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54"/>
      <c r="AB389" s="54"/>
      <c r="AC389" s="54"/>
    </row>
    <row r="390" spans="1:68" ht="16.5" hidden="1" customHeight="1" x14ac:dyDescent="0.25">
      <c r="A390" s="625" t="s">
        <v>619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5"/>
      <c r="AB390" s="65"/>
      <c r="AC390" s="79"/>
    </row>
    <row r="391" spans="1:68" ht="14.25" hidden="1" customHeight="1" x14ac:dyDescent="0.25">
      <c r="A391" s="626" t="s">
        <v>76</v>
      </c>
      <c r="B391" s="626"/>
      <c r="C391" s="626"/>
      <c r="D391" s="626"/>
      <c r="E391" s="626"/>
      <c r="F391" s="626"/>
      <c r="G391" s="626"/>
      <c r="H391" s="626"/>
      <c r="I391" s="626"/>
      <c r="J391" s="626"/>
      <c r="K391" s="626"/>
      <c r="L391" s="626"/>
      <c r="M391" s="626"/>
      <c r="N391" s="626"/>
      <c r="O391" s="626"/>
      <c r="P391" s="626"/>
      <c r="Q391" s="626"/>
      <c r="R391" s="626"/>
      <c r="S391" s="626"/>
      <c r="T391" s="626"/>
      <c r="U391" s="626"/>
      <c r="V391" s="626"/>
      <c r="W391" s="626"/>
      <c r="X391" s="626"/>
      <c r="Y391" s="626"/>
      <c r="Z391" s="626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627">
        <v>4680115886100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627">
        <v>4680115886117</v>
      </c>
      <c r="E393" s="627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627">
        <v>4680115886124</v>
      </c>
      <c r="E394" s="627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627">
        <v>4680115883147</v>
      </c>
      <c r="E395" s="627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627">
        <v>4607091384338</v>
      </c>
      <c r="E396" s="627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627">
        <v>4607091389524</v>
      </c>
      <c r="E397" s="627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627">
        <v>4680115883161</v>
      </c>
      <c r="E398" s="627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627">
        <v>4607091389531</v>
      </c>
      <c r="E399" s="62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9"/>
      <c r="R399" s="629"/>
      <c r="S399" s="629"/>
      <c r="T399" s="630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627">
        <v>4607091384345</v>
      </c>
      <c r="E400" s="627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9"/>
      <c r="R400" s="629"/>
      <c r="S400" s="629"/>
      <c r="T400" s="630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5"/>
      <c r="B402" s="635"/>
      <c r="C402" s="635"/>
      <c r="D402" s="635"/>
      <c r="E402" s="635"/>
      <c r="F402" s="635"/>
      <c r="G402" s="635"/>
      <c r="H402" s="635"/>
      <c r="I402" s="635"/>
      <c r="J402" s="635"/>
      <c r="K402" s="635"/>
      <c r="L402" s="635"/>
      <c r="M402" s="635"/>
      <c r="N402" s="635"/>
      <c r="O402" s="636"/>
      <c r="P402" s="632" t="s">
        <v>40</v>
      </c>
      <c r="Q402" s="633"/>
      <c r="R402" s="633"/>
      <c r="S402" s="633"/>
      <c r="T402" s="633"/>
      <c r="U402" s="633"/>
      <c r="V402" s="634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26" t="s">
        <v>86</v>
      </c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6"/>
      <c r="P403" s="626"/>
      <c r="Q403" s="626"/>
      <c r="R403" s="626"/>
      <c r="S403" s="626"/>
      <c r="T403" s="626"/>
      <c r="U403" s="626"/>
      <c r="V403" s="626"/>
      <c r="W403" s="626"/>
      <c r="X403" s="626"/>
      <c r="Y403" s="626"/>
      <c r="Z403" s="626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627">
        <v>4607091384352</v>
      </c>
      <c r="E404" s="627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3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9"/>
      <c r="R404" s="629"/>
      <c r="S404" s="629"/>
      <c r="T404" s="63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627">
        <v>4607091389654</v>
      </c>
      <c r="E405" s="627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9"/>
      <c r="R405" s="629"/>
      <c r="S405" s="629"/>
      <c r="T405" s="630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6"/>
      <c r="P406" s="632" t="s">
        <v>40</v>
      </c>
      <c r="Q406" s="633"/>
      <c r="R406" s="633"/>
      <c r="S406" s="633"/>
      <c r="T406" s="633"/>
      <c r="U406" s="633"/>
      <c r="V406" s="634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635"/>
      <c r="B407" s="635"/>
      <c r="C407" s="635"/>
      <c r="D407" s="635"/>
      <c r="E407" s="635"/>
      <c r="F407" s="635"/>
      <c r="G407" s="635"/>
      <c r="H407" s="635"/>
      <c r="I407" s="635"/>
      <c r="J407" s="635"/>
      <c r="K407" s="635"/>
      <c r="L407" s="635"/>
      <c r="M407" s="635"/>
      <c r="N407" s="635"/>
      <c r="O407" s="636"/>
      <c r="P407" s="632" t="s">
        <v>40</v>
      </c>
      <c r="Q407" s="633"/>
      <c r="R407" s="633"/>
      <c r="S407" s="633"/>
      <c r="T407" s="633"/>
      <c r="U407" s="633"/>
      <c r="V407" s="634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625" t="s">
        <v>650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5"/>
      <c r="AB408" s="65"/>
      <c r="AC408" s="79"/>
    </row>
    <row r="409" spans="1:68" ht="14.25" hidden="1" customHeight="1" x14ac:dyDescent="0.25">
      <c r="A409" s="626" t="s">
        <v>147</v>
      </c>
      <c r="B409" s="626"/>
      <c r="C409" s="626"/>
      <c r="D409" s="626"/>
      <c r="E409" s="626"/>
      <c r="F409" s="626"/>
      <c r="G409" s="626"/>
      <c r="H409" s="626"/>
      <c r="I409" s="626"/>
      <c r="J409" s="626"/>
      <c r="K409" s="626"/>
      <c r="L409" s="626"/>
      <c r="M409" s="626"/>
      <c r="N409" s="626"/>
      <c r="O409" s="626"/>
      <c r="P409" s="626"/>
      <c r="Q409" s="626"/>
      <c r="R409" s="626"/>
      <c r="S409" s="626"/>
      <c r="T409" s="626"/>
      <c r="U409" s="626"/>
      <c r="V409" s="626"/>
      <c r="W409" s="626"/>
      <c r="X409" s="626"/>
      <c r="Y409" s="626"/>
      <c r="Z409" s="626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627">
        <v>4680115885240</v>
      </c>
      <c r="E410" s="627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9"/>
      <c r="R410" s="629"/>
      <c r="S410" s="629"/>
      <c r="T410" s="630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36"/>
      <c r="P411" s="632" t="s">
        <v>40</v>
      </c>
      <c r="Q411" s="633"/>
      <c r="R411" s="633"/>
      <c r="S411" s="633"/>
      <c r="T411" s="633"/>
      <c r="U411" s="633"/>
      <c r="V411" s="634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635"/>
      <c r="B412" s="635"/>
      <c r="C412" s="635"/>
      <c r="D412" s="635"/>
      <c r="E412" s="635"/>
      <c r="F412" s="635"/>
      <c r="G412" s="635"/>
      <c r="H412" s="635"/>
      <c r="I412" s="635"/>
      <c r="J412" s="635"/>
      <c r="K412" s="635"/>
      <c r="L412" s="635"/>
      <c r="M412" s="635"/>
      <c r="N412" s="635"/>
      <c r="O412" s="636"/>
      <c r="P412" s="632" t="s">
        <v>40</v>
      </c>
      <c r="Q412" s="633"/>
      <c r="R412" s="633"/>
      <c r="S412" s="633"/>
      <c r="T412" s="633"/>
      <c r="U412" s="633"/>
      <c r="V412" s="634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26" t="s">
        <v>76</v>
      </c>
      <c r="B413" s="626"/>
      <c r="C413" s="626"/>
      <c r="D413" s="626"/>
      <c r="E413" s="626"/>
      <c r="F413" s="626"/>
      <c r="G413" s="626"/>
      <c r="H413" s="626"/>
      <c r="I413" s="626"/>
      <c r="J413" s="626"/>
      <c r="K413" s="626"/>
      <c r="L413" s="626"/>
      <c r="M413" s="626"/>
      <c r="N413" s="626"/>
      <c r="O413" s="626"/>
      <c r="P413" s="626"/>
      <c r="Q413" s="626"/>
      <c r="R413" s="626"/>
      <c r="S413" s="626"/>
      <c r="T413" s="626"/>
      <c r="U413" s="626"/>
      <c r="V413" s="626"/>
      <c r="W413" s="626"/>
      <c r="X413" s="626"/>
      <c r="Y413" s="626"/>
      <c r="Z413" s="626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627">
        <v>4680115886094</v>
      </c>
      <c r="E414" s="627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627">
        <v>4680115880771</v>
      </c>
      <c r="E415" s="627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627">
        <v>4607091389500</v>
      </c>
      <c r="E416" s="627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9"/>
      <c r="R416" s="629"/>
      <c r="S416" s="629"/>
      <c r="T416" s="63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36"/>
      <c r="P418" s="632" t="s">
        <v>40</v>
      </c>
      <c r="Q418" s="633"/>
      <c r="R418" s="633"/>
      <c r="S418" s="633"/>
      <c r="T418" s="633"/>
      <c r="U418" s="633"/>
      <c r="V418" s="63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25" t="s">
        <v>662</v>
      </c>
      <c r="B419" s="625"/>
      <c r="C419" s="625"/>
      <c r="D419" s="625"/>
      <c r="E419" s="625"/>
      <c r="F419" s="625"/>
      <c r="G419" s="625"/>
      <c r="H419" s="625"/>
      <c r="I419" s="625"/>
      <c r="J419" s="625"/>
      <c r="K419" s="625"/>
      <c r="L419" s="625"/>
      <c r="M419" s="625"/>
      <c r="N419" s="625"/>
      <c r="O419" s="625"/>
      <c r="P419" s="625"/>
      <c r="Q419" s="625"/>
      <c r="R419" s="625"/>
      <c r="S419" s="625"/>
      <c r="T419" s="625"/>
      <c r="U419" s="625"/>
      <c r="V419" s="625"/>
      <c r="W419" s="625"/>
      <c r="X419" s="625"/>
      <c r="Y419" s="625"/>
      <c r="Z419" s="625"/>
      <c r="AA419" s="65"/>
      <c r="AB419" s="65"/>
      <c r="AC419" s="79"/>
    </row>
    <row r="420" spans="1:68" ht="14.25" hidden="1" customHeight="1" x14ac:dyDescent="0.25">
      <c r="A420" s="626" t="s">
        <v>76</v>
      </c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  <c r="Z420" s="626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627">
        <v>4680115885110</v>
      </c>
      <c r="E421" s="627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9"/>
      <c r="R421" s="629"/>
      <c r="S421" s="629"/>
      <c r="T421" s="630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5"/>
      <c r="M423" s="635"/>
      <c r="N423" s="635"/>
      <c r="O423" s="636"/>
      <c r="P423" s="632" t="s">
        <v>40</v>
      </c>
      <c r="Q423" s="633"/>
      <c r="R423" s="633"/>
      <c r="S423" s="633"/>
      <c r="T423" s="633"/>
      <c r="U423" s="633"/>
      <c r="V423" s="634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24" t="s">
        <v>666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54"/>
      <c r="AB424" s="54"/>
      <c r="AC424" s="54"/>
    </row>
    <row r="425" spans="1:68" ht="16.5" hidden="1" customHeight="1" x14ac:dyDescent="0.25">
      <c r="A425" s="625" t="s">
        <v>666</v>
      </c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5"/>
      <c r="P425" s="625"/>
      <c r="Q425" s="625"/>
      <c r="R425" s="625"/>
      <c r="S425" s="625"/>
      <c r="T425" s="625"/>
      <c r="U425" s="625"/>
      <c r="V425" s="625"/>
      <c r="W425" s="625"/>
      <c r="X425" s="625"/>
      <c r="Y425" s="625"/>
      <c r="Z425" s="625"/>
      <c r="AA425" s="65"/>
      <c r="AB425" s="65"/>
      <c r="AC425" s="79"/>
    </row>
    <row r="426" spans="1:68" ht="14.25" hidden="1" customHeight="1" x14ac:dyDescent="0.25">
      <c r="A426" s="626" t="s">
        <v>114</v>
      </c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  <c r="Z426" s="626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627">
        <v>4607091389067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627">
        <v>4607091383522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627">
        <v>4680115885271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7">
        <v>4680115885226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42.24</v>
      </c>
      <c r="Y431" s="55">
        <f t="shared" si="48"/>
        <v>42.24</v>
      </c>
      <c r="Z431" s="41">
        <f t="shared" si="49"/>
        <v>9.5680000000000001E-2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45.04</v>
      </c>
      <c r="BN431" s="78">
        <f t="shared" si="51"/>
        <v>45.04</v>
      </c>
      <c r="BO431" s="78">
        <f t="shared" si="52"/>
        <v>7.6923076923076927E-2</v>
      </c>
      <c r="BP431" s="78">
        <f t="shared" si="53"/>
        <v>7.6923076923076927E-2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627">
        <v>4680115884502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7">
        <v>4607091389104</v>
      </c>
      <c r="E433" s="62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84.48</v>
      </c>
      <c r="Y433" s="55">
        <f t="shared" si="48"/>
        <v>84.48</v>
      </c>
      <c r="Z433" s="41">
        <f t="shared" si="49"/>
        <v>0.19136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90.08</v>
      </c>
      <c r="BN433" s="78">
        <f t="shared" si="51"/>
        <v>90.08</v>
      </c>
      <c r="BO433" s="78">
        <f t="shared" si="52"/>
        <v>0.15384615384615385</v>
      </c>
      <c r="BP433" s="78">
        <f t="shared" si="53"/>
        <v>0.15384615384615385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627">
        <v>4680115886391</v>
      </c>
      <c r="E434" s="627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627">
        <v>4680115880603</v>
      </c>
      <c r="E435" s="627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627">
        <v>4680115882782</v>
      </c>
      <c r="E436" s="627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627">
        <v>4680115885479</v>
      </c>
      <c r="E437" s="627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627">
        <v>4607091389982</v>
      </c>
      <c r="E438" s="627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9"/>
      <c r="R438" s="629"/>
      <c r="S438" s="629"/>
      <c r="T438" s="63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24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24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0.28704000000000002</v>
      </c>
      <c r="AA439" s="67"/>
      <c r="AB439" s="67"/>
      <c r="AC439" s="67"/>
    </row>
    <row r="440" spans="1:68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IFERROR(SUM(X427:X438),"0")</f>
        <v>126.72</v>
      </c>
      <c r="Y440" s="43">
        <f>IFERROR(SUM(Y427:Y438),"0")</f>
        <v>126.72</v>
      </c>
      <c r="Z440" s="42"/>
      <c r="AA440" s="67"/>
      <c r="AB440" s="67"/>
      <c r="AC440" s="67"/>
    </row>
    <row r="441" spans="1:68" ht="14.25" hidden="1" customHeight="1" x14ac:dyDescent="0.25">
      <c r="A441" s="626" t="s">
        <v>147</v>
      </c>
      <c r="B441" s="626"/>
      <c r="C441" s="626"/>
      <c r="D441" s="626"/>
      <c r="E441" s="626"/>
      <c r="F441" s="626"/>
      <c r="G441" s="626"/>
      <c r="H441" s="626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6"/>
      <c r="V441" s="626"/>
      <c r="W441" s="626"/>
      <c r="X441" s="626"/>
      <c r="Y441" s="626"/>
      <c r="Z441" s="626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627">
        <v>4607091388930</v>
      </c>
      <c r="E442" s="627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627">
        <v>4680115886407</v>
      </c>
      <c r="E443" s="627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627">
        <v>4680115880054</v>
      </c>
      <c r="E444" s="627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9"/>
      <c r="R444" s="629"/>
      <c r="S444" s="629"/>
      <c r="T444" s="630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5"/>
      <c r="M446" s="635"/>
      <c r="N446" s="635"/>
      <c r="O446" s="636"/>
      <c r="P446" s="632" t="s">
        <v>40</v>
      </c>
      <c r="Q446" s="633"/>
      <c r="R446" s="633"/>
      <c r="S446" s="633"/>
      <c r="T446" s="633"/>
      <c r="U446" s="633"/>
      <c r="V446" s="634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26" t="s">
        <v>76</v>
      </c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  <c r="Z447" s="626"/>
      <c r="AA447" s="66"/>
      <c r="AB447" s="66"/>
      <c r="AC447" s="80"/>
    </row>
    <row r="448" spans="1:68" ht="27" hidden="1" customHeight="1" x14ac:dyDescent="0.25">
      <c r="A448" s="63" t="s">
        <v>702</v>
      </c>
      <c r="B448" s="63" t="s">
        <v>703</v>
      </c>
      <c r="C448" s="36">
        <v>4301031349</v>
      </c>
      <c r="D448" s="627">
        <v>4680115883116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7">
        <v>4680115883093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hidden="1" customHeight="1" x14ac:dyDescent="0.25">
      <c r="A450" s="63" t="s">
        <v>708</v>
      </c>
      <c r="B450" s="63" t="s">
        <v>709</v>
      </c>
      <c r="C450" s="36">
        <v>4301031353</v>
      </c>
      <c r="D450" s="627">
        <v>4680115883109</v>
      </c>
      <c r="E450" s="627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627">
        <v>4680115882072</v>
      </c>
      <c r="E451" s="627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627">
        <v>4680115882102</v>
      </c>
      <c r="E452" s="627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6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627">
        <v>4680115882102</v>
      </c>
      <c r="E453" s="627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9"/>
      <c r="R453" s="629"/>
      <c r="S453" s="629"/>
      <c r="T453" s="630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627">
        <v>4680115882096</v>
      </c>
      <c r="E454" s="627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9"/>
      <c r="R454" s="629"/>
      <c r="S454" s="629"/>
      <c r="T454" s="630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39</v>
      </c>
      <c r="X455" s="43">
        <f>IFERROR(X448/H448,"0")+IFERROR(X449/H449,"0")+IFERROR(X450/H450,"0")+IFERROR(X451/H451,"0")+IFERROR(X452/H452,"0")+IFERROR(X453/H453,"0")+IFERROR(X454/H454,"0")</f>
        <v>8</v>
      </c>
      <c r="Y455" s="43">
        <f>IFERROR(Y448/H448,"0")+IFERROR(Y449/H449,"0")+IFERROR(Y450/H450,"0")+IFERROR(Y451/H451,"0")+IFERROR(Y452/H452,"0")+IFERROR(Y453/H453,"0")+IFERROR(Y454/H454,"0")</f>
        <v>8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9.5680000000000001E-2</v>
      </c>
      <c r="AA455" s="67"/>
      <c r="AB455" s="67"/>
      <c r="AC455" s="67"/>
    </row>
    <row r="456" spans="1:68" x14ac:dyDescent="0.2">
      <c r="A456" s="635"/>
      <c r="B456" s="635"/>
      <c r="C456" s="635"/>
      <c r="D456" s="635"/>
      <c r="E456" s="635"/>
      <c r="F456" s="635"/>
      <c r="G456" s="635"/>
      <c r="H456" s="635"/>
      <c r="I456" s="635"/>
      <c r="J456" s="635"/>
      <c r="K456" s="635"/>
      <c r="L456" s="635"/>
      <c r="M456" s="635"/>
      <c r="N456" s="635"/>
      <c r="O456" s="636"/>
      <c r="P456" s="632" t="s">
        <v>40</v>
      </c>
      <c r="Q456" s="633"/>
      <c r="R456" s="633"/>
      <c r="S456" s="633"/>
      <c r="T456" s="633"/>
      <c r="U456" s="633"/>
      <c r="V456" s="634"/>
      <c r="W456" s="42" t="s">
        <v>0</v>
      </c>
      <c r="X456" s="43">
        <f>IFERROR(SUM(X448:X454),"0")</f>
        <v>42.24</v>
      </c>
      <c r="Y456" s="43">
        <f>IFERROR(SUM(Y448:Y454),"0")</f>
        <v>42.24</v>
      </c>
      <c r="Z456" s="42"/>
      <c r="AA456" s="67"/>
      <c r="AB456" s="67"/>
      <c r="AC456" s="67"/>
    </row>
    <row r="457" spans="1:68" ht="27.75" hidden="1" customHeight="1" x14ac:dyDescent="0.2">
      <c r="A457" s="624" t="s">
        <v>718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54"/>
      <c r="AB457" s="54"/>
      <c r="AC457" s="54"/>
    </row>
    <row r="458" spans="1:68" ht="16.5" hidden="1" customHeight="1" x14ac:dyDescent="0.25">
      <c r="A458" s="625" t="s">
        <v>718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5"/>
      <c r="AB458" s="65"/>
      <c r="AC458" s="79"/>
    </row>
    <row r="459" spans="1:68" ht="14.25" hidden="1" customHeight="1" x14ac:dyDescent="0.25">
      <c r="A459" s="626" t="s">
        <v>114</v>
      </c>
      <c r="B459" s="626"/>
      <c r="C459" s="626"/>
      <c r="D459" s="626"/>
      <c r="E459" s="626"/>
      <c r="F459" s="626"/>
      <c r="G459" s="626"/>
      <c r="H459" s="626"/>
      <c r="I459" s="626"/>
      <c r="J459" s="626"/>
      <c r="K459" s="626"/>
      <c r="L459" s="626"/>
      <c r="M459" s="626"/>
      <c r="N459" s="626"/>
      <c r="O459" s="626"/>
      <c r="P459" s="626"/>
      <c r="Q459" s="626"/>
      <c r="R459" s="626"/>
      <c r="S459" s="626"/>
      <c r="T459" s="626"/>
      <c r="U459" s="626"/>
      <c r="V459" s="626"/>
      <c r="W459" s="626"/>
      <c r="X459" s="626"/>
      <c r="Y459" s="626"/>
      <c r="Z459" s="626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627">
        <v>4640242181011</v>
      </c>
      <c r="E460" s="627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9"/>
      <c r="R460" s="629"/>
      <c r="S460" s="629"/>
      <c r="T460" s="630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627">
        <v>4640242180441</v>
      </c>
      <c r="E461" s="627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6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9"/>
      <c r="R461" s="629"/>
      <c r="S461" s="629"/>
      <c r="T461" s="630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627">
        <v>4640242180564</v>
      </c>
      <c r="E462" s="627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9"/>
      <c r="R462" s="629"/>
      <c r="S462" s="629"/>
      <c r="T462" s="630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627">
        <v>4640242181189</v>
      </c>
      <c r="E463" s="6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35"/>
      <c r="B464" s="635"/>
      <c r="C464" s="635"/>
      <c r="D464" s="635"/>
      <c r="E464" s="635"/>
      <c r="F464" s="635"/>
      <c r="G464" s="635"/>
      <c r="H464" s="635"/>
      <c r="I464" s="635"/>
      <c r="J464" s="635"/>
      <c r="K464" s="635"/>
      <c r="L464" s="635"/>
      <c r="M464" s="635"/>
      <c r="N464" s="635"/>
      <c r="O464" s="636"/>
      <c r="P464" s="632" t="s">
        <v>40</v>
      </c>
      <c r="Q464" s="633"/>
      <c r="R464" s="633"/>
      <c r="S464" s="633"/>
      <c r="T464" s="633"/>
      <c r="U464" s="633"/>
      <c r="V464" s="634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35"/>
      <c r="B465" s="635"/>
      <c r="C465" s="635"/>
      <c r="D465" s="635"/>
      <c r="E465" s="635"/>
      <c r="F465" s="635"/>
      <c r="G465" s="635"/>
      <c r="H465" s="635"/>
      <c r="I465" s="635"/>
      <c r="J465" s="635"/>
      <c r="K465" s="635"/>
      <c r="L465" s="635"/>
      <c r="M465" s="635"/>
      <c r="N465" s="635"/>
      <c r="O465" s="636"/>
      <c r="P465" s="632" t="s">
        <v>40</v>
      </c>
      <c r="Q465" s="633"/>
      <c r="R465" s="633"/>
      <c r="S465" s="633"/>
      <c r="T465" s="633"/>
      <c r="U465" s="633"/>
      <c r="V465" s="634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26" t="s">
        <v>147</v>
      </c>
      <c r="B466" s="626"/>
      <c r="C466" s="626"/>
      <c r="D466" s="626"/>
      <c r="E466" s="626"/>
      <c r="F466" s="626"/>
      <c r="G466" s="626"/>
      <c r="H466" s="626"/>
      <c r="I466" s="626"/>
      <c r="J466" s="626"/>
      <c r="K466" s="626"/>
      <c r="L466" s="626"/>
      <c r="M466" s="626"/>
      <c r="N466" s="626"/>
      <c r="O466" s="626"/>
      <c r="P466" s="626"/>
      <c r="Q466" s="626"/>
      <c r="R466" s="626"/>
      <c r="S466" s="626"/>
      <c r="T466" s="626"/>
      <c r="U466" s="626"/>
      <c r="V466" s="626"/>
      <c r="W466" s="626"/>
      <c r="X466" s="626"/>
      <c r="Y466" s="626"/>
      <c r="Z466" s="626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627">
        <v>4640242180519</v>
      </c>
      <c r="E467" s="627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9"/>
      <c r="R467" s="629"/>
      <c r="S467" s="629"/>
      <c r="T467" s="630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35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635"/>
      <c r="N468" s="635"/>
      <c r="O468" s="636"/>
      <c r="P468" s="632" t="s">
        <v>40</v>
      </c>
      <c r="Q468" s="633"/>
      <c r="R468" s="633"/>
      <c r="S468" s="633"/>
      <c r="T468" s="633"/>
      <c r="U468" s="633"/>
      <c r="V468" s="6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35"/>
      <c r="B469" s="635"/>
      <c r="C469" s="635"/>
      <c r="D469" s="635"/>
      <c r="E469" s="635"/>
      <c r="F469" s="635"/>
      <c r="G469" s="635"/>
      <c r="H469" s="635"/>
      <c r="I469" s="635"/>
      <c r="J469" s="635"/>
      <c r="K469" s="635"/>
      <c r="L469" s="635"/>
      <c r="M469" s="635"/>
      <c r="N469" s="635"/>
      <c r="O469" s="636"/>
      <c r="P469" s="632" t="s">
        <v>40</v>
      </c>
      <c r="Q469" s="633"/>
      <c r="R469" s="633"/>
      <c r="S469" s="633"/>
      <c r="T469" s="633"/>
      <c r="U469" s="633"/>
      <c r="V469" s="6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26" t="s">
        <v>76</v>
      </c>
      <c r="B470" s="626"/>
      <c r="C470" s="626"/>
      <c r="D470" s="626"/>
      <c r="E470" s="626"/>
      <c r="F470" s="626"/>
      <c r="G470" s="626"/>
      <c r="H470" s="626"/>
      <c r="I470" s="626"/>
      <c r="J470" s="626"/>
      <c r="K470" s="626"/>
      <c r="L470" s="626"/>
      <c r="M470" s="626"/>
      <c r="N470" s="626"/>
      <c r="O470" s="626"/>
      <c r="P470" s="626"/>
      <c r="Q470" s="626"/>
      <c r="R470" s="626"/>
      <c r="S470" s="626"/>
      <c r="T470" s="626"/>
      <c r="U470" s="626"/>
      <c r="V470" s="626"/>
      <c r="W470" s="626"/>
      <c r="X470" s="626"/>
      <c r="Y470" s="626"/>
      <c r="Z470" s="626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627">
        <v>4640242180595</v>
      </c>
      <c r="E471" s="627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9"/>
      <c r="R471" s="629"/>
      <c r="S471" s="629"/>
      <c r="T471" s="630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635"/>
      <c r="N473" s="635"/>
      <c r="O473" s="636"/>
      <c r="P473" s="632" t="s">
        <v>40</v>
      </c>
      <c r="Q473" s="633"/>
      <c r="R473" s="633"/>
      <c r="S473" s="633"/>
      <c r="T473" s="633"/>
      <c r="U473" s="633"/>
      <c r="V473" s="634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26" t="s">
        <v>86</v>
      </c>
      <c r="B474" s="626"/>
      <c r="C474" s="626"/>
      <c r="D474" s="626"/>
      <c r="E474" s="626"/>
      <c r="F474" s="626"/>
      <c r="G474" s="626"/>
      <c r="H474" s="626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6"/>
      <c r="V474" s="626"/>
      <c r="W474" s="626"/>
      <c r="X474" s="626"/>
      <c r="Y474" s="626"/>
      <c r="Z474" s="626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627">
        <v>4640242180533</v>
      </c>
      <c r="E475" s="627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626" t="s">
        <v>173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627">
        <v>4640242180120</v>
      </c>
      <c r="E479" s="627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627">
        <v>4640242180137</v>
      </c>
      <c r="E480" s="627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9"/>
      <c r="R480" s="629"/>
      <c r="S480" s="629"/>
      <c r="T480" s="630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635"/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5"/>
      <c r="M482" s="635"/>
      <c r="N482" s="635"/>
      <c r="O482" s="636"/>
      <c r="P482" s="632" t="s">
        <v>40</v>
      </c>
      <c r="Q482" s="633"/>
      <c r="R482" s="633"/>
      <c r="S482" s="633"/>
      <c r="T482" s="633"/>
      <c r="U482" s="633"/>
      <c r="V482" s="634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625" t="s">
        <v>745</v>
      </c>
      <c r="B483" s="625"/>
      <c r="C483" s="625"/>
      <c r="D483" s="625"/>
      <c r="E483" s="625"/>
      <c r="F483" s="625"/>
      <c r="G483" s="625"/>
      <c r="H483" s="625"/>
      <c r="I483" s="625"/>
      <c r="J483" s="625"/>
      <c r="K483" s="625"/>
      <c r="L483" s="625"/>
      <c r="M483" s="625"/>
      <c r="N483" s="625"/>
      <c r="O483" s="625"/>
      <c r="P483" s="625"/>
      <c r="Q483" s="625"/>
      <c r="R483" s="625"/>
      <c r="S483" s="625"/>
      <c r="T483" s="625"/>
      <c r="U483" s="625"/>
      <c r="V483" s="625"/>
      <c r="W483" s="625"/>
      <c r="X483" s="625"/>
      <c r="Y483" s="625"/>
      <c r="Z483" s="625"/>
      <c r="AA483" s="65"/>
      <c r="AB483" s="65"/>
      <c r="AC483" s="79"/>
    </row>
    <row r="484" spans="1:68" ht="14.25" hidden="1" customHeight="1" x14ac:dyDescent="0.25">
      <c r="A484" s="626" t="s">
        <v>147</v>
      </c>
      <c r="B484" s="626"/>
      <c r="C484" s="626"/>
      <c r="D484" s="626"/>
      <c r="E484" s="626"/>
      <c r="F484" s="626"/>
      <c r="G484" s="626"/>
      <c r="H484" s="626"/>
      <c r="I484" s="626"/>
      <c r="J484" s="626"/>
      <c r="K484" s="626"/>
      <c r="L484" s="626"/>
      <c r="M484" s="626"/>
      <c r="N484" s="626"/>
      <c r="O484" s="626"/>
      <c r="P484" s="626"/>
      <c r="Q484" s="626"/>
      <c r="R484" s="626"/>
      <c r="S484" s="626"/>
      <c r="T484" s="626"/>
      <c r="U484" s="626"/>
      <c r="V484" s="626"/>
      <c r="W484" s="626"/>
      <c r="X484" s="626"/>
      <c r="Y484" s="626"/>
      <c r="Z484" s="626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627">
        <v>4640242180090</v>
      </c>
      <c r="E485" s="627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9"/>
      <c r="R485" s="629"/>
      <c r="S485" s="629"/>
      <c r="T485" s="630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35"/>
      <c r="B487" s="635"/>
      <c r="C487" s="635"/>
      <c r="D487" s="635"/>
      <c r="E487" s="635"/>
      <c r="F487" s="635"/>
      <c r="G487" s="635"/>
      <c r="H487" s="635"/>
      <c r="I487" s="635"/>
      <c r="J487" s="635"/>
      <c r="K487" s="635"/>
      <c r="L487" s="635"/>
      <c r="M487" s="635"/>
      <c r="N487" s="635"/>
      <c r="O487" s="636"/>
      <c r="P487" s="632" t="s">
        <v>40</v>
      </c>
      <c r="Q487" s="633"/>
      <c r="R487" s="633"/>
      <c r="S487" s="633"/>
      <c r="T487" s="633"/>
      <c r="U487" s="633"/>
      <c r="V487" s="634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5"/>
      <c r="B488" s="635"/>
      <c r="C488" s="635"/>
      <c r="D488" s="635"/>
      <c r="E488" s="635"/>
      <c r="F488" s="635"/>
      <c r="G488" s="635"/>
      <c r="H488" s="635"/>
      <c r="I488" s="635"/>
      <c r="J488" s="635"/>
      <c r="K488" s="635"/>
      <c r="L488" s="635"/>
      <c r="M488" s="635"/>
      <c r="N488" s="635"/>
      <c r="O488" s="872"/>
      <c r="P488" s="869" t="s">
        <v>33</v>
      </c>
      <c r="Q488" s="870"/>
      <c r="R488" s="870"/>
      <c r="S488" s="870"/>
      <c r="T488" s="870"/>
      <c r="U488" s="870"/>
      <c r="V488" s="8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936.96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936.96</v>
      </c>
      <c r="Z488" s="42"/>
      <c r="AA488" s="67"/>
      <c r="AB488" s="67"/>
      <c r="AC488" s="67"/>
    </row>
    <row r="489" spans="1:68" x14ac:dyDescent="0.2">
      <c r="A489" s="635"/>
      <c r="B489" s="635"/>
      <c r="C489" s="635"/>
      <c r="D489" s="635"/>
      <c r="E489" s="635"/>
      <c r="F489" s="635"/>
      <c r="G489" s="635"/>
      <c r="H489" s="635"/>
      <c r="I489" s="635"/>
      <c r="J489" s="635"/>
      <c r="K489" s="635"/>
      <c r="L489" s="635"/>
      <c r="M489" s="635"/>
      <c r="N489" s="635"/>
      <c r="O489" s="872"/>
      <c r="P489" s="869" t="s">
        <v>34</v>
      </c>
      <c r="Q489" s="870"/>
      <c r="R489" s="870"/>
      <c r="S489" s="870"/>
      <c r="T489" s="870"/>
      <c r="U489" s="870"/>
      <c r="V489" s="871"/>
      <c r="W489" s="42" t="s">
        <v>0</v>
      </c>
      <c r="X489" s="43">
        <f>IFERROR(SUM(BM22:BM485),"0")</f>
        <v>985.69600000000003</v>
      </c>
      <c r="Y489" s="43">
        <f>IFERROR(SUM(BN22:BN485),"0")</f>
        <v>985.69600000000003</v>
      </c>
      <c r="Z489" s="42"/>
      <c r="AA489" s="67"/>
      <c r="AB489" s="67"/>
      <c r="AC489" s="67"/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872"/>
      <c r="P490" s="869" t="s">
        <v>35</v>
      </c>
      <c r="Q490" s="870"/>
      <c r="R490" s="870"/>
      <c r="S490" s="870"/>
      <c r="T490" s="870"/>
      <c r="U490" s="870"/>
      <c r="V490" s="871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872"/>
      <c r="P491" s="869" t="s">
        <v>36</v>
      </c>
      <c r="Q491" s="870"/>
      <c r="R491" s="870"/>
      <c r="S491" s="870"/>
      <c r="T491" s="870"/>
      <c r="U491" s="870"/>
      <c r="V491" s="871"/>
      <c r="W491" s="42" t="s">
        <v>0</v>
      </c>
      <c r="X491" s="43">
        <f>GrossWeightTotal+PalletQtyTotal*25</f>
        <v>1035.6959999999999</v>
      </c>
      <c r="Y491" s="43">
        <f>GrossWeightTotalR+PalletQtyTotalR*25</f>
        <v>1035.6959999999999</v>
      </c>
      <c r="Z491" s="42"/>
      <c r="AA491" s="67"/>
      <c r="AB491" s="67"/>
      <c r="AC491" s="67"/>
    </row>
    <row r="492" spans="1:68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2"/>
      <c r="P492" s="869" t="s">
        <v>37</v>
      </c>
      <c r="Q492" s="870"/>
      <c r="R492" s="870"/>
      <c r="S492" s="870"/>
      <c r="T492" s="870"/>
      <c r="U492" s="870"/>
      <c r="V492" s="8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118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118</v>
      </c>
      <c r="Z492" s="42"/>
      <c r="AA492" s="67"/>
      <c r="AB492" s="67"/>
      <c r="AC492" s="67"/>
    </row>
    <row r="493" spans="1:68" ht="14.25" hidden="1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2"/>
      <c r="P493" s="869" t="s">
        <v>38</v>
      </c>
      <c r="Q493" s="870"/>
      <c r="R493" s="870"/>
      <c r="S493" s="870"/>
      <c r="T493" s="870"/>
      <c r="U493" s="870"/>
      <c r="V493" s="8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1.8847399999999999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5" t="s">
        <v>112</v>
      </c>
      <c r="D495" s="875" t="s">
        <v>112</v>
      </c>
      <c r="E495" s="875" t="s">
        <v>112</v>
      </c>
      <c r="F495" s="875" t="s">
        <v>112</v>
      </c>
      <c r="G495" s="875" t="s">
        <v>112</v>
      </c>
      <c r="H495" s="875" t="s">
        <v>112</v>
      </c>
      <c r="I495" s="875" t="s">
        <v>275</v>
      </c>
      <c r="J495" s="875" t="s">
        <v>275</v>
      </c>
      <c r="K495" s="875" t="s">
        <v>275</v>
      </c>
      <c r="L495" s="875" t="s">
        <v>275</v>
      </c>
      <c r="M495" s="875" t="s">
        <v>275</v>
      </c>
      <c r="N495" s="876"/>
      <c r="O495" s="875" t="s">
        <v>275</v>
      </c>
      <c r="P495" s="875" t="s">
        <v>275</v>
      </c>
      <c r="Q495" s="875" t="s">
        <v>275</v>
      </c>
      <c r="R495" s="875" t="s">
        <v>275</v>
      </c>
      <c r="S495" s="875" t="s">
        <v>565</v>
      </c>
      <c r="T495" s="875" t="s">
        <v>565</v>
      </c>
      <c r="U495" s="875" t="s">
        <v>618</v>
      </c>
      <c r="V495" s="875" t="s">
        <v>618</v>
      </c>
      <c r="W495" s="875" t="s">
        <v>618</v>
      </c>
      <c r="X495" s="85" t="s">
        <v>666</v>
      </c>
      <c r="Y495" s="875" t="s">
        <v>718</v>
      </c>
      <c r="Z495" s="875" t="s">
        <v>718</v>
      </c>
      <c r="AB495" s="60"/>
      <c r="AC495" s="60"/>
      <c r="AF495" s="1"/>
    </row>
    <row r="496" spans="1:68" ht="14.25" customHeight="1" thickTop="1" x14ac:dyDescent="0.2">
      <c r="A496" s="873" t="s">
        <v>10</v>
      </c>
      <c r="B496" s="875" t="s">
        <v>75</v>
      </c>
      <c r="C496" s="875" t="s">
        <v>113</v>
      </c>
      <c r="D496" s="875" t="s">
        <v>128</v>
      </c>
      <c r="E496" s="875" t="s">
        <v>180</v>
      </c>
      <c r="F496" s="875" t="s">
        <v>201</v>
      </c>
      <c r="G496" s="875" t="s">
        <v>238</v>
      </c>
      <c r="H496" s="875" t="s">
        <v>112</v>
      </c>
      <c r="I496" s="875" t="s">
        <v>276</v>
      </c>
      <c r="J496" s="875" t="s">
        <v>334</v>
      </c>
      <c r="K496" s="875" t="s">
        <v>393</v>
      </c>
      <c r="L496" s="875" t="s">
        <v>432</v>
      </c>
      <c r="M496" s="875" t="s">
        <v>448</v>
      </c>
      <c r="N496" s="1"/>
      <c r="O496" s="875" t="s">
        <v>459</v>
      </c>
      <c r="P496" s="875" t="s">
        <v>468</v>
      </c>
      <c r="Q496" s="875" t="s">
        <v>481</v>
      </c>
      <c r="R496" s="875" t="s">
        <v>555</v>
      </c>
      <c r="S496" s="875" t="s">
        <v>566</v>
      </c>
      <c r="T496" s="875" t="s">
        <v>602</v>
      </c>
      <c r="U496" s="875" t="s">
        <v>619</v>
      </c>
      <c r="V496" s="875" t="s">
        <v>650</v>
      </c>
      <c r="W496" s="875" t="s">
        <v>662</v>
      </c>
      <c r="X496" s="875" t="s">
        <v>666</v>
      </c>
      <c r="Y496" s="875" t="s">
        <v>718</v>
      </c>
      <c r="Z496" s="875" t="s">
        <v>745</v>
      </c>
      <c r="AB496" s="60"/>
      <c r="AC496" s="60"/>
      <c r="AF496" s="1"/>
    </row>
    <row r="497" spans="1:32" ht="13.5" thickBot="1" x14ac:dyDescent="0.25">
      <c r="A497" s="874"/>
      <c r="B497" s="875"/>
      <c r="C497" s="875"/>
      <c r="D497" s="875"/>
      <c r="E497" s="875"/>
      <c r="F497" s="875"/>
      <c r="G497" s="875"/>
      <c r="H497" s="875"/>
      <c r="I497" s="875"/>
      <c r="J497" s="875"/>
      <c r="K497" s="875"/>
      <c r="L497" s="875"/>
      <c r="M497" s="875"/>
      <c r="N497" s="1"/>
      <c r="O497" s="875"/>
      <c r="P497" s="875"/>
      <c r="Q497" s="875"/>
      <c r="R497" s="875"/>
      <c r="S497" s="875"/>
      <c r="T497" s="875"/>
      <c r="U497" s="875"/>
      <c r="V497" s="875"/>
      <c r="W497" s="875"/>
      <c r="X497" s="875"/>
      <c r="Y497" s="875"/>
      <c r="Z497" s="875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62.4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312</v>
      </c>
      <c r="T498" s="52">
        <f>IFERROR(Y375*1,"0")+IFERROR(Y376*1,"0")+IFERROR(Y380*1,"0")+IFERROR(Y384*1,"0")+IFERROR(Y385*1,"0")+IFERROR(Y386*1,"0")</f>
        <v>177.6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168.96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5,70"/>
        <filter val="118,00"/>
        <filter val="120,00"/>
        <filter val="126,72"/>
        <filter val="129,60"/>
        <filter val="144,00"/>
        <filter val="16,00"/>
        <filter val="177,60"/>
        <filter val="2"/>
        <filter val="24,00"/>
        <filter val="240,00"/>
        <filter val="30,00"/>
        <filter val="33,60"/>
        <filter val="42,24"/>
        <filter val="62,40"/>
        <filter val="67,20"/>
        <filter val="72,00"/>
        <filter val="8,00"/>
        <filter val="84,48"/>
        <filter val="86,40"/>
        <filter val="936,96"/>
        <filter val="985,7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6" stopIfTrue="1">
      <formula>IF($V$5="самовывоз",1,0)</formula>
    </cfRule>
  </conditionalFormatting>
  <conditionalFormatting sqref="H9:I9">
    <cfRule type="expression" dxfId="7" priority="9" stopIfTrue="1">
      <formula>IF($V$5="самовывоз",1,0)</formula>
    </cfRule>
  </conditionalFormatting>
  <conditionalFormatting sqref="F9:G9">
    <cfRule type="expression" dxfId="6" priority="8" stopIfTrue="1">
      <formula>IF($V$5="самовывоз",1,0)</formula>
    </cfRule>
  </conditionalFormatting>
  <conditionalFormatting sqref="F10:G10">
    <cfRule type="expression" dxfId="5" priority="7" stopIfTrue="1">
      <formula>IF($V$5="самовывоз",1,0)</formula>
    </cfRule>
  </conditionalFormatting>
  <conditionalFormatting sqref="D9:E9">
    <cfRule type="expression" dxfId="4" priority="6" stopIfTrue="1">
      <formula>IF($V$5="самовывоз",1,0)</formula>
    </cfRule>
  </conditionalFormatting>
  <conditionalFormatting sqref="D10:E10">
    <cfRule type="expression" dxfId="3" priority="5" stopIfTrue="1">
      <formula>IF($V$5="самовывоз",1,0)</formula>
    </cfRule>
  </conditionalFormatting>
  <conditionalFormatting sqref="P8 P6:R6 P5">
    <cfRule type="expression" dxfId="2" priority="4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2026-08-27T13:17:06Z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