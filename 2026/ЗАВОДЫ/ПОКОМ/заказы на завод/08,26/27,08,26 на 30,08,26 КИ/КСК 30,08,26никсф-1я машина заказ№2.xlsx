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CB7276E-C762-4E2D-8040-CAD66EB541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Y547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BN492" i="2" s="1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Z463" i="2"/>
  <c r="Y463" i="2"/>
  <c r="P463" i="2"/>
  <c r="X461" i="2"/>
  <c r="Y460" i="2"/>
  <c r="X460" i="2"/>
  <c r="BO459" i="2"/>
  <c r="BM459" i="2"/>
  <c r="Z459" i="2"/>
  <c r="Z460" i="2" s="1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O432" i="2"/>
  <c r="BN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Z417" i="2"/>
  <c r="Y417" i="2"/>
  <c r="P417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X328" i="2"/>
  <c r="X327" i="2"/>
  <c r="BO326" i="2"/>
  <c r="BM326" i="2"/>
  <c r="Z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N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BN256" i="2" s="1"/>
  <c r="P256" i="2"/>
  <c r="BO255" i="2"/>
  <c r="BM255" i="2"/>
  <c r="Y255" i="2"/>
  <c r="Y257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Z244" i="2"/>
  <c r="Y244" i="2"/>
  <c r="P244" i="2"/>
  <c r="X242" i="2"/>
  <c r="X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Z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Z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P67" i="2"/>
  <c r="BO67" i="2"/>
  <c r="BN67" i="2"/>
  <c r="BM67" i="2"/>
  <c r="Z67" i="2"/>
  <c r="Y67" i="2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Z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Z317" i="2" l="1"/>
  <c r="Z491" i="2"/>
  <c r="BP256" i="2"/>
  <c r="Z362" i="2"/>
  <c r="Z432" i="2"/>
  <c r="Y262" i="2"/>
  <c r="Y450" i="2"/>
  <c r="Z29" i="2"/>
  <c r="BN29" i="2"/>
  <c r="Z66" i="2"/>
  <c r="Z98" i="2"/>
  <c r="Z150" i="2"/>
  <c r="Z220" i="2"/>
  <c r="Y252" i="2"/>
  <c r="Z347" i="2"/>
  <c r="Y348" i="2"/>
  <c r="Z352" i="2"/>
  <c r="Z393" i="2"/>
  <c r="BP481" i="2"/>
  <c r="Y494" i="2"/>
  <c r="Z500" i="2"/>
  <c r="Y537" i="2"/>
  <c r="Y542" i="2"/>
  <c r="BN31" i="2"/>
  <c r="BN85" i="2"/>
  <c r="BN99" i="2"/>
  <c r="BP110" i="2"/>
  <c r="BN111" i="2"/>
  <c r="BN154" i="2"/>
  <c r="BP188" i="2"/>
  <c r="BN221" i="2"/>
  <c r="BN226" i="2"/>
  <c r="BN238" i="2"/>
  <c r="BN297" i="2"/>
  <c r="BP307" i="2"/>
  <c r="BN316" i="2"/>
  <c r="BN325" i="2"/>
  <c r="BN341" i="2"/>
  <c r="BN359" i="2"/>
  <c r="BN394" i="2"/>
  <c r="BN442" i="2"/>
  <c r="Y493" i="2"/>
  <c r="BP502" i="2"/>
  <c r="BN519" i="2"/>
  <c r="BP66" i="2"/>
  <c r="BP101" i="2"/>
  <c r="Z110" i="2"/>
  <c r="BP119" i="2"/>
  <c r="BN137" i="2"/>
  <c r="Z141" i="2"/>
  <c r="BN142" i="2"/>
  <c r="BN165" i="2"/>
  <c r="Z178" i="2"/>
  <c r="BN178" i="2"/>
  <c r="BN181" i="2"/>
  <c r="Z188" i="2"/>
  <c r="BP205" i="2"/>
  <c r="BN207" i="2"/>
  <c r="Z209" i="2"/>
  <c r="BP223" i="2"/>
  <c r="BN228" i="2"/>
  <c r="Z230" i="2"/>
  <c r="BN230" i="2"/>
  <c r="Z255" i="2"/>
  <c r="BN255" i="2"/>
  <c r="BP255" i="2"/>
  <c r="Y258" i="2"/>
  <c r="BN261" i="2"/>
  <c r="BN279" i="2"/>
  <c r="Z284" i="2"/>
  <c r="BN284" i="2"/>
  <c r="BN285" i="2"/>
  <c r="BN300" i="2"/>
  <c r="Z307" i="2"/>
  <c r="Z308" i="2" s="1"/>
  <c r="BP317" i="2"/>
  <c r="Z331" i="2"/>
  <c r="BN331" i="2"/>
  <c r="Z340" i="2"/>
  <c r="BN340" i="2"/>
  <c r="Z363" i="2"/>
  <c r="BN371" i="2"/>
  <c r="Z374" i="2"/>
  <c r="BN374" i="2"/>
  <c r="BN379" i="2"/>
  <c r="Y395" i="2"/>
  <c r="BN398" i="2"/>
  <c r="Z406" i="2"/>
  <c r="BN406" i="2"/>
  <c r="Z427" i="2"/>
  <c r="Z430" i="2"/>
  <c r="BN430" i="2"/>
  <c r="BN449" i="2"/>
  <c r="Z475" i="2"/>
  <c r="Z490" i="2"/>
  <c r="Z502" i="2"/>
  <c r="BN536" i="2"/>
  <c r="Z503" i="2"/>
  <c r="AA563" i="2"/>
  <c r="BP490" i="2"/>
  <c r="Y433" i="2"/>
  <c r="BN418" i="2"/>
  <c r="Z354" i="2"/>
  <c r="Z276" i="2"/>
  <c r="BN276" i="2"/>
  <c r="BN269" i="2"/>
  <c r="BN266" i="2"/>
  <c r="Z265" i="2"/>
  <c r="BN265" i="2"/>
  <c r="Z177" i="2"/>
  <c r="BP177" i="2"/>
  <c r="Z153" i="2"/>
  <c r="BN153" i="2"/>
  <c r="BN90" i="2"/>
  <c r="BP57" i="2"/>
  <c r="Z57" i="2"/>
  <c r="BN22" i="2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Z144" i="2" s="1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74" i="2" s="1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W563" i="2"/>
  <c r="Y434" i="2"/>
  <c r="BP425" i="2"/>
  <c r="Z425" i="2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Z113" i="2" s="1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BP60" i="2"/>
  <c r="X557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Z343" i="2" s="1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31" i="2" s="1"/>
  <c r="Z182" i="2"/>
  <c r="Z206" i="2"/>
  <c r="Z227" i="2"/>
  <c r="Z237" i="2"/>
  <c r="Z241" i="2" s="1"/>
  <c r="Z260" i="2"/>
  <c r="Z262" i="2" s="1"/>
  <c r="Z270" i="2"/>
  <c r="Z280" i="2"/>
  <c r="Z301" i="2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Z348" i="2" s="1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13" i="2" s="1"/>
  <c r="Z521" i="2"/>
  <c r="BP550" i="2"/>
  <c r="V563" i="2"/>
  <c r="Y25" i="2"/>
  <c r="Z48" i="2"/>
  <c r="Z52" i="2" s="1"/>
  <c r="Z59" i="2"/>
  <c r="Y74" i="2"/>
  <c r="Z92" i="2"/>
  <c r="Z103" i="2"/>
  <c r="BP128" i="2"/>
  <c r="Z136" i="2"/>
  <c r="BN149" i="2"/>
  <c r="Z170" i="2"/>
  <c r="Z180" i="2"/>
  <c r="Z190" i="2"/>
  <c r="Z204" i="2"/>
  <c r="Z211" i="2" s="1"/>
  <c r="Z215" i="2"/>
  <c r="Z216" i="2" s="1"/>
  <c r="Z225" i="2"/>
  <c r="Z245" i="2"/>
  <c r="Z247" i="2" s="1"/>
  <c r="Z268" i="2"/>
  <c r="Z273" i="2" s="1"/>
  <c r="Z278" i="2"/>
  <c r="Z299" i="2"/>
  <c r="BN311" i="2"/>
  <c r="Z322" i="2"/>
  <c r="Z333" i="2"/>
  <c r="Z334" i="2" s="1"/>
  <c r="BN346" i="2"/>
  <c r="Z368" i="2"/>
  <c r="Z378" i="2"/>
  <c r="BN400" i="2"/>
  <c r="Z411" i="2"/>
  <c r="Z413" i="2" s="1"/>
  <c r="BN426" i="2"/>
  <c r="BN436" i="2"/>
  <c r="Y439" i="2"/>
  <c r="BN459" i="2"/>
  <c r="Z471" i="2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493" i="2" s="1"/>
  <c r="Z504" i="2"/>
  <c r="BN516" i="2"/>
  <c r="BN528" i="2"/>
  <c r="BN540" i="2"/>
  <c r="BN98" i="2"/>
  <c r="BN141" i="2"/>
  <c r="Z163" i="2"/>
  <c r="BN417" i="2"/>
  <c r="BN545" i="2"/>
  <c r="Y507" i="2"/>
  <c r="BP528" i="2"/>
  <c r="BP540" i="2"/>
  <c r="Y552" i="2"/>
  <c r="AB563" i="2"/>
  <c r="Z62" i="2" l="1"/>
  <c r="Z445" i="2"/>
  <c r="Z382" i="2"/>
  <c r="Z355" i="2"/>
  <c r="Z304" i="2"/>
  <c r="Z166" i="2"/>
  <c r="Z477" i="2"/>
  <c r="Z191" i="2"/>
  <c r="Z138" i="2"/>
  <c r="Z105" i="2"/>
  <c r="Z401" i="2"/>
  <c r="Z433" i="2"/>
  <c r="Z395" i="2"/>
  <c r="Z318" i="2"/>
  <c r="Z375" i="2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<sst xmlns="http://schemas.openxmlformats.org/spreadsheetml/2006/main" count="4209" uniqueCount="891">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</sst>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890</v>
      </c>
      <c r="I5" s="645"/>
      <c r="J5" s="645"/>
      <c r="K5" s="645"/>
      <c r="L5" s="645"/>
      <c r="M5" s="645"/>
      <c r="N5" s="72"/>
      <c r="P5" s="27" t="s">
        <v>4</v>
      </c>
      <c r="Q5" s="647">
        <v>46264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872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/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/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22.5</v>
      </c>
      <c r="Y61" s="55">
        <f t="shared" si="6"/>
        <v>22.5</v>
      </c>
      <c r="Z61" s="41">
        <f>IFERROR(IF(Y61=0,"",ROUNDUP(Y61/H61,0)*0.00902),"")</f>
        <v>4.5100000000000001E-2</v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23.450000000000003</v>
      </c>
      <c r="BN61" s="78">
        <f t="shared" si="8"/>
        <v>23.450000000000003</v>
      </c>
      <c r="BO61" s="78">
        <f t="shared" si="9"/>
        <v>3.787878787878788E-2</v>
      </c>
      <c r="BP61" s="78">
        <f t="shared" si="10"/>
        <v>3.787878787878788E-2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5</v>
      </c>
      <c r="Y62" s="43">
        <f>IFERROR(Y56/H56,"0")+IFERROR(Y57/H57,"0")+IFERROR(Y58/H58,"0")+IFERROR(Y59/H59,"0")+IFERROR(Y60/H60,"0")+IFERROR(Y61/H61,"0")</f>
        <v>5</v>
      </c>
      <c r="Z62" s="43">
        <f>IFERROR(IF(Z56="",0,Z56),"0")+IFERROR(IF(Z57="",0,Z57),"0")+IFERROR(IF(Z58="",0,Z58),"0")+IFERROR(IF(Z59="",0,Z59),"0")+IFERROR(IF(Z60="",0,Z60),"0")+IFERROR(IF(Z61="",0,Z61),"0")</f>
        <v>4.5100000000000001E-2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22.5</v>
      </c>
      <c r="Y63" s="43">
        <f>IFERROR(SUM(Y56:Y61),"0")</f>
        <v>22.5</v>
      </c>
      <c r="Z63" s="42"/>
      <c r="AA63" s="67"/>
      <c r="AB63" s="67"/>
      <c r="AC63" s="67"/>
    </row>
    <row r="64" spans="1:68" ht="14.25" hidden="1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20</v>
      </c>
      <c r="Y65" s="55">
        <f>IFERROR(IF(X65="",0,CEILING((X65/$H65),1)*$H65),"")</f>
        <v>21.6</v>
      </c>
      <c r="Z65" s="41">
        <f>IFERROR(IF(Y65=0,"",ROUNDUP(Y65/H65,0)*0.01898),"")</f>
        <v>3.7960000000000001E-2</v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20.75925925925926</v>
      </c>
      <c r="BN65" s="78">
        <f>IFERROR(Y65*I65/H65,"0")</f>
        <v>22.42</v>
      </c>
      <c r="BO65" s="78">
        <f>IFERROR(1/J65*(X65/H65),"0")</f>
        <v>2.8935185185185182E-2</v>
      </c>
      <c r="BP65" s="78">
        <f>IFERROR(1/J65*(Y65/H65),"0")</f>
        <v>3.125E-2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1.8518518518518516</v>
      </c>
      <c r="Y69" s="43">
        <f>IFERROR(Y65/H65,"0")+IFERROR(Y66/H66,"0")+IFERROR(Y67/H67,"0")+IFERROR(Y68/H68,"0")</f>
        <v>2</v>
      </c>
      <c r="Z69" s="43">
        <f>IFERROR(IF(Z65="",0,Z65),"0")+IFERROR(IF(Z66="",0,Z66),"0")+IFERROR(IF(Z67="",0,Z67),"0")+IFERROR(IF(Z68="",0,Z68),"0")</f>
        <v>3.7960000000000001E-2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20</v>
      </c>
      <c r="Y70" s="43">
        <f>IFERROR(SUM(Y65:Y68),"0")</f>
        <v>21.6</v>
      </c>
      <c r="Z70" s="42"/>
      <c r="AA70" s="67"/>
      <c r="AB70" s="67"/>
      <c r="AC70" s="67"/>
    </row>
    <row r="71" spans="1:68" ht="14.25" hidden="1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/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/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22.5</v>
      </c>
      <c r="Y86" s="55">
        <f>IFERROR(IF(X86="",0,CEILING((X86/$H86),1)*$H86),"")</f>
        <v>22.5</v>
      </c>
      <c r="Z86" s="41">
        <f>IFERROR(IF(Y86=0,"",ROUNDUP(Y86/H86,0)*0.00902),"")</f>
        <v>4.5100000000000001E-2</v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23.450000000000003</v>
      </c>
      <c r="BN86" s="78">
        <f>IFERROR(Y86*I86/H86,"0")</f>
        <v>23.450000000000003</v>
      </c>
      <c r="BO86" s="78">
        <f>IFERROR(1/J86*(X86/H86),"0")</f>
        <v>3.787878787878788E-2</v>
      </c>
      <c r="BP86" s="78">
        <f>IFERROR(1/J86*(Y86/H86),"0")</f>
        <v>3.787878787878788E-2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5</v>
      </c>
      <c r="Y87" s="43">
        <f>IFERROR(Y83/H83,"0")+IFERROR(Y84/H84,"0")+IFERROR(Y85/H85,"0")+IFERROR(Y86/H86,"0")</f>
        <v>5</v>
      </c>
      <c r="Z87" s="43">
        <f>IFERROR(IF(Z83="",0,Z83),"0")+IFERROR(IF(Z84="",0,Z84),"0")+IFERROR(IF(Z85="",0,Z85),"0")+IFERROR(IF(Z86="",0,Z86),"0")</f>
        <v>4.5100000000000001E-2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22.5</v>
      </c>
      <c r="Y88" s="43">
        <f>IFERROR(SUM(Y83:Y86),"0")</f>
        <v>22.5</v>
      </c>
      <c r="Z88" s="42"/>
      <c r="AA88" s="67"/>
      <c r="AB88" s="67"/>
      <c r="AC88" s="67"/>
    </row>
    <row r="89" spans="1:68" ht="14.25" hidden="1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16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16.975802469135804</v>
      </c>
      <c r="BN90" s="78">
        <f>IFERROR(Y90*I90/H90,"0")</f>
        <v>17.187999999999999</v>
      </c>
      <c r="BO90" s="78">
        <f>IFERROR(1/J90*(X90/H90),"0")</f>
        <v>3.0864197530864199E-2</v>
      </c>
      <c r="BP90" s="78">
        <f>IFERROR(1/J90*(Y90/H90),"0")</f>
        <v>3.125E-2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13.5</v>
      </c>
      <c r="Y92" s="55">
        <f>IFERROR(IF(X92="",0,CEILING((X92/$H92),1)*$H92),"")</f>
        <v>13.5</v>
      </c>
      <c r="Z92" s="41">
        <f>IFERROR(IF(Y92=0,"",ROUNDUP(Y92/H92,0)*0.00651),"")</f>
        <v>3.2550000000000003E-2</v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14.759999999999998</v>
      </c>
      <c r="BN92" s="78">
        <f>IFERROR(Y92*I92/H92,"0")</f>
        <v>14.759999999999998</v>
      </c>
      <c r="BO92" s="78">
        <f>IFERROR(1/J92*(X92/H92),"0")</f>
        <v>2.7472527472527476E-2</v>
      </c>
      <c r="BP92" s="78">
        <f>IFERROR(1/J92*(Y92/H92),"0")</f>
        <v>2.7472527472527476E-2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6.9753086419753085</v>
      </c>
      <c r="Y94" s="43">
        <f>IFERROR(Y90/H90,"0")+IFERROR(Y91/H91,"0")+IFERROR(Y92/H92,"0")+IFERROR(Y93/H93,"0")</f>
        <v>7</v>
      </c>
      <c r="Z94" s="43">
        <f>IFERROR(IF(Z90="",0,Z90),"0")+IFERROR(IF(Z91="",0,Z91),"0")+IFERROR(IF(Z92="",0,Z92),"0")+IFERROR(IF(Z93="",0,Z93),"0")</f>
        <v>7.0510000000000003E-2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29.5</v>
      </c>
      <c r="Y95" s="43">
        <f>IFERROR(SUM(Y90:Y93),"0")</f>
        <v>29.7</v>
      </c>
      <c r="Z95" s="42"/>
      <c r="AA95" s="67"/>
      <c r="AB95" s="67"/>
      <c r="AC95" s="67"/>
    </row>
    <row r="96" spans="1:68" ht="16.5" hidden="1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/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/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150</v>
      </c>
      <c r="Y116" s="55">
        <f>IFERROR(IF(X116="",0,CEILING((X116/$H116),1)*$H116),"")</f>
        <v>153.9</v>
      </c>
      <c r="Z116" s="41">
        <f>IFERROR(IF(Y116=0,"",ROUNDUP(Y116/H116,0)*0.01898),"")</f>
        <v>0.36062</v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159.03703703703701</v>
      </c>
      <c r="BN116" s="78">
        <f>IFERROR(Y116*I116/H116,"0")</f>
        <v>163.172</v>
      </c>
      <c r="BO116" s="78">
        <f>IFERROR(1/J116*(X116/H116),"0")</f>
        <v>0.28935185185185186</v>
      </c>
      <c r="BP116" s="78">
        <f>IFERROR(1/J116*(Y116/H116),"0")</f>
        <v>0.296875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16.2</v>
      </c>
      <c r="Y118" s="55">
        <f>IFERROR(IF(X118="",0,CEILING((X118/$H118),1)*$H118),"")</f>
        <v>16.200000000000003</v>
      </c>
      <c r="Z118" s="41">
        <f>IFERROR(IF(Y118=0,"",ROUNDUP(Y118/H118,0)*0.00651),"")</f>
        <v>3.9059999999999997E-2</v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17.711999999999996</v>
      </c>
      <c r="BN118" s="78">
        <f>IFERROR(Y118*I118/H118,"0")</f>
        <v>17.712000000000003</v>
      </c>
      <c r="BO118" s="78">
        <f>IFERROR(1/J118*(X118/H118),"0")</f>
        <v>3.2967032967032968E-2</v>
      </c>
      <c r="BP118" s="78">
        <f>IFERROR(1/J118*(Y118/H118),"0")</f>
        <v>3.2967032967032975E-2</v>
      </c>
    </row>
    <row r="119" spans="1:68" ht="16.5" hidden="1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24.518518518518519</v>
      </c>
      <c r="Y120" s="43">
        <f>IFERROR(Y116/H116,"0")+IFERROR(Y117/H117,"0")+IFERROR(Y118/H118,"0")+IFERROR(Y119/H119,"0")</f>
        <v>25</v>
      </c>
      <c r="Z120" s="43">
        <f>IFERROR(IF(Z116="",0,Z116),"0")+IFERROR(IF(Z117="",0,Z117),"0")+IFERROR(IF(Z118="",0,Z118),"0")+IFERROR(IF(Z119="",0,Z119),"0")</f>
        <v>0.39967999999999998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166.2</v>
      </c>
      <c r="Y121" s="43">
        <f>IFERROR(SUM(Y116:Y119),"0")</f>
        <v>170.10000000000002</v>
      </c>
      <c r="Z121" s="42"/>
      <c r="AA121" s="67"/>
      <c r="AB121" s="67"/>
      <c r="AC121" s="67"/>
    </row>
    <row r="122" spans="1:68" ht="14.25" hidden="1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1.98</v>
      </c>
      <c r="Y153" s="55">
        <f t="shared" si="16"/>
        <v>1.98</v>
      </c>
      <c r="Z153" s="41">
        <f t="shared" si="17"/>
        <v>6.5100000000000002E-3</v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2.2589999999999999</v>
      </c>
      <c r="BN153" s="78">
        <f t="shared" si="19"/>
        <v>2.2589999999999999</v>
      </c>
      <c r="BO153" s="78">
        <f t="shared" si="20"/>
        <v>5.4945054945054949E-3</v>
      </c>
      <c r="BP153" s="78">
        <f t="shared" si="21"/>
        <v>5.4945054945054949E-3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1</v>
      </c>
      <c r="Y155" s="43">
        <f>IFERROR(Y148/H148,"0")+IFERROR(Y149/H149,"0")+IFERROR(Y150/H150,"0")+IFERROR(Y151/H151,"0")+IFERROR(Y152/H152,"0")+IFERROR(Y153/H153,"0")+IFERROR(Y154/H154,"0")</f>
        <v>1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6.5100000000000002E-3</v>
      </c>
      <c r="AA155" s="67"/>
      <c r="AB155" s="67"/>
      <c r="AC155" s="67"/>
    </row>
    <row r="156" spans="1:68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1.98</v>
      </c>
      <c r="Y156" s="43">
        <f>IFERROR(SUM(Y148:Y154),"0")</f>
        <v>1.98</v>
      </c>
      <c r="Z156" s="42"/>
      <c r="AA156" s="67"/>
      <c r="AB156" s="67"/>
      <c r="AC156" s="67"/>
    </row>
    <row r="157" spans="1:68" ht="14.25" hidden="1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25</v>
      </c>
      <c r="Y174" s="55">
        <f t="shared" ref="Y174:Y184" si="22">IFERROR(IF(X174="",0,CEILING((X174/$H174),1)*$H174),"")</f>
        <v>28</v>
      </c>
      <c r="Z174" s="41">
        <f>IFERROR(IF(Y174=0,"",ROUNDUP(Y174/H174,0)*0.00902),"")</f>
        <v>7.2160000000000002E-2</v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26.357142857142858</v>
      </c>
      <c r="BN174" s="78">
        <f t="shared" ref="BN174:BN184" si="24">IFERROR(Y174*I174/H174,"0")</f>
        <v>29.52</v>
      </c>
      <c r="BO174" s="78">
        <f t="shared" ref="BO174:BO184" si="25">IFERROR(1/J174*(X174/H174),"0")</f>
        <v>5.4112554112554119E-2</v>
      </c>
      <c r="BP174" s="78">
        <f t="shared" ref="BP174:BP184" si="26">IFERROR(1/J174*(Y174/H174),"0")</f>
        <v>6.0606060606060608E-2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/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</v>
      </c>
      <c r="Y176" s="55">
        <f t="shared" si="22"/>
        <v>31.5</v>
      </c>
      <c r="Z176" s="41">
        <f>IFERROR(IF(Y176=0,"",ROUNDUP(Y176/H176,0)*0.00902),"")</f>
        <v>8.1180000000000002E-2</v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31.62857142857143</v>
      </c>
      <c r="BN176" s="78">
        <f t="shared" si="24"/>
        <v>33.21</v>
      </c>
      <c r="BO176" s="78">
        <f t="shared" si="25"/>
        <v>6.4935064935064929E-2</v>
      </c>
      <c r="BP176" s="78">
        <f t="shared" si="26"/>
        <v>6.8181818181818177E-2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22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126.51428571428572</v>
      </c>
      <c r="BN177" s="78">
        <f t="shared" si="24"/>
        <v>129.15</v>
      </c>
      <c r="BO177" s="78">
        <f t="shared" si="25"/>
        <v>0.25974025974025972</v>
      </c>
      <c r="BP177" s="78">
        <f t="shared" si="26"/>
        <v>0.26515151515151514</v>
      </c>
    </row>
    <row r="178" spans="1:68" ht="16.5" hidden="1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8.4</v>
      </c>
      <c r="Y179" s="55">
        <f t="shared" si="22"/>
        <v>8.4</v>
      </c>
      <c r="Z179" s="41">
        <f>IFERROR(IF(Y179=0,"",ROUNDUP(Y179/H179,0)*0.00502),"")</f>
        <v>2.5100000000000001E-2</v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8.9000000000000021</v>
      </c>
      <c r="BN179" s="78">
        <f t="shared" si="24"/>
        <v>8.9000000000000021</v>
      </c>
      <c r="BO179" s="78">
        <f t="shared" si="25"/>
        <v>2.1367521367521368E-2</v>
      </c>
      <c r="BP179" s="78">
        <f t="shared" si="26"/>
        <v>2.1367521367521368E-2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11.76</v>
      </c>
      <c r="Y182" s="55">
        <f t="shared" si="22"/>
        <v>11.76</v>
      </c>
      <c r="Z182" s="41">
        <f>IFERROR(IF(Y182=0,"",ROUNDUP(Y182/H182,0)*0.00502),"")</f>
        <v>3.5140000000000005E-2</v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12.46</v>
      </c>
      <c r="BN182" s="78">
        <f t="shared" si="24"/>
        <v>12.46</v>
      </c>
      <c r="BO182" s="78">
        <f t="shared" si="25"/>
        <v>2.9914529914529919E-2</v>
      </c>
      <c r="BP182" s="78">
        <f t="shared" si="26"/>
        <v>2.9914529914529919E-2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11.76</v>
      </c>
      <c r="Y184" s="55">
        <f t="shared" si="22"/>
        <v>11.76</v>
      </c>
      <c r="Z184" s="41">
        <f>IFERROR(IF(Y184=0,"",ROUNDUP(Y184/H184,0)*0.00502),"")</f>
        <v>3.5140000000000005E-2</v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12.46</v>
      </c>
      <c r="BN184" s="78">
        <f t="shared" si="24"/>
        <v>12.46</v>
      </c>
      <c r="BO184" s="78">
        <f t="shared" si="25"/>
        <v>2.9914529914529919E-2</v>
      </c>
      <c r="BP184" s="78">
        <f t="shared" si="26"/>
        <v>2.9914529914529919E-2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69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71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0.56441999999999992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206.92</v>
      </c>
      <c r="Y186" s="43">
        <f>IFERROR(SUM(Y174:Y184),"0")</f>
        <v>213.92</v>
      </c>
      <c r="Z186" s="42"/>
      <c r="AA186" s="67"/>
      <c r="AB186" s="67"/>
      <c r="AC186" s="67"/>
    </row>
    <row r="187" spans="1:68" ht="14.25" hidden="1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2.52</v>
      </c>
      <c r="Y189" s="55">
        <f>IFERROR(IF(X189="",0,CEILING((X189/$H189),1)*$H189),"")</f>
        <v>2.52</v>
      </c>
      <c r="Z189" s="41">
        <f>IFERROR(IF(Y189=0,"",ROUNDUP(Y189/H189,0)*0.00651),"")</f>
        <v>6.5100000000000002E-3</v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2.766</v>
      </c>
      <c r="BN189" s="78">
        <f>IFERROR(Y189*I189/H189,"0")</f>
        <v>2.766</v>
      </c>
      <c r="BO189" s="78">
        <f>IFERROR(1/J189*(X189/H189),"0")</f>
        <v>5.4945054945054949E-3</v>
      </c>
      <c r="BP189" s="78">
        <f>IFERROR(1/J189*(Y189/H189),"0")</f>
        <v>5.4945054945054949E-3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1</v>
      </c>
      <c r="Y191" s="43">
        <f>IFERROR(Y188/H188,"0")+IFERROR(Y189/H189,"0")+IFERROR(Y190/H190,"0")</f>
        <v>1</v>
      </c>
      <c r="Z191" s="43">
        <f>IFERROR(IF(Z188="",0,Z188),"0")+IFERROR(IF(Z189="",0,Z189),"0")+IFERROR(IF(Z190="",0,Z190),"0")</f>
        <v>6.5100000000000002E-3</v>
      </c>
      <c r="AA191" s="67"/>
      <c r="AB191" s="67"/>
      <c r="AC191" s="67"/>
    </row>
    <row r="192" spans="1:68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2.52</v>
      </c>
      <c r="Y192" s="43">
        <f>IFERROR(SUM(Y188:Y190),"0")</f>
        <v>2.52</v>
      </c>
      <c r="Z192" s="42"/>
      <c r="AA192" s="67"/>
      <c r="AB192" s="67"/>
      <c r="AC192" s="67"/>
    </row>
    <row r="193" spans="1:68" ht="14.25" hidden="1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130</v>
      </c>
      <c r="Y265" s="55">
        <f t="shared" ref="Y265:Y272" si="39">IFERROR(IF(X265="",0,CEILING((X265/$H265),1)*$H265),"")</f>
        <v>135</v>
      </c>
      <c r="Z265" s="41">
        <f>IFERROR(IF(Y265=0,"",ROUNDUP(Y265/H265,0)*0.00902),"")</f>
        <v>0.22550000000000001</v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134.57407407407405</v>
      </c>
      <c r="BN265" s="78">
        <f t="shared" ref="BN265:BN272" si="41">IFERROR(Y265*I265/H265,"0")</f>
        <v>139.75</v>
      </c>
      <c r="BO265" s="78">
        <f t="shared" ref="BO265:BO272" si="42">IFERROR(1/J265*(X265/H265),"0")</f>
        <v>0.18237934904601572</v>
      </c>
      <c r="BP265" s="78">
        <f t="shared" ref="BP265:BP272" si="43">IFERROR(1/J265*(Y265/H265),"0")</f>
        <v>0.18939393939393939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/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si="39"/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82.81481481481481</v>
      </c>
      <c r="BN267" s="78">
        <f t="shared" si="41"/>
        <v>83.85</v>
      </c>
      <c r="BO267" s="78">
        <f t="shared" si="42"/>
        <v>0.11223344556677889</v>
      </c>
      <c r="BP267" s="78">
        <f t="shared" si="43"/>
        <v>0.11363636363636363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100</v>
      </c>
      <c r="Y268" s="55">
        <f t="shared" si="39"/>
        <v>102.60000000000001</v>
      </c>
      <c r="Z268" s="41">
        <f>IFERROR(IF(Y268=0,"",ROUNDUP(Y268/H268,0)*0.00902),"")</f>
        <v>0.17138</v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103.5185185185185</v>
      </c>
      <c r="BN268" s="78">
        <f t="shared" si="41"/>
        <v>106.21</v>
      </c>
      <c r="BO268" s="78">
        <f t="shared" si="42"/>
        <v>0.14029180695847362</v>
      </c>
      <c r="BP268" s="78">
        <f t="shared" si="43"/>
        <v>0.14393939393939395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1.8</v>
      </c>
      <c r="Y269" s="55">
        <f t="shared" si="39"/>
        <v>1.8</v>
      </c>
      <c r="Z269" s="41">
        <f>IFERROR(IF(Y269=0,"",ROUNDUP(Y269/H269,0)*0.00502),"")</f>
        <v>5.0200000000000002E-3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1.9299999999999997</v>
      </c>
      <c r="BN269" s="78">
        <f t="shared" si="41"/>
        <v>1.9299999999999997</v>
      </c>
      <c r="BO269" s="78">
        <f t="shared" si="42"/>
        <v>4.2735042735042739E-3</v>
      </c>
      <c r="BP269" s="78">
        <f t="shared" si="43"/>
        <v>4.2735042735042739E-3</v>
      </c>
    </row>
    <row r="270" spans="1:68" ht="27" hidden="1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58.407407407407405</v>
      </c>
      <c r="Y273" s="43">
        <f>IFERROR(Y265/H265,"0")+IFERROR(Y266/H266,"0")+IFERROR(Y267/H267,"0")+IFERROR(Y268/H268,"0")+IFERROR(Y269/H269,"0")+IFERROR(Y270/H270,"0")+IFERROR(Y271/H271,"0")+IFERROR(Y272/H272,"0")</f>
        <v>60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0.53720000000000001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311.8</v>
      </c>
      <c r="Y274" s="43">
        <f>IFERROR(SUM(Y265:Y272),"0")</f>
        <v>320.40000000000003</v>
      </c>
      <c r="Z274" s="42"/>
      <c r="AA274" s="67"/>
      <c r="AB274" s="67"/>
      <c r="AC274" s="67"/>
    </row>
    <row r="275" spans="1:68" ht="14.25" hidden="1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16</v>
      </c>
      <c r="Y276" s="55">
        <f t="shared" ref="Y276:Y287" si="44">IFERROR(IF(X276="",0,CEILING((X276/$H276),1)*$H276),"")</f>
        <v>16.2</v>
      </c>
      <c r="Z276" s="41">
        <f>IFERROR(IF(Y276=0,"",ROUNDUP(Y276/H276,0)*0.01898),"")</f>
        <v>3.7960000000000001E-2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16.975802469135804</v>
      </c>
      <c r="BN276" s="78">
        <f t="shared" ref="BN276:BN287" si="46">IFERROR(Y276*I276/H276,"0")</f>
        <v>17.187999999999999</v>
      </c>
      <c r="BO276" s="78">
        <f t="shared" ref="BO276:BO287" si="47">IFERROR(1/J276*(X276/H276),"0")</f>
        <v>3.0864197530864199E-2</v>
      </c>
      <c r="BP276" s="78">
        <f t="shared" ref="BP276:BP287" si="48">IFERROR(1/J276*(Y276/H276),"0")</f>
        <v>3.125E-2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16</v>
      </c>
      <c r="Y277" s="55">
        <f t="shared" si="44"/>
        <v>16.2</v>
      </c>
      <c r="Z277" s="41">
        <f>IFERROR(IF(Y277=0,"",ROUNDUP(Y277/H277,0)*0.01898),"")</f>
        <v>3.7960000000000001E-2</v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16.94024691358025</v>
      </c>
      <c r="BN277" s="78">
        <f t="shared" si="46"/>
        <v>17.152000000000001</v>
      </c>
      <c r="BO277" s="78">
        <f t="shared" si="47"/>
        <v>3.0864197530864199E-2</v>
      </c>
      <c r="BP277" s="78">
        <f t="shared" si="48"/>
        <v>3.125E-2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9.6</v>
      </c>
      <c r="Y282" s="55">
        <f t="shared" si="44"/>
        <v>9.6</v>
      </c>
      <c r="Z282" s="41">
        <f>IFERROR(IF(Y282=0,"",ROUNDUP(Y282/H282,0)*0.00651),"")</f>
        <v>2.6040000000000001E-2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10.608000000000001</v>
      </c>
      <c r="BN282" s="78">
        <f t="shared" si="46"/>
        <v>10.608000000000001</v>
      </c>
      <c r="BO282" s="78">
        <f t="shared" si="47"/>
        <v>2.197802197802198E-2</v>
      </c>
      <c r="BP282" s="78">
        <f t="shared" si="48"/>
        <v>2.197802197802198E-2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7.9506172839506171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0.10196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41.6</v>
      </c>
      <c r="Y289" s="43">
        <f>IFERROR(SUM(Y276:Y287),"0")</f>
        <v>42</v>
      </c>
      <c r="Z289" s="42"/>
      <c r="AA289" s="67"/>
      <c r="AB289" s="67"/>
      <c r="AC289" s="67"/>
    </row>
    <row r="290" spans="1:68" ht="14.25" hidden="1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4.6296296296296298</v>
      </c>
      <c r="Y327" s="43">
        <f>IFERROR(Y322/H322,"0")+IFERROR(Y323/H323,"0")+IFERROR(Y324/H324,"0")+IFERROR(Y325/H325,"0")+IFERROR(Y326/H326,"0")</f>
        <v>5</v>
      </c>
      <c r="Z327" s="43">
        <f>IFERROR(IF(Z322="",0,Z322),"0")+IFERROR(IF(Z323="",0,Z323),"0")+IFERROR(IF(Z324="",0,Z324),"0")+IFERROR(IF(Z325="",0,Z325),"0")+IFERROR(IF(Z326="",0,Z326),"0")</f>
        <v>9.4899999999999998E-2</v>
      </c>
      <c r="AA327" s="67"/>
      <c r="AB327" s="67"/>
      <c r="AC327" s="67"/>
    </row>
    <row r="328" spans="1:68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50</v>
      </c>
      <c r="Y328" s="43">
        <f>IFERROR(SUM(Y322:Y326),"0")</f>
        <v>54</v>
      </c>
      <c r="Z328" s="42"/>
      <c r="AA328" s="67"/>
      <c r="AB328" s="67"/>
      <c r="AC328" s="67"/>
    </row>
    <row r="329" spans="1:68" ht="16.5" hidden="1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7.8</v>
      </c>
      <c r="Y353" s="55">
        <f>IFERROR(IF(X353="",0,CEILING((X353/$H353),1)*$H353),"")</f>
        <v>7.8</v>
      </c>
      <c r="Z353" s="41">
        <f>IFERROR(IF(Y353=0,"",ROUNDUP(Y353/H353,0)*0.01898),"")</f>
        <v>1.898E-2</v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8.2100000000000009</v>
      </c>
      <c r="BN353" s="78">
        <f>IFERROR(Y353*I353/H353,"0")</f>
        <v>8.2100000000000009</v>
      </c>
      <c r="BO353" s="78">
        <f>IFERROR(1/J353*(X353/H353),"0")</f>
        <v>1.5625E-2</v>
      </c>
      <c r="BP353" s="78">
        <f>IFERROR(1/J353*(Y353/H353),"0")</f>
        <v>1.5625E-2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7.8</v>
      </c>
      <c r="Y354" s="55">
        <f>IFERROR(IF(X354="",0,CEILING((X354/$H354),1)*$H354),"")</f>
        <v>7.8</v>
      </c>
      <c r="Z354" s="41">
        <f>IFERROR(IF(Y354=0,"",ROUNDUP(Y354/H354,0)*0.01898),"")</f>
        <v>1.898E-2</v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8.2100000000000009</v>
      </c>
      <c r="BN354" s="78">
        <f>IFERROR(Y354*I354/H354,"0")</f>
        <v>8.2100000000000009</v>
      </c>
      <c r="BO354" s="78">
        <f>IFERROR(1/J354*(X354/H354),"0")</f>
        <v>1.5625E-2</v>
      </c>
      <c r="BP354" s="78">
        <f>IFERROR(1/J354*(Y354/H354),"0")</f>
        <v>1.5625E-2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2</v>
      </c>
      <c r="Y355" s="43">
        <f>IFERROR(Y352/H352,"0")+IFERROR(Y353/H353,"0")+IFERROR(Y354/H354,"0")</f>
        <v>2</v>
      </c>
      <c r="Z355" s="43">
        <f>IFERROR(IF(Z352="",0,Z352),"0")+IFERROR(IF(Z353="",0,Z353),"0")+IFERROR(IF(Z354="",0,Z354),"0")</f>
        <v>3.7960000000000001E-2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15.6</v>
      </c>
      <c r="Y356" s="43">
        <f>IFERROR(SUM(Y352:Y354),"0")</f>
        <v>15.6</v>
      </c>
      <c r="Z356" s="42"/>
      <c r="AA356" s="67"/>
      <c r="AB356" s="67"/>
      <c r="AC356" s="67"/>
    </row>
    <row r="357" spans="1:68" ht="16.5" hidden="1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25</v>
      </c>
      <c r="Y368" s="55">
        <f t="shared" ref="Y368:Y374" si="59">IFERROR(IF(X368="",0,CEILING((X368/$H368),1)*$H368),"")</f>
        <v>25.200000000000003</v>
      </c>
      <c r="Z368" s="41">
        <f>IFERROR(IF(Y368=0,"",ROUNDUP(Y368/H368,0)*0.00902),"")</f>
        <v>5.4120000000000001E-2</v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26.488095238095237</v>
      </c>
      <c r="BN368" s="78">
        <f t="shared" ref="BN368:BN374" si="61">IFERROR(Y368*I368/H368,"0")</f>
        <v>26.700000000000003</v>
      </c>
      <c r="BO368" s="78">
        <f t="shared" ref="BO368:BO374" si="62">IFERROR(1/J368*(X368/H368),"0")</f>
        <v>4.5093795093795096E-2</v>
      </c>
      <c r="BP368" s="78">
        <f t="shared" ref="BP368:BP374" si="63">IFERROR(1/J368*(Y368/H368),"0")</f>
        <v>4.5454545454545456E-2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5.9523809523809526</v>
      </c>
      <c r="Y375" s="43">
        <f>IFERROR(Y368/H368,"0")+IFERROR(Y369/H369,"0")+IFERROR(Y370/H370,"0")+IFERROR(Y371/H371,"0")+IFERROR(Y372/H372,"0")+IFERROR(Y373/H373,"0")+IFERROR(Y374/H374,"0")</f>
        <v>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5.4120000000000001E-2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25</v>
      </c>
      <c r="Y376" s="43">
        <f>IFERROR(SUM(Y368:Y374),"0")</f>
        <v>25.200000000000003</v>
      </c>
      <c r="Z376" s="42"/>
      <c r="AA376" s="67"/>
      <c r="AB376" s="67"/>
      <c r="AC376" s="67"/>
    </row>
    <row r="377" spans="1:68" ht="14.25" hidden="1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/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3</v>
      </c>
      <c r="Y404" s="55">
        <f>IFERROR(IF(X404="",0,CEILING((X404/$H404),1)*$H404),"")</f>
        <v>3</v>
      </c>
      <c r="Z404" s="41">
        <f>IFERROR(IF(Y404=0,"",ROUNDUP(Y404/H404,0)*0.0045),"")</f>
        <v>4.4999999999999997E-3</v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3.22</v>
      </c>
      <c r="BN404" s="78">
        <f>IFERROR(Y404*I404/H404,"0")</f>
        <v>3.22</v>
      </c>
      <c r="BO404" s="78">
        <f>IFERROR(1/J404*(X404/H404),"0")</f>
        <v>4.464285714285714E-3</v>
      </c>
      <c r="BP404" s="78">
        <f>IFERROR(1/J404*(Y404/H404),"0")</f>
        <v>4.464285714285714E-3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3</v>
      </c>
      <c r="Y405" s="55">
        <f>IFERROR(IF(X405="",0,CEILING((X405/$H405),1)*$H405),"")</f>
        <v>3.9</v>
      </c>
      <c r="Z405" s="41">
        <f>IFERROR(IF(Y405=0,"",ROUNDUP(Y405/H405,0)*0.006),"")</f>
        <v>6.0000000000000001E-3</v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3.2076923076923078</v>
      </c>
      <c r="BN405" s="78">
        <f>IFERROR(Y405*I405/H405,"0")</f>
        <v>4.17</v>
      </c>
      <c r="BO405" s="78">
        <f>IFERROR(1/J405*(X405/H405),"0")</f>
        <v>5.341880341880342E-3</v>
      </c>
      <c r="BP405" s="78">
        <f>IFERROR(1/J405*(Y405/H405),"0")</f>
        <v>6.9444444444444441E-3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3</v>
      </c>
      <c r="Y406" s="55">
        <f>IFERROR(IF(X406="",0,CEILING((X406/$H406),1)*$H406),"")</f>
        <v>3</v>
      </c>
      <c r="Z406" s="41">
        <f>IFERROR(IF(Y406=0,"",ROUNDUP(Y406/H406,0)*0.0045),"")</f>
        <v>4.4999999999999997E-3</v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3.22</v>
      </c>
      <c r="BN406" s="78">
        <f>IFERROR(Y406*I406/H406,"0")</f>
        <v>3.22</v>
      </c>
      <c r="BO406" s="78">
        <f>IFERROR(1/J406*(X406/H406),"0")</f>
        <v>4.464285714285714E-3</v>
      </c>
      <c r="BP406" s="78">
        <f>IFERROR(1/J406*(Y406/H406),"0")</f>
        <v>4.464285714285714E-3</v>
      </c>
    </row>
    <row r="407" spans="1:68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2.7692307692307692</v>
      </c>
      <c r="Y407" s="43">
        <f>IFERROR(Y404/H404,"0")+IFERROR(Y405/H405,"0")+IFERROR(Y406/H406,"0")</f>
        <v>3</v>
      </c>
      <c r="Z407" s="43">
        <f>IFERROR(IF(Z404="",0,Z404),"0")+IFERROR(IF(Z405="",0,Z405),"0")+IFERROR(IF(Z406="",0,Z406),"0")</f>
        <v>1.4999999999999999E-2</v>
      </c>
      <c r="AA407" s="67"/>
      <c r="AB407" s="67"/>
      <c r="AC407" s="67"/>
    </row>
    <row r="408" spans="1:68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9</v>
      </c>
      <c r="Y408" s="43">
        <f>IFERROR(SUM(Y404:Y406),"0")</f>
        <v>9.9</v>
      </c>
      <c r="Z408" s="42"/>
      <c r="AA408" s="67"/>
      <c r="AB408" s="67"/>
      <c r="AC408" s="67"/>
    </row>
    <row r="409" spans="1:68" ht="16.5" hidden="1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7.8</v>
      </c>
      <c r="Y411" s="55">
        <f>IFERROR(IF(X411="",0,CEILING((X411/$H411),1)*$H411),"")</f>
        <v>7.8</v>
      </c>
      <c r="Z411" s="41">
        <f>IFERROR(IF(Y411=0,"",ROUNDUP(Y411/H411,0)*0.01898),"")</f>
        <v>1.898E-2</v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8.2100000000000009</v>
      </c>
      <c r="BN411" s="78">
        <f>IFERROR(Y411*I411/H411,"0")</f>
        <v>8.2100000000000009</v>
      </c>
      <c r="BO411" s="78">
        <f>IFERROR(1/J411*(X411/H411),"0")</f>
        <v>1.5625E-2</v>
      </c>
      <c r="BP411" s="78">
        <f>IFERROR(1/J411*(Y411/H411),"0")</f>
        <v>1.5625E-2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7.8</v>
      </c>
      <c r="Y412" s="55">
        <f>IFERROR(IF(X412="",0,CEILING((X412/$H412),1)*$H412),"")</f>
        <v>7.8</v>
      </c>
      <c r="Z412" s="41">
        <f>IFERROR(IF(Y412=0,"",ROUNDUP(Y412/H412,0)*0.01898),"")</f>
        <v>1.898E-2</v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8.2100000000000009</v>
      </c>
      <c r="BN412" s="78">
        <f>IFERROR(Y412*I412/H412,"0")</f>
        <v>8.2100000000000009</v>
      </c>
      <c r="BO412" s="78">
        <f>IFERROR(1/J412*(X412/H412),"0")</f>
        <v>1.5625E-2</v>
      </c>
      <c r="BP412" s="78">
        <f>IFERROR(1/J412*(Y412/H412),"0")</f>
        <v>1.5625E-2</v>
      </c>
    </row>
    <row r="413" spans="1:68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2</v>
      </c>
      <c r="Y413" s="43">
        <f>IFERROR(Y411/H411,"0")+IFERROR(Y412/H412,"0")</f>
        <v>2</v>
      </c>
      <c r="Z413" s="43">
        <f>IFERROR(IF(Z411="",0,Z411),"0")+IFERROR(IF(Z412="",0,Z412),"0")</f>
        <v>3.7960000000000001E-2</v>
      </c>
      <c r="AA413" s="67"/>
      <c r="AB413" s="67"/>
      <c r="AC413" s="67"/>
    </row>
    <row r="414" spans="1:68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15.6</v>
      </c>
      <c r="Y414" s="43">
        <f>IFERROR(SUM(Y411:Y412),"0")</f>
        <v>15.6</v>
      </c>
      <c r="Z414" s="42"/>
      <c r="AA414" s="67"/>
      <c r="AB414" s="67"/>
      <c r="AC414" s="67"/>
    </row>
    <row r="415" spans="1:68" ht="16.5" hidden="1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2.1</v>
      </c>
      <c r="Y418" s="55">
        <f>IFERROR(IF(X418="",0,CEILING((X418/$H418),1)*$H418),"")</f>
        <v>2.1</v>
      </c>
      <c r="Z418" s="41">
        <f>IFERROR(IF(Y418=0,"",ROUNDUP(Y418/H418,0)*0.00651),"")</f>
        <v>6.5100000000000002E-3</v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2.3519999999999999</v>
      </c>
      <c r="BN418" s="78">
        <f>IFERROR(Y418*I418/H418,"0")</f>
        <v>2.3519999999999999</v>
      </c>
      <c r="BO418" s="78">
        <f>IFERROR(1/J418*(X418/H418),"0")</f>
        <v>5.4945054945054949E-3</v>
      </c>
      <c r="BP418" s="78">
        <f>IFERROR(1/J418*(Y418/H418),"0")</f>
        <v>5.4945054945054949E-3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14.7</v>
      </c>
      <c r="Y419" s="55">
        <f>IFERROR(IF(X419="",0,CEILING((X419/$H419),1)*$H419),"")</f>
        <v>14.700000000000001</v>
      </c>
      <c r="Z419" s="41">
        <f>IFERROR(IF(Y419=0,"",ROUNDUP(Y419/H419,0)*0.00651),"")</f>
        <v>4.5569999999999999E-2</v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16.38</v>
      </c>
      <c r="BN419" s="78">
        <f>IFERROR(Y419*I419/H419,"0")</f>
        <v>16.380000000000003</v>
      </c>
      <c r="BO419" s="78">
        <f>IFERROR(1/J419*(X419/H419),"0")</f>
        <v>3.8461538461538457E-2</v>
      </c>
      <c r="BP419" s="78">
        <f>IFERROR(1/J419*(Y419/H419),"0")</f>
        <v>3.8461538461538464E-2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7.9999999999999991</v>
      </c>
      <c r="Y420" s="43">
        <f>IFERROR(Y417/H417,"0")+IFERROR(Y418/H418,"0")+IFERROR(Y419/H419,"0")</f>
        <v>8</v>
      </c>
      <c r="Z420" s="43">
        <f>IFERROR(IF(Z417="",0,Z417),"0")+IFERROR(IF(Z418="",0,Z418),"0")+IFERROR(IF(Z419="",0,Z419),"0")</f>
        <v>5.2080000000000001E-2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16.8</v>
      </c>
      <c r="Y421" s="43">
        <f>IFERROR(SUM(Y417:Y419),"0")</f>
        <v>16.8</v>
      </c>
      <c r="Z421" s="42"/>
      <c r="AA421" s="67"/>
      <c r="AB421" s="67"/>
      <c r="AC421" s="67"/>
    </row>
    <row r="422" spans="1:68" ht="27.75" hidden="1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/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100</v>
      </c>
      <c r="Y427" s="55">
        <f t="shared" si="64"/>
        <v>105</v>
      </c>
      <c r="Z427" s="41">
        <f>IFERROR(IF(Y427=0,"",ROUNDUP(Y427/H427,0)*0.02175),"")</f>
        <v>0.15225</v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103.13333333333334</v>
      </c>
      <c r="BN427" s="78">
        <f t="shared" si="66"/>
        <v>108.29</v>
      </c>
      <c r="BO427" s="78">
        <f t="shared" si="67"/>
        <v>0.1388888888888889</v>
      </c>
      <c r="BP427" s="78">
        <f t="shared" si="68"/>
        <v>0.14583333333333331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250</v>
      </c>
      <c r="Y428" s="55">
        <f t="shared" si="64"/>
        <v>255</v>
      </c>
      <c r="Z428" s="41">
        <f>IFERROR(IF(Y428=0,"",ROUNDUP(Y428/H428,0)*0.02175),"")</f>
        <v>0.36974999999999997</v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257.83333333333331</v>
      </c>
      <c r="BN428" s="78">
        <f t="shared" si="66"/>
        <v>262.99</v>
      </c>
      <c r="BO428" s="78">
        <f t="shared" si="67"/>
        <v>0.34722222222222221</v>
      </c>
      <c r="BP428" s="78">
        <f t="shared" si="68"/>
        <v>0.35416666666666663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23.333333333333336</v>
      </c>
      <c r="Y433" s="43">
        <f>IFERROR(Y425/H425,"0")+IFERROR(Y426/H426,"0")+IFERROR(Y427/H427,"0")+IFERROR(Y428/H428,"0")+IFERROR(Y429/H429,"0")+IFERROR(Y430/H430,"0")+IFERROR(Y431/H431,"0")+IFERROR(Y432/H432,"0")</f>
        <v>24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0.52200000000000002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350</v>
      </c>
      <c r="Y434" s="43">
        <f>IFERROR(SUM(Y425:Y432),"0")</f>
        <v>360</v>
      </c>
      <c r="Z434" s="42"/>
      <c r="AA434" s="67"/>
      <c r="AB434" s="67"/>
      <c r="AC434" s="67"/>
    </row>
    <row r="435" spans="1:68" ht="14.25" hidden="1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150</v>
      </c>
      <c r="Y436" s="55">
        <f>IFERROR(IF(X436="",0,CEILING((X436/$H436),1)*$H436),"")</f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154.69999999999999</v>
      </c>
      <c r="BN436" s="78">
        <f>IFERROR(Y436*I436/H436,"0")</f>
        <v>154.69999999999999</v>
      </c>
      <c r="BO436" s="78">
        <f>IFERROR(1/J436*(X436/H436),"0")</f>
        <v>0.20833333333333331</v>
      </c>
      <c r="BP436" s="78">
        <f>IFERROR(1/J436*(Y436/H436),"0")</f>
        <v>0.20833333333333331</v>
      </c>
    </row>
    <row r="437" spans="1:68" ht="27" hidden="1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10</v>
      </c>
      <c r="Y439" s="43">
        <f>IFERROR(Y436/H436,"0")+IFERROR(Y437/H437,"0")+IFERROR(Y438/H438,"0")</f>
        <v>10</v>
      </c>
      <c r="Z439" s="43">
        <f>IFERROR(IF(Z436="",0,Z436),"0")+IFERROR(IF(Z437="",0,Z437),"0")+IFERROR(IF(Z438="",0,Z438),"0")</f>
        <v>0.21749999999999997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150</v>
      </c>
      <c r="Y440" s="43">
        <f>IFERROR(SUM(Y436:Y438),"0")</f>
        <v>150</v>
      </c>
      <c r="Z440" s="42"/>
      <c r="AA440" s="67"/>
      <c r="AB440" s="67"/>
      <c r="AC440" s="67"/>
    </row>
    <row r="441" spans="1:68" ht="14.25" hidden="1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20</v>
      </c>
      <c r="Y454" s="55">
        <f>IFERROR(IF(X454="",0,CEILING((X454/$H454),1)*$H454),"")</f>
        <v>24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20.683333333333334</v>
      </c>
      <c r="BN454" s="78">
        <f>IFERROR(Y454*I454/H454,"0")</f>
        <v>24.820000000000004</v>
      </c>
      <c r="BO454" s="78">
        <f>IFERROR(1/J454*(X454/H454),"0")</f>
        <v>2.6041666666666668E-2</v>
      </c>
      <c r="BP454" s="78">
        <f>IFERROR(1/J454*(Y454/H454),"0")</f>
        <v>3.125E-2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1.6666666666666667</v>
      </c>
      <c r="Y456" s="43">
        <f>IFERROR(Y454/H454,"0")+IFERROR(Y455/H455,"0")</f>
        <v>2</v>
      </c>
      <c r="Z456" s="43">
        <f>IFERROR(IF(Z454="",0,Z454),"0")+IFERROR(IF(Z455="",0,Z455),"0")</f>
        <v>3.7960000000000001E-2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20</v>
      </c>
      <c r="Y457" s="43">
        <f>IFERROR(SUM(Y454:Y455),"0")</f>
        <v>24</v>
      </c>
      <c r="Z457" s="42"/>
      <c r="AA457" s="67"/>
      <c r="AB457" s="67"/>
      <c r="AC457" s="67"/>
    </row>
    <row r="458" spans="1:68" ht="14.25" hidden="1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/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/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20</v>
      </c>
      <c r="Y490" s="55">
        <f>IFERROR(IF(X490="",0,CEILING((X490/$H490),1)*$H490),"")</f>
        <v>21.6</v>
      </c>
      <c r="Z490" s="41">
        <f>IFERROR(IF(Y490=0,"",ROUNDUP(Y490/H490,0)*0.00902),"")</f>
        <v>3.6080000000000001E-2</v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20.703703703703702</v>
      </c>
      <c r="BN490" s="78">
        <f>IFERROR(Y490*I490/H490,"0")</f>
        <v>22.36</v>
      </c>
      <c r="BO490" s="78">
        <f>IFERROR(1/J490*(X490/H490),"0")</f>
        <v>2.8058361391694722E-2</v>
      </c>
      <c r="BP490" s="78">
        <f>IFERROR(1/J490*(Y490/H490),"0")</f>
        <v>3.0303030303030304E-2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3.7037037037037033</v>
      </c>
      <c r="Y493" s="43">
        <f>IFERROR(Y490/H490,"0")+IFERROR(Y491/H491,"0")+IFERROR(Y492/H492,"0")</f>
        <v>4</v>
      </c>
      <c r="Z493" s="43">
        <f>IFERROR(IF(Z490="",0,Z490),"0")+IFERROR(IF(Z491="",0,Z491),"0")+IFERROR(IF(Z492="",0,Z492),"0")</f>
        <v>3.6080000000000001E-2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20</v>
      </c>
      <c r="Y494" s="43">
        <f>IFERROR(SUM(Y490:Y492),"0")</f>
        <v>21.6</v>
      </c>
      <c r="Z494" s="42"/>
      <c r="AA494" s="67"/>
      <c r="AB494" s="67"/>
      <c r="AC494" s="67"/>
    </row>
    <row r="495" spans="1:68" ht="27.75" hidden="1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15</v>
      </c>
      <c r="Y498" s="55">
        <f t="shared" ref="Y498:Y506" si="74">IFERROR(IF(X498="",0,CEILING((X498/$H498),1)*$H498),"")</f>
        <v>15.84</v>
      </c>
      <c r="Z498" s="41">
        <f t="shared" ref="Z498:Z503" si="75">IFERROR(IF(Y498=0,"",ROUNDUP(Y498/H498,0)*0.01196),"")</f>
        <v>3.5880000000000002E-2</v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15.994318181818182</v>
      </c>
      <c r="BN498" s="78">
        <f t="shared" ref="BN498:BN506" si="77">IFERROR(Y498*I498/H498,"0")</f>
        <v>16.889999999999997</v>
      </c>
      <c r="BO498" s="78">
        <f t="shared" ref="BO498:BO506" si="78">IFERROR(1/J498*(X498/H498),"0")</f>
        <v>2.7316433566433568E-2</v>
      </c>
      <c r="BP498" s="78">
        <f t="shared" ref="BP498:BP506" si="79">IFERROR(1/J498*(Y498/H498),"0")</f>
        <v>2.8846153846153848E-2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/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60</v>
      </c>
      <c r="Y501" s="55">
        <f t="shared" si="74"/>
        <v>63.36</v>
      </c>
      <c r="Z501" s="41">
        <f t="shared" si="75"/>
        <v>0.14352000000000001</v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63.977272727272727</v>
      </c>
      <c r="BN501" s="78">
        <f t="shared" si="77"/>
        <v>67.559999999999988</v>
      </c>
      <c r="BO501" s="78">
        <f t="shared" si="78"/>
        <v>0.10926573426573427</v>
      </c>
      <c r="BP501" s="78">
        <f t="shared" si="79"/>
        <v>0.11538461538461539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/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14.204545454545453</v>
      </c>
      <c r="Y507" s="43">
        <f>IFERROR(Y498/H498,"0")+IFERROR(Y499/H499,"0")+IFERROR(Y500/H500,"0")+IFERROR(Y501/H501,"0")+IFERROR(Y502/H502,"0")+IFERROR(Y503/H503,"0")+IFERROR(Y504/H504,"0")+IFERROR(Y505/H505,"0")+IFERROR(Y506/H506,"0")</f>
        <v>15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0.1794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75</v>
      </c>
      <c r="Y508" s="43">
        <f>IFERROR(SUM(Y498:Y506),"0")</f>
        <v>79.2</v>
      </c>
      <c r="Z508" s="42"/>
      <c r="AA508" s="67"/>
      <c r="AB508" s="67"/>
      <c r="AC508" s="67"/>
    </row>
    <row r="509" spans="1:68" ht="14.25" hidden="1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60</v>
      </c>
      <c r="Y510" s="55">
        <f>IFERROR(IF(X510="",0,CEILING((X510/$H510),1)*$H510),"")</f>
        <v>63.36</v>
      </c>
      <c r="Z510" s="41">
        <f>IFERROR(IF(Y510=0,"",ROUNDUP(Y510/H510,0)*0.01196),"")</f>
        <v>0.14352000000000001</v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63.977272727272727</v>
      </c>
      <c r="BN510" s="78">
        <f>IFERROR(Y510*I510/H510,"0")</f>
        <v>67.559999999999988</v>
      </c>
      <c r="BO510" s="78">
        <f>IFERROR(1/J510*(X510/H510),"0")</f>
        <v>0.10926573426573427</v>
      </c>
      <c r="BP510" s="78">
        <f>IFERROR(1/J510*(Y510/H510),"0")</f>
        <v>0.11538461538461539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11.363636363636363</v>
      </c>
      <c r="Y513" s="43">
        <f>IFERROR(Y510/H510,"0")+IFERROR(Y511/H511,"0")+IFERROR(Y512/H512,"0")</f>
        <v>12</v>
      </c>
      <c r="Z513" s="43">
        <f>IFERROR(IF(Z510="",0,Z510),"0")+IFERROR(IF(Z511="",0,Z511),"0")+IFERROR(IF(Z512="",0,Z512),"0")</f>
        <v>0.14352000000000001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60</v>
      </c>
      <c r="Y514" s="43">
        <f>IFERROR(SUM(Y510:Y512),"0")</f>
        <v>63.36</v>
      </c>
      <c r="Z514" s="42"/>
      <c r="AA514" s="67"/>
      <c r="AB514" s="67"/>
      <c r="AC514" s="67"/>
    </row>
    <row r="515" spans="1:68" ht="14.25" hidden="1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20</v>
      </c>
      <c r="Y516" s="55">
        <f t="shared" ref="Y516:Y522" si="80">IFERROR(IF(X516="",0,CEILING((X516/$H516),1)*$H516),"")</f>
        <v>21.12</v>
      </c>
      <c r="Z516" s="41">
        <f>IFERROR(IF(Y516=0,"",ROUNDUP(Y516/H516,0)*0.01196),"")</f>
        <v>4.7840000000000001E-2</v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21.325757575757574</v>
      </c>
      <c r="BN516" s="78">
        <f t="shared" ref="BN516:BN522" si="82">IFERROR(Y516*I516/H516,"0")</f>
        <v>22.52</v>
      </c>
      <c r="BO516" s="78">
        <f t="shared" ref="BO516:BO522" si="83">IFERROR(1/J516*(X516/H516),"0")</f>
        <v>3.6421911421911424E-2</v>
      </c>
      <c r="BP516" s="78">
        <f t="shared" ref="BP516:BP522" si="84">IFERROR(1/J516*(Y516/H516),"0")</f>
        <v>3.8461538461538464E-2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15</v>
      </c>
      <c r="Y517" s="55">
        <f t="shared" si="80"/>
        <v>15.84</v>
      </c>
      <c r="Z517" s="41">
        <f>IFERROR(IF(Y517=0,"",ROUNDUP(Y517/H517,0)*0.01196),"")</f>
        <v>3.5880000000000002E-2</v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15.994318181818182</v>
      </c>
      <c r="BN517" s="78">
        <f t="shared" si="82"/>
        <v>16.889999999999997</v>
      </c>
      <c r="BO517" s="78">
        <f t="shared" si="83"/>
        <v>2.7316433566433568E-2</v>
      </c>
      <c r="BP517" s="78">
        <f t="shared" si="84"/>
        <v>2.8846153846153848E-2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si="80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53.314393939393938</v>
      </c>
      <c r="BN518" s="78">
        <f t="shared" si="82"/>
        <v>56.3</v>
      </c>
      <c r="BO518" s="78">
        <f t="shared" si="83"/>
        <v>9.1054778554778545E-2</v>
      </c>
      <c r="BP518" s="78">
        <f t="shared" si="84"/>
        <v>9.6153846153846159E-2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16.098484848484848</v>
      </c>
      <c r="Y523" s="43">
        <f>IFERROR(Y516/H516,"0")+IFERROR(Y517/H517,"0")+IFERROR(Y518/H518,"0")+IFERROR(Y519/H519,"0")+IFERROR(Y520/H520,"0")+IFERROR(Y521/H521,"0")+IFERROR(Y522/H522,"0")</f>
        <v>17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0.20332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85</v>
      </c>
      <c r="Y524" s="43">
        <f>IFERROR(SUM(Y516:Y522),"0")</f>
        <v>89.76</v>
      </c>
      <c r="Z524" s="42"/>
      <c r="AA524" s="67"/>
      <c r="AB524" s="67"/>
      <c r="AC524" s="67"/>
    </row>
    <row r="525" spans="1:68" ht="27.75" hidden="1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/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100</v>
      </c>
      <c r="Y540" s="55">
        <f>IFERROR(IF(X540="",0,CEILING((X540/$H540),1)*$H540),"")</f>
        <v>108</v>
      </c>
      <c r="Z540" s="41">
        <f>IFERROR(IF(Y540=0,"",ROUNDUP(Y540/H540,0)*0.01898),"")</f>
        <v>0.22776000000000002</v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105.48888888888888</v>
      </c>
      <c r="BN540" s="78">
        <f>IFERROR(Y540*I540/H540,"0")</f>
        <v>113.92799999999998</v>
      </c>
      <c r="BO540" s="78">
        <f>IFERROR(1/J540*(X540/H540),"0")</f>
        <v>0.1736111111111111</v>
      </c>
      <c r="BP540" s="78">
        <f>IFERROR(1/J540*(Y540/H540),"0")</f>
        <v>0.1875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11.111111111111111</v>
      </c>
      <c r="Y541" s="43">
        <f>IFERROR(Y540/H540,"0")</f>
        <v>12</v>
      </c>
      <c r="Z541" s="43">
        <f>IFERROR(IF(Z540="",0,Z540),"0")</f>
        <v>0.22776000000000002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100</v>
      </c>
      <c r="Y542" s="43">
        <f>IFERROR(SUM(Y540:Y540),"0")</f>
        <v>108</v>
      </c>
      <c r="Z542" s="42"/>
      <c r="AA542" s="67"/>
      <c r="AB542" s="67"/>
      <c r="AC542" s="67"/>
    </row>
    <row r="543" spans="1:68" ht="14.25" hidden="1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1817.52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1880.24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1903.5824171754173</v>
      </c>
      <c r="Y554" s="43">
        <f>IFERROR(SUM(BN22:BN550),"0")</f>
        <v>1969.3049999999998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4</v>
      </c>
      <c r="Y555" s="44">
        <f>ROUNDUP(SUM(BP22:BP550),0)</f>
        <v>4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2003.5824171754173</v>
      </c>
      <c r="Y556" s="43">
        <f>GrossWeightTotalR+PalletQtyTotalR*25</f>
        <v>2069.3049999999998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297.53642653642652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307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3.6745100000000006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44.1</v>
      </c>
      <c r="F563" s="52">
        <f>IFERROR(Y83*1,"0")+IFERROR(Y84*1,"0")+IFERROR(Y85*1,"0")+IFERROR(Y86*1,"0")+IFERROR(Y90*1,"0")+IFERROR(Y91*1,"0")+IFERROR(Y92*1,"0")+IFERROR(Y93*1,"0")</f>
        <v>52.2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170.10000000000002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1.98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216.44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362.40000000000003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54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15.6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35.1</v>
      </c>
      <c r="U563" s="52">
        <f>IFERROR(Y411*1,"0")+IFERROR(Y412*1,"0")</f>
        <v>15.6</v>
      </c>
      <c r="V563" s="52">
        <f>IFERROR(Y417*1,"0")+IFERROR(Y418*1,"0")+IFERROR(Y419*1,"0")</f>
        <v>16.8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510</v>
      </c>
      <c r="X563" s="52">
        <f>IFERROR(Y454*1,"0")+IFERROR(Y455*1,"0")+IFERROR(Y459*1,"0")+IFERROR(Y463*1,"0")+IFERROR(Y464*1,"0")+IFERROR(Y465*1,"0")</f>
        <v>24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21.6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232.32000000000002</v>
      </c>
      <c r="AB563" s="52">
        <f>IFERROR(Y528*1,"0")+IFERROR(Y532*1,"0")+IFERROR(Y536*1,"0")+IFERROR(Y540*1,"0")+IFERROR(Y544*1,"0")+IFERROR(Y545*1,"0")</f>
        <v>108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7,52"/>
        <filter val="1 903,58"/>
        <filter val="1,00"/>
        <filter val="1,67"/>
        <filter val="1,80"/>
        <filter val="1,85"/>
        <filter val="1,98"/>
        <filter val="10,00"/>
        <filter val="100,00"/>
        <filter val="11,11"/>
        <filter val="11,36"/>
        <filter val="11,76"/>
        <filter val="120,00"/>
        <filter val="13,50"/>
        <filter val="130,00"/>
        <filter val="14,20"/>
        <filter val="14,70"/>
        <filter val="15,00"/>
        <filter val="15,60"/>
        <filter val="150,00"/>
        <filter val="16,00"/>
        <filter val="16,10"/>
        <filter val="16,20"/>
        <filter val="16,80"/>
        <filter val="166,20"/>
        <filter val="2 003,58"/>
        <filter val="2,00"/>
        <filter val="2,10"/>
        <filter val="2,52"/>
        <filter val="2,77"/>
        <filter val="20,00"/>
        <filter val="206,92"/>
        <filter val="22,50"/>
        <filter val="23,33"/>
        <filter val="24,52"/>
        <filter val="25,00"/>
        <filter val="250,00"/>
        <filter val="29,50"/>
        <filter val="297,54"/>
        <filter val="3,00"/>
        <filter val="3,70"/>
        <filter val="30,00"/>
        <filter val="311,80"/>
        <filter val="350,00"/>
        <filter val="4"/>
        <filter val="4,63"/>
        <filter val="41,60"/>
        <filter val="5,00"/>
        <filter val="5,95"/>
        <filter val="50,00"/>
        <filter val="58,41"/>
        <filter val="6,98"/>
        <filter val="60,00"/>
        <filter val="69,00"/>
        <filter val="7,80"/>
        <filter val="7,95"/>
        <filter val="75,00"/>
        <filter val="8,00"/>
        <filter val="8,40"/>
        <filter val="80,00"/>
        <filter val="85,00"/>
        <filter val="9,00"/>
        <filter val="9,6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