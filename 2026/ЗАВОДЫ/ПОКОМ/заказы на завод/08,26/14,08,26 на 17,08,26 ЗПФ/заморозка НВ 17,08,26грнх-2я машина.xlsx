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367BC41-8427-4F05-92D1-F81617644B79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заказа'!$A$18:$AF$279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заказа'!$X$275:$X$275</definedName>
    <definedName name="GrossWeightTotalR">'Бланк заказа'!$Y$275:$Y$275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заказа'!$X$276:$X$276</definedName>
    <definedName name="PalletQtyTotalR">'Бланк заказа'!$Y$276:$Y$276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заказа'!$B$139:$B$139</definedName>
    <definedName name="ProductId51">'Бланк заказа'!$B$140:$B$140</definedName>
    <definedName name="ProductId52">'Бланк заказа'!$B$141:$B$141</definedName>
    <definedName name="ProductId53">'Бланк заказа'!$B$146:$B$146</definedName>
    <definedName name="ProductId54">'Бланк заказа'!$B$147:$B$147</definedName>
    <definedName name="ProductId55">'Бланк заказа'!$B$148:$B$148</definedName>
    <definedName name="ProductId56">'Бланк заказа'!$B$153:$B$153</definedName>
    <definedName name="ProductId57">'Бланк заказа'!$B$154:$B$154</definedName>
    <definedName name="ProductId58">'Бланк заказа'!$B$159:$B$159</definedName>
    <definedName name="ProductId59">'Бланк заказа'!$B$164:$B$164</definedName>
    <definedName name="ProductId6">'Бланк заказа'!$B$27:$B$27</definedName>
    <definedName name="ProductId60">'Бланк заказа'!$B$169:$B$169</definedName>
    <definedName name="ProductId61">'Бланк заказа'!$B$174:$B$174</definedName>
    <definedName name="ProductId62">'Бланк заказа'!$B$180:$B$180</definedName>
    <definedName name="ProductId63">'Бланк заказа'!$B$181:$B$181</definedName>
    <definedName name="ProductId64">'Бланк заказа'!$B$185:$B$185</definedName>
    <definedName name="ProductId65">'Бланк заказа'!$B$186:$B$186</definedName>
    <definedName name="ProductId66">'Бланк заказа'!$B$192:$B$192</definedName>
    <definedName name="ProductId67">'Бланк заказа'!$B$193:$B$193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заказа'!$B$201:$B$201</definedName>
    <definedName name="ProductId71">'Бланк заказа'!$B$205:$B$205</definedName>
    <definedName name="ProductId72">'Бланк заказа'!$B$206:$B$206</definedName>
    <definedName name="ProductId73">'Бланк заказа'!$B$207:$B$207</definedName>
    <definedName name="ProductId74">'Бланк заказа'!$B$208:$B$208</definedName>
    <definedName name="ProductId75">'Бланк заказа'!$B$213:$B$213</definedName>
    <definedName name="ProductId76">'Бланк заказа'!$B$218:$B$218</definedName>
    <definedName name="ProductId77">'Бланк заказа'!$B$219:$B$219</definedName>
    <definedName name="ProductId78">'Бланк заказа'!$B$225:$B$225</definedName>
    <definedName name="ProductId79">'Бланк заказа'!$B$231:$B$231</definedName>
    <definedName name="ProductId8">'Бланк заказа'!$B$29:$B$29</definedName>
    <definedName name="ProductId80">'Бланк заказа'!$B$237:$B$237</definedName>
    <definedName name="ProductId81">'Бланк заказа'!$B$241:$B$241</definedName>
    <definedName name="ProductId82">'Бланк заказа'!$B$247:$B$247</definedName>
    <definedName name="ProductId83">'Бланк заказа'!$B$248:$B$248</definedName>
    <definedName name="ProductId84">'Бланк заказа'!$B$252:$B$252</definedName>
    <definedName name="ProductId85">'Бланк заказа'!$B$256:$B$256</definedName>
    <definedName name="ProductId86">'Бланк заказа'!$B$257:$B$257</definedName>
    <definedName name="ProductId87">'Бланк заказа'!$B$258:$B$258</definedName>
    <definedName name="ProductId88">'Бланк заказа'!$B$262:$B$262</definedName>
    <definedName name="ProductId89">'Бланк заказа'!$B$263:$B$263</definedName>
    <definedName name="ProductId9">'Бланк заказа'!$B$34:$B$34</definedName>
    <definedName name="ProductId90">'Бланк заказа'!$B$264:$B$264</definedName>
    <definedName name="ProductId91">'Бланк заказа'!$B$265:$B$265</definedName>
    <definedName name="ProductId92">'Бланк заказа'!$B$266:$B$266</definedName>
    <definedName name="ProductId93">'Бланк заказа'!$B$267:$B$267</definedName>
    <definedName name="ProductId94">'Бланк заказа'!$B$268:$B$268</definedName>
    <definedName name="ProductId95">'Бланк заказа'!$B$269:$B$269</definedName>
    <definedName name="ProductId96">'Бланк заказа'!$B$270:$B$270</definedName>
    <definedName name="ProductId97">'Бланк заказа'!$B$271:$B$271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заказа'!$X$139:$X$139</definedName>
    <definedName name="SalesQty51">'Бланк заказа'!$X$140:$X$140</definedName>
    <definedName name="SalesQty52">'Бланк заказа'!$X$141:$X$141</definedName>
    <definedName name="SalesQty53">'Бланк заказа'!$X$146:$X$146</definedName>
    <definedName name="SalesQty54">'Бланк заказа'!$X$147:$X$147</definedName>
    <definedName name="SalesQty55">'Бланк заказа'!$X$148:$X$148</definedName>
    <definedName name="SalesQty56">'Бланк заказа'!$X$153:$X$153</definedName>
    <definedName name="SalesQty57">'Бланк заказа'!$X$154:$X$154</definedName>
    <definedName name="SalesQty58">'Бланк заказа'!$X$159:$X$159</definedName>
    <definedName name="SalesQty59">'Бланк заказа'!$X$164:$X$164</definedName>
    <definedName name="SalesQty6">'Бланк заказа'!$X$27:$X$27</definedName>
    <definedName name="SalesQty60">'Бланк заказа'!$X$169:$X$169</definedName>
    <definedName name="SalesQty61">'Бланк заказа'!$X$174:$X$174</definedName>
    <definedName name="SalesQty62">'Бланк заказа'!$X$180:$X$180</definedName>
    <definedName name="SalesQty63">'Бланк заказа'!$X$181:$X$181</definedName>
    <definedName name="SalesQty64">'Бланк заказа'!$X$185:$X$185</definedName>
    <definedName name="SalesQty65">'Бланк заказа'!$X$186:$X$186</definedName>
    <definedName name="SalesQty66">'Бланк заказа'!$X$192:$X$192</definedName>
    <definedName name="SalesQty67">'Бланк заказа'!$X$193:$X$193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заказа'!$X$201:$X$201</definedName>
    <definedName name="SalesQty71">'Бланк заказа'!$X$205:$X$205</definedName>
    <definedName name="SalesQty72">'Бланк заказа'!$X$206:$X$206</definedName>
    <definedName name="SalesQty73">'Бланк заказа'!$X$207:$X$207</definedName>
    <definedName name="SalesQty74">'Бланк заказа'!$X$208:$X$208</definedName>
    <definedName name="SalesQty75">'Бланк заказа'!$X$213:$X$213</definedName>
    <definedName name="SalesQty76">'Бланк заказа'!$X$218:$X$218</definedName>
    <definedName name="SalesQty77">'Бланк заказа'!$X$219:$X$219</definedName>
    <definedName name="SalesQty78">'Бланк заказа'!$X$225:$X$225</definedName>
    <definedName name="SalesQty79">'Бланк заказа'!$X$231:$X$231</definedName>
    <definedName name="SalesQty8">'Бланк заказа'!$X$29:$X$29</definedName>
    <definedName name="SalesQty80">'Бланк заказа'!$X$237:$X$237</definedName>
    <definedName name="SalesQty81">'Бланк заказа'!$X$241:$X$241</definedName>
    <definedName name="SalesQty82">'Бланк заказа'!$X$247:$X$247</definedName>
    <definedName name="SalesQty83">'Бланк заказа'!$X$248:$X$248</definedName>
    <definedName name="SalesQty84">'Бланк заказа'!$X$252:$X$252</definedName>
    <definedName name="SalesQty85">'Бланк заказа'!$X$256:$X$256</definedName>
    <definedName name="SalesQty86">'Бланк заказа'!$X$257:$X$257</definedName>
    <definedName name="SalesQty87">'Бланк заказа'!$X$258:$X$258</definedName>
    <definedName name="SalesQty88">'Бланк заказа'!$X$262:$X$262</definedName>
    <definedName name="SalesQty89">'Бланк заказа'!$X$263:$X$263</definedName>
    <definedName name="SalesQty9">'Бланк заказа'!$X$34:$X$34</definedName>
    <definedName name="SalesQty90">'Бланк заказа'!$X$264:$X$264</definedName>
    <definedName name="SalesQty91">'Бланк заказа'!$X$265:$X$265</definedName>
    <definedName name="SalesQty92">'Бланк заказа'!$X$266:$X$266</definedName>
    <definedName name="SalesQty93">'Бланк заказа'!$X$267:$X$267</definedName>
    <definedName name="SalesQty94">'Бланк заказа'!$X$268:$X$268</definedName>
    <definedName name="SalesQty95">'Бланк заказа'!$X$269:$X$269</definedName>
    <definedName name="SalesQty96">'Бланк заказа'!$X$270:$X$270</definedName>
    <definedName name="SalesQty97">'Бланк заказа'!$X$271:$X$271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заказа'!$Y$139:$Y$139</definedName>
    <definedName name="SalesRoundBox51">'Бланк заказа'!$Y$140:$Y$140</definedName>
    <definedName name="SalesRoundBox52">'Бланк заказа'!$Y$141:$Y$141</definedName>
    <definedName name="SalesRoundBox53">'Бланк заказа'!$Y$146:$Y$146</definedName>
    <definedName name="SalesRoundBox54">'Бланк заказа'!$Y$147:$Y$147</definedName>
    <definedName name="SalesRoundBox55">'Бланк заказа'!$Y$148:$Y$148</definedName>
    <definedName name="SalesRoundBox56">'Бланк заказа'!$Y$153:$Y$153</definedName>
    <definedName name="SalesRoundBox57">'Бланк заказа'!$Y$154:$Y$154</definedName>
    <definedName name="SalesRoundBox58">'Бланк заказа'!$Y$159:$Y$159</definedName>
    <definedName name="SalesRoundBox59">'Бланк заказа'!$Y$164:$Y$164</definedName>
    <definedName name="SalesRoundBox6">'Бланк заказа'!$Y$27:$Y$27</definedName>
    <definedName name="SalesRoundBox60">'Бланк заказа'!$Y$169:$Y$169</definedName>
    <definedName name="SalesRoundBox61">'Бланк заказа'!$Y$174:$Y$174</definedName>
    <definedName name="SalesRoundBox62">'Бланк заказа'!$Y$180:$Y$180</definedName>
    <definedName name="SalesRoundBox63">'Бланк заказа'!$Y$181:$Y$181</definedName>
    <definedName name="SalesRoundBox64">'Бланк заказа'!$Y$185:$Y$185</definedName>
    <definedName name="SalesRoundBox65">'Бланк заказа'!$Y$186:$Y$186</definedName>
    <definedName name="SalesRoundBox66">'Бланк заказа'!$Y$192:$Y$192</definedName>
    <definedName name="SalesRoundBox67">'Бланк заказа'!$Y$193:$Y$193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заказа'!$Y$201:$Y$201</definedName>
    <definedName name="SalesRoundBox71">'Бланк заказа'!$Y$205:$Y$205</definedName>
    <definedName name="SalesRoundBox72">'Бланк заказа'!$Y$206:$Y$206</definedName>
    <definedName name="SalesRoundBox73">'Бланк заказа'!$Y$207:$Y$207</definedName>
    <definedName name="SalesRoundBox74">'Бланк заказа'!$Y$208:$Y$208</definedName>
    <definedName name="SalesRoundBox75">'Бланк заказа'!$Y$213:$Y$213</definedName>
    <definedName name="SalesRoundBox76">'Бланк заказа'!$Y$218:$Y$218</definedName>
    <definedName name="SalesRoundBox77">'Бланк заказа'!$Y$219:$Y$219</definedName>
    <definedName name="SalesRoundBox78">'Бланк заказа'!$Y$225:$Y$225</definedName>
    <definedName name="SalesRoundBox79">'Бланк заказа'!$Y$231:$Y$231</definedName>
    <definedName name="SalesRoundBox8">'Бланк заказа'!$Y$29:$Y$29</definedName>
    <definedName name="SalesRoundBox80">'Бланк заказа'!$Y$237:$Y$237</definedName>
    <definedName name="SalesRoundBox81">'Бланк заказа'!$Y$241:$Y$241</definedName>
    <definedName name="SalesRoundBox82">'Бланк заказа'!$Y$247:$Y$247</definedName>
    <definedName name="SalesRoundBox83">'Бланк заказа'!$Y$248:$Y$248</definedName>
    <definedName name="SalesRoundBox84">'Бланк заказа'!$Y$252:$Y$252</definedName>
    <definedName name="SalesRoundBox85">'Бланк заказа'!$Y$256:$Y$256</definedName>
    <definedName name="SalesRoundBox86">'Бланк заказа'!$Y$257:$Y$257</definedName>
    <definedName name="SalesRoundBox87">'Бланк заказа'!$Y$258:$Y$258</definedName>
    <definedName name="SalesRoundBox88">'Бланк заказа'!$Y$262:$Y$262</definedName>
    <definedName name="SalesRoundBox89">'Бланк заказа'!$Y$263:$Y$263</definedName>
    <definedName name="SalesRoundBox9">'Бланк заказа'!$Y$34:$Y$34</definedName>
    <definedName name="SalesRoundBox90">'Бланк заказа'!$Y$264:$Y$264</definedName>
    <definedName name="SalesRoundBox91">'Бланк заказа'!$Y$265:$Y$265</definedName>
    <definedName name="SalesRoundBox92">'Бланк заказа'!$Y$266:$Y$266</definedName>
    <definedName name="SalesRoundBox93">'Бланк заказа'!$Y$267:$Y$267</definedName>
    <definedName name="SalesRoundBox94">'Бланк заказа'!$Y$268:$Y$268</definedName>
    <definedName name="SalesRoundBox95">'Бланк заказа'!$Y$269:$Y$269</definedName>
    <definedName name="SalesRoundBox96">'Бланк заказа'!$Y$270:$Y$270</definedName>
    <definedName name="SalesRoundBox97">'Бланк заказа'!$Y$271:$Y$271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заказа'!$W$139:$W$139</definedName>
    <definedName name="UnitOfMeasure51">'Бланк заказа'!$W$140:$W$140</definedName>
    <definedName name="UnitOfMeasure52">'Бланк заказа'!$W$141:$W$141</definedName>
    <definedName name="UnitOfMeasure53">'Бланк заказа'!$W$146:$W$146</definedName>
    <definedName name="UnitOfMeasure54">'Бланк заказа'!$W$147:$W$147</definedName>
    <definedName name="UnitOfMeasure55">'Бланк заказа'!$W$148:$W$148</definedName>
    <definedName name="UnitOfMeasure56">'Бланк заказа'!$W$153:$W$153</definedName>
    <definedName name="UnitOfMeasure57">'Бланк заказа'!$W$154:$W$154</definedName>
    <definedName name="UnitOfMeasure58">'Бланк заказа'!$W$159:$W$159</definedName>
    <definedName name="UnitOfMeasure59">'Бланк заказа'!$W$164:$W$164</definedName>
    <definedName name="UnitOfMeasure6">'Бланк заказа'!$W$27:$W$27</definedName>
    <definedName name="UnitOfMeasure60">'Бланк заказа'!$W$169:$W$169</definedName>
    <definedName name="UnitOfMeasure61">'Бланк заказа'!$W$174:$W$174</definedName>
    <definedName name="UnitOfMeasure62">'Бланк заказа'!$W$180:$W$180</definedName>
    <definedName name="UnitOfMeasure63">'Бланк заказа'!$W$181:$W$181</definedName>
    <definedName name="UnitOfMeasure64">'Бланк заказа'!$W$185:$W$185</definedName>
    <definedName name="UnitOfMeasure65">'Бланк заказа'!$W$186:$W$186</definedName>
    <definedName name="UnitOfMeasure66">'Бланк заказа'!$W$192:$W$192</definedName>
    <definedName name="UnitOfMeasure67">'Бланк заказа'!$W$193:$W$193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заказа'!$W$201:$W$201</definedName>
    <definedName name="UnitOfMeasure71">'Бланк заказа'!$W$205:$W$205</definedName>
    <definedName name="UnitOfMeasure72">'Бланк заказа'!$W$206:$W$206</definedName>
    <definedName name="UnitOfMeasure73">'Бланк заказа'!$W$207:$W$207</definedName>
    <definedName name="UnitOfMeasure74">'Бланк заказа'!$W$208:$W$208</definedName>
    <definedName name="UnitOfMeasure75">'Бланк заказа'!$W$213:$W$213</definedName>
    <definedName name="UnitOfMeasure76">'Бланк заказа'!$W$218:$W$218</definedName>
    <definedName name="UnitOfMeasure77">'Бланк заказа'!$W$219:$W$219</definedName>
    <definedName name="UnitOfMeasure78">'Бланк заказа'!$W$225:$W$225</definedName>
    <definedName name="UnitOfMeasure79">'Бланк заказа'!$W$231:$W$231</definedName>
    <definedName name="UnitOfMeasure8">'Бланк заказа'!$W$29:$W$29</definedName>
    <definedName name="UnitOfMeasure80">'Бланк заказа'!$W$237:$W$237</definedName>
    <definedName name="UnitOfMeasure81">'Бланк заказа'!$W$241:$W$241</definedName>
    <definedName name="UnitOfMeasure82">'Бланк заказа'!$W$247:$W$247</definedName>
    <definedName name="UnitOfMeasure83">'Бланк заказа'!$W$248:$W$248</definedName>
    <definedName name="UnitOfMeasure84">'Бланк заказа'!$W$252:$W$252</definedName>
    <definedName name="UnitOfMeasure85">'Бланк заказа'!$W$256:$W$256</definedName>
    <definedName name="UnitOfMeasure86">'Бланк заказа'!$W$257:$W$257</definedName>
    <definedName name="UnitOfMeasure87">'Бланк заказа'!$W$258:$W$258</definedName>
    <definedName name="UnitOfMeasure88">'Бланк заказа'!$W$262:$W$262</definedName>
    <definedName name="UnitOfMeasure89">'Бланк заказа'!$W$263:$W$263</definedName>
    <definedName name="UnitOfMeasure9">'Бланк заказа'!$W$34:$W$34</definedName>
    <definedName name="UnitOfMeasure90">'Бланк заказа'!$W$264:$W$264</definedName>
    <definedName name="UnitOfMeasure91">'Бланк заказа'!$W$265:$W$265</definedName>
    <definedName name="UnitOfMeasure92">'Бланк заказа'!$W$266:$W$266</definedName>
    <definedName name="UnitOfMeasure93">'Бланк заказа'!$W$267:$W$267</definedName>
    <definedName name="UnitOfMeasure94">'Бланк заказа'!$W$268:$W$268</definedName>
    <definedName name="UnitOfMeasure95">'Бланк заказа'!$W$269:$W$269</definedName>
    <definedName name="UnitOfMeasure96">'Бланк заказа'!$W$270:$W$270</definedName>
    <definedName name="UnitOfMeasure97">'Бланк заказа'!$W$271:$W$271</definedName>
    <definedName name="UnloadAddress">'Бланк заказа'!$D$8</definedName>
    <definedName name="UnloadAdressList0001">Setting!$B$8:$B$8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E284" i="2" l="1"/>
  <c r="AD284" i="2"/>
  <c r="AC284" i="2"/>
  <c r="AB284" i="2"/>
  <c r="AA284" i="2"/>
  <c r="Z284" i="2"/>
  <c r="Y284" i="2"/>
  <c r="X284" i="2"/>
  <c r="W284" i="2"/>
  <c r="V284" i="2"/>
  <c r="U284" i="2"/>
  <c r="T284" i="2"/>
  <c r="S284" i="2"/>
  <c r="R284" i="2"/>
  <c r="Q284" i="2"/>
  <c r="P284" i="2"/>
  <c r="O284" i="2"/>
  <c r="M284" i="2"/>
  <c r="L284" i="2"/>
  <c r="K284" i="2"/>
  <c r="J284" i="2"/>
  <c r="I284" i="2"/>
  <c r="H284" i="2"/>
  <c r="G284" i="2"/>
  <c r="F284" i="2"/>
  <c r="E284" i="2"/>
  <c r="D284" i="2"/>
  <c r="C284" i="2"/>
  <c r="B284" i="2"/>
  <c r="X273" i="2"/>
  <c r="X272" i="2"/>
  <c r="BO271" i="2"/>
  <c r="BM271" i="2"/>
  <c r="Z271" i="2"/>
  <c r="Y271" i="2"/>
  <c r="BP271" i="2" s="1"/>
  <c r="P271" i="2"/>
  <c r="BO270" i="2"/>
  <c r="BM270" i="2"/>
  <c r="Z270" i="2"/>
  <c r="Y270" i="2"/>
  <c r="BP270" i="2" s="1"/>
  <c r="P270" i="2"/>
  <c r="BO269" i="2"/>
  <c r="BM269" i="2"/>
  <c r="Z269" i="2"/>
  <c r="Y269" i="2"/>
  <c r="BP269" i="2" s="1"/>
  <c r="P269" i="2"/>
  <c r="BO268" i="2"/>
  <c r="BM268" i="2"/>
  <c r="Z268" i="2"/>
  <c r="Y268" i="2"/>
  <c r="BP268" i="2" s="1"/>
  <c r="P268" i="2"/>
  <c r="BO267" i="2"/>
  <c r="BM267" i="2"/>
  <c r="Z267" i="2"/>
  <c r="Y267" i="2"/>
  <c r="BP267" i="2" s="1"/>
  <c r="P267" i="2"/>
  <c r="BO266" i="2"/>
  <c r="BM266" i="2"/>
  <c r="Z266" i="2"/>
  <c r="Y266" i="2"/>
  <c r="BP266" i="2" s="1"/>
  <c r="P266" i="2"/>
  <c r="BO265" i="2"/>
  <c r="BM265" i="2"/>
  <c r="Z265" i="2"/>
  <c r="Y265" i="2"/>
  <c r="BP265" i="2" s="1"/>
  <c r="P265" i="2"/>
  <c r="BO264" i="2"/>
  <c r="BM264" i="2"/>
  <c r="Z264" i="2"/>
  <c r="Y264" i="2"/>
  <c r="BP264" i="2" s="1"/>
  <c r="P264" i="2"/>
  <c r="BO263" i="2"/>
  <c r="BM263" i="2"/>
  <c r="Z263" i="2"/>
  <c r="Y263" i="2"/>
  <c r="P263" i="2"/>
  <c r="BO262" i="2"/>
  <c r="BM262" i="2"/>
  <c r="Z262" i="2"/>
  <c r="Y262" i="2"/>
  <c r="BP262" i="2" s="1"/>
  <c r="P262" i="2"/>
  <c r="X260" i="2"/>
  <c r="X259" i="2"/>
  <c r="BO258" i="2"/>
  <c r="BM258" i="2"/>
  <c r="Z258" i="2"/>
  <c r="Y258" i="2"/>
  <c r="P258" i="2"/>
  <c r="BO257" i="2"/>
  <c r="BM257" i="2"/>
  <c r="Z257" i="2"/>
  <c r="Y257" i="2"/>
  <c r="BP257" i="2" s="1"/>
  <c r="P257" i="2"/>
  <c r="BO256" i="2"/>
  <c r="BM256" i="2"/>
  <c r="Z256" i="2"/>
  <c r="Y256" i="2"/>
  <c r="BP256" i="2" s="1"/>
  <c r="P256" i="2"/>
  <c r="X254" i="2"/>
  <c r="X253" i="2"/>
  <c r="BO252" i="2"/>
  <c r="BM252" i="2"/>
  <c r="Z252" i="2"/>
  <c r="Z253" i="2" s="1"/>
  <c r="Y252" i="2"/>
  <c r="BP252" i="2" s="1"/>
  <c r="P252" i="2"/>
  <c r="X250" i="2"/>
  <c r="X249" i="2"/>
  <c r="BO248" i="2"/>
  <c r="BM248" i="2"/>
  <c r="Z248" i="2"/>
  <c r="Y248" i="2"/>
  <c r="BP248" i="2" s="1"/>
  <c r="P248" i="2"/>
  <c r="BO247" i="2"/>
  <c r="BM247" i="2"/>
  <c r="Z247" i="2"/>
  <c r="Y247" i="2"/>
  <c r="BP247" i="2" s="1"/>
  <c r="P247" i="2"/>
  <c r="X243" i="2"/>
  <c r="X242" i="2"/>
  <c r="BO241" i="2"/>
  <c r="BM241" i="2"/>
  <c r="Z241" i="2"/>
  <c r="Z242" i="2" s="1"/>
  <c r="Y241" i="2"/>
  <c r="Y243" i="2" s="1"/>
  <c r="P241" i="2"/>
  <c r="X239" i="2"/>
  <c r="X238" i="2"/>
  <c r="BO237" i="2"/>
  <c r="BM237" i="2"/>
  <c r="Z237" i="2"/>
  <c r="Z238" i="2" s="1"/>
  <c r="Y237" i="2"/>
  <c r="Y239" i="2" s="1"/>
  <c r="P237" i="2"/>
  <c r="X233" i="2"/>
  <c r="X232" i="2"/>
  <c r="BO231" i="2"/>
  <c r="BM231" i="2"/>
  <c r="Z231" i="2"/>
  <c r="Z232" i="2" s="1"/>
  <c r="Y231" i="2"/>
  <c r="Y232" i="2" s="1"/>
  <c r="P231" i="2"/>
  <c r="X227" i="2"/>
  <c r="X226" i="2"/>
  <c r="BO225" i="2"/>
  <c r="BM225" i="2"/>
  <c r="Z225" i="2"/>
  <c r="Z226" i="2" s="1"/>
  <c r="Y225" i="2"/>
  <c r="Y227" i="2" s="1"/>
  <c r="P225" i="2"/>
  <c r="X221" i="2"/>
  <c r="X220" i="2"/>
  <c r="BO219" i="2"/>
  <c r="BM219" i="2"/>
  <c r="Z219" i="2"/>
  <c r="Y219" i="2"/>
  <c r="P219" i="2"/>
  <c r="BO218" i="2"/>
  <c r="BM218" i="2"/>
  <c r="Z218" i="2"/>
  <c r="Y218" i="2"/>
  <c r="BP218" i="2" s="1"/>
  <c r="P218" i="2"/>
  <c r="X215" i="2"/>
  <c r="X214" i="2"/>
  <c r="BO213" i="2"/>
  <c r="BM213" i="2"/>
  <c r="Z213" i="2"/>
  <c r="Z214" i="2" s="1"/>
  <c r="Y213" i="2"/>
  <c r="Y215" i="2" s="1"/>
  <c r="P213" i="2"/>
  <c r="X210" i="2"/>
  <c r="X209" i="2"/>
  <c r="BO208" i="2"/>
  <c r="BM208" i="2"/>
  <c r="Z208" i="2"/>
  <c r="Y208" i="2"/>
  <c r="BP208" i="2" s="1"/>
  <c r="P208" i="2"/>
  <c r="BO207" i="2"/>
  <c r="BM207" i="2"/>
  <c r="Z207" i="2"/>
  <c r="Y207" i="2"/>
  <c r="BP207" i="2" s="1"/>
  <c r="P207" i="2"/>
  <c r="BO206" i="2"/>
  <c r="BM206" i="2"/>
  <c r="Z206" i="2"/>
  <c r="Y206" i="2"/>
  <c r="BP206" i="2" s="1"/>
  <c r="P206" i="2"/>
  <c r="BO205" i="2"/>
  <c r="BM205" i="2"/>
  <c r="Z205" i="2"/>
  <c r="Y205" i="2"/>
  <c r="P205" i="2"/>
  <c r="X203" i="2"/>
  <c r="X202" i="2"/>
  <c r="BO201" i="2"/>
  <c r="BM201" i="2"/>
  <c r="Z201" i="2"/>
  <c r="Z202" i="2" s="1"/>
  <c r="Y201" i="2"/>
  <c r="BN201" i="2" s="1"/>
  <c r="P201" i="2"/>
  <c r="X197" i="2"/>
  <c r="X196" i="2"/>
  <c r="BO195" i="2"/>
  <c r="BM195" i="2"/>
  <c r="Z195" i="2"/>
  <c r="Y195" i="2"/>
  <c r="BP195" i="2" s="1"/>
  <c r="P195" i="2"/>
  <c r="BO194" i="2"/>
  <c r="BM194" i="2"/>
  <c r="Z194" i="2"/>
  <c r="Y194" i="2"/>
  <c r="BP194" i="2" s="1"/>
  <c r="P194" i="2"/>
  <c r="BO193" i="2"/>
  <c r="BM193" i="2"/>
  <c r="Z193" i="2"/>
  <c r="Y193" i="2"/>
  <c r="P193" i="2"/>
  <c r="BO192" i="2"/>
  <c r="BM192" i="2"/>
  <c r="Z192" i="2"/>
  <c r="Y192" i="2"/>
  <c r="BP192" i="2" s="1"/>
  <c r="P192" i="2"/>
  <c r="X188" i="2"/>
  <c r="X187" i="2"/>
  <c r="BO186" i="2"/>
  <c r="BM186" i="2"/>
  <c r="Z186" i="2"/>
  <c r="Y186" i="2"/>
  <c r="P186" i="2"/>
  <c r="BO185" i="2"/>
  <c r="BM185" i="2"/>
  <c r="Z185" i="2"/>
  <c r="Y185" i="2"/>
  <c r="P185" i="2"/>
  <c r="X183" i="2"/>
  <c r="X182" i="2"/>
  <c r="BO181" i="2"/>
  <c r="BM181" i="2"/>
  <c r="Z181" i="2"/>
  <c r="Y181" i="2"/>
  <c r="P181" i="2"/>
  <c r="BO180" i="2"/>
  <c r="BM180" i="2"/>
  <c r="Z180" i="2"/>
  <c r="Y180" i="2"/>
  <c r="BN180" i="2" s="1"/>
  <c r="P180" i="2"/>
  <c r="X176" i="2"/>
  <c r="X175" i="2"/>
  <c r="BO174" i="2"/>
  <c r="BM174" i="2"/>
  <c r="Z174" i="2"/>
  <c r="Z175" i="2" s="1"/>
  <c r="Y174" i="2"/>
  <c r="Y176" i="2" s="1"/>
  <c r="P174" i="2"/>
  <c r="X171" i="2"/>
  <c r="X170" i="2"/>
  <c r="BO169" i="2"/>
  <c r="BM169" i="2"/>
  <c r="Z169" i="2"/>
  <c r="Z170" i="2" s="1"/>
  <c r="Y169" i="2"/>
  <c r="Y170" i="2" s="1"/>
  <c r="P169" i="2"/>
  <c r="X166" i="2"/>
  <c r="X165" i="2"/>
  <c r="BO164" i="2"/>
  <c r="BM164" i="2"/>
  <c r="Z164" i="2"/>
  <c r="Z165" i="2" s="1"/>
  <c r="Y164" i="2"/>
  <c r="BN164" i="2" s="1"/>
  <c r="P164" i="2"/>
  <c r="X161" i="2"/>
  <c r="X160" i="2"/>
  <c r="BO159" i="2"/>
  <c r="BM159" i="2"/>
  <c r="Z159" i="2"/>
  <c r="Z160" i="2" s="1"/>
  <c r="Y159" i="2"/>
  <c r="Y161" i="2" s="1"/>
  <c r="P159" i="2"/>
  <c r="X156" i="2"/>
  <c r="X155" i="2"/>
  <c r="BO154" i="2"/>
  <c r="BM154" i="2"/>
  <c r="Z154" i="2"/>
  <c r="Y154" i="2"/>
  <c r="BP154" i="2" s="1"/>
  <c r="P154" i="2"/>
  <c r="BO153" i="2"/>
  <c r="BM153" i="2"/>
  <c r="Z153" i="2"/>
  <c r="Y153" i="2"/>
  <c r="BN153" i="2" s="1"/>
  <c r="P153" i="2"/>
  <c r="X150" i="2"/>
  <c r="X149" i="2"/>
  <c r="BO148" i="2"/>
  <c r="BM148" i="2"/>
  <c r="Z148" i="2"/>
  <c r="Y148" i="2"/>
  <c r="BP148" i="2" s="1"/>
  <c r="P148" i="2"/>
  <c r="BO147" i="2"/>
  <c r="BM147" i="2"/>
  <c r="Z147" i="2"/>
  <c r="Y147" i="2"/>
  <c r="BN147" i="2" s="1"/>
  <c r="P147" i="2"/>
  <c r="BO146" i="2"/>
  <c r="BM146" i="2"/>
  <c r="Z146" i="2"/>
  <c r="Y146" i="2"/>
  <c r="P146" i="2"/>
  <c r="X143" i="2"/>
  <c r="X142" i="2"/>
  <c r="BO141" i="2"/>
  <c r="BM141" i="2"/>
  <c r="Z141" i="2"/>
  <c r="Y141" i="2"/>
  <c r="BP141" i="2" s="1"/>
  <c r="P141" i="2"/>
  <c r="BO140" i="2"/>
  <c r="BM140" i="2"/>
  <c r="Z140" i="2"/>
  <c r="Y140" i="2"/>
  <c r="BP140" i="2" s="1"/>
  <c r="P140" i="2"/>
  <c r="BO139" i="2"/>
  <c r="BM139" i="2"/>
  <c r="Z139" i="2"/>
  <c r="Y139" i="2"/>
  <c r="P139" i="2"/>
  <c r="X136" i="2"/>
  <c r="X135" i="2"/>
  <c r="BO134" i="2"/>
  <c r="BM134" i="2"/>
  <c r="Z134" i="2"/>
  <c r="Z135" i="2" s="1"/>
  <c r="Y134" i="2"/>
  <c r="Y136" i="2" s="1"/>
  <c r="P134" i="2"/>
  <c r="X131" i="2"/>
  <c r="X130" i="2"/>
  <c r="BO129" i="2"/>
  <c r="BM129" i="2"/>
  <c r="Z129" i="2"/>
  <c r="Z130" i="2" s="1"/>
  <c r="Y129" i="2"/>
  <c r="Y131" i="2" s="1"/>
  <c r="P129" i="2"/>
  <c r="X127" i="2"/>
  <c r="X126" i="2"/>
  <c r="BO125" i="2"/>
  <c r="BM125" i="2"/>
  <c r="Z125" i="2"/>
  <c r="Z126" i="2" s="1"/>
  <c r="Y125" i="2"/>
  <c r="Y127" i="2" s="1"/>
  <c r="P125" i="2"/>
  <c r="X123" i="2"/>
  <c r="X122" i="2"/>
  <c r="BO121" i="2"/>
  <c r="BM121" i="2"/>
  <c r="Z121" i="2"/>
  <c r="Y121" i="2"/>
  <c r="BP121" i="2" s="1"/>
  <c r="P121" i="2"/>
  <c r="BO120" i="2"/>
  <c r="BM120" i="2"/>
  <c r="Z120" i="2"/>
  <c r="Y120" i="2"/>
  <c r="BP120" i="2" s="1"/>
  <c r="P120" i="2"/>
  <c r="BO119" i="2"/>
  <c r="BM119" i="2"/>
  <c r="Z119" i="2"/>
  <c r="Y119" i="2"/>
  <c r="BN119" i="2" s="1"/>
  <c r="P119" i="2"/>
  <c r="BO118" i="2"/>
  <c r="BM118" i="2"/>
  <c r="Z118" i="2"/>
  <c r="Y118" i="2"/>
  <c r="BP118" i="2" s="1"/>
  <c r="P118" i="2"/>
  <c r="BO117" i="2"/>
  <c r="BM117" i="2"/>
  <c r="Z117" i="2"/>
  <c r="Y117" i="2"/>
  <c r="BP117" i="2" s="1"/>
  <c r="P117" i="2"/>
  <c r="BO116" i="2"/>
  <c r="BM116" i="2"/>
  <c r="Z116" i="2"/>
  <c r="Y116" i="2"/>
  <c r="BP116" i="2" s="1"/>
  <c r="P116" i="2"/>
  <c r="BO115" i="2"/>
  <c r="BM115" i="2"/>
  <c r="Z115" i="2"/>
  <c r="Y115" i="2"/>
  <c r="P115" i="2"/>
  <c r="X112" i="2"/>
  <c r="X111" i="2"/>
  <c r="BO110" i="2"/>
  <c r="BM110" i="2"/>
  <c r="Z110" i="2"/>
  <c r="Y110" i="2"/>
  <c r="BP110" i="2" s="1"/>
  <c r="P110" i="2"/>
  <c r="BO109" i="2"/>
  <c r="BM109" i="2"/>
  <c r="Z109" i="2"/>
  <c r="Y109" i="2"/>
  <c r="P109" i="2"/>
  <c r="X106" i="2"/>
  <c r="X105" i="2"/>
  <c r="BO104" i="2"/>
  <c r="BM104" i="2"/>
  <c r="Z104" i="2"/>
  <c r="Y104" i="2"/>
  <c r="BP104" i="2" s="1"/>
  <c r="P104" i="2"/>
  <c r="BO103" i="2"/>
  <c r="BM103" i="2"/>
  <c r="Z103" i="2"/>
  <c r="Y103" i="2"/>
  <c r="BN103" i="2" s="1"/>
  <c r="P103" i="2"/>
  <c r="BO102" i="2"/>
  <c r="BM102" i="2"/>
  <c r="Z102" i="2"/>
  <c r="Y102" i="2"/>
  <c r="BP102" i="2" s="1"/>
  <c r="P102" i="2"/>
  <c r="BO101" i="2"/>
  <c r="BM101" i="2"/>
  <c r="Z101" i="2"/>
  <c r="Y101" i="2"/>
  <c r="BP101" i="2" s="1"/>
  <c r="P101" i="2"/>
  <c r="BO100" i="2"/>
  <c r="BM100" i="2"/>
  <c r="Z100" i="2"/>
  <c r="Y100" i="2"/>
  <c r="BP100" i="2" s="1"/>
  <c r="P100" i="2"/>
  <c r="BO99" i="2"/>
  <c r="BM99" i="2"/>
  <c r="Z99" i="2"/>
  <c r="Y99" i="2"/>
  <c r="BP99" i="2" s="1"/>
  <c r="P99" i="2"/>
  <c r="X96" i="2"/>
  <c r="X95" i="2"/>
  <c r="BO94" i="2"/>
  <c r="BM94" i="2"/>
  <c r="Z94" i="2"/>
  <c r="Y94" i="2"/>
  <c r="BP94" i="2" s="1"/>
  <c r="P94" i="2"/>
  <c r="BO93" i="2"/>
  <c r="BM93" i="2"/>
  <c r="Z93" i="2"/>
  <c r="Y93" i="2"/>
  <c r="BP93" i="2" s="1"/>
  <c r="P93" i="2"/>
  <c r="X90" i="2"/>
  <c r="X89" i="2"/>
  <c r="BO88" i="2"/>
  <c r="BM88" i="2"/>
  <c r="Z88" i="2"/>
  <c r="Z89" i="2" s="1"/>
  <c r="Y88" i="2"/>
  <c r="BN88" i="2" s="1"/>
  <c r="P88" i="2"/>
  <c r="X85" i="2"/>
  <c r="X84" i="2"/>
  <c r="BO83" i="2"/>
  <c r="BM83" i="2"/>
  <c r="Z83" i="2"/>
  <c r="Y83" i="2"/>
  <c r="P83" i="2"/>
  <c r="BO82" i="2"/>
  <c r="BM82" i="2"/>
  <c r="Z82" i="2"/>
  <c r="Y82" i="2"/>
  <c r="BN82" i="2" s="1"/>
  <c r="P82" i="2"/>
  <c r="X79" i="2"/>
  <c r="X78" i="2"/>
  <c r="BO77" i="2"/>
  <c r="BM77" i="2"/>
  <c r="Z77" i="2"/>
  <c r="Y77" i="2"/>
  <c r="P77" i="2"/>
  <c r="BO76" i="2"/>
  <c r="BM76" i="2"/>
  <c r="Z76" i="2"/>
  <c r="Y76" i="2"/>
  <c r="BP76" i="2" s="1"/>
  <c r="P76" i="2"/>
  <c r="BO75" i="2"/>
  <c r="BM75" i="2"/>
  <c r="Z75" i="2"/>
  <c r="Y75" i="2"/>
  <c r="BN75" i="2" s="1"/>
  <c r="P75" i="2"/>
  <c r="X73" i="2"/>
  <c r="X72" i="2"/>
  <c r="BO71" i="2"/>
  <c r="BM71" i="2"/>
  <c r="Z71" i="2"/>
  <c r="Y71" i="2"/>
  <c r="BN71" i="2" s="1"/>
  <c r="P71" i="2"/>
  <c r="BO70" i="2"/>
  <c r="BM70" i="2"/>
  <c r="Z70" i="2"/>
  <c r="Y70" i="2"/>
  <c r="BP70" i="2" s="1"/>
  <c r="P70" i="2"/>
  <c r="X68" i="2"/>
  <c r="X67" i="2"/>
  <c r="BO66" i="2"/>
  <c r="BM66" i="2"/>
  <c r="Z66" i="2"/>
  <c r="Z67" i="2" s="1"/>
  <c r="Y66" i="2"/>
  <c r="Y67" i="2" s="1"/>
  <c r="P66" i="2"/>
  <c r="X64" i="2"/>
  <c r="X63" i="2"/>
  <c r="BO62" i="2"/>
  <c r="BM62" i="2"/>
  <c r="Z62" i="2"/>
  <c r="Z63" i="2" s="1"/>
  <c r="Y62" i="2"/>
  <c r="Y64" i="2" s="1"/>
  <c r="P62" i="2"/>
  <c r="X59" i="2"/>
  <c r="X58" i="2"/>
  <c r="BO57" i="2"/>
  <c r="BM57" i="2"/>
  <c r="Z57" i="2"/>
  <c r="Y57" i="2"/>
  <c r="BP57" i="2" s="1"/>
  <c r="P57" i="2"/>
  <c r="BO56" i="2"/>
  <c r="BM56" i="2"/>
  <c r="Z56" i="2"/>
  <c r="Y56" i="2"/>
  <c r="BP56" i="2" s="1"/>
  <c r="P56" i="2"/>
  <c r="BO55" i="2"/>
  <c r="BM55" i="2"/>
  <c r="Z55" i="2"/>
  <c r="Y55" i="2"/>
  <c r="BP55" i="2" s="1"/>
  <c r="P55" i="2"/>
  <c r="BO54" i="2"/>
  <c r="BM54" i="2"/>
  <c r="Z54" i="2"/>
  <c r="Y54" i="2"/>
  <c r="P54" i="2"/>
  <c r="X51" i="2"/>
  <c r="X50" i="2"/>
  <c r="BO49" i="2"/>
  <c r="BM49" i="2"/>
  <c r="Z49" i="2"/>
  <c r="Y49" i="2"/>
  <c r="BP49" i="2" s="1"/>
  <c r="P49" i="2"/>
  <c r="BO48" i="2"/>
  <c r="BM48" i="2"/>
  <c r="Z48" i="2"/>
  <c r="Y48" i="2"/>
  <c r="BN48" i="2" s="1"/>
  <c r="P48" i="2"/>
  <c r="BO47" i="2"/>
  <c r="BM47" i="2"/>
  <c r="Z47" i="2"/>
  <c r="Y47" i="2"/>
  <c r="P47" i="2"/>
  <c r="X44" i="2"/>
  <c r="X43" i="2"/>
  <c r="BO42" i="2"/>
  <c r="BM42" i="2"/>
  <c r="Z42" i="2"/>
  <c r="Y42" i="2"/>
  <c r="BP42" i="2" s="1"/>
  <c r="P42" i="2"/>
  <c r="BO41" i="2"/>
  <c r="BM41" i="2"/>
  <c r="Z41" i="2"/>
  <c r="Y41" i="2"/>
  <c r="BP41" i="2" s="1"/>
  <c r="P41" i="2"/>
  <c r="X37" i="2"/>
  <c r="X36" i="2"/>
  <c r="BO35" i="2"/>
  <c r="BM35" i="2"/>
  <c r="Z35" i="2"/>
  <c r="Y35" i="2"/>
  <c r="BP35" i="2" s="1"/>
  <c r="P35" i="2"/>
  <c r="BO34" i="2"/>
  <c r="BM34" i="2"/>
  <c r="Z34" i="2"/>
  <c r="Y34" i="2"/>
  <c r="BP34" i="2" s="1"/>
  <c r="P34" i="2"/>
  <c r="X31" i="2"/>
  <c r="X30" i="2"/>
  <c r="BO29" i="2"/>
  <c r="BM29" i="2"/>
  <c r="Z29" i="2"/>
  <c r="Y29" i="2"/>
  <c r="BP29" i="2" s="1"/>
  <c r="P29" i="2"/>
  <c r="BO28" i="2"/>
  <c r="BM28" i="2"/>
  <c r="Z28" i="2"/>
  <c r="Y28" i="2"/>
  <c r="BP28" i="2" s="1"/>
  <c r="P28" i="2"/>
  <c r="BO27" i="2"/>
  <c r="BM27" i="2"/>
  <c r="Z27" i="2"/>
  <c r="Y27" i="2"/>
  <c r="BN27" i="2" s="1"/>
  <c r="P27" i="2"/>
  <c r="BO26" i="2"/>
  <c r="BM26" i="2"/>
  <c r="Z26" i="2"/>
  <c r="Y26" i="2"/>
  <c r="BP26" i="2" s="1"/>
  <c r="P26" i="2"/>
  <c r="BO25" i="2"/>
  <c r="BM25" i="2"/>
  <c r="Z25" i="2"/>
  <c r="Y25" i="2"/>
  <c r="BP25" i="2" s="1"/>
  <c r="P25" i="2"/>
  <c r="BO24" i="2"/>
  <c r="BM24" i="2"/>
  <c r="Z24" i="2"/>
  <c r="Y24" i="2"/>
  <c r="BP24" i="2" s="1"/>
  <c r="P24" i="2"/>
  <c r="BO23" i="2"/>
  <c r="BM23" i="2"/>
  <c r="Z23" i="2"/>
  <c r="Y23" i="2"/>
  <c r="BP23" i="2" s="1"/>
  <c r="P23" i="2"/>
  <c r="BO22" i="2"/>
  <c r="BM22" i="2"/>
  <c r="Z22" i="2"/>
  <c r="Y22" i="2"/>
  <c r="P22" i="2"/>
  <c r="H10" i="2"/>
  <c r="A9" i="2"/>
  <c r="F10" i="2" s="1"/>
  <c r="D7" i="2"/>
  <c r="Q6" i="2"/>
  <c r="P2" i="2"/>
  <c r="BN267" i="2" l="1"/>
  <c r="BN262" i="2"/>
  <c r="BN266" i="2"/>
  <c r="Y273" i="2"/>
  <c r="BN264" i="2"/>
  <c r="Z272" i="2"/>
  <c r="Z142" i="2"/>
  <c r="BN141" i="2"/>
  <c r="Z95" i="2"/>
  <c r="Y30" i="2"/>
  <c r="BN25" i="2"/>
  <c r="Z36" i="2"/>
  <c r="Z155" i="2"/>
  <c r="Y209" i="2"/>
  <c r="BN206" i="2"/>
  <c r="Y253" i="2"/>
  <c r="Z259" i="2"/>
  <c r="BN256" i="2"/>
  <c r="Y68" i="2"/>
  <c r="Y203" i="2"/>
  <c r="BN42" i="2"/>
  <c r="Y51" i="2"/>
  <c r="Z58" i="2"/>
  <c r="BN56" i="2"/>
  <c r="BN62" i="2"/>
  <c r="BP62" i="2"/>
  <c r="Y63" i="2"/>
  <c r="Z72" i="2"/>
  <c r="Y78" i="2"/>
  <c r="Y112" i="2"/>
  <c r="BN118" i="2"/>
  <c r="Y188" i="2"/>
  <c r="Z187" i="2"/>
  <c r="BN195" i="2"/>
  <c r="BN248" i="2"/>
  <c r="Y155" i="2"/>
  <c r="Y150" i="2"/>
  <c r="Y123" i="2"/>
  <c r="BN100" i="2"/>
  <c r="X275" i="2"/>
  <c r="X278" i="2"/>
  <c r="Z43" i="2"/>
  <c r="Z30" i="2"/>
  <c r="BN24" i="2"/>
  <c r="BN29" i="2"/>
  <c r="X274" i="2"/>
  <c r="BN35" i="2"/>
  <c r="Z50" i="2"/>
  <c r="Y59" i="2"/>
  <c r="Y73" i="2"/>
  <c r="Y79" i="2"/>
  <c r="Z78" i="2"/>
  <c r="BP82" i="2"/>
  <c r="Y85" i="2"/>
  <c r="Y90" i="2"/>
  <c r="BN94" i="2"/>
  <c r="Y95" i="2"/>
  <c r="Z105" i="2"/>
  <c r="BN101" i="2"/>
  <c r="Z111" i="2"/>
  <c r="Z122" i="2"/>
  <c r="BN117" i="2"/>
  <c r="BP119" i="2"/>
  <c r="BN129" i="2"/>
  <c r="BP129" i="2"/>
  <c r="Y130" i="2"/>
  <c r="Y143" i="2"/>
  <c r="Z149" i="2"/>
  <c r="BN148" i="2"/>
  <c r="Y156" i="2"/>
  <c r="BP180" i="2"/>
  <c r="Y182" i="2"/>
  <c r="BN185" i="2"/>
  <c r="BP185" i="2"/>
  <c r="Y187" i="2"/>
  <c r="BN192" i="2"/>
  <c r="Y197" i="2"/>
  <c r="BP201" i="2"/>
  <c r="Y202" i="2"/>
  <c r="Z209" i="2"/>
  <c r="BN205" i="2"/>
  <c r="BP205" i="2"/>
  <c r="Y210" i="2"/>
  <c r="Z220" i="2"/>
  <c r="BN218" i="2"/>
  <c r="Y221" i="2"/>
  <c r="BN225" i="2"/>
  <c r="BP225" i="2"/>
  <c r="Y226" i="2"/>
  <c r="Y233" i="2"/>
  <c r="BN241" i="2"/>
  <c r="BP241" i="2"/>
  <c r="Y242" i="2"/>
  <c r="Z249" i="2"/>
  <c r="Y250" i="2"/>
  <c r="Y254" i="2"/>
  <c r="BN257" i="2"/>
  <c r="Y260" i="2"/>
  <c r="X276" i="2"/>
  <c r="Y43" i="2"/>
  <c r="Y44" i="2"/>
  <c r="Y72" i="2"/>
  <c r="Z84" i="2"/>
  <c r="BP88" i="2"/>
  <c r="Y89" i="2"/>
  <c r="Y106" i="2"/>
  <c r="BP164" i="2"/>
  <c r="Y165" i="2"/>
  <c r="Y171" i="2"/>
  <c r="Z182" i="2"/>
  <c r="Z196" i="2"/>
  <c r="Y272" i="2"/>
  <c r="BN265" i="2"/>
  <c r="BN270" i="2"/>
  <c r="BN22" i="2"/>
  <c r="Y36" i="2"/>
  <c r="BP48" i="2"/>
  <c r="BN83" i="2"/>
  <c r="BN109" i="2"/>
  <c r="BN120" i="2"/>
  <c r="BP147" i="2"/>
  <c r="BN159" i="2"/>
  <c r="BN174" i="2"/>
  <c r="BN258" i="2"/>
  <c r="BN268" i="2"/>
  <c r="BP153" i="2"/>
  <c r="Y166" i="2"/>
  <c r="BN181" i="2"/>
  <c r="BN207" i="2"/>
  <c r="BN263" i="2"/>
  <c r="BN77" i="2"/>
  <c r="BP54" i="2"/>
  <c r="BP77" i="2"/>
  <c r="BP103" i="2"/>
  <c r="BN115" i="2"/>
  <c r="BN125" i="2"/>
  <c r="BN139" i="2"/>
  <c r="Y142" i="2"/>
  <c r="BP22" i="2"/>
  <c r="Y31" i="2"/>
  <c r="BN57" i="2"/>
  <c r="BN70" i="2"/>
  <c r="BP83" i="2"/>
  <c r="Y96" i="2"/>
  <c r="BP109" i="2"/>
  <c r="BP159" i="2"/>
  <c r="BP174" i="2"/>
  <c r="BN186" i="2"/>
  <c r="BN213" i="2"/>
  <c r="Y249" i="2"/>
  <c r="BP258" i="2"/>
  <c r="BP27" i="2"/>
  <c r="Y37" i="2"/>
  <c r="BP115" i="2"/>
  <c r="BP125" i="2"/>
  <c r="BP139" i="2"/>
  <c r="BP181" i="2"/>
  <c r="BN193" i="2"/>
  <c r="Y196" i="2"/>
  <c r="BN219" i="2"/>
  <c r="BN237" i="2"/>
  <c r="BP263" i="2"/>
  <c r="BN271" i="2"/>
  <c r="Y84" i="2"/>
  <c r="Y160" i="2"/>
  <c r="Y175" i="2"/>
  <c r="BP186" i="2"/>
  <c r="BP213" i="2"/>
  <c r="Y259" i="2"/>
  <c r="BN49" i="2"/>
  <c r="BP75" i="2"/>
  <c r="Y126" i="2"/>
  <c r="BP193" i="2"/>
  <c r="BP219" i="2"/>
  <c r="BP237" i="2"/>
  <c r="BN28" i="2"/>
  <c r="BN55" i="2"/>
  <c r="Y58" i="2"/>
  <c r="BN93" i="2"/>
  <c r="BN104" i="2"/>
  <c r="BN154" i="2"/>
  <c r="BN169" i="2"/>
  <c r="Y214" i="2"/>
  <c r="BN269" i="2"/>
  <c r="BN34" i="2"/>
  <c r="BN99" i="2"/>
  <c r="BN121" i="2"/>
  <c r="BN134" i="2"/>
  <c r="Y220" i="2"/>
  <c r="Y238" i="2"/>
  <c r="F9" i="2"/>
  <c r="BN41" i="2"/>
  <c r="BN66" i="2"/>
  <c r="BN116" i="2"/>
  <c r="BN140" i="2"/>
  <c r="BP169" i="2"/>
  <c r="Y183" i="2"/>
  <c r="BN208" i="2"/>
  <c r="BN231" i="2"/>
  <c r="BN247" i="2"/>
  <c r="BP134" i="2"/>
  <c r="BN146" i="2"/>
  <c r="Y149" i="2"/>
  <c r="J9" i="2"/>
  <c r="BN26" i="2"/>
  <c r="BP66" i="2"/>
  <c r="BN76" i="2"/>
  <c r="BN102" i="2"/>
  <c r="Y105" i="2"/>
  <c r="BN194" i="2"/>
  <c r="BN252" i="2"/>
  <c r="BP47" i="2"/>
  <c r="BP71" i="2"/>
  <c r="Y111" i="2"/>
  <c r="Y122" i="2"/>
  <c r="Y135" i="2"/>
  <c r="BP146" i="2"/>
  <c r="BP231" i="2"/>
  <c r="BN54" i="2"/>
  <c r="BN23" i="2"/>
  <c r="BN110" i="2"/>
  <c r="H9" i="2"/>
  <c r="BN47" i="2"/>
  <c r="Y50" i="2"/>
  <c r="A10" i="2"/>
  <c r="X277" i="2" l="1"/>
  <c r="Z279" i="2"/>
  <c r="Y278" i="2"/>
  <c r="Y276" i="2"/>
  <c r="Y275" i="2"/>
  <c r="Y274" i="2"/>
  <c r="Y277" i="2" l="1"/>
  <c r="A287" i="2" l="1"/>
  <c r="C287" i="2"/>
  <c r="B287" i="2"/>
</calcChain>
</file>

<file path=xl/sharedStrings.xml><?xml version="1.0" encoding="utf-8"?>
<sst xmlns="http://schemas.openxmlformats.org/spreadsheetml/2006/main" count="1702" uniqueCount="399">
  <si>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</si>
  <si>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</si>
  <si>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</si>
  <si>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</si>
  <si>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</si>
  <si>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</si>
  <si>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</si>
  <si>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</si>
  <si>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</si>
  <si>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</si>
  <si>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</si>
  <si>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</si>
  <si>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</si>
  <si>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</si>
  <si>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</si>
  <si>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</si>
  <si>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</si>
  <si>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</si>
  <si>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</si>
  <si>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</si>
  <si>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</si>
  <si>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</si>
  <si>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</si>
  <si>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</si>
  <si>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</si>
  <si>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</si>
  <si>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</si>
  <si>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</si>
  <si>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</si>
  <si>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</si>
  <si>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</si>
  <si>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</si>
  <si>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</si>
  <si>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</si>
  <si>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</si>
  <si>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</si>
  <si>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</si>
  <si>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</si>
  <si>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</si>
  <si>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</si>
  <si>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</si>
  <si>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</si>
  <si>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</si>
  <si>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</si>
  <si>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</si>
  <si>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</si>
  <si>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</si>
  <si>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</si>
  <si>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</si>
  <si>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</si>
  <si>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</si>
  <si>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</si>
  <si>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</si>
  <si>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</si>
  <si>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</si>
  <si>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</si>
  <si>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</si>
  <si>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</si>
  <si>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</si>
  <si>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</si>
  <si>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</si>
  <si>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</si>
  <si>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ЗПФ, кг</t>
  </si>
  <si>
    <t xml:space="preserve">ПГП, кг </t>
  </si>
  <si>
    <t>Вид продукции</t>
  </si>
  <si>
    <t>КИЗ, кг</t>
  </si>
  <si>
    <t>Внешний код номенклатуры</t>
  </si>
  <si>
    <t>Квант заказа</t>
  </si>
  <si>
    <t>Декларация/Сертификат</t>
  </si>
  <si>
    <t>Коробов в слое</t>
  </si>
  <si>
    <t>ЗПФ</t>
  </si>
  <si>
    <t>27.02.2026</t>
  </si>
  <si>
    <t>24.02.2026</t>
  </si>
  <si>
    <t>ОБЩЕСТВО С ОГРАНИЧЕННОЙ ОТВЕТСТВЕННОСТЬЮ "НОВОЕ ВРЕМЯ"</t>
  </si>
  <si>
    <t>596383</t>
  </si>
  <si>
    <t>Телефоны для заказов:8(919)022-63-02 E-mail: Zamorozka@abiproduct.ru, Телефон сотрудников склада: 8-980-75-76-203</t>
  </si>
  <si>
    <t>График приема заказов: Заказы принимаются за ДВА дня до отгрузки Пн-Пт: с 9:00 до 14:00, Суб. - Вс. выходной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</si>
  <si>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</si>
  <si>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</si>
  <si>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Донецкая Народная Респ, Чаадаева ул, д. 1,</t>
  </si>
  <si>
    <t>283032Российская Федерация, Донецкая Народная Респ, Донецк г, Чаадаева ул, д. 1,</t>
  </si>
  <si>
    <t>Медвежье ушко</t>
  </si>
  <si>
    <t>Пельмени</t>
  </si>
  <si>
    <t>SU004027</t>
  </si>
  <si>
    <t>P005159</t>
  </si>
  <si>
    <t>ЕАЭС N RU Д-RU.РА09.В.61345/25</t>
  </si>
  <si>
    <t>МГ</t>
  </si>
  <si>
    <t>12</t>
  </si>
  <si>
    <t>Короб, мин. 1</t>
  </si>
  <si>
    <t>Короб</t>
  </si>
  <si>
    <t>SU004022</t>
  </si>
  <si>
    <t>P005158</t>
  </si>
  <si>
    <t>SU003974</t>
  </si>
  <si>
    <t>P005106</t>
  </si>
  <si>
    <t>ЕАЭС N RU Д-RU.РА01.В.79461/23</t>
  </si>
  <si>
    <t>SU003968</t>
  </si>
  <si>
    <t>P005109</t>
  </si>
  <si>
    <t>SU003975</t>
  </si>
  <si>
    <t>P005107</t>
  </si>
  <si>
    <t>SU003972</t>
  </si>
  <si>
    <t>P005104</t>
  </si>
  <si>
    <t>SU003971</t>
  </si>
  <si>
    <t>P005103</t>
  </si>
  <si>
    <t>SU003973</t>
  </si>
  <si>
    <t>P005105</t>
  </si>
  <si>
    <t>Сочные</t>
  </si>
  <si>
    <t>SU003964</t>
  </si>
  <si>
    <t>P005097</t>
  </si>
  <si>
    <t>ЕАЭС N RU Д-RU.РА01.В.86265/24</t>
  </si>
  <si>
    <t>SU003965</t>
  </si>
  <si>
    <t>P005098</t>
  </si>
  <si>
    <t>Наггетсы ГШ</t>
  </si>
  <si>
    <t>Наггетсы</t>
  </si>
  <si>
    <t>SU003598</t>
  </si>
  <si>
    <t>P004602</t>
  </si>
  <si>
    <t>ЕАЭС N RU Д-RU.РА10.В.22386/23</t>
  </si>
  <si>
    <t>ПГП</t>
  </si>
  <si>
    <t>14</t>
  </si>
  <si>
    <t>Слой, мин. 1</t>
  </si>
  <si>
    <t>Слой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</si>
  <si>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</si>
  <si>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</si>
  <si>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</si>
  <si>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</si>
  <si>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</si>
  <si>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</si>
  <si>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</si>
  <si>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</si>
  <si>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</si>
  <si>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</si>
  <si>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</si>
  <si>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</si>
  <si>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</si>
  <si>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</si>
  <si>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</si>
  <si>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</si>
  <si>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</si>
  <si>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</si>
  <si>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</si>
  <si>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</si>
  <si>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</si>
  <si>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</si>
  <si>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</si>
  <si>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</si>
  <si>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</si>
  <si>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</si>
  <si>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</si>
  <si>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</si>
  <si>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</si>
  <si>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</si>
  <si>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</si>
  <si>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</si>
  <si>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</si>
  <si>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</si>
  <si>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</si>
  <si>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</si>
  <si>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</si>
  <si>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</si>
  <si>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</si>
  <si>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</si>
  <si>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</si>
  <si>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</si>
  <si>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</si>
  <si>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</si>
  <si>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</si>
  <si>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</si>
  <si>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</si>
  <si>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ЕАЭС N RU Д-RU.РА02.В.13673/23</t>
  </si>
  <si>
    <t>18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</si>
  <si>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</si>
  <si>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</si>
  <si>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</si>
  <si>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</si>
  <si>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</si>
  <si>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</si>
  <si>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</si>
  <si>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</si>
  <si>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</si>
  <si>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</si>
  <si>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</si>
  <si>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</si>
  <si>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</si>
  <si>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</si>
  <si>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</si>
  <si>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</si>
  <si>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</si>
  <si>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</si>
  <si>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</si>
  <si>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</si>
  <si>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</si>
  <si>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</si>
  <si>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</si>
  <si>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</si>
  <si>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</si>
  <si>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</si>
  <si>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</si>
  <si>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</si>
  <si>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</si>
  <si>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</si>
  <si>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</si>
  <si>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</si>
  <si>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</si>
  <si>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</si>
  <si>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</si>
  <si>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</si>
  <si>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</si>
  <si>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</si>
  <si>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</si>
  <si>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</si>
  <si>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</si>
  <si>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</si>
  <si>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</si>
  <si>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</si>
  <si>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</si>
  <si>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</si>
  <si>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</si>
  <si>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</si>
  <si>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</si>
  <si>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</si>
  <si>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</si>
  <si>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</si>
  <si>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</si>
  <si>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</si>
  <si>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</si>
  <si>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</si>
  <si>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</si>
  <si>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</si>
  <si>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</si>
  <si>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</si>
  <si>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Хрустипай мини</t>
  </si>
  <si>
    <t>Изделия хлебобулочные</t>
  </si>
  <si>
    <t>SU004071</t>
  </si>
  <si>
    <t>P005201</t>
  </si>
  <si>
    <t>ЕАЭС N RU Д-RU.РА09.В.61500/25</t>
  </si>
  <si>
    <t>Чебупицца</t>
  </si>
  <si>
    <t>SU004032</t>
  </si>
  <si>
    <t>P005180</t>
  </si>
  <si>
    <t>ЕАЭС N RU Д-RU.РА11.В.05259/25</t>
  </si>
  <si>
    <t>SU003578</t>
  </si>
  <si>
    <t>P004484</t>
  </si>
  <si>
    <t>ЕАЭС N RU Д-RU.РА10.В.33475/23</t>
  </si>
  <si>
    <t>SU003580</t>
  </si>
  <si>
    <t>P004486</t>
  </si>
  <si>
    <t>Хотстеры</t>
  </si>
  <si>
    <t>SU004034</t>
  </si>
  <si>
    <t>P005182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</si>
  <si>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</si>
  <si>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</si>
  <si>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</si>
  <si>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</si>
  <si>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</si>
  <si>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</si>
  <si>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</si>
  <si>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</si>
  <si>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</si>
  <si>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</si>
  <si>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</si>
  <si>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</si>
  <si>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</si>
  <si>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</si>
  <si>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</si>
  <si>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</si>
  <si>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</si>
  <si>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</si>
  <si>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Супермени</t>
  </si>
  <si>
    <t>SU002177</t>
  </si>
  <si>
    <t>P004523</t>
  </si>
  <si>
    <t>ЕАЭС N RU Д-RU.РА02.В.69059/24</t>
  </si>
  <si>
    <t>6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</si>
  <si>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</si>
  <si>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</si>
  <si>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</si>
  <si>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</si>
  <si>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</si>
  <si>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</si>
  <si>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</si>
  <si>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</si>
  <si>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</si>
  <si>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</si>
  <si>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</si>
  <si>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</si>
  <si>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</si>
  <si>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</si>
  <si>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</si>
  <si>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</si>
  <si>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</si>
  <si>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</si>
  <si>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</si>
  <si>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</si>
  <si>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</si>
  <si>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</si>
  <si>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</si>
  <si>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</si>
  <si>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</si>
  <si>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</si>
  <si>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</si>
  <si>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</si>
  <si>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</si>
  <si>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</si>
  <si>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</si>
  <si>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</si>
  <si>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</si>
  <si>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</si>
  <si>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</si>
  <si>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</si>
  <si>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</si>
  <si>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</si>
  <si>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</si>
  <si>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</si>
  <si>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SU003777</t>
  </si>
  <si>
    <t>P004822</t>
  </si>
  <si>
    <t>ЕАЭС N RU Д-RU.РА08.В.93674/24</t>
  </si>
  <si>
    <t>SU003963</t>
  </si>
  <si>
    <t>P005095</t>
  </si>
  <si>
    <t>ЕАЭС N RU Д-RU.РА09.В.00509/24</t>
  </si>
  <si>
    <t>SU003722</t>
  </si>
  <si>
    <t>P004812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</si>
  <si>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</si>
  <si>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</si>
  <si>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</si>
  <si>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</si>
  <si>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</si>
  <si>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SU003706</t>
  </si>
  <si>
    <t>P004804</t>
  </si>
  <si>
    <t>ЕАЭС N RU Д-RU.РА10.В.24095/24</t>
  </si>
  <si>
    <t>SU003707</t>
  </si>
  <si>
    <t>P004805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</si>
  <si>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</si>
  <si>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</si>
  <si>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</si>
  <si>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</si>
  <si>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</si>
  <si>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</si>
  <si>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</si>
  <si>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</si>
  <si>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</si>
  <si>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</si>
  <si>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</si>
  <si>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</si>
  <si>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</si>
  <si>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</si>
  <si>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</si>
  <si>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</si>
  <si>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</si>
  <si>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</si>
  <si>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</si>
  <si>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</si>
  <si>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</si>
  <si>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</si>
  <si>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</si>
  <si>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</si>
  <si>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</si>
  <si>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</si>
  <si>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</si>
  <si>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</si>
  <si>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</si>
  <si>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</si>
  <si>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</si>
  <si>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</si>
  <si>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</si>
  <si>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</si>
  <si>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</si>
  <si>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</si>
  <si>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</si>
  <si>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</si>
  <si>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</si>
  <si>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</si>
  <si>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</si>
  <si>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</si>
  <si>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</si>
  <si>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</si>
  <si>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</si>
  <si>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</si>
  <si>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</si>
  <si>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</si>
  <si>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</si>
  <si>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</si>
  <si>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</si>
  <si>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</si>
  <si>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</si>
  <si>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</si>
  <si>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</si>
  <si>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MSDAX_ЗПФ</t>
  </si>
  <si>
    <t>Доставка</t>
  </si>
  <si>
    <t>Самовывоз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</si>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</sst>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35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467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60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Font="1" applyFill="1" applyBorder="1" applyProtection="1">
      <protection hidden="1"/>
    </xf>
    <xf numFmtId="2" fontId="61" fillId="0" borderId="11" xfId="0" applyNumberFormat="1" applyFont="1" applyFill="1" applyBorder="1" applyAlignment="1" applyProtection="1">
      <alignment horizontal="center"/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2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2" fillId="0" borderId="0" xfId="0" applyFont="1" applyFill="1" applyBorder="1" applyAlignment="1" applyProtection="1">
      <alignment horizontal="center" vertical="center"/>
      <protection hidden="1"/>
    </xf>
    <xf numFmtId="0" fontId="62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2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4" fillId="0" borderId="11" xfId="0" applyFont="1" applyFill="1" applyBorder="1" applyAlignment="1" applyProtection="1">
      <alignment wrapText="1"/>
      <protection hidden="1"/>
    </xf>
    <xf numFmtId="0" fontId="65" fillId="0" borderId="0" xfId="0" applyFont="1"/>
    <xf numFmtId="0" fontId="67" fillId="0" borderId="11" xfId="0" applyFont="1" applyFill="1" applyBorder="1" applyAlignment="1" applyProtection="1">
      <alignment wrapText="1"/>
      <protection hidden="1"/>
    </xf>
    <xf numFmtId="0" fontId="68" fillId="0" borderId="0" xfId="0" applyFont="1"/>
    <xf numFmtId="0" fontId="70" fillId="0" borderId="11" xfId="0" applyFont="1" applyFill="1" applyBorder="1" applyAlignment="1" applyProtection="1">
      <alignment wrapText="1"/>
      <protection hidden="1"/>
    </xf>
    <xf numFmtId="0" fontId="71" fillId="0" borderId="0" xfId="0" applyFont="1"/>
    <xf numFmtId="0" fontId="73" fillId="0" borderId="11" xfId="0" applyFont="1" applyFill="1" applyBorder="1" applyAlignment="1" applyProtection="1">
      <alignment wrapText="1"/>
      <protection hidden="1"/>
    </xf>
    <xf numFmtId="0" fontId="74" fillId="0" borderId="0" xfId="0" applyFont="1"/>
    <xf numFmtId="0" fontId="76" fillId="0" borderId="11" xfId="0" applyFont="1" applyFill="1" applyBorder="1" applyAlignment="1" applyProtection="1">
      <alignment wrapText="1"/>
      <protection hidden="1"/>
    </xf>
    <xf numFmtId="0" fontId="77" fillId="0" borderId="0" xfId="0" applyFont="1"/>
    <xf numFmtId="0" fontId="79" fillId="0" borderId="11" xfId="0" applyFont="1" applyFill="1" applyBorder="1" applyAlignment="1" applyProtection="1">
      <alignment wrapText="1"/>
      <protection hidden="1"/>
    </xf>
    <xf numFmtId="0" fontId="80" fillId="0" borderId="0" xfId="0" applyFont="1"/>
    <xf numFmtId="0" fontId="82" fillId="0" borderId="11" xfId="0" applyFont="1" applyFill="1" applyBorder="1" applyAlignment="1" applyProtection="1">
      <alignment wrapText="1"/>
      <protection hidden="1"/>
    </xf>
    <xf numFmtId="0" fontId="83" fillId="0" borderId="0" xfId="0" applyFont="1"/>
    <xf numFmtId="0" fontId="85" fillId="0" borderId="11" xfId="0" applyFont="1" applyFill="1" applyBorder="1" applyAlignment="1" applyProtection="1">
      <alignment wrapText="1"/>
      <protection hidden="1"/>
    </xf>
    <xf numFmtId="0" fontId="86" fillId="0" borderId="0" xfId="0" applyFont="1"/>
    <xf numFmtId="0" fontId="88" fillId="0" borderId="11" xfId="0" applyFont="1" applyFill="1" applyBorder="1" applyAlignment="1" applyProtection="1">
      <alignment wrapText="1"/>
      <protection hidden="1"/>
    </xf>
    <xf numFmtId="0" fontId="89" fillId="0" borderId="0" xfId="0" applyFont="1"/>
    <xf numFmtId="0" fontId="91" fillId="0" borderId="11" xfId="0" applyFont="1" applyFill="1" applyBorder="1" applyAlignment="1" applyProtection="1">
      <alignment wrapText="1"/>
      <protection hidden="1"/>
    </xf>
    <xf numFmtId="0" fontId="92" fillId="0" borderId="0" xfId="0" applyFont="1"/>
    <xf numFmtId="0" fontId="94" fillId="0" borderId="11" xfId="0" applyFont="1" applyFill="1" applyBorder="1" applyAlignment="1" applyProtection="1">
      <alignment wrapText="1"/>
      <protection hidden="1"/>
    </xf>
    <xf numFmtId="0" fontId="95" fillId="0" borderId="0" xfId="0" applyFont="1"/>
    <xf numFmtId="0" fontId="97" fillId="0" borderId="11" xfId="0" applyFont="1" applyFill="1" applyBorder="1" applyAlignment="1" applyProtection="1">
      <alignment wrapText="1"/>
      <protection hidden="1"/>
    </xf>
    <xf numFmtId="0" fontId="98" fillId="0" borderId="0" xfId="0" applyFont="1"/>
    <xf numFmtId="0" fontId="100" fillId="0" borderId="11" xfId="0" applyFont="1" applyFill="1" applyBorder="1" applyAlignment="1" applyProtection="1">
      <alignment wrapText="1"/>
      <protection hidden="1"/>
    </xf>
    <xf numFmtId="0" fontId="101" fillId="0" borderId="0" xfId="0" applyFont="1"/>
    <xf numFmtId="0" fontId="103" fillId="0" borderId="11" xfId="0" applyFont="1" applyFill="1" applyBorder="1" applyAlignment="1" applyProtection="1">
      <alignment wrapText="1"/>
      <protection hidden="1"/>
    </xf>
    <xf numFmtId="0" fontId="104" fillId="0" borderId="0" xfId="0" applyFont="1"/>
    <xf numFmtId="0" fontId="106" fillId="0" borderId="11" xfId="0" applyFont="1" applyFill="1" applyBorder="1" applyAlignment="1" applyProtection="1">
      <alignment wrapText="1"/>
      <protection hidden="1"/>
    </xf>
    <xf numFmtId="0" fontId="107" fillId="0" borderId="0" xfId="0" applyFont="1"/>
    <xf numFmtId="0" fontId="109" fillId="0" borderId="11" xfId="0" applyFont="1" applyFill="1" applyBorder="1" applyAlignment="1" applyProtection="1">
      <alignment wrapText="1"/>
      <protection hidden="1"/>
    </xf>
    <xf numFmtId="0" fontId="110" fillId="0" borderId="0" xfId="0" applyFont="1"/>
    <xf numFmtId="0" fontId="112" fillId="0" borderId="11" xfId="0" applyFont="1" applyFill="1" applyBorder="1" applyAlignment="1" applyProtection="1">
      <alignment wrapText="1"/>
      <protection hidden="1"/>
    </xf>
    <xf numFmtId="0" fontId="113" fillId="0" borderId="0" xfId="0" applyFont="1"/>
    <xf numFmtId="0" fontId="115" fillId="0" borderId="11" xfId="0" applyFont="1" applyFill="1" applyBorder="1" applyAlignment="1" applyProtection="1">
      <alignment wrapText="1"/>
      <protection hidden="1"/>
    </xf>
    <xf numFmtId="0" fontId="116" fillId="0" borderId="0" xfId="0" applyFont="1"/>
    <xf numFmtId="0" fontId="118" fillId="0" borderId="11" xfId="0" applyFont="1" applyFill="1" applyBorder="1" applyAlignment="1" applyProtection="1">
      <alignment wrapText="1"/>
      <protection hidden="1"/>
    </xf>
    <xf numFmtId="0" fontId="119" fillId="0" borderId="0" xfId="0" applyFont="1"/>
    <xf numFmtId="0" fontId="121" fillId="0" borderId="11" xfId="0" applyFont="1" applyFill="1" applyBorder="1" applyAlignment="1" applyProtection="1">
      <alignment wrapText="1"/>
      <protection hidden="1"/>
    </xf>
    <xf numFmtId="0" fontId="122" fillId="0" borderId="0" xfId="0" applyFont="1"/>
    <xf numFmtId="0" fontId="124" fillId="0" borderId="11" xfId="0" applyFont="1" applyFill="1" applyBorder="1" applyAlignment="1" applyProtection="1">
      <alignment wrapText="1"/>
      <protection hidden="1"/>
    </xf>
    <xf numFmtId="0" fontId="125" fillId="0" borderId="0" xfId="0" applyFont="1"/>
    <xf numFmtId="0" fontId="127" fillId="0" borderId="11" xfId="0" applyFont="1" applyFill="1" applyBorder="1" applyAlignment="1" applyProtection="1">
      <alignment wrapText="1"/>
      <protection hidden="1"/>
    </xf>
    <xf numFmtId="0" fontId="128" fillId="0" borderId="0" xfId="0" applyFont="1"/>
    <xf numFmtId="0" fontId="130" fillId="0" borderId="11" xfId="0" applyFont="1" applyFill="1" applyBorder="1" applyAlignment="1" applyProtection="1">
      <alignment wrapText="1"/>
      <protection hidden="1"/>
    </xf>
    <xf numFmtId="0" fontId="131" fillId="0" borderId="0" xfId="0" applyFont="1"/>
    <xf numFmtId="0" fontId="133" fillId="0" borderId="11" xfId="0" applyFont="1" applyFill="1" applyBorder="1" applyAlignment="1" applyProtection="1">
      <alignment wrapText="1"/>
      <protection hidden="1"/>
    </xf>
    <xf numFmtId="0" fontId="134" fillId="0" borderId="0" xfId="0" applyFont="1"/>
    <xf numFmtId="0" fontId="136" fillId="0" borderId="11" xfId="0" applyFont="1" applyFill="1" applyBorder="1" applyAlignment="1" applyProtection="1">
      <alignment wrapText="1"/>
      <protection hidden="1"/>
    </xf>
    <xf numFmtId="0" fontId="137" fillId="0" borderId="0" xfId="0" applyFont="1"/>
    <xf numFmtId="0" fontId="139" fillId="0" borderId="11" xfId="0" applyFont="1" applyFill="1" applyBorder="1" applyAlignment="1" applyProtection="1">
      <alignment wrapText="1"/>
      <protection hidden="1"/>
    </xf>
    <xf numFmtId="0" fontId="140" fillId="0" borderId="0" xfId="0" applyFont="1"/>
    <xf numFmtId="0" fontId="142" fillId="0" borderId="11" xfId="0" applyFont="1" applyFill="1" applyBorder="1" applyAlignment="1" applyProtection="1">
      <alignment wrapText="1"/>
      <protection hidden="1"/>
    </xf>
    <xf numFmtId="0" fontId="143" fillId="0" borderId="0" xfId="0" applyFont="1"/>
    <xf numFmtId="0" fontId="145" fillId="0" borderId="11" xfId="0" applyFont="1" applyFill="1" applyBorder="1" applyAlignment="1" applyProtection="1">
      <alignment wrapText="1"/>
      <protection hidden="1"/>
    </xf>
    <xf numFmtId="0" fontId="146" fillId="0" borderId="0" xfId="0" applyFont="1"/>
    <xf numFmtId="0" fontId="148" fillId="0" borderId="11" xfId="0" applyFont="1" applyFill="1" applyBorder="1" applyAlignment="1" applyProtection="1">
      <alignment wrapText="1"/>
      <protection hidden="1"/>
    </xf>
    <xf numFmtId="0" fontId="149" fillId="0" borderId="0" xfId="0" applyFont="1"/>
    <xf numFmtId="0" fontId="151" fillId="0" borderId="11" xfId="0" applyFont="1" applyFill="1" applyBorder="1" applyAlignment="1" applyProtection="1">
      <alignment wrapText="1"/>
      <protection hidden="1"/>
    </xf>
    <xf numFmtId="0" fontId="152" fillId="0" borderId="0" xfId="0" applyFont="1"/>
    <xf numFmtId="0" fontId="154" fillId="0" borderId="11" xfId="0" applyFont="1" applyFill="1" applyBorder="1" applyAlignment="1" applyProtection="1">
      <alignment wrapText="1"/>
      <protection hidden="1"/>
    </xf>
    <xf numFmtId="0" fontId="155" fillId="0" borderId="0" xfId="0" applyFont="1"/>
    <xf numFmtId="0" fontId="157" fillId="0" borderId="11" xfId="0" applyFont="1" applyFill="1" applyBorder="1" applyAlignment="1" applyProtection="1">
      <alignment wrapText="1"/>
      <protection hidden="1"/>
    </xf>
    <xf numFmtId="0" fontId="158" fillId="0" borderId="0" xfId="0" applyFont="1"/>
    <xf numFmtId="0" fontId="160" fillId="0" borderId="11" xfId="0" applyFont="1" applyFill="1" applyBorder="1" applyAlignment="1" applyProtection="1">
      <alignment wrapText="1"/>
      <protection hidden="1"/>
    </xf>
    <xf numFmtId="0" fontId="161" fillId="0" borderId="0" xfId="0" applyFont="1"/>
    <xf numFmtId="0" fontId="163" fillId="0" borderId="11" xfId="0" applyFont="1" applyFill="1" applyBorder="1" applyAlignment="1" applyProtection="1">
      <alignment wrapText="1"/>
      <protection hidden="1"/>
    </xf>
    <xf numFmtId="0" fontId="164" fillId="0" borderId="0" xfId="0" applyFont="1"/>
    <xf numFmtId="0" fontId="166" fillId="0" borderId="11" xfId="0" applyFont="1" applyFill="1" applyBorder="1" applyAlignment="1" applyProtection="1">
      <alignment wrapText="1"/>
      <protection hidden="1"/>
    </xf>
    <xf numFmtId="0" fontId="167" fillId="0" borderId="0" xfId="0" applyFont="1"/>
    <xf numFmtId="0" fontId="169" fillId="0" borderId="11" xfId="0" applyFont="1" applyFill="1" applyBorder="1" applyAlignment="1" applyProtection="1">
      <alignment wrapText="1"/>
      <protection hidden="1"/>
    </xf>
    <xf numFmtId="0" fontId="170" fillId="0" borderId="0" xfId="0" applyFont="1"/>
    <xf numFmtId="0" fontId="172" fillId="0" borderId="11" xfId="0" applyFont="1" applyFill="1" applyBorder="1" applyAlignment="1" applyProtection="1">
      <alignment wrapText="1"/>
      <protection hidden="1"/>
    </xf>
    <xf numFmtId="0" fontId="173" fillId="0" borderId="0" xfId="0" applyFont="1"/>
    <xf numFmtId="0" fontId="175" fillId="0" borderId="11" xfId="0" applyFont="1" applyFill="1" applyBorder="1" applyAlignment="1" applyProtection="1">
      <alignment wrapText="1"/>
      <protection hidden="1"/>
    </xf>
    <xf numFmtId="0" fontId="176" fillId="0" borderId="0" xfId="0" applyFont="1"/>
    <xf numFmtId="0" fontId="178" fillId="0" borderId="11" xfId="0" applyFont="1" applyFill="1" applyBorder="1" applyAlignment="1" applyProtection="1">
      <alignment wrapText="1"/>
      <protection hidden="1"/>
    </xf>
    <xf numFmtId="0" fontId="179" fillId="0" borderId="0" xfId="0" applyFont="1"/>
    <xf numFmtId="0" fontId="181" fillId="0" borderId="11" xfId="0" applyFont="1" applyFill="1" applyBorder="1" applyAlignment="1" applyProtection="1">
      <alignment wrapText="1"/>
      <protection hidden="1"/>
    </xf>
    <xf numFmtId="0" fontId="182" fillId="0" borderId="0" xfId="0" applyFont="1"/>
    <xf numFmtId="0" fontId="184" fillId="0" borderId="11" xfId="0" applyFont="1" applyFill="1" applyBorder="1" applyAlignment="1" applyProtection="1">
      <alignment wrapText="1"/>
      <protection hidden="1"/>
    </xf>
    <xf numFmtId="0" fontId="185" fillId="0" borderId="0" xfId="0" applyFont="1"/>
    <xf numFmtId="0" fontId="187" fillId="0" borderId="11" xfId="0" applyFont="1" applyFill="1" applyBorder="1" applyAlignment="1" applyProtection="1">
      <alignment wrapText="1"/>
      <protection hidden="1"/>
    </xf>
    <xf numFmtId="0" fontId="188" fillId="0" borderId="0" xfId="0" applyFont="1"/>
    <xf numFmtId="0" fontId="190" fillId="0" borderId="11" xfId="0" applyFont="1" applyFill="1" applyBorder="1" applyAlignment="1" applyProtection="1">
      <alignment wrapText="1"/>
      <protection hidden="1"/>
    </xf>
    <xf numFmtId="0" fontId="191" fillId="0" borderId="0" xfId="0" applyFont="1"/>
    <xf numFmtId="0" fontId="193" fillId="0" borderId="11" xfId="0" applyFont="1" applyFill="1" applyBorder="1" applyAlignment="1" applyProtection="1">
      <alignment wrapText="1"/>
      <protection hidden="1"/>
    </xf>
    <xf numFmtId="0" fontId="194" fillId="0" borderId="0" xfId="0" applyFont="1"/>
    <xf numFmtId="0" fontId="196" fillId="0" borderId="11" xfId="0" applyFont="1" applyFill="1" applyBorder="1" applyAlignment="1" applyProtection="1">
      <alignment wrapText="1"/>
      <protection hidden="1"/>
    </xf>
    <xf numFmtId="0" fontId="197" fillId="0" borderId="0" xfId="0" applyFont="1"/>
    <xf numFmtId="0" fontId="199" fillId="0" borderId="11" xfId="0" applyFont="1" applyFill="1" applyBorder="1" applyAlignment="1" applyProtection="1">
      <alignment wrapText="1"/>
      <protection hidden="1"/>
    </xf>
    <xf numFmtId="0" fontId="200" fillId="0" borderId="0" xfId="0" applyFont="1"/>
    <xf numFmtId="0" fontId="202" fillId="0" borderId="11" xfId="0" applyFont="1" applyFill="1" applyBorder="1" applyAlignment="1" applyProtection="1">
      <alignment wrapText="1"/>
      <protection hidden="1"/>
    </xf>
    <xf numFmtId="0" fontId="203" fillId="0" borderId="0" xfId="0" applyFont="1"/>
    <xf numFmtId="0" fontId="205" fillId="0" borderId="11" xfId="0" applyFont="1" applyFill="1" applyBorder="1" applyAlignment="1" applyProtection="1">
      <alignment wrapText="1"/>
      <protection hidden="1"/>
    </xf>
    <xf numFmtId="0" fontId="206" fillId="0" borderId="0" xfId="0" applyFont="1"/>
    <xf numFmtId="0" fontId="208" fillId="0" borderId="11" xfId="0" applyFont="1" applyFill="1" applyBorder="1" applyAlignment="1" applyProtection="1">
      <alignment wrapText="1"/>
      <protection hidden="1"/>
    </xf>
    <xf numFmtId="0" fontId="209" fillId="0" borderId="0" xfId="0" applyFont="1"/>
    <xf numFmtId="0" fontId="211" fillId="0" borderId="11" xfId="0" applyFont="1" applyFill="1" applyBorder="1" applyAlignment="1" applyProtection="1">
      <alignment wrapText="1"/>
      <protection hidden="1"/>
    </xf>
    <xf numFmtId="0" fontId="212" fillId="0" borderId="0" xfId="0" applyFont="1"/>
    <xf numFmtId="0" fontId="214" fillId="0" borderId="11" xfId="0" applyFont="1" applyFill="1" applyBorder="1" applyAlignment="1" applyProtection="1">
      <alignment wrapText="1"/>
      <protection hidden="1"/>
    </xf>
    <xf numFmtId="0" fontId="215" fillId="0" borderId="0" xfId="0" applyFont="1"/>
    <xf numFmtId="0" fontId="217" fillId="0" borderId="11" xfId="0" applyFont="1" applyFill="1" applyBorder="1" applyAlignment="1" applyProtection="1">
      <alignment wrapText="1"/>
      <protection hidden="1"/>
    </xf>
    <xf numFmtId="0" fontId="218" fillId="0" borderId="0" xfId="0" applyFont="1"/>
    <xf numFmtId="0" fontId="220" fillId="0" borderId="11" xfId="0" applyFont="1" applyFill="1" applyBorder="1" applyAlignment="1" applyProtection="1">
      <alignment wrapText="1"/>
      <protection hidden="1"/>
    </xf>
    <xf numFmtId="0" fontId="221" fillId="0" borderId="0" xfId="0" applyFont="1"/>
    <xf numFmtId="0" fontId="223" fillId="0" borderId="11" xfId="0" applyFont="1" applyFill="1" applyBorder="1" applyAlignment="1" applyProtection="1">
      <alignment wrapText="1"/>
      <protection hidden="1"/>
    </xf>
    <xf numFmtId="0" fontId="224" fillId="0" borderId="0" xfId="0" applyFont="1"/>
    <xf numFmtId="0" fontId="226" fillId="0" borderId="11" xfId="0" applyFont="1" applyFill="1" applyBorder="1" applyAlignment="1" applyProtection="1">
      <alignment wrapText="1"/>
      <protection hidden="1"/>
    </xf>
    <xf numFmtId="0" fontId="227" fillId="0" borderId="0" xfId="0" applyFont="1"/>
    <xf numFmtId="0" fontId="229" fillId="0" borderId="11" xfId="0" applyFont="1" applyFill="1" applyBorder="1" applyAlignment="1" applyProtection="1">
      <alignment wrapText="1"/>
      <protection hidden="1"/>
    </xf>
    <xf numFmtId="0" fontId="230" fillId="0" borderId="0" xfId="0" applyFont="1"/>
    <xf numFmtId="0" fontId="232" fillId="0" borderId="11" xfId="0" applyFont="1" applyFill="1" applyBorder="1" applyAlignment="1" applyProtection="1">
      <alignment wrapText="1"/>
      <protection hidden="1"/>
    </xf>
    <xf numFmtId="0" fontId="233" fillId="0" borderId="0" xfId="0" applyFont="1"/>
    <xf numFmtId="0" fontId="235" fillId="0" borderId="11" xfId="0" applyFont="1" applyFill="1" applyBorder="1" applyAlignment="1" applyProtection="1">
      <alignment wrapText="1"/>
      <protection hidden="1"/>
    </xf>
    <xf numFmtId="0" fontId="236" fillId="0" borderId="0" xfId="0" applyFont="1"/>
    <xf numFmtId="0" fontId="238" fillId="0" borderId="11" xfId="0" applyFont="1" applyFill="1" applyBorder="1" applyAlignment="1" applyProtection="1">
      <alignment wrapText="1"/>
      <protection hidden="1"/>
    </xf>
    <xf numFmtId="0" fontId="239" fillId="0" borderId="0" xfId="0" applyFont="1"/>
    <xf numFmtId="0" fontId="241" fillId="0" borderId="11" xfId="0" applyFont="1" applyFill="1" applyBorder="1" applyAlignment="1" applyProtection="1">
      <alignment wrapText="1"/>
      <protection hidden="1"/>
    </xf>
    <xf numFmtId="0" fontId="242" fillId="0" borderId="0" xfId="0" applyFont="1"/>
    <xf numFmtId="0" fontId="244" fillId="0" borderId="11" xfId="0" applyFont="1" applyFill="1" applyBorder="1" applyAlignment="1" applyProtection="1">
      <alignment wrapText="1"/>
      <protection hidden="1"/>
    </xf>
    <xf numFmtId="0" fontId="245" fillId="0" borderId="0" xfId="0" applyFont="1"/>
    <xf numFmtId="0" fontId="247" fillId="0" borderId="11" xfId="0" applyFont="1" applyFill="1" applyBorder="1" applyAlignment="1" applyProtection="1">
      <alignment wrapText="1"/>
      <protection hidden="1"/>
    </xf>
    <xf numFmtId="0" fontId="248" fillId="0" borderId="0" xfId="0" applyFont="1"/>
    <xf numFmtId="0" fontId="250" fillId="0" borderId="11" xfId="0" applyFont="1" applyFill="1" applyBorder="1" applyAlignment="1" applyProtection="1">
      <alignment wrapText="1"/>
      <protection hidden="1"/>
    </xf>
    <xf numFmtId="0" fontId="251" fillId="0" borderId="0" xfId="0" applyFont="1"/>
    <xf numFmtId="0" fontId="253" fillId="0" borderId="11" xfId="0" applyFont="1" applyFill="1" applyBorder="1" applyAlignment="1" applyProtection="1">
      <alignment wrapText="1"/>
      <protection hidden="1"/>
    </xf>
    <xf numFmtId="0" fontId="254" fillId="0" borderId="0" xfId="0" applyFont="1"/>
    <xf numFmtId="0" fontId="256" fillId="0" borderId="11" xfId="0" applyFont="1" applyFill="1" applyBorder="1" applyAlignment="1" applyProtection="1">
      <alignment wrapText="1"/>
      <protection hidden="1"/>
    </xf>
    <xf numFmtId="0" fontId="257" fillId="0" borderId="0" xfId="0" applyFont="1"/>
    <xf numFmtId="0" fontId="259" fillId="0" borderId="11" xfId="0" applyFont="1" applyFill="1" applyBorder="1" applyAlignment="1" applyProtection="1">
      <alignment wrapText="1"/>
      <protection hidden="1"/>
    </xf>
    <xf numFmtId="0" fontId="260" fillId="0" borderId="0" xfId="0" applyFont="1"/>
    <xf numFmtId="0" fontId="262" fillId="0" borderId="11" xfId="0" applyFont="1" applyFill="1" applyBorder="1" applyAlignment="1" applyProtection="1">
      <alignment wrapText="1"/>
      <protection hidden="1"/>
    </xf>
    <xf numFmtId="0" fontId="263" fillId="0" borderId="0" xfId="0" applyFont="1"/>
    <xf numFmtId="0" fontId="265" fillId="0" borderId="11" xfId="0" applyFont="1" applyFill="1" applyBorder="1" applyAlignment="1" applyProtection="1">
      <alignment wrapText="1"/>
      <protection hidden="1"/>
    </xf>
    <xf numFmtId="0" fontId="266" fillId="0" borderId="0" xfId="0" applyFont="1"/>
    <xf numFmtId="0" fontId="268" fillId="0" borderId="11" xfId="0" applyFont="1" applyFill="1" applyBorder="1" applyAlignment="1" applyProtection="1">
      <alignment wrapText="1"/>
      <protection hidden="1"/>
    </xf>
    <xf numFmtId="0" fontId="269" fillId="0" borderId="0" xfId="0" applyFont="1"/>
    <xf numFmtId="0" fontId="271" fillId="0" borderId="11" xfId="0" applyFont="1" applyFill="1" applyBorder="1" applyAlignment="1" applyProtection="1">
      <alignment wrapText="1"/>
      <protection hidden="1"/>
    </xf>
    <xf numFmtId="0" fontId="272" fillId="0" borderId="0" xfId="0" applyFont="1"/>
    <xf numFmtId="0" fontId="274" fillId="0" borderId="11" xfId="0" applyFont="1" applyFill="1" applyBorder="1" applyAlignment="1" applyProtection="1">
      <alignment wrapText="1"/>
      <protection hidden="1"/>
    </xf>
    <xf numFmtId="0" fontId="275" fillId="0" borderId="0" xfId="0" applyFont="1"/>
    <xf numFmtId="0" fontId="277" fillId="0" borderId="11" xfId="0" applyFont="1" applyFill="1" applyBorder="1" applyAlignment="1" applyProtection="1">
      <alignment wrapText="1"/>
      <protection hidden="1"/>
    </xf>
    <xf numFmtId="0" fontId="278" fillId="0" borderId="0" xfId="0" applyFont="1"/>
    <xf numFmtId="0" fontId="280" fillId="0" borderId="11" xfId="0" applyFont="1" applyFill="1" applyBorder="1" applyAlignment="1" applyProtection="1">
      <alignment wrapText="1"/>
      <protection hidden="1"/>
    </xf>
    <xf numFmtId="0" fontId="281" fillId="0" borderId="0" xfId="0" applyFont="1"/>
    <xf numFmtId="0" fontId="283" fillId="0" borderId="11" xfId="0" applyFont="1" applyFill="1" applyBorder="1" applyAlignment="1" applyProtection="1">
      <alignment wrapText="1"/>
      <protection hidden="1"/>
    </xf>
    <xf numFmtId="0" fontId="284" fillId="0" borderId="0" xfId="0" applyFont="1"/>
    <xf numFmtId="0" fontId="286" fillId="0" borderId="11" xfId="0" applyFont="1" applyFill="1" applyBorder="1" applyAlignment="1" applyProtection="1">
      <alignment wrapText="1"/>
      <protection hidden="1"/>
    </xf>
    <xf numFmtId="0" fontId="287" fillId="0" borderId="0" xfId="0" applyFont="1"/>
    <xf numFmtId="0" fontId="289" fillId="0" borderId="11" xfId="0" applyFont="1" applyFill="1" applyBorder="1" applyAlignment="1" applyProtection="1">
      <alignment wrapText="1"/>
      <protection hidden="1"/>
    </xf>
    <xf numFmtId="0" fontId="290" fillId="0" borderId="0" xfId="0" applyFont="1"/>
    <xf numFmtId="0" fontId="292" fillId="0" borderId="11" xfId="0" applyFont="1" applyFill="1" applyBorder="1" applyAlignment="1" applyProtection="1">
      <alignment wrapText="1"/>
      <protection hidden="1"/>
    </xf>
    <xf numFmtId="0" fontId="293" fillId="0" borderId="0" xfId="0" applyFont="1"/>
    <xf numFmtId="0" fontId="295" fillId="0" borderId="11" xfId="0" applyFont="1" applyFill="1" applyBorder="1" applyAlignment="1" applyProtection="1">
      <alignment wrapText="1"/>
      <protection hidden="1"/>
    </xf>
    <xf numFmtId="0" fontId="296" fillId="0" borderId="0" xfId="0" applyFont="1"/>
    <xf numFmtId="0" fontId="298" fillId="0" borderId="11" xfId="0" applyFont="1" applyFill="1" applyBorder="1" applyAlignment="1" applyProtection="1">
      <alignment wrapText="1"/>
      <protection hidden="1"/>
    </xf>
    <xf numFmtId="0" fontId="299" fillId="0" borderId="0" xfId="0" applyFont="1"/>
    <xf numFmtId="0" fontId="301" fillId="0" borderId="11" xfId="0" applyFont="1" applyFill="1" applyBorder="1" applyAlignment="1" applyProtection="1">
      <alignment wrapText="1"/>
      <protection hidden="1"/>
    </xf>
    <xf numFmtId="0" fontId="302" fillId="0" borderId="0" xfId="0" applyFont="1"/>
    <xf numFmtId="0" fontId="304" fillId="0" borderId="11" xfId="0" applyFont="1" applyFill="1" applyBorder="1" applyAlignment="1" applyProtection="1">
      <alignment wrapText="1"/>
      <protection hidden="1"/>
    </xf>
    <xf numFmtId="0" fontId="305" fillId="0" borderId="0" xfId="0" applyFont="1"/>
    <xf numFmtId="0" fontId="307" fillId="0" borderId="11" xfId="0" applyFont="1" applyFill="1" applyBorder="1" applyAlignment="1" applyProtection="1">
      <alignment wrapText="1"/>
      <protection hidden="1"/>
    </xf>
    <xf numFmtId="0" fontId="308" fillId="0" borderId="0" xfId="0" applyFont="1"/>
    <xf numFmtId="0" fontId="310" fillId="0" borderId="11" xfId="0" applyFont="1" applyFill="1" applyBorder="1" applyAlignment="1" applyProtection="1">
      <alignment wrapText="1"/>
      <protection hidden="1"/>
    </xf>
    <xf numFmtId="0" fontId="311" fillId="0" borderId="0" xfId="0" applyFont="1"/>
    <xf numFmtId="0" fontId="313" fillId="0" borderId="11" xfId="0" applyFont="1" applyFill="1" applyBorder="1" applyAlignment="1" applyProtection="1">
      <alignment wrapText="1"/>
      <protection hidden="1"/>
    </xf>
    <xf numFmtId="0" fontId="314" fillId="0" borderId="0" xfId="0" applyFont="1"/>
    <xf numFmtId="0" fontId="316" fillId="0" borderId="11" xfId="0" applyFont="1" applyFill="1" applyBorder="1" applyAlignment="1" applyProtection="1">
      <alignment wrapText="1"/>
      <protection hidden="1"/>
    </xf>
    <xf numFmtId="0" fontId="317" fillId="0" borderId="0" xfId="0" applyFont="1"/>
    <xf numFmtId="0" fontId="319" fillId="0" borderId="11" xfId="0" applyFont="1" applyFill="1" applyBorder="1" applyAlignment="1" applyProtection="1">
      <alignment wrapText="1"/>
      <protection hidden="1"/>
    </xf>
    <xf numFmtId="0" fontId="320" fillId="0" borderId="0" xfId="0" applyFont="1"/>
    <xf numFmtId="0" fontId="322" fillId="0" borderId="11" xfId="0" applyFont="1" applyFill="1" applyBorder="1" applyAlignment="1" applyProtection="1">
      <alignment wrapText="1"/>
      <protection hidden="1"/>
    </xf>
    <xf numFmtId="0" fontId="323" fillId="0" borderId="0" xfId="0" applyFont="1"/>
    <xf numFmtId="0" fontId="325" fillId="0" borderId="11" xfId="0" applyFont="1" applyFill="1" applyBorder="1" applyAlignment="1" applyProtection="1">
      <alignment wrapText="1"/>
      <protection hidden="1"/>
    </xf>
    <xf numFmtId="0" fontId="326" fillId="0" borderId="0" xfId="0" applyFont="1"/>
    <xf numFmtId="0" fontId="328" fillId="0" borderId="11" xfId="0" applyFont="1" applyFill="1" applyBorder="1" applyAlignment="1" applyProtection="1">
      <alignment wrapText="1"/>
      <protection hidden="1"/>
    </xf>
    <xf numFmtId="0" fontId="329" fillId="0" borderId="0" xfId="0" applyFont="1"/>
    <xf numFmtId="0" fontId="331" fillId="0" borderId="11" xfId="0" applyFont="1" applyFill="1" applyBorder="1" applyAlignment="1" applyProtection="1">
      <alignment wrapText="1"/>
      <protection hidden="1"/>
    </xf>
    <xf numFmtId="0" fontId="332" fillId="0" borderId="0" xfId="0" applyFont="1"/>
    <xf numFmtId="0" fontId="334" fillId="0" borderId="11" xfId="0" applyFont="1" applyFill="1" applyBorder="1" applyAlignment="1" applyProtection="1">
      <alignment wrapText="1"/>
      <protection hidden="1"/>
    </xf>
    <xf numFmtId="0" fontId="335" fillId="0" borderId="0" xfId="0" applyFont="1"/>
    <xf numFmtId="0" fontId="337" fillId="0" borderId="11" xfId="0" applyFont="1" applyFill="1" applyBorder="1" applyAlignment="1" applyProtection="1">
      <alignment wrapText="1"/>
      <protection hidden="1"/>
    </xf>
    <xf numFmtId="0" fontId="338" fillId="0" borderId="0" xfId="0" applyFont="1"/>
    <xf numFmtId="0" fontId="340" fillId="0" borderId="11" xfId="0" applyFont="1" applyFill="1" applyBorder="1" applyAlignment="1" applyProtection="1">
      <alignment wrapText="1"/>
      <protection hidden="1"/>
    </xf>
    <xf numFmtId="0" fontId="341" fillId="0" borderId="0" xfId="0" applyFont="1"/>
    <xf numFmtId="0" fontId="343" fillId="0" borderId="11" xfId="0" applyFont="1" applyFill="1" applyBorder="1" applyAlignment="1" applyProtection="1">
      <alignment wrapText="1"/>
      <protection hidden="1"/>
    </xf>
    <xf numFmtId="0" fontId="344" fillId="0" borderId="0" xfId="0" applyFont="1"/>
    <xf numFmtId="0" fontId="346" fillId="0" borderId="11" xfId="0" applyFont="1" applyFill="1" applyBorder="1" applyAlignment="1" applyProtection="1">
      <alignment wrapText="1"/>
      <protection hidden="1"/>
    </xf>
    <xf numFmtId="0" fontId="347" fillId="0" borderId="0" xfId="0" applyFont="1"/>
    <xf numFmtId="0" fontId="349" fillId="0" borderId="11" xfId="0" applyFont="1" applyFill="1" applyBorder="1" applyAlignment="1" applyProtection="1">
      <alignment wrapText="1"/>
      <protection hidden="1"/>
    </xf>
    <xf numFmtId="0" fontId="350" fillId="0" borderId="0" xfId="0" applyFont="1"/>
    <xf numFmtId="0" fontId="352" fillId="0" borderId="11" xfId="0" applyFont="1" applyFill="1" applyBorder="1" applyAlignment="1" applyProtection="1">
      <alignment wrapText="1"/>
      <protection hidden="1"/>
    </xf>
    <xf numFmtId="0" fontId="353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3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6" fillId="0" borderId="45" xfId="0" applyFont="1" applyFill="1" applyBorder="1" applyAlignment="1">
      <alignment horizontal="left" vertical="center" wrapText="1"/>
    </xf>
    <xf numFmtId="0" fontId="69" fillId="0" borderId="45" xfId="0" applyFont="1" applyFill="1" applyBorder="1" applyAlignment="1">
      <alignment horizontal="left" vertical="center" wrapText="1"/>
    </xf>
    <xf numFmtId="0" fontId="72" fillId="0" borderId="45" xfId="0" applyFont="1" applyFill="1" applyBorder="1" applyAlignment="1">
      <alignment horizontal="left" vertical="center" wrapText="1"/>
    </xf>
    <xf numFmtId="0" fontId="75" fillId="0" borderId="45" xfId="0" applyFont="1" applyFill="1" applyBorder="1" applyAlignment="1">
      <alignment horizontal="left" vertical="center" wrapText="1"/>
    </xf>
    <xf numFmtId="0" fontId="78" fillId="0" borderId="45" xfId="0" applyFont="1" applyFill="1" applyBorder="1" applyAlignment="1">
      <alignment horizontal="left" vertical="center" wrapText="1"/>
    </xf>
    <xf numFmtId="0" fontId="81" fillId="0" borderId="45" xfId="0" applyFont="1" applyFill="1" applyBorder="1" applyAlignment="1">
      <alignment horizontal="left" vertical="center" wrapText="1"/>
    </xf>
    <xf numFmtId="0" fontId="8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87" fillId="0" borderId="45" xfId="0" applyFont="1" applyFill="1" applyBorder="1" applyAlignment="1">
      <alignment horizontal="left" vertical="center" wrapText="1"/>
    </xf>
    <xf numFmtId="0" fontId="90" fillId="0" borderId="45" xfId="0" applyFont="1" applyFill="1" applyBorder="1" applyAlignment="1">
      <alignment horizontal="left" vertical="center" wrapText="1"/>
    </xf>
    <xf numFmtId="0" fontId="93" fillId="0" borderId="45" xfId="0" applyFont="1" applyFill="1" applyBorder="1" applyAlignment="1">
      <alignment horizontal="left" vertical="center" wrapText="1"/>
    </xf>
    <xf numFmtId="0" fontId="96" fillId="0" borderId="45" xfId="0" applyFont="1" applyFill="1" applyBorder="1" applyAlignment="1">
      <alignment horizontal="left" vertical="center" wrapText="1"/>
    </xf>
    <xf numFmtId="0" fontId="99" fillId="0" borderId="45" xfId="0" applyFont="1" applyFill="1" applyBorder="1" applyAlignment="1">
      <alignment horizontal="left" vertical="center" wrapText="1"/>
    </xf>
    <xf numFmtId="0" fontId="102" fillId="0" borderId="45" xfId="0" applyFont="1" applyFill="1" applyBorder="1" applyAlignment="1">
      <alignment horizontal="left" vertical="center" wrapText="1"/>
    </xf>
    <xf numFmtId="0" fontId="105" fillId="0" borderId="45" xfId="0" applyFont="1" applyFill="1" applyBorder="1" applyAlignment="1">
      <alignment horizontal="left" vertical="center" wrapText="1"/>
    </xf>
    <xf numFmtId="0" fontId="108" fillId="0" borderId="45" xfId="0" applyFont="1" applyFill="1" applyBorder="1" applyAlignment="1">
      <alignment horizontal="left" vertical="center" wrapText="1"/>
    </xf>
    <xf numFmtId="0" fontId="111" fillId="0" borderId="45" xfId="0" applyFont="1" applyFill="1" applyBorder="1" applyAlignment="1">
      <alignment horizontal="left" vertical="center" wrapText="1"/>
    </xf>
    <xf numFmtId="0" fontId="114" fillId="0" borderId="45" xfId="0" applyFont="1" applyFill="1" applyBorder="1" applyAlignment="1">
      <alignment horizontal="left" vertical="center" wrapText="1"/>
    </xf>
    <xf numFmtId="0" fontId="117" fillId="0" borderId="45" xfId="0" applyFont="1" applyFill="1" applyBorder="1" applyAlignment="1">
      <alignment horizontal="left" vertical="center" wrapText="1"/>
    </xf>
    <xf numFmtId="0" fontId="120" fillId="0" borderId="45" xfId="0" applyFont="1" applyFill="1" applyBorder="1" applyAlignment="1">
      <alignment horizontal="left" vertical="center" wrapText="1"/>
    </xf>
    <xf numFmtId="0" fontId="123" fillId="0" borderId="45" xfId="0" applyFont="1" applyFill="1" applyBorder="1" applyAlignment="1">
      <alignment horizontal="left" vertical="center" wrapText="1"/>
    </xf>
    <xf numFmtId="0" fontId="126" fillId="0" borderId="45" xfId="0" applyFont="1" applyFill="1" applyBorder="1" applyAlignment="1">
      <alignment horizontal="left" vertical="center" wrapText="1"/>
    </xf>
    <xf numFmtId="0" fontId="129" fillId="0" borderId="45" xfId="0" applyFont="1" applyFill="1" applyBorder="1" applyAlignment="1">
      <alignment horizontal="left" vertical="center" wrapText="1"/>
    </xf>
    <xf numFmtId="0" fontId="132" fillId="0" borderId="45" xfId="0" applyFont="1" applyFill="1" applyBorder="1" applyAlignment="1">
      <alignment horizontal="left" vertical="center" wrapText="1"/>
    </xf>
    <xf numFmtId="0" fontId="135" fillId="0" borderId="45" xfId="0" applyFont="1" applyFill="1" applyBorder="1" applyAlignment="1">
      <alignment horizontal="left" vertical="center" wrapText="1"/>
    </xf>
    <xf numFmtId="0" fontId="138" fillId="0" borderId="45" xfId="0" applyFont="1" applyFill="1" applyBorder="1" applyAlignment="1">
      <alignment horizontal="left" vertical="center" wrapText="1"/>
    </xf>
    <xf numFmtId="0" fontId="141" fillId="0" borderId="45" xfId="0" applyFont="1" applyFill="1" applyBorder="1" applyAlignment="1">
      <alignment horizontal="left" vertical="center" wrapText="1"/>
    </xf>
    <xf numFmtId="0" fontId="144" fillId="0" borderId="45" xfId="0" applyFont="1" applyFill="1" applyBorder="1" applyAlignment="1">
      <alignment horizontal="left" vertical="center" wrapText="1"/>
    </xf>
    <xf numFmtId="0" fontId="147" fillId="0" borderId="45" xfId="0" applyFont="1" applyFill="1" applyBorder="1" applyAlignment="1">
      <alignment horizontal="left" vertical="center" wrapText="1"/>
    </xf>
    <xf numFmtId="0" fontId="150" fillId="0" borderId="45" xfId="0" applyFont="1" applyFill="1" applyBorder="1" applyAlignment="1">
      <alignment horizontal="left" vertical="center" wrapText="1"/>
    </xf>
    <xf numFmtId="0" fontId="153" fillId="0" borderId="45" xfId="0" applyFont="1" applyFill="1" applyBorder="1" applyAlignment="1">
      <alignment horizontal="left" vertical="center" wrapText="1"/>
    </xf>
    <xf numFmtId="0" fontId="156" fillId="0" borderId="45" xfId="0" applyFont="1" applyFill="1" applyBorder="1" applyAlignment="1">
      <alignment horizontal="left" vertical="center" wrapText="1"/>
    </xf>
    <xf numFmtId="0" fontId="159" fillId="0" borderId="45" xfId="0" applyFont="1" applyFill="1" applyBorder="1" applyAlignment="1">
      <alignment horizontal="left" vertical="center" wrapText="1"/>
    </xf>
    <xf numFmtId="0" fontId="162" fillId="0" borderId="45" xfId="0" applyFont="1" applyFill="1" applyBorder="1" applyAlignment="1">
      <alignment horizontal="left" vertical="center" wrapText="1"/>
    </xf>
    <xf numFmtId="0" fontId="165" fillId="0" borderId="45" xfId="0" applyFont="1" applyFill="1" applyBorder="1" applyAlignment="1">
      <alignment horizontal="left" vertical="center" wrapText="1"/>
    </xf>
    <xf numFmtId="0" fontId="168" fillId="0" borderId="45" xfId="0" applyFont="1" applyFill="1" applyBorder="1" applyAlignment="1">
      <alignment horizontal="left" vertical="center" wrapText="1"/>
    </xf>
    <xf numFmtId="0" fontId="171" fillId="0" borderId="45" xfId="0" applyFont="1" applyFill="1" applyBorder="1" applyAlignment="1">
      <alignment horizontal="left" vertical="center" wrapText="1"/>
    </xf>
    <xf numFmtId="0" fontId="174" fillId="0" borderId="45" xfId="0" applyFont="1" applyFill="1" applyBorder="1" applyAlignment="1">
      <alignment horizontal="left" vertical="center" wrapText="1"/>
    </xf>
    <xf numFmtId="0" fontId="177" fillId="0" borderId="45" xfId="0" applyFont="1" applyFill="1" applyBorder="1" applyAlignment="1">
      <alignment horizontal="left" vertical="center" wrapText="1"/>
    </xf>
    <xf numFmtId="0" fontId="180" fillId="0" borderId="45" xfId="0" applyFont="1" applyFill="1" applyBorder="1" applyAlignment="1">
      <alignment horizontal="left" vertical="center" wrapText="1"/>
    </xf>
    <xf numFmtId="0" fontId="183" fillId="0" borderId="45" xfId="0" applyFont="1" applyFill="1" applyBorder="1" applyAlignment="1">
      <alignment horizontal="left" vertical="center" wrapText="1"/>
    </xf>
    <xf numFmtId="0" fontId="186" fillId="0" borderId="45" xfId="0" applyFont="1" applyFill="1" applyBorder="1" applyAlignment="1">
      <alignment horizontal="left" vertical="center" wrapText="1"/>
    </xf>
    <xf numFmtId="0" fontId="189" fillId="0" borderId="45" xfId="0" applyFont="1" applyFill="1" applyBorder="1" applyAlignment="1">
      <alignment horizontal="left" vertical="center" wrapText="1"/>
    </xf>
    <xf numFmtId="0" fontId="192" fillId="0" borderId="45" xfId="0" applyFont="1" applyFill="1" applyBorder="1" applyAlignment="1">
      <alignment horizontal="left" vertical="center" wrapText="1"/>
    </xf>
    <xf numFmtId="0" fontId="195" fillId="0" borderId="45" xfId="0" applyFont="1" applyFill="1" applyBorder="1" applyAlignment="1">
      <alignment horizontal="left" vertical="center" wrapText="1"/>
    </xf>
    <xf numFmtId="0" fontId="198" fillId="0" borderId="45" xfId="0" applyFont="1" applyFill="1" applyBorder="1" applyAlignment="1">
      <alignment horizontal="left" vertical="center" wrapText="1"/>
    </xf>
    <xf numFmtId="0" fontId="201" fillId="0" borderId="45" xfId="0" applyFont="1" applyFill="1" applyBorder="1" applyAlignment="1">
      <alignment horizontal="left" vertical="center" wrapText="1"/>
    </xf>
    <xf numFmtId="0" fontId="204" fillId="0" borderId="45" xfId="0" applyFont="1" applyFill="1" applyBorder="1" applyAlignment="1">
      <alignment horizontal="left" vertical="center" wrapText="1"/>
    </xf>
    <xf numFmtId="0" fontId="207" fillId="0" borderId="45" xfId="0" applyFont="1" applyFill="1" applyBorder="1" applyAlignment="1">
      <alignment horizontal="left" vertical="center" wrapText="1"/>
    </xf>
    <xf numFmtId="0" fontId="210" fillId="0" borderId="45" xfId="0" applyFont="1" applyFill="1" applyBorder="1" applyAlignment="1">
      <alignment horizontal="left" vertical="center" wrapText="1"/>
    </xf>
    <xf numFmtId="0" fontId="213" fillId="0" borderId="45" xfId="0" applyFont="1" applyFill="1" applyBorder="1" applyAlignment="1">
      <alignment horizontal="left" vertical="center" wrapText="1"/>
    </xf>
    <xf numFmtId="0" fontId="216" fillId="0" borderId="45" xfId="0" applyFont="1" applyFill="1" applyBorder="1" applyAlignment="1">
      <alignment horizontal="left" vertical="center" wrapText="1"/>
    </xf>
    <xf numFmtId="0" fontId="219" fillId="0" borderId="45" xfId="0" applyFont="1" applyFill="1" applyBorder="1" applyAlignment="1">
      <alignment horizontal="left" vertical="center" wrapText="1"/>
    </xf>
    <xf numFmtId="0" fontId="222" fillId="0" borderId="45" xfId="0" applyFont="1" applyFill="1" applyBorder="1" applyAlignment="1">
      <alignment horizontal="left" vertical="center" wrapText="1"/>
    </xf>
    <xf numFmtId="0" fontId="225" fillId="0" borderId="45" xfId="0" applyFont="1" applyFill="1" applyBorder="1" applyAlignment="1">
      <alignment horizontal="left" vertical="center" wrapText="1"/>
    </xf>
    <xf numFmtId="0" fontId="228" fillId="0" borderId="45" xfId="0" applyFont="1" applyFill="1" applyBorder="1" applyAlignment="1">
      <alignment horizontal="left" vertical="center" wrapText="1"/>
    </xf>
    <xf numFmtId="0" fontId="231" fillId="0" borderId="45" xfId="0" applyFont="1" applyFill="1" applyBorder="1" applyAlignment="1">
      <alignment horizontal="left" vertical="center" wrapText="1"/>
    </xf>
    <xf numFmtId="0" fontId="234" fillId="0" borderId="45" xfId="0" applyFont="1" applyFill="1" applyBorder="1" applyAlignment="1">
      <alignment horizontal="left" vertical="center" wrapText="1"/>
    </xf>
    <xf numFmtId="0" fontId="237" fillId="0" borderId="45" xfId="0" applyFont="1" applyFill="1" applyBorder="1" applyAlignment="1">
      <alignment horizontal="left" vertical="center" wrapText="1"/>
    </xf>
    <xf numFmtId="0" fontId="240" fillId="0" borderId="45" xfId="0" applyFont="1" applyFill="1" applyBorder="1" applyAlignment="1">
      <alignment horizontal="left" vertical="center" wrapText="1"/>
    </xf>
    <xf numFmtId="0" fontId="243" fillId="0" borderId="45" xfId="0" applyFont="1" applyFill="1" applyBorder="1" applyAlignment="1">
      <alignment horizontal="left" vertical="center" wrapText="1"/>
    </xf>
    <xf numFmtId="0" fontId="246" fillId="0" borderId="45" xfId="0" applyFont="1" applyFill="1" applyBorder="1" applyAlignment="1">
      <alignment horizontal="left" vertical="center" wrapText="1"/>
    </xf>
    <xf numFmtId="0" fontId="249" fillId="0" borderId="45" xfId="0" applyFont="1" applyFill="1" applyBorder="1" applyAlignment="1">
      <alignment horizontal="left" vertical="center" wrapText="1"/>
    </xf>
    <xf numFmtId="0" fontId="252" fillId="0" borderId="45" xfId="0" applyFont="1" applyFill="1" applyBorder="1" applyAlignment="1">
      <alignment horizontal="left" vertical="center" wrapText="1"/>
    </xf>
    <xf numFmtId="0" fontId="255" fillId="0" borderId="45" xfId="0" applyFont="1" applyFill="1" applyBorder="1" applyAlignment="1">
      <alignment horizontal="left" vertical="center" wrapText="1"/>
    </xf>
    <xf numFmtId="0" fontId="258" fillId="0" borderId="45" xfId="0" applyFont="1" applyFill="1" applyBorder="1" applyAlignment="1">
      <alignment horizontal="left" vertical="center" wrapText="1"/>
    </xf>
    <xf numFmtId="0" fontId="261" fillId="0" borderId="45" xfId="0" applyFont="1" applyFill="1" applyBorder="1" applyAlignment="1">
      <alignment horizontal="left" vertical="center" wrapText="1"/>
    </xf>
    <xf numFmtId="0" fontId="264" fillId="0" borderId="45" xfId="0" applyFont="1" applyFill="1" applyBorder="1" applyAlignment="1">
      <alignment horizontal="left" vertical="center" wrapText="1"/>
    </xf>
    <xf numFmtId="0" fontId="267" fillId="0" borderId="45" xfId="0" applyFont="1" applyFill="1" applyBorder="1" applyAlignment="1">
      <alignment horizontal="left" vertical="center" wrapText="1"/>
    </xf>
    <xf numFmtId="0" fontId="270" fillId="0" borderId="45" xfId="0" applyFont="1" applyFill="1" applyBorder="1" applyAlignment="1">
      <alignment horizontal="left" vertical="center" wrapText="1"/>
    </xf>
    <xf numFmtId="0" fontId="273" fillId="0" borderId="45" xfId="0" applyFont="1" applyFill="1" applyBorder="1" applyAlignment="1">
      <alignment horizontal="left" vertical="center" wrapText="1"/>
    </xf>
    <xf numFmtId="0" fontId="276" fillId="0" borderId="45" xfId="0" applyFont="1" applyFill="1" applyBorder="1" applyAlignment="1">
      <alignment horizontal="left" vertical="center" wrapText="1"/>
    </xf>
    <xf numFmtId="0" fontId="279" fillId="0" borderId="45" xfId="0" applyFont="1" applyFill="1" applyBorder="1" applyAlignment="1">
      <alignment horizontal="left" vertical="center" wrapText="1"/>
    </xf>
    <xf numFmtId="0" fontId="282" fillId="0" borderId="45" xfId="0" applyFont="1" applyFill="1" applyBorder="1" applyAlignment="1">
      <alignment horizontal="left" vertical="center" wrapText="1"/>
    </xf>
    <xf numFmtId="0" fontId="285" fillId="0" borderId="45" xfId="0" applyFont="1" applyFill="1" applyBorder="1" applyAlignment="1">
      <alignment horizontal="left" vertical="center" wrapText="1"/>
    </xf>
    <xf numFmtId="0" fontId="288" fillId="0" borderId="45" xfId="0" applyFont="1" applyFill="1" applyBorder="1" applyAlignment="1">
      <alignment horizontal="left" vertical="center" wrapText="1"/>
    </xf>
    <xf numFmtId="0" fontId="291" fillId="0" borderId="45" xfId="0" applyFont="1" applyFill="1" applyBorder="1" applyAlignment="1">
      <alignment horizontal="left" vertical="center" wrapText="1"/>
    </xf>
    <xf numFmtId="0" fontId="294" fillId="0" borderId="45" xfId="0" applyFont="1" applyFill="1" applyBorder="1" applyAlignment="1">
      <alignment horizontal="left" vertical="center" wrapText="1"/>
    </xf>
    <xf numFmtId="0" fontId="297" fillId="0" borderId="45" xfId="0" applyFont="1" applyFill="1" applyBorder="1" applyAlignment="1">
      <alignment horizontal="left" vertical="center" wrapText="1"/>
    </xf>
    <xf numFmtId="0" fontId="300" fillId="0" borderId="45" xfId="0" applyFont="1" applyFill="1" applyBorder="1" applyAlignment="1">
      <alignment horizontal="left" vertical="center" wrapText="1"/>
    </xf>
    <xf numFmtId="0" fontId="303" fillId="0" borderId="45" xfId="0" applyFont="1" applyFill="1" applyBorder="1" applyAlignment="1">
      <alignment horizontal="left" vertical="center" wrapText="1"/>
    </xf>
    <xf numFmtId="0" fontId="306" fillId="0" borderId="45" xfId="0" applyFont="1" applyFill="1" applyBorder="1" applyAlignment="1">
      <alignment horizontal="left" vertical="center" wrapText="1"/>
    </xf>
    <xf numFmtId="0" fontId="309" fillId="0" borderId="45" xfId="0" applyFont="1" applyFill="1" applyBorder="1" applyAlignment="1">
      <alignment horizontal="left" vertical="center" wrapText="1"/>
    </xf>
    <xf numFmtId="0" fontId="312" fillId="0" borderId="45" xfId="0" applyFont="1" applyFill="1" applyBorder="1" applyAlignment="1">
      <alignment horizontal="left" vertical="center" wrapText="1"/>
    </xf>
    <xf numFmtId="0" fontId="315" fillId="0" borderId="45" xfId="0" applyFont="1" applyFill="1" applyBorder="1" applyAlignment="1">
      <alignment horizontal="left" vertical="center" wrapText="1"/>
    </xf>
    <xf numFmtId="0" fontId="318" fillId="0" borderId="45" xfId="0" applyFont="1" applyFill="1" applyBorder="1" applyAlignment="1">
      <alignment horizontal="left" vertical="center" wrapText="1"/>
    </xf>
    <xf numFmtId="0" fontId="321" fillId="0" borderId="45" xfId="0" applyFont="1" applyFill="1" applyBorder="1" applyAlignment="1">
      <alignment horizontal="left" vertical="center" wrapText="1"/>
    </xf>
    <xf numFmtId="0" fontId="324" fillId="0" borderId="45" xfId="0" applyFont="1" applyFill="1" applyBorder="1" applyAlignment="1">
      <alignment horizontal="left" vertical="center" wrapText="1"/>
    </xf>
    <xf numFmtId="0" fontId="327" fillId="0" borderId="45" xfId="0" applyFont="1" applyFill="1" applyBorder="1" applyAlignment="1">
      <alignment horizontal="left" vertical="center" wrapText="1"/>
    </xf>
    <xf numFmtId="0" fontId="330" fillId="0" borderId="45" xfId="0" applyFont="1" applyFill="1" applyBorder="1" applyAlignment="1">
      <alignment horizontal="left" vertical="center" wrapText="1"/>
    </xf>
    <xf numFmtId="0" fontId="333" fillId="0" borderId="45" xfId="0" applyFont="1" applyFill="1" applyBorder="1" applyAlignment="1">
      <alignment horizontal="left" vertical="center" wrapText="1"/>
    </xf>
    <xf numFmtId="0" fontId="336" fillId="0" borderId="45" xfId="0" applyFont="1" applyFill="1" applyBorder="1" applyAlignment="1">
      <alignment horizontal="left" vertical="center" wrapText="1"/>
    </xf>
    <xf numFmtId="0" fontId="339" fillId="0" borderId="45" xfId="0" applyFont="1" applyFill="1" applyBorder="1" applyAlignment="1">
      <alignment horizontal="left" vertical="center" wrapText="1"/>
    </xf>
    <xf numFmtId="0" fontId="342" fillId="0" borderId="45" xfId="0" applyFont="1" applyFill="1" applyBorder="1" applyAlignment="1">
      <alignment horizontal="left" vertical="center" wrapText="1"/>
    </xf>
    <xf numFmtId="0" fontId="345" fillId="0" borderId="45" xfId="0" applyFont="1" applyFill="1" applyBorder="1" applyAlignment="1">
      <alignment horizontal="left" vertical="center" wrapText="1"/>
    </xf>
    <xf numFmtId="0" fontId="348" fillId="0" borderId="45" xfId="0" applyFont="1" applyFill="1" applyBorder="1" applyAlignment="1">
      <alignment horizontal="left" vertical="center" wrapText="1"/>
    </xf>
    <xf numFmtId="0" fontId="351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87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283" t="s">
        <v>26</v>
      </c>
      <c r="E1" s="283"/>
      <c r="F1" s="283"/>
      <c r="G1" s="14" t="s">
        <v>70</v>
      </c>
      <c r="H1" s="283" t="s">
        <v>47</v>
      </c>
      <c r="I1" s="283"/>
      <c r="J1" s="283"/>
      <c r="K1" s="283"/>
      <c r="L1" s="283"/>
      <c r="M1" s="283"/>
      <c r="N1" s="283"/>
      <c r="O1" s="283"/>
      <c r="P1" s="283"/>
      <c r="Q1" s="283"/>
      <c r="R1" s="284" t="s">
        <v>71</v>
      </c>
      <c r="S1" s="285"/>
      <c r="T1" s="285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72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28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6"/>
      <c r="R2" s="286"/>
      <c r="S2" s="286"/>
      <c r="T2" s="286"/>
      <c r="U2" s="286"/>
      <c r="V2" s="286"/>
      <c r="W2" s="286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286"/>
      <c r="Q3" s="286"/>
      <c r="R3" s="286"/>
      <c r="S3" s="286"/>
      <c r="T3" s="286"/>
      <c r="U3" s="286"/>
      <c r="V3" s="286"/>
      <c r="W3" s="286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287" t="s">
        <v>8</v>
      </c>
      <c r="B5" s="287"/>
      <c r="C5" s="287"/>
      <c r="D5" s="288"/>
      <c r="E5" s="288"/>
      <c r="F5" s="289" t="s">
        <v>14</v>
      </c>
      <c r="G5" s="289"/>
      <c r="H5" s="288" t="s">
        <v>398</v>
      </c>
      <c r="I5" s="288"/>
      <c r="J5" s="288"/>
      <c r="K5" s="288"/>
      <c r="L5" s="288"/>
      <c r="M5" s="288"/>
      <c r="N5" s="75"/>
      <c r="P5" s="27" t="s">
        <v>4</v>
      </c>
      <c r="Q5" s="290">
        <v>46251</v>
      </c>
      <c r="R5" s="290"/>
      <c r="T5" s="291" t="s">
        <v>3</v>
      </c>
      <c r="U5" s="292"/>
      <c r="V5" s="293" t="s">
        <v>384</v>
      </c>
      <c r="W5" s="294"/>
      <c r="AB5" s="59"/>
      <c r="AC5" s="59"/>
      <c r="AD5" s="59"/>
      <c r="AE5" s="59"/>
    </row>
    <row r="6" spans="1:32" s="17" customFormat="1" ht="24" customHeight="1" x14ac:dyDescent="0.2">
      <c r="A6" s="287" t="s">
        <v>1</v>
      </c>
      <c r="B6" s="287"/>
      <c r="C6" s="287"/>
      <c r="D6" s="295" t="s">
        <v>79</v>
      </c>
      <c r="E6" s="295"/>
      <c r="F6" s="295"/>
      <c r="G6" s="295"/>
      <c r="H6" s="295"/>
      <c r="I6" s="295"/>
      <c r="J6" s="295"/>
      <c r="K6" s="295"/>
      <c r="L6" s="295"/>
      <c r="M6" s="295"/>
      <c r="N6" s="76"/>
      <c r="P6" s="27" t="s">
        <v>27</v>
      </c>
      <c r="Q6" s="296" t="str">
        <f>IF(Q5=0," ",CHOOSE(WEEKDAY(Q5,2),"Понедельник","Вторник","Среда","Четверг","Пятница","Суббота","Воскресенье"))</f>
        <v>Понедельник</v>
      </c>
      <c r="R6" s="296"/>
      <c r="T6" s="297" t="s">
        <v>5</v>
      </c>
      <c r="U6" s="298"/>
      <c r="V6" s="299" t="s">
        <v>73</v>
      </c>
      <c r="W6" s="30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305" t="str">
        <f>IFERROR(VLOOKUP(DeliveryAddress,Table,3,0),1)</f>
        <v>1</v>
      </c>
      <c r="E7" s="306"/>
      <c r="F7" s="306"/>
      <c r="G7" s="306"/>
      <c r="H7" s="306"/>
      <c r="I7" s="306"/>
      <c r="J7" s="306"/>
      <c r="K7" s="306"/>
      <c r="L7" s="306"/>
      <c r="M7" s="307"/>
      <c r="N7" s="77"/>
      <c r="P7" s="29"/>
      <c r="Q7" s="48"/>
      <c r="R7" s="48"/>
      <c r="T7" s="297"/>
      <c r="U7" s="298"/>
      <c r="V7" s="301"/>
      <c r="W7" s="302"/>
      <c r="AB7" s="59"/>
      <c r="AC7" s="59"/>
      <c r="AD7" s="59"/>
      <c r="AE7" s="59"/>
    </row>
    <row r="8" spans="1:32" s="17" customFormat="1" ht="25.5" customHeight="1" x14ac:dyDescent="0.2">
      <c r="A8" s="308" t="s">
        <v>58</v>
      </c>
      <c r="B8" s="308"/>
      <c r="C8" s="308"/>
      <c r="D8" s="309" t="s">
        <v>80</v>
      </c>
      <c r="E8" s="309"/>
      <c r="F8" s="309"/>
      <c r="G8" s="309"/>
      <c r="H8" s="309"/>
      <c r="I8" s="309"/>
      <c r="J8" s="309"/>
      <c r="K8" s="309"/>
      <c r="L8" s="309"/>
      <c r="M8" s="309"/>
      <c r="N8" s="78"/>
      <c r="P8" s="27" t="s">
        <v>11</v>
      </c>
      <c r="Q8" s="310">
        <v>0.41666666666666669</v>
      </c>
      <c r="R8" s="310"/>
      <c r="T8" s="297"/>
      <c r="U8" s="298"/>
      <c r="V8" s="301"/>
      <c r="W8" s="302"/>
      <c r="AB8" s="59"/>
      <c r="AC8" s="59"/>
      <c r="AD8" s="59"/>
      <c r="AE8" s="59"/>
    </row>
    <row r="9" spans="1:32" s="17" customFormat="1" ht="39.950000000000003" customHeight="1" x14ac:dyDescent="0.2">
      <c r="A9" s="31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11"/>
      <c r="C9" s="311"/>
      <c r="D9" s="312" t="s">
        <v>46</v>
      </c>
      <c r="E9" s="313"/>
      <c r="F9" s="31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11"/>
      <c r="H9" s="314" t="str">
        <f>IF(AND($A$9="Тип доверенности/получателя при получении в адресе перегруза:",$D$9="Разовая доверенность"),"Введите ФИО","")</f>
        <v/>
      </c>
      <c r="I9" s="314"/>
      <c r="J9" s="31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14"/>
      <c r="L9" s="314"/>
      <c r="M9" s="314"/>
      <c r="N9" s="73"/>
      <c r="P9" s="31" t="s">
        <v>15</v>
      </c>
      <c r="Q9" s="315">
        <v>46254</v>
      </c>
      <c r="R9" s="315"/>
      <c r="T9" s="297"/>
      <c r="U9" s="298"/>
      <c r="V9" s="303"/>
      <c r="W9" s="30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31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11"/>
      <c r="C10" s="311"/>
      <c r="D10" s="312"/>
      <c r="E10" s="313"/>
      <c r="F10" s="31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11"/>
      <c r="H10" s="316" t="str">
        <f>IFERROR(VLOOKUP($D$10,Proxy,2,FALSE),"")</f>
        <v/>
      </c>
      <c r="I10" s="316"/>
      <c r="J10" s="316"/>
      <c r="K10" s="316"/>
      <c r="L10" s="316"/>
      <c r="M10" s="316"/>
      <c r="N10" s="74"/>
      <c r="P10" s="31" t="s">
        <v>32</v>
      </c>
      <c r="Q10" s="317">
        <v>0.375</v>
      </c>
      <c r="R10" s="317"/>
      <c r="U10" s="29" t="s">
        <v>12</v>
      </c>
      <c r="V10" s="318" t="s">
        <v>74</v>
      </c>
      <c r="W10" s="319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320"/>
      <c r="R11" s="320"/>
      <c r="U11" s="29" t="s">
        <v>28</v>
      </c>
      <c r="V11" s="321" t="s">
        <v>55</v>
      </c>
      <c r="W11" s="321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322" t="s">
        <v>75</v>
      </c>
      <c r="B12" s="322"/>
      <c r="C12" s="322"/>
      <c r="D12" s="322"/>
      <c r="E12" s="322"/>
      <c r="F12" s="322"/>
      <c r="G12" s="322"/>
      <c r="H12" s="322"/>
      <c r="I12" s="322"/>
      <c r="J12" s="322"/>
      <c r="K12" s="322"/>
      <c r="L12" s="322"/>
      <c r="M12" s="322"/>
      <c r="N12" s="79"/>
      <c r="P12" s="27" t="s">
        <v>30</v>
      </c>
      <c r="Q12" s="310"/>
      <c r="R12" s="310"/>
      <c r="S12" s="28"/>
      <c r="T12"/>
      <c r="U12" s="29" t="s">
        <v>46</v>
      </c>
      <c r="V12" s="323"/>
      <c r="W12" s="323"/>
      <c r="X12"/>
      <c r="AB12" s="59"/>
      <c r="AC12" s="59"/>
      <c r="AD12" s="59"/>
      <c r="AE12" s="59"/>
    </row>
    <row r="13" spans="1:32" s="17" customFormat="1" ht="23.25" customHeight="1" x14ac:dyDescent="0.2">
      <c r="A13" s="322" t="s">
        <v>76</v>
      </c>
      <c r="B13" s="322"/>
      <c r="C13" s="322"/>
      <c r="D13" s="322"/>
      <c r="E13" s="322"/>
      <c r="F13" s="322"/>
      <c r="G13" s="322"/>
      <c r="H13" s="322"/>
      <c r="I13" s="322"/>
      <c r="J13" s="322"/>
      <c r="K13" s="322"/>
      <c r="L13" s="322"/>
      <c r="M13" s="322"/>
      <c r="N13" s="79"/>
      <c r="O13" s="31"/>
      <c r="P13" s="31" t="s">
        <v>31</v>
      </c>
      <c r="Q13" s="321"/>
      <c r="R13" s="321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322" t="s">
        <v>77</v>
      </c>
      <c r="B14" s="322"/>
      <c r="C14" s="322"/>
      <c r="D14" s="322"/>
      <c r="E14" s="322"/>
      <c r="F14" s="322"/>
      <c r="G14" s="322"/>
      <c r="H14" s="322"/>
      <c r="I14" s="322"/>
      <c r="J14" s="322"/>
      <c r="K14" s="322"/>
      <c r="L14" s="322"/>
      <c r="M14" s="322"/>
      <c r="N14" s="79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324" t="s">
        <v>78</v>
      </c>
      <c r="B15" s="324"/>
      <c r="C15" s="324"/>
      <c r="D15" s="324"/>
      <c r="E15" s="324"/>
      <c r="F15" s="324"/>
      <c r="G15" s="324"/>
      <c r="H15" s="324"/>
      <c r="I15" s="324"/>
      <c r="J15" s="324"/>
      <c r="K15" s="324"/>
      <c r="L15" s="324"/>
      <c r="M15" s="324"/>
      <c r="N15" s="80"/>
      <c r="O15"/>
      <c r="P15" s="325" t="s">
        <v>61</v>
      </c>
      <c r="Q15" s="325"/>
      <c r="R15" s="325"/>
      <c r="S15" s="325"/>
      <c r="T15" s="325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326"/>
      <c r="Q16" s="326"/>
      <c r="R16" s="326"/>
      <c r="S16" s="326"/>
      <c r="T16" s="32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329" t="s">
        <v>59</v>
      </c>
      <c r="B17" s="329" t="s">
        <v>49</v>
      </c>
      <c r="C17" s="331" t="s">
        <v>48</v>
      </c>
      <c r="D17" s="333" t="s">
        <v>50</v>
      </c>
      <c r="E17" s="334"/>
      <c r="F17" s="329" t="s">
        <v>21</v>
      </c>
      <c r="G17" s="329" t="s">
        <v>24</v>
      </c>
      <c r="H17" s="329" t="s">
        <v>22</v>
      </c>
      <c r="I17" s="329" t="s">
        <v>23</v>
      </c>
      <c r="J17" s="329" t="s">
        <v>16</v>
      </c>
      <c r="K17" s="329" t="s">
        <v>69</v>
      </c>
      <c r="L17" s="329" t="s">
        <v>67</v>
      </c>
      <c r="M17" s="329" t="s">
        <v>2</v>
      </c>
      <c r="N17" s="329" t="s">
        <v>66</v>
      </c>
      <c r="O17" s="329" t="s">
        <v>25</v>
      </c>
      <c r="P17" s="333" t="s">
        <v>17</v>
      </c>
      <c r="Q17" s="337"/>
      <c r="R17" s="337"/>
      <c r="S17" s="337"/>
      <c r="T17" s="334"/>
      <c r="U17" s="327" t="s">
        <v>56</v>
      </c>
      <c r="V17" s="328"/>
      <c r="W17" s="329" t="s">
        <v>6</v>
      </c>
      <c r="X17" s="329" t="s">
        <v>41</v>
      </c>
      <c r="Y17" s="339" t="s">
        <v>54</v>
      </c>
      <c r="Z17" s="341" t="s">
        <v>18</v>
      </c>
      <c r="AA17" s="343" t="s">
        <v>60</v>
      </c>
      <c r="AB17" s="343" t="s">
        <v>19</v>
      </c>
      <c r="AC17" s="343" t="s">
        <v>68</v>
      </c>
      <c r="AD17" s="345" t="s">
        <v>57</v>
      </c>
      <c r="AE17" s="346"/>
      <c r="AF17" s="347"/>
      <c r="AG17" s="85"/>
      <c r="BD17" s="84" t="s">
        <v>64</v>
      </c>
    </row>
    <row r="18" spans="1:68" ht="14.25" customHeight="1" x14ac:dyDescent="0.2">
      <c r="A18" s="330"/>
      <c r="B18" s="330"/>
      <c r="C18" s="332"/>
      <c r="D18" s="335"/>
      <c r="E18" s="336"/>
      <c r="F18" s="330"/>
      <c r="G18" s="330"/>
      <c r="H18" s="330"/>
      <c r="I18" s="330"/>
      <c r="J18" s="330"/>
      <c r="K18" s="330"/>
      <c r="L18" s="330"/>
      <c r="M18" s="330"/>
      <c r="N18" s="330"/>
      <c r="O18" s="330"/>
      <c r="P18" s="335"/>
      <c r="Q18" s="338"/>
      <c r="R18" s="338"/>
      <c r="S18" s="338"/>
      <c r="T18" s="336"/>
      <c r="U18" s="86" t="s">
        <v>44</v>
      </c>
      <c r="V18" s="86" t="s">
        <v>43</v>
      </c>
      <c r="W18" s="330"/>
      <c r="X18" s="330"/>
      <c r="Y18" s="340"/>
      <c r="Z18" s="342"/>
      <c r="AA18" s="344"/>
      <c r="AB18" s="344"/>
      <c r="AC18" s="344"/>
      <c r="AD18" s="348"/>
      <c r="AE18" s="349"/>
      <c r="AF18" s="350"/>
      <c r="AG18" s="85"/>
      <c r="BD18" s="84"/>
    </row>
    <row r="19" spans="1:68" ht="27.75" hidden="1" customHeight="1" x14ac:dyDescent="0.2">
      <c r="A19" s="351" t="s">
        <v>81</v>
      </c>
      <c r="B19" s="351"/>
      <c r="C19" s="351"/>
      <c r="D19" s="351"/>
      <c r="E19" s="351"/>
      <c r="F19" s="351"/>
      <c r="G19" s="351"/>
      <c r="H19" s="351"/>
      <c r="I19" s="351"/>
      <c r="J19" s="351"/>
      <c r="K19" s="351"/>
      <c r="L19" s="351"/>
      <c r="M19" s="351"/>
      <c r="N19" s="351"/>
      <c r="O19" s="351"/>
      <c r="P19" s="351"/>
      <c r="Q19" s="351"/>
      <c r="R19" s="351"/>
      <c r="S19" s="351"/>
      <c r="T19" s="351"/>
      <c r="U19" s="351"/>
      <c r="V19" s="351"/>
      <c r="W19" s="351"/>
      <c r="X19" s="351"/>
      <c r="Y19" s="351"/>
      <c r="Z19" s="351"/>
      <c r="AA19" s="54"/>
      <c r="AB19" s="54"/>
      <c r="AC19" s="54"/>
    </row>
    <row r="20" spans="1:68" ht="16.5" hidden="1" customHeight="1" x14ac:dyDescent="0.25">
      <c r="A20" s="352" t="s">
        <v>81</v>
      </c>
      <c r="B20" s="352"/>
      <c r="C20" s="352"/>
      <c r="D20" s="352"/>
      <c r="E20" s="352"/>
      <c r="F20" s="352"/>
      <c r="G20" s="352"/>
      <c r="H20" s="352"/>
      <c r="I20" s="352"/>
      <c r="J20" s="352"/>
      <c r="K20" s="352"/>
      <c r="L20" s="352"/>
      <c r="M20" s="352"/>
      <c r="N20" s="352"/>
      <c r="O20" s="352"/>
      <c r="P20" s="352"/>
      <c r="Q20" s="352"/>
      <c r="R20" s="352"/>
      <c r="S20" s="352"/>
      <c r="T20" s="352"/>
      <c r="U20" s="352"/>
      <c r="V20" s="352"/>
      <c r="W20" s="352"/>
      <c r="X20" s="352"/>
      <c r="Y20" s="352"/>
      <c r="Z20" s="352"/>
      <c r="AA20" s="65"/>
      <c r="AB20" s="65"/>
      <c r="AC20" s="82"/>
    </row>
    <row r="21" spans="1:68" ht="14.25" hidden="1" customHeight="1" x14ac:dyDescent="0.25">
      <c r="A21" s="353" t="s">
        <v>82</v>
      </c>
      <c r="B21" s="353"/>
      <c r="C21" s="353"/>
      <c r="D21" s="353"/>
      <c r="E21" s="353"/>
      <c r="F21" s="353"/>
      <c r="G21" s="353"/>
      <c r="H21" s="353"/>
      <c r="I21" s="353"/>
      <c r="J21" s="353"/>
      <c r="K21" s="353"/>
      <c r="L21" s="353"/>
      <c r="M21" s="353"/>
      <c r="N21" s="353"/>
      <c r="O21" s="353"/>
      <c r="P21" s="353"/>
      <c r="Q21" s="353"/>
      <c r="R21" s="353"/>
      <c r="S21" s="353"/>
      <c r="T21" s="353"/>
      <c r="U21" s="353"/>
      <c r="V21" s="353"/>
      <c r="W21" s="353"/>
      <c r="X21" s="353"/>
      <c r="Y21" s="353"/>
      <c r="Z21" s="353"/>
      <c r="AA21" s="66"/>
      <c r="AB21" s="66"/>
      <c r="AC21" s="83"/>
    </row>
    <row r="22" spans="1:68" ht="27" hidden="1" customHeight="1" x14ac:dyDescent="0.25">
      <c r="A22" s="63" t="s">
        <v>83</v>
      </c>
      <c r="B22" s="63" t="s">
        <v>84</v>
      </c>
      <c r="C22" s="36">
        <v>4301071113</v>
      </c>
      <c r="D22" s="354">
        <v>4620207491508</v>
      </c>
      <c r="E22" s="354"/>
      <c r="F22" s="62">
        <v>0.4</v>
      </c>
      <c r="G22" s="37">
        <v>16</v>
      </c>
      <c r="H22" s="62">
        <v>6.4</v>
      </c>
      <c r="I22" s="62">
        <v>6.71</v>
      </c>
      <c r="J22" s="37">
        <v>84</v>
      </c>
      <c r="K22" s="37" t="s">
        <v>87</v>
      </c>
      <c r="L22" s="37" t="s">
        <v>88</v>
      </c>
      <c r="M22" s="38" t="s">
        <v>86</v>
      </c>
      <c r="N22" s="38"/>
      <c r="O22" s="37">
        <v>180</v>
      </c>
      <c r="P22" s="355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356"/>
      <c r="R22" s="356"/>
      <c r="S22" s="356"/>
      <c r="T22" s="357"/>
      <c r="U22" s="39" t="s">
        <v>46</v>
      </c>
      <c r="V22" s="39" t="s">
        <v>46</v>
      </c>
      <c r="W22" s="40" t="s">
        <v>39</v>
      </c>
      <c r="X22" s="58">
        <v>0</v>
      </c>
      <c r="Y22" s="55">
        <f t="shared" ref="Y22:Y29" si="0">IFERROR(IF(X22="","",X22),"")</f>
        <v>0</v>
      </c>
      <c r="Z22" s="41">
        <f t="shared" ref="Z22:Z29" si="1">IFERROR(IF(X22="","",X22*0.0155),"")</f>
        <v>0</v>
      </c>
      <c r="AA22" s="68" t="s">
        <v>46</v>
      </c>
      <c r="AB22" s="69" t="s">
        <v>46</v>
      </c>
      <c r="AC22" s="89" t="s">
        <v>85</v>
      </c>
      <c r="AG22" s="81"/>
      <c r="AJ22" s="87" t="s">
        <v>89</v>
      </c>
      <c r="AK22" s="87">
        <v>1</v>
      </c>
      <c r="BB22" s="90" t="s">
        <v>70</v>
      </c>
      <c r="BM22" s="81">
        <f t="shared" ref="BM22:BM29" si="2">IFERROR(X22*I22,"0")</f>
        <v>0</v>
      </c>
      <c r="BN22" s="81">
        <f t="shared" ref="BN22:BN29" si="3">IFERROR(Y22*I22,"0")</f>
        <v>0</v>
      </c>
      <c r="BO22" s="81">
        <f t="shared" ref="BO22:BO29" si="4">IFERROR(X22/J22,"0")</f>
        <v>0</v>
      </c>
      <c r="BP22" s="81">
        <f t="shared" ref="BP22:BP29" si="5">IFERROR(Y22/J22,"0")</f>
        <v>0</v>
      </c>
    </row>
    <row r="23" spans="1:68" ht="27" hidden="1" customHeight="1" x14ac:dyDescent="0.25">
      <c r="A23" s="63" t="s">
        <v>90</v>
      </c>
      <c r="B23" s="63" t="s">
        <v>91</v>
      </c>
      <c r="C23" s="36">
        <v>4301071112</v>
      </c>
      <c r="D23" s="354">
        <v>4620207491256</v>
      </c>
      <c r="E23" s="354"/>
      <c r="F23" s="62">
        <v>0.8</v>
      </c>
      <c r="G23" s="37">
        <v>8</v>
      </c>
      <c r="H23" s="62">
        <v>6.4</v>
      </c>
      <c r="I23" s="62">
        <v>6.63</v>
      </c>
      <c r="J23" s="37">
        <v>84</v>
      </c>
      <c r="K23" s="37" t="s">
        <v>87</v>
      </c>
      <c r="L23" s="37" t="s">
        <v>88</v>
      </c>
      <c r="M23" s="38" t="s">
        <v>86</v>
      </c>
      <c r="N23" s="38"/>
      <c r="O23" s="37">
        <v>180</v>
      </c>
      <c r="P23" s="358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356"/>
      <c r="R23" s="356"/>
      <c r="S23" s="356"/>
      <c r="T23" s="357"/>
      <c r="U23" s="39" t="s">
        <v>46</v>
      </c>
      <c r="V23" s="39" t="s">
        <v>46</v>
      </c>
      <c r="W23" s="40" t="s">
        <v>39</v>
      </c>
      <c r="X23" s="58">
        <v>0</v>
      </c>
      <c r="Y23" s="55">
        <f t="shared" si="0"/>
        <v>0</v>
      </c>
      <c r="Z23" s="41">
        <f t="shared" si="1"/>
        <v>0</v>
      </c>
      <c r="AA23" s="68" t="s">
        <v>46</v>
      </c>
      <c r="AB23" s="69" t="s">
        <v>46</v>
      </c>
      <c r="AC23" s="91" t="s">
        <v>85</v>
      </c>
      <c r="AG23" s="81"/>
      <c r="AJ23" s="87" t="s">
        <v>89</v>
      </c>
      <c r="AK23" s="87">
        <v>1</v>
      </c>
      <c r="BB23" s="92" t="s">
        <v>70</v>
      </c>
      <c r="BM23" s="81">
        <f t="shared" si="2"/>
        <v>0</v>
      </c>
      <c r="BN23" s="81">
        <f t="shared" si="3"/>
        <v>0</v>
      </c>
      <c r="BO23" s="81">
        <f t="shared" si="4"/>
        <v>0</v>
      </c>
      <c r="BP23" s="81">
        <f t="shared" si="5"/>
        <v>0</v>
      </c>
    </row>
    <row r="24" spans="1:68" ht="27" hidden="1" customHeight="1" x14ac:dyDescent="0.25">
      <c r="A24" s="63" t="s">
        <v>92</v>
      </c>
      <c r="B24" s="63" t="s">
        <v>93</v>
      </c>
      <c r="C24" s="36">
        <v>4301071108</v>
      </c>
      <c r="D24" s="354">
        <v>4607111035912</v>
      </c>
      <c r="E24" s="354"/>
      <c r="F24" s="62">
        <v>0.43</v>
      </c>
      <c r="G24" s="37">
        <v>16</v>
      </c>
      <c r="H24" s="62">
        <v>6.88</v>
      </c>
      <c r="I24" s="62">
        <v>7.19</v>
      </c>
      <c r="J24" s="37">
        <v>84</v>
      </c>
      <c r="K24" s="37" t="s">
        <v>87</v>
      </c>
      <c r="L24" s="37" t="s">
        <v>88</v>
      </c>
      <c r="M24" s="38" t="s">
        <v>86</v>
      </c>
      <c r="N24" s="38"/>
      <c r="O24" s="37">
        <v>180</v>
      </c>
      <c r="P24" s="35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356"/>
      <c r="R24" s="356"/>
      <c r="S24" s="356"/>
      <c r="T24" s="357"/>
      <c r="U24" s="39" t="s">
        <v>46</v>
      </c>
      <c r="V24" s="39" t="s">
        <v>46</v>
      </c>
      <c r="W24" s="40" t="s">
        <v>39</v>
      </c>
      <c r="X24" s="58">
        <v>0</v>
      </c>
      <c r="Y24" s="55">
        <f t="shared" si="0"/>
        <v>0</v>
      </c>
      <c r="Z24" s="41">
        <f t="shared" si="1"/>
        <v>0</v>
      </c>
      <c r="AA24" s="68" t="s">
        <v>46</v>
      </c>
      <c r="AB24" s="69" t="s">
        <v>46</v>
      </c>
      <c r="AC24" s="93" t="s">
        <v>94</v>
      </c>
      <c r="AG24" s="81"/>
      <c r="AJ24" s="87" t="s">
        <v>89</v>
      </c>
      <c r="AK24" s="87">
        <v>1</v>
      </c>
      <c r="BB24" s="94" t="s">
        <v>70</v>
      </c>
      <c r="BM24" s="81">
        <f t="shared" si="2"/>
        <v>0</v>
      </c>
      <c r="BN24" s="81">
        <f t="shared" si="3"/>
        <v>0</v>
      </c>
      <c r="BO24" s="81">
        <f t="shared" si="4"/>
        <v>0</v>
      </c>
      <c r="BP24" s="81">
        <f t="shared" si="5"/>
        <v>0</v>
      </c>
    </row>
    <row r="25" spans="1:68" ht="27" hidden="1" customHeight="1" x14ac:dyDescent="0.25">
      <c r="A25" s="63" t="s">
        <v>95</v>
      </c>
      <c r="B25" s="63" t="s">
        <v>96</v>
      </c>
      <c r="C25" s="36">
        <v>4301071110</v>
      </c>
      <c r="D25" s="354">
        <v>4607111035103</v>
      </c>
      <c r="E25" s="354"/>
      <c r="F25" s="62">
        <v>0.43</v>
      </c>
      <c r="G25" s="37">
        <v>16</v>
      </c>
      <c r="H25" s="62">
        <v>6.88</v>
      </c>
      <c r="I25" s="62">
        <v>7.19</v>
      </c>
      <c r="J25" s="37">
        <v>84</v>
      </c>
      <c r="K25" s="37" t="s">
        <v>87</v>
      </c>
      <c r="L25" s="37" t="s">
        <v>88</v>
      </c>
      <c r="M25" s="38" t="s">
        <v>86</v>
      </c>
      <c r="N25" s="38"/>
      <c r="O25" s="37">
        <v>180</v>
      </c>
      <c r="P25" s="360" t="str">
        <f>HYPERLINK("https://abi.ru/products/Замороженные/Медвежье ушко/Медвежье ушко/Пельмени/P005109/","Пельмени «Отборные из свинины и говядины» 0,43 псевдозащип ТМ «Медвежье ушко»")</f>
        <v>Пельмени «Отборные из свинины и говядины» 0,43 псевдозащип ТМ «Медвежье ушко»</v>
      </c>
      <c r="Q25" s="356"/>
      <c r="R25" s="356"/>
      <c r="S25" s="356"/>
      <c r="T25" s="357"/>
      <c r="U25" s="39" t="s">
        <v>46</v>
      </c>
      <c r="V25" s="39" t="s">
        <v>46</v>
      </c>
      <c r="W25" s="40" t="s">
        <v>39</v>
      </c>
      <c r="X25" s="58">
        <v>0</v>
      </c>
      <c r="Y25" s="55">
        <f t="shared" si="0"/>
        <v>0</v>
      </c>
      <c r="Z25" s="41">
        <f t="shared" si="1"/>
        <v>0</v>
      </c>
      <c r="AA25" s="68" t="s">
        <v>46</v>
      </c>
      <c r="AB25" s="69" t="s">
        <v>46</v>
      </c>
      <c r="AC25" s="95" t="s">
        <v>94</v>
      </c>
      <c r="AG25" s="81"/>
      <c r="AJ25" s="87" t="s">
        <v>89</v>
      </c>
      <c r="AK25" s="87">
        <v>1</v>
      </c>
      <c r="BB25" s="96" t="s">
        <v>70</v>
      </c>
      <c r="BM25" s="81">
        <f t="shared" si="2"/>
        <v>0</v>
      </c>
      <c r="BN25" s="81">
        <f t="shared" si="3"/>
        <v>0</v>
      </c>
      <c r="BO25" s="81">
        <f t="shared" si="4"/>
        <v>0</v>
      </c>
      <c r="BP25" s="81">
        <f t="shared" si="5"/>
        <v>0</v>
      </c>
    </row>
    <row r="26" spans="1:68" ht="27" hidden="1" customHeight="1" x14ac:dyDescent="0.25">
      <c r="A26" s="63" t="s">
        <v>97</v>
      </c>
      <c r="B26" s="63" t="s">
        <v>98</v>
      </c>
      <c r="C26" s="36">
        <v>4301071109</v>
      </c>
      <c r="D26" s="354">
        <v>4607111035929</v>
      </c>
      <c r="E26" s="354"/>
      <c r="F26" s="62">
        <v>0.9</v>
      </c>
      <c r="G26" s="37">
        <v>8</v>
      </c>
      <c r="H26" s="62">
        <v>7.2</v>
      </c>
      <c r="I26" s="62">
        <v>7.47</v>
      </c>
      <c r="J26" s="37">
        <v>84</v>
      </c>
      <c r="K26" s="37" t="s">
        <v>87</v>
      </c>
      <c r="L26" s="37" t="s">
        <v>88</v>
      </c>
      <c r="M26" s="38" t="s">
        <v>86</v>
      </c>
      <c r="N26" s="38"/>
      <c r="O26" s="37">
        <v>180</v>
      </c>
      <c r="P26" s="36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6" s="356"/>
      <c r="R26" s="356"/>
      <c r="S26" s="356"/>
      <c r="T26" s="357"/>
      <c r="U26" s="39" t="s">
        <v>46</v>
      </c>
      <c r="V26" s="39" t="s">
        <v>46</v>
      </c>
      <c r="W26" s="40" t="s">
        <v>39</v>
      </c>
      <c r="X26" s="58">
        <v>0</v>
      </c>
      <c r="Y26" s="55">
        <f t="shared" si="0"/>
        <v>0</v>
      </c>
      <c r="Z26" s="41">
        <f t="shared" si="1"/>
        <v>0</v>
      </c>
      <c r="AA26" s="68" t="s">
        <v>46</v>
      </c>
      <c r="AB26" s="69" t="s">
        <v>46</v>
      </c>
      <c r="AC26" s="97" t="s">
        <v>94</v>
      </c>
      <c r="AG26" s="81"/>
      <c r="AJ26" s="87" t="s">
        <v>89</v>
      </c>
      <c r="AK26" s="87">
        <v>1</v>
      </c>
      <c r="BB26" s="98" t="s">
        <v>70</v>
      </c>
      <c r="BM26" s="81">
        <f t="shared" si="2"/>
        <v>0</v>
      </c>
      <c r="BN26" s="81">
        <f t="shared" si="3"/>
        <v>0</v>
      </c>
      <c r="BO26" s="81">
        <f t="shared" si="4"/>
        <v>0</v>
      </c>
      <c r="BP26" s="81">
        <f t="shared" si="5"/>
        <v>0</v>
      </c>
    </row>
    <row r="27" spans="1:68" ht="27" hidden="1" customHeight="1" x14ac:dyDescent="0.25">
      <c r="A27" s="63" t="s">
        <v>99</v>
      </c>
      <c r="B27" s="63" t="s">
        <v>100</v>
      </c>
      <c r="C27" s="36">
        <v>4301071106</v>
      </c>
      <c r="D27" s="354">
        <v>4607111035882</v>
      </c>
      <c r="E27" s="354"/>
      <c r="F27" s="62">
        <v>0.43</v>
      </c>
      <c r="G27" s="37">
        <v>16</v>
      </c>
      <c r="H27" s="62">
        <v>6.88</v>
      </c>
      <c r="I27" s="62">
        <v>7.19</v>
      </c>
      <c r="J27" s="37">
        <v>84</v>
      </c>
      <c r="K27" s="37" t="s">
        <v>87</v>
      </c>
      <c r="L27" s="37" t="s">
        <v>88</v>
      </c>
      <c r="M27" s="38" t="s">
        <v>86</v>
      </c>
      <c r="N27" s="38"/>
      <c r="O27" s="37">
        <v>180</v>
      </c>
      <c r="P27" s="36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7" s="356"/>
      <c r="R27" s="356"/>
      <c r="S27" s="356"/>
      <c r="T27" s="357"/>
      <c r="U27" s="39" t="s">
        <v>46</v>
      </c>
      <c r="V27" s="39" t="s">
        <v>46</v>
      </c>
      <c r="W27" s="40" t="s">
        <v>39</v>
      </c>
      <c r="X27" s="58">
        <v>0</v>
      </c>
      <c r="Y27" s="55">
        <f t="shared" si="0"/>
        <v>0</v>
      </c>
      <c r="Z27" s="41">
        <f t="shared" si="1"/>
        <v>0</v>
      </c>
      <c r="AA27" s="68" t="s">
        <v>46</v>
      </c>
      <c r="AB27" s="69" t="s">
        <v>46</v>
      </c>
      <c r="AC27" s="99" t="s">
        <v>94</v>
      </c>
      <c r="AG27" s="81"/>
      <c r="AJ27" s="87" t="s">
        <v>89</v>
      </c>
      <c r="AK27" s="87">
        <v>1</v>
      </c>
      <c r="BB27" s="100" t="s">
        <v>70</v>
      </c>
      <c r="BM27" s="81">
        <f t="shared" si="2"/>
        <v>0</v>
      </c>
      <c r="BN27" s="81">
        <f t="shared" si="3"/>
        <v>0</v>
      </c>
      <c r="BO27" s="81">
        <f t="shared" si="4"/>
        <v>0</v>
      </c>
      <c r="BP27" s="81">
        <f t="shared" si="5"/>
        <v>0</v>
      </c>
    </row>
    <row r="28" spans="1:68" ht="27" hidden="1" customHeight="1" x14ac:dyDescent="0.25">
      <c r="A28" s="63" t="s">
        <v>101</v>
      </c>
      <c r="B28" s="63" t="s">
        <v>102</v>
      </c>
      <c r="C28" s="36">
        <v>4301071105</v>
      </c>
      <c r="D28" s="354">
        <v>4607111035110</v>
      </c>
      <c r="E28" s="354"/>
      <c r="F28" s="62">
        <v>0.9</v>
      </c>
      <c r="G28" s="37">
        <v>8</v>
      </c>
      <c r="H28" s="62">
        <v>7.2</v>
      </c>
      <c r="I28" s="62">
        <v>7.47</v>
      </c>
      <c r="J28" s="37">
        <v>84</v>
      </c>
      <c r="K28" s="37" t="s">
        <v>87</v>
      </c>
      <c r="L28" s="37" t="s">
        <v>88</v>
      </c>
      <c r="M28" s="38" t="s">
        <v>86</v>
      </c>
      <c r="N28" s="38"/>
      <c r="O28" s="37">
        <v>180</v>
      </c>
      <c r="P28" s="363" t="str">
        <f>HYPERLINK("https://abi.ru/products/Замороженные/Медвежье ушко/Медвежье ушко/Пельмени/P005103/","Пельмени «Отборные из говядины» 0,9 псевдозащип ТМ «Медвежье ушко»")</f>
        <v>Пельмени «Отборные из говядины» 0,9 псевдозащип ТМ «Медвежье ушко»</v>
      </c>
      <c r="Q28" s="356"/>
      <c r="R28" s="356"/>
      <c r="S28" s="356"/>
      <c r="T28" s="357"/>
      <c r="U28" s="39" t="s">
        <v>46</v>
      </c>
      <c r="V28" s="39" t="s">
        <v>46</v>
      </c>
      <c r="W28" s="40" t="s">
        <v>39</v>
      </c>
      <c r="X28" s="58">
        <v>0</v>
      </c>
      <c r="Y28" s="55">
        <f t="shared" si="0"/>
        <v>0</v>
      </c>
      <c r="Z28" s="41">
        <f t="shared" si="1"/>
        <v>0</v>
      </c>
      <c r="AA28" s="68" t="s">
        <v>46</v>
      </c>
      <c r="AB28" s="69" t="s">
        <v>46</v>
      </c>
      <c r="AC28" s="101" t="s">
        <v>94</v>
      </c>
      <c r="AG28" s="81"/>
      <c r="AJ28" s="87" t="s">
        <v>89</v>
      </c>
      <c r="AK28" s="87">
        <v>1</v>
      </c>
      <c r="BB28" s="102" t="s">
        <v>70</v>
      </c>
      <c r="BM28" s="81">
        <f t="shared" si="2"/>
        <v>0</v>
      </c>
      <c r="BN28" s="81">
        <f t="shared" si="3"/>
        <v>0</v>
      </c>
      <c r="BO28" s="81">
        <f t="shared" si="4"/>
        <v>0</v>
      </c>
      <c r="BP28" s="81">
        <f t="shared" si="5"/>
        <v>0</v>
      </c>
    </row>
    <row r="29" spans="1:68" ht="27" hidden="1" customHeight="1" x14ac:dyDescent="0.25">
      <c r="A29" s="63" t="s">
        <v>103</v>
      </c>
      <c r="B29" s="63" t="s">
        <v>104</v>
      </c>
      <c r="C29" s="36">
        <v>4301071107</v>
      </c>
      <c r="D29" s="354">
        <v>4607111035905</v>
      </c>
      <c r="E29" s="354"/>
      <c r="F29" s="62">
        <v>0.9</v>
      </c>
      <c r="G29" s="37">
        <v>8</v>
      </c>
      <c r="H29" s="62">
        <v>7.2</v>
      </c>
      <c r="I29" s="62">
        <v>7.47</v>
      </c>
      <c r="J29" s="37">
        <v>84</v>
      </c>
      <c r="K29" s="37" t="s">
        <v>87</v>
      </c>
      <c r="L29" s="37" t="s">
        <v>88</v>
      </c>
      <c r="M29" s="38" t="s">
        <v>86</v>
      </c>
      <c r="N29" s="38"/>
      <c r="O29" s="37">
        <v>180</v>
      </c>
      <c r="P29" s="364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356"/>
      <c r="R29" s="356"/>
      <c r="S29" s="356"/>
      <c r="T29" s="357"/>
      <c r="U29" s="39" t="s">
        <v>46</v>
      </c>
      <c r="V29" s="39" t="s">
        <v>46</v>
      </c>
      <c r="W29" s="40" t="s">
        <v>39</v>
      </c>
      <c r="X29" s="58">
        <v>0</v>
      </c>
      <c r="Y29" s="55">
        <f t="shared" si="0"/>
        <v>0</v>
      </c>
      <c r="Z29" s="41">
        <f t="shared" si="1"/>
        <v>0</v>
      </c>
      <c r="AA29" s="68" t="s">
        <v>46</v>
      </c>
      <c r="AB29" s="69" t="s">
        <v>46</v>
      </c>
      <c r="AC29" s="103" t="s">
        <v>94</v>
      </c>
      <c r="AG29" s="81"/>
      <c r="AJ29" s="87" t="s">
        <v>89</v>
      </c>
      <c r="AK29" s="87">
        <v>1</v>
      </c>
      <c r="BB29" s="104" t="s">
        <v>70</v>
      </c>
      <c r="BM29" s="81">
        <f t="shared" si="2"/>
        <v>0</v>
      </c>
      <c r="BN29" s="81">
        <f t="shared" si="3"/>
        <v>0</v>
      </c>
      <c r="BO29" s="81">
        <f t="shared" si="4"/>
        <v>0</v>
      </c>
      <c r="BP29" s="81">
        <f t="shared" si="5"/>
        <v>0</v>
      </c>
    </row>
    <row r="30" spans="1:68" ht="12.75" hidden="1" customHeight="1" x14ac:dyDescent="0.2">
      <c r="A30" s="368"/>
      <c r="B30" s="368"/>
      <c r="C30" s="368"/>
      <c r="D30" s="368"/>
      <c r="E30" s="368"/>
      <c r="F30" s="368"/>
      <c r="G30" s="368"/>
      <c r="H30" s="368"/>
      <c r="I30" s="368"/>
      <c r="J30" s="368"/>
      <c r="K30" s="368"/>
      <c r="L30" s="368"/>
      <c r="M30" s="368"/>
      <c r="N30" s="368"/>
      <c r="O30" s="369"/>
      <c r="P30" s="365" t="s">
        <v>40</v>
      </c>
      <c r="Q30" s="366"/>
      <c r="R30" s="366"/>
      <c r="S30" s="366"/>
      <c r="T30" s="366"/>
      <c r="U30" s="366"/>
      <c r="V30" s="367"/>
      <c r="W30" s="42" t="s">
        <v>39</v>
      </c>
      <c r="X30" s="43">
        <f>IFERROR(SUM(X22:X29),"0")</f>
        <v>0</v>
      </c>
      <c r="Y30" s="43">
        <f>IFERROR(SUM(Y22:Y29),"0")</f>
        <v>0</v>
      </c>
      <c r="Z30" s="43">
        <f>IFERROR(IF(Z22="",0,Z22),"0")+IFERROR(IF(Z23="",0,Z23),"0")+IFERROR(IF(Z24="",0,Z24),"0")+IFERROR(IF(Z25="",0,Z25),"0")+IFERROR(IF(Z26="",0,Z26),"0")+IFERROR(IF(Z27="",0,Z27),"0")+IFERROR(IF(Z28="",0,Z28),"0")+IFERROR(IF(Z29="",0,Z29),"0")</f>
        <v>0</v>
      </c>
      <c r="AA30" s="67"/>
      <c r="AB30" s="67"/>
      <c r="AC30" s="67"/>
    </row>
    <row r="31" spans="1:68" ht="12.75" hidden="1" customHeight="1" x14ac:dyDescent="0.2">
      <c r="A31" s="368"/>
      <c r="B31" s="368"/>
      <c r="C31" s="368"/>
      <c r="D31" s="368"/>
      <c r="E31" s="368"/>
      <c r="F31" s="368"/>
      <c r="G31" s="368"/>
      <c r="H31" s="368"/>
      <c r="I31" s="368"/>
      <c r="J31" s="368"/>
      <c r="K31" s="368"/>
      <c r="L31" s="368"/>
      <c r="M31" s="368"/>
      <c r="N31" s="368"/>
      <c r="O31" s="369"/>
      <c r="P31" s="365" t="s">
        <v>40</v>
      </c>
      <c r="Q31" s="366"/>
      <c r="R31" s="366"/>
      <c r="S31" s="366"/>
      <c r="T31" s="366"/>
      <c r="U31" s="366"/>
      <c r="V31" s="367"/>
      <c r="W31" s="42" t="s">
        <v>0</v>
      </c>
      <c r="X31" s="43">
        <f>IFERROR(SUMPRODUCT(X22:X29*H22:H29),"0")</f>
        <v>0</v>
      </c>
      <c r="Y31" s="43">
        <f>IFERROR(SUMPRODUCT(Y22:Y29*H22:H29),"0")</f>
        <v>0</v>
      </c>
      <c r="Z31" s="42"/>
      <c r="AA31" s="67"/>
      <c r="AB31" s="67"/>
      <c r="AC31" s="67"/>
    </row>
    <row r="32" spans="1:68" ht="16.5" hidden="1" customHeight="1" x14ac:dyDescent="0.25">
      <c r="A32" s="352" t="s">
        <v>105</v>
      </c>
      <c r="B32" s="352"/>
      <c r="C32" s="352"/>
      <c r="D32" s="352"/>
      <c r="E32" s="352"/>
      <c r="F32" s="352"/>
      <c r="G32" s="352"/>
      <c r="H32" s="352"/>
      <c r="I32" s="352"/>
      <c r="J32" s="352"/>
      <c r="K32" s="352"/>
      <c r="L32" s="352"/>
      <c r="M32" s="352"/>
      <c r="N32" s="352"/>
      <c r="O32" s="352"/>
      <c r="P32" s="352"/>
      <c r="Q32" s="352"/>
      <c r="R32" s="352"/>
      <c r="S32" s="352"/>
      <c r="T32" s="352"/>
      <c r="U32" s="352"/>
      <c r="V32" s="352"/>
      <c r="W32" s="352"/>
      <c r="X32" s="352"/>
      <c r="Y32" s="352"/>
      <c r="Z32" s="352"/>
      <c r="AA32" s="65"/>
      <c r="AB32" s="65"/>
      <c r="AC32" s="82"/>
    </row>
    <row r="33" spans="1:68" ht="14.25" hidden="1" customHeight="1" x14ac:dyDescent="0.25">
      <c r="A33" s="353" t="s">
        <v>82</v>
      </c>
      <c r="B33" s="353"/>
      <c r="C33" s="353"/>
      <c r="D33" s="353"/>
      <c r="E33" s="353"/>
      <c r="F33" s="353"/>
      <c r="G33" s="353"/>
      <c r="H33" s="353"/>
      <c r="I33" s="353"/>
      <c r="J33" s="353"/>
      <c r="K33" s="353"/>
      <c r="L33" s="353"/>
      <c r="M33" s="353"/>
      <c r="N33" s="353"/>
      <c r="O33" s="353"/>
      <c r="P33" s="353"/>
      <c r="Q33" s="353"/>
      <c r="R33" s="353"/>
      <c r="S33" s="353"/>
      <c r="T33" s="353"/>
      <c r="U33" s="353"/>
      <c r="V33" s="353"/>
      <c r="W33" s="353"/>
      <c r="X33" s="353"/>
      <c r="Y33" s="353"/>
      <c r="Z33" s="353"/>
      <c r="AA33" s="66"/>
      <c r="AB33" s="66"/>
      <c r="AC33" s="83"/>
    </row>
    <row r="34" spans="1:68" ht="16.5" hidden="1" customHeight="1" x14ac:dyDescent="0.25">
      <c r="A34" s="63" t="s">
        <v>106</v>
      </c>
      <c r="B34" s="63" t="s">
        <v>107</v>
      </c>
      <c r="C34" s="36">
        <v>4301071099</v>
      </c>
      <c r="D34" s="354">
        <v>4607111039019</v>
      </c>
      <c r="E34" s="354"/>
      <c r="F34" s="62">
        <v>0.43</v>
      </c>
      <c r="G34" s="37">
        <v>16</v>
      </c>
      <c r="H34" s="62">
        <v>6.88</v>
      </c>
      <c r="I34" s="62">
        <v>7.2060000000000004</v>
      </c>
      <c r="J34" s="37">
        <v>84</v>
      </c>
      <c r="K34" s="37" t="s">
        <v>87</v>
      </c>
      <c r="L34" s="37" t="s">
        <v>88</v>
      </c>
      <c r="M34" s="38" t="s">
        <v>86</v>
      </c>
      <c r="N34" s="38"/>
      <c r="O34" s="37">
        <v>180</v>
      </c>
      <c r="P34" s="370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356"/>
      <c r="R34" s="356"/>
      <c r="S34" s="356"/>
      <c r="T34" s="357"/>
      <c r="U34" s="39" t="s">
        <v>46</v>
      </c>
      <c r="V34" s="39" t="s">
        <v>46</v>
      </c>
      <c r="W34" s="40" t="s">
        <v>39</v>
      </c>
      <c r="X34" s="58">
        <v>0</v>
      </c>
      <c r="Y34" s="55">
        <f>IFERROR(IF(X34="","",X34),"")</f>
        <v>0</v>
      </c>
      <c r="Z34" s="41">
        <f>IFERROR(IF(X34="","",X34*0.0155),"")</f>
        <v>0</v>
      </c>
      <c r="AA34" s="68" t="s">
        <v>46</v>
      </c>
      <c r="AB34" s="69" t="s">
        <v>46</v>
      </c>
      <c r="AC34" s="105" t="s">
        <v>108</v>
      </c>
      <c r="AG34" s="81"/>
      <c r="AJ34" s="87" t="s">
        <v>89</v>
      </c>
      <c r="AK34" s="87">
        <v>1</v>
      </c>
      <c r="BB34" s="106" t="s">
        <v>70</v>
      </c>
      <c r="BM34" s="81">
        <f>IFERROR(X34*I34,"0")</f>
        <v>0</v>
      </c>
      <c r="BN34" s="81">
        <f>IFERROR(Y34*I34,"0")</f>
        <v>0</v>
      </c>
      <c r="BO34" s="81">
        <f>IFERROR(X34/J34,"0")</f>
        <v>0</v>
      </c>
      <c r="BP34" s="81">
        <f>IFERROR(Y34/J34,"0")</f>
        <v>0</v>
      </c>
    </row>
    <row r="35" spans="1:68" ht="16.5" hidden="1" customHeight="1" x14ac:dyDescent="0.25">
      <c r="A35" s="63" t="s">
        <v>109</v>
      </c>
      <c r="B35" s="63" t="s">
        <v>110</v>
      </c>
      <c r="C35" s="36">
        <v>4301071100</v>
      </c>
      <c r="D35" s="354">
        <v>4607111038708</v>
      </c>
      <c r="E35" s="354"/>
      <c r="F35" s="62">
        <v>0.8</v>
      </c>
      <c r="G35" s="37">
        <v>8</v>
      </c>
      <c r="H35" s="62">
        <v>6.4</v>
      </c>
      <c r="I35" s="62">
        <v>6.67</v>
      </c>
      <c r="J35" s="37">
        <v>84</v>
      </c>
      <c r="K35" s="37" t="s">
        <v>87</v>
      </c>
      <c r="L35" s="37" t="s">
        <v>88</v>
      </c>
      <c r="M35" s="38" t="s">
        <v>86</v>
      </c>
      <c r="N35" s="38"/>
      <c r="O35" s="37">
        <v>180</v>
      </c>
      <c r="P35" s="371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356"/>
      <c r="R35" s="356"/>
      <c r="S35" s="356"/>
      <c r="T35" s="357"/>
      <c r="U35" s="39" t="s">
        <v>46</v>
      </c>
      <c r="V35" s="39" t="s">
        <v>46</v>
      </c>
      <c r="W35" s="40" t="s">
        <v>39</v>
      </c>
      <c r="X35" s="58">
        <v>0</v>
      </c>
      <c r="Y35" s="55">
        <f>IFERROR(IF(X35="","",X35),"")</f>
        <v>0</v>
      </c>
      <c r="Z35" s="41">
        <f>IFERROR(IF(X35="","",X35*0.0155),"")</f>
        <v>0</v>
      </c>
      <c r="AA35" s="68" t="s">
        <v>46</v>
      </c>
      <c r="AB35" s="69" t="s">
        <v>46</v>
      </c>
      <c r="AC35" s="107" t="s">
        <v>108</v>
      </c>
      <c r="AG35" s="81"/>
      <c r="AJ35" s="87" t="s">
        <v>89</v>
      </c>
      <c r="AK35" s="87">
        <v>1</v>
      </c>
      <c r="BB35" s="108" t="s">
        <v>70</v>
      </c>
      <c r="BM35" s="81">
        <f>IFERROR(X35*I35,"0")</f>
        <v>0</v>
      </c>
      <c r="BN35" s="81">
        <f>IFERROR(Y35*I35,"0")</f>
        <v>0</v>
      </c>
      <c r="BO35" s="81">
        <f>IFERROR(X35/J35,"0")</f>
        <v>0</v>
      </c>
      <c r="BP35" s="81">
        <f>IFERROR(Y35/J35,"0")</f>
        <v>0</v>
      </c>
    </row>
    <row r="36" spans="1:68" ht="12.75" hidden="1" customHeight="1" x14ac:dyDescent="0.2">
      <c r="A36" s="368"/>
      <c r="B36" s="368"/>
      <c r="C36" s="368"/>
      <c r="D36" s="368"/>
      <c r="E36" s="368"/>
      <c r="F36" s="368"/>
      <c r="G36" s="368"/>
      <c r="H36" s="368"/>
      <c r="I36" s="368"/>
      <c r="J36" s="368"/>
      <c r="K36" s="368"/>
      <c r="L36" s="368"/>
      <c r="M36" s="368"/>
      <c r="N36" s="368"/>
      <c r="O36" s="369"/>
      <c r="P36" s="365" t="s">
        <v>40</v>
      </c>
      <c r="Q36" s="366"/>
      <c r="R36" s="366"/>
      <c r="S36" s="366"/>
      <c r="T36" s="366"/>
      <c r="U36" s="366"/>
      <c r="V36" s="367"/>
      <c r="W36" s="42" t="s">
        <v>39</v>
      </c>
      <c r="X36" s="43">
        <f>IFERROR(SUM(X34:X35),"0")</f>
        <v>0</v>
      </c>
      <c r="Y36" s="43">
        <f>IFERROR(SUM(Y34:Y35),"0")</f>
        <v>0</v>
      </c>
      <c r="Z36" s="43">
        <f>IFERROR(IF(Z34="",0,Z34),"0")+IFERROR(IF(Z35="",0,Z35),"0")</f>
        <v>0</v>
      </c>
      <c r="AA36" s="67"/>
      <c r="AB36" s="67"/>
      <c r="AC36" s="67"/>
    </row>
    <row r="37" spans="1:68" ht="12.75" hidden="1" customHeight="1" x14ac:dyDescent="0.2">
      <c r="A37" s="368"/>
      <c r="B37" s="368"/>
      <c r="C37" s="368"/>
      <c r="D37" s="368"/>
      <c r="E37" s="368"/>
      <c r="F37" s="368"/>
      <c r="G37" s="368"/>
      <c r="H37" s="368"/>
      <c r="I37" s="368"/>
      <c r="J37" s="368"/>
      <c r="K37" s="368"/>
      <c r="L37" s="368"/>
      <c r="M37" s="368"/>
      <c r="N37" s="368"/>
      <c r="O37" s="369"/>
      <c r="P37" s="365" t="s">
        <v>40</v>
      </c>
      <c r="Q37" s="366"/>
      <c r="R37" s="366"/>
      <c r="S37" s="366"/>
      <c r="T37" s="366"/>
      <c r="U37" s="366"/>
      <c r="V37" s="367"/>
      <c r="W37" s="42" t="s">
        <v>0</v>
      </c>
      <c r="X37" s="43">
        <f>IFERROR(SUMPRODUCT(X34:X35*H34:H35),"0")</f>
        <v>0</v>
      </c>
      <c r="Y37" s="43">
        <f>IFERROR(SUMPRODUCT(Y34:Y35*H34:H35),"0")</f>
        <v>0</v>
      </c>
      <c r="Z37" s="42"/>
      <c r="AA37" s="67"/>
      <c r="AB37" s="67"/>
      <c r="AC37" s="67"/>
    </row>
    <row r="38" spans="1:68" ht="27.75" hidden="1" customHeight="1" x14ac:dyDescent="0.2">
      <c r="A38" s="351" t="s">
        <v>45</v>
      </c>
      <c r="B38" s="351"/>
      <c r="C38" s="351"/>
      <c r="D38" s="351"/>
      <c r="E38" s="351"/>
      <c r="F38" s="351"/>
      <c r="G38" s="351"/>
      <c r="H38" s="351"/>
      <c r="I38" s="351"/>
      <c r="J38" s="351"/>
      <c r="K38" s="351"/>
      <c r="L38" s="351"/>
      <c r="M38" s="351"/>
      <c r="N38" s="351"/>
      <c r="O38" s="351"/>
      <c r="P38" s="351"/>
      <c r="Q38" s="351"/>
      <c r="R38" s="351"/>
      <c r="S38" s="351"/>
      <c r="T38" s="351"/>
      <c r="U38" s="351"/>
      <c r="V38" s="351"/>
      <c r="W38" s="351"/>
      <c r="X38" s="351"/>
      <c r="Y38" s="351"/>
      <c r="Z38" s="351"/>
      <c r="AA38" s="54"/>
      <c r="AB38" s="54"/>
      <c r="AC38" s="54"/>
    </row>
    <row r="39" spans="1:68" ht="16.5" hidden="1" customHeight="1" x14ac:dyDescent="0.25">
      <c r="A39" s="352" t="s">
        <v>111</v>
      </c>
      <c r="B39" s="352"/>
      <c r="C39" s="352"/>
      <c r="D39" s="352"/>
      <c r="E39" s="352"/>
      <c r="F39" s="352"/>
      <c r="G39" s="352"/>
      <c r="H39" s="352"/>
      <c r="I39" s="352"/>
      <c r="J39" s="352"/>
      <c r="K39" s="352"/>
      <c r="L39" s="352"/>
      <c r="M39" s="352"/>
      <c r="N39" s="352"/>
      <c r="O39" s="352"/>
      <c r="P39" s="352"/>
      <c r="Q39" s="352"/>
      <c r="R39" s="352"/>
      <c r="S39" s="352"/>
      <c r="T39" s="352"/>
      <c r="U39" s="352"/>
      <c r="V39" s="352"/>
      <c r="W39" s="352"/>
      <c r="X39" s="352"/>
      <c r="Y39" s="352"/>
      <c r="Z39" s="352"/>
      <c r="AA39" s="65"/>
      <c r="AB39" s="65"/>
      <c r="AC39" s="82"/>
    </row>
    <row r="40" spans="1:68" ht="14.25" hidden="1" customHeight="1" x14ac:dyDescent="0.25">
      <c r="A40" s="353" t="s">
        <v>112</v>
      </c>
      <c r="B40" s="353"/>
      <c r="C40" s="353"/>
      <c r="D40" s="353"/>
      <c r="E40" s="353"/>
      <c r="F40" s="353"/>
      <c r="G40" s="353"/>
      <c r="H40" s="353"/>
      <c r="I40" s="353"/>
      <c r="J40" s="353"/>
      <c r="K40" s="353"/>
      <c r="L40" s="353"/>
      <c r="M40" s="353"/>
      <c r="N40" s="353"/>
      <c r="O40" s="353"/>
      <c r="P40" s="353"/>
      <c r="Q40" s="353"/>
      <c r="R40" s="353"/>
      <c r="S40" s="353"/>
      <c r="T40" s="353"/>
      <c r="U40" s="353"/>
      <c r="V40" s="353"/>
      <c r="W40" s="353"/>
      <c r="X40" s="353"/>
      <c r="Y40" s="353"/>
      <c r="Z40" s="353"/>
      <c r="AA40" s="66"/>
      <c r="AB40" s="66"/>
      <c r="AC40" s="83"/>
    </row>
    <row r="41" spans="1:68" ht="27" customHeight="1" x14ac:dyDescent="0.25">
      <c r="A41" s="63" t="s">
        <v>113</v>
      </c>
      <c r="B41" s="63" t="s">
        <v>114</v>
      </c>
      <c r="C41" s="36">
        <v>4301132190</v>
      </c>
      <c r="D41" s="354">
        <v>4607111036537</v>
      </c>
      <c r="E41" s="354"/>
      <c r="F41" s="62">
        <v>0.25</v>
      </c>
      <c r="G41" s="37">
        <v>6</v>
      </c>
      <c r="H41" s="62">
        <v>1.5</v>
      </c>
      <c r="I41" s="62">
        <v>1.9218</v>
      </c>
      <c r="J41" s="37">
        <v>140</v>
      </c>
      <c r="K41" s="37" t="s">
        <v>117</v>
      </c>
      <c r="L41" s="37" t="s">
        <v>118</v>
      </c>
      <c r="M41" s="38" t="s">
        <v>86</v>
      </c>
      <c r="N41" s="38"/>
      <c r="O41" s="37">
        <v>365</v>
      </c>
      <c r="P41" s="372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356"/>
      <c r="R41" s="356"/>
      <c r="S41" s="356"/>
      <c r="T41" s="357"/>
      <c r="U41" s="39" t="s">
        <v>46</v>
      </c>
      <c r="V41" s="39" t="s">
        <v>46</v>
      </c>
      <c r="W41" s="40" t="s">
        <v>39</v>
      </c>
      <c r="X41" s="58">
        <v>98</v>
      </c>
      <c r="Y41" s="55">
        <f>IFERROR(IF(X41="","",X41),"")</f>
        <v>98</v>
      </c>
      <c r="Z41" s="41">
        <f>IFERROR(IF(X41="","",X41*0.00941),"")</f>
        <v>0.92218</v>
      </c>
      <c r="AA41" s="68" t="s">
        <v>46</v>
      </c>
      <c r="AB41" s="69" t="s">
        <v>46</v>
      </c>
      <c r="AC41" s="109" t="s">
        <v>115</v>
      </c>
      <c r="AG41" s="81"/>
      <c r="AJ41" s="87" t="s">
        <v>119</v>
      </c>
      <c r="AK41" s="87">
        <v>14</v>
      </c>
      <c r="BB41" s="110" t="s">
        <v>116</v>
      </c>
      <c r="BM41" s="81">
        <f>IFERROR(X41*I41,"0")</f>
        <v>188.3364</v>
      </c>
      <c r="BN41" s="81">
        <f>IFERROR(Y41*I41,"0")</f>
        <v>188.3364</v>
      </c>
      <c r="BO41" s="81">
        <f>IFERROR(X41/J41,"0")</f>
        <v>0.7</v>
      </c>
      <c r="BP41" s="81">
        <f>IFERROR(Y41/J41,"0")</f>
        <v>0.7</v>
      </c>
    </row>
    <row r="42" spans="1:68" ht="27" customHeight="1" x14ac:dyDescent="0.25">
      <c r="A42" s="63" t="s">
        <v>120</v>
      </c>
      <c r="B42" s="63" t="s">
        <v>121</v>
      </c>
      <c r="C42" s="36">
        <v>4301132188</v>
      </c>
      <c r="D42" s="354">
        <v>4607111036605</v>
      </c>
      <c r="E42" s="354"/>
      <c r="F42" s="62">
        <v>0.25</v>
      </c>
      <c r="G42" s="37">
        <v>6</v>
      </c>
      <c r="H42" s="62">
        <v>1.5</v>
      </c>
      <c r="I42" s="62">
        <v>1.9218</v>
      </c>
      <c r="J42" s="37">
        <v>140</v>
      </c>
      <c r="K42" s="37" t="s">
        <v>117</v>
      </c>
      <c r="L42" s="37" t="s">
        <v>118</v>
      </c>
      <c r="M42" s="38" t="s">
        <v>86</v>
      </c>
      <c r="N42" s="38"/>
      <c r="O42" s="37">
        <v>365</v>
      </c>
      <c r="P42" s="373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356"/>
      <c r="R42" s="356"/>
      <c r="S42" s="356"/>
      <c r="T42" s="357"/>
      <c r="U42" s="39" t="s">
        <v>46</v>
      </c>
      <c r="V42" s="39" t="s">
        <v>46</v>
      </c>
      <c r="W42" s="40" t="s">
        <v>39</v>
      </c>
      <c r="X42" s="58">
        <v>42</v>
      </c>
      <c r="Y42" s="55">
        <f>IFERROR(IF(X42="","",X42),"")</f>
        <v>42</v>
      </c>
      <c r="Z42" s="41">
        <f>IFERROR(IF(X42="","",X42*0.00941),"")</f>
        <v>0.39522000000000002</v>
      </c>
      <c r="AA42" s="68" t="s">
        <v>46</v>
      </c>
      <c r="AB42" s="69" t="s">
        <v>46</v>
      </c>
      <c r="AC42" s="111" t="s">
        <v>115</v>
      </c>
      <c r="AG42" s="81"/>
      <c r="AJ42" s="87" t="s">
        <v>119</v>
      </c>
      <c r="AK42" s="87">
        <v>14</v>
      </c>
      <c r="BB42" s="112" t="s">
        <v>116</v>
      </c>
      <c r="BM42" s="81">
        <f>IFERROR(X42*I42,"0")</f>
        <v>80.715599999999995</v>
      </c>
      <c r="BN42" s="81">
        <f>IFERROR(Y42*I42,"0")</f>
        <v>80.715599999999995</v>
      </c>
      <c r="BO42" s="81">
        <f>IFERROR(X42/J42,"0")</f>
        <v>0.3</v>
      </c>
      <c r="BP42" s="81">
        <f>IFERROR(Y42/J42,"0")</f>
        <v>0.3</v>
      </c>
    </row>
    <row r="43" spans="1:68" x14ac:dyDescent="0.2">
      <c r="A43" s="368"/>
      <c r="B43" s="368"/>
      <c r="C43" s="368"/>
      <c r="D43" s="368"/>
      <c r="E43" s="368"/>
      <c r="F43" s="368"/>
      <c r="G43" s="368"/>
      <c r="H43" s="368"/>
      <c r="I43" s="368"/>
      <c r="J43" s="368"/>
      <c r="K43" s="368"/>
      <c r="L43" s="368"/>
      <c r="M43" s="368"/>
      <c r="N43" s="368"/>
      <c r="O43" s="369"/>
      <c r="P43" s="365" t="s">
        <v>40</v>
      </c>
      <c r="Q43" s="366"/>
      <c r="R43" s="366"/>
      <c r="S43" s="366"/>
      <c r="T43" s="366"/>
      <c r="U43" s="366"/>
      <c r="V43" s="367"/>
      <c r="W43" s="42" t="s">
        <v>39</v>
      </c>
      <c r="X43" s="43">
        <f>IFERROR(SUM(X41:X42),"0")</f>
        <v>140</v>
      </c>
      <c r="Y43" s="43">
        <f>IFERROR(SUM(Y41:Y42),"0")</f>
        <v>140</v>
      </c>
      <c r="Z43" s="43">
        <f>IFERROR(IF(Z41="",0,Z41),"0")+IFERROR(IF(Z42="",0,Z42),"0")</f>
        <v>1.3174000000000001</v>
      </c>
      <c r="AA43" s="67"/>
      <c r="AB43" s="67"/>
      <c r="AC43" s="67"/>
    </row>
    <row r="44" spans="1:68" x14ac:dyDescent="0.2">
      <c r="A44" s="368"/>
      <c r="B44" s="368"/>
      <c r="C44" s="368"/>
      <c r="D44" s="368"/>
      <c r="E44" s="368"/>
      <c r="F44" s="368"/>
      <c r="G44" s="368"/>
      <c r="H44" s="368"/>
      <c r="I44" s="368"/>
      <c r="J44" s="368"/>
      <c r="K44" s="368"/>
      <c r="L44" s="368"/>
      <c r="M44" s="368"/>
      <c r="N44" s="368"/>
      <c r="O44" s="369"/>
      <c r="P44" s="365" t="s">
        <v>40</v>
      </c>
      <c r="Q44" s="366"/>
      <c r="R44" s="366"/>
      <c r="S44" s="366"/>
      <c r="T44" s="366"/>
      <c r="U44" s="366"/>
      <c r="V44" s="367"/>
      <c r="W44" s="42" t="s">
        <v>0</v>
      </c>
      <c r="X44" s="43">
        <f>IFERROR(SUMPRODUCT(X41:X42*H41:H42),"0")</f>
        <v>210</v>
      </c>
      <c r="Y44" s="43">
        <f>IFERROR(SUMPRODUCT(Y41:Y42*H41:H42),"0")</f>
        <v>210</v>
      </c>
      <c r="Z44" s="42"/>
      <c r="AA44" s="67"/>
      <c r="AB44" s="67"/>
      <c r="AC44" s="67"/>
    </row>
    <row r="45" spans="1:68" ht="16.5" hidden="1" customHeight="1" x14ac:dyDescent="0.25">
      <c r="A45" s="352" t="s">
        <v>122</v>
      </c>
      <c r="B45" s="352"/>
      <c r="C45" s="352"/>
      <c r="D45" s="352"/>
      <c r="E45" s="352"/>
      <c r="F45" s="352"/>
      <c r="G45" s="352"/>
      <c r="H45" s="352"/>
      <c r="I45" s="352"/>
      <c r="J45" s="352"/>
      <c r="K45" s="352"/>
      <c r="L45" s="352"/>
      <c r="M45" s="352"/>
      <c r="N45" s="352"/>
      <c r="O45" s="352"/>
      <c r="P45" s="352"/>
      <c r="Q45" s="352"/>
      <c r="R45" s="352"/>
      <c r="S45" s="352"/>
      <c r="T45" s="352"/>
      <c r="U45" s="352"/>
      <c r="V45" s="352"/>
      <c r="W45" s="352"/>
      <c r="X45" s="352"/>
      <c r="Y45" s="352"/>
      <c r="Z45" s="352"/>
      <c r="AA45" s="65"/>
      <c r="AB45" s="65"/>
      <c r="AC45" s="82"/>
    </row>
    <row r="46" spans="1:68" ht="14.25" hidden="1" customHeight="1" x14ac:dyDescent="0.25">
      <c r="A46" s="353" t="s">
        <v>82</v>
      </c>
      <c r="B46" s="353"/>
      <c r="C46" s="353"/>
      <c r="D46" s="353"/>
      <c r="E46" s="353"/>
      <c r="F46" s="353"/>
      <c r="G46" s="353"/>
      <c r="H46" s="353"/>
      <c r="I46" s="353"/>
      <c r="J46" s="353"/>
      <c r="K46" s="353"/>
      <c r="L46" s="353"/>
      <c r="M46" s="353"/>
      <c r="N46" s="353"/>
      <c r="O46" s="353"/>
      <c r="P46" s="353"/>
      <c r="Q46" s="353"/>
      <c r="R46" s="353"/>
      <c r="S46" s="353"/>
      <c r="T46" s="353"/>
      <c r="U46" s="353"/>
      <c r="V46" s="353"/>
      <c r="W46" s="353"/>
      <c r="X46" s="353"/>
      <c r="Y46" s="353"/>
      <c r="Z46" s="353"/>
      <c r="AA46" s="66"/>
      <c r="AB46" s="66"/>
      <c r="AC46" s="83"/>
    </row>
    <row r="47" spans="1:68" ht="27" hidden="1" customHeight="1" x14ac:dyDescent="0.25">
      <c r="A47" s="63" t="s">
        <v>123</v>
      </c>
      <c r="B47" s="63" t="s">
        <v>124</v>
      </c>
      <c r="C47" s="36">
        <v>4301071090</v>
      </c>
      <c r="D47" s="354">
        <v>4620207490075</v>
      </c>
      <c r="E47" s="354"/>
      <c r="F47" s="62">
        <v>0.7</v>
      </c>
      <c r="G47" s="37">
        <v>8</v>
      </c>
      <c r="H47" s="62">
        <v>5.6</v>
      </c>
      <c r="I47" s="62">
        <v>5.87</v>
      </c>
      <c r="J47" s="37">
        <v>84</v>
      </c>
      <c r="K47" s="37" t="s">
        <v>87</v>
      </c>
      <c r="L47" s="37" t="s">
        <v>118</v>
      </c>
      <c r="M47" s="38" t="s">
        <v>86</v>
      </c>
      <c r="N47" s="38"/>
      <c r="O47" s="37">
        <v>180</v>
      </c>
      <c r="P47" s="374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356"/>
      <c r="R47" s="356"/>
      <c r="S47" s="356"/>
      <c r="T47" s="357"/>
      <c r="U47" s="39" t="s">
        <v>46</v>
      </c>
      <c r="V47" s="39" t="s">
        <v>46</v>
      </c>
      <c r="W47" s="40" t="s">
        <v>39</v>
      </c>
      <c r="X47" s="58">
        <v>0</v>
      </c>
      <c r="Y47" s="55">
        <f>IFERROR(IF(X47="","",X47),"")</f>
        <v>0</v>
      </c>
      <c r="Z47" s="41">
        <f>IFERROR(IF(X47="","",X47*0.0155),"")</f>
        <v>0</v>
      </c>
      <c r="AA47" s="68" t="s">
        <v>46</v>
      </c>
      <c r="AB47" s="69" t="s">
        <v>46</v>
      </c>
      <c r="AC47" s="113" t="s">
        <v>125</v>
      </c>
      <c r="AG47" s="81"/>
      <c r="AJ47" s="87" t="s">
        <v>119</v>
      </c>
      <c r="AK47" s="87">
        <v>12</v>
      </c>
      <c r="BB47" s="114" t="s">
        <v>70</v>
      </c>
      <c r="BM47" s="81">
        <f>IFERROR(X47*I47,"0")</f>
        <v>0</v>
      </c>
      <c r="BN47" s="81">
        <f>IFERROR(Y47*I47,"0")</f>
        <v>0</v>
      </c>
      <c r="BO47" s="81">
        <f>IFERROR(X47/J47,"0")</f>
        <v>0</v>
      </c>
      <c r="BP47" s="81">
        <f>IFERROR(Y47/J47,"0")</f>
        <v>0</v>
      </c>
    </row>
    <row r="48" spans="1:68" ht="27" hidden="1" customHeight="1" x14ac:dyDescent="0.25">
      <c r="A48" s="63" t="s">
        <v>126</v>
      </c>
      <c r="B48" s="63" t="s">
        <v>127</v>
      </c>
      <c r="C48" s="36">
        <v>4301071092</v>
      </c>
      <c r="D48" s="354">
        <v>4620207490174</v>
      </c>
      <c r="E48" s="354"/>
      <c r="F48" s="62">
        <v>0.7</v>
      </c>
      <c r="G48" s="37">
        <v>8</v>
      </c>
      <c r="H48" s="62">
        <v>5.6</v>
      </c>
      <c r="I48" s="62">
        <v>5.87</v>
      </c>
      <c r="J48" s="37">
        <v>84</v>
      </c>
      <c r="K48" s="37" t="s">
        <v>87</v>
      </c>
      <c r="L48" s="37" t="s">
        <v>118</v>
      </c>
      <c r="M48" s="38" t="s">
        <v>86</v>
      </c>
      <c r="N48" s="38"/>
      <c r="O48" s="37">
        <v>180</v>
      </c>
      <c r="P48" s="375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356"/>
      <c r="R48" s="356"/>
      <c r="S48" s="356"/>
      <c r="T48" s="357"/>
      <c r="U48" s="39" t="s">
        <v>46</v>
      </c>
      <c r="V48" s="39" t="s">
        <v>46</v>
      </c>
      <c r="W48" s="40" t="s">
        <v>39</v>
      </c>
      <c r="X48" s="58">
        <v>0</v>
      </c>
      <c r="Y48" s="55">
        <f>IFERROR(IF(X48="","",X48),"")</f>
        <v>0</v>
      </c>
      <c r="Z48" s="41">
        <f>IFERROR(IF(X48="","",X48*0.0155),"")</f>
        <v>0</v>
      </c>
      <c r="AA48" s="68" t="s">
        <v>46</v>
      </c>
      <c r="AB48" s="69" t="s">
        <v>46</v>
      </c>
      <c r="AC48" s="115" t="s">
        <v>128</v>
      </c>
      <c r="AG48" s="81"/>
      <c r="AJ48" s="87" t="s">
        <v>119</v>
      </c>
      <c r="AK48" s="87">
        <v>12</v>
      </c>
      <c r="BB48" s="116" t="s">
        <v>70</v>
      </c>
      <c r="BM48" s="81">
        <f>IFERROR(X48*I48,"0")</f>
        <v>0</v>
      </c>
      <c r="BN48" s="81">
        <f>IFERROR(Y48*I48,"0")</f>
        <v>0</v>
      </c>
      <c r="BO48" s="81">
        <f>IFERROR(X48/J48,"0")</f>
        <v>0</v>
      </c>
      <c r="BP48" s="81">
        <f>IFERROR(Y48/J48,"0")</f>
        <v>0</v>
      </c>
    </row>
    <row r="49" spans="1:68" ht="27" hidden="1" customHeight="1" x14ac:dyDescent="0.25">
      <c r="A49" s="63" t="s">
        <v>129</v>
      </c>
      <c r="B49" s="63" t="s">
        <v>130</v>
      </c>
      <c r="C49" s="36">
        <v>4301071091</v>
      </c>
      <c r="D49" s="354">
        <v>4620207490044</v>
      </c>
      <c r="E49" s="354"/>
      <c r="F49" s="62">
        <v>0.7</v>
      </c>
      <c r="G49" s="37">
        <v>8</v>
      </c>
      <c r="H49" s="62">
        <v>5.6</v>
      </c>
      <c r="I49" s="62">
        <v>5.87</v>
      </c>
      <c r="J49" s="37">
        <v>84</v>
      </c>
      <c r="K49" s="37" t="s">
        <v>87</v>
      </c>
      <c r="L49" s="37" t="s">
        <v>118</v>
      </c>
      <c r="M49" s="38" t="s">
        <v>86</v>
      </c>
      <c r="N49" s="38"/>
      <c r="O49" s="37">
        <v>180</v>
      </c>
      <c r="P49" s="376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356"/>
      <c r="R49" s="356"/>
      <c r="S49" s="356"/>
      <c r="T49" s="357"/>
      <c r="U49" s="39" t="s">
        <v>46</v>
      </c>
      <c r="V49" s="39" t="s">
        <v>46</v>
      </c>
      <c r="W49" s="40" t="s">
        <v>39</v>
      </c>
      <c r="X49" s="58"/>
      <c r="Y49" s="55" t="str">
        <f>IFERROR(IF(X49="","",X49),"")</f>
        <v/>
      </c>
      <c r="Z49" s="41" t="str">
        <f>IFERROR(IF(X49="","",X49*0.0155),"")</f>
        <v/>
      </c>
      <c r="AA49" s="68" t="s">
        <v>46</v>
      </c>
      <c r="AB49" s="69" t="s">
        <v>46</v>
      </c>
      <c r="AC49" s="117" t="s">
        <v>131</v>
      </c>
      <c r="AG49" s="81"/>
      <c r="AJ49" s="87" t="s">
        <v>119</v>
      </c>
      <c r="AK49" s="87">
        <v>12</v>
      </c>
      <c r="BB49" s="118" t="s">
        <v>70</v>
      </c>
      <c r="BM49" s="81">
        <f>IFERROR(X49*I49,"0")</f>
        <v>0</v>
      </c>
      <c r="BN49" s="81" t="str">
        <f>IFERROR(Y49*I49,"0")</f>
        <v>0</v>
      </c>
      <c r="BO49" s="81">
        <f>IFERROR(X49/J49,"0")</f>
        <v>0</v>
      </c>
      <c r="BP49" s="81" t="str">
        <f>IFERROR(Y49/J49,"0")</f>
        <v>0</v>
      </c>
    </row>
    <row r="50" spans="1:68" hidden="1" x14ac:dyDescent="0.2">
      <c r="A50" s="368"/>
      <c r="B50" s="368"/>
      <c r="C50" s="368"/>
      <c r="D50" s="368"/>
      <c r="E50" s="368"/>
      <c r="F50" s="368"/>
      <c r="G50" s="368"/>
      <c r="H50" s="368"/>
      <c r="I50" s="368"/>
      <c r="J50" s="368"/>
      <c r="K50" s="368"/>
      <c r="L50" s="368"/>
      <c r="M50" s="368"/>
      <c r="N50" s="368"/>
      <c r="O50" s="369"/>
      <c r="P50" s="365" t="s">
        <v>40</v>
      </c>
      <c r="Q50" s="366"/>
      <c r="R50" s="366"/>
      <c r="S50" s="366"/>
      <c r="T50" s="366"/>
      <c r="U50" s="366"/>
      <c r="V50" s="367"/>
      <c r="W50" s="42" t="s">
        <v>39</v>
      </c>
      <c r="X50" s="43">
        <f>IFERROR(SUM(X47:X49),"0")</f>
        <v>0</v>
      </c>
      <c r="Y50" s="43">
        <f>IFERROR(SUM(Y47:Y49),"0")</f>
        <v>0</v>
      </c>
      <c r="Z50" s="43">
        <f>IFERROR(IF(Z47="",0,Z47),"0")+IFERROR(IF(Z48="",0,Z48),"0")+IFERROR(IF(Z49="",0,Z49),"0")</f>
        <v>0</v>
      </c>
      <c r="AA50" s="67"/>
      <c r="AB50" s="67"/>
      <c r="AC50" s="67"/>
    </row>
    <row r="51" spans="1:68" hidden="1" x14ac:dyDescent="0.2">
      <c r="A51" s="368"/>
      <c r="B51" s="368"/>
      <c r="C51" s="368"/>
      <c r="D51" s="368"/>
      <c r="E51" s="368"/>
      <c r="F51" s="368"/>
      <c r="G51" s="368"/>
      <c r="H51" s="368"/>
      <c r="I51" s="368"/>
      <c r="J51" s="368"/>
      <c r="K51" s="368"/>
      <c r="L51" s="368"/>
      <c r="M51" s="368"/>
      <c r="N51" s="368"/>
      <c r="O51" s="369"/>
      <c r="P51" s="365" t="s">
        <v>40</v>
      </c>
      <c r="Q51" s="366"/>
      <c r="R51" s="366"/>
      <c r="S51" s="366"/>
      <c r="T51" s="366"/>
      <c r="U51" s="366"/>
      <c r="V51" s="367"/>
      <c r="W51" s="42" t="s">
        <v>0</v>
      </c>
      <c r="X51" s="43">
        <f>IFERROR(SUMPRODUCT(X47:X49*H47:H49),"0")</f>
        <v>0</v>
      </c>
      <c r="Y51" s="43" t="str">
        <f>IFERROR(SUMPRODUCT(Y47:Y49*H47:H49),"0")</f>
        <v>0</v>
      </c>
      <c r="Z51" s="42"/>
      <c r="AA51" s="67"/>
      <c r="AB51" s="67"/>
      <c r="AC51" s="67"/>
    </row>
    <row r="52" spans="1:68" ht="16.5" hidden="1" customHeight="1" x14ac:dyDescent="0.25">
      <c r="A52" s="352" t="s">
        <v>132</v>
      </c>
      <c r="B52" s="352"/>
      <c r="C52" s="352"/>
      <c r="D52" s="352"/>
      <c r="E52" s="352"/>
      <c r="F52" s="352"/>
      <c r="G52" s="352"/>
      <c r="H52" s="352"/>
      <c r="I52" s="352"/>
      <c r="J52" s="352"/>
      <c r="K52" s="352"/>
      <c r="L52" s="352"/>
      <c r="M52" s="352"/>
      <c r="N52" s="352"/>
      <c r="O52" s="352"/>
      <c r="P52" s="352"/>
      <c r="Q52" s="352"/>
      <c r="R52" s="352"/>
      <c r="S52" s="352"/>
      <c r="T52" s="352"/>
      <c r="U52" s="352"/>
      <c r="V52" s="352"/>
      <c r="W52" s="352"/>
      <c r="X52" s="352"/>
      <c r="Y52" s="352"/>
      <c r="Z52" s="352"/>
      <c r="AA52" s="65"/>
      <c r="AB52" s="65"/>
      <c r="AC52" s="82"/>
    </row>
    <row r="53" spans="1:68" ht="14.25" hidden="1" customHeight="1" x14ac:dyDescent="0.25">
      <c r="A53" s="353" t="s">
        <v>82</v>
      </c>
      <c r="B53" s="353"/>
      <c r="C53" s="353"/>
      <c r="D53" s="353"/>
      <c r="E53" s="353"/>
      <c r="F53" s="353"/>
      <c r="G53" s="353"/>
      <c r="H53" s="353"/>
      <c r="I53" s="353"/>
      <c r="J53" s="353"/>
      <c r="K53" s="353"/>
      <c r="L53" s="353"/>
      <c r="M53" s="353"/>
      <c r="N53" s="353"/>
      <c r="O53" s="353"/>
      <c r="P53" s="353"/>
      <c r="Q53" s="353"/>
      <c r="R53" s="353"/>
      <c r="S53" s="353"/>
      <c r="T53" s="353"/>
      <c r="U53" s="353"/>
      <c r="V53" s="353"/>
      <c r="W53" s="353"/>
      <c r="X53" s="353"/>
      <c r="Y53" s="353"/>
      <c r="Z53" s="353"/>
      <c r="AA53" s="66"/>
      <c r="AB53" s="66"/>
      <c r="AC53" s="83"/>
    </row>
    <row r="54" spans="1:68" ht="27" hidden="1" customHeight="1" x14ac:dyDescent="0.25">
      <c r="A54" s="63" t="s">
        <v>133</v>
      </c>
      <c r="B54" s="63" t="s">
        <v>134</v>
      </c>
      <c r="C54" s="36">
        <v>4301071044</v>
      </c>
      <c r="D54" s="354">
        <v>4607111039385</v>
      </c>
      <c r="E54" s="354"/>
      <c r="F54" s="62">
        <v>0.7</v>
      </c>
      <c r="G54" s="37">
        <v>10</v>
      </c>
      <c r="H54" s="62">
        <v>7</v>
      </c>
      <c r="I54" s="62">
        <v>7.3</v>
      </c>
      <c r="J54" s="37">
        <v>84</v>
      </c>
      <c r="K54" s="37" t="s">
        <v>87</v>
      </c>
      <c r="L54" s="37" t="s">
        <v>118</v>
      </c>
      <c r="M54" s="38" t="s">
        <v>86</v>
      </c>
      <c r="N54" s="38"/>
      <c r="O54" s="37">
        <v>180</v>
      </c>
      <c r="P54" s="377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356"/>
      <c r="R54" s="356"/>
      <c r="S54" s="356"/>
      <c r="T54" s="357"/>
      <c r="U54" s="39" t="s">
        <v>46</v>
      </c>
      <c r="V54" s="39" t="s">
        <v>46</v>
      </c>
      <c r="W54" s="40" t="s">
        <v>39</v>
      </c>
      <c r="X54" s="58"/>
      <c r="Y54" s="55" t="str">
        <f>IFERROR(IF(X54="","",X54),"")</f>
        <v/>
      </c>
      <c r="Z54" s="41" t="str">
        <f>IFERROR(IF(X54="","",X54*0.0155),"")</f>
        <v/>
      </c>
      <c r="AA54" s="68" t="s">
        <v>46</v>
      </c>
      <c r="AB54" s="69" t="s">
        <v>46</v>
      </c>
      <c r="AC54" s="119" t="s">
        <v>135</v>
      </c>
      <c r="AG54" s="81"/>
      <c r="AJ54" s="87" t="s">
        <v>119</v>
      </c>
      <c r="AK54" s="87">
        <v>12</v>
      </c>
      <c r="BB54" s="120" t="s">
        <v>70</v>
      </c>
      <c r="BM54" s="81">
        <f>IFERROR(X54*I54,"0")</f>
        <v>0</v>
      </c>
      <c r="BN54" s="81" t="str">
        <f>IFERROR(Y54*I54,"0")</f>
        <v>0</v>
      </c>
      <c r="BO54" s="81">
        <f>IFERROR(X54/J54,"0")</f>
        <v>0</v>
      </c>
      <c r="BP54" s="81" t="str">
        <f>IFERROR(Y54/J54,"0")</f>
        <v>0</v>
      </c>
    </row>
    <row r="55" spans="1:68" ht="27" hidden="1" customHeight="1" x14ac:dyDescent="0.25">
      <c r="A55" s="63" t="s">
        <v>136</v>
      </c>
      <c r="B55" s="63" t="s">
        <v>137</v>
      </c>
      <c r="C55" s="36">
        <v>4301071031</v>
      </c>
      <c r="D55" s="354">
        <v>4607111038982</v>
      </c>
      <c r="E55" s="354"/>
      <c r="F55" s="62">
        <v>0.7</v>
      </c>
      <c r="G55" s="37">
        <v>10</v>
      </c>
      <c r="H55" s="62">
        <v>7</v>
      </c>
      <c r="I55" s="62">
        <v>7.2859999999999996</v>
      </c>
      <c r="J55" s="37">
        <v>84</v>
      </c>
      <c r="K55" s="37" t="s">
        <v>87</v>
      </c>
      <c r="L55" s="37" t="s">
        <v>118</v>
      </c>
      <c r="M55" s="38" t="s">
        <v>86</v>
      </c>
      <c r="N55" s="38"/>
      <c r="O55" s="37">
        <v>180</v>
      </c>
      <c r="P55" s="378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356"/>
      <c r="R55" s="356"/>
      <c r="S55" s="356"/>
      <c r="T55" s="357"/>
      <c r="U55" s="39" t="s">
        <v>46</v>
      </c>
      <c r="V55" s="39" t="s">
        <v>46</v>
      </c>
      <c r="W55" s="40" t="s">
        <v>39</v>
      </c>
      <c r="X55" s="58"/>
      <c r="Y55" s="55" t="str">
        <f>IFERROR(IF(X55="","",X55),"")</f>
        <v/>
      </c>
      <c r="Z55" s="41" t="str">
        <f>IFERROR(IF(X55="","",X55*0.0155),"")</f>
        <v/>
      </c>
      <c r="AA55" s="68" t="s">
        <v>46</v>
      </c>
      <c r="AB55" s="69" t="s">
        <v>46</v>
      </c>
      <c r="AC55" s="121" t="s">
        <v>138</v>
      </c>
      <c r="AG55" s="81"/>
      <c r="AJ55" s="87" t="s">
        <v>119</v>
      </c>
      <c r="AK55" s="87">
        <v>12</v>
      </c>
      <c r="BB55" s="122" t="s">
        <v>70</v>
      </c>
      <c r="BM55" s="81">
        <f>IFERROR(X55*I55,"0")</f>
        <v>0</v>
      </c>
      <c r="BN55" s="81" t="str">
        <f>IFERROR(Y55*I55,"0")</f>
        <v>0</v>
      </c>
      <c r="BO55" s="81">
        <f>IFERROR(X55/J55,"0")</f>
        <v>0</v>
      </c>
      <c r="BP55" s="81" t="str">
        <f>IFERROR(Y55/J55,"0")</f>
        <v>0</v>
      </c>
    </row>
    <row r="56" spans="1:68" ht="27" hidden="1" customHeight="1" x14ac:dyDescent="0.25">
      <c r="A56" s="63" t="s">
        <v>139</v>
      </c>
      <c r="B56" s="63" t="s">
        <v>140</v>
      </c>
      <c r="C56" s="36">
        <v>4301071046</v>
      </c>
      <c r="D56" s="354">
        <v>4607111039354</v>
      </c>
      <c r="E56" s="354"/>
      <c r="F56" s="62">
        <v>0.4</v>
      </c>
      <c r="G56" s="37">
        <v>16</v>
      </c>
      <c r="H56" s="62">
        <v>6.4</v>
      </c>
      <c r="I56" s="62">
        <v>6.7195999999999998</v>
      </c>
      <c r="J56" s="37">
        <v>84</v>
      </c>
      <c r="K56" s="37" t="s">
        <v>87</v>
      </c>
      <c r="L56" s="37" t="s">
        <v>118</v>
      </c>
      <c r="M56" s="38" t="s">
        <v>86</v>
      </c>
      <c r="N56" s="38"/>
      <c r="O56" s="37">
        <v>180</v>
      </c>
      <c r="P56" s="379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356"/>
      <c r="R56" s="356"/>
      <c r="S56" s="356"/>
      <c r="T56" s="357"/>
      <c r="U56" s="39" t="s">
        <v>46</v>
      </c>
      <c r="V56" s="39" t="s">
        <v>46</v>
      </c>
      <c r="W56" s="40" t="s">
        <v>39</v>
      </c>
      <c r="X56" s="58"/>
      <c r="Y56" s="55" t="str">
        <f>IFERROR(IF(X56="","",X56),"")</f>
        <v/>
      </c>
      <c r="Z56" s="41" t="str">
        <f>IFERROR(IF(X56="","",X56*0.0155),"")</f>
        <v/>
      </c>
      <c r="AA56" s="68" t="s">
        <v>46</v>
      </c>
      <c r="AB56" s="69" t="s">
        <v>46</v>
      </c>
      <c r="AC56" s="123" t="s">
        <v>138</v>
      </c>
      <c r="AG56" s="81"/>
      <c r="AJ56" s="87" t="s">
        <v>119</v>
      </c>
      <c r="AK56" s="87">
        <v>12</v>
      </c>
      <c r="BB56" s="124" t="s">
        <v>70</v>
      </c>
      <c r="BM56" s="81">
        <f>IFERROR(X56*I56,"0")</f>
        <v>0</v>
      </c>
      <c r="BN56" s="81" t="str">
        <f>IFERROR(Y56*I56,"0")</f>
        <v>0</v>
      </c>
      <c r="BO56" s="81">
        <f>IFERROR(X56/J56,"0")</f>
        <v>0</v>
      </c>
      <c r="BP56" s="81" t="str">
        <f>IFERROR(Y56/J56,"0")</f>
        <v>0</v>
      </c>
    </row>
    <row r="57" spans="1:68" ht="27" hidden="1" customHeight="1" x14ac:dyDescent="0.25">
      <c r="A57" s="63" t="s">
        <v>141</v>
      </c>
      <c r="B57" s="63" t="s">
        <v>142</v>
      </c>
      <c r="C57" s="36">
        <v>4301071047</v>
      </c>
      <c r="D57" s="354">
        <v>4607111039330</v>
      </c>
      <c r="E57" s="354"/>
      <c r="F57" s="62">
        <v>0.7</v>
      </c>
      <c r="G57" s="37">
        <v>10</v>
      </c>
      <c r="H57" s="62">
        <v>7</v>
      </c>
      <c r="I57" s="62">
        <v>7.3</v>
      </c>
      <c r="J57" s="37">
        <v>84</v>
      </c>
      <c r="K57" s="37" t="s">
        <v>87</v>
      </c>
      <c r="L57" s="37" t="s">
        <v>118</v>
      </c>
      <c r="M57" s="38" t="s">
        <v>86</v>
      </c>
      <c r="N57" s="38"/>
      <c r="O57" s="37">
        <v>180</v>
      </c>
      <c r="P57" s="38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356"/>
      <c r="R57" s="356"/>
      <c r="S57" s="356"/>
      <c r="T57" s="357"/>
      <c r="U57" s="39" t="s">
        <v>46</v>
      </c>
      <c r="V57" s="39" t="s">
        <v>46</v>
      </c>
      <c r="W57" s="40" t="s">
        <v>39</v>
      </c>
      <c r="X57" s="58"/>
      <c r="Y57" s="55" t="str">
        <f>IFERROR(IF(X57="","",X57),"")</f>
        <v/>
      </c>
      <c r="Z57" s="41" t="str">
        <f>IFERROR(IF(X57="","",X57*0.0155),"")</f>
        <v/>
      </c>
      <c r="AA57" s="68" t="s">
        <v>46</v>
      </c>
      <c r="AB57" s="69" t="s">
        <v>46</v>
      </c>
      <c r="AC57" s="125" t="s">
        <v>138</v>
      </c>
      <c r="AG57" s="81"/>
      <c r="AJ57" s="87" t="s">
        <v>119</v>
      </c>
      <c r="AK57" s="87">
        <v>12</v>
      </c>
      <c r="BB57" s="126" t="s">
        <v>70</v>
      </c>
      <c r="BM57" s="81">
        <f>IFERROR(X57*I57,"0")</f>
        <v>0</v>
      </c>
      <c r="BN57" s="81" t="str">
        <f>IFERROR(Y57*I57,"0")</f>
        <v>0</v>
      </c>
      <c r="BO57" s="81">
        <f>IFERROR(X57/J57,"0")</f>
        <v>0</v>
      </c>
      <c r="BP57" s="81" t="str">
        <f>IFERROR(Y57/J57,"0")</f>
        <v>0</v>
      </c>
    </row>
    <row r="58" spans="1:68" ht="12.75" hidden="1" customHeight="1" x14ac:dyDescent="0.2">
      <c r="A58" s="368"/>
      <c r="B58" s="368"/>
      <c r="C58" s="368"/>
      <c r="D58" s="368"/>
      <c r="E58" s="368"/>
      <c r="F58" s="368"/>
      <c r="G58" s="368"/>
      <c r="H58" s="368"/>
      <c r="I58" s="368"/>
      <c r="J58" s="368"/>
      <c r="K58" s="368"/>
      <c r="L58" s="368"/>
      <c r="M58" s="368"/>
      <c r="N58" s="368"/>
      <c r="O58" s="369"/>
      <c r="P58" s="365" t="s">
        <v>40</v>
      </c>
      <c r="Q58" s="366"/>
      <c r="R58" s="366"/>
      <c r="S58" s="366"/>
      <c r="T58" s="366"/>
      <c r="U58" s="366"/>
      <c r="V58" s="367"/>
      <c r="W58" s="42" t="s">
        <v>39</v>
      </c>
      <c r="X58" s="43">
        <f>IFERROR(SUM(X54:X57),"0")</f>
        <v>0</v>
      </c>
      <c r="Y58" s="43">
        <f>IFERROR(SUM(Y54:Y57),"0")</f>
        <v>0</v>
      </c>
      <c r="Z58" s="43">
        <f>IFERROR(IF(Z54="",0,Z54),"0")+IFERROR(IF(Z55="",0,Z55),"0")+IFERROR(IF(Z56="",0,Z56),"0")+IFERROR(IF(Z57="",0,Z57),"0")</f>
        <v>0</v>
      </c>
      <c r="AA58" s="67"/>
      <c r="AB58" s="67"/>
      <c r="AC58" s="67"/>
    </row>
    <row r="59" spans="1:68" ht="12.75" hidden="1" customHeight="1" x14ac:dyDescent="0.2">
      <c r="A59" s="368"/>
      <c r="B59" s="368"/>
      <c r="C59" s="368"/>
      <c r="D59" s="368"/>
      <c r="E59" s="368"/>
      <c r="F59" s="368"/>
      <c r="G59" s="368"/>
      <c r="H59" s="368"/>
      <c r="I59" s="368"/>
      <c r="J59" s="368"/>
      <c r="K59" s="368"/>
      <c r="L59" s="368"/>
      <c r="M59" s="368"/>
      <c r="N59" s="368"/>
      <c r="O59" s="369"/>
      <c r="P59" s="365" t="s">
        <v>40</v>
      </c>
      <c r="Q59" s="366"/>
      <c r="R59" s="366"/>
      <c r="S59" s="366"/>
      <c r="T59" s="366"/>
      <c r="U59" s="366"/>
      <c r="V59" s="367"/>
      <c r="W59" s="42" t="s">
        <v>0</v>
      </c>
      <c r="X59" s="43">
        <f>IFERROR(SUMPRODUCT(X54:X57*H54:H57),"0")</f>
        <v>0</v>
      </c>
      <c r="Y59" s="43" t="str">
        <f>IFERROR(SUMPRODUCT(Y54:Y57*H54:H57),"0")</f>
        <v>0</v>
      </c>
      <c r="Z59" s="42"/>
      <c r="AA59" s="67"/>
      <c r="AB59" s="67"/>
      <c r="AC59" s="67"/>
    </row>
    <row r="60" spans="1:68" ht="16.5" hidden="1" customHeight="1" x14ac:dyDescent="0.25">
      <c r="A60" s="352" t="s">
        <v>143</v>
      </c>
      <c r="B60" s="352"/>
      <c r="C60" s="352"/>
      <c r="D60" s="352"/>
      <c r="E60" s="352"/>
      <c r="F60" s="352"/>
      <c r="G60" s="352"/>
      <c r="H60" s="352"/>
      <c r="I60" s="352"/>
      <c r="J60" s="352"/>
      <c r="K60" s="352"/>
      <c r="L60" s="352"/>
      <c r="M60" s="352"/>
      <c r="N60" s="352"/>
      <c r="O60" s="352"/>
      <c r="P60" s="352"/>
      <c r="Q60" s="352"/>
      <c r="R60" s="352"/>
      <c r="S60" s="352"/>
      <c r="T60" s="352"/>
      <c r="U60" s="352"/>
      <c r="V60" s="352"/>
      <c r="W60" s="352"/>
      <c r="X60" s="352"/>
      <c r="Y60" s="352"/>
      <c r="Z60" s="352"/>
      <c r="AA60" s="65"/>
      <c r="AB60" s="65"/>
      <c r="AC60" s="82"/>
    </row>
    <row r="61" spans="1:68" ht="14.25" hidden="1" customHeight="1" x14ac:dyDescent="0.25">
      <c r="A61" s="353" t="s">
        <v>82</v>
      </c>
      <c r="B61" s="353"/>
      <c r="C61" s="353"/>
      <c r="D61" s="353"/>
      <c r="E61" s="353"/>
      <c r="F61" s="353"/>
      <c r="G61" s="353"/>
      <c r="H61" s="353"/>
      <c r="I61" s="353"/>
      <c r="J61" s="353"/>
      <c r="K61" s="353"/>
      <c r="L61" s="353"/>
      <c r="M61" s="353"/>
      <c r="N61" s="353"/>
      <c r="O61" s="353"/>
      <c r="P61" s="353"/>
      <c r="Q61" s="353"/>
      <c r="R61" s="353"/>
      <c r="S61" s="353"/>
      <c r="T61" s="353"/>
      <c r="U61" s="353"/>
      <c r="V61" s="353"/>
      <c r="W61" s="353"/>
      <c r="X61" s="353"/>
      <c r="Y61" s="353"/>
      <c r="Z61" s="353"/>
      <c r="AA61" s="66"/>
      <c r="AB61" s="66"/>
      <c r="AC61" s="83"/>
    </row>
    <row r="62" spans="1:68" ht="16.5" hidden="1" customHeight="1" x14ac:dyDescent="0.25">
      <c r="A62" s="63" t="s">
        <v>144</v>
      </c>
      <c r="B62" s="63" t="s">
        <v>145</v>
      </c>
      <c r="C62" s="36">
        <v>4301071073</v>
      </c>
      <c r="D62" s="354">
        <v>4620207490822</v>
      </c>
      <c r="E62" s="354"/>
      <c r="F62" s="62">
        <v>0.43</v>
      </c>
      <c r="G62" s="37">
        <v>8</v>
      </c>
      <c r="H62" s="62">
        <v>3.44</v>
      </c>
      <c r="I62" s="62">
        <v>3.64</v>
      </c>
      <c r="J62" s="37">
        <v>144</v>
      </c>
      <c r="K62" s="37" t="s">
        <v>87</v>
      </c>
      <c r="L62" s="37" t="s">
        <v>88</v>
      </c>
      <c r="M62" s="38" t="s">
        <v>86</v>
      </c>
      <c r="N62" s="38"/>
      <c r="O62" s="37">
        <v>365</v>
      </c>
      <c r="P62" s="381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356"/>
      <c r="R62" s="356"/>
      <c r="S62" s="356"/>
      <c r="T62" s="357"/>
      <c r="U62" s="39" t="s">
        <v>46</v>
      </c>
      <c r="V62" s="39" t="s">
        <v>46</v>
      </c>
      <c r="W62" s="40" t="s">
        <v>39</v>
      </c>
      <c r="X62" s="58">
        <v>0</v>
      </c>
      <c r="Y62" s="55">
        <f>IFERROR(IF(X62="","",X62),"")</f>
        <v>0</v>
      </c>
      <c r="Z62" s="41">
        <f>IFERROR(IF(X62="","",X62*0.00866),"")</f>
        <v>0</v>
      </c>
      <c r="AA62" s="68" t="s">
        <v>46</v>
      </c>
      <c r="AB62" s="69" t="s">
        <v>46</v>
      </c>
      <c r="AC62" s="127" t="s">
        <v>146</v>
      </c>
      <c r="AG62" s="81"/>
      <c r="AJ62" s="87" t="s">
        <v>89</v>
      </c>
      <c r="AK62" s="87">
        <v>1</v>
      </c>
      <c r="BB62" s="128" t="s">
        <v>70</v>
      </c>
      <c r="BM62" s="81">
        <f>IFERROR(X62*I62,"0")</f>
        <v>0</v>
      </c>
      <c r="BN62" s="81">
        <f>IFERROR(Y62*I62,"0")</f>
        <v>0</v>
      </c>
      <c r="BO62" s="81">
        <f>IFERROR(X62/J62,"0")</f>
        <v>0</v>
      </c>
      <c r="BP62" s="81">
        <f>IFERROR(Y62/J62,"0")</f>
        <v>0</v>
      </c>
    </row>
    <row r="63" spans="1:68" ht="12.75" hidden="1" customHeight="1" x14ac:dyDescent="0.2">
      <c r="A63" s="368"/>
      <c r="B63" s="368"/>
      <c r="C63" s="368"/>
      <c r="D63" s="368"/>
      <c r="E63" s="368"/>
      <c r="F63" s="368"/>
      <c r="G63" s="368"/>
      <c r="H63" s="368"/>
      <c r="I63" s="368"/>
      <c r="J63" s="368"/>
      <c r="K63" s="368"/>
      <c r="L63" s="368"/>
      <c r="M63" s="368"/>
      <c r="N63" s="368"/>
      <c r="O63" s="369"/>
      <c r="P63" s="365" t="s">
        <v>40</v>
      </c>
      <c r="Q63" s="366"/>
      <c r="R63" s="366"/>
      <c r="S63" s="366"/>
      <c r="T63" s="366"/>
      <c r="U63" s="366"/>
      <c r="V63" s="367"/>
      <c r="W63" s="42" t="s">
        <v>39</v>
      </c>
      <c r="X63" s="43">
        <f>IFERROR(SUM(X62:X62),"0")</f>
        <v>0</v>
      </c>
      <c r="Y63" s="43">
        <f>IFERROR(SUM(Y62:Y62),"0")</f>
        <v>0</v>
      </c>
      <c r="Z63" s="43">
        <f>IFERROR(IF(Z62="",0,Z62),"0")</f>
        <v>0</v>
      </c>
      <c r="AA63" s="67"/>
      <c r="AB63" s="67"/>
      <c r="AC63" s="67"/>
    </row>
    <row r="64" spans="1:68" ht="12.75" hidden="1" customHeight="1" x14ac:dyDescent="0.2">
      <c r="A64" s="368"/>
      <c r="B64" s="368"/>
      <c r="C64" s="368"/>
      <c r="D64" s="368"/>
      <c r="E64" s="368"/>
      <c r="F64" s="368"/>
      <c r="G64" s="368"/>
      <c r="H64" s="368"/>
      <c r="I64" s="368"/>
      <c r="J64" s="368"/>
      <c r="K64" s="368"/>
      <c r="L64" s="368"/>
      <c r="M64" s="368"/>
      <c r="N64" s="368"/>
      <c r="O64" s="369"/>
      <c r="P64" s="365" t="s">
        <v>40</v>
      </c>
      <c r="Q64" s="366"/>
      <c r="R64" s="366"/>
      <c r="S64" s="366"/>
      <c r="T64" s="366"/>
      <c r="U64" s="366"/>
      <c r="V64" s="367"/>
      <c r="W64" s="42" t="s">
        <v>0</v>
      </c>
      <c r="X64" s="43">
        <f>IFERROR(SUMPRODUCT(X62:X62*H62:H62),"0")</f>
        <v>0</v>
      </c>
      <c r="Y64" s="43">
        <f>IFERROR(SUMPRODUCT(Y62:Y62*H62:H62),"0")</f>
        <v>0</v>
      </c>
      <c r="Z64" s="42"/>
      <c r="AA64" s="67"/>
      <c r="AB64" s="67"/>
      <c r="AC64" s="67"/>
    </row>
    <row r="65" spans="1:68" ht="14.25" hidden="1" customHeight="1" x14ac:dyDescent="0.25">
      <c r="A65" s="353" t="s">
        <v>112</v>
      </c>
      <c r="B65" s="353"/>
      <c r="C65" s="353"/>
      <c r="D65" s="353"/>
      <c r="E65" s="353"/>
      <c r="F65" s="353"/>
      <c r="G65" s="353"/>
      <c r="H65" s="353"/>
      <c r="I65" s="353"/>
      <c r="J65" s="353"/>
      <c r="K65" s="353"/>
      <c r="L65" s="353"/>
      <c r="M65" s="353"/>
      <c r="N65" s="353"/>
      <c r="O65" s="353"/>
      <c r="P65" s="353"/>
      <c r="Q65" s="353"/>
      <c r="R65" s="353"/>
      <c r="S65" s="353"/>
      <c r="T65" s="353"/>
      <c r="U65" s="353"/>
      <c r="V65" s="353"/>
      <c r="W65" s="353"/>
      <c r="X65" s="353"/>
      <c r="Y65" s="353"/>
      <c r="Z65" s="353"/>
      <c r="AA65" s="66"/>
      <c r="AB65" s="66"/>
      <c r="AC65" s="83"/>
    </row>
    <row r="66" spans="1:68" ht="27" hidden="1" customHeight="1" x14ac:dyDescent="0.25">
      <c r="A66" s="63" t="s">
        <v>147</v>
      </c>
      <c r="B66" s="63" t="s">
        <v>148</v>
      </c>
      <c r="C66" s="36">
        <v>4301132194</v>
      </c>
      <c r="D66" s="354">
        <v>4607111039712</v>
      </c>
      <c r="E66" s="354"/>
      <c r="F66" s="62">
        <v>0.2</v>
      </c>
      <c r="G66" s="37">
        <v>6</v>
      </c>
      <c r="H66" s="62">
        <v>1.2</v>
      </c>
      <c r="I66" s="62">
        <v>1.56</v>
      </c>
      <c r="J66" s="37">
        <v>140</v>
      </c>
      <c r="K66" s="37" t="s">
        <v>117</v>
      </c>
      <c r="L66" s="37" t="s">
        <v>88</v>
      </c>
      <c r="M66" s="38" t="s">
        <v>86</v>
      </c>
      <c r="N66" s="38"/>
      <c r="O66" s="37">
        <v>365</v>
      </c>
      <c r="P66" s="382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356"/>
      <c r="R66" s="356"/>
      <c r="S66" s="356"/>
      <c r="T66" s="357"/>
      <c r="U66" s="39" t="s">
        <v>46</v>
      </c>
      <c r="V66" s="39" t="s">
        <v>46</v>
      </c>
      <c r="W66" s="40" t="s">
        <v>39</v>
      </c>
      <c r="X66" s="58">
        <v>0</v>
      </c>
      <c r="Y66" s="55">
        <f>IFERROR(IF(X66="","",X66),"")</f>
        <v>0</v>
      </c>
      <c r="Z66" s="41">
        <f>IFERROR(IF(X66="","",X66*0.00941),"")</f>
        <v>0</v>
      </c>
      <c r="AA66" s="68" t="s">
        <v>46</v>
      </c>
      <c r="AB66" s="69" t="s">
        <v>46</v>
      </c>
      <c r="AC66" s="129" t="s">
        <v>149</v>
      </c>
      <c r="AG66" s="81"/>
      <c r="AJ66" s="87" t="s">
        <v>89</v>
      </c>
      <c r="AK66" s="87">
        <v>1</v>
      </c>
      <c r="BB66" s="130" t="s">
        <v>116</v>
      </c>
      <c r="BM66" s="81">
        <f>IFERROR(X66*I66,"0")</f>
        <v>0</v>
      </c>
      <c r="BN66" s="81">
        <f>IFERROR(Y66*I66,"0")</f>
        <v>0</v>
      </c>
      <c r="BO66" s="81">
        <f>IFERROR(X66/J66,"0")</f>
        <v>0</v>
      </c>
      <c r="BP66" s="81">
        <f>IFERROR(Y66/J66,"0")</f>
        <v>0</v>
      </c>
    </row>
    <row r="67" spans="1:68" ht="12.75" hidden="1" customHeight="1" x14ac:dyDescent="0.2">
      <c r="A67" s="368"/>
      <c r="B67" s="368"/>
      <c r="C67" s="368"/>
      <c r="D67" s="368"/>
      <c r="E67" s="368"/>
      <c r="F67" s="368"/>
      <c r="G67" s="368"/>
      <c r="H67" s="368"/>
      <c r="I67" s="368"/>
      <c r="J67" s="368"/>
      <c r="K67" s="368"/>
      <c r="L67" s="368"/>
      <c r="M67" s="368"/>
      <c r="N67" s="368"/>
      <c r="O67" s="369"/>
      <c r="P67" s="365" t="s">
        <v>40</v>
      </c>
      <c r="Q67" s="366"/>
      <c r="R67" s="366"/>
      <c r="S67" s="366"/>
      <c r="T67" s="366"/>
      <c r="U67" s="366"/>
      <c r="V67" s="367"/>
      <c r="W67" s="42" t="s">
        <v>39</v>
      </c>
      <c r="X67" s="43">
        <f>IFERROR(SUM(X66:X66),"0")</f>
        <v>0</v>
      </c>
      <c r="Y67" s="43">
        <f>IFERROR(SUM(Y66:Y66),"0")</f>
        <v>0</v>
      </c>
      <c r="Z67" s="43">
        <f>IFERROR(IF(Z66="",0,Z66),"0")</f>
        <v>0</v>
      </c>
      <c r="AA67" s="67"/>
      <c r="AB67" s="67"/>
      <c r="AC67" s="67"/>
    </row>
    <row r="68" spans="1:68" ht="12.75" hidden="1" customHeight="1" x14ac:dyDescent="0.2">
      <c r="A68" s="368"/>
      <c r="B68" s="368"/>
      <c r="C68" s="368"/>
      <c r="D68" s="368"/>
      <c r="E68" s="368"/>
      <c r="F68" s="368"/>
      <c r="G68" s="368"/>
      <c r="H68" s="368"/>
      <c r="I68" s="368"/>
      <c r="J68" s="368"/>
      <c r="K68" s="368"/>
      <c r="L68" s="368"/>
      <c r="M68" s="368"/>
      <c r="N68" s="368"/>
      <c r="O68" s="369"/>
      <c r="P68" s="365" t="s">
        <v>40</v>
      </c>
      <c r="Q68" s="366"/>
      <c r="R68" s="366"/>
      <c r="S68" s="366"/>
      <c r="T68" s="366"/>
      <c r="U68" s="366"/>
      <c r="V68" s="367"/>
      <c r="W68" s="42" t="s">
        <v>0</v>
      </c>
      <c r="X68" s="43">
        <f>IFERROR(SUMPRODUCT(X66:X66*H66:H66),"0")</f>
        <v>0</v>
      </c>
      <c r="Y68" s="43">
        <f>IFERROR(SUMPRODUCT(Y66:Y66*H66:H66),"0")</f>
        <v>0</v>
      </c>
      <c r="Z68" s="42"/>
      <c r="AA68" s="67"/>
      <c r="AB68" s="67"/>
      <c r="AC68" s="67"/>
    </row>
    <row r="69" spans="1:68" ht="14.25" hidden="1" customHeight="1" x14ac:dyDescent="0.25">
      <c r="A69" s="353" t="s">
        <v>150</v>
      </c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3"/>
      <c r="Q69" s="353"/>
      <c r="R69" s="353"/>
      <c r="S69" s="353"/>
      <c r="T69" s="353"/>
      <c r="U69" s="353"/>
      <c r="V69" s="353"/>
      <c r="W69" s="353"/>
      <c r="X69" s="353"/>
      <c r="Y69" s="353"/>
      <c r="Z69" s="353"/>
      <c r="AA69" s="66"/>
      <c r="AB69" s="66"/>
      <c r="AC69" s="83"/>
    </row>
    <row r="70" spans="1:68" ht="16.5" hidden="1" customHeight="1" x14ac:dyDescent="0.25">
      <c r="A70" s="63" t="s">
        <v>151</v>
      </c>
      <c r="B70" s="63" t="s">
        <v>152</v>
      </c>
      <c r="C70" s="36">
        <v>4301136018</v>
      </c>
      <c r="D70" s="354">
        <v>4607111037008</v>
      </c>
      <c r="E70" s="354"/>
      <c r="F70" s="62">
        <v>0.36</v>
      </c>
      <c r="G70" s="37">
        <v>4</v>
      </c>
      <c r="H70" s="62">
        <v>1.44</v>
      </c>
      <c r="I70" s="62">
        <v>1.74</v>
      </c>
      <c r="J70" s="37">
        <v>140</v>
      </c>
      <c r="K70" s="37" t="s">
        <v>117</v>
      </c>
      <c r="L70" s="37" t="s">
        <v>88</v>
      </c>
      <c r="M70" s="38" t="s">
        <v>86</v>
      </c>
      <c r="N70" s="38"/>
      <c r="O70" s="37">
        <v>365</v>
      </c>
      <c r="P70" s="383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356"/>
      <c r="R70" s="356"/>
      <c r="S70" s="356"/>
      <c r="T70" s="357"/>
      <c r="U70" s="39" t="s">
        <v>46</v>
      </c>
      <c r="V70" s="39" t="s">
        <v>46</v>
      </c>
      <c r="W70" s="40" t="s">
        <v>39</v>
      </c>
      <c r="X70" s="58">
        <v>0</v>
      </c>
      <c r="Y70" s="55">
        <f>IFERROR(IF(X70="","",X70),"")</f>
        <v>0</v>
      </c>
      <c r="Z70" s="41">
        <f>IFERROR(IF(X70="","",X70*0.00941),"")</f>
        <v>0</v>
      </c>
      <c r="AA70" s="68" t="s">
        <v>46</v>
      </c>
      <c r="AB70" s="69" t="s">
        <v>46</v>
      </c>
      <c r="AC70" s="131" t="s">
        <v>153</v>
      </c>
      <c r="AG70" s="81"/>
      <c r="AJ70" s="87" t="s">
        <v>89</v>
      </c>
      <c r="AK70" s="87">
        <v>1</v>
      </c>
      <c r="BB70" s="132" t="s">
        <v>116</v>
      </c>
      <c r="BM70" s="81">
        <f>IFERROR(X70*I70,"0")</f>
        <v>0</v>
      </c>
      <c r="BN70" s="81">
        <f>IFERROR(Y70*I70,"0")</f>
        <v>0</v>
      </c>
      <c r="BO70" s="81">
        <f>IFERROR(X70/J70,"0")</f>
        <v>0</v>
      </c>
      <c r="BP70" s="81">
        <f>IFERROR(Y70/J70,"0")</f>
        <v>0</v>
      </c>
    </row>
    <row r="71" spans="1:68" ht="16.5" hidden="1" customHeight="1" x14ac:dyDescent="0.25">
      <c r="A71" s="63" t="s">
        <v>154</v>
      </c>
      <c r="B71" s="63" t="s">
        <v>155</v>
      </c>
      <c r="C71" s="36">
        <v>4301136015</v>
      </c>
      <c r="D71" s="354">
        <v>4607111037398</v>
      </c>
      <c r="E71" s="354"/>
      <c r="F71" s="62">
        <v>0.09</v>
      </c>
      <c r="G71" s="37">
        <v>24</v>
      </c>
      <c r="H71" s="62">
        <v>2.16</v>
      </c>
      <c r="I71" s="62">
        <v>4.0199999999999996</v>
      </c>
      <c r="J71" s="37">
        <v>126</v>
      </c>
      <c r="K71" s="37" t="s">
        <v>117</v>
      </c>
      <c r="L71" s="37" t="s">
        <v>88</v>
      </c>
      <c r="M71" s="38" t="s">
        <v>86</v>
      </c>
      <c r="N71" s="38"/>
      <c r="O71" s="37">
        <v>365</v>
      </c>
      <c r="P71" s="38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356"/>
      <c r="R71" s="356"/>
      <c r="S71" s="356"/>
      <c r="T71" s="357"/>
      <c r="U71" s="39" t="s">
        <v>46</v>
      </c>
      <c r="V71" s="39" t="s">
        <v>46</v>
      </c>
      <c r="W71" s="40" t="s">
        <v>39</v>
      </c>
      <c r="X71" s="58">
        <v>0</v>
      </c>
      <c r="Y71" s="55">
        <f>IFERROR(IF(X71="","",X71),"")</f>
        <v>0</v>
      </c>
      <c r="Z71" s="41">
        <f>IFERROR(IF(X71="","",X71*0.00936),"")</f>
        <v>0</v>
      </c>
      <c r="AA71" s="68" t="s">
        <v>46</v>
      </c>
      <c r="AB71" s="69" t="s">
        <v>46</v>
      </c>
      <c r="AC71" s="133" t="s">
        <v>153</v>
      </c>
      <c r="AG71" s="81"/>
      <c r="AJ71" s="87" t="s">
        <v>89</v>
      </c>
      <c r="AK71" s="87">
        <v>1</v>
      </c>
      <c r="BB71" s="134" t="s">
        <v>116</v>
      </c>
      <c r="BM71" s="81">
        <f>IFERROR(X71*I71,"0")</f>
        <v>0</v>
      </c>
      <c r="BN71" s="81">
        <f>IFERROR(Y71*I71,"0")</f>
        <v>0</v>
      </c>
      <c r="BO71" s="81">
        <f>IFERROR(X71/J71,"0")</f>
        <v>0</v>
      </c>
      <c r="BP71" s="81">
        <f>IFERROR(Y71/J71,"0")</f>
        <v>0</v>
      </c>
    </row>
    <row r="72" spans="1:68" ht="12.75" hidden="1" customHeight="1" x14ac:dyDescent="0.2">
      <c r="A72" s="368"/>
      <c r="B72" s="368"/>
      <c r="C72" s="368"/>
      <c r="D72" s="368"/>
      <c r="E72" s="368"/>
      <c r="F72" s="368"/>
      <c r="G72" s="368"/>
      <c r="H72" s="368"/>
      <c r="I72" s="368"/>
      <c r="J72" s="368"/>
      <c r="K72" s="368"/>
      <c r="L72" s="368"/>
      <c r="M72" s="368"/>
      <c r="N72" s="368"/>
      <c r="O72" s="369"/>
      <c r="P72" s="365" t="s">
        <v>40</v>
      </c>
      <c r="Q72" s="366"/>
      <c r="R72" s="366"/>
      <c r="S72" s="366"/>
      <c r="T72" s="366"/>
      <c r="U72" s="366"/>
      <c r="V72" s="367"/>
      <c r="W72" s="42" t="s">
        <v>39</v>
      </c>
      <c r="X72" s="43">
        <f>IFERROR(SUM(X70:X71),"0")</f>
        <v>0</v>
      </c>
      <c r="Y72" s="43">
        <f>IFERROR(SUM(Y70:Y71),"0")</f>
        <v>0</v>
      </c>
      <c r="Z72" s="43">
        <f>IFERROR(IF(Z70="",0,Z70),"0")+IFERROR(IF(Z71="",0,Z71),"0")</f>
        <v>0</v>
      </c>
      <c r="AA72" s="67"/>
      <c r="AB72" s="67"/>
      <c r="AC72" s="67"/>
    </row>
    <row r="73" spans="1:68" ht="12.75" hidden="1" customHeight="1" x14ac:dyDescent="0.2">
      <c r="A73" s="368"/>
      <c r="B73" s="368"/>
      <c r="C73" s="368"/>
      <c r="D73" s="368"/>
      <c r="E73" s="368"/>
      <c r="F73" s="368"/>
      <c r="G73" s="368"/>
      <c r="H73" s="368"/>
      <c r="I73" s="368"/>
      <c r="J73" s="368"/>
      <c r="K73" s="368"/>
      <c r="L73" s="368"/>
      <c r="M73" s="368"/>
      <c r="N73" s="368"/>
      <c r="O73" s="369"/>
      <c r="P73" s="365" t="s">
        <v>40</v>
      </c>
      <c r="Q73" s="366"/>
      <c r="R73" s="366"/>
      <c r="S73" s="366"/>
      <c r="T73" s="366"/>
      <c r="U73" s="366"/>
      <c r="V73" s="367"/>
      <c r="W73" s="42" t="s">
        <v>0</v>
      </c>
      <c r="X73" s="43">
        <f>IFERROR(SUMPRODUCT(X70:X71*H70:H71),"0")</f>
        <v>0</v>
      </c>
      <c r="Y73" s="43">
        <f>IFERROR(SUMPRODUCT(Y70:Y71*H70:H71),"0")</f>
        <v>0</v>
      </c>
      <c r="Z73" s="42"/>
      <c r="AA73" s="67"/>
      <c r="AB73" s="67"/>
      <c r="AC73" s="67"/>
    </row>
    <row r="74" spans="1:68" ht="14.25" hidden="1" customHeight="1" x14ac:dyDescent="0.25">
      <c r="A74" s="353" t="s">
        <v>156</v>
      </c>
      <c r="B74" s="353"/>
      <c r="C74" s="353"/>
      <c r="D74" s="353"/>
      <c r="E74" s="353"/>
      <c r="F74" s="353"/>
      <c r="G74" s="353"/>
      <c r="H74" s="353"/>
      <c r="I74" s="353"/>
      <c r="J74" s="353"/>
      <c r="K74" s="353"/>
      <c r="L74" s="353"/>
      <c r="M74" s="353"/>
      <c r="N74" s="353"/>
      <c r="O74" s="353"/>
      <c r="P74" s="353"/>
      <c r="Q74" s="353"/>
      <c r="R74" s="353"/>
      <c r="S74" s="353"/>
      <c r="T74" s="353"/>
      <c r="U74" s="353"/>
      <c r="V74" s="353"/>
      <c r="W74" s="353"/>
      <c r="X74" s="353"/>
      <c r="Y74" s="353"/>
      <c r="Z74" s="353"/>
      <c r="AA74" s="66"/>
      <c r="AB74" s="66"/>
      <c r="AC74" s="83"/>
    </row>
    <row r="75" spans="1:68" ht="27" hidden="1" customHeight="1" x14ac:dyDescent="0.25">
      <c r="A75" s="63" t="s">
        <v>157</v>
      </c>
      <c r="B75" s="63" t="s">
        <v>158</v>
      </c>
      <c r="C75" s="36">
        <v>4301135664</v>
      </c>
      <c r="D75" s="354">
        <v>4607111039705</v>
      </c>
      <c r="E75" s="354"/>
      <c r="F75" s="62">
        <v>0.2</v>
      </c>
      <c r="G75" s="37">
        <v>6</v>
      </c>
      <c r="H75" s="62">
        <v>1.2</v>
      </c>
      <c r="I75" s="62">
        <v>1.56</v>
      </c>
      <c r="J75" s="37">
        <v>140</v>
      </c>
      <c r="K75" s="37" t="s">
        <v>117</v>
      </c>
      <c r="L75" s="37" t="s">
        <v>88</v>
      </c>
      <c r="M75" s="38" t="s">
        <v>86</v>
      </c>
      <c r="N75" s="38"/>
      <c r="O75" s="37">
        <v>365</v>
      </c>
      <c r="P75" s="38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356"/>
      <c r="R75" s="356"/>
      <c r="S75" s="356"/>
      <c r="T75" s="357"/>
      <c r="U75" s="39" t="s">
        <v>46</v>
      </c>
      <c r="V75" s="39" t="s">
        <v>46</v>
      </c>
      <c r="W75" s="40" t="s">
        <v>39</v>
      </c>
      <c r="X75" s="58">
        <v>0</v>
      </c>
      <c r="Y75" s="55">
        <f>IFERROR(IF(X75="","",X75),"")</f>
        <v>0</v>
      </c>
      <c r="Z75" s="41">
        <f>IFERROR(IF(X75="","",X75*0.00941),"")</f>
        <v>0</v>
      </c>
      <c r="AA75" s="68" t="s">
        <v>46</v>
      </c>
      <c r="AB75" s="69" t="s">
        <v>46</v>
      </c>
      <c r="AC75" s="135" t="s">
        <v>153</v>
      </c>
      <c r="AG75" s="81"/>
      <c r="AJ75" s="87" t="s">
        <v>89</v>
      </c>
      <c r="AK75" s="87">
        <v>1</v>
      </c>
      <c r="BB75" s="136" t="s">
        <v>116</v>
      </c>
      <c r="BM75" s="81">
        <f>IFERROR(X75*I75,"0")</f>
        <v>0</v>
      </c>
      <c r="BN75" s="81">
        <f>IFERROR(Y75*I75,"0")</f>
        <v>0</v>
      </c>
      <c r="BO75" s="81">
        <f>IFERROR(X75/J75,"0")</f>
        <v>0</v>
      </c>
      <c r="BP75" s="81">
        <f>IFERROR(Y75/J75,"0")</f>
        <v>0</v>
      </c>
    </row>
    <row r="76" spans="1:68" ht="27" hidden="1" customHeight="1" x14ac:dyDescent="0.25">
      <c r="A76" s="63" t="s">
        <v>159</v>
      </c>
      <c r="B76" s="63" t="s">
        <v>160</v>
      </c>
      <c r="C76" s="36">
        <v>4301135665</v>
      </c>
      <c r="D76" s="354">
        <v>4607111039729</v>
      </c>
      <c r="E76" s="354"/>
      <c r="F76" s="62">
        <v>0.2</v>
      </c>
      <c r="G76" s="37">
        <v>6</v>
      </c>
      <c r="H76" s="62">
        <v>1.2</v>
      </c>
      <c r="I76" s="62">
        <v>1.56</v>
      </c>
      <c r="J76" s="37">
        <v>140</v>
      </c>
      <c r="K76" s="37" t="s">
        <v>117</v>
      </c>
      <c r="L76" s="37" t="s">
        <v>88</v>
      </c>
      <c r="M76" s="38" t="s">
        <v>86</v>
      </c>
      <c r="N76" s="38"/>
      <c r="O76" s="37">
        <v>365</v>
      </c>
      <c r="P76" s="38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356"/>
      <c r="R76" s="356"/>
      <c r="S76" s="356"/>
      <c r="T76" s="357"/>
      <c r="U76" s="39" t="s">
        <v>46</v>
      </c>
      <c r="V76" s="39" t="s">
        <v>46</v>
      </c>
      <c r="W76" s="40" t="s">
        <v>39</v>
      </c>
      <c r="X76" s="58">
        <v>0</v>
      </c>
      <c r="Y76" s="55">
        <f>IFERROR(IF(X76="","",X76),"")</f>
        <v>0</v>
      </c>
      <c r="Z76" s="41">
        <f>IFERROR(IF(X76="","",X76*0.00941),"")</f>
        <v>0</v>
      </c>
      <c r="AA76" s="68" t="s">
        <v>46</v>
      </c>
      <c r="AB76" s="69" t="s">
        <v>46</v>
      </c>
      <c r="AC76" s="137" t="s">
        <v>161</v>
      </c>
      <c r="AG76" s="81"/>
      <c r="AJ76" s="87" t="s">
        <v>89</v>
      </c>
      <c r="AK76" s="87">
        <v>1</v>
      </c>
      <c r="BB76" s="138" t="s">
        <v>116</v>
      </c>
      <c r="BM76" s="81">
        <f>IFERROR(X76*I76,"0")</f>
        <v>0</v>
      </c>
      <c r="BN76" s="81">
        <f>IFERROR(Y76*I76,"0")</f>
        <v>0</v>
      </c>
      <c r="BO76" s="81">
        <f>IFERROR(X76/J76,"0")</f>
        <v>0</v>
      </c>
      <c r="BP76" s="81">
        <f>IFERROR(Y76/J76,"0")</f>
        <v>0</v>
      </c>
    </row>
    <row r="77" spans="1:68" ht="27" hidden="1" customHeight="1" x14ac:dyDescent="0.25">
      <c r="A77" s="63" t="s">
        <v>162</v>
      </c>
      <c r="B77" s="63" t="s">
        <v>163</v>
      </c>
      <c r="C77" s="36">
        <v>4301135702</v>
      </c>
      <c r="D77" s="354">
        <v>4620207490228</v>
      </c>
      <c r="E77" s="354"/>
      <c r="F77" s="62">
        <v>0.2</v>
      </c>
      <c r="G77" s="37">
        <v>6</v>
      </c>
      <c r="H77" s="62">
        <v>1.2</v>
      </c>
      <c r="I77" s="62">
        <v>1.56</v>
      </c>
      <c r="J77" s="37">
        <v>140</v>
      </c>
      <c r="K77" s="37" t="s">
        <v>117</v>
      </c>
      <c r="L77" s="37" t="s">
        <v>88</v>
      </c>
      <c r="M77" s="38" t="s">
        <v>86</v>
      </c>
      <c r="N77" s="38"/>
      <c r="O77" s="37">
        <v>365</v>
      </c>
      <c r="P77" s="387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356"/>
      <c r="R77" s="356"/>
      <c r="S77" s="356"/>
      <c r="T77" s="357"/>
      <c r="U77" s="39" t="s">
        <v>46</v>
      </c>
      <c r="V77" s="39" t="s">
        <v>46</v>
      </c>
      <c r="W77" s="40" t="s">
        <v>39</v>
      </c>
      <c r="X77" s="58">
        <v>0</v>
      </c>
      <c r="Y77" s="55">
        <f>IFERROR(IF(X77="","",X77),"")</f>
        <v>0</v>
      </c>
      <c r="Z77" s="41">
        <f>IFERROR(IF(X77="","",X77*0.00941),"")</f>
        <v>0</v>
      </c>
      <c r="AA77" s="68" t="s">
        <v>46</v>
      </c>
      <c r="AB77" s="69" t="s">
        <v>46</v>
      </c>
      <c r="AC77" s="139" t="s">
        <v>161</v>
      </c>
      <c r="AG77" s="81"/>
      <c r="AJ77" s="87" t="s">
        <v>89</v>
      </c>
      <c r="AK77" s="87">
        <v>1</v>
      </c>
      <c r="BB77" s="140" t="s">
        <v>116</v>
      </c>
      <c r="BM77" s="81">
        <f>IFERROR(X77*I77,"0")</f>
        <v>0</v>
      </c>
      <c r="BN77" s="81">
        <f>IFERROR(Y77*I77,"0")</f>
        <v>0</v>
      </c>
      <c r="BO77" s="81">
        <f>IFERROR(X77/J77,"0")</f>
        <v>0</v>
      </c>
      <c r="BP77" s="81">
        <f>IFERROR(Y77/J77,"0")</f>
        <v>0</v>
      </c>
    </row>
    <row r="78" spans="1:68" ht="12.75" hidden="1" customHeight="1" x14ac:dyDescent="0.2">
      <c r="A78" s="368"/>
      <c r="B78" s="368"/>
      <c r="C78" s="368"/>
      <c r="D78" s="368"/>
      <c r="E78" s="368"/>
      <c r="F78" s="368"/>
      <c r="G78" s="368"/>
      <c r="H78" s="368"/>
      <c r="I78" s="368"/>
      <c r="J78" s="368"/>
      <c r="K78" s="368"/>
      <c r="L78" s="368"/>
      <c r="M78" s="368"/>
      <c r="N78" s="368"/>
      <c r="O78" s="369"/>
      <c r="P78" s="365" t="s">
        <v>40</v>
      </c>
      <c r="Q78" s="366"/>
      <c r="R78" s="366"/>
      <c r="S78" s="366"/>
      <c r="T78" s="366"/>
      <c r="U78" s="366"/>
      <c r="V78" s="367"/>
      <c r="W78" s="42" t="s">
        <v>39</v>
      </c>
      <c r="X78" s="43">
        <f>IFERROR(SUM(X75:X77),"0")</f>
        <v>0</v>
      </c>
      <c r="Y78" s="43">
        <f>IFERROR(SUM(Y75:Y77),"0")</f>
        <v>0</v>
      </c>
      <c r="Z78" s="43">
        <f>IFERROR(IF(Z75="",0,Z75),"0")+IFERROR(IF(Z76="",0,Z76),"0")+IFERROR(IF(Z77="",0,Z77),"0")</f>
        <v>0</v>
      </c>
      <c r="AA78" s="67"/>
      <c r="AB78" s="67"/>
      <c r="AC78" s="67"/>
    </row>
    <row r="79" spans="1:68" ht="12.75" hidden="1" customHeight="1" x14ac:dyDescent="0.2">
      <c r="A79" s="368"/>
      <c r="B79" s="368"/>
      <c r="C79" s="368"/>
      <c r="D79" s="368"/>
      <c r="E79" s="368"/>
      <c r="F79" s="368"/>
      <c r="G79" s="368"/>
      <c r="H79" s="368"/>
      <c r="I79" s="368"/>
      <c r="J79" s="368"/>
      <c r="K79" s="368"/>
      <c r="L79" s="368"/>
      <c r="M79" s="368"/>
      <c r="N79" s="368"/>
      <c r="O79" s="369"/>
      <c r="P79" s="365" t="s">
        <v>40</v>
      </c>
      <c r="Q79" s="366"/>
      <c r="R79" s="366"/>
      <c r="S79" s="366"/>
      <c r="T79" s="366"/>
      <c r="U79" s="366"/>
      <c r="V79" s="367"/>
      <c r="W79" s="42" t="s">
        <v>0</v>
      </c>
      <c r="X79" s="43">
        <f>IFERROR(SUMPRODUCT(X75:X77*H75:H77),"0")</f>
        <v>0</v>
      </c>
      <c r="Y79" s="43">
        <f>IFERROR(SUMPRODUCT(Y75:Y77*H75:H77),"0")</f>
        <v>0</v>
      </c>
      <c r="Z79" s="42"/>
      <c r="AA79" s="67"/>
      <c r="AB79" s="67"/>
      <c r="AC79" s="67"/>
    </row>
    <row r="80" spans="1:68" ht="16.5" hidden="1" customHeight="1" x14ac:dyDescent="0.25">
      <c r="A80" s="352" t="s">
        <v>164</v>
      </c>
      <c r="B80" s="352"/>
      <c r="C80" s="352"/>
      <c r="D80" s="352"/>
      <c r="E80" s="352"/>
      <c r="F80" s="352"/>
      <c r="G80" s="352"/>
      <c r="H80" s="352"/>
      <c r="I80" s="352"/>
      <c r="J80" s="352"/>
      <c r="K80" s="352"/>
      <c r="L80" s="352"/>
      <c r="M80" s="352"/>
      <c r="N80" s="352"/>
      <c r="O80" s="352"/>
      <c r="P80" s="352"/>
      <c r="Q80" s="352"/>
      <c r="R80" s="352"/>
      <c r="S80" s="352"/>
      <c r="T80" s="352"/>
      <c r="U80" s="352"/>
      <c r="V80" s="352"/>
      <c r="W80" s="352"/>
      <c r="X80" s="352"/>
      <c r="Y80" s="352"/>
      <c r="Z80" s="352"/>
      <c r="AA80" s="65"/>
      <c r="AB80" s="65"/>
      <c r="AC80" s="82"/>
    </row>
    <row r="81" spans="1:68" ht="14.25" hidden="1" customHeight="1" x14ac:dyDescent="0.25">
      <c r="A81" s="353" t="s">
        <v>82</v>
      </c>
      <c r="B81" s="353"/>
      <c r="C81" s="353"/>
      <c r="D81" s="353"/>
      <c r="E81" s="353"/>
      <c r="F81" s="353"/>
      <c r="G81" s="353"/>
      <c r="H81" s="353"/>
      <c r="I81" s="353"/>
      <c r="J81" s="353"/>
      <c r="K81" s="353"/>
      <c r="L81" s="353"/>
      <c r="M81" s="353"/>
      <c r="N81" s="353"/>
      <c r="O81" s="353"/>
      <c r="P81" s="353"/>
      <c r="Q81" s="353"/>
      <c r="R81" s="353"/>
      <c r="S81" s="353"/>
      <c r="T81" s="353"/>
      <c r="U81" s="353"/>
      <c r="V81" s="353"/>
      <c r="W81" s="353"/>
      <c r="X81" s="353"/>
      <c r="Y81" s="353"/>
      <c r="Z81" s="353"/>
      <c r="AA81" s="66"/>
      <c r="AB81" s="66"/>
      <c r="AC81" s="83"/>
    </row>
    <row r="82" spans="1:68" ht="27" hidden="1" customHeight="1" x14ac:dyDescent="0.25">
      <c r="A82" s="63" t="s">
        <v>165</v>
      </c>
      <c r="B82" s="63" t="s">
        <v>166</v>
      </c>
      <c r="C82" s="36">
        <v>4301070977</v>
      </c>
      <c r="D82" s="354">
        <v>4607111037411</v>
      </c>
      <c r="E82" s="354"/>
      <c r="F82" s="62">
        <v>2.7</v>
      </c>
      <c r="G82" s="37">
        <v>1</v>
      </c>
      <c r="H82" s="62">
        <v>2.7</v>
      </c>
      <c r="I82" s="62">
        <v>2.8132000000000001</v>
      </c>
      <c r="J82" s="37">
        <v>234</v>
      </c>
      <c r="K82" s="37" t="s">
        <v>168</v>
      </c>
      <c r="L82" s="37" t="s">
        <v>118</v>
      </c>
      <c r="M82" s="38" t="s">
        <v>86</v>
      </c>
      <c r="N82" s="38"/>
      <c r="O82" s="37">
        <v>180</v>
      </c>
      <c r="P82" s="388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356"/>
      <c r="R82" s="356"/>
      <c r="S82" s="356"/>
      <c r="T82" s="357"/>
      <c r="U82" s="39" t="s">
        <v>46</v>
      </c>
      <c r="V82" s="39" t="s">
        <v>46</v>
      </c>
      <c r="W82" s="40" t="s">
        <v>39</v>
      </c>
      <c r="X82" s="58"/>
      <c r="Y82" s="55" t="str">
        <f>IFERROR(IF(X82="","",X82),"")</f>
        <v/>
      </c>
      <c r="Z82" s="41" t="str">
        <f>IFERROR(IF(X82="","",X82*0.00502),"")</f>
        <v/>
      </c>
      <c r="AA82" s="68" t="s">
        <v>46</v>
      </c>
      <c r="AB82" s="69" t="s">
        <v>46</v>
      </c>
      <c r="AC82" s="141" t="s">
        <v>167</v>
      </c>
      <c r="AG82" s="81"/>
      <c r="AJ82" s="87" t="s">
        <v>119</v>
      </c>
      <c r="AK82" s="87">
        <v>18</v>
      </c>
      <c r="BB82" s="142" t="s">
        <v>70</v>
      </c>
      <c r="BM82" s="81">
        <f>IFERROR(X82*I82,"0")</f>
        <v>0</v>
      </c>
      <c r="BN82" s="81" t="str">
        <f>IFERROR(Y82*I82,"0")</f>
        <v>0</v>
      </c>
      <c r="BO82" s="81">
        <f>IFERROR(X82/J82,"0")</f>
        <v>0</v>
      </c>
      <c r="BP82" s="81" t="str">
        <f>IFERROR(Y82/J82,"0")</f>
        <v>0</v>
      </c>
    </row>
    <row r="83" spans="1:68" ht="27" hidden="1" customHeight="1" x14ac:dyDescent="0.25">
      <c r="A83" s="63" t="s">
        <v>169</v>
      </c>
      <c r="B83" s="63" t="s">
        <v>170</v>
      </c>
      <c r="C83" s="36">
        <v>4301070981</v>
      </c>
      <c r="D83" s="354">
        <v>4607111036728</v>
      </c>
      <c r="E83" s="354"/>
      <c r="F83" s="62">
        <v>5</v>
      </c>
      <c r="G83" s="37">
        <v>1</v>
      </c>
      <c r="H83" s="62">
        <v>5</v>
      </c>
      <c r="I83" s="62">
        <v>5.2131999999999996</v>
      </c>
      <c r="J83" s="37">
        <v>144</v>
      </c>
      <c r="K83" s="37" t="s">
        <v>87</v>
      </c>
      <c r="L83" s="37" t="s">
        <v>118</v>
      </c>
      <c r="M83" s="38" t="s">
        <v>86</v>
      </c>
      <c r="N83" s="38"/>
      <c r="O83" s="37">
        <v>180</v>
      </c>
      <c r="P83" s="389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356"/>
      <c r="R83" s="356"/>
      <c r="S83" s="356"/>
      <c r="T83" s="357"/>
      <c r="U83" s="39" t="s">
        <v>46</v>
      </c>
      <c r="V83" s="39" t="s">
        <v>46</v>
      </c>
      <c r="W83" s="40" t="s">
        <v>39</v>
      </c>
      <c r="X83" s="58">
        <v>0</v>
      </c>
      <c r="Y83" s="55">
        <f>IFERROR(IF(X83="","",X83),"")</f>
        <v>0</v>
      </c>
      <c r="Z83" s="41">
        <f>IFERROR(IF(X83="","",X83*0.00866),"")</f>
        <v>0</v>
      </c>
      <c r="AA83" s="68" t="s">
        <v>46</v>
      </c>
      <c r="AB83" s="69" t="s">
        <v>46</v>
      </c>
      <c r="AC83" s="143" t="s">
        <v>167</v>
      </c>
      <c r="AG83" s="81"/>
      <c r="AJ83" s="87" t="s">
        <v>119</v>
      </c>
      <c r="AK83" s="87">
        <v>12</v>
      </c>
      <c r="BB83" s="144" t="s">
        <v>70</v>
      </c>
      <c r="BM83" s="81">
        <f>IFERROR(X83*I83,"0")</f>
        <v>0</v>
      </c>
      <c r="BN83" s="81">
        <f>IFERROR(Y83*I83,"0")</f>
        <v>0</v>
      </c>
      <c r="BO83" s="81">
        <f>IFERROR(X83/J83,"0")</f>
        <v>0</v>
      </c>
      <c r="BP83" s="81">
        <f>IFERROR(Y83/J83,"0")</f>
        <v>0</v>
      </c>
    </row>
    <row r="84" spans="1:68" hidden="1" x14ac:dyDescent="0.2">
      <c r="A84" s="368"/>
      <c r="B84" s="368"/>
      <c r="C84" s="368"/>
      <c r="D84" s="368"/>
      <c r="E84" s="368"/>
      <c r="F84" s="368"/>
      <c r="G84" s="368"/>
      <c r="H84" s="368"/>
      <c r="I84" s="368"/>
      <c r="J84" s="368"/>
      <c r="K84" s="368"/>
      <c r="L84" s="368"/>
      <c r="M84" s="368"/>
      <c r="N84" s="368"/>
      <c r="O84" s="369"/>
      <c r="P84" s="365" t="s">
        <v>40</v>
      </c>
      <c r="Q84" s="366"/>
      <c r="R84" s="366"/>
      <c r="S84" s="366"/>
      <c r="T84" s="366"/>
      <c r="U84" s="366"/>
      <c r="V84" s="367"/>
      <c r="W84" s="42" t="s">
        <v>39</v>
      </c>
      <c r="X84" s="43">
        <f>IFERROR(SUM(X82:X83),"0")</f>
        <v>0</v>
      </c>
      <c r="Y84" s="43">
        <f>IFERROR(SUM(Y82:Y83),"0")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368"/>
      <c r="B85" s="368"/>
      <c r="C85" s="368"/>
      <c r="D85" s="368"/>
      <c r="E85" s="368"/>
      <c r="F85" s="368"/>
      <c r="G85" s="368"/>
      <c r="H85" s="368"/>
      <c r="I85" s="368"/>
      <c r="J85" s="368"/>
      <c r="K85" s="368"/>
      <c r="L85" s="368"/>
      <c r="M85" s="368"/>
      <c r="N85" s="368"/>
      <c r="O85" s="369"/>
      <c r="P85" s="365" t="s">
        <v>40</v>
      </c>
      <c r="Q85" s="366"/>
      <c r="R85" s="366"/>
      <c r="S85" s="366"/>
      <c r="T85" s="366"/>
      <c r="U85" s="366"/>
      <c r="V85" s="367"/>
      <c r="W85" s="42" t="s">
        <v>0</v>
      </c>
      <c r="X85" s="43">
        <f>IFERROR(SUMPRODUCT(X82:X83*H82:H83),"0")</f>
        <v>0</v>
      </c>
      <c r="Y85" s="43" t="str">
        <f>IFERROR(SUMPRODUCT(Y82:Y83*H82:H83),"0")</f>
        <v>0</v>
      </c>
      <c r="Z85" s="42"/>
      <c r="AA85" s="67"/>
      <c r="AB85" s="67"/>
      <c r="AC85" s="67"/>
    </row>
    <row r="86" spans="1:68" ht="16.5" hidden="1" customHeight="1" x14ac:dyDescent="0.25">
      <c r="A86" s="352" t="s">
        <v>171</v>
      </c>
      <c r="B86" s="352"/>
      <c r="C86" s="352"/>
      <c r="D86" s="352"/>
      <c r="E86" s="352"/>
      <c r="F86" s="352"/>
      <c r="G86" s="352"/>
      <c r="H86" s="352"/>
      <c r="I86" s="352"/>
      <c r="J86" s="352"/>
      <c r="K86" s="352"/>
      <c r="L86" s="352"/>
      <c r="M86" s="352"/>
      <c r="N86" s="352"/>
      <c r="O86" s="352"/>
      <c r="P86" s="352"/>
      <c r="Q86" s="352"/>
      <c r="R86" s="352"/>
      <c r="S86" s="352"/>
      <c r="T86" s="352"/>
      <c r="U86" s="352"/>
      <c r="V86" s="352"/>
      <c r="W86" s="352"/>
      <c r="X86" s="352"/>
      <c r="Y86" s="352"/>
      <c r="Z86" s="352"/>
      <c r="AA86" s="65"/>
      <c r="AB86" s="65"/>
      <c r="AC86" s="82"/>
    </row>
    <row r="87" spans="1:68" ht="14.25" hidden="1" customHeight="1" x14ac:dyDescent="0.25">
      <c r="A87" s="353" t="s">
        <v>156</v>
      </c>
      <c r="B87" s="353"/>
      <c r="C87" s="353"/>
      <c r="D87" s="353"/>
      <c r="E87" s="353"/>
      <c r="F87" s="353"/>
      <c r="G87" s="353"/>
      <c r="H87" s="353"/>
      <c r="I87" s="353"/>
      <c r="J87" s="353"/>
      <c r="K87" s="353"/>
      <c r="L87" s="353"/>
      <c r="M87" s="353"/>
      <c r="N87" s="353"/>
      <c r="O87" s="353"/>
      <c r="P87" s="353"/>
      <c r="Q87" s="353"/>
      <c r="R87" s="353"/>
      <c r="S87" s="353"/>
      <c r="T87" s="353"/>
      <c r="U87" s="353"/>
      <c r="V87" s="353"/>
      <c r="W87" s="353"/>
      <c r="X87" s="353"/>
      <c r="Y87" s="353"/>
      <c r="Z87" s="353"/>
      <c r="AA87" s="66"/>
      <c r="AB87" s="66"/>
      <c r="AC87" s="83"/>
    </row>
    <row r="88" spans="1:68" ht="27" customHeight="1" x14ac:dyDescent="0.25">
      <c r="A88" s="63" t="s">
        <v>172</v>
      </c>
      <c r="B88" s="63" t="s">
        <v>173</v>
      </c>
      <c r="C88" s="36">
        <v>4301135574</v>
      </c>
      <c r="D88" s="354">
        <v>4607111033659</v>
      </c>
      <c r="E88" s="354"/>
      <c r="F88" s="62">
        <v>0.3</v>
      </c>
      <c r="G88" s="37">
        <v>12</v>
      </c>
      <c r="H88" s="62">
        <v>3.6</v>
      </c>
      <c r="I88" s="62">
        <v>4.3036000000000003</v>
      </c>
      <c r="J88" s="37">
        <v>70</v>
      </c>
      <c r="K88" s="37" t="s">
        <v>117</v>
      </c>
      <c r="L88" s="37" t="s">
        <v>118</v>
      </c>
      <c r="M88" s="38" t="s">
        <v>86</v>
      </c>
      <c r="N88" s="38"/>
      <c r="O88" s="37">
        <v>180</v>
      </c>
      <c r="P88" s="390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356"/>
      <c r="R88" s="356"/>
      <c r="S88" s="356"/>
      <c r="T88" s="357"/>
      <c r="U88" s="39" t="s">
        <v>46</v>
      </c>
      <c r="V88" s="39" t="s">
        <v>46</v>
      </c>
      <c r="W88" s="40" t="s">
        <v>39</v>
      </c>
      <c r="X88" s="58">
        <v>14</v>
      </c>
      <c r="Y88" s="55">
        <f>IFERROR(IF(X88="","",X88),"")</f>
        <v>14</v>
      </c>
      <c r="Z88" s="41">
        <f>IFERROR(IF(X88="","",X88*0.01788),"")</f>
        <v>0.25031999999999999</v>
      </c>
      <c r="AA88" s="68" t="s">
        <v>46</v>
      </c>
      <c r="AB88" s="69" t="s">
        <v>46</v>
      </c>
      <c r="AC88" s="145" t="s">
        <v>174</v>
      </c>
      <c r="AG88" s="81"/>
      <c r="AJ88" s="87" t="s">
        <v>119</v>
      </c>
      <c r="AK88" s="87">
        <v>14</v>
      </c>
      <c r="BB88" s="146" t="s">
        <v>116</v>
      </c>
      <c r="BM88" s="81">
        <f>IFERROR(X88*I88,"0")</f>
        <v>60.250400000000006</v>
      </c>
      <c r="BN88" s="81">
        <f>IFERROR(Y88*I88,"0")</f>
        <v>60.250400000000006</v>
      </c>
      <c r="BO88" s="81">
        <f>IFERROR(X88/J88,"0")</f>
        <v>0.2</v>
      </c>
      <c r="BP88" s="81">
        <f>IFERROR(Y88/J88,"0")</f>
        <v>0.2</v>
      </c>
    </row>
    <row r="89" spans="1:68" ht="12.75" customHeight="1" x14ac:dyDescent="0.2">
      <c r="A89" s="368"/>
      <c r="B89" s="368"/>
      <c r="C89" s="368"/>
      <c r="D89" s="368"/>
      <c r="E89" s="368"/>
      <c r="F89" s="368"/>
      <c r="G89" s="368"/>
      <c r="H89" s="368"/>
      <c r="I89" s="368"/>
      <c r="J89" s="368"/>
      <c r="K89" s="368"/>
      <c r="L89" s="368"/>
      <c r="M89" s="368"/>
      <c r="N89" s="368"/>
      <c r="O89" s="369"/>
      <c r="P89" s="365" t="s">
        <v>40</v>
      </c>
      <c r="Q89" s="366"/>
      <c r="R89" s="366"/>
      <c r="S89" s="366"/>
      <c r="T89" s="366"/>
      <c r="U89" s="366"/>
      <c r="V89" s="367"/>
      <c r="W89" s="42" t="s">
        <v>39</v>
      </c>
      <c r="X89" s="43">
        <f>IFERROR(SUM(X88:X88),"0")</f>
        <v>14</v>
      </c>
      <c r="Y89" s="43">
        <f>IFERROR(SUM(Y88:Y88),"0")</f>
        <v>14</v>
      </c>
      <c r="Z89" s="43">
        <f>IFERROR(IF(Z88="",0,Z88),"0")</f>
        <v>0.25031999999999999</v>
      </c>
      <c r="AA89" s="67"/>
      <c r="AB89" s="67"/>
      <c r="AC89" s="67"/>
    </row>
    <row r="90" spans="1:68" ht="12.75" customHeight="1" x14ac:dyDescent="0.2">
      <c r="A90" s="368"/>
      <c r="B90" s="368"/>
      <c r="C90" s="368"/>
      <c r="D90" s="368"/>
      <c r="E90" s="368"/>
      <c r="F90" s="368"/>
      <c r="G90" s="368"/>
      <c r="H90" s="368"/>
      <c r="I90" s="368"/>
      <c r="J90" s="368"/>
      <c r="K90" s="368"/>
      <c r="L90" s="368"/>
      <c r="M90" s="368"/>
      <c r="N90" s="368"/>
      <c r="O90" s="369"/>
      <c r="P90" s="365" t="s">
        <v>40</v>
      </c>
      <c r="Q90" s="366"/>
      <c r="R90" s="366"/>
      <c r="S90" s="366"/>
      <c r="T90" s="366"/>
      <c r="U90" s="366"/>
      <c r="V90" s="367"/>
      <c r="W90" s="42" t="s">
        <v>0</v>
      </c>
      <c r="X90" s="43">
        <f>IFERROR(SUMPRODUCT(X88:X88*H88:H88),"0")</f>
        <v>50.4</v>
      </c>
      <c r="Y90" s="43">
        <f>IFERROR(SUMPRODUCT(Y88:Y88*H88:H88),"0")</f>
        <v>50.4</v>
      </c>
      <c r="Z90" s="42"/>
      <c r="AA90" s="67"/>
      <c r="AB90" s="67"/>
      <c r="AC90" s="67"/>
    </row>
    <row r="91" spans="1:68" ht="16.5" hidden="1" customHeight="1" x14ac:dyDescent="0.25">
      <c r="A91" s="352" t="s">
        <v>175</v>
      </c>
      <c r="B91" s="352"/>
      <c r="C91" s="352"/>
      <c r="D91" s="352"/>
      <c r="E91" s="352"/>
      <c r="F91" s="352"/>
      <c r="G91" s="352"/>
      <c r="H91" s="352"/>
      <c r="I91" s="352"/>
      <c r="J91" s="352"/>
      <c r="K91" s="352"/>
      <c r="L91" s="352"/>
      <c r="M91" s="352"/>
      <c r="N91" s="352"/>
      <c r="O91" s="352"/>
      <c r="P91" s="352"/>
      <c r="Q91" s="352"/>
      <c r="R91" s="352"/>
      <c r="S91" s="352"/>
      <c r="T91" s="352"/>
      <c r="U91" s="352"/>
      <c r="V91" s="352"/>
      <c r="W91" s="352"/>
      <c r="X91" s="352"/>
      <c r="Y91" s="352"/>
      <c r="Z91" s="352"/>
      <c r="AA91" s="65"/>
      <c r="AB91" s="65"/>
      <c r="AC91" s="82"/>
    </row>
    <row r="92" spans="1:68" ht="14.25" hidden="1" customHeight="1" x14ac:dyDescent="0.25">
      <c r="A92" s="353" t="s">
        <v>176</v>
      </c>
      <c r="B92" s="353"/>
      <c r="C92" s="353"/>
      <c r="D92" s="353"/>
      <c r="E92" s="353"/>
      <c r="F92" s="353"/>
      <c r="G92" s="353"/>
      <c r="H92" s="353"/>
      <c r="I92" s="353"/>
      <c r="J92" s="353"/>
      <c r="K92" s="353"/>
      <c r="L92" s="353"/>
      <c r="M92" s="353"/>
      <c r="N92" s="353"/>
      <c r="O92" s="353"/>
      <c r="P92" s="353"/>
      <c r="Q92" s="353"/>
      <c r="R92" s="353"/>
      <c r="S92" s="353"/>
      <c r="T92" s="353"/>
      <c r="U92" s="353"/>
      <c r="V92" s="353"/>
      <c r="W92" s="353"/>
      <c r="X92" s="353"/>
      <c r="Y92" s="353"/>
      <c r="Z92" s="353"/>
      <c r="AA92" s="66"/>
      <c r="AB92" s="66"/>
      <c r="AC92" s="83"/>
    </row>
    <row r="93" spans="1:68" ht="27" customHeight="1" x14ac:dyDescent="0.25">
      <c r="A93" s="63" t="s">
        <v>177</v>
      </c>
      <c r="B93" s="63" t="s">
        <v>178</v>
      </c>
      <c r="C93" s="36">
        <v>4301131047</v>
      </c>
      <c r="D93" s="354">
        <v>4607111034120</v>
      </c>
      <c r="E93" s="354"/>
      <c r="F93" s="62">
        <v>0.3</v>
      </c>
      <c r="G93" s="37">
        <v>12</v>
      </c>
      <c r="H93" s="62">
        <v>3.6</v>
      </c>
      <c r="I93" s="62">
        <v>4.3036000000000003</v>
      </c>
      <c r="J93" s="37">
        <v>70</v>
      </c>
      <c r="K93" s="37" t="s">
        <v>117</v>
      </c>
      <c r="L93" s="37" t="s">
        <v>118</v>
      </c>
      <c r="M93" s="38" t="s">
        <v>86</v>
      </c>
      <c r="N93" s="38"/>
      <c r="O93" s="37">
        <v>180</v>
      </c>
      <c r="P93" s="391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356"/>
      <c r="R93" s="356"/>
      <c r="S93" s="356"/>
      <c r="T93" s="357"/>
      <c r="U93" s="39" t="s">
        <v>46</v>
      </c>
      <c r="V93" s="39" t="s">
        <v>46</v>
      </c>
      <c r="W93" s="40" t="s">
        <v>39</v>
      </c>
      <c r="X93" s="58">
        <v>56</v>
      </c>
      <c r="Y93" s="55">
        <f>IFERROR(IF(X93="","",X93),"")</f>
        <v>56</v>
      </c>
      <c r="Z93" s="41">
        <f>IFERROR(IF(X93="","",X93*0.01788),"")</f>
        <v>1.0012799999999999</v>
      </c>
      <c r="AA93" s="68" t="s">
        <v>46</v>
      </c>
      <c r="AB93" s="69" t="s">
        <v>46</v>
      </c>
      <c r="AC93" s="147" t="s">
        <v>179</v>
      </c>
      <c r="AG93" s="81"/>
      <c r="AJ93" s="87" t="s">
        <v>119</v>
      </c>
      <c r="AK93" s="87">
        <v>14</v>
      </c>
      <c r="BB93" s="148" t="s">
        <v>116</v>
      </c>
      <c r="BM93" s="81">
        <f>IFERROR(X93*I93,"0")</f>
        <v>241.00160000000002</v>
      </c>
      <c r="BN93" s="81">
        <f>IFERROR(Y93*I93,"0")</f>
        <v>241.00160000000002</v>
      </c>
      <c r="BO93" s="81">
        <f>IFERROR(X93/J93,"0")</f>
        <v>0.8</v>
      </c>
      <c r="BP93" s="81">
        <f>IFERROR(Y93/J93,"0")</f>
        <v>0.8</v>
      </c>
    </row>
    <row r="94" spans="1:68" ht="27" customHeight="1" x14ac:dyDescent="0.25">
      <c r="A94" s="63" t="s">
        <v>180</v>
      </c>
      <c r="B94" s="63" t="s">
        <v>181</v>
      </c>
      <c r="C94" s="36">
        <v>4301131046</v>
      </c>
      <c r="D94" s="354">
        <v>4607111034137</v>
      </c>
      <c r="E94" s="354"/>
      <c r="F94" s="62">
        <v>0.3</v>
      </c>
      <c r="G94" s="37">
        <v>12</v>
      </c>
      <c r="H94" s="62">
        <v>3.6</v>
      </c>
      <c r="I94" s="62">
        <v>4.3036000000000003</v>
      </c>
      <c r="J94" s="37">
        <v>70</v>
      </c>
      <c r="K94" s="37" t="s">
        <v>117</v>
      </c>
      <c r="L94" s="37" t="s">
        <v>118</v>
      </c>
      <c r="M94" s="38" t="s">
        <v>86</v>
      </c>
      <c r="N94" s="38"/>
      <c r="O94" s="37">
        <v>180</v>
      </c>
      <c r="P94" s="392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356"/>
      <c r="R94" s="356"/>
      <c r="S94" s="356"/>
      <c r="T94" s="357"/>
      <c r="U94" s="39" t="s">
        <v>46</v>
      </c>
      <c r="V94" s="39" t="s">
        <v>46</v>
      </c>
      <c r="W94" s="40" t="s">
        <v>39</v>
      </c>
      <c r="X94" s="58">
        <v>28</v>
      </c>
      <c r="Y94" s="55">
        <f>IFERROR(IF(X94="","",X94),"")</f>
        <v>28</v>
      </c>
      <c r="Z94" s="41">
        <f>IFERROR(IF(X94="","",X94*0.01788),"")</f>
        <v>0.50063999999999997</v>
      </c>
      <c r="AA94" s="68" t="s">
        <v>46</v>
      </c>
      <c r="AB94" s="69" t="s">
        <v>46</v>
      </c>
      <c r="AC94" s="149" t="s">
        <v>182</v>
      </c>
      <c r="AG94" s="81"/>
      <c r="AJ94" s="87" t="s">
        <v>119</v>
      </c>
      <c r="AK94" s="87">
        <v>14</v>
      </c>
      <c r="BB94" s="150" t="s">
        <v>116</v>
      </c>
      <c r="BM94" s="81">
        <f>IFERROR(X94*I94,"0")</f>
        <v>120.50080000000001</v>
      </c>
      <c r="BN94" s="81">
        <f>IFERROR(Y94*I94,"0")</f>
        <v>120.50080000000001</v>
      </c>
      <c r="BO94" s="81">
        <f>IFERROR(X94/J94,"0")</f>
        <v>0.4</v>
      </c>
      <c r="BP94" s="81">
        <f>IFERROR(Y94/J94,"0")</f>
        <v>0.4</v>
      </c>
    </row>
    <row r="95" spans="1:68" x14ac:dyDescent="0.2">
      <c r="A95" s="368"/>
      <c r="B95" s="368"/>
      <c r="C95" s="368"/>
      <c r="D95" s="368"/>
      <c r="E95" s="368"/>
      <c r="F95" s="368"/>
      <c r="G95" s="368"/>
      <c r="H95" s="368"/>
      <c r="I95" s="368"/>
      <c r="J95" s="368"/>
      <c r="K95" s="368"/>
      <c r="L95" s="368"/>
      <c r="M95" s="368"/>
      <c r="N95" s="368"/>
      <c r="O95" s="369"/>
      <c r="P95" s="365" t="s">
        <v>40</v>
      </c>
      <c r="Q95" s="366"/>
      <c r="R95" s="366"/>
      <c r="S95" s="366"/>
      <c r="T95" s="366"/>
      <c r="U95" s="366"/>
      <c r="V95" s="367"/>
      <c r="W95" s="42" t="s">
        <v>39</v>
      </c>
      <c r="X95" s="43">
        <f>IFERROR(SUM(X93:X94),"0")</f>
        <v>84</v>
      </c>
      <c r="Y95" s="43">
        <f>IFERROR(SUM(Y93:Y94),"0")</f>
        <v>84</v>
      </c>
      <c r="Z95" s="43">
        <f>IFERROR(IF(Z93="",0,Z93),"0")+IFERROR(IF(Z94="",0,Z94),"0")</f>
        <v>1.5019199999999999</v>
      </c>
      <c r="AA95" s="67"/>
      <c r="AB95" s="67"/>
      <c r="AC95" s="67"/>
    </row>
    <row r="96" spans="1:68" x14ac:dyDescent="0.2">
      <c r="A96" s="368"/>
      <c r="B96" s="368"/>
      <c r="C96" s="368"/>
      <c r="D96" s="368"/>
      <c r="E96" s="368"/>
      <c r="F96" s="368"/>
      <c r="G96" s="368"/>
      <c r="H96" s="368"/>
      <c r="I96" s="368"/>
      <c r="J96" s="368"/>
      <c r="K96" s="368"/>
      <c r="L96" s="368"/>
      <c r="M96" s="368"/>
      <c r="N96" s="368"/>
      <c r="O96" s="369"/>
      <c r="P96" s="365" t="s">
        <v>40</v>
      </c>
      <c r="Q96" s="366"/>
      <c r="R96" s="366"/>
      <c r="S96" s="366"/>
      <c r="T96" s="366"/>
      <c r="U96" s="366"/>
      <c r="V96" s="367"/>
      <c r="W96" s="42" t="s">
        <v>0</v>
      </c>
      <c r="X96" s="43">
        <f>IFERROR(SUMPRODUCT(X93:X94*H93:H94),"0")</f>
        <v>302.39999999999998</v>
      </c>
      <c r="Y96" s="43">
        <f>IFERROR(SUMPRODUCT(Y93:Y94*H93:H94),"0")</f>
        <v>302.39999999999998</v>
      </c>
      <c r="Z96" s="42"/>
      <c r="AA96" s="67"/>
      <c r="AB96" s="67"/>
      <c r="AC96" s="67"/>
    </row>
    <row r="97" spans="1:68" ht="16.5" hidden="1" customHeight="1" x14ac:dyDescent="0.25">
      <c r="A97" s="352" t="s">
        <v>183</v>
      </c>
      <c r="B97" s="352"/>
      <c r="C97" s="352"/>
      <c r="D97" s="352"/>
      <c r="E97" s="352"/>
      <c r="F97" s="352"/>
      <c r="G97" s="352"/>
      <c r="H97" s="352"/>
      <c r="I97" s="352"/>
      <c r="J97" s="352"/>
      <c r="K97" s="352"/>
      <c r="L97" s="352"/>
      <c r="M97" s="352"/>
      <c r="N97" s="352"/>
      <c r="O97" s="352"/>
      <c r="P97" s="352"/>
      <c r="Q97" s="352"/>
      <c r="R97" s="352"/>
      <c r="S97" s="352"/>
      <c r="T97" s="352"/>
      <c r="U97" s="352"/>
      <c r="V97" s="352"/>
      <c r="W97" s="352"/>
      <c r="X97" s="352"/>
      <c r="Y97" s="352"/>
      <c r="Z97" s="352"/>
      <c r="AA97" s="65"/>
      <c r="AB97" s="65"/>
      <c r="AC97" s="82"/>
    </row>
    <row r="98" spans="1:68" ht="14.25" hidden="1" customHeight="1" x14ac:dyDescent="0.25">
      <c r="A98" s="353" t="s">
        <v>156</v>
      </c>
      <c r="B98" s="353"/>
      <c r="C98" s="353"/>
      <c r="D98" s="353"/>
      <c r="E98" s="353"/>
      <c r="F98" s="353"/>
      <c r="G98" s="353"/>
      <c r="H98" s="353"/>
      <c r="I98" s="353"/>
      <c r="J98" s="353"/>
      <c r="K98" s="353"/>
      <c r="L98" s="353"/>
      <c r="M98" s="353"/>
      <c r="N98" s="353"/>
      <c r="O98" s="353"/>
      <c r="P98" s="353"/>
      <c r="Q98" s="353"/>
      <c r="R98" s="353"/>
      <c r="S98" s="353"/>
      <c r="T98" s="353"/>
      <c r="U98" s="353"/>
      <c r="V98" s="353"/>
      <c r="W98" s="353"/>
      <c r="X98" s="353"/>
      <c r="Y98" s="353"/>
      <c r="Z98" s="353"/>
      <c r="AA98" s="66"/>
      <c r="AB98" s="66"/>
      <c r="AC98" s="83"/>
    </row>
    <row r="99" spans="1:68" ht="27" customHeight="1" x14ac:dyDescent="0.25">
      <c r="A99" s="63" t="s">
        <v>184</v>
      </c>
      <c r="B99" s="63" t="s">
        <v>185</v>
      </c>
      <c r="C99" s="36">
        <v>4301135763</v>
      </c>
      <c r="D99" s="354">
        <v>4620207491027</v>
      </c>
      <c r="E99" s="354"/>
      <c r="F99" s="62">
        <v>0.24</v>
      </c>
      <c r="G99" s="37">
        <v>12</v>
      </c>
      <c r="H99" s="62">
        <v>2.88</v>
      </c>
      <c r="I99" s="62">
        <v>3.5836000000000001</v>
      </c>
      <c r="J99" s="37">
        <v>70</v>
      </c>
      <c r="K99" s="37" t="s">
        <v>117</v>
      </c>
      <c r="L99" s="37" t="s">
        <v>118</v>
      </c>
      <c r="M99" s="38" t="s">
        <v>86</v>
      </c>
      <c r="N99" s="38"/>
      <c r="O99" s="37">
        <v>180</v>
      </c>
      <c r="P99" s="39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356"/>
      <c r="R99" s="356"/>
      <c r="S99" s="356"/>
      <c r="T99" s="357"/>
      <c r="U99" s="39" t="s">
        <v>46</v>
      </c>
      <c r="V99" s="39" t="s">
        <v>46</v>
      </c>
      <c r="W99" s="40" t="s">
        <v>39</v>
      </c>
      <c r="X99" s="58">
        <v>42</v>
      </c>
      <c r="Y99" s="55">
        <f t="shared" ref="Y99:Y104" si="6">IFERROR(IF(X99="","",X99),"")</f>
        <v>42</v>
      </c>
      <c r="Z99" s="41">
        <f t="shared" ref="Z99:Z104" si="7">IFERROR(IF(X99="","",X99*0.01788),"")</f>
        <v>0.75095999999999996</v>
      </c>
      <c r="AA99" s="68" t="s">
        <v>46</v>
      </c>
      <c r="AB99" s="69" t="s">
        <v>46</v>
      </c>
      <c r="AC99" s="151" t="s">
        <v>174</v>
      </c>
      <c r="AG99" s="81"/>
      <c r="AJ99" s="87" t="s">
        <v>119</v>
      </c>
      <c r="AK99" s="87">
        <v>14</v>
      </c>
      <c r="BB99" s="152" t="s">
        <v>116</v>
      </c>
      <c r="BM99" s="81">
        <f t="shared" ref="BM99:BM104" si="8">IFERROR(X99*I99,"0")</f>
        <v>150.5112</v>
      </c>
      <c r="BN99" s="81">
        <f t="shared" ref="BN99:BN104" si="9">IFERROR(Y99*I99,"0")</f>
        <v>150.5112</v>
      </c>
      <c r="BO99" s="81">
        <f t="shared" ref="BO99:BO104" si="10">IFERROR(X99/J99,"0")</f>
        <v>0.6</v>
      </c>
      <c r="BP99" s="81">
        <f t="shared" ref="BP99:BP104" si="11">IFERROR(Y99/J99,"0")</f>
        <v>0.6</v>
      </c>
    </row>
    <row r="100" spans="1:68" ht="27" customHeight="1" x14ac:dyDescent="0.25">
      <c r="A100" s="63" t="s">
        <v>186</v>
      </c>
      <c r="B100" s="63" t="s">
        <v>187</v>
      </c>
      <c r="C100" s="36">
        <v>4301135793</v>
      </c>
      <c r="D100" s="354">
        <v>4620207491003</v>
      </c>
      <c r="E100" s="354"/>
      <c r="F100" s="62">
        <v>0.24</v>
      </c>
      <c r="G100" s="37">
        <v>12</v>
      </c>
      <c r="H100" s="62">
        <v>2.88</v>
      </c>
      <c r="I100" s="62">
        <v>3.5836000000000001</v>
      </c>
      <c r="J100" s="37">
        <v>70</v>
      </c>
      <c r="K100" s="37" t="s">
        <v>117</v>
      </c>
      <c r="L100" s="37" t="s">
        <v>118</v>
      </c>
      <c r="M100" s="38" t="s">
        <v>86</v>
      </c>
      <c r="N100" s="38"/>
      <c r="O100" s="37">
        <v>180</v>
      </c>
      <c r="P100" s="394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356"/>
      <c r="R100" s="356"/>
      <c r="S100" s="356"/>
      <c r="T100" s="357"/>
      <c r="U100" s="39" t="s">
        <v>46</v>
      </c>
      <c r="V100" s="39" t="s">
        <v>46</v>
      </c>
      <c r="W100" s="40" t="s">
        <v>39</v>
      </c>
      <c r="X100" s="58">
        <v>28</v>
      </c>
      <c r="Y100" s="55">
        <f t="shared" si="6"/>
        <v>28</v>
      </c>
      <c r="Z100" s="41">
        <f t="shared" si="7"/>
        <v>0.50063999999999997</v>
      </c>
      <c r="AA100" s="68" t="s">
        <v>46</v>
      </c>
      <c r="AB100" s="69" t="s">
        <v>46</v>
      </c>
      <c r="AC100" s="153" t="s">
        <v>174</v>
      </c>
      <c r="AG100" s="81"/>
      <c r="AJ100" s="87" t="s">
        <v>119</v>
      </c>
      <c r="AK100" s="87">
        <v>14</v>
      </c>
      <c r="BB100" s="154" t="s">
        <v>116</v>
      </c>
      <c r="BM100" s="81">
        <f t="shared" si="8"/>
        <v>100.3408</v>
      </c>
      <c r="BN100" s="81">
        <f t="shared" si="9"/>
        <v>100.3408</v>
      </c>
      <c r="BO100" s="81">
        <f t="shared" si="10"/>
        <v>0.4</v>
      </c>
      <c r="BP100" s="81">
        <f t="shared" si="11"/>
        <v>0.4</v>
      </c>
    </row>
    <row r="101" spans="1:68" ht="27" customHeight="1" x14ac:dyDescent="0.25">
      <c r="A101" s="63" t="s">
        <v>188</v>
      </c>
      <c r="B101" s="63" t="s">
        <v>189</v>
      </c>
      <c r="C101" s="36">
        <v>4301135768</v>
      </c>
      <c r="D101" s="354">
        <v>4620207491034</v>
      </c>
      <c r="E101" s="354"/>
      <c r="F101" s="62">
        <v>0.24</v>
      </c>
      <c r="G101" s="37">
        <v>12</v>
      </c>
      <c r="H101" s="62">
        <v>2.88</v>
      </c>
      <c r="I101" s="62">
        <v>3.5836000000000001</v>
      </c>
      <c r="J101" s="37">
        <v>70</v>
      </c>
      <c r="K101" s="37" t="s">
        <v>117</v>
      </c>
      <c r="L101" s="37" t="s">
        <v>118</v>
      </c>
      <c r="M101" s="38" t="s">
        <v>86</v>
      </c>
      <c r="N101" s="38"/>
      <c r="O101" s="37">
        <v>180</v>
      </c>
      <c r="P101" s="395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356"/>
      <c r="R101" s="356"/>
      <c r="S101" s="356"/>
      <c r="T101" s="357"/>
      <c r="U101" s="39" t="s">
        <v>46</v>
      </c>
      <c r="V101" s="39" t="s">
        <v>46</v>
      </c>
      <c r="W101" s="40" t="s">
        <v>39</v>
      </c>
      <c r="X101" s="58">
        <v>28</v>
      </c>
      <c r="Y101" s="55">
        <f t="shared" si="6"/>
        <v>28</v>
      </c>
      <c r="Z101" s="41">
        <f t="shared" si="7"/>
        <v>0.50063999999999997</v>
      </c>
      <c r="AA101" s="68" t="s">
        <v>46</v>
      </c>
      <c r="AB101" s="69" t="s">
        <v>46</v>
      </c>
      <c r="AC101" s="155" t="s">
        <v>190</v>
      </c>
      <c r="AG101" s="81"/>
      <c r="AJ101" s="87" t="s">
        <v>119</v>
      </c>
      <c r="AK101" s="87">
        <v>14</v>
      </c>
      <c r="BB101" s="156" t="s">
        <v>116</v>
      </c>
      <c r="BM101" s="81">
        <f t="shared" si="8"/>
        <v>100.3408</v>
      </c>
      <c r="BN101" s="81">
        <f t="shared" si="9"/>
        <v>100.3408</v>
      </c>
      <c r="BO101" s="81">
        <f t="shared" si="10"/>
        <v>0.4</v>
      </c>
      <c r="BP101" s="81">
        <f t="shared" si="11"/>
        <v>0.4</v>
      </c>
    </row>
    <row r="102" spans="1:68" ht="27" customHeight="1" x14ac:dyDescent="0.25">
      <c r="A102" s="63" t="s">
        <v>191</v>
      </c>
      <c r="B102" s="63" t="s">
        <v>192</v>
      </c>
      <c r="C102" s="36">
        <v>4301135760</v>
      </c>
      <c r="D102" s="354">
        <v>4620207491010</v>
      </c>
      <c r="E102" s="354"/>
      <c r="F102" s="62">
        <v>0.24</v>
      </c>
      <c r="G102" s="37">
        <v>12</v>
      </c>
      <c r="H102" s="62">
        <v>2.88</v>
      </c>
      <c r="I102" s="62">
        <v>3.5836000000000001</v>
      </c>
      <c r="J102" s="37">
        <v>70</v>
      </c>
      <c r="K102" s="37" t="s">
        <v>117</v>
      </c>
      <c r="L102" s="37" t="s">
        <v>118</v>
      </c>
      <c r="M102" s="38" t="s">
        <v>86</v>
      </c>
      <c r="N102" s="38"/>
      <c r="O102" s="37">
        <v>180</v>
      </c>
      <c r="P102" s="396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356"/>
      <c r="R102" s="356"/>
      <c r="S102" s="356"/>
      <c r="T102" s="357"/>
      <c r="U102" s="39" t="s">
        <v>46</v>
      </c>
      <c r="V102" s="39" t="s">
        <v>46</v>
      </c>
      <c r="W102" s="40" t="s">
        <v>39</v>
      </c>
      <c r="X102" s="58">
        <v>84</v>
      </c>
      <c r="Y102" s="55">
        <f t="shared" si="6"/>
        <v>84</v>
      </c>
      <c r="Z102" s="41">
        <f t="shared" si="7"/>
        <v>1.5019199999999999</v>
      </c>
      <c r="AA102" s="68" t="s">
        <v>46</v>
      </c>
      <c r="AB102" s="69" t="s">
        <v>46</v>
      </c>
      <c r="AC102" s="157" t="s">
        <v>174</v>
      </c>
      <c r="AG102" s="81"/>
      <c r="AJ102" s="87" t="s">
        <v>119</v>
      </c>
      <c r="AK102" s="87">
        <v>14</v>
      </c>
      <c r="BB102" s="158" t="s">
        <v>116</v>
      </c>
      <c r="BM102" s="81">
        <f t="shared" si="8"/>
        <v>301.0224</v>
      </c>
      <c r="BN102" s="81">
        <f t="shared" si="9"/>
        <v>301.0224</v>
      </c>
      <c r="BO102" s="81">
        <f t="shared" si="10"/>
        <v>1.2</v>
      </c>
      <c r="BP102" s="81">
        <f t="shared" si="11"/>
        <v>1.2</v>
      </c>
    </row>
    <row r="103" spans="1:68" ht="27" hidden="1" customHeight="1" x14ac:dyDescent="0.25">
      <c r="A103" s="63" t="s">
        <v>193</v>
      </c>
      <c r="B103" s="63" t="s">
        <v>194</v>
      </c>
      <c r="C103" s="36">
        <v>4301135571</v>
      </c>
      <c r="D103" s="354">
        <v>4607111035028</v>
      </c>
      <c r="E103" s="354"/>
      <c r="F103" s="62">
        <v>0.48</v>
      </c>
      <c r="G103" s="37">
        <v>8</v>
      </c>
      <c r="H103" s="62">
        <v>3.84</v>
      </c>
      <c r="I103" s="62">
        <v>4.4488000000000003</v>
      </c>
      <c r="J103" s="37">
        <v>70</v>
      </c>
      <c r="K103" s="37" t="s">
        <v>117</v>
      </c>
      <c r="L103" s="37" t="s">
        <v>118</v>
      </c>
      <c r="M103" s="38" t="s">
        <v>86</v>
      </c>
      <c r="N103" s="38"/>
      <c r="O103" s="37">
        <v>180</v>
      </c>
      <c r="P103" s="397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356"/>
      <c r="R103" s="356"/>
      <c r="S103" s="356"/>
      <c r="T103" s="357"/>
      <c r="U103" s="39" t="s">
        <v>46</v>
      </c>
      <c r="V103" s="39" t="s">
        <v>46</v>
      </c>
      <c r="W103" s="40" t="s">
        <v>39</v>
      </c>
      <c r="X103" s="58"/>
      <c r="Y103" s="55" t="str">
        <f t="shared" si="6"/>
        <v/>
      </c>
      <c r="Z103" s="41" t="str">
        <f t="shared" si="7"/>
        <v/>
      </c>
      <c r="AA103" s="68" t="s">
        <v>46</v>
      </c>
      <c r="AB103" s="69" t="s">
        <v>46</v>
      </c>
      <c r="AC103" s="159" t="s">
        <v>174</v>
      </c>
      <c r="AG103" s="81"/>
      <c r="AJ103" s="87" t="s">
        <v>119</v>
      </c>
      <c r="AK103" s="87">
        <v>14</v>
      </c>
      <c r="BB103" s="160" t="s">
        <v>116</v>
      </c>
      <c r="BM103" s="81">
        <f t="shared" si="8"/>
        <v>0</v>
      </c>
      <c r="BN103" s="81" t="str">
        <f t="shared" si="9"/>
        <v>0</v>
      </c>
      <c r="BO103" s="81">
        <f t="shared" si="10"/>
        <v>0</v>
      </c>
      <c r="BP103" s="81" t="str">
        <f t="shared" si="11"/>
        <v>0</v>
      </c>
    </row>
    <row r="104" spans="1:68" ht="27" customHeight="1" x14ac:dyDescent="0.25">
      <c r="A104" s="63" t="s">
        <v>195</v>
      </c>
      <c r="B104" s="63" t="s">
        <v>196</v>
      </c>
      <c r="C104" s="36">
        <v>4301135285</v>
      </c>
      <c r="D104" s="354">
        <v>4607111036407</v>
      </c>
      <c r="E104" s="354"/>
      <c r="F104" s="62">
        <v>0.3</v>
      </c>
      <c r="G104" s="37">
        <v>14</v>
      </c>
      <c r="H104" s="62">
        <v>4.2</v>
      </c>
      <c r="I104" s="62">
        <v>4.5292000000000003</v>
      </c>
      <c r="J104" s="37">
        <v>70</v>
      </c>
      <c r="K104" s="37" t="s">
        <v>117</v>
      </c>
      <c r="L104" s="37" t="s">
        <v>118</v>
      </c>
      <c r="M104" s="38" t="s">
        <v>86</v>
      </c>
      <c r="N104" s="38"/>
      <c r="O104" s="37">
        <v>180</v>
      </c>
      <c r="P104" s="39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356"/>
      <c r="R104" s="356"/>
      <c r="S104" s="356"/>
      <c r="T104" s="357"/>
      <c r="U104" s="39" t="s">
        <v>46</v>
      </c>
      <c r="V104" s="39" t="s">
        <v>46</v>
      </c>
      <c r="W104" s="40" t="s">
        <v>39</v>
      </c>
      <c r="X104" s="58">
        <v>14</v>
      </c>
      <c r="Y104" s="55">
        <f t="shared" si="6"/>
        <v>14</v>
      </c>
      <c r="Z104" s="41">
        <f t="shared" si="7"/>
        <v>0.25031999999999999</v>
      </c>
      <c r="AA104" s="68" t="s">
        <v>46</v>
      </c>
      <c r="AB104" s="69" t="s">
        <v>46</v>
      </c>
      <c r="AC104" s="161" t="s">
        <v>197</v>
      </c>
      <c r="AG104" s="81"/>
      <c r="AJ104" s="87" t="s">
        <v>119</v>
      </c>
      <c r="AK104" s="87">
        <v>14</v>
      </c>
      <c r="BB104" s="162" t="s">
        <v>116</v>
      </c>
      <c r="BM104" s="81">
        <f t="shared" si="8"/>
        <v>63.408800000000006</v>
      </c>
      <c r="BN104" s="81">
        <f t="shared" si="9"/>
        <v>63.408800000000006</v>
      </c>
      <c r="BO104" s="81">
        <f t="shared" si="10"/>
        <v>0.2</v>
      </c>
      <c r="BP104" s="81">
        <f t="shared" si="11"/>
        <v>0.2</v>
      </c>
    </row>
    <row r="105" spans="1:68" x14ac:dyDescent="0.2">
      <c r="A105" s="368"/>
      <c r="B105" s="368"/>
      <c r="C105" s="368"/>
      <c r="D105" s="368"/>
      <c r="E105" s="368"/>
      <c r="F105" s="368"/>
      <c r="G105" s="368"/>
      <c r="H105" s="368"/>
      <c r="I105" s="368"/>
      <c r="J105" s="368"/>
      <c r="K105" s="368"/>
      <c r="L105" s="368"/>
      <c r="M105" s="368"/>
      <c r="N105" s="368"/>
      <c r="O105" s="369"/>
      <c r="P105" s="365" t="s">
        <v>40</v>
      </c>
      <c r="Q105" s="366"/>
      <c r="R105" s="366"/>
      <c r="S105" s="366"/>
      <c r="T105" s="366"/>
      <c r="U105" s="366"/>
      <c r="V105" s="367"/>
      <c r="W105" s="42" t="s">
        <v>39</v>
      </c>
      <c r="X105" s="43">
        <f>IFERROR(SUM(X99:X104),"0")</f>
        <v>196</v>
      </c>
      <c r="Y105" s="43">
        <f>IFERROR(SUM(Y99:Y104),"0")</f>
        <v>196</v>
      </c>
      <c r="Z105" s="43">
        <f>IFERROR(IF(Z99="",0,Z99),"0")+IFERROR(IF(Z100="",0,Z100),"0")+IFERROR(IF(Z101="",0,Z101),"0")+IFERROR(IF(Z102="",0,Z102),"0")+IFERROR(IF(Z103="",0,Z103),"0")+IFERROR(IF(Z104="",0,Z104),"0")</f>
        <v>3.5044799999999996</v>
      </c>
      <c r="AA105" s="67"/>
      <c r="AB105" s="67"/>
      <c r="AC105" s="67"/>
    </row>
    <row r="106" spans="1:68" x14ac:dyDescent="0.2">
      <c r="A106" s="368"/>
      <c r="B106" s="368"/>
      <c r="C106" s="368"/>
      <c r="D106" s="368"/>
      <c r="E106" s="368"/>
      <c r="F106" s="368"/>
      <c r="G106" s="368"/>
      <c r="H106" s="368"/>
      <c r="I106" s="368"/>
      <c r="J106" s="368"/>
      <c r="K106" s="368"/>
      <c r="L106" s="368"/>
      <c r="M106" s="368"/>
      <c r="N106" s="368"/>
      <c r="O106" s="369"/>
      <c r="P106" s="365" t="s">
        <v>40</v>
      </c>
      <c r="Q106" s="366"/>
      <c r="R106" s="366"/>
      <c r="S106" s="366"/>
      <c r="T106" s="366"/>
      <c r="U106" s="366"/>
      <c r="V106" s="367"/>
      <c r="W106" s="42" t="s">
        <v>0</v>
      </c>
      <c r="X106" s="43">
        <f>IFERROR(SUMPRODUCT(X99:X104*H99:H104),"0")</f>
        <v>582.95999999999992</v>
      </c>
      <c r="Y106" s="43" t="str">
        <f>IFERROR(SUMPRODUCT(Y99:Y104*H99:H104),"0")</f>
        <v>0</v>
      </c>
      <c r="Z106" s="42"/>
      <c r="AA106" s="67"/>
      <c r="AB106" s="67"/>
      <c r="AC106" s="67"/>
    </row>
    <row r="107" spans="1:68" ht="16.5" hidden="1" customHeight="1" x14ac:dyDescent="0.25">
      <c r="A107" s="352" t="s">
        <v>198</v>
      </c>
      <c r="B107" s="352"/>
      <c r="C107" s="352"/>
      <c r="D107" s="352"/>
      <c r="E107" s="352"/>
      <c r="F107" s="352"/>
      <c r="G107" s="352"/>
      <c r="H107" s="352"/>
      <c r="I107" s="352"/>
      <c r="J107" s="352"/>
      <c r="K107" s="352"/>
      <c r="L107" s="352"/>
      <c r="M107" s="352"/>
      <c r="N107" s="352"/>
      <c r="O107" s="352"/>
      <c r="P107" s="352"/>
      <c r="Q107" s="352"/>
      <c r="R107" s="352"/>
      <c r="S107" s="352"/>
      <c r="T107" s="352"/>
      <c r="U107" s="352"/>
      <c r="V107" s="352"/>
      <c r="W107" s="352"/>
      <c r="X107" s="352"/>
      <c r="Y107" s="352"/>
      <c r="Z107" s="352"/>
      <c r="AA107" s="65"/>
      <c r="AB107" s="65"/>
      <c r="AC107" s="82"/>
    </row>
    <row r="108" spans="1:68" ht="14.25" hidden="1" customHeight="1" x14ac:dyDescent="0.25">
      <c r="A108" s="353" t="s">
        <v>150</v>
      </c>
      <c r="B108" s="353"/>
      <c r="C108" s="353"/>
      <c r="D108" s="353"/>
      <c r="E108" s="353"/>
      <c r="F108" s="353"/>
      <c r="G108" s="353"/>
      <c r="H108" s="353"/>
      <c r="I108" s="353"/>
      <c r="J108" s="353"/>
      <c r="K108" s="353"/>
      <c r="L108" s="353"/>
      <c r="M108" s="353"/>
      <c r="N108" s="353"/>
      <c r="O108" s="353"/>
      <c r="P108" s="353"/>
      <c r="Q108" s="353"/>
      <c r="R108" s="353"/>
      <c r="S108" s="353"/>
      <c r="T108" s="353"/>
      <c r="U108" s="353"/>
      <c r="V108" s="353"/>
      <c r="W108" s="353"/>
      <c r="X108" s="353"/>
      <c r="Y108" s="353"/>
      <c r="Z108" s="353"/>
      <c r="AA108" s="66"/>
      <c r="AB108" s="66"/>
      <c r="AC108" s="83"/>
    </row>
    <row r="109" spans="1:68" ht="27" hidden="1" customHeight="1" x14ac:dyDescent="0.25">
      <c r="A109" s="63" t="s">
        <v>199</v>
      </c>
      <c r="B109" s="63" t="s">
        <v>200</v>
      </c>
      <c r="C109" s="36">
        <v>4301136070</v>
      </c>
      <c r="D109" s="354">
        <v>4607025784012</v>
      </c>
      <c r="E109" s="354"/>
      <c r="F109" s="62">
        <v>0.09</v>
      </c>
      <c r="G109" s="37">
        <v>24</v>
      </c>
      <c r="H109" s="62">
        <v>2.16</v>
      </c>
      <c r="I109" s="62">
        <v>2.4912000000000001</v>
      </c>
      <c r="J109" s="37">
        <v>126</v>
      </c>
      <c r="K109" s="37" t="s">
        <v>117</v>
      </c>
      <c r="L109" s="37" t="s">
        <v>118</v>
      </c>
      <c r="M109" s="38" t="s">
        <v>86</v>
      </c>
      <c r="N109" s="38"/>
      <c r="O109" s="37">
        <v>180</v>
      </c>
      <c r="P109" s="399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356"/>
      <c r="R109" s="356"/>
      <c r="S109" s="356"/>
      <c r="T109" s="357"/>
      <c r="U109" s="39" t="s">
        <v>46</v>
      </c>
      <c r="V109" s="39" t="s">
        <v>46</v>
      </c>
      <c r="W109" s="40" t="s">
        <v>39</v>
      </c>
      <c r="X109" s="58">
        <v>0</v>
      </c>
      <c r="Y109" s="55">
        <f>IFERROR(IF(X109="","",X109),"")</f>
        <v>0</v>
      </c>
      <c r="Z109" s="41">
        <f>IFERROR(IF(X109="","",X109*0.00936),"")</f>
        <v>0</v>
      </c>
      <c r="AA109" s="68" t="s">
        <v>46</v>
      </c>
      <c r="AB109" s="69" t="s">
        <v>46</v>
      </c>
      <c r="AC109" s="163" t="s">
        <v>201</v>
      </c>
      <c r="AG109" s="81"/>
      <c r="AJ109" s="87" t="s">
        <v>119</v>
      </c>
      <c r="AK109" s="87">
        <v>14</v>
      </c>
      <c r="BB109" s="164" t="s">
        <v>116</v>
      </c>
      <c r="BM109" s="81">
        <f>IFERROR(X109*I109,"0")</f>
        <v>0</v>
      </c>
      <c r="BN109" s="81">
        <f>IFERROR(Y109*I109,"0")</f>
        <v>0</v>
      </c>
      <c r="BO109" s="81">
        <f>IFERROR(X109/J109,"0")</f>
        <v>0</v>
      </c>
      <c r="BP109" s="81">
        <f>IFERROR(Y109/J109,"0")</f>
        <v>0</v>
      </c>
    </row>
    <row r="110" spans="1:68" ht="27" hidden="1" customHeight="1" x14ac:dyDescent="0.25">
      <c r="A110" s="63" t="s">
        <v>202</v>
      </c>
      <c r="B110" s="63" t="s">
        <v>203</v>
      </c>
      <c r="C110" s="36">
        <v>4301136079</v>
      </c>
      <c r="D110" s="354">
        <v>4607025784319</v>
      </c>
      <c r="E110" s="354"/>
      <c r="F110" s="62">
        <v>0.36</v>
      </c>
      <c r="G110" s="37">
        <v>10</v>
      </c>
      <c r="H110" s="62">
        <v>3.6</v>
      </c>
      <c r="I110" s="62">
        <v>4.2439999999999998</v>
      </c>
      <c r="J110" s="37">
        <v>70</v>
      </c>
      <c r="K110" s="37" t="s">
        <v>117</v>
      </c>
      <c r="L110" s="37" t="s">
        <v>118</v>
      </c>
      <c r="M110" s="38" t="s">
        <v>86</v>
      </c>
      <c r="N110" s="38"/>
      <c r="O110" s="37">
        <v>180</v>
      </c>
      <c r="P110" s="400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356"/>
      <c r="R110" s="356"/>
      <c r="S110" s="356"/>
      <c r="T110" s="357"/>
      <c r="U110" s="39" t="s">
        <v>46</v>
      </c>
      <c r="V110" s="39" t="s">
        <v>46</v>
      </c>
      <c r="W110" s="40" t="s">
        <v>39</v>
      </c>
      <c r="X110" s="58">
        <v>0</v>
      </c>
      <c r="Y110" s="55">
        <f>IFERROR(IF(X110="","",X110),"")</f>
        <v>0</v>
      </c>
      <c r="Z110" s="41">
        <f>IFERROR(IF(X110="","",X110*0.01788),"")</f>
        <v>0</v>
      </c>
      <c r="AA110" s="68" t="s">
        <v>46</v>
      </c>
      <c r="AB110" s="69" t="s">
        <v>46</v>
      </c>
      <c r="AC110" s="165" t="s">
        <v>174</v>
      </c>
      <c r="AG110" s="81"/>
      <c r="AJ110" s="87" t="s">
        <v>119</v>
      </c>
      <c r="AK110" s="87">
        <v>14</v>
      </c>
      <c r="BB110" s="166" t="s">
        <v>116</v>
      </c>
      <c r="BM110" s="81">
        <f>IFERROR(X110*I110,"0")</f>
        <v>0</v>
      </c>
      <c r="BN110" s="81">
        <f>IFERROR(Y110*I110,"0")</f>
        <v>0</v>
      </c>
      <c r="BO110" s="81">
        <f>IFERROR(X110/J110,"0")</f>
        <v>0</v>
      </c>
      <c r="BP110" s="81">
        <f>IFERROR(Y110/J110,"0")</f>
        <v>0</v>
      </c>
    </row>
    <row r="111" spans="1:68" ht="12.75" hidden="1" customHeight="1" x14ac:dyDescent="0.2">
      <c r="A111" s="368"/>
      <c r="B111" s="368"/>
      <c r="C111" s="368"/>
      <c r="D111" s="368"/>
      <c r="E111" s="368"/>
      <c r="F111" s="368"/>
      <c r="G111" s="368"/>
      <c r="H111" s="368"/>
      <c r="I111" s="368"/>
      <c r="J111" s="368"/>
      <c r="K111" s="368"/>
      <c r="L111" s="368"/>
      <c r="M111" s="368"/>
      <c r="N111" s="368"/>
      <c r="O111" s="369"/>
      <c r="P111" s="365" t="s">
        <v>40</v>
      </c>
      <c r="Q111" s="366"/>
      <c r="R111" s="366"/>
      <c r="S111" s="366"/>
      <c r="T111" s="366"/>
      <c r="U111" s="366"/>
      <c r="V111" s="367"/>
      <c r="W111" s="42" t="s">
        <v>39</v>
      </c>
      <c r="X111" s="43">
        <f>IFERROR(SUM(X109:X110),"0")</f>
        <v>0</v>
      </c>
      <c r="Y111" s="43">
        <f>IFERROR(SUM(Y109:Y110),"0")</f>
        <v>0</v>
      </c>
      <c r="Z111" s="43">
        <f>IFERROR(IF(Z109="",0,Z109),"0")+IFERROR(IF(Z110="",0,Z110),"0")</f>
        <v>0</v>
      </c>
      <c r="AA111" s="67"/>
      <c r="AB111" s="67"/>
      <c r="AC111" s="67"/>
    </row>
    <row r="112" spans="1:68" ht="12.75" hidden="1" customHeight="1" x14ac:dyDescent="0.2">
      <c r="A112" s="368"/>
      <c r="B112" s="368"/>
      <c r="C112" s="368"/>
      <c r="D112" s="368"/>
      <c r="E112" s="368"/>
      <c r="F112" s="368"/>
      <c r="G112" s="368"/>
      <c r="H112" s="368"/>
      <c r="I112" s="368"/>
      <c r="J112" s="368"/>
      <c r="K112" s="368"/>
      <c r="L112" s="368"/>
      <c r="M112" s="368"/>
      <c r="N112" s="368"/>
      <c r="O112" s="369"/>
      <c r="P112" s="365" t="s">
        <v>40</v>
      </c>
      <c r="Q112" s="366"/>
      <c r="R112" s="366"/>
      <c r="S112" s="366"/>
      <c r="T112" s="366"/>
      <c r="U112" s="366"/>
      <c r="V112" s="367"/>
      <c r="W112" s="42" t="s">
        <v>0</v>
      </c>
      <c r="X112" s="43">
        <f>IFERROR(SUMPRODUCT(X109:X110*H109:H110),"0")</f>
        <v>0</v>
      </c>
      <c r="Y112" s="43">
        <f>IFERROR(SUMPRODUCT(Y109:Y110*H109:H110),"0")</f>
        <v>0</v>
      </c>
      <c r="Z112" s="42"/>
      <c r="AA112" s="67"/>
      <c r="AB112" s="67"/>
      <c r="AC112" s="67"/>
    </row>
    <row r="113" spans="1:68" ht="16.5" hidden="1" customHeight="1" x14ac:dyDescent="0.25">
      <c r="A113" s="352" t="s">
        <v>204</v>
      </c>
      <c r="B113" s="352"/>
      <c r="C113" s="352"/>
      <c r="D113" s="352"/>
      <c r="E113" s="352"/>
      <c r="F113" s="352"/>
      <c r="G113" s="352"/>
      <c r="H113" s="352"/>
      <c r="I113" s="352"/>
      <c r="J113" s="352"/>
      <c r="K113" s="352"/>
      <c r="L113" s="352"/>
      <c r="M113" s="352"/>
      <c r="N113" s="352"/>
      <c r="O113" s="352"/>
      <c r="P113" s="352"/>
      <c r="Q113" s="352"/>
      <c r="R113" s="352"/>
      <c r="S113" s="352"/>
      <c r="T113" s="352"/>
      <c r="U113" s="352"/>
      <c r="V113" s="352"/>
      <c r="W113" s="352"/>
      <c r="X113" s="352"/>
      <c r="Y113" s="352"/>
      <c r="Z113" s="352"/>
      <c r="AA113" s="65"/>
      <c r="AB113" s="65"/>
      <c r="AC113" s="82"/>
    </row>
    <row r="114" spans="1:68" ht="14.25" hidden="1" customHeight="1" x14ac:dyDescent="0.25">
      <c r="A114" s="353" t="s">
        <v>82</v>
      </c>
      <c r="B114" s="353"/>
      <c r="C114" s="353"/>
      <c r="D114" s="353"/>
      <c r="E114" s="353"/>
      <c r="F114" s="353"/>
      <c r="G114" s="353"/>
      <c r="H114" s="353"/>
      <c r="I114" s="353"/>
      <c r="J114" s="353"/>
      <c r="K114" s="353"/>
      <c r="L114" s="353"/>
      <c r="M114" s="353"/>
      <c r="N114" s="353"/>
      <c r="O114" s="353"/>
      <c r="P114" s="353"/>
      <c r="Q114" s="353"/>
      <c r="R114" s="353"/>
      <c r="S114" s="353"/>
      <c r="T114" s="353"/>
      <c r="U114" s="353"/>
      <c r="V114" s="353"/>
      <c r="W114" s="353"/>
      <c r="X114" s="353"/>
      <c r="Y114" s="353"/>
      <c r="Z114" s="353"/>
      <c r="AA114" s="66"/>
      <c r="AB114" s="66"/>
      <c r="AC114" s="83"/>
    </row>
    <row r="115" spans="1:68" ht="27" hidden="1" customHeight="1" x14ac:dyDescent="0.25">
      <c r="A115" s="63" t="s">
        <v>205</v>
      </c>
      <c r="B115" s="63" t="s">
        <v>206</v>
      </c>
      <c r="C115" s="36">
        <v>4301071074</v>
      </c>
      <c r="D115" s="354">
        <v>4620207491157</v>
      </c>
      <c r="E115" s="354"/>
      <c r="F115" s="62">
        <v>0.7</v>
      </c>
      <c r="G115" s="37">
        <v>10</v>
      </c>
      <c r="H115" s="62">
        <v>7</v>
      </c>
      <c r="I115" s="62">
        <v>7.28</v>
      </c>
      <c r="J115" s="37">
        <v>84</v>
      </c>
      <c r="K115" s="37" t="s">
        <v>87</v>
      </c>
      <c r="L115" s="37" t="s">
        <v>118</v>
      </c>
      <c r="M115" s="38" t="s">
        <v>86</v>
      </c>
      <c r="N115" s="38"/>
      <c r="O115" s="37">
        <v>180</v>
      </c>
      <c r="P115" s="401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356"/>
      <c r="R115" s="356"/>
      <c r="S115" s="356"/>
      <c r="T115" s="357"/>
      <c r="U115" s="39" t="s">
        <v>46</v>
      </c>
      <c r="V115" s="39" t="s">
        <v>46</v>
      </c>
      <c r="W115" s="40" t="s">
        <v>39</v>
      </c>
      <c r="X115" s="58">
        <v>0</v>
      </c>
      <c r="Y115" s="55">
        <f t="shared" ref="Y115:Y121" si="12">IFERROR(IF(X115="","",X115),"")</f>
        <v>0</v>
      </c>
      <c r="Z115" s="41">
        <f t="shared" ref="Z115:Z121" si="13">IFERROR(IF(X115="","",X115*0.0155),"")</f>
        <v>0</v>
      </c>
      <c r="AA115" s="68" t="s">
        <v>46</v>
      </c>
      <c r="AB115" s="69" t="s">
        <v>46</v>
      </c>
      <c r="AC115" s="167" t="s">
        <v>207</v>
      </c>
      <c r="AG115" s="81"/>
      <c r="AJ115" s="87" t="s">
        <v>119</v>
      </c>
      <c r="AK115" s="87">
        <v>12</v>
      </c>
      <c r="BB115" s="168" t="s">
        <v>70</v>
      </c>
      <c r="BM115" s="81">
        <f t="shared" ref="BM115:BM121" si="14">IFERROR(X115*I115,"0")</f>
        <v>0</v>
      </c>
      <c r="BN115" s="81">
        <f t="shared" ref="BN115:BN121" si="15">IFERROR(Y115*I115,"0")</f>
        <v>0</v>
      </c>
      <c r="BO115" s="81">
        <f t="shared" ref="BO115:BO121" si="16">IFERROR(X115/J115,"0")</f>
        <v>0</v>
      </c>
      <c r="BP115" s="81">
        <f t="shared" ref="BP115:BP121" si="17">IFERROR(Y115/J115,"0")</f>
        <v>0</v>
      </c>
    </row>
    <row r="116" spans="1:68" ht="27" hidden="1" customHeight="1" x14ac:dyDescent="0.25">
      <c r="A116" s="63" t="s">
        <v>208</v>
      </c>
      <c r="B116" s="63" t="s">
        <v>209</v>
      </c>
      <c r="C116" s="36">
        <v>4301071121</v>
      </c>
      <c r="D116" s="354">
        <v>4620207491393</v>
      </c>
      <c r="E116" s="354"/>
      <c r="F116" s="62">
        <v>0.4</v>
      </c>
      <c r="G116" s="37">
        <v>16</v>
      </c>
      <c r="H116" s="62">
        <v>6.4</v>
      </c>
      <c r="I116" s="62">
        <v>6.71</v>
      </c>
      <c r="J116" s="37">
        <v>84</v>
      </c>
      <c r="K116" s="37" t="s">
        <v>87</v>
      </c>
      <c r="L116" s="37" t="s">
        <v>88</v>
      </c>
      <c r="M116" s="38" t="s">
        <v>86</v>
      </c>
      <c r="N116" s="38"/>
      <c r="O116" s="37">
        <v>180</v>
      </c>
      <c r="P116" s="402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356"/>
      <c r="R116" s="356"/>
      <c r="S116" s="356"/>
      <c r="T116" s="357"/>
      <c r="U116" s="39" t="s">
        <v>46</v>
      </c>
      <c r="V116" s="39" t="s">
        <v>46</v>
      </c>
      <c r="W116" s="40" t="s">
        <v>39</v>
      </c>
      <c r="X116" s="58">
        <v>0</v>
      </c>
      <c r="Y116" s="55">
        <f t="shared" si="12"/>
        <v>0</v>
      </c>
      <c r="Z116" s="41">
        <f t="shared" si="13"/>
        <v>0</v>
      </c>
      <c r="AA116" s="68" t="s">
        <v>46</v>
      </c>
      <c r="AB116" s="69" t="s">
        <v>46</v>
      </c>
      <c r="AC116" s="169" t="s">
        <v>210</v>
      </c>
      <c r="AG116" s="81"/>
      <c r="AJ116" s="87" t="s">
        <v>89</v>
      </c>
      <c r="AK116" s="87">
        <v>1</v>
      </c>
      <c r="BB116" s="170" t="s">
        <v>70</v>
      </c>
      <c r="BM116" s="81">
        <f t="shared" si="14"/>
        <v>0</v>
      </c>
      <c r="BN116" s="81">
        <f t="shared" si="15"/>
        <v>0</v>
      </c>
      <c r="BO116" s="81">
        <f t="shared" si="16"/>
        <v>0</v>
      </c>
      <c r="BP116" s="81">
        <f t="shared" si="17"/>
        <v>0</v>
      </c>
    </row>
    <row r="117" spans="1:68" ht="27" customHeight="1" x14ac:dyDescent="0.25">
      <c r="A117" s="63" t="s">
        <v>211</v>
      </c>
      <c r="B117" s="63" t="s">
        <v>212</v>
      </c>
      <c r="C117" s="36">
        <v>4301071051</v>
      </c>
      <c r="D117" s="354">
        <v>4607111039262</v>
      </c>
      <c r="E117" s="354"/>
      <c r="F117" s="62">
        <v>0.4</v>
      </c>
      <c r="G117" s="37">
        <v>16</v>
      </c>
      <c r="H117" s="62">
        <v>6.4</v>
      </c>
      <c r="I117" s="62">
        <v>6.7195999999999998</v>
      </c>
      <c r="J117" s="37">
        <v>84</v>
      </c>
      <c r="K117" s="37" t="s">
        <v>87</v>
      </c>
      <c r="L117" s="37" t="s">
        <v>118</v>
      </c>
      <c r="M117" s="38" t="s">
        <v>86</v>
      </c>
      <c r="N117" s="38"/>
      <c r="O117" s="37">
        <v>180</v>
      </c>
      <c r="P117" s="403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356"/>
      <c r="R117" s="356"/>
      <c r="S117" s="356"/>
      <c r="T117" s="357"/>
      <c r="U117" s="39" t="s">
        <v>46</v>
      </c>
      <c r="V117" s="39" t="s">
        <v>46</v>
      </c>
      <c r="W117" s="40" t="s">
        <v>39</v>
      </c>
      <c r="X117" s="58">
        <v>12</v>
      </c>
      <c r="Y117" s="55">
        <f t="shared" si="12"/>
        <v>12</v>
      </c>
      <c r="Z117" s="41">
        <f t="shared" si="13"/>
        <v>0.186</v>
      </c>
      <c r="AA117" s="68" t="s">
        <v>46</v>
      </c>
      <c r="AB117" s="69" t="s">
        <v>46</v>
      </c>
      <c r="AC117" s="171" t="s">
        <v>167</v>
      </c>
      <c r="AG117" s="81"/>
      <c r="AJ117" s="87" t="s">
        <v>119</v>
      </c>
      <c r="AK117" s="87">
        <v>12</v>
      </c>
      <c r="BB117" s="172" t="s">
        <v>70</v>
      </c>
      <c r="BM117" s="81">
        <f t="shared" si="14"/>
        <v>80.635199999999998</v>
      </c>
      <c r="BN117" s="81">
        <f t="shared" si="15"/>
        <v>80.635199999999998</v>
      </c>
      <c r="BO117" s="81">
        <f t="shared" si="16"/>
        <v>0.14285714285714285</v>
      </c>
      <c r="BP117" s="81">
        <f t="shared" si="17"/>
        <v>0.14285714285714285</v>
      </c>
    </row>
    <row r="118" spans="1:68" ht="27" hidden="1" customHeight="1" x14ac:dyDescent="0.25">
      <c r="A118" s="63" t="s">
        <v>213</v>
      </c>
      <c r="B118" s="63" t="s">
        <v>214</v>
      </c>
      <c r="C118" s="36">
        <v>4301071038</v>
      </c>
      <c r="D118" s="354">
        <v>4607111039248</v>
      </c>
      <c r="E118" s="354"/>
      <c r="F118" s="62">
        <v>0.7</v>
      </c>
      <c r="G118" s="37">
        <v>10</v>
      </c>
      <c r="H118" s="62">
        <v>7</v>
      </c>
      <c r="I118" s="62">
        <v>7.3</v>
      </c>
      <c r="J118" s="37">
        <v>84</v>
      </c>
      <c r="K118" s="37" t="s">
        <v>87</v>
      </c>
      <c r="L118" s="37" t="s">
        <v>118</v>
      </c>
      <c r="M118" s="38" t="s">
        <v>86</v>
      </c>
      <c r="N118" s="38"/>
      <c r="O118" s="37">
        <v>180</v>
      </c>
      <c r="P118" s="404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356"/>
      <c r="R118" s="356"/>
      <c r="S118" s="356"/>
      <c r="T118" s="357"/>
      <c r="U118" s="39" t="s">
        <v>46</v>
      </c>
      <c r="V118" s="39" t="s">
        <v>46</v>
      </c>
      <c r="W118" s="40" t="s">
        <v>39</v>
      </c>
      <c r="X118" s="58"/>
      <c r="Y118" s="55" t="str">
        <f t="shared" si="12"/>
        <v/>
      </c>
      <c r="Z118" s="41" t="str">
        <f t="shared" si="13"/>
        <v/>
      </c>
      <c r="AA118" s="68" t="s">
        <v>46</v>
      </c>
      <c r="AB118" s="69" t="s">
        <v>46</v>
      </c>
      <c r="AC118" s="173" t="s">
        <v>167</v>
      </c>
      <c r="AG118" s="81"/>
      <c r="AJ118" s="87" t="s">
        <v>119</v>
      </c>
      <c r="AK118" s="87">
        <v>12</v>
      </c>
      <c r="BB118" s="174" t="s">
        <v>70</v>
      </c>
      <c r="BM118" s="81">
        <f t="shared" si="14"/>
        <v>0</v>
      </c>
      <c r="BN118" s="81" t="str">
        <f t="shared" si="15"/>
        <v>0</v>
      </c>
      <c r="BO118" s="81">
        <f t="shared" si="16"/>
        <v>0</v>
      </c>
      <c r="BP118" s="81" t="str">
        <f t="shared" si="17"/>
        <v>0</v>
      </c>
    </row>
    <row r="119" spans="1:68" ht="27" hidden="1" customHeight="1" x14ac:dyDescent="0.25">
      <c r="A119" s="63" t="s">
        <v>215</v>
      </c>
      <c r="B119" s="63" t="s">
        <v>216</v>
      </c>
      <c r="C119" s="36">
        <v>4301070979</v>
      </c>
      <c r="D119" s="354">
        <v>4607111037145</v>
      </c>
      <c r="E119" s="354"/>
      <c r="F119" s="62">
        <v>0.8</v>
      </c>
      <c r="G119" s="37">
        <v>8</v>
      </c>
      <c r="H119" s="62">
        <v>6.4</v>
      </c>
      <c r="I119" s="62">
        <v>6.6748000000000003</v>
      </c>
      <c r="J119" s="37">
        <v>84</v>
      </c>
      <c r="K119" s="37" t="s">
        <v>87</v>
      </c>
      <c r="L119" s="37" t="s">
        <v>88</v>
      </c>
      <c r="M119" s="38" t="s">
        <v>86</v>
      </c>
      <c r="N119" s="38"/>
      <c r="O119" s="37">
        <v>180</v>
      </c>
      <c r="P119" s="40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356"/>
      <c r="R119" s="356"/>
      <c r="S119" s="356"/>
      <c r="T119" s="357"/>
      <c r="U119" s="39" t="s">
        <v>46</v>
      </c>
      <c r="V119" s="39" t="s">
        <v>46</v>
      </c>
      <c r="W119" s="40" t="s">
        <v>39</v>
      </c>
      <c r="X119" s="58">
        <v>0</v>
      </c>
      <c r="Y119" s="55">
        <f t="shared" si="12"/>
        <v>0</v>
      </c>
      <c r="Z119" s="41">
        <f t="shared" si="13"/>
        <v>0</v>
      </c>
      <c r="AA119" s="68" t="s">
        <v>46</v>
      </c>
      <c r="AB119" s="69" t="s">
        <v>46</v>
      </c>
      <c r="AC119" s="175" t="s">
        <v>217</v>
      </c>
      <c r="AG119" s="81"/>
      <c r="AJ119" s="87" t="s">
        <v>89</v>
      </c>
      <c r="AK119" s="87">
        <v>1</v>
      </c>
      <c r="BB119" s="176" t="s">
        <v>70</v>
      </c>
      <c r="BM119" s="81">
        <f t="shared" si="14"/>
        <v>0</v>
      </c>
      <c r="BN119" s="81">
        <f t="shared" si="15"/>
        <v>0</v>
      </c>
      <c r="BO119" s="81">
        <f t="shared" si="16"/>
        <v>0</v>
      </c>
      <c r="BP119" s="81">
        <f t="shared" si="17"/>
        <v>0</v>
      </c>
    </row>
    <row r="120" spans="1:68" ht="27" hidden="1" customHeight="1" x14ac:dyDescent="0.25">
      <c r="A120" s="63" t="s">
        <v>218</v>
      </c>
      <c r="B120" s="63" t="s">
        <v>219</v>
      </c>
      <c r="C120" s="36">
        <v>4301071049</v>
      </c>
      <c r="D120" s="354">
        <v>4607111039293</v>
      </c>
      <c r="E120" s="354"/>
      <c r="F120" s="62">
        <v>0.4</v>
      </c>
      <c r="G120" s="37">
        <v>16</v>
      </c>
      <c r="H120" s="62">
        <v>6.4</v>
      </c>
      <c r="I120" s="62">
        <v>6.7195999999999998</v>
      </c>
      <c r="J120" s="37">
        <v>84</v>
      </c>
      <c r="K120" s="37" t="s">
        <v>87</v>
      </c>
      <c r="L120" s="37" t="s">
        <v>118</v>
      </c>
      <c r="M120" s="38" t="s">
        <v>86</v>
      </c>
      <c r="N120" s="38"/>
      <c r="O120" s="37">
        <v>180</v>
      </c>
      <c r="P120" s="406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356"/>
      <c r="R120" s="356"/>
      <c r="S120" s="356"/>
      <c r="T120" s="357"/>
      <c r="U120" s="39" t="s">
        <v>46</v>
      </c>
      <c r="V120" s="39" t="s">
        <v>46</v>
      </c>
      <c r="W120" s="40" t="s">
        <v>39</v>
      </c>
      <c r="X120" s="58"/>
      <c r="Y120" s="55" t="str">
        <f t="shared" si="12"/>
        <v/>
      </c>
      <c r="Z120" s="41" t="str">
        <f t="shared" si="13"/>
        <v/>
      </c>
      <c r="AA120" s="68" t="s">
        <v>46</v>
      </c>
      <c r="AB120" s="69" t="s">
        <v>46</v>
      </c>
      <c r="AC120" s="177" t="s">
        <v>167</v>
      </c>
      <c r="AG120" s="81"/>
      <c r="AJ120" s="87" t="s">
        <v>119</v>
      </c>
      <c r="AK120" s="87">
        <v>12</v>
      </c>
      <c r="BB120" s="178" t="s">
        <v>70</v>
      </c>
      <c r="BM120" s="81">
        <f t="shared" si="14"/>
        <v>0</v>
      </c>
      <c r="BN120" s="81" t="str">
        <f t="shared" si="15"/>
        <v>0</v>
      </c>
      <c r="BO120" s="81">
        <f t="shared" si="16"/>
        <v>0</v>
      </c>
      <c r="BP120" s="81" t="str">
        <f t="shared" si="17"/>
        <v>0</v>
      </c>
    </row>
    <row r="121" spans="1:68" ht="27" hidden="1" customHeight="1" x14ac:dyDescent="0.25">
      <c r="A121" s="63" t="s">
        <v>220</v>
      </c>
      <c r="B121" s="63" t="s">
        <v>221</v>
      </c>
      <c r="C121" s="36">
        <v>4301071039</v>
      </c>
      <c r="D121" s="354">
        <v>4607111039279</v>
      </c>
      <c r="E121" s="354"/>
      <c r="F121" s="62">
        <v>0.7</v>
      </c>
      <c r="G121" s="37">
        <v>10</v>
      </c>
      <c r="H121" s="62">
        <v>7</v>
      </c>
      <c r="I121" s="62">
        <v>7.3</v>
      </c>
      <c r="J121" s="37">
        <v>84</v>
      </c>
      <c r="K121" s="37" t="s">
        <v>87</v>
      </c>
      <c r="L121" s="37" t="s">
        <v>118</v>
      </c>
      <c r="M121" s="38" t="s">
        <v>86</v>
      </c>
      <c r="N121" s="38"/>
      <c r="O121" s="37">
        <v>180</v>
      </c>
      <c r="P121" s="407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356"/>
      <c r="R121" s="356"/>
      <c r="S121" s="356"/>
      <c r="T121" s="357"/>
      <c r="U121" s="39" t="s">
        <v>46</v>
      </c>
      <c r="V121" s="39" t="s">
        <v>46</v>
      </c>
      <c r="W121" s="40" t="s">
        <v>39</v>
      </c>
      <c r="X121" s="58"/>
      <c r="Y121" s="55" t="str">
        <f t="shared" si="12"/>
        <v/>
      </c>
      <c r="Z121" s="41" t="str">
        <f t="shared" si="13"/>
        <v/>
      </c>
      <c r="AA121" s="68" t="s">
        <v>46</v>
      </c>
      <c r="AB121" s="69" t="s">
        <v>46</v>
      </c>
      <c r="AC121" s="179" t="s">
        <v>167</v>
      </c>
      <c r="AG121" s="81"/>
      <c r="AJ121" s="87" t="s">
        <v>119</v>
      </c>
      <c r="AK121" s="87">
        <v>12</v>
      </c>
      <c r="BB121" s="180" t="s">
        <v>70</v>
      </c>
      <c r="BM121" s="81">
        <f t="shared" si="14"/>
        <v>0</v>
      </c>
      <c r="BN121" s="81" t="str">
        <f t="shared" si="15"/>
        <v>0</v>
      </c>
      <c r="BO121" s="81">
        <f t="shared" si="16"/>
        <v>0</v>
      </c>
      <c r="BP121" s="81" t="str">
        <f t="shared" si="17"/>
        <v>0</v>
      </c>
    </row>
    <row r="122" spans="1:68" x14ac:dyDescent="0.2">
      <c r="A122" s="368"/>
      <c r="B122" s="368"/>
      <c r="C122" s="368"/>
      <c r="D122" s="368"/>
      <c r="E122" s="368"/>
      <c r="F122" s="368"/>
      <c r="G122" s="368"/>
      <c r="H122" s="368"/>
      <c r="I122" s="368"/>
      <c r="J122" s="368"/>
      <c r="K122" s="368"/>
      <c r="L122" s="368"/>
      <c r="M122" s="368"/>
      <c r="N122" s="368"/>
      <c r="O122" s="369"/>
      <c r="P122" s="365" t="s">
        <v>40</v>
      </c>
      <c r="Q122" s="366"/>
      <c r="R122" s="366"/>
      <c r="S122" s="366"/>
      <c r="T122" s="366"/>
      <c r="U122" s="366"/>
      <c r="V122" s="367"/>
      <c r="W122" s="42" t="s">
        <v>39</v>
      </c>
      <c r="X122" s="43">
        <f>IFERROR(SUM(X115:X121),"0")</f>
        <v>12</v>
      </c>
      <c r="Y122" s="43">
        <f>IFERROR(SUM(Y115:Y121),"0")</f>
        <v>12</v>
      </c>
      <c r="Z122" s="43">
        <f>IFERROR(IF(Z115="",0,Z115),"0")+IFERROR(IF(Z116="",0,Z116),"0")+IFERROR(IF(Z117="",0,Z117),"0")+IFERROR(IF(Z118="",0,Z118),"0")+IFERROR(IF(Z119="",0,Z119),"0")+IFERROR(IF(Z120="",0,Z120),"0")+IFERROR(IF(Z121="",0,Z121),"0")</f>
        <v>0.186</v>
      </c>
      <c r="AA122" s="67"/>
      <c r="AB122" s="67"/>
      <c r="AC122" s="67"/>
    </row>
    <row r="123" spans="1:68" x14ac:dyDescent="0.2">
      <c r="A123" s="368"/>
      <c r="B123" s="368"/>
      <c r="C123" s="368"/>
      <c r="D123" s="368"/>
      <c r="E123" s="368"/>
      <c r="F123" s="368"/>
      <c r="G123" s="368"/>
      <c r="H123" s="368"/>
      <c r="I123" s="368"/>
      <c r="J123" s="368"/>
      <c r="K123" s="368"/>
      <c r="L123" s="368"/>
      <c r="M123" s="368"/>
      <c r="N123" s="368"/>
      <c r="O123" s="369"/>
      <c r="P123" s="365" t="s">
        <v>40</v>
      </c>
      <c r="Q123" s="366"/>
      <c r="R123" s="366"/>
      <c r="S123" s="366"/>
      <c r="T123" s="366"/>
      <c r="U123" s="366"/>
      <c r="V123" s="367"/>
      <c r="W123" s="42" t="s">
        <v>0</v>
      </c>
      <c r="X123" s="43">
        <f>IFERROR(SUMPRODUCT(X115:X121*H115:H121),"0")</f>
        <v>76.800000000000011</v>
      </c>
      <c r="Y123" s="43" t="str">
        <f>IFERROR(SUMPRODUCT(Y115:Y121*H115:H121),"0")</f>
        <v>0</v>
      </c>
      <c r="Z123" s="42"/>
      <c r="AA123" s="67"/>
      <c r="AB123" s="67"/>
      <c r="AC123" s="67"/>
    </row>
    <row r="124" spans="1:68" ht="14.25" hidden="1" customHeight="1" x14ac:dyDescent="0.25">
      <c r="A124" s="353" t="s">
        <v>156</v>
      </c>
      <c r="B124" s="353"/>
      <c r="C124" s="353"/>
      <c r="D124" s="353"/>
      <c r="E124" s="353"/>
      <c r="F124" s="353"/>
      <c r="G124" s="353"/>
      <c r="H124" s="353"/>
      <c r="I124" s="353"/>
      <c r="J124" s="353"/>
      <c r="K124" s="353"/>
      <c r="L124" s="353"/>
      <c r="M124" s="353"/>
      <c r="N124" s="353"/>
      <c r="O124" s="353"/>
      <c r="P124" s="353"/>
      <c r="Q124" s="353"/>
      <c r="R124" s="353"/>
      <c r="S124" s="353"/>
      <c r="T124" s="353"/>
      <c r="U124" s="353"/>
      <c r="V124" s="353"/>
      <c r="W124" s="353"/>
      <c r="X124" s="353"/>
      <c r="Y124" s="353"/>
      <c r="Z124" s="353"/>
      <c r="AA124" s="66"/>
      <c r="AB124" s="66"/>
      <c r="AC124" s="83"/>
    </row>
    <row r="125" spans="1:68" ht="27" hidden="1" customHeight="1" x14ac:dyDescent="0.25">
      <c r="A125" s="63" t="s">
        <v>222</v>
      </c>
      <c r="B125" s="63" t="s">
        <v>223</v>
      </c>
      <c r="C125" s="36">
        <v>4301135826</v>
      </c>
      <c r="D125" s="354">
        <v>4620207490983</v>
      </c>
      <c r="E125" s="354"/>
      <c r="F125" s="62">
        <v>0.22</v>
      </c>
      <c r="G125" s="37">
        <v>12</v>
      </c>
      <c r="H125" s="62">
        <v>2.64</v>
      </c>
      <c r="I125" s="62">
        <v>3.3435999999999999</v>
      </c>
      <c r="J125" s="37">
        <v>70</v>
      </c>
      <c r="K125" s="37" t="s">
        <v>117</v>
      </c>
      <c r="L125" s="37" t="s">
        <v>88</v>
      </c>
      <c r="M125" s="38" t="s">
        <v>86</v>
      </c>
      <c r="N125" s="38"/>
      <c r="O125" s="37">
        <v>180</v>
      </c>
      <c r="P125" s="408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356"/>
      <c r="R125" s="356"/>
      <c r="S125" s="356"/>
      <c r="T125" s="357"/>
      <c r="U125" s="39" t="s">
        <v>46</v>
      </c>
      <c r="V125" s="39" t="s">
        <v>46</v>
      </c>
      <c r="W125" s="40" t="s">
        <v>39</v>
      </c>
      <c r="X125" s="58">
        <v>0</v>
      </c>
      <c r="Y125" s="55">
        <f>IFERROR(IF(X125="","",X125),"")</f>
        <v>0</v>
      </c>
      <c r="Z125" s="41">
        <f>IFERROR(IF(X125="","",X125*0.01788),"")</f>
        <v>0</v>
      </c>
      <c r="AA125" s="68" t="s">
        <v>46</v>
      </c>
      <c r="AB125" s="69" t="s">
        <v>46</v>
      </c>
      <c r="AC125" s="181" t="s">
        <v>224</v>
      </c>
      <c r="AG125" s="81"/>
      <c r="AJ125" s="87" t="s">
        <v>89</v>
      </c>
      <c r="AK125" s="87">
        <v>1</v>
      </c>
      <c r="BB125" s="182" t="s">
        <v>116</v>
      </c>
      <c r="BM125" s="81">
        <f>IFERROR(X125*I125,"0")</f>
        <v>0</v>
      </c>
      <c r="BN125" s="81">
        <f>IFERROR(Y125*I125,"0")</f>
        <v>0</v>
      </c>
      <c r="BO125" s="81">
        <f>IFERROR(X125/J125,"0")</f>
        <v>0</v>
      </c>
      <c r="BP125" s="81">
        <f>IFERROR(Y125/J125,"0")</f>
        <v>0</v>
      </c>
    </row>
    <row r="126" spans="1:68" ht="12.75" hidden="1" customHeight="1" x14ac:dyDescent="0.2">
      <c r="A126" s="368"/>
      <c r="B126" s="368"/>
      <c r="C126" s="368"/>
      <c r="D126" s="368"/>
      <c r="E126" s="368"/>
      <c r="F126" s="368"/>
      <c r="G126" s="368"/>
      <c r="H126" s="368"/>
      <c r="I126" s="368"/>
      <c r="J126" s="368"/>
      <c r="K126" s="368"/>
      <c r="L126" s="368"/>
      <c r="M126" s="368"/>
      <c r="N126" s="368"/>
      <c r="O126" s="369"/>
      <c r="P126" s="365" t="s">
        <v>40</v>
      </c>
      <c r="Q126" s="366"/>
      <c r="R126" s="366"/>
      <c r="S126" s="366"/>
      <c r="T126" s="366"/>
      <c r="U126" s="366"/>
      <c r="V126" s="367"/>
      <c r="W126" s="42" t="s">
        <v>39</v>
      </c>
      <c r="X126" s="43">
        <f>IFERROR(SUM(X125:X125),"0")</f>
        <v>0</v>
      </c>
      <c r="Y126" s="43">
        <f>IFERROR(SUM(Y125:Y125),"0")</f>
        <v>0</v>
      </c>
      <c r="Z126" s="43">
        <f>IFERROR(IF(Z125="",0,Z125),"0")</f>
        <v>0</v>
      </c>
      <c r="AA126" s="67"/>
      <c r="AB126" s="67"/>
      <c r="AC126" s="67"/>
    </row>
    <row r="127" spans="1:68" ht="12.75" hidden="1" customHeight="1" x14ac:dyDescent="0.2">
      <c r="A127" s="368"/>
      <c r="B127" s="368"/>
      <c r="C127" s="368"/>
      <c r="D127" s="368"/>
      <c r="E127" s="368"/>
      <c r="F127" s="368"/>
      <c r="G127" s="368"/>
      <c r="H127" s="368"/>
      <c r="I127" s="368"/>
      <c r="J127" s="368"/>
      <c r="K127" s="368"/>
      <c r="L127" s="368"/>
      <c r="M127" s="368"/>
      <c r="N127" s="368"/>
      <c r="O127" s="369"/>
      <c r="P127" s="365" t="s">
        <v>40</v>
      </c>
      <c r="Q127" s="366"/>
      <c r="R127" s="366"/>
      <c r="S127" s="366"/>
      <c r="T127" s="366"/>
      <c r="U127" s="366"/>
      <c r="V127" s="367"/>
      <c r="W127" s="42" t="s">
        <v>0</v>
      </c>
      <c r="X127" s="43">
        <f>IFERROR(SUMPRODUCT(X125:X125*H125:H125),"0")</f>
        <v>0</v>
      </c>
      <c r="Y127" s="43">
        <f>IFERROR(SUMPRODUCT(Y125:Y125*H125:H125),"0")</f>
        <v>0</v>
      </c>
      <c r="Z127" s="42"/>
      <c r="AA127" s="67"/>
      <c r="AB127" s="67"/>
      <c r="AC127" s="67"/>
    </row>
    <row r="128" spans="1:68" ht="14.25" hidden="1" customHeight="1" x14ac:dyDescent="0.25">
      <c r="A128" s="353" t="s">
        <v>225</v>
      </c>
      <c r="B128" s="353"/>
      <c r="C128" s="353"/>
      <c r="D128" s="353"/>
      <c r="E128" s="353"/>
      <c r="F128" s="353"/>
      <c r="G128" s="353"/>
      <c r="H128" s="353"/>
      <c r="I128" s="353"/>
      <c r="J128" s="353"/>
      <c r="K128" s="353"/>
      <c r="L128" s="353"/>
      <c r="M128" s="353"/>
      <c r="N128" s="353"/>
      <c r="O128" s="353"/>
      <c r="P128" s="353"/>
      <c r="Q128" s="353"/>
      <c r="R128" s="353"/>
      <c r="S128" s="353"/>
      <c r="T128" s="353"/>
      <c r="U128" s="353"/>
      <c r="V128" s="353"/>
      <c r="W128" s="353"/>
      <c r="X128" s="353"/>
      <c r="Y128" s="353"/>
      <c r="Z128" s="353"/>
      <c r="AA128" s="66"/>
      <c r="AB128" s="66"/>
      <c r="AC128" s="83"/>
    </row>
    <row r="129" spans="1:68" ht="27" hidden="1" customHeight="1" x14ac:dyDescent="0.25">
      <c r="A129" s="63" t="s">
        <v>226</v>
      </c>
      <c r="B129" s="63" t="s">
        <v>227</v>
      </c>
      <c r="C129" s="36">
        <v>4301071094</v>
      </c>
      <c r="D129" s="354">
        <v>4620207491140</v>
      </c>
      <c r="E129" s="354"/>
      <c r="F129" s="62">
        <v>0.6</v>
      </c>
      <c r="G129" s="37">
        <v>10</v>
      </c>
      <c r="H129" s="62">
        <v>6</v>
      </c>
      <c r="I129" s="62">
        <v>6.28</v>
      </c>
      <c r="J129" s="37">
        <v>84</v>
      </c>
      <c r="K129" s="37" t="s">
        <v>87</v>
      </c>
      <c r="L129" s="37" t="s">
        <v>88</v>
      </c>
      <c r="M129" s="38" t="s">
        <v>86</v>
      </c>
      <c r="N129" s="38"/>
      <c r="O129" s="37">
        <v>180</v>
      </c>
      <c r="P129" s="40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356"/>
      <c r="R129" s="356"/>
      <c r="S129" s="356"/>
      <c r="T129" s="357"/>
      <c r="U129" s="39" t="s">
        <v>46</v>
      </c>
      <c r="V129" s="39" t="s">
        <v>46</v>
      </c>
      <c r="W129" s="40" t="s">
        <v>39</v>
      </c>
      <c r="X129" s="58">
        <v>0</v>
      </c>
      <c r="Y129" s="55">
        <f>IFERROR(IF(X129="","",X129),"")</f>
        <v>0</v>
      </c>
      <c r="Z129" s="41">
        <f>IFERROR(IF(X129="","",X129*0.0155),"")</f>
        <v>0</v>
      </c>
      <c r="AA129" s="68" t="s">
        <v>46</v>
      </c>
      <c r="AB129" s="69" t="s">
        <v>46</v>
      </c>
      <c r="AC129" s="183" t="s">
        <v>228</v>
      </c>
      <c r="AG129" s="81"/>
      <c r="AJ129" s="87" t="s">
        <v>89</v>
      </c>
      <c r="AK129" s="87">
        <v>1</v>
      </c>
      <c r="BB129" s="184" t="s">
        <v>116</v>
      </c>
      <c r="BM129" s="81">
        <f>IFERROR(X129*I129,"0")</f>
        <v>0</v>
      </c>
      <c r="BN129" s="81">
        <f>IFERROR(Y129*I129,"0")</f>
        <v>0</v>
      </c>
      <c r="BO129" s="81">
        <f>IFERROR(X129/J129,"0")</f>
        <v>0</v>
      </c>
      <c r="BP129" s="81">
        <f>IFERROR(Y129/J129,"0")</f>
        <v>0</v>
      </c>
    </row>
    <row r="130" spans="1:68" ht="12.75" hidden="1" customHeight="1" x14ac:dyDescent="0.2">
      <c r="A130" s="368"/>
      <c r="B130" s="368"/>
      <c r="C130" s="368"/>
      <c r="D130" s="368"/>
      <c r="E130" s="368"/>
      <c r="F130" s="368"/>
      <c r="G130" s="368"/>
      <c r="H130" s="368"/>
      <c r="I130" s="368"/>
      <c r="J130" s="368"/>
      <c r="K130" s="368"/>
      <c r="L130" s="368"/>
      <c r="M130" s="368"/>
      <c r="N130" s="368"/>
      <c r="O130" s="369"/>
      <c r="P130" s="365" t="s">
        <v>40</v>
      </c>
      <c r="Q130" s="366"/>
      <c r="R130" s="366"/>
      <c r="S130" s="366"/>
      <c r="T130" s="366"/>
      <c r="U130" s="366"/>
      <c r="V130" s="367"/>
      <c r="W130" s="42" t="s">
        <v>39</v>
      </c>
      <c r="X130" s="43">
        <f>IFERROR(SUM(X129:X129),"0")</f>
        <v>0</v>
      </c>
      <c r="Y130" s="43">
        <f>IFERROR(SUM(Y129:Y129),"0")</f>
        <v>0</v>
      </c>
      <c r="Z130" s="43">
        <f>IFERROR(IF(Z129="",0,Z129),"0")</f>
        <v>0</v>
      </c>
      <c r="AA130" s="67"/>
      <c r="AB130" s="67"/>
      <c r="AC130" s="67"/>
    </row>
    <row r="131" spans="1:68" ht="12.75" hidden="1" customHeight="1" x14ac:dyDescent="0.2">
      <c r="A131" s="368"/>
      <c r="B131" s="368"/>
      <c r="C131" s="368"/>
      <c r="D131" s="368"/>
      <c r="E131" s="368"/>
      <c r="F131" s="368"/>
      <c r="G131" s="368"/>
      <c r="H131" s="368"/>
      <c r="I131" s="368"/>
      <c r="J131" s="368"/>
      <c r="K131" s="368"/>
      <c r="L131" s="368"/>
      <c r="M131" s="368"/>
      <c r="N131" s="368"/>
      <c r="O131" s="369"/>
      <c r="P131" s="365" t="s">
        <v>40</v>
      </c>
      <c r="Q131" s="366"/>
      <c r="R131" s="366"/>
      <c r="S131" s="366"/>
      <c r="T131" s="366"/>
      <c r="U131" s="366"/>
      <c r="V131" s="367"/>
      <c r="W131" s="42" t="s">
        <v>0</v>
      </c>
      <c r="X131" s="43">
        <f>IFERROR(SUMPRODUCT(X129:X129*H129:H129),"0")</f>
        <v>0</v>
      </c>
      <c r="Y131" s="43">
        <f>IFERROR(SUMPRODUCT(Y129:Y129*H129:H129),"0")</f>
        <v>0</v>
      </c>
      <c r="Z131" s="42"/>
      <c r="AA131" s="67"/>
      <c r="AB131" s="67"/>
      <c r="AC131" s="67"/>
    </row>
    <row r="132" spans="1:68" ht="16.5" hidden="1" customHeight="1" x14ac:dyDescent="0.25">
      <c r="A132" s="352" t="s">
        <v>229</v>
      </c>
      <c r="B132" s="352"/>
      <c r="C132" s="352"/>
      <c r="D132" s="352"/>
      <c r="E132" s="352"/>
      <c r="F132" s="352"/>
      <c r="G132" s="352"/>
      <c r="H132" s="352"/>
      <c r="I132" s="352"/>
      <c r="J132" s="352"/>
      <c r="K132" s="352"/>
      <c r="L132" s="352"/>
      <c r="M132" s="352"/>
      <c r="N132" s="352"/>
      <c r="O132" s="352"/>
      <c r="P132" s="352"/>
      <c r="Q132" s="352"/>
      <c r="R132" s="352"/>
      <c r="S132" s="352"/>
      <c r="T132" s="352"/>
      <c r="U132" s="352"/>
      <c r="V132" s="352"/>
      <c r="W132" s="352"/>
      <c r="X132" s="352"/>
      <c r="Y132" s="352"/>
      <c r="Z132" s="352"/>
      <c r="AA132" s="65"/>
      <c r="AB132" s="65"/>
      <c r="AC132" s="82"/>
    </row>
    <row r="133" spans="1:68" ht="14.25" hidden="1" customHeight="1" x14ac:dyDescent="0.25">
      <c r="A133" s="353" t="s">
        <v>230</v>
      </c>
      <c r="B133" s="353"/>
      <c r="C133" s="353"/>
      <c r="D133" s="353"/>
      <c r="E133" s="353"/>
      <c r="F133" s="353"/>
      <c r="G133" s="353"/>
      <c r="H133" s="353"/>
      <c r="I133" s="353"/>
      <c r="J133" s="353"/>
      <c r="K133" s="353"/>
      <c r="L133" s="353"/>
      <c r="M133" s="353"/>
      <c r="N133" s="353"/>
      <c r="O133" s="353"/>
      <c r="P133" s="353"/>
      <c r="Q133" s="353"/>
      <c r="R133" s="353"/>
      <c r="S133" s="353"/>
      <c r="T133" s="353"/>
      <c r="U133" s="353"/>
      <c r="V133" s="353"/>
      <c r="W133" s="353"/>
      <c r="X133" s="353"/>
      <c r="Y133" s="353"/>
      <c r="Z133" s="353"/>
      <c r="AA133" s="66"/>
      <c r="AB133" s="66"/>
      <c r="AC133" s="83"/>
    </row>
    <row r="134" spans="1:68" ht="27" hidden="1" customHeight="1" x14ac:dyDescent="0.25">
      <c r="A134" s="63" t="s">
        <v>231</v>
      </c>
      <c r="B134" s="63" t="s">
        <v>232</v>
      </c>
      <c r="C134" s="36">
        <v>4301190117</v>
      </c>
      <c r="D134" s="354">
        <v>4620207491386</v>
      </c>
      <c r="E134" s="354"/>
      <c r="F134" s="62">
        <v>0.18</v>
      </c>
      <c r="G134" s="37">
        <v>6</v>
      </c>
      <c r="H134" s="62">
        <v>1.08</v>
      </c>
      <c r="I134" s="62">
        <v>1.3979999999999999</v>
      </c>
      <c r="J134" s="37">
        <v>140</v>
      </c>
      <c r="K134" s="37" t="s">
        <v>117</v>
      </c>
      <c r="L134" s="37" t="s">
        <v>88</v>
      </c>
      <c r="M134" s="38" t="s">
        <v>86</v>
      </c>
      <c r="N134" s="38"/>
      <c r="O134" s="37">
        <v>180</v>
      </c>
      <c r="P134" s="410" t="str">
        <f>HYPERLINK("https://abi.ru/products/Замороженные/Горячая штучка/Хрустипай мини/Изделия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4" s="356"/>
      <c r="R134" s="356"/>
      <c r="S134" s="356"/>
      <c r="T134" s="357"/>
      <c r="U134" s="39" t="s">
        <v>46</v>
      </c>
      <c r="V134" s="39" t="s">
        <v>46</v>
      </c>
      <c r="W134" s="40" t="s">
        <v>39</v>
      </c>
      <c r="X134" s="58">
        <v>0</v>
      </c>
      <c r="Y134" s="55">
        <f>IFERROR(IF(X134="","",X134),"")</f>
        <v>0</v>
      </c>
      <c r="Z134" s="41">
        <f>IFERROR(IF(X134="","",X134*0.00941),"")</f>
        <v>0</v>
      </c>
      <c r="AA134" s="68" t="s">
        <v>46</v>
      </c>
      <c r="AB134" s="69" t="s">
        <v>46</v>
      </c>
      <c r="AC134" s="185" t="s">
        <v>233</v>
      </c>
      <c r="AG134" s="81"/>
      <c r="AJ134" s="87" t="s">
        <v>89</v>
      </c>
      <c r="AK134" s="87">
        <v>1</v>
      </c>
      <c r="BB134" s="186" t="s">
        <v>116</v>
      </c>
      <c r="BM134" s="81">
        <f>IFERROR(X134*I134,"0")</f>
        <v>0</v>
      </c>
      <c r="BN134" s="81">
        <f>IFERROR(Y134*I134,"0")</f>
        <v>0</v>
      </c>
      <c r="BO134" s="81">
        <f>IFERROR(X134/J134,"0")</f>
        <v>0</v>
      </c>
      <c r="BP134" s="81">
        <f>IFERROR(Y134/J134,"0")</f>
        <v>0</v>
      </c>
    </row>
    <row r="135" spans="1:68" ht="12.75" hidden="1" customHeight="1" x14ac:dyDescent="0.2">
      <c r="A135" s="368"/>
      <c r="B135" s="368"/>
      <c r="C135" s="368"/>
      <c r="D135" s="368"/>
      <c r="E135" s="368"/>
      <c r="F135" s="368"/>
      <c r="G135" s="368"/>
      <c r="H135" s="368"/>
      <c r="I135" s="368"/>
      <c r="J135" s="368"/>
      <c r="K135" s="368"/>
      <c r="L135" s="368"/>
      <c r="M135" s="368"/>
      <c r="N135" s="368"/>
      <c r="O135" s="369"/>
      <c r="P135" s="365" t="s">
        <v>40</v>
      </c>
      <c r="Q135" s="366"/>
      <c r="R135" s="366"/>
      <c r="S135" s="366"/>
      <c r="T135" s="366"/>
      <c r="U135" s="366"/>
      <c r="V135" s="367"/>
      <c r="W135" s="42" t="s">
        <v>39</v>
      </c>
      <c r="X135" s="43">
        <f>IFERROR(SUM(X134:X134),"0")</f>
        <v>0</v>
      </c>
      <c r="Y135" s="43">
        <f>IFERROR(SUM(Y134:Y134),"0")</f>
        <v>0</v>
      </c>
      <c r="Z135" s="43">
        <f>IFERROR(IF(Z134="",0,Z134),"0")</f>
        <v>0</v>
      </c>
      <c r="AA135" s="67"/>
      <c r="AB135" s="67"/>
      <c r="AC135" s="67"/>
    </row>
    <row r="136" spans="1:68" ht="12.75" hidden="1" customHeight="1" x14ac:dyDescent="0.2">
      <c r="A136" s="368"/>
      <c r="B136" s="368"/>
      <c r="C136" s="368"/>
      <c r="D136" s="368"/>
      <c r="E136" s="368"/>
      <c r="F136" s="368"/>
      <c r="G136" s="368"/>
      <c r="H136" s="368"/>
      <c r="I136" s="368"/>
      <c r="J136" s="368"/>
      <c r="K136" s="368"/>
      <c r="L136" s="368"/>
      <c r="M136" s="368"/>
      <c r="N136" s="368"/>
      <c r="O136" s="369"/>
      <c r="P136" s="365" t="s">
        <v>40</v>
      </c>
      <c r="Q136" s="366"/>
      <c r="R136" s="366"/>
      <c r="S136" s="366"/>
      <c r="T136" s="366"/>
      <c r="U136" s="366"/>
      <c r="V136" s="367"/>
      <c r="W136" s="42" t="s">
        <v>0</v>
      </c>
      <c r="X136" s="43">
        <f>IFERROR(SUMPRODUCT(X134:X134*H134:H134),"0")</f>
        <v>0</v>
      </c>
      <c r="Y136" s="43">
        <f>IFERROR(SUMPRODUCT(Y134:Y134*H134:H134),"0")</f>
        <v>0</v>
      </c>
      <c r="Z136" s="42"/>
      <c r="AA136" s="67"/>
      <c r="AB136" s="67"/>
      <c r="AC136" s="67"/>
    </row>
    <row r="137" spans="1:68" ht="16.5" hidden="1" customHeight="1" x14ac:dyDescent="0.25">
      <c r="A137" s="352" t="s">
        <v>234</v>
      </c>
      <c r="B137" s="352"/>
      <c r="C137" s="352"/>
      <c r="D137" s="352"/>
      <c r="E137" s="352"/>
      <c r="F137" s="352"/>
      <c r="G137" s="352"/>
      <c r="H137" s="352"/>
      <c r="I137" s="352"/>
      <c r="J137" s="352"/>
      <c r="K137" s="352"/>
      <c r="L137" s="352"/>
      <c r="M137" s="352"/>
      <c r="N137" s="352"/>
      <c r="O137" s="352"/>
      <c r="P137" s="352"/>
      <c r="Q137" s="352"/>
      <c r="R137" s="352"/>
      <c r="S137" s="352"/>
      <c r="T137" s="352"/>
      <c r="U137" s="352"/>
      <c r="V137" s="352"/>
      <c r="W137" s="352"/>
      <c r="X137" s="352"/>
      <c r="Y137" s="352"/>
      <c r="Z137" s="352"/>
      <c r="AA137" s="65"/>
      <c r="AB137" s="65"/>
      <c r="AC137" s="82"/>
    </row>
    <row r="138" spans="1:68" ht="14.25" hidden="1" customHeight="1" x14ac:dyDescent="0.25">
      <c r="A138" s="353" t="s">
        <v>156</v>
      </c>
      <c r="B138" s="353"/>
      <c r="C138" s="353"/>
      <c r="D138" s="353"/>
      <c r="E138" s="353"/>
      <c r="F138" s="353"/>
      <c r="G138" s="353"/>
      <c r="H138" s="353"/>
      <c r="I138" s="353"/>
      <c r="J138" s="353"/>
      <c r="K138" s="353"/>
      <c r="L138" s="353"/>
      <c r="M138" s="353"/>
      <c r="N138" s="353"/>
      <c r="O138" s="353"/>
      <c r="P138" s="353"/>
      <c r="Q138" s="353"/>
      <c r="R138" s="353"/>
      <c r="S138" s="353"/>
      <c r="T138" s="353"/>
      <c r="U138" s="353"/>
      <c r="V138" s="353"/>
      <c r="W138" s="353"/>
      <c r="X138" s="353"/>
      <c r="Y138" s="353"/>
      <c r="Z138" s="353"/>
      <c r="AA138" s="66"/>
      <c r="AB138" s="66"/>
      <c r="AC138" s="83"/>
    </row>
    <row r="139" spans="1:68" ht="27" hidden="1" customHeight="1" x14ac:dyDescent="0.25">
      <c r="A139" s="63" t="s">
        <v>235</v>
      </c>
      <c r="B139" s="63" t="s">
        <v>236</v>
      </c>
      <c r="C139" s="36">
        <v>4301135865</v>
      </c>
      <c r="D139" s="354">
        <v>4620207491485</v>
      </c>
      <c r="E139" s="354"/>
      <c r="F139" s="62">
        <v>0.23</v>
      </c>
      <c r="G139" s="37">
        <v>6</v>
      </c>
      <c r="H139" s="62">
        <v>1.38</v>
      </c>
      <c r="I139" s="62">
        <v>1.8</v>
      </c>
      <c r="J139" s="37">
        <v>140</v>
      </c>
      <c r="K139" s="37" t="s">
        <v>117</v>
      </c>
      <c r="L139" s="37" t="s">
        <v>88</v>
      </c>
      <c r="M139" s="38" t="s">
        <v>86</v>
      </c>
      <c r="N139" s="38"/>
      <c r="O139" s="37">
        <v>180</v>
      </c>
      <c r="P139" s="411" t="str">
        <f>HYPERLINK("https://abi.ru/products/Замороженные/Горячая штучка/Чебупицца/Снеки/P005180/","Снеки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9" s="356"/>
      <c r="R139" s="356"/>
      <c r="S139" s="356"/>
      <c r="T139" s="357"/>
      <c r="U139" s="39" t="s">
        <v>46</v>
      </c>
      <c r="V139" s="39" t="s">
        <v>46</v>
      </c>
      <c r="W139" s="40" t="s">
        <v>39</v>
      </c>
      <c r="X139" s="58">
        <v>0</v>
      </c>
      <c r="Y139" s="55">
        <f>IFERROR(IF(X139="","",X139),"")</f>
        <v>0</v>
      </c>
      <c r="Z139" s="41">
        <f>IFERROR(IF(X139="","",X139*0.00941),"")</f>
        <v>0</v>
      </c>
      <c r="AA139" s="68" t="s">
        <v>46</v>
      </c>
      <c r="AB139" s="69" t="s">
        <v>46</v>
      </c>
      <c r="AC139" s="187" t="s">
        <v>237</v>
      </c>
      <c r="AG139" s="81"/>
      <c r="AJ139" s="87" t="s">
        <v>89</v>
      </c>
      <c r="AK139" s="87">
        <v>1</v>
      </c>
      <c r="BB139" s="188" t="s">
        <v>116</v>
      </c>
      <c r="BM139" s="81">
        <f>IFERROR(X139*I139,"0")</f>
        <v>0</v>
      </c>
      <c r="BN139" s="81">
        <f>IFERROR(Y139*I139,"0")</f>
        <v>0</v>
      </c>
      <c r="BO139" s="81">
        <f>IFERROR(X139/J139,"0")</f>
        <v>0</v>
      </c>
      <c r="BP139" s="81">
        <f>IFERROR(Y139/J139,"0")</f>
        <v>0</v>
      </c>
    </row>
    <row r="140" spans="1:68" ht="27" customHeight="1" x14ac:dyDescent="0.25">
      <c r="A140" s="63" t="s">
        <v>238</v>
      </c>
      <c r="B140" s="63" t="s">
        <v>239</v>
      </c>
      <c r="C140" s="36">
        <v>4301135555</v>
      </c>
      <c r="D140" s="354">
        <v>4607111034014</v>
      </c>
      <c r="E140" s="354"/>
      <c r="F140" s="62">
        <v>0.25</v>
      </c>
      <c r="G140" s="37">
        <v>12</v>
      </c>
      <c r="H140" s="62">
        <v>3</v>
      </c>
      <c r="I140" s="62">
        <v>3.7035999999999998</v>
      </c>
      <c r="J140" s="37">
        <v>70</v>
      </c>
      <c r="K140" s="37" t="s">
        <v>117</v>
      </c>
      <c r="L140" s="37" t="s">
        <v>118</v>
      </c>
      <c r="M140" s="38" t="s">
        <v>86</v>
      </c>
      <c r="N140" s="38"/>
      <c r="O140" s="37">
        <v>180</v>
      </c>
      <c r="P140" s="412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0" s="356"/>
      <c r="R140" s="356"/>
      <c r="S140" s="356"/>
      <c r="T140" s="357"/>
      <c r="U140" s="39" t="s">
        <v>46</v>
      </c>
      <c r="V140" s="39" t="s">
        <v>46</v>
      </c>
      <c r="W140" s="40" t="s">
        <v>39</v>
      </c>
      <c r="X140" s="58">
        <v>112</v>
      </c>
      <c r="Y140" s="55">
        <f>IFERROR(IF(X140="","",X140),"")</f>
        <v>112</v>
      </c>
      <c r="Z140" s="41">
        <f>IFERROR(IF(X140="","",X140*0.01788),"")</f>
        <v>2.0025599999999999</v>
      </c>
      <c r="AA140" s="68" t="s">
        <v>46</v>
      </c>
      <c r="AB140" s="69" t="s">
        <v>46</v>
      </c>
      <c r="AC140" s="189" t="s">
        <v>240</v>
      </c>
      <c r="AG140" s="81"/>
      <c r="AJ140" s="87" t="s">
        <v>119</v>
      </c>
      <c r="AK140" s="87">
        <v>14</v>
      </c>
      <c r="BB140" s="190" t="s">
        <v>116</v>
      </c>
      <c r="BM140" s="81">
        <f>IFERROR(X140*I140,"0")</f>
        <v>414.80319999999995</v>
      </c>
      <c r="BN140" s="81">
        <f>IFERROR(Y140*I140,"0")</f>
        <v>414.80319999999995</v>
      </c>
      <c r="BO140" s="81">
        <f>IFERROR(X140/J140,"0")</f>
        <v>1.6</v>
      </c>
      <c r="BP140" s="81">
        <f>IFERROR(Y140/J140,"0")</f>
        <v>1.6</v>
      </c>
    </row>
    <row r="141" spans="1:68" ht="27" customHeight="1" x14ac:dyDescent="0.25">
      <c r="A141" s="63" t="s">
        <v>241</v>
      </c>
      <c r="B141" s="63" t="s">
        <v>242</v>
      </c>
      <c r="C141" s="36">
        <v>4301135532</v>
      </c>
      <c r="D141" s="354">
        <v>4607111033994</v>
      </c>
      <c r="E141" s="354"/>
      <c r="F141" s="62">
        <v>0.25</v>
      </c>
      <c r="G141" s="37">
        <v>12</v>
      </c>
      <c r="H141" s="62">
        <v>3</v>
      </c>
      <c r="I141" s="62">
        <v>3.7035999999999998</v>
      </c>
      <c r="J141" s="37">
        <v>70</v>
      </c>
      <c r="K141" s="37" t="s">
        <v>117</v>
      </c>
      <c r="L141" s="37" t="s">
        <v>118</v>
      </c>
      <c r="M141" s="38" t="s">
        <v>86</v>
      </c>
      <c r="N141" s="38"/>
      <c r="O141" s="37">
        <v>180</v>
      </c>
      <c r="P141" s="413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1" s="356"/>
      <c r="R141" s="356"/>
      <c r="S141" s="356"/>
      <c r="T141" s="357"/>
      <c r="U141" s="39" t="s">
        <v>46</v>
      </c>
      <c r="V141" s="39" t="s">
        <v>46</v>
      </c>
      <c r="W141" s="40" t="s">
        <v>39</v>
      </c>
      <c r="X141" s="58">
        <v>98</v>
      </c>
      <c r="Y141" s="55">
        <f>IFERROR(IF(X141="","",X141),"")</f>
        <v>98</v>
      </c>
      <c r="Z141" s="41">
        <f>IFERROR(IF(X141="","",X141*0.01788),"")</f>
        <v>1.75224</v>
      </c>
      <c r="AA141" s="68" t="s">
        <v>46</v>
      </c>
      <c r="AB141" s="69" t="s">
        <v>46</v>
      </c>
      <c r="AC141" s="191" t="s">
        <v>174</v>
      </c>
      <c r="AG141" s="81"/>
      <c r="AJ141" s="87" t="s">
        <v>119</v>
      </c>
      <c r="AK141" s="87">
        <v>14</v>
      </c>
      <c r="BB141" s="192" t="s">
        <v>116</v>
      </c>
      <c r="BM141" s="81">
        <f>IFERROR(X141*I141,"0")</f>
        <v>362.95279999999997</v>
      </c>
      <c r="BN141" s="81">
        <f>IFERROR(Y141*I141,"0")</f>
        <v>362.95279999999997</v>
      </c>
      <c r="BO141" s="81">
        <f>IFERROR(X141/J141,"0")</f>
        <v>1.4</v>
      </c>
      <c r="BP141" s="81">
        <f>IFERROR(Y141/J141,"0")</f>
        <v>1.4</v>
      </c>
    </row>
    <row r="142" spans="1:68" x14ac:dyDescent="0.2">
      <c r="A142" s="368"/>
      <c r="B142" s="368"/>
      <c r="C142" s="368"/>
      <c r="D142" s="368"/>
      <c r="E142" s="368"/>
      <c r="F142" s="368"/>
      <c r="G142" s="368"/>
      <c r="H142" s="368"/>
      <c r="I142" s="368"/>
      <c r="J142" s="368"/>
      <c r="K142" s="368"/>
      <c r="L142" s="368"/>
      <c r="M142" s="368"/>
      <c r="N142" s="368"/>
      <c r="O142" s="369"/>
      <c r="P142" s="365" t="s">
        <v>40</v>
      </c>
      <c r="Q142" s="366"/>
      <c r="R142" s="366"/>
      <c r="S142" s="366"/>
      <c r="T142" s="366"/>
      <c r="U142" s="366"/>
      <c r="V142" s="367"/>
      <c r="W142" s="42" t="s">
        <v>39</v>
      </c>
      <c r="X142" s="43">
        <f>IFERROR(SUM(X139:X141),"0")</f>
        <v>210</v>
      </c>
      <c r="Y142" s="43">
        <f>IFERROR(SUM(Y139:Y141),"0")</f>
        <v>210</v>
      </c>
      <c r="Z142" s="43">
        <f>IFERROR(IF(Z139="",0,Z139),"0")+IFERROR(IF(Z140="",0,Z140),"0")+IFERROR(IF(Z141="",0,Z141),"0")</f>
        <v>3.7547999999999999</v>
      </c>
      <c r="AA142" s="67"/>
      <c r="AB142" s="67"/>
      <c r="AC142" s="67"/>
    </row>
    <row r="143" spans="1:68" x14ac:dyDescent="0.2">
      <c r="A143" s="368"/>
      <c r="B143" s="368"/>
      <c r="C143" s="368"/>
      <c r="D143" s="368"/>
      <c r="E143" s="368"/>
      <c r="F143" s="368"/>
      <c r="G143" s="368"/>
      <c r="H143" s="368"/>
      <c r="I143" s="368"/>
      <c r="J143" s="368"/>
      <c r="K143" s="368"/>
      <c r="L143" s="368"/>
      <c r="M143" s="368"/>
      <c r="N143" s="368"/>
      <c r="O143" s="369"/>
      <c r="P143" s="365" t="s">
        <v>40</v>
      </c>
      <c r="Q143" s="366"/>
      <c r="R143" s="366"/>
      <c r="S143" s="366"/>
      <c r="T143" s="366"/>
      <c r="U143" s="366"/>
      <c r="V143" s="367"/>
      <c r="W143" s="42" t="s">
        <v>0</v>
      </c>
      <c r="X143" s="43">
        <f>IFERROR(SUMPRODUCT(X139:X141*H139:H141),"0")</f>
        <v>630</v>
      </c>
      <c r="Y143" s="43">
        <f>IFERROR(SUMPRODUCT(Y139:Y141*H139:H141),"0")</f>
        <v>630</v>
      </c>
      <c r="Z143" s="42"/>
      <c r="AA143" s="67"/>
      <c r="AB143" s="67"/>
      <c r="AC143" s="67"/>
    </row>
    <row r="144" spans="1:68" ht="16.5" hidden="1" customHeight="1" x14ac:dyDescent="0.25">
      <c r="A144" s="352" t="s">
        <v>243</v>
      </c>
      <c r="B144" s="352"/>
      <c r="C144" s="352"/>
      <c r="D144" s="352"/>
      <c r="E144" s="352"/>
      <c r="F144" s="352"/>
      <c r="G144" s="352"/>
      <c r="H144" s="352"/>
      <c r="I144" s="352"/>
      <c r="J144" s="352"/>
      <c r="K144" s="352"/>
      <c r="L144" s="352"/>
      <c r="M144" s="352"/>
      <c r="N144" s="352"/>
      <c r="O144" s="352"/>
      <c r="P144" s="352"/>
      <c r="Q144" s="352"/>
      <c r="R144" s="352"/>
      <c r="S144" s="352"/>
      <c r="T144" s="352"/>
      <c r="U144" s="352"/>
      <c r="V144" s="352"/>
      <c r="W144" s="352"/>
      <c r="X144" s="352"/>
      <c r="Y144" s="352"/>
      <c r="Z144" s="352"/>
      <c r="AA144" s="65"/>
      <c r="AB144" s="65"/>
      <c r="AC144" s="82"/>
    </row>
    <row r="145" spans="1:68" ht="14.25" hidden="1" customHeight="1" x14ac:dyDescent="0.25">
      <c r="A145" s="353" t="s">
        <v>156</v>
      </c>
      <c r="B145" s="353"/>
      <c r="C145" s="353"/>
      <c r="D145" s="353"/>
      <c r="E145" s="353"/>
      <c r="F145" s="353"/>
      <c r="G145" s="353"/>
      <c r="H145" s="353"/>
      <c r="I145" s="353"/>
      <c r="J145" s="353"/>
      <c r="K145" s="353"/>
      <c r="L145" s="353"/>
      <c r="M145" s="353"/>
      <c r="N145" s="353"/>
      <c r="O145" s="353"/>
      <c r="P145" s="353"/>
      <c r="Q145" s="353"/>
      <c r="R145" s="353"/>
      <c r="S145" s="353"/>
      <c r="T145" s="353"/>
      <c r="U145" s="353"/>
      <c r="V145" s="353"/>
      <c r="W145" s="353"/>
      <c r="X145" s="353"/>
      <c r="Y145" s="353"/>
      <c r="Z145" s="353"/>
      <c r="AA145" s="66"/>
      <c r="AB145" s="66"/>
      <c r="AC145" s="83"/>
    </row>
    <row r="146" spans="1:68" ht="27" hidden="1" customHeight="1" x14ac:dyDescent="0.25">
      <c r="A146" s="63" t="s">
        <v>244</v>
      </c>
      <c r="B146" s="63" t="s">
        <v>245</v>
      </c>
      <c r="C146" s="36">
        <v>4301135850</v>
      </c>
      <c r="D146" s="354">
        <v>4620207491492</v>
      </c>
      <c r="E146" s="354"/>
      <c r="F146" s="62">
        <v>0.23</v>
      </c>
      <c r="G146" s="37">
        <v>6</v>
      </c>
      <c r="H146" s="62">
        <v>1.38</v>
      </c>
      <c r="I146" s="62">
        <v>1.8</v>
      </c>
      <c r="J146" s="37">
        <v>140</v>
      </c>
      <c r="K146" s="37" t="s">
        <v>117</v>
      </c>
      <c r="L146" s="37" t="s">
        <v>88</v>
      </c>
      <c r="M146" s="38" t="s">
        <v>86</v>
      </c>
      <c r="N146" s="38"/>
      <c r="O146" s="37">
        <v>180</v>
      </c>
      <c r="P146" s="414" t="str">
        <f>HYPERLINK("https://abi.ru/products/Замороженные/Горячая штучка/Хотстеры/Снеки/P005182/","Снеки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46" s="356"/>
      <c r="R146" s="356"/>
      <c r="S146" s="356"/>
      <c r="T146" s="357"/>
      <c r="U146" s="39" t="s">
        <v>46</v>
      </c>
      <c r="V146" s="39" t="s">
        <v>46</v>
      </c>
      <c r="W146" s="40" t="s">
        <v>39</v>
      </c>
      <c r="X146" s="58">
        <v>0</v>
      </c>
      <c r="Y146" s="55">
        <f>IFERROR(IF(X146="","",X146),"")</f>
        <v>0</v>
      </c>
      <c r="Z146" s="41">
        <f>IFERROR(IF(X146="","",X146*0.00941),"")</f>
        <v>0</v>
      </c>
      <c r="AA146" s="68" t="s">
        <v>46</v>
      </c>
      <c r="AB146" s="69" t="s">
        <v>46</v>
      </c>
      <c r="AC146" s="193" t="s">
        <v>237</v>
      </c>
      <c r="AG146" s="81"/>
      <c r="AJ146" s="87" t="s">
        <v>89</v>
      </c>
      <c r="AK146" s="87">
        <v>1</v>
      </c>
      <c r="BB146" s="194" t="s">
        <v>116</v>
      </c>
      <c r="BM146" s="81">
        <f>IFERROR(X146*I146,"0")</f>
        <v>0</v>
      </c>
      <c r="BN146" s="81">
        <f>IFERROR(Y146*I146,"0")</f>
        <v>0</v>
      </c>
      <c r="BO146" s="81">
        <f>IFERROR(X146/J146,"0")</f>
        <v>0</v>
      </c>
      <c r="BP146" s="81">
        <f>IFERROR(Y146/J146,"0")</f>
        <v>0</v>
      </c>
    </row>
    <row r="147" spans="1:68" ht="27" hidden="1" customHeight="1" x14ac:dyDescent="0.25">
      <c r="A147" s="63" t="s">
        <v>246</v>
      </c>
      <c r="B147" s="63" t="s">
        <v>247</v>
      </c>
      <c r="C147" s="36">
        <v>4301135824</v>
      </c>
      <c r="D147" s="354">
        <v>4607111039095</v>
      </c>
      <c r="E147" s="354"/>
      <c r="F147" s="62">
        <v>0.25</v>
      </c>
      <c r="G147" s="37">
        <v>12</v>
      </c>
      <c r="H147" s="62">
        <v>3</v>
      </c>
      <c r="I147" s="62">
        <v>3.7480000000000002</v>
      </c>
      <c r="J147" s="37">
        <v>70</v>
      </c>
      <c r="K147" s="37" t="s">
        <v>117</v>
      </c>
      <c r="L147" s="37" t="s">
        <v>88</v>
      </c>
      <c r="M147" s="38" t="s">
        <v>86</v>
      </c>
      <c r="N147" s="38"/>
      <c r="O147" s="37">
        <v>180</v>
      </c>
      <c r="P147" s="415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47" s="356"/>
      <c r="R147" s="356"/>
      <c r="S147" s="356"/>
      <c r="T147" s="357"/>
      <c r="U147" s="39" t="s">
        <v>46</v>
      </c>
      <c r="V147" s="39" t="s">
        <v>46</v>
      </c>
      <c r="W147" s="40" t="s">
        <v>39</v>
      </c>
      <c r="X147" s="58">
        <v>0</v>
      </c>
      <c r="Y147" s="55">
        <f>IFERROR(IF(X147="","",X147),"")</f>
        <v>0</v>
      </c>
      <c r="Z147" s="41">
        <f>IFERROR(IF(X147="","",X147*0.01788),"")</f>
        <v>0</v>
      </c>
      <c r="AA147" s="68" t="s">
        <v>46</v>
      </c>
      <c r="AB147" s="69" t="s">
        <v>46</v>
      </c>
      <c r="AC147" s="195" t="s">
        <v>248</v>
      </c>
      <c r="AG147" s="81"/>
      <c r="AJ147" s="87" t="s">
        <v>89</v>
      </c>
      <c r="AK147" s="87">
        <v>1</v>
      </c>
      <c r="BB147" s="196" t="s">
        <v>116</v>
      </c>
      <c r="BM147" s="81">
        <f>IFERROR(X147*I147,"0")</f>
        <v>0</v>
      </c>
      <c r="BN147" s="81">
        <f>IFERROR(Y147*I147,"0")</f>
        <v>0</v>
      </c>
      <c r="BO147" s="81">
        <f>IFERROR(X147/J147,"0")</f>
        <v>0</v>
      </c>
      <c r="BP147" s="81">
        <f>IFERROR(Y147/J147,"0")</f>
        <v>0</v>
      </c>
    </row>
    <row r="148" spans="1:68" ht="16.5" customHeight="1" x14ac:dyDescent="0.25">
      <c r="A148" s="63" t="s">
        <v>249</v>
      </c>
      <c r="B148" s="63" t="s">
        <v>250</v>
      </c>
      <c r="C148" s="36">
        <v>4301135550</v>
      </c>
      <c r="D148" s="354">
        <v>4607111034199</v>
      </c>
      <c r="E148" s="354"/>
      <c r="F148" s="62">
        <v>0.25</v>
      </c>
      <c r="G148" s="37">
        <v>12</v>
      </c>
      <c r="H148" s="62">
        <v>3</v>
      </c>
      <c r="I148" s="62">
        <v>3.7035999999999998</v>
      </c>
      <c r="J148" s="37">
        <v>70</v>
      </c>
      <c r="K148" s="37" t="s">
        <v>117</v>
      </c>
      <c r="L148" s="37" t="s">
        <v>118</v>
      </c>
      <c r="M148" s="38" t="s">
        <v>86</v>
      </c>
      <c r="N148" s="38"/>
      <c r="O148" s="37">
        <v>180</v>
      </c>
      <c r="P148" s="416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48" s="356"/>
      <c r="R148" s="356"/>
      <c r="S148" s="356"/>
      <c r="T148" s="357"/>
      <c r="U148" s="39" t="s">
        <v>46</v>
      </c>
      <c r="V148" s="39" t="s">
        <v>46</v>
      </c>
      <c r="W148" s="40" t="s">
        <v>39</v>
      </c>
      <c r="X148" s="58">
        <v>28</v>
      </c>
      <c r="Y148" s="55">
        <f>IFERROR(IF(X148="","",X148),"")</f>
        <v>28</v>
      </c>
      <c r="Z148" s="41">
        <f>IFERROR(IF(X148="","",X148*0.01788),"")</f>
        <v>0.50063999999999997</v>
      </c>
      <c r="AA148" s="68" t="s">
        <v>46</v>
      </c>
      <c r="AB148" s="69" t="s">
        <v>46</v>
      </c>
      <c r="AC148" s="197" t="s">
        <v>251</v>
      </c>
      <c r="AG148" s="81"/>
      <c r="AJ148" s="87" t="s">
        <v>119</v>
      </c>
      <c r="AK148" s="87">
        <v>14</v>
      </c>
      <c r="BB148" s="198" t="s">
        <v>116</v>
      </c>
      <c r="BM148" s="81">
        <f>IFERROR(X148*I148,"0")</f>
        <v>103.70079999999999</v>
      </c>
      <c r="BN148" s="81">
        <f>IFERROR(Y148*I148,"0")</f>
        <v>103.70079999999999</v>
      </c>
      <c r="BO148" s="81">
        <f>IFERROR(X148/J148,"0")</f>
        <v>0.4</v>
      </c>
      <c r="BP148" s="81">
        <f>IFERROR(Y148/J148,"0")</f>
        <v>0.4</v>
      </c>
    </row>
    <row r="149" spans="1:68" x14ac:dyDescent="0.2">
      <c r="A149" s="368"/>
      <c r="B149" s="368"/>
      <c r="C149" s="368"/>
      <c r="D149" s="368"/>
      <c r="E149" s="368"/>
      <c r="F149" s="368"/>
      <c r="G149" s="368"/>
      <c r="H149" s="368"/>
      <c r="I149" s="368"/>
      <c r="J149" s="368"/>
      <c r="K149" s="368"/>
      <c r="L149" s="368"/>
      <c r="M149" s="368"/>
      <c r="N149" s="368"/>
      <c r="O149" s="369"/>
      <c r="P149" s="365" t="s">
        <v>40</v>
      </c>
      <c r="Q149" s="366"/>
      <c r="R149" s="366"/>
      <c r="S149" s="366"/>
      <c r="T149" s="366"/>
      <c r="U149" s="366"/>
      <c r="V149" s="367"/>
      <c r="W149" s="42" t="s">
        <v>39</v>
      </c>
      <c r="X149" s="43">
        <f>IFERROR(SUM(X146:X148),"0")</f>
        <v>28</v>
      </c>
      <c r="Y149" s="43">
        <f>IFERROR(SUM(Y146:Y148),"0")</f>
        <v>28</v>
      </c>
      <c r="Z149" s="43">
        <f>IFERROR(IF(Z146="",0,Z146),"0")+IFERROR(IF(Z147="",0,Z147),"0")+IFERROR(IF(Z148="",0,Z148),"0")</f>
        <v>0.50063999999999997</v>
      </c>
      <c r="AA149" s="67"/>
      <c r="AB149" s="67"/>
      <c r="AC149" s="67"/>
    </row>
    <row r="150" spans="1:68" x14ac:dyDescent="0.2">
      <c r="A150" s="368"/>
      <c r="B150" s="368"/>
      <c r="C150" s="368"/>
      <c r="D150" s="368"/>
      <c r="E150" s="368"/>
      <c r="F150" s="368"/>
      <c r="G150" s="368"/>
      <c r="H150" s="368"/>
      <c r="I150" s="368"/>
      <c r="J150" s="368"/>
      <c r="K150" s="368"/>
      <c r="L150" s="368"/>
      <c r="M150" s="368"/>
      <c r="N150" s="368"/>
      <c r="O150" s="369"/>
      <c r="P150" s="365" t="s">
        <v>40</v>
      </c>
      <c r="Q150" s="366"/>
      <c r="R150" s="366"/>
      <c r="S150" s="366"/>
      <c r="T150" s="366"/>
      <c r="U150" s="366"/>
      <c r="V150" s="367"/>
      <c r="W150" s="42" t="s">
        <v>0</v>
      </c>
      <c r="X150" s="43">
        <f>IFERROR(SUMPRODUCT(X146:X148*H146:H148),"0")</f>
        <v>84</v>
      </c>
      <c r="Y150" s="43">
        <f>IFERROR(SUMPRODUCT(Y146:Y148*H146:H148),"0")</f>
        <v>84</v>
      </c>
      <c r="Z150" s="42"/>
      <c r="AA150" s="67"/>
      <c r="AB150" s="67"/>
      <c r="AC150" s="67"/>
    </row>
    <row r="151" spans="1:68" ht="16.5" hidden="1" customHeight="1" x14ac:dyDescent="0.25">
      <c r="A151" s="352" t="s">
        <v>252</v>
      </c>
      <c r="B151" s="352"/>
      <c r="C151" s="352"/>
      <c r="D151" s="352"/>
      <c r="E151" s="352"/>
      <c r="F151" s="352"/>
      <c r="G151" s="352"/>
      <c r="H151" s="352"/>
      <c r="I151" s="352"/>
      <c r="J151" s="352"/>
      <c r="K151" s="352"/>
      <c r="L151" s="352"/>
      <c r="M151" s="352"/>
      <c r="N151" s="352"/>
      <c r="O151" s="352"/>
      <c r="P151" s="352"/>
      <c r="Q151" s="352"/>
      <c r="R151" s="352"/>
      <c r="S151" s="352"/>
      <c r="T151" s="352"/>
      <c r="U151" s="352"/>
      <c r="V151" s="352"/>
      <c r="W151" s="352"/>
      <c r="X151" s="352"/>
      <c r="Y151" s="352"/>
      <c r="Z151" s="352"/>
      <c r="AA151" s="65"/>
      <c r="AB151" s="65"/>
      <c r="AC151" s="82"/>
    </row>
    <row r="152" spans="1:68" ht="14.25" hidden="1" customHeight="1" x14ac:dyDescent="0.25">
      <c r="A152" s="353" t="s">
        <v>156</v>
      </c>
      <c r="B152" s="353"/>
      <c r="C152" s="353"/>
      <c r="D152" s="353"/>
      <c r="E152" s="353"/>
      <c r="F152" s="353"/>
      <c r="G152" s="353"/>
      <c r="H152" s="353"/>
      <c r="I152" s="353"/>
      <c r="J152" s="353"/>
      <c r="K152" s="353"/>
      <c r="L152" s="353"/>
      <c r="M152" s="353"/>
      <c r="N152" s="353"/>
      <c r="O152" s="353"/>
      <c r="P152" s="353"/>
      <c r="Q152" s="353"/>
      <c r="R152" s="353"/>
      <c r="S152" s="353"/>
      <c r="T152" s="353"/>
      <c r="U152" s="353"/>
      <c r="V152" s="353"/>
      <c r="W152" s="353"/>
      <c r="X152" s="353"/>
      <c r="Y152" s="353"/>
      <c r="Z152" s="353"/>
      <c r="AA152" s="66"/>
      <c r="AB152" s="66"/>
      <c r="AC152" s="83"/>
    </row>
    <row r="153" spans="1:68" ht="27" customHeight="1" x14ac:dyDescent="0.25">
      <c r="A153" s="63" t="s">
        <v>253</v>
      </c>
      <c r="B153" s="63" t="s">
        <v>254</v>
      </c>
      <c r="C153" s="36">
        <v>4301135753</v>
      </c>
      <c r="D153" s="354">
        <v>4620207490914</v>
      </c>
      <c r="E153" s="354"/>
      <c r="F153" s="62">
        <v>0.2</v>
      </c>
      <c r="G153" s="37">
        <v>12</v>
      </c>
      <c r="H153" s="62">
        <v>2.4</v>
      </c>
      <c r="I153" s="62">
        <v>2.68</v>
      </c>
      <c r="J153" s="37">
        <v>70</v>
      </c>
      <c r="K153" s="37" t="s">
        <v>117</v>
      </c>
      <c r="L153" s="37" t="s">
        <v>88</v>
      </c>
      <c r="M153" s="38" t="s">
        <v>86</v>
      </c>
      <c r="N153" s="38"/>
      <c r="O153" s="37">
        <v>180</v>
      </c>
      <c r="P153" s="417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3" s="356"/>
      <c r="R153" s="356"/>
      <c r="S153" s="356"/>
      <c r="T153" s="357"/>
      <c r="U153" s="39" t="s">
        <v>46</v>
      </c>
      <c r="V153" s="39" t="s">
        <v>46</v>
      </c>
      <c r="W153" s="40" t="s">
        <v>39</v>
      </c>
      <c r="X153" s="58">
        <v>42</v>
      </c>
      <c r="Y153" s="55">
        <f>IFERROR(IF(X153="","",X153),"")</f>
        <v>42</v>
      </c>
      <c r="Z153" s="41">
        <f>IFERROR(IF(X153="","",X153*0.01788),"")</f>
        <v>0.75095999999999996</v>
      </c>
      <c r="AA153" s="68" t="s">
        <v>46</v>
      </c>
      <c r="AB153" s="69" t="s">
        <v>46</v>
      </c>
      <c r="AC153" s="199" t="s">
        <v>240</v>
      </c>
      <c r="AG153" s="81"/>
      <c r="AJ153" s="87" t="s">
        <v>89</v>
      </c>
      <c r="AK153" s="87">
        <v>1</v>
      </c>
      <c r="BB153" s="200" t="s">
        <v>116</v>
      </c>
      <c r="BM153" s="81">
        <f>IFERROR(X153*I153,"0")</f>
        <v>112.56</v>
      </c>
      <c r="BN153" s="81">
        <f>IFERROR(Y153*I153,"0")</f>
        <v>112.56</v>
      </c>
      <c r="BO153" s="81">
        <f>IFERROR(X153/J153,"0")</f>
        <v>0.6</v>
      </c>
      <c r="BP153" s="81">
        <f>IFERROR(Y153/J153,"0")</f>
        <v>0.6</v>
      </c>
    </row>
    <row r="154" spans="1:68" ht="27" customHeight="1" x14ac:dyDescent="0.25">
      <c r="A154" s="63" t="s">
        <v>255</v>
      </c>
      <c r="B154" s="63" t="s">
        <v>256</v>
      </c>
      <c r="C154" s="36">
        <v>4301135778</v>
      </c>
      <c r="D154" s="354">
        <v>4620207490853</v>
      </c>
      <c r="E154" s="354"/>
      <c r="F154" s="62">
        <v>0.2</v>
      </c>
      <c r="G154" s="37">
        <v>12</v>
      </c>
      <c r="H154" s="62">
        <v>2.4</v>
      </c>
      <c r="I154" s="62">
        <v>2.68</v>
      </c>
      <c r="J154" s="37">
        <v>70</v>
      </c>
      <c r="K154" s="37" t="s">
        <v>117</v>
      </c>
      <c r="L154" s="37" t="s">
        <v>118</v>
      </c>
      <c r="M154" s="38" t="s">
        <v>86</v>
      </c>
      <c r="N154" s="38"/>
      <c r="O154" s="37">
        <v>180</v>
      </c>
      <c r="P154" s="418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4" s="356"/>
      <c r="R154" s="356"/>
      <c r="S154" s="356"/>
      <c r="T154" s="357"/>
      <c r="U154" s="39" t="s">
        <v>46</v>
      </c>
      <c r="V154" s="39" t="s">
        <v>46</v>
      </c>
      <c r="W154" s="40" t="s">
        <v>39</v>
      </c>
      <c r="X154" s="58">
        <v>28</v>
      </c>
      <c r="Y154" s="55">
        <f>IFERROR(IF(X154="","",X154),"")</f>
        <v>28</v>
      </c>
      <c r="Z154" s="41">
        <f>IFERROR(IF(X154="","",X154*0.01788),"")</f>
        <v>0.50063999999999997</v>
      </c>
      <c r="AA154" s="68" t="s">
        <v>46</v>
      </c>
      <c r="AB154" s="69" t="s">
        <v>46</v>
      </c>
      <c r="AC154" s="201" t="s">
        <v>240</v>
      </c>
      <c r="AG154" s="81"/>
      <c r="AJ154" s="87" t="s">
        <v>119</v>
      </c>
      <c r="AK154" s="87">
        <v>14</v>
      </c>
      <c r="BB154" s="202" t="s">
        <v>116</v>
      </c>
      <c r="BM154" s="81">
        <f>IFERROR(X154*I154,"0")</f>
        <v>75.040000000000006</v>
      </c>
      <c r="BN154" s="81">
        <f>IFERROR(Y154*I154,"0")</f>
        <v>75.040000000000006</v>
      </c>
      <c r="BO154" s="81">
        <f>IFERROR(X154/J154,"0")</f>
        <v>0.4</v>
      </c>
      <c r="BP154" s="81">
        <f>IFERROR(Y154/J154,"0")</f>
        <v>0.4</v>
      </c>
    </row>
    <row r="155" spans="1:68" x14ac:dyDescent="0.2">
      <c r="A155" s="368"/>
      <c r="B155" s="368"/>
      <c r="C155" s="368"/>
      <c r="D155" s="368"/>
      <c r="E155" s="368"/>
      <c r="F155" s="368"/>
      <c r="G155" s="368"/>
      <c r="H155" s="368"/>
      <c r="I155" s="368"/>
      <c r="J155" s="368"/>
      <c r="K155" s="368"/>
      <c r="L155" s="368"/>
      <c r="M155" s="368"/>
      <c r="N155" s="368"/>
      <c r="O155" s="369"/>
      <c r="P155" s="365" t="s">
        <v>40</v>
      </c>
      <c r="Q155" s="366"/>
      <c r="R155" s="366"/>
      <c r="S155" s="366"/>
      <c r="T155" s="366"/>
      <c r="U155" s="366"/>
      <c r="V155" s="367"/>
      <c r="W155" s="42" t="s">
        <v>39</v>
      </c>
      <c r="X155" s="43">
        <f>IFERROR(SUM(X153:X154),"0")</f>
        <v>70</v>
      </c>
      <c r="Y155" s="43">
        <f>IFERROR(SUM(Y153:Y154),"0")</f>
        <v>70</v>
      </c>
      <c r="Z155" s="43">
        <f>IFERROR(IF(Z153="",0,Z153),"0")+IFERROR(IF(Z154="",0,Z154),"0")</f>
        <v>1.2515999999999998</v>
      </c>
      <c r="AA155" s="67"/>
      <c r="AB155" s="67"/>
      <c r="AC155" s="67"/>
    </row>
    <row r="156" spans="1:68" x14ac:dyDescent="0.2">
      <c r="A156" s="368"/>
      <c r="B156" s="368"/>
      <c r="C156" s="368"/>
      <c r="D156" s="368"/>
      <c r="E156" s="368"/>
      <c r="F156" s="368"/>
      <c r="G156" s="368"/>
      <c r="H156" s="368"/>
      <c r="I156" s="368"/>
      <c r="J156" s="368"/>
      <c r="K156" s="368"/>
      <c r="L156" s="368"/>
      <c r="M156" s="368"/>
      <c r="N156" s="368"/>
      <c r="O156" s="369"/>
      <c r="P156" s="365" t="s">
        <v>40</v>
      </c>
      <c r="Q156" s="366"/>
      <c r="R156" s="366"/>
      <c r="S156" s="366"/>
      <c r="T156" s="366"/>
      <c r="U156" s="366"/>
      <c r="V156" s="367"/>
      <c r="W156" s="42" t="s">
        <v>0</v>
      </c>
      <c r="X156" s="43">
        <f>IFERROR(SUMPRODUCT(X153:X154*H153:H154),"0")</f>
        <v>168</v>
      </c>
      <c r="Y156" s="43">
        <f>IFERROR(SUMPRODUCT(Y153:Y154*H153:H154),"0")</f>
        <v>168</v>
      </c>
      <c r="Z156" s="42"/>
      <c r="AA156" s="67"/>
      <c r="AB156" s="67"/>
      <c r="AC156" s="67"/>
    </row>
    <row r="157" spans="1:68" ht="16.5" hidden="1" customHeight="1" x14ac:dyDescent="0.25">
      <c r="A157" s="352" t="s">
        <v>257</v>
      </c>
      <c r="B157" s="352"/>
      <c r="C157" s="352"/>
      <c r="D157" s="352"/>
      <c r="E157" s="352"/>
      <c r="F157" s="352"/>
      <c r="G157" s="352"/>
      <c r="H157" s="352"/>
      <c r="I157" s="352"/>
      <c r="J157" s="352"/>
      <c r="K157" s="352"/>
      <c r="L157" s="352"/>
      <c r="M157" s="352"/>
      <c r="N157" s="352"/>
      <c r="O157" s="352"/>
      <c r="P157" s="352"/>
      <c r="Q157" s="352"/>
      <c r="R157" s="352"/>
      <c r="S157" s="352"/>
      <c r="T157" s="352"/>
      <c r="U157" s="352"/>
      <c r="V157" s="352"/>
      <c r="W157" s="352"/>
      <c r="X157" s="352"/>
      <c r="Y157" s="352"/>
      <c r="Z157" s="352"/>
      <c r="AA157" s="65"/>
      <c r="AB157" s="65"/>
      <c r="AC157" s="82"/>
    </row>
    <row r="158" spans="1:68" ht="14.25" hidden="1" customHeight="1" x14ac:dyDescent="0.25">
      <c r="A158" s="353" t="s">
        <v>156</v>
      </c>
      <c r="B158" s="353"/>
      <c r="C158" s="353"/>
      <c r="D158" s="353"/>
      <c r="E158" s="353"/>
      <c r="F158" s="353"/>
      <c r="G158" s="353"/>
      <c r="H158" s="353"/>
      <c r="I158" s="353"/>
      <c r="J158" s="353"/>
      <c r="K158" s="353"/>
      <c r="L158" s="353"/>
      <c r="M158" s="353"/>
      <c r="N158" s="353"/>
      <c r="O158" s="353"/>
      <c r="P158" s="353"/>
      <c r="Q158" s="353"/>
      <c r="R158" s="353"/>
      <c r="S158" s="353"/>
      <c r="T158" s="353"/>
      <c r="U158" s="353"/>
      <c r="V158" s="353"/>
      <c r="W158" s="353"/>
      <c r="X158" s="353"/>
      <c r="Y158" s="353"/>
      <c r="Z158" s="353"/>
      <c r="AA158" s="66"/>
      <c r="AB158" s="66"/>
      <c r="AC158" s="83"/>
    </row>
    <row r="159" spans="1:68" ht="27" customHeight="1" x14ac:dyDescent="0.25">
      <c r="A159" s="63" t="s">
        <v>258</v>
      </c>
      <c r="B159" s="63" t="s">
        <v>259</v>
      </c>
      <c r="C159" s="36">
        <v>4301135570</v>
      </c>
      <c r="D159" s="354">
        <v>4607111035806</v>
      </c>
      <c r="E159" s="354"/>
      <c r="F159" s="62">
        <v>0.25</v>
      </c>
      <c r="G159" s="37">
        <v>12</v>
      </c>
      <c r="H159" s="62">
        <v>3</v>
      </c>
      <c r="I159" s="62">
        <v>3.7035999999999998</v>
      </c>
      <c r="J159" s="37">
        <v>70</v>
      </c>
      <c r="K159" s="37" t="s">
        <v>117</v>
      </c>
      <c r="L159" s="37" t="s">
        <v>118</v>
      </c>
      <c r="M159" s="38" t="s">
        <v>86</v>
      </c>
      <c r="N159" s="38"/>
      <c r="O159" s="37">
        <v>180</v>
      </c>
      <c r="P159" s="419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59" s="356"/>
      <c r="R159" s="356"/>
      <c r="S159" s="356"/>
      <c r="T159" s="357"/>
      <c r="U159" s="39" t="s">
        <v>46</v>
      </c>
      <c r="V159" s="39" t="s">
        <v>46</v>
      </c>
      <c r="W159" s="40" t="s">
        <v>39</v>
      </c>
      <c r="X159" s="58">
        <v>14</v>
      </c>
      <c r="Y159" s="55">
        <f>IFERROR(IF(X159="","",X159),"")</f>
        <v>14</v>
      </c>
      <c r="Z159" s="41">
        <f>IFERROR(IF(X159="","",X159*0.01788),"")</f>
        <v>0.25031999999999999</v>
      </c>
      <c r="AA159" s="68" t="s">
        <v>46</v>
      </c>
      <c r="AB159" s="69" t="s">
        <v>46</v>
      </c>
      <c r="AC159" s="203" t="s">
        <v>260</v>
      </c>
      <c r="AG159" s="81"/>
      <c r="AJ159" s="87" t="s">
        <v>119</v>
      </c>
      <c r="AK159" s="87">
        <v>14</v>
      </c>
      <c r="BB159" s="204" t="s">
        <v>116</v>
      </c>
      <c r="BM159" s="81">
        <f>IFERROR(X159*I159,"0")</f>
        <v>51.850399999999993</v>
      </c>
      <c r="BN159" s="81">
        <f>IFERROR(Y159*I159,"0")</f>
        <v>51.850399999999993</v>
      </c>
      <c r="BO159" s="81">
        <f>IFERROR(X159/J159,"0")</f>
        <v>0.2</v>
      </c>
      <c r="BP159" s="81">
        <f>IFERROR(Y159/J159,"0")</f>
        <v>0.2</v>
      </c>
    </row>
    <row r="160" spans="1:68" ht="12.75" customHeight="1" x14ac:dyDescent="0.2">
      <c r="A160" s="368"/>
      <c r="B160" s="368"/>
      <c r="C160" s="368"/>
      <c r="D160" s="368"/>
      <c r="E160" s="368"/>
      <c r="F160" s="368"/>
      <c r="G160" s="368"/>
      <c r="H160" s="368"/>
      <c r="I160" s="368"/>
      <c r="J160" s="368"/>
      <c r="K160" s="368"/>
      <c r="L160" s="368"/>
      <c r="M160" s="368"/>
      <c r="N160" s="368"/>
      <c r="O160" s="369"/>
      <c r="P160" s="365" t="s">
        <v>40</v>
      </c>
      <c r="Q160" s="366"/>
      <c r="R160" s="366"/>
      <c r="S160" s="366"/>
      <c r="T160" s="366"/>
      <c r="U160" s="366"/>
      <c r="V160" s="367"/>
      <c r="W160" s="42" t="s">
        <v>39</v>
      </c>
      <c r="X160" s="43">
        <f>IFERROR(SUM(X159:X159),"0")</f>
        <v>14</v>
      </c>
      <c r="Y160" s="43">
        <f>IFERROR(SUM(Y159:Y159),"0")</f>
        <v>14</v>
      </c>
      <c r="Z160" s="43">
        <f>IFERROR(IF(Z159="",0,Z159),"0")</f>
        <v>0.25031999999999999</v>
      </c>
      <c r="AA160" s="67"/>
      <c r="AB160" s="67"/>
      <c r="AC160" s="67"/>
    </row>
    <row r="161" spans="1:68" ht="12.75" customHeight="1" x14ac:dyDescent="0.2">
      <c r="A161" s="368"/>
      <c r="B161" s="368"/>
      <c r="C161" s="368"/>
      <c r="D161" s="368"/>
      <c r="E161" s="368"/>
      <c r="F161" s="368"/>
      <c r="G161" s="368"/>
      <c r="H161" s="368"/>
      <c r="I161" s="368"/>
      <c r="J161" s="368"/>
      <c r="K161" s="368"/>
      <c r="L161" s="368"/>
      <c r="M161" s="368"/>
      <c r="N161" s="368"/>
      <c r="O161" s="369"/>
      <c r="P161" s="365" t="s">
        <v>40</v>
      </c>
      <c r="Q161" s="366"/>
      <c r="R161" s="366"/>
      <c r="S161" s="366"/>
      <c r="T161" s="366"/>
      <c r="U161" s="366"/>
      <c r="V161" s="367"/>
      <c r="W161" s="42" t="s">
        <v>0</v>
      </c>
      <c r="X161" s="43">
        <f>IFERROR(SUMPRODUCT(X159:X159*H159:H159),"0")</f>
        <v>42</v>
      </c>
      <c r="Y161" s="43">
        <f>IFERROR(SUMPRODUCT(Y159:Y159*H159:H159),"0")</f>
        <v>42</v>
      </c>
      <c r="Z161" s="42"/>
      <c r="AA161" s="67"/>
      <c r="AB161" s="67"/>
      <c r="AC161" s="67"/>
    </row>
    <row r="162" spans="1:68" ht="16.5" hidden="1" customHeight="1" x14ac:dyDescent="0.25">
      <c r="A162" s="352" t="s">
        <v>261</v>
      </c>
      <c r="B162" s="352"/>
      <c r="C162" s="352"/>
      <c r="D162" s="352"/>
      <c r="E162" s="352"/>
      <c r="F162" s="352"/>
      <c r="G162" s="352"/>
      <c r="H162" s="352"/>
      <c r="I162" s="352"/>
      <c r="J162" s="352"/>
      <c r="K162" s="352"/>
      <c r="L162" s="352"/>
      <c r="M162" s="352"/>
      <c r="N162" s="352"/>
      <c r="O162" s="352"/>
      <c r="P162" s="352"/>
      <c r="Q162" s="352"/>
      <c r="R162" s="352"/>
      <c r="S162" s="352"/>
      <c r="T162" s="352"/>
      <c r="U162" s="352"/>
      <c r="V162" s="352"/>
      <c r="W162" s="352"/>
      <c r="X162" s="352"/>
      <c r="Y162" s="352"/>
      <c r="Z162" s="352"/>
      <c r="AA162" s="65"/>
      <c r="AB162" s="65"/>
      <c r="AC162" s="82"/>
    </row>
    <row r="163" spans="1:68" ht="14.25" hidden="1" customHeight="1" x14ac:dyDescent="0.25">
      <c r="A163" s="353" t="s">
        <v>156</v>
      </c>
      <c r="B163" s="353"/>
      <c r="C163" s="353"/>
      <c r="D163" s="353"/>
      <c r="E163" s="353"/>
      <c r="F163" s="353"/>
      <c r="G163" s="353"/>
      <c r="H163" s="353"/>
      <c r="I163" s="353"/>
      <c r="J163" s="353"/>
      <c r="K163" s="353"/>
      <c r="L163" s="353"/>
      <c r="M163" s="353"/>
      <c r="N163" s="353"/>
      <c r="O163" s="353"/>
      <c r="P163" s="353"/>
      <c r="Q163" s="353"/>
      <c r="R163" s="353"/>
      <c r="S163" s="353"/>
      <c r="T163" s="353"/>
      <c r="U163" s="353"/>
      <c r="V163" s="353"/>
      <c r="W163" s="353"/>
      <c r="X163" s="353"/>
      <c r="Y163" s="353"/>
      <c r="Z163" s="353"/>
      <c r="AA163" s="66"/>
      <c r="AB163" s="66"/>
      <c r="AC163" s="83"/>
    </row>
    <row r="164" spans="1:68" ht="16.5" hidden="1" customHeight="1" x14ac:dyDescent="0.25">
      <c r="A164" s="63" t="s">
        <v>262</v>
      </c>
      <c r="B164" s="63" t="s">
        <v>263</v>
      </c>
      <c r="C164" s="36">
        <v>4301135607</v>
      </c>
      <c r="D164" s="354">
        <v>4607111039613</v>
      </c>
      <c r="E164" s="354"/>
      <c r="F164" s="62">
        <v>0.09</v>
      </c>
      <c r="G164" s="37">
        <v>30</v>
      </c>
      <c r="H164" s="62">
        <v>2.7</v>
      </c>
      <c r="I164" s="62">
        <v>3.09</v>
      </c>
      <c r="J164" s="37">
        <v>126</v>
      </c>
      <c r="K164" s="37" t="s">
        <v>117</v>
      </c>
      <c r="L164" s="37" t="s">
        <v>118</v>
      </c>
      <c r="M164" s="38" t="s">
        <v>86</v>
      </c>
      <c r="N164" s="38"/>
      <c r="O164" s="37">
        <v>180</v>
      </c>
      <c r="P164" s="42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4" s="356"/>
      <c r="R164" s="356"/>
      <c r="S164" s="356"/>
      <c r="T164" s="357"/>
      <c r="U164" s="39" t="s">
        <v>46</v>
      </c>
      <c r="V164" s="39" t="s">
        <v>46</v>
      </c>
      <c r="W164" s="40" t="s">
        <v>39</v>
      </c>
      <c r="X164" s="58">
        <v>0</v>
      </c>
      <c r="Y164" s="55">
        <f>IFERROR(IF(X164="","",X164),"")</f>
        <v>0</v>
      </c>
      <c r="Z164" s="41">
        <f>IFERROR(IF(X164="","",X164*0.00936),"")</f>
        <v>0</v>
      </c>
      <c r="AA164" s="68" t="s">
        <v>46</v>
      </c>
      <c r="AB164" s="69" t="s">
        <v>46</v>
      </c>
      <c r="AC164" s="205" t="s">
        <v>248</v>
      </c>
      <c r="AG164" s="81"/>
      <c r="AJ164" s="87" t="s">
        <v>119</v>
      </c>
      <c r="AK164" s="87">
        <v>14</v>
      </c>
      <c r="BB164" s="206" t="s">
        <v>116</v>
      </c>
      <c r="BM164" s="81">
        <f>IFERROR(X164*I164,"0")</f>
        <v>0</v>
      </c>
      <c r="BN164" s="81">
        <f>IFERROR(Y164*I164,"0")</f>
        <v>0</v>
      </c>
      <c r="BO164" s="81">
        <f>IFERROR(X164/J164,"0")</f>
        <v>0</v>
      </c>
      <c r="BP164" s="81">
        <f>IFERROR(Y164/J164,"0")</f>
        <v>0</v>
      </c>
    </row>
    <row r="165" spans="1:68" ht="12.75" hidden="1" customHeight="1" x14ac:dyDescent="0.2">
      <c r="A165" s="368"/>
      <c r="B165" s="368"/>
      <c r="C165" s="368"/>
      <c r="D165" s="368"/>
      <c r="E165" s="368"/>
      <c r="F165" s="368"/>
      <c r="G165" s="368"/>
      <c r="H165" s="368"/>
      <c r="I165" s="368"/>
      <c r="J165" s="368"/>
      <c r="K165" s="368"/>
      <c r="L165" s="368"/>
      <c r="M165" s="368"/>
      <c r="N165" s="368"/>
      <c r="O165" s="369"/>
      <c r="P165" s="365" t="s">
        <v>40</v>
      </c>
      <c r="Q165" s="366"/>
      <c r="R165" s="366"/>
      <c r="S165" s="366"/>
      <c r="T165" s="366"/>
      <c r="U165" s="366"/>
      <c r="V165" s="367"/>
      <c r="W165" s="42" t="s">
        <v>39</v>
      </c>
      <c r="X165" s="43">
        <f>IFERROR(SUM(X164:X164),"0")</f>
        <v>0</v>
      </c>
      <c r="Y165" s="43">
        <f>IFERROR(SUM(Y164:Y164),"0")</f>
        <v>0</v>
      </c>
      <c r="Z165" s="43">
        <f>IFERROR(IF(Z164="",0,Z164),"0")</f>
        <v>0</v>
      </c>
      <c r="AA165" s="67"/>
      <c r="AB165" s="67"/>
      <c r="AC165" s="67"/>
    </row>
    <row r="166" spans="1:68" ht="12.75" hidden="1" customHeight="1" x14ac:dyDescent="0.2">
      <c r="A166" s="368"/>
      <c r="B166" s="368"/>
      <c r="C166" s="368"/>
      <c r="D166" s="368"/>
      <c r="E166" s="368"/>
      <c r="F166" s="368"/>
      <c r="G166" s="368"/>
      <c r="H166" s="368"/>
      <c r="I166" s="368"/>
      <c r="J166" s="368"/>
      <c r="K166" s="368"/>
      <c r="L166" s="368"/>
      <c r="M166" s="368"/>
      <c r="N166" s="368"/>
      <c r="O166" s="369"/>
      <c r="P166" s="365" t="s">
        <v>40</v>
      </c>
      <c r="Q166" s="366"/>
      <c r="R166" s="366"/>
      <c r="S166" s="366"/>
      <c r="T166" s="366"/>
      <c r="U166" s="366"/>
      <c r="V166" s="367"/>
      <c r="W166" s="42" t="s">
        <v>0</v>
      </c>
      <c r="X166" s="43">
        <f>IFERROR(SUMPRODUCT(X164:X164*H164:H164),"0")</f>
        <v>0</v>
      </c>
      <c r="Y166" s="43">
        <f>IFERROR(SUMPRODUCT(Y164:Y164*H164:H164),"0")</f>
        <v>0</v>
      </c>
      <c r="Z166" s="42"/>
      <c r="AA166" s="67"/>
      <c r="AB166" s="67"/>
      <c r="AC166" s="67"/>
    </row>
    <row r="167" spans="1:68" ht="16.5" hidden="1" customHeight="1" x14ac:dyDescent="0.25">
      <c r="A167" s="352" t="s">
        <v>264</v>
      </c>
      <c r="B167" s="352"/>
      <c r="C167" s="352"/>
      <c r="D167" s="352"/>
      <c r="E167" s="352"/>
      <c r="F167" s="352"/>
      <c r="G167" s="352"/>
      <c r="H167" s="352"/>
      <c r="I167" s="352"/>
      <c r="J167" s="352"/>
      <c r="K167" s="352"/>
      <c r="L167" s="352"/>
      <c r="M167" s="352"/>
      <c r="N167" s="352"/>
      <c r="O167" s="352"/>
      <c r="P167" s="352"/>
      <c r="Q167" s="352"/>
      <c r="R167" s="352"/>
      <c r="S167" s="352"/>
      <c r="T167" s="352"/>
      <c r="U167" s="352"/>
      <c r="V167" s="352"/>
      <c r="W167" s="352"/>
      <c r="X167" s="352"/>
      <c r="Y167" s="352"/>
      <c r="Z167" s="352"/>
      <c r="AA167" s="65"/>
      <c r="AB167" s="65"/>
      <c r="AC167" s="82"/>
    </row>
    <row r="168" spans="1:68" ht="14.25" hidden="1" customHeight="1" x14ac:dyDescent="0.25">
      <c r="A168" s="353" t="s">
        <v>225</v>
      </c>
      <c r="B168" s="353"/>
      <c r="C168" s="353"/>
      <c r="D168" s="353"/>
      <c r="E168" s="353"/>
      <c r="F168" s="353"/>
      <c r="G168" s="353"/>
      <c r="H168" s="353"/>
      <c r="I168" s="353"/>
      <c r="J168" s="353"/>
      <c r="K168" s="353"/>
      <c r="L168" s="353"/>
      <c r="M168" s="353"/>
      <c r="N168" s="353"/>
      <c r="O168" s="353"/>
      <c r="P168" s="353"/>
      <c r="Q168" s="353"/>
      <c r="R168" s="353"/>
      <c r="S168" s="353"/>
      <c r="T168" s="353"/>
      <c r="U168" s="353"/>
      <c r="V168" s="353"/>
      <c r="W168" s="353"/>
      <c r="X168" s="353"/>
      <c r="Y168" s="353"/>
      <c r="Z168" s="353"/>
      <c r="AA168" s="66"/>
      <c r="AB168" s="66"/>
      <c r="AC168" s="83"/>
    </row>
    <row r="169" spans="1:68" ht="27" hidden="1" customHeight="1" x14ac:dyDescent="0.25">
      <c r="A169" s="63" t="s">
        <v>265</v>
      </c>
      <c r="B169" s="63" t="s">
        <v>266</v>
      </c>
      <c r="C169" s="36">
        <v>4301135540</v>
      </c>
      <c r="D169" s="354">
        <v>4607111035646</v>
      </c>
      <c r="E169" s="354"/>
      <c r="F169" s="62">
        <v>0.2</v>
      </c>
      <c r="G169" s="37">
        <v>8</v>
      </c>
      <c r="H169" s="62">
        <v>1.6</v>
      </c>
      <c r="I169" s="62">
        <v>2.12</v>
      </c>
      <c r="J169" s="37">
        <v>72</v>
      </c>
      <c r="K169" s="37" t="s">
        <v>268</v>
      </c>
      <c r="L169" s="37" t="s">
        <v>88</v>
      </c>
      <c r="M169" s="38" t="s">
        <v>86</v>
      </c>
      <c r="N169" s="38"/>
      <c r="O169" s="37">
        <v>180</v>
      </c>
      <c r="P169" s="421" t="str">
        <f>HYPERLINK("https://abi.ru/products/Замороженные/Горячая штучка/Супермени/Пельмени ПГП/P004523/","Пельмени ПГП «Супермени со сливочным маслом» 0,2 Сфера ТМ «Горячая штучка»")</f>
        <v>Пельмени ПГП «Супермени со сливочным маслом» 0,2 Сфера ТМ «Горячая штучка»</v>
      </c>
      <c r="Q169" s="356"/>
      <c r="R169" s="356"/>
      <c r="S169" s="356"/>
      <c r="T169" s="357"/>
      <c r="U169" s="39" t="s">
        <v>46</v>
      </c>
      <c r="V169" s="39" t="s">
        <v>46</v>
      </c>
      <c r="W169" s="40" t="s">
        <v>39</v>
      </c>
      <c r="X169" s="58">
        <v>0</v>
      </c>
      <c r="Y169" s="55">
        <f>IFERROR(IF(X169="","",X169),"")</f>
        <v>0</v>
      </c>
      <c r="Z169" s="41">
        <f>IFERROR(IF(X169="","",X169*0.01157),"")</f>
        <v>0</v>
      </c>
      <c r="AA169" s="68" t="s">
        <v>46</v>
      </c>
      <c r="AB169" s="69" t="s">
        <v>46</v>
      </c>
      <c r="AC169" s="207" t="s">
        <v>267</v>
      </c>
      <c r="AG169" s="81"/>
      <c r="AJ169" s="87" t="s">
        <v>89</v>
      </c>
      <c r="AK169" s="87">
        <v>1</v>
      </c>
      <c r="BB169" s="208" t="s">
        <v>116</v>
      </c>
      <c r="BM169" s="81">
        <f>IFERROR(X169*I169,"0")</f>
        <v>0</v>
      </c>
      <c r="BN169" s="81">
        <f>IFERROR(Y169*I169,"0")</f>
        <v>0</v>
      </c>
      <c r="BO169" s="81">
        <f>IFERROR(X169/J169,"0")</f>
        <v>0</v>
      </c>
      <c r="BP169" s="81">
        <f>IFERROR(Y169/J169,"0")</f>
        <v>0</v>
      </c>
    </row>
    <row r="170" spans="1:68" ht="12.75" hidden="1" customHeight="1" x14ac:dyDescent="0.2">
      <c r="A170" s="368"/>
      <c r="B170" s="368"/>
      <c r="C170" s="368"/>
      <c r="D170" s="368"/>
      <c r="E170" s="368"/>
      <c r="F170" s="368"/>
      <c r="G170" s="368"/>
      <c r="H170" s="368"/>
      <c r="I170" s="368"/>
      <c r="J170" s="368"/>
      <c r="K170" s="368"/>
      <c r="L170" s="368"/>
      <c r="M170" s="368"/>
      <c r="N170" s="368"/>
      <c r="O170" s="369"/>
      <c r="P170" s="365" t="s">
        <v>40</v>
      </c>
      <c r="Q170" s="366"/>
      <c r="R170" s="366"/>
      <c r="S170" s="366"/>
      <c r="T170" s="366"/>
      <c r="U170" s="366"/>
      <c r="V170" s="367"/>
      <c r="W170" s="42" t="s">
        <v>39</v>
      </c>
      <c r="X170" s="43">
        <f>IFERROR(SUM(X169:X169),"0")</f>
        <v>0</v>
      </c>
      <c r="Y170" s="43">
        <f>IFERROR(SUM(Y169:Y169),"0")</f>
        <v>0</v>
      </c>
      <c r="Z170" s="43">
        <f>IFERROR(IF(Z169="",0,Z169),"0")</f>
        <v>0</v>
      </c>
      <c r="AA170" s="67"/>
      <c r="AB170" s="67"/>
      <c r="AC170" s="67"/>
    </row>
    <row r="171" spans="1:68" ht="12.75" hidden="1" customHeight="1" x14ac:dyDescent="0.2">
      <c r="A171" s="368"/>
      <c r="B171" s="368"/>
      <c r="C171" s="368"/>
      <c r="D171" s="368"/>
      <c r="E171" s="368"/>
      <c r="F171" s="368"/>
      <c r="G171" s="368"/>
      <c r="H171" s="368"/>
      <c r="I171" s="368"/>
      <c r="J171" s="368"/>
      <c r="K171" s="368"/>
      <c r="L171" s="368"/>
      <c r="M171" s="368"/>
      <c r="N171" s="368"/>
      <c r="O171" s="369"/>
      <c r="P171" s="365" t="s">
        <v>40</v>
      </c>
      <c r="Q171" s="366"/>
      <c r="R171" s="366"/>
      <c r="S171" s="366"/>
      <c r="T171" s="366"/>
      <c r="U171" s="366"/>
      <c r="V171" s="367"/>
      <c r="W171" s="42" t="s">
        <v>0</v>
      </c>
      <c r="X171" s="43">
        <f>IFERROR(SUMPRODUCT(X169:X169*H169:H169),"0")</f>
        <v>0</v>
      </c>
      <c r="Y171" s="43">
        <f>IFERROR(SUMPRODUCT(Y169:Y169*H169:H169),"0")</f>
        <v>0</v>
      </c>
      <c r="Z171" s="42"/>
      <c r="AA171" s="67"/>
      <c r="AB171" s="67"/>
      <c r="AC171" s="67"/>
    </row>
    <row r="172" spans="1:68" ht="16.5" hidden="1" customHeight="1" x14ac:dyDescent="0.25">
      <c r="A172" s="352" t="s">
        <v>269</v>
      </c>
      <c r="B172" s="352"/>
      <c r="C172" s="352"/>
      <c r="D172" s="352"/>
      <c r="E172" s="352"/>
      <c r="F172" s="352"/>
      <c r="G172" s="352"/>
      <c r="H172" s="352"/>
      <c r="I172" s="352"/>
      <c r="J172" s="352"/>
      <c r="K172" s="352"/>
      <c r="L172" s="352"/>
      <c r="M172" s="352"/>
      <c r="N172" s="352"/>
      <c r="O172" s="352"/>
      <c r="P172" s="352"/>
      <c r="Q172" s="352"/>
      <c r="R172" s="352"/>
      <c r="S172" s="352"/>
      <c r="T172" s="352"/>
      <c r="U172" s="352"/>
      <c r="V172" s="352"/>
      <c r="W172" s="352"/>
      <c r="X172" s="352"/>
      <c r="Y172" s="352"/>
      <c r="Z172" s="352"/>
      <c r="AA172" s="65"/>
      <c r="AB172" s="65"/>
      <c r="AC172" s="82"/>
    </row>
    <row r="173" spans="1:68" ht="14.25" hidden="1" customHeight="1" x14ac:dyDescent="0.25">
      <c r="A173" s="353" t="s">
        <v>156</v>
      </c>
      <c r="B173" s="353"/>
      <c r="C173" s="353"/>
      <c r="D173" s="353"/>
      <c r="E173" s="353"/>
      <c r="F173" s="353"/>
      <c r="G173" s="353"/>
      <c r="H173" s="353"/>
      <c r="I173" s="353"/>
      <c r="J173" s="353"/>
      <c r="K173" s="353"/>
      <c r="L173" s="353"/>
      <c r="M173" s="353"/>
      <c r="N173" s="353"/>
      <c r="O173" s="353"/>
      <c r="P173" s="353"/>
      <c r="Q173" s="353"/>
      <c r="R173" s="353"/>
      <c r="S173" s="353"/>
      <c r="T173" s="353"/>
      <c r="U173" s="353"/>
      <c r="V173" s="353"/>
      <c r="W173" s="353"/>
      <c r="X173" s="353"/>
      <c r="Y173" s="353"/>
      <c r="Z173" s="353"/>
      <c r="AA173" s="66"/>
      <c r="AB173" s="66"/>
      <c r="AC173" s="83"/>
    </row>
    <row r="174" spans="1:68" ht="27" customHeight="1" x14ac:dyDescent="0.25">
      <c r="A174" s="63" t="s">
        <v>270</v>
      </c>
      <c r="B174" s="63" t="s">
        <v>271</v>
      </c>
      <c r="C174" s="36">
        <v>4301135591</v>
      </c>
      <c r="D174" s="354">
        <v>4607111036568</v>
      </c>
      <c r="E174" s="354"/>
      <c r="F174" s="62">
        <v>0.28000000000000003</v>
      </c>
      <c r="G174" s="37">
        <v>6</v>
      </c>
      <c r="H174" s="62">
        <v>1.68</v>
      </c>
      <c r="I174" s="62">
        <v>2.1017999999999999</v>
      </c>
      <c r="J174" s="37">
        <v>140</v>
      </c>
      <c r="K174" s="37" t="s">
        <v>117</v>
      </c>
      <c r="L174" s="37" t="s">
        <v>118</v>
      </c>
      <c r="M174" s="38" t="s">
        <v>86</v>
      </c>
      <c r="N174" s="38"/>
      <c r="O174" s="37">
        <v>180</v>
      </c>
      <c r="P174" s="422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4" s="356"/>
      <c r="R174" s="356"/>
      <c r="S174" s="356"/>
      <c r="T174" s="357"/>
      <c r="U174" s="39" t="s">
        <v>46</v>
      </c>
      <c r="V174" s="39" t="s">
        <v>46</v>
      </c>
      <c r="W174" s="40" t="s">
        <v>39</v>
      </c>
      <c r="X174" s="58">
        <v>98</v>
      </c>
      <c r="Y174" s="55">
        <f>IFERROR(IF(X174="","",X174),"")</f>
        <v>98</v>
      </c>
      <c r="Z174" s="41">
        <f>IFERROR(IF(X174="","",X174*0.00941),"")</f>
        <v>0.92218</v>
      </c>
      <c r="AA174" s="68" t="s">
        <v>46</v>
      </c>
      <c r="AB174" s="69" t="s">
        <v>46</v>
      </c>
      <c r="AC174" s="209" t="s">
        <v>272</v>
      </c>
      <c r="AG174" s="81"/>
      <c r="AJ174" s="87" t="s">
        <v>119</v>
      </c>
      <c r="AK174" s="87">
        <v>14</v>
      </c>
      <c r="BB174" s="210" t="s">
        <v>116</v>
      </c>
      <c r="BM174" s="81">
        <f>IFERROR(X174*I174,"0")</f>
        <v>205.97639999999998</v>
      </c>
      <c r="BN174" s="81">
        <f>IFERROR(Y174*I174,"0")</f>
        <v>205.97639999999998</v>
      </c>
      <c r="BO174" s="81">
        <f>IFERROR(X174/J174,"0")</f>
        <v>0.7</v>
      </c>
      <c r="BP174" s="81">
        <f>IFERROR(Y174/J174,"0")</f>
        <v>0.7</v>
      </c>
    </row>
    <row r="175" spans="1:68" x14ac:dyDescent="0.2">
      <c r="A175" s="368"/>
      <c r="B175" s="368"/>
      <c r="C175" s="368"/>
      <c r="D175" s="368"/>
      <c r="E175" s="368"/>
      <c r="F175" s="368"/>
      <c r="G175" s="368"/>
      <c r="H175" s="368"/>
      <c r="I175" s="368"/>
      <c r="J175" s="368"/>
      <c r="K175" s="368"/>
      <c r="L175" s="368"/>
      <c r="M175" s="368"/>
      <c r="N175" s="368"/>
      <c r="O175" s="369"/>
      <c r="P175" s="365" t="s">
        <v>40</v>
      </c>
      <c r="Q175" s="366"/>
      <c r="R175" s="366"/>
      <c r="S175" s="366"/>
      <c r="T175" s="366"/>
      <c r="U175" s="366"/>
      <c r="V175" s="367"/>
      <c r="W175" s="42" t="s">
        <v>39</v>
      </c>
      <c r="X175" s="43">
        <f>IFERROR(SUM(X174:X174),"0")</f>
        <v>98</v>
      </c>
      <c r="Y175" s="43">
        <f>IFERROR(SUM(Y174:Y174),"0")</f>
        <v>98</v>
      </c>
      <c r="Z175" s="43">
        <f>IFERROR(IF(Z174="",0,Z174),"0")</f>
        <v>0.92218</v>
      </c>
      <c r="AA175" s="67"/>
      <c r="AB175" s="67"/>
      <c r="AC175" s="67"/>
    </row>
    <row r="176" spans="1:68" x14ac:dyDescent="0.2">
      <c r="A176" s="368"/>
      <c r="B176" s="368"/>
      <c r="C176" s="368"/>
      <c r="D176" s="368"/>
      <c r="E176" s="368"/>
      <c r="F176" s="368"/>
      <c r="G176" s="368"/>
      <c r="H176" s="368"/>
      <c r="I176" s="368"/>
      <c r="J176" s="368"/>
      <c r="K176" s="368"/>
      <c r="L176" s="368"/>
      <c r="M176" s="368"/>
      <c r="N176" s="368"/>
      <c r="O176" s="369"/>
      <c r="P176" s="365" t="s">
        <v>40</v>
      </c>
      <c r="Q176" s="366"/>
      <c r="R176" s="366"/>
      <c r="S176" s="366"/>
      <c r="T176" s="366"/>
      <c r="U176" s="366"/>
      <c r="V176" s="367"/>
      <c r="W176" s="42" t="s">
        <v>0</v>
      </c>
      <c r="X176" s="43">
        <f>IFERROR(SUMPRODUCT(X174:X174*H174:H174),"0")</f>
        <v>164.64</v>
      </c>
      <c r="Y176" s="43">
        <f>IFERROR(SUMPRODUCT(Y174:Y174*H174:H174),"0")</f>
        <v>164.64</v>
      </c>
      <c r="Z176" s="42"/>
      <c r="AA176" s="67"/>
      <c r="AB176" s="67"/>
      <c r="AC176" s="67"/>
    </row>
    <row r="177" spans="1:68" ht="27.75" hidden="1" customHeight="1" x14ac:dyDescent="0.2">
      <c r="A177" s="351" t="s">
        <v>273</v>
      </c>
      <c r="B177" s="351"/>
      <c r="C177" s="351"/>
      <c r="D177" s="351"/>
      <c r="E177" s="351"/>
      <c r="F177" s="351"/>
      <c r="G177" s="351"/>
      <c r="H177" s="351"/>
      <c r="I177" s="351"/>
      <c r="J177" s="351"/>
      <c r="K177" s="351"/>
      <c r="L177" s="351"/>
      <c r="M177" s="351"/>
      <c r="N177" s="351"/>
      <c r="O177" s="351"/>
      <c r="P177" s="351"/>
      <c r="Q177" s="351"/>
      <c r="R177" s="351"/>
      <c r="S177" s="351"/>
      <c r="T177" s="351"/>
      <c r="U177" s="351"/>
      <c r="V177" s="351"/>
      <c r="W177" s="351"/>
      <c r="X177" s="351"/>
      <c r="Y177" s="351"/>
      <c r="Z177" s="351"/>
      <c r="AA177" s="54"/>
      <c r="AB177" s="54"/>
      <c r="AC177" s="54"/>
    </row>
    <row r="178" spans="1:68" ht="16.5" hidden="1" customHeight="1" x14ac:dyDescent="0.25">
      <c r="A178" s="352" t="s">
        <v>274</v>
      </c>
      <c r="B178" s="352"/>
      <c r="C178" s="352"/>
      <c r="D178" s="352"/>
      <c r="E178" s="352"/>
      <c r="F178" s="352"/>
      <c r="G178" s="352"/>
      <c r="H178" s="352"/>
      <c r="I178" s="352"/>
      <c r="J178" s="352"/>
      <c r="K178" s="352"/>
      <c r="L178" s="352"/>
      <c r="M178" s="352"/>
      <c r="N178" s="352"/>
      <c r="O178" s="352"/>
      <c r="P178" s="352"/>
      <c r="Q178" s="352"/>
      <c r="R178" s="352"/>
      <c r="S178" s="352"/>
      <c r="T178" s="352"/>
      <c r="U178" s="352"/>
      <c r="V178" s="352"/>
      <c r="W178" s="352"/>
      <c r="X178" s="352"/>
      <c r="Y178" s="352"/>
      <c r="Z178" s="352"/>
      <c r="AA178" s="65"/>
      <c r="AB178" s="65"/>
      <c r="AC178" s="82"/>
    </row>
    <row r="179" spans="1:68" ht="14.25" hidden="1" customHeight="1" x14ac:dyDescent="0.25">
      <c r="A179" s="353" t="s">
        <v>82</v>
      </c>
      <c r="B179" s="353"/>
      <c r="C179" s="353"/>
      <c r="D179" s="353"/>
      <c r="E179" s="353"/>
      <c r="F179" s="353"/>
      <c r="G179" s="353"/>
      <c r="H179" s="353"/>
      <c r="I179" s="353"/>
      <c r="J179" s="353"/>
      <c r="K179" s="353"/>
      <c r="L179" s="353"/>
      <c r="M179" s="353"/>
      <c r="N179" s="353"/>
      <c r="O179" s="353"/>
      <c r="P179" s="353"/>
      <c r="Q179" s="353"/>
      <c r="R179" s="353"/>
      <c r="S179" s="353"/>
      <c r="T179" s="353"/>
      <c r="U179" s="353"/>
      <c r="V179" s="353"/>
      <c r="W179" s="353"/>
      <c r="X179" s="353"/>
      <c r="Y179" s="353"/>
      <c r="Z179" s="353"/>
      <c r="AA179" s="66"/>
      <c r="AB179" s="66"/>
      <c r="AC179" s="83"/>
    </row>
    <row r="180" spans="1:68" ht="16.5" hidden="1" customHeight="1" x14ac:dyDescent="0.25">
      <c r="A180" s="63" t="s">
        <v>275</v>
      </c>
      <c r="B180" s="63" t="s">
        <v>276</v>
      </c>
      <c r="C180" s="36">
        <v>4301071062</v>
      </c>
      <c r="D180" s="354">
        <v>4607111036384</v>
      </c>
      <c r="E180" s="354"/>
      <c r="F180" s="62">
        <v>5</v>
      </c>
      <c r="G180" s="37">
        <v>1</v>
      </c>
      <c r="H180" s="62">
        <v>5</v>
      </c>
      <c r="I180" s="62">
        <v>5.2106000000000003</v>
      </c>
      <c r="J180" s="37">
        <v>144</v>
      </c>
      <c r="K180" s="37" t="s">
        <v>87</v>
      </c>
      <c r="L180" s="37" t="s">
        <v>88</v>
      </c>
      <c r="M180" s="38" t="s">
        <v>86</v>
      </c>
      <c r="N180" s="38"/>
      <c r="O180" s="37">
        <v>180</v>
      </c>
      <c r="P180" s="423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0" s="356"/>
      <c r="R180" s="356"/>
      <c r="S180" s="356"/>
      <c r="T180" s="357"/>
      <c r="U180" s="39" t="s">
        <v>46</v>
      </c>
      <c r="V180" s="39" t="s">
        <v>46</v>
      </c>
      <c r="W180" s="40" t="s">
        <v>39</v>
      </c>
      <c r="X180" s="58">
        <v>0</v>
      </c>
      <c r="Y180" s="55">
        <f>IFERROR(IF(X180="","",X180),"")</f>
        <v>0</v>
      </c>
      <c r="Z180" s="41">
        <f>IFERROR(IF(X180="","",X180*0.00866),"")</f>
        <v>0</v>
      </c>
      <c r="AA180" s="68" t="s">
        <v>46</v>
      </c>
      <c r="AB180" s="69" t="s">
        <v>46</v>
      </c>
      <c r="AC180" s="211" t="s">
        <v>277</v>
      </c>
      <c r="AG180" s="81"/>
      <c r="AJ180" s="87" t="s">
        <v>89</v>
      </c>
      <c r="AK180" s="87">
        <v>1</v>
      </c>
      <c r="BB180" s="212" t="s">
        <v>70</v>
      </c>
      <c r="BM180" s="81">
        <f>IFERROR(X180*I180,"0")</f>
        <v>0</v>
      </c>
      <c r="BN180" s="81">
        <f>IFERROR(Y180*I180,"0")</f>
        <v>0</v>
      </c>
      <c r="BO180" s="81">
        <f>IFERROR(X180/J180,"0")</f>
        <v>0</v>
      </c>
      <c r="BP180" s="81">
        <f>IFERROR(Y180/J180,"0")</f>
        <v>0</v>
      </c>
    </row>
    <row r="181" spans="1:68" ht="27" hidden="1" customHeight="1" x14ac:dyDescent="0.25">
      <c r="A181" s="63" t="s">
        <v>278</v>
      </c>
      <c r="B181" s="63" t="s">
        <v>279</v>
      </c>
      <c r="C181" s="36">
        <v>4301071050</v>
      </c>
      <c r="D181" s="354">
        <v>4607111036216</v>
      </c>
      <c r="E181" s="354"/>
      <c r="F181" s="62">
        <v>5</v>
      </c>
      <c r="G181" s="37">
        <v>1</v>
      </c>
      <c r="H181" s="62">
        <v>5</v>
      </c>
      <c r="I181" s="62">
        <v>5.2131999999999996</v>
      </c>
      <c r="J181" s="37">
        <v>144</v>
      </c>
      <c r="K181" s="37" t="s">
        <v>87</v>
      </c>
      <c r="L181" s="37" t="s">
        <v>118</v>
      </c>
      <c r="M181" s="38" t="s">
        <v>86</v>
      </c>
      <c r="N181" s="38"/>
      <c r="O181" s="37">
        <v>180</v>
      </c>
      <c r="P181" s="424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1" s="356"/>
      <c r="R181" s="356"/>
      <c r="S181" s="356"/>
      <c r="T181" s="357"/>
      <c r="U181" s="39" t="s">
        <v>46</v>
      </c>
      <c r="V181" s="39" t="s">
        <v>46</v>
      </c>
      <c r="W181" s="40" t="s">
        <v>39</v>
      </c>
      <c r="X181" s="58">
        <v>0</v>
      </c>
      <c r="Y181" s="55">
        <f>IFERROR(IF(X181="","",X181),"")</f>
        <v>0</v>
      </c>
      <c r="Z181" s="41">
        <f>IFERROR(IF(X181="","",X181*0.00866),"")</f>
        <v>0</v>
      </c>
      <c r="AA181" s="68" t="s">
        <v>46</v>
      </c>
      <c r="AB181" s="69" t="s">
        <v>46</v>
      </c>
      <c r="AC181" s="213" t="s">
        <v>280</v>
      </c>
      <c r="AG181" s="81"/>
      <c r="AJ181" s="87" t="s">
        <v>119</v>
      </c>
      <c r="AK181" s="87">
        <v>12</v>
      </c>
      <c r="BB181" s="214" t="s">
        <v>70</v>
      </c>
      <c r="BM181" s="81">
        <f>IFERROR(X181*I181,"0")</f>
        <v>0</v>
      </c>
      <c r="BN181" s="81">
        <f>IFERROR(Y181*I181,"0")</f>
        <v>0</v>
      </c>
      <c r="BO181" s="81">
        <f>IFERROR(X181/J181,"0")</f>
        <v>0</v>
      </c>
      <c r="BP181" s="81">
        <f>IFERROR(Y181/J181,"0")</f>
        <v>0</v>
      </c>
    </row>
    <row r="182" spans="1:68" ht="12.75" hidden="1" customHeight="1" x14ac:dyDescent="0.2">
      <c r="A182" s="368"/>
      <c r="B182" s="368"/>
      <c r="C182" s="368"/>
      <c r="D182" s="368"/>
      <c r="E182" s="368"/>
      <c r="F182" s="368"/>
      <c r="G182" s="368"/>
      <c r="H182" s="368"/>
      <c r="I182" s="368"/>
      <c r="J182" s="368"/>
      <c r="K182" s="368"/>
      <c r="L182" s="368"/>
      <c r="M182" s="368"/>
      <c r="N182" s="368"/>
      <c r="O182" s="369"/>
      <c r="P182" s="365" t="s">
        <v>40</v>
      </c>
      <c r="Q182" s="366"/>
      <c r="R182" s="366"/>
      <c r="S182" s="366"/>
      <c r="T182" s="366"/>
      <c r="U182" s="366"/>
      <c r="V182" s="367"/>
      <c r="W182" s="42" t="s">
        <v>39</v>
      </c>
      <c r="X182" s="43">
        <f>IFERROR(SUM(X180:X181),"0")</f>
        <v>0</v>
      </c>
      <c r="Y182" s="43">
        <f>IFERROR(SUM(Y180:Y181),"0")</f>
        <v>0</v>
      </c>
      <c r="Z182" s="43">
        <f>IFERROR(IF(Z180="",0,Z180),"0")+IFERROR(IF(Z181="",0,Z181),"0")</f>
        <v>0</v>
      </c>
      <c r="AA182" s="67"/>
      <c r="AB182" s="67"/>
      <c r="AC182" s="67"/>
    </row>
    <row r="183" spans="1:68" ht="12.75" hidden="1" customHeight="1" x14ac:dyDescent="0.2">
      <c r="A183" s="368"/>
      <c r="B183" s="368"/>
      <c r="C183" s="368"/>
      <c r="D183" s="368"/>
      <c r="E183" s="368"/>
      <c r="F183" s="368"/>
      <c r="G183" s="368"/>
      <c r="H183" s="368"/>
      <c r="I183" s="368"/>
      <c r="J183" s="368"/>
      <c r="K183" s="368"/>
      <c r="L183" s="368"/>
      <c r="M183" s="368"/>
      <c r="N183" s="368"/>
      <c r="O183" s="369"/>
      <c r="P183" s="365" t="s">
        <v>40</v>
      </c>
      <c r="Q183" s="366"/>
      <c r="R183" s="366"/>
      <c r="S183" s="366"/>
      <c r="T183" s="366"/>
      <c r="U183" s="366"/>
      <c r="V183" s="367"/>
      <c r="W183" s="42" t="s">
        <v>0</v>
      </c>
      <c r="X183" s="43">
        <f>IFERROR(SUMPRODUCT(X180:X181*H180:H181),"0")</f>
        <v>0</v>
      </c>
      <c r="Y183" s="43">
        <f>IFERROR(SUMPRODUCT(Y180:Y181*H180:H181),"0")</f>
        <v>0</v>
      </c>
      <c r="Z183" s="42"/>
      <c r="AA183" s="67"/>
      <c r="AB183" s="67"/>
      <c r="AC183" s="67"/>
    </row>
    <row r="184" spans="1:68" ht="14.25" hidden="1" customHeight="1" x14ac:dyDescent="0.25">
      <c r="A184" s="353" t="s">
        <v>281</v>
      </c>
      <c r="B184" s="353"/>
      <c r="C184" s="353"/>
      <c r="D184" s="353"/>
      <c r="E184" s="353"/>
      <c r="F184" s="353"/>
      <c r="G184" s="353"/>
      <c r="H184" s="353"/>
      <c r="I184" s="353"/>
      <c r="J184" s="353"/>
      <c r="K184" s="353"/>
      <c r="L184" s="353"/>
      <c r="M184" s="353"/>
      <c r="N184" s="353"/>
      <c r="O184" s="353"/>
      <c r="P184" s="353"/>
      <c r="Q184" s="353"/>
      <c r="R184" s="353"/>
      <c r="S184" s="353"/>
      <c r="T184" s="353"/>
      <c r="U184" s="353"/>
      <c r="V184" s="353"/>
      <c r="W184" s="353"/>
      <c r="X184" s="353"/>
      <c r="Y184" s="353"/>
      <c r="Z184" s="353"/>
      <c r="AA184" s="66"/>
      <c r="AB184" s="66"/>
      <c r="AC184" s="83"/>
    </row>
    <row r="185" spans="1:68" ht="27" hidden="1" customHeight="1" x14ac:dyDescent="0.25">
      <c r="A185" s="63" t="s">
        <v>282</v>
      </c>
      <c r="B185" s="63" t="s">
        <v>283</v>
      </c>
      <c r="C185" s="36">
        <v>4301080153</v>
      </c>
      <c r="D185" s="354">
        <v>4607111036827</v>
      </c>
      <c r="E185" s="354"/>
      <c r="F185" s="62">
        <v>1</v>
      </c>
      <c r="G185" s="37">
        <v>5</v>
      </c>
      <c r="H185" s="62">
        <v>5</v>
      </c>
      <c r="I185" s="62">
        <v>5.2</v>
      </c>
      <c r="J185" s="37">
        <v>144</v>
      </c>
      <c r="K185" s="37" t="s">
        <v>87</v>
      </c>
      <c r="L185" s="37" t="s">
        <v>88</v>
      </c>
      <c r="M185" s="38" t="s">
        <v>86</v>
      </c>
      <c r="N185" s="38"/>
      <c r="O185" s="37">
        <v>90</v>
      </c>
      <c r="P185" s="425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5" s="356"/>
      <c r="R185" s="356"/>
      <c r="S185" s="356"/>
      <c r="T185" s="357"/>
      <c r="U185" s="39" t="s">
        <v>46</v>
      </c>
      <c r="V185" s="39" t="s">
        <v>46</v>
      </c>
      <c r="W185" s="40" t="s">
        <v>39</v>
      </c>
      <c r="X185" s="58">
        <v>0</v>
      </c>
      <c r="Y185" s="55">
        <f>IFERROR(IF(X185="","",X185),"")</f>
        <v>0</v>
      </c>
      <c r="Z185" s="41">
        <f>IFERROR(IF(X185="","",X185*0.00866),"")</f>
        <v>0</v>
      </c>
      <c r="AA185" s="68" t="s">
        <v>46</v>
      </c>
      <c r="AB185" s="69" t="s">
        <v>46</v>
      </c>
      <c r="AC185" s="215" t="s">
        <v>284</v>
      </c>
      <c r="AG185" s="81"/>
      <c r="AJ185" s="87" t="s">
        <v>89</v>
      </c>
      <c r="AK185" s="87">
        <v>1</v>
      </c>
      <c r="BB185" s="216" t="s">
        <v>70</v>
      </c>
      <c r="BM185" s="81">
        <f>IFERROR(X185*I185,"0")</f>
        <v>0</v>
      </c>
      <c r="BN185" s="81">
        <f>IFERROR(Y185*I185,"0")</f>
        <v>0</v>
      </c>
      <c r="BO185" s="81">
        <f>IFERROR(X185/J185,"0")</f>
        <v>0</v>
      </c>
      <c r="BP185" s="81">
        <f>IFERROR(Y185/J185,"0")</f>
        <v>0</v>
      </c>
    </row>
    <row r="186" spans="1:68" ht="27" hidden="1" customHeight="1" x14ac:dyDescent="0.25">
      <c r="A186" s="63" t="s">
        <v>285</v>
      </c>
      <c r="B186" s="63" t="s">
        <v>286</v>
      </c>
      <c r="C186" s="36">
        <v>4301080154</v>
      </c>
      <c r="D186" s="354">
        <v>4607111036834</v>
      </c>
      <c r="E186" s="354"/>
      <c r="F186" s="62">
        <v>1</v>
      </c>
      <c r="G186" s="37">
        <v>5</v>
      </c>
      <c r="H186" s="62">
        <v>5</v>
      </c>
      <c r="I186" s="62">
        <v>5.2530000000000001</v>
      </c>
      <c r="J186" s="37">
        <v>144</v>
      </c>
      <c r="K186" s="37" t="s">
        <v>87</v>
      </c>
      <c r="L186" s="37" t="s">
        <v>88</v>
      </c>
      <c r="M186" s="38" t="s">
        <v>86</v>
      </c>
      <c r="N186" s="38"/>
      <c r="O186" s="37">
        <v>90</v>
      </c>
      <c r="P186" s="426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6" s="356"/>
      <c r="R186" s="356"/>
      <c r="S186" s="356"/>
      <c r="T186" s="357"/>
      <c r="U186" s="39" t="s">
        <v>46</v>
      </c>
      <c r="V186" s="39" t="s">
        <v>46</v>
      </c>
      <c r="W186" s="40" t="s">
        <v>39</v>
      </c>
      <c r="X186" s="58">
        <v>0</v>
      </c>
      <c r="Y186" s="55">
        <f>IFERROR(IF(X186="","",X186),"")</f>
        <v>0</v>
      </c>
      <c r="Z186" s="41">
        <f>IFERROR(IF(X186="","",X186*0.00866),"")</f>
        <v>0</v>
      </c>
      <c r="AA186" s="68" t="s">
        <v>46</v>
      </c>
      <c r="AB186" s="69" t="s">
        <v>46</v>
      </c>
      <c r="AC186" s="217" t="s">
        <v>284</v>
      </c>
      <c r="AG186" s="81"/>
      <c r="AJ186" s="87" t="s">
        <v>89</v>
      </c>
      <c r="AK186" s="87">
        <v>1</v>
      </c>
      <c r="BB186" s="218" t="s">
        <v>70</v>
      </c>
      <c r="BM186" s="81">
        <f>IFERROR(X186*I186,"0")</f>
        <v>0</v>
      </c>
      <c r="BN186" s="81">
        <f>IFERROR(Y186*I186,"0")</f>
        <v>0</v>
      </c>
      <c r="BO186" s="81">
        <f>IFERROR(X186/J186,"0")</f>
        <v>0</v>
      </c>
      <c r="BP186" s="81">
        <f>IFERROR(Y186/J186,"0")</f>
        <v>0</v>
      </c>
    </row>
    <row r="187" spans="1:68" ht="12.75" hidden="1" customHeight="1" x14ac:dyDescent="0.2">
      <c r="A187" s="368"/>
      <c r="B187" s="368"/>
      <c r="C187" s="368"/>
      <c r="D187" s="368"/>
      <c r="E187" s="368"/>
      <c r="F187" s="368"/>
      <c r="G187" s="368"/>
      <c r="H187" s="368"/>
      <c r="I187" s="368"/>
      <c r="J187" s="368"/>
      <c r="K187" s="368"/>
      <c r="L187" s="368"/>
      <c r="M187" s="368"/>
      <c r="N187" s="368"/>
      <c r="O187" s="369"/>
      <c r="P187" s="365" t="s">
        <v>40</v>
      </c>
      <c r="Q187" s="366"/>
      <c r="R187" s="366"/>
      <c r="S187" s="366"/>
      <c r="T187" s="366"/>
      <c r="U187" s="366"/>
      <c r="V187" s="367"/>
      <c r="W187" s="42" t="s">
        <v>39</v>
      </c>
      <c r="X187" s="43">
        <f>IFERROR(SUM(X185:X186),"0")</f>
        <v>0</v>
      </c>
      <c r="Y187" s="43">
        <f>IFERROR(SUM(Y185:Y186),"0")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ht="12.75" hidden="1" customHeight="1" x14ac:dyDescent="0.2">
      <c r="A188" s="368"/>
      <c r="B188" s="368"/>
      <c r="C188" s="368"/>
      <c r="D188" s="368"/>
      <c r="E188" s="368"/>
      <c r="F188" s="368"/>
      <c r="G188" s="368"/>
      <c r="H188" s="368"/>
      <c r="I188" s="368"/>
      <c r="J188" s="368"/>
      <c r="K188" s="368"/>
      <c r="L188" s="368"/>
      <c r="M188" s="368"/>
      <c r="N188" s="368"/>
      <c r="O188" s="369"/>
      <c r="P188" s="365" t="s">
        <v>40</v>
      </c>
      <c r="Q188" s="366"/>
      <c r="R188" s="366"/>
      <c r="S188" s="366"/>
      <c r="T188" s="366"/>
      <c r="U188" s="366"/>
      <c r="V188" s="367"/>
      <c r="W188" s="42" t="s">
        <v>0</v>
      </c>
      <c r="X188" s="43">
        <f>IFERROR(SUMPRODUCT(X185:X186*H185:H186),"0")</f>
        <v>0</v>
      </c>
      <c r="Y188" s="43">
        <f>IFERROR(SUMPRODUCT(Y185:Y186*H185:H186),"0")</f>
        <v>0</v>
      </c>
      <c r="Z188" s="42"/>
      <c r="AA188" s="67"/>
      <c r="AB188" s="67"/>
      <c r="AC188" s="67"/>
    </row>
    <row r="189" spans="1:68" ht="27.75" hidden="1" customHeight="1" x14ac:dyDescent="0.2">
      <c r="A189" s="351" t="s">
        <v>287</v>
      </c>
      <c r="B189" s="351"/>
      <c r="C189" s="351"/>
      <c r="D189" s="351"/>
      <c r="E189" s="351"/>
      <c r="F189" s="351"/>
      <c r="G189" s="351"/>
      <c r="H189" s="351"/>
      <c r="I189" s="351"/>
      <c r="J189" s="351"/>
      <c r="K189" s="351"/>
      <c r="L189" s="351"/>
      <c r="M189" s="351"/>
      <c r="N189" s="351"/>
      <c r="O189" s="351"/>
      <c r="P189" s="351"/>
      <c r="Q189" s="351"/>
      <c r="R189" s="351"/>
      <c r="S189" s="351"/>
      <c r="T189" s="351"/>
      <c r="U189" s="351"/>
      <c r="V189" s="351"/>
      <c r="W189" s="351"/>
      <c r="X189" s="351"/>
      <c r="Y189" s="351"/>
      <c r="Z189" s="351"/>
      <c r="AA189" s="54"/>
      <c r="AB189" s="54"/>
      <c r="AC189" s="54"/>
    </row>
    <row r="190" spans="1:68" ht="16.5" hidden="1" customHeight="1" x14ac:dyDescent="0.25">
      <c r="A190" s="352" t="s">
        <v>288</v>
      </c>
      <c r="B190" s="352"/>
      <c r="C190" s="352"/>
      <c r="D190" s="352"/>
      <c r="E190" s="352"/>
      <c r="F190" s="352"/>
      <c r="G190" s="352"/>
      <c r="H190" s="352"/>
      <c r="I190" s="352"/>
      <c r="J190" s="352"/>
      <c r="K190" s="352"/>
      <c r="L190" s="352"/>
      <c r="M190" s="352"/>
      <c r="N190" s="352"/>
      <c r="O190" s="352"/>
      <c r="P190" s="352"/>
      <c r="Q190" s="352"/>
      <c r="R190" s="352"/>
      <c r="S190" s="352"/>
      <c r="T190" s="352"/>
      <c r="U190" s="352"/>
      <c r="V190" s="352"/>
      <c r="W190" s="352"/>
      <c r="X190" s="352"/>
      <c r="Y190" s="352"/>
      <c r="Z190" s="352"/>
      <c r="AA190" s="65"/>
      <c r="AB190" s="65"/>
      <c r="AC190" s="82"/>
    </row>
    <row r="191" spans="1:68" ht="14.25" hidden="1" customHeight="1" x14ac:dyDescent="0.25">
      <c r="A191" s="353" t="s">
        <v>112</v>
      </c>
      <c r="B191" s="353"/>
      <c r="C191" s="353"/>
      <c r="D191" s="353"/>
      <c r="E191" s="353"/>
      <c r="F191" s="353"/>
      <c r="G191" s="353"/>
      <c r="H191" s="353"/>
      <c r="I191" s="353"/>
      <c r="J191" s="353"/>
      <c r="K191" s="353"/>
      <c r="L191" s="353"/>
      <c r="M191" s="353"/>
      <c r="N191" s="353"/>
      <c r="O191" s="353"/>
      <c r="P191" s="353"/>
      <c r="Q191" s="353"/>
      <c r="R191" s="353"/>
      <c r="S191" s="353"/>
      <c r="T191" s="353"/>
      <c r="U191" s="353"/>
      <c r="V191" s="353"/>
      <c r="W191" s="353"/>
      <c r="X191" s="353"/>
      <c r="Y191" s="353"/>
      <c r="Z191" s="353"/>
      <c r="AA191" s="66"/>
      <c r="AB191" s="66"/>
      <c r="AC191" s="83"/>
    </row>
    <row r="192" spans="1:68" ht="16.5" customHeight="1" x14ac:dyDescent="0.25">
      <c r="A192" s="63" t="s">
        <v>289</v>
      </c>
      <c r="B192" s="63" t="s">
        <v>290</v>
      </c>
      <c r="C192" s="36">
        <v>4301132179</v>
      </c>
      <c r="D192" s="354">
        <v>4607111035691</v>
      </c>
      <c r="E192" s="354"/>
      <c r="F192" s="62">
        <v>0.25</v>
      </c>
      <c r="G192" s="37">
        <v>12</v>
      </c>
      <c r="H192" s="62">
        <v>3</v>
      </c>
      <c r="I192" s="62">
        <v>3.3879999999999999</v>
      </c>
      <c r="J192" s="37">
        <v>70</v>
      </c>
      <c r="K192" s="37" t="s">
        <v>117</v>
      </c>
      <c r="L192" s="37" t="s">
        <v>118</v>
      </c>
      <c r="M192" s="38" t="s">
        <v>86</v>
      </c>
      <c r="N192" s="38"/>
      <c r="O192" s="37">
        <v>365</v>
      </c>
      <c r="P192" s="427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2" s="356"/>
      <c r="R192" s="356"/>
      <c r="S192" s="356"/>
      <c r="T192" s="357"/>
      <c r="U192" s="39" t="s">
        <v>46</v>
      </c>
      <c r="V192" s="39" t="s">
        <v>46</v>
      </c>
      <c r="W192" s="40" t="s">
        <v>39</v>
      </c>
      <c r="X192" s="58">
        <v>42</v>
      </c>
      <c r="Y192" s="55">
        <f>IFERROR(IF(X192="","",X192),"")</f>
        <v>42</v>
      </c>
      <c r="Z192" s="41">
        <f>IFERROR(IF(X192="","",X192*0.01788),"")</f>
        <v>0.75095999999999996</v>
      </c>
      <c r="AA192" s="68" t="s">
        <v>46</v>
      </c>
      <c r="AB192" s="69" t="s">
        <v>46</v>
      </c>
      <c r="AC192" s="219" t="s">
        <v>291</v>
      </c>
      <c r="AG192" s="81"/>
      <c r="AJ192" s="87" t="s">
        <v>119</v>
      </c>
      <c r="AK192" s="87">
        <v>14</v>
      </c>
      <c r="BB192" s="220" t="s">
        <v>116</v>
      </c>
      <c r="BM192" s="81">
        <f>IFERROR(X192*I192,"0")</f>
        <v>142.29599999999999</v>
      </c>
      <c r="BN192" s="81">
        <f>IFERROR(Y192*I192,"0")</f>
        <v>142.29599999999999</v>
      </c>
      <c r="BO192" s="81">
        <f>IFERROR(X192/J192,"0")</f>
        <v>0.6</v>
      </c>
      <c r="BP192" s="81">
        <f>IFERROR(Y192/J192,"0")</f>
        <v>0.6</v>
      </c>
    </row>
    <row r="193" spans="1:68" ht="27" customHeight="1" x14ac:dyDescent="0.25">
      <c r="A193" s="63" t="s">
        <v>292</v>
      </c>
      <c r="B193" s="63" t="s">
        <v>293</v>
      </c>
      <c r="C193" s="36">
        <v>4301132182</v>
      </c>
      <c r="D193" s="354">
        <v>4607111035721</v>
      </c>
      <c r="E193" s="354"/>
      <c r="F193" s="62">
        <v>0.25</v>
      </c>
      <c r="G193" s="37">
        <v>12</v>
      </c>
      <c r="H193" s="62">
        <v>3</v>
      </c>
      <c r="I193" s="62">
        <v>3.3879999999999999</v>
      </c>
      <c r="J193" s="37">
        <v>70</v>
      </c>
      <c r="K193" s="37" t="s">
        <v>117</v>
      </c>
      <c r="L193" s="37" t="s">
        <v>118</v>
      </c>
      <c r="M193" s="38" t="s">
        <v>86</v>
      </c>
      <c r="N193" s="38"/>
      <c r="O193" s="37">
        <v>365</v>
      </c>
      <c r="P193" s="428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3" s="356"/>
      <c r="R193" s="356"/>
      <c r="S193" s="356"/>
      <c r="T193" s="357"/>
      <c r="U193" s="39" t="s">
        <v>46</v>
      </c>
      <c r="V193" s="39" t="s">
        <v>46</v>
      </c>
      <c r="W193" s="40" t="s">
        <v>39</v>
      </c>
      <c r="X193" s="58">
        <v>28</v>
      </c>
      <c r="Y193" s="55">
        <f>IFERROR(IF(X193="","",X193),"")</f>
        <v>28</v>
      </c>
      <c r="Z193" s="41">
        <f>IFERROR(IF(X193="","",X193*0.01788),"")</f>
        <v>0.50063999999999997</v>
      </c>
      <c r="AA193" s="68" t="s">
        <v>46</v>
      </c>
      <c r="AB193" s="69" t="s">
        <v>46</v>
      </c>
      <c r="AC193" s="221" t="s">
        <v>294</v>
      </c>
      <c r="AG193" s="81"/>
      <c r="AJ193" s="87" t="s">
        <v>119</v>
      </c>
      <c r="AK193" s="87">
        <v>14</v>
      </c>
      <c r="BB193" s="222" t="s">
        <v>116</v>
      </c>
      <c r="BM193" s="81">
        <f>IFERROR(X193*I193,"0")</f>
        <v>94.864000000000004</v>
      </c>
      <c r="BN193" s="81">
        <f>IFERROR(Y193*I193,"0")</f>
        <v>94.864000000000004</v>
      </c>
      <c r="BO193" s="81">
        <f>IFERROR(X193/J193,"0")</f>
        <v>0.4</v>
      </c>
      <c r="BP193" s="81">
        <f>IFERROR(Y193/J193,"0")</f>
        <v>0.4</v>
      </c>
    </row>
    <row r="194" spans="1:68" ht="27" hidden="1" customHeight="1" x14ac:dyDescent="0.25">
      <c r="A194" s="63" t="s">
        <v>295</v>
      </c>
      <c r="B194" s="63" t="s">
        <v>296</v>
      </c>
      <c r="C194" s="36">
        <v>4301132170</v>
      </c>
      <c r="D194" s="354">
        <v>4607111038487</v>
      </c>
      <c r="E194" s="354"/>
      <c r="F194" s="62">
        <v>0.25</v>
      </c>
      <c r="G194" s="37">
        <v>12</v>
      </c>
      <c r="H194" s="62">
        <v>3</v>
      </c>
      <c r="I194" s="62">
        <v>3.7360000000000002</v>
      </c>
      <c r="J194" s="37">
        <v>70</v>
      </c>
      <c r="K194" s="37" t="s">
        <v>117</v>
      </c>
      <c r="L194" s="37" t="s">
        <v>118</v>
      </c>
      <c r="M194" s="38" t="s">
        <v>86</v>
      </c>
      <c r="N194" s="38"/>
      <c r="O194" s="37">
        <v>180</v>
      </c>
      <c r="P194" s="429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4" s="356"/>
      <c r="R194" s="356"/>
      <c r="S194" s="356"/>
      <c r="T194" s="357"/>
      <c r="U194" s="39" t="s">
        <v>46</v>
      </c>
      <c r="V194" s="39" t="s">
        <v>46</v>
      </c>
      <c r="W194" s="40" t="s">
        <v>39</v>
      </c>
      <c r="X194" s="58">
        <v>0</v>
      </c>
      <c r="Y194" s="55">
        <f>IFERROR(IF(X194="","",X194),"")</f>
        <v>0</v>
      </c>
      <c r="Z194" s="41">
        <f>IFERROR(IF(X194="","",X194*0.01788),"")</f>
        <v>0</v>
      </c>
      <c r="AA194" s="68" t="s">
        <v>46</v>
      </c>
      <c r="AB194" s="69" t="s">
        <v>46</v>
      </c>
      <c r="AC194" s="223" t="s">
        <v>297</v>
      </c>
      <c r="AG194" s="81"/>
      <c r="AJ194" s="87" t="s">
        <v>119</v>
      </c>
      <c r="AK194" s="87">
        <v>14</v>
      </c>
      <c r="BB194" s="224" t="s">
        <v>116</v>
      </c>
      <c r="BM194" s="81">
        <f>IFERROR(X194*I194,"0")</f>
        <v>0</v>
      </c>
      <c r="BN194" s="81">
        <f>IFERROR(Y194*I194,"0")</f>
        <v>0</v>
      </c>
      <c r="BO194" s="81">
        <f>IFERROR(X194/J194,"0")</f>
        <v>0</v>
      </c>
      <c r="BP194" s="81">
        <f>IFERROR(Y194/J194,"0")</f>
        <v>0</v>
      </c>
    </row>
    <row r="195" spans="1:68" ht="27" hidden="1" customHeight="1" x14ac:dyDescent="0.25">
      <c r="A195" s="63" t="s">
        <v>298</v>
      </c>
      <c r="B195" s="63" t="s">
        <v>299</v>
      </c>
      <c r="C195" s="36">
        <v>4301132243</v>
      </c>
      <c r="D195" s="354">
        <v>4620207491195</v>
      </c>
      <c r="E195" s="354"/>
      <c r="F195" s="62">
        <v>0.23</v>
      </c>
      <c r="G195" s="37">
        <v>12</v>
      </c>
      <c r="H195" s="62">
        <v>2.76</v>
      </c>
      <c r="I195" s="62">
        <v>3.1480000000000001</v>
      </c>
      <c r="J195" s="37">
        <v>70</v>
      </c>
      <c r="K195" s="37" t="s">
        <v>117</v>
      </c>
      <c r="L195" s="37" t="s">
        <v>88</v>
      </c>
      <c r="M195" s="38" t="s">
        <v>86</v>
      </c>
      <c r="N195" s="38"/>
      <c r="O195" s="37">
        <v>180</v>
      </c>
      <c r="P195" s="430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5" s="356"/>
      <c r="R195" s="356"/>
      <c r="S195" s="356"/>
      <c r="T195" s="357"/>
      <c r="U195" s="39" t="s">
        <v>46</v>
      </c>
      <c r="V195" s="39" t="s">
        <v>46</v>
      </c>
      <c r="W195" s="40" t="s">
        <v>39</v>
      </c>
      <c r="X195" s="58">
        <v>0</v>
      </c>
      <c r="Y195" s="55">
        <f>IFERROR(IF(X195="","",X195),"")</f>
        <v>0</v>
      </c>
      <c r="Z195" s="41">
        <f>IFERROR(IF(X195="","",X195*0.01788),"")</f>
        <v>0</v>
      </c>
      <c r="AA195" s="68" t="s">
        <v>46</v>
      </c>
      <c r="AB195" s="69" t="s">
        <v>46</v>
      </c>
      <c r="AC195" s="225" t="s">
        <v>300</v>
      </c>
      <c r="AG195" s="81"/>
      <c r="AJ195" s="87" t="s">
        <v>89</v>
      </c>
      <c r="AK195" s="87">
        <v>1</v>
      </c>
      <c r="BB195" s="226" t="s">
        <v>116</v>
      </c>
      <c r="BM195" s="81">
        <f>IFERROR(X195*I195,"0")</f>
        <v>0</v>
      </c>
      <c r="BN195" s="81">
        <f>IFERROR(Y195*I195,"0")</f>
        <v>0</v>
      </c>
      <c r="BO195" s="81">
        <f>IFERROR(X195/J195,"0")</f>
        <v>0</v>
      </c>
      <c r="BP195" s="81">
        <f>IFERROR(Y195/J195,"0")</f>
        <v>0</v>
      </c>
    </row>
    <row r="196" spans="1:68" x14ac:dyDescent="0.2">
      <c r="A196" s="368"/>
      <c r="B196" s="368"/>
      <c r="C196" s="368"/>
      <c r="D196" s="368"/>
      <c r="E196" s="368"/>
      <c r="F196" s="368"/>
      <c r="G196" s="368"/>
      <c r="H196" s="368"/>
      <c r="I196" s="368"/>
      <c r="J196" s="368"/>
      <c r="K196" s="368"/>
      <c r="L196" s="368"/>
      <c r="M196" s="368"/>
      <c r="N196" s="368"/>
      <c r="O196" s="369"/>
      <c r="P196" s="365" t="s">
        <v>40</v>
      </c>
      <c r="Q196" s="366"/>
      <c r="R196" s="366"/>
      <c r="S196" s="366"/>
      <c r="T196" s="366"/>
      <c r="U196" s="366"/>
      <c r="V196" s="367"/>
      <c r="W196" s="42" t="s">
        <v>39</v>
      </c>
      <c r="X196" s="43">
        <f>IFERROR(SUM(X192:X195),"0")</f>
        <v>70</v>
      </c>
      <c r="Y196" s="43">
        <f>IFERROR(SUM(Y192:Y195),"0")</f>
        <v>70</v>
      </c>
      <c r="Z196" s="43">
        <f>IFERROR(IF(Z192="",0,Z192),"0")+IFERROR(IF(Z193="",0,Z193),"0")+IFERROR(IF(Z194="",0,Z194),"0")+IFERROR(IF(Z195="",0,Z195),"0")</f>
        <v>1.2515999999999998</v>
      </c>
      <c r="AA196" s="67"/>
      <c r="AB196" s="67"/>
      <c r="AC196" s="67"/>
    </row>
    <row r="197" spans="1:68" x14ac:dyDescent="0.2">
      <c r="A197" s="368"/>
      <c r="B197" s="368"/>
      <c r="C197" s="368"/>
      <c r="D197" s="368"/>
      <c r="E197" s="368"/>
      <c r="F197" s="368"/>
      <c r="G197" s="368"/>
      <c r="H197" s="368"/>
      <c r="I197" s="368"/>
      <c r="J197" s="368"/>
      <c r="K197" s="368"/>
      <c r="L197" s="368"/>
      <c r="M197" s="368"/>
      <c r="N197" s="368"/>
      <c r="O197" s="369"/>
      <c r="P197" s="365" t="s">
        <v>40</v>
      </c>
      <c r="Q197" s="366"/>
      <c r="R197" s="366"/>
      <c r="S197" s="366"/>
      <c r="T197" s="366"/>
      <c r="U197" s="366"/>
      <c r="V197" s="367"/>
      <c r="W197" s="42" t="s">
        <v>0</v>
      </c>
      <c r="X197" s="43">
        <f>IFERROR(SUMPRODUCT(X192:X195*H192:H195),"0")</f>
        <v>210</v>
      </c>
      <c r="Y197" s="43">
        <f>IFERROR(SUMPRODUCT(Y192:Y195*H192:H195),"0")</f>
        <v>210</v>
      </c>
      <c r="Z197" s="42"/>
      <c r="AA197" s="67"/>
      <c r="AB197" s="67"/>
      <c r="AC197" s="67"/>
    </row>
    <row r="198" spans="1:68" ht="27.75" hidden="1" customHeight="1" x14ac:dyDescent="0.2">
      <c r="A198" s="351" t="s">
        <v>301</v>
      </c>
      <c r="B198" s="351"/>
      <c r="C198" s="351"/>
      <c r="D198" s="351"/>
      <c r="E198" s="351"/>
      <c r="F198" s="351"/>
      <c r="G198" s="351"/>
      <c r="H198" s="351"/>
      <c r="I198" s="351"/>
      <c r="J198" s="351"/>
      <c r="K198" s="351"/>
      <c r="L198" s="351"/>
      <c r="M198" s="351"/>
      <c r="N198" s="351"/>
      <c r="O198" s="351"/>
      <c r="P198" s="351"/>
      <c r="Q198" s="351"/>
      <c r="R198" s="351"/>
      <c r="S198" s="351"/>
      <c r="T198" s="351"/>
      <c r="U198" s="351"/>
      <c r="V198" s="351"/>
      <c r="W198" s="351"/>
      <c r="X198" s="351"/>
      <c r="Y198" s="351"/>
      <c r="Z198" s="351"/>
      <c r="AA198" s="54"/>
      <c r="AB198" s="54"/>
      <c r="AC198" s="54"/>
    </row>
    <row r="199" spans="1:68" ht="16.5" hidden="1" customHeight="1" x14ac:dyDescent="0.25">
      <c r="A199" s="352" t="s">
        <v>302</v>
      </c>
      <c r="B199" s="352"/>
      <c r="C199" s="352"/>
      <c r="D199" s="352"/>
      <c r="E199" s="352"/>
      <c r="F199" s="352"/>
      <c r="G199" s="352"/>
      <c r="H199" s="352"/>
      <c r="I199" s="352"/>
      <c r="J199" s="352"/>
      <c r="K199" s="352"/>
      <c r="L199" s="352"/>
      <c r="M199" s="352"/>
      <c r="N199" s="352"/>
      <c r="O199" s="352"/>
      <c r="P199" s="352"/>
      <c r="Q199" s="352"/>
      <c r="R199" s="352"/>
      <c r="S199" s="352"/>
      <c r="T199" s="352"/>
      <c r="U199" s="352"/>
      <c r="V199" s="352"/>
      <c r="W199" s="352"/>
      <c r="X199" s="352"/>
      <c r="Y199" s="352"/>
      <c r="Z199" s="352"/>
      <c r="AA199" s="65"/>
      <c r="AB199" s="65"/>
      <c r="AC199" s="82"/>
    </row>
    <row r="200" spans="1:68" ht="14.25" hidden="1" customHeight="1" x14ac:dyDescent="0.25">
      <c r="A200" s="353" t="s">
        <v>112</v>
      </c>
      <c r="B200" s="353"/>
      <c r="C200" s="353"/>
      <c r="D200" s="353"/>
      <c r="E200" s="353"/>
      <c r="F200" s="353"/>
      <c r="G200" s="353"/>
      <c r="H200" s="353"/>
      <c r="I200" s="353"/>
      <c r="J200" s="353"/>
      <c r="K200" s="353"/>
      <c r="L200" s="353"/>
      <c r="M200" s="353"/>
      <c r="N200" s="353"/>
      <c r="O200" s="353"/>
      <c r="P200" s="353"/>
      <c r="Q200" s="353"/>
      <c r="R200" s="353"/>
      <c r="S200" s="353"/>
      <c r="T200" s="353"/>
      <c r="U200" s="353"/>
      <c r="V200" s="353"/>
      <c r="W200" s="353"/>
      <c r="X200" s="353"/>
      <c r="Y200" s="353"/>
      <c r="Z200" s="353"/>
      <c r="AA200" s="66"/>
      <c r="AB200" s="66"/>
      <c r="AC200" s="83"/>
    </row>
    <row r="201" spans="1:68" ht="27" hidden="1" customHeight="1" x14ac:dyDescent="0.25">
      <c r="A201" s="63" t="s">
        <v>303</v>
      </c>
      <c r="B201" s="63" t="s">
        <v>304</v>
      </c>
      <c r="C201" s="36">
        <v>4301132227</v>
      </c>
      <c r="D201" s="354">
        <v>4620207491133</v>
      </c>
      <c r="E201" s="354"/>
      <c r="F201" s="62">
        <v>0.23</v>
      </c>
      <c r="G201" s="37">
        <v>12</v>
      </c>
      <c r="H201" s="62">
        <v>2.76</v>
      </c>
      <c r="I201" s="62">
        <v>2.98</v>
      </c>
      <c r="J201" s="37">
        <v>70</v>
      </c>
      <c r="K201" s="37" t="s">
        <v>117</v>
      </c>
      <c r="L201" s="37" t="s">
        <v>118</v>
      </c>
      <c r="M201" s="38" t="s">
        <v>86</v>
      </c>
      <c r="N201" s="38"/>
      <c r="O201" s="37">
        <v>180</v>
      </c>
      <c r="P201" s="43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1" s="356"/>
      <c r="R201" s="356"/>
      <c r="S201" s="356"/>
      <c r="T201" s="357"/>
      <c r="U201" s="39" t="s">
        <v>46</v>
      </c>
      <c r="V201" s="39" t="s">
        <v>46</v>
      </c>
      <c r="W201" s="40" t="s">
        <v>39</v>
      </c>
      <c r="X201" s="58">
        <v>0</v>
      </c>
      <c r="Y201" s="55">
        <f>IFERROR(IF(X201="","",X201),"")</f>
        <v>0</v>
      </c>
      <c r="Z201" s="41">
        <f>IFERROR(IF(X201="","",X201*0.01788),"")</f>
        <v>0</v>
      </c>
      <c r="AA201" s="68" t="s">
        <v>46</v>
      </c>
      <c r="AB201" s="69" t="s">
        <v>46</v>
      </c>
      <c r="AC201" s="227" t="s">
        <v>305</v>
      </c>
      <c r="AG201" s="81"/>
      <c r="AJ201" s="87" t="s">
        <v>119</v>
      </c>
      <c r="AK201" s="87">
        <v>14</v>
      </c>
      <c r="BB201" s="228" t="s">
        <v>116</v>
      </c>
      <c r="BM201" s="81">
        <f>IFERROR(X201*I201,"0")</f>
        <v>0</v>
      </c>
      <c r="BN201" s="81">
        <f>IFERROR(Y201*I201,"0")</f>
        <v>0</v>
      </c>
      <c r="BO201" s="81">
        <f>IFERROR(X201/J201,"0")</f>
        <v>0</v>
      </c>
      <c r="BP201" s="81">
        <f>IFERROR(Y201/J201,"0")</f>
        <v>0</v>
      </c>
    </row>
    <row r="202" spans="1:68" ht="12.75" hidden="1" customHeight="1" x14ac:dyDescent="0.2">
      <c r="A202" s="368"/>
      <c r="B202" s="368"/>
      <c r="C202" s="368"/>
      <c r="D202" s="368"/>
      <c r="E202" s="368"/>
      <c r="F202" s="368"/>
      <c r="G202" s="368"/>
      <c r="H202" s="368"/>
      <c r="I202" s="368"/>
      <c r="J202" s="368"/>
      <c r="K202" s="368"/>
      <c r="L202" s="368"/>
      <c r="M202" s="368"/>
      <c r="N202" s="368"/>
      <c r="O202" s="369"/>
      <c r="P202" s="365" t="s">
        <v>40</v>
      </c>
      <c r="Q202" s="366"/>
      <c r="R202" s="366"/>
      <c r="S202" s="366"/>
      <c r="T202" s="366"/>
      <c r="U202" s="366"/>
      <c r="V202" s="367"/>
      <c r="W202" s="42" t="s">
        <v>39</v>
      </c>
      <c r="X202" s="43">
        <f>IFERROR(SUM(X201:X201),"0")</f>
        <v>0</v>
      </c>
      <c r="Y202" s="43">
        <f>IFERROR(SUM(Y201:Y201),"0")</f>
        <v>0</v>
      </c>
      <c r="Z202" s="43">
        <f>IFERROR(IF(Z201="",0,Z201),"0")</f>
        <v>0</v>
      </c>
      <c r="AA202" s="67"/>
      <c r="AB202" s="67"/>
      <c r="AC202" s="67"/>
    </row>
    <row r="203" spans="1:68" ht="12.75" hidden="1" customHeight="1" x14ac:dyDescent="0.2">
      <c r="A203" s="368"/>
      <c r="B203" s="368"/>
      <c r="C203" s="368"/>
      <c r="D203" s="368"/>
      <c r="E203" s="368"/>
      <c r="F203" s="368"/>
      <c r="G203" s="368"/>
      <c r="H203" s="368"/>
      <c r="I203" s="368"/>
      <c r="J203" s="368"/>
      <c r="K203" s="368"/>
      <c r="L203" s="368"/>
      <c r="M203" s="368"/>
      <c r="N203" s="368"/>
      <c r="O203" s="369"/>
      <c r="P203" s="365" t="s">
        <v>40</v>
      </c>
      <c r="Q203" s="366"/>
      <c r="R203" s="366"/>
      <c r="S203" s="366"/>
      <c r="T203" s="366"/>
      <c r="U203" s="366"/>
      <c r="V203" s="367"/>
      <c r="W203" s="42" t="s">
        <v>0</v>
      </c>
      <c r="X203" s="43">
        <f>IFERROR(SUMPRODUCT(X201:X201*H201:H201),"0")</f>
        <v>0</v>
      </c>
      <c r="Y203" s="43">
        <f>IFERROR(SUMPRODUCT(Y201:Y201*H201:H201),"0")</f>
        <v>0</v>
      </c>
      <c r="Z203" s="42"/>
      <c r="AA203" s="67"/>
      <c r="AB203" s="67"/>
      <c r="AC203" s="67"/>
    </row>
    <row r="204" spans="1:68" ht="14.25" hidden="1" customHeight="1" x14ac:dyDescent="0.25">
      <c r="A204" s="353" t="s">
        <v>156</v>
      </c>
      <c r="B204" s="353"/>
      <c r="C204" s="353"/>
      <c r="D204" s="353"/>
      <c r="E204" s="353"/>
      <c r="F204" s="353"/>
      <c r="G204" s="353"/>
      <c r="H204" s="353"/>
      <c r="I204" s="353"/>
      <c r="J204" s="353"/>
      <c r="K204" s="353"/>
      <c r="L204" s="353"/>
      <c r="M204" s="353"/>
      <c r="N204" s="353"/>
      <c r="O204" s="353"/>
      <c r="P204" s="353"/>
      <c r="Q204" s="353"/>
      <c r="R204" s="353"/>
      <c r="S204" s="353"/>
      <c r="T204" s="353"/>
      <c r="U204" s="353"/>
      <c r="V204" s="353"/>
      <c r="W204" s="353"/>
      <c r="X204" s="353"/>
      <c r="Y204" s="353"/>
      <c r="Z204" s="353"/>
      <c r="AA204" s="66"/>
      <c r="AB204" s="66"/>
      <c r="AC204" s="83"/>
    </row>
    <row r="205" spans="1:68" ht="27" hidden="1" customHeight="1" x14ac:dyDescent="0.25">
      <c r="A205" s="63" t="s">
        <v>306</v>
      </c>
      <c r="B205" s="63" t="s">
        <v>307</v>
      </c>
      <c r="C205" s="36">
        <v>4301135834</v>
      </c>
      <c r="D205" s="354">
        <v>4620207491188</v>
      </c>
      <c r="E205" s="354"/>
      <c r="F205" s="62">
        <v>0.2</v>
      </c>
      <c r="G205" s="37">
        <v>12</v>
      </c>
      <c r="H205" s="62">
        <v>2.4</v>
      </c>
      <c r="I205" s="62">
        <v>3.1036000000000001</v>
      </c>
      <c r="J205" s="37">
        <v>70</v>
      </c>
      <c r="K205" s="37" t="s">
        <v>117</v>
      </c>
      <c r="L205" s="37" t="s">
        <v>88</v>
      </c>
      <c r="M205" s="38" t="s">
        <v>86</v>
      </c>
      <c r="N205" s="38"/>
      <c r="O205" s="37">
        <v>180</v>
      </c>
      <c r="P205" s="432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5" s="356"/>
      <c r="R205" s="356"/>
      <c r="S205" s="356"/>
      <c r="T205" s="357"/>
      <c r="U205" s="39" t="s">
        <v>46</v>
      </c>
      <c r="V205" s="39" t="s">
        <v>46</v>
      </c>
      <c r="W205" s="40" t="s">
        <v>39</v>
      </c>
      <c r="X205" s="58">
        <v>0</v>
      </c>
      <c r="Y205" s="55">
        <f>IFERROR(IF(X205="","",X205),"")</f>
        <v>0</v>
      </c>
      <c r="Z205" s="41">
        <f>IFERROR(IF(X205="","",X205*0.01788),"")</f>
        <v>0</v>
      </c>
      <c r="AA205" s="68" t="s">
        <v>46</v>
      </c>
      <c r="AB205" s="69" t="s">
        <v>46</v>
      </c>
      <c r="AC205" s="229" t="s">
        <v>308</v>
      </c>
      <c r="AG205" s="81"/>
      <c r="AJ205" s="87" t="s">
        <v>89</v>
      </c>
      <c r="AK205" s="87">
        <v>1</v>
      </c>
      <c r="BB205" s="230" t="s">
        <v>116</v>
      </c>
      <c r="BM205" s="81">
        <f>IFERROR(X205*I205,"0")</f>
        <v>0</v>
      </c>
      <c r="BN205" s="81">
        <f>IFERROR(Y205*I205,"0")</f>
        <v>0</v>
      </c>
      <c r="BO205" s="81">
        <f>IFERROR(X205/J205,"0")</f>
        <v>0</v>
      </c>
      <c r="BP205" s="81">
        <f>IFERROR(Y205/J205,"0")</f>
        <v>0</v>
      </c>
    </row>
    <row r="206" spans="1:68" ht="27" hidden="1" customHeight="1" x14ac:dyDescent="0.25">
      <c r="A206" s="63" t="s">
        <v>309</v>
      </c>
      <c r="B206" s="63" t="s">
        <v>310</v>
      </c>
      <c r="C206" s="36">
        <v>4301135707</v>
      </c>
      <c r="D206" s="354">
        <v>4620207490198</v>
      </c>
      <c r="E206" s="354"/>
      <c r="F206" s="62">
        <v>0.2</v>
      </c>
      <c r="G206" s="37">
        <v>12</v>
      </c>
      <c r="H206" s="62">
        <v>2.4</v>
      </c>
      <c r="I206" s="62">
        <v>3.1036000000000001</v>
      </c>
      <c r="J206" s="37">
        <v>70</v>
      </c>
      <c r="K206" s="37" t="s">
        <v>117</v>
      </c>
      <c r="L206" s="37" t="s">
        <v>118</v>
      </c>
      <c r="M206" s="38" t="s">
        <v>86</v>
      </c>
      <c r="N206" s="38"/>
      <c r="O206" s="37">
        <v>180</v>
      </c>
      <c r="P206" s="433" t="str">
        <f>HYPERLINK("https://abi.ru/products/Замороженные/Стародворье/Стародворье ПГП/Снеки/P004822/","Снеки «ЖАР-ладушки с клубникой и вишней» Фикс.вес 0,2 ТМ «Стародворье»")</f>
        <v>Снеки «ЖАР-ладушки с клубникой и вишней» Фикс.вес 0,2 ТМ «Стародворье»</v>
      </c>
      <c r="Q206" s="356"/>
      <c r="R206" s="356"/>
      <c r="S206" s="356"/>
      <c r="T206" s="357"/>
      <c r="U206" s="39" t="s">
        <v>46</v>
      </c>
      <c r="V206" s="39" t="s">
        <v>46</v>
      </c>
      <c r="W206" s="40" t="s">
        <v>39</v>
      </c>
      <c r="X206" s="58">
        <v>0</v>
      </c>
      <c r="Y206" s="55">
        <f>IFERROR(IF(X206="","",X206),"")</f>
        <v>0</v>
      </c>
      <c r="Z206" s="41">
        <f>IFERROR(IF(X206="","",X206*0.01788),"")</f>
        <v>0</v>
      </c>
      <c r="AA206" s="68" t="s">
        <v>46</v>
      </c>
      <c r="AB206" s="69" t="s">
        <v>46</v>
      </c>
      <c r="AC206" s="231" t="s">
        <v>311</v>
      </c>
      <c r="AG206" s="81"/>
      <c r="AJ206" s="87" t="s">
        <v>119</v>
      </c>
      <c r="AK206" s="87">
        <v>14</v>
      </c>
      <c r="BB206" s="232" t="s">
        <v>116</v>
      </c>
      <c r="BM206" s="81">
        <f>IFERROR(X206*I206,"0")</f>
        <v>0</v>
      </c>
      <c r="BN206" s="81">
        <f>IFERROR(Y206*I206,"0")</f>
        <v>0</v>
      </c>
      <c r="BO206" s="81">
        <f>IFERROR(X206/J206,"0")</f>
        <v>0</v>
      </c>
      <c r="BP206" s="81">
        <f>IFERROR(Y206/J206,"0")</f>
        <v>0</v>
      </c>
    </row>
    <row r="207" spans="1:68" ht="27" hidden="1" customHeight="1" x14ac:dyDescent="0.25">
      <c r="A207" s="63" t="s">
        <v>312</v>
      </c>
      <c r="B207" s="63" t="s">
        <v>313</v>
      </c>
      <c r="C207" s="36">
        <v>4301135829</v>
      </c>
      <c r="D207" s="354">
        <v>4620207490235</v>
      </c>
      <c r="E207" s="354"/>
      <c r="F207" s="62">
        <v>0.2</v>
      </c>
      <c r="G207" s="37">
        <v>12</v>
      </c>
      <c r="H207" s="62">
        <v>2.4</v>
      </c>
      <c r="I207" s="62">
        <v>3.1036000000000001</v>
      </c>
      <c r="J207" s="37">
        <v>70</v>
      </c>
      <c r="K207" s="37" t="s">
        <v>117</v>
      </c>
      <c r="L207" s="37" t="s">
        <v>88</v>
      </c>
      <c r="M207" s="38" t="s">
        <v>86</v>
      </c>
      <c r="N207" s="38"/>
      <c r="O207" s="37">
        <v>180</v>
      </c>
      <c r="P207" s="434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7" s="356"/>
      <c r="R207" s="356"/>
      <c r="S207" s="356"/>
      <c r="T207" s="357"/>
      <c r="U207" s="39" t="s">
        <v>46</v>
      </c>
      <c r="V207" s="39" t="s">
        <v>46</v>
      </c>
      <c r="W207" s="40" t="s">
        <v>39</v>
      </c>
      <c r="X207" s="58">
        <v>0</v>
      </c>
      <c r="Y207" s="55">
        <f>IFERROR(IF(X207="","",X207),"")</f>
        <v>0</v>
      </c>
      <c r="Z207" s="41">
        <f>IFERROR(IF(X207="","",X207*0.01788),"")</f>
        <v>0</v>
      </c>
      <c r="AA207" s="68" t="s">
        <v>46</v>
      </c>
      <c r="AB207" s="69" t="s">
        <v>46</v>
      </c>
      <c r="AC207" s="233" t="s">
        <v>314</v>
      </c>
      <c r="AG207" s="81"/>
      <c r="AJ207" s="87" t="s">
        <v>89</v>
      </c>
      <c r="AK207" s="87">
        <v>1</v>
      </c>
      <c r="BB207" s="234" t="s">
        <v>116</v>
      </c>
      <c r="BM207" s="81">
        <f>IFERROR(X207*I207,"0")</f>
        <v>0</v>
      </c>
      <c r="BN207" s="81">
        <f>IFERROR(Y207*I207,"0")</f>
        <v>0</v>
      </c>
      <c r="BO207" s="81">
        <f>IFERROR(X207/J207,"0")</f>
        <v>0</v>
      </c>
      <c r="BP207" s="81">
        <f>IFERROR(Y207/J207,"0")</f>
        <v>0</v>
      </c>
    </row>
    <row r="208" spans="1:68" ht="27" hidden="1" customHeight="1" x14ac:dyDescent="0.25">
      <c r="A208" s="63" t="s">
        <v>315</v>
      </c>
      <c r="B208" s="63" t="s">
        <v>316</v>
      </c>
      <c r="C208" s="36">
        <v>4301135697</v>
      </c>
      <c r="D208" s="354">
        <v>4620207490259</v>
      </c>
      <c r="E208" s="354"/>
      <c r="F208" s="62">
        <v>0.2</v>
      </c>
      <c r="G208" s="37">
        <v>12</v>
      </c>
      <c r="H208" s="62">
        <v>2.4</v>
      </c>
      <c r="I208" s="62">
        <v>3.1036000000000001</v>
      </c>
      <c r="J208" s="37">
        <v>70</v>
      </c>
      <c r="K208" s="37" t="s">
        <v>117</v>
      </c>
      <c r="L208" s="37" t="s">
        <v>118</v>
      </c>
      <c r="M208" s="38" t="s">
        <v>86</v>
      </c>
      <c r="N208" s="38"/>
      <c r="O208" s="37">
        <v>180</v>
      </c>
      <c r="P208" s="43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8" s="356"/>
      <c r="R208" s="356"/>
      <c r="S208" s="356"/>
      <c r="T208" s="357"/>
      <c r="U208" s="39" t="s">
        <v>46</v>
      </c>
      <c r="V208" s="39" t="s">
        <v>46</v>
      </c>
      <c r="W208" s="40" t="s">
        <v>39</v>
      </c>
      <c r="X208" s="58">
        <v>0</v>
      </c>
      <c r="Y208" s="55">
        <f>IFERROR(IF(X208="","",X208),"")</f>
        <v>0</v>
      </c>
      <c r="Z208" s="41">
        <f>IFERROR(IF(X208="","",X208*0.01788),"")</f>
        <v>0</v>
      </c>
      <c r="AA208" s="68" t="s">
        <v>46</v>
      </c>
      <c r="AB208" s="69" t="s">
        <v>46</v>
      </c>
      <c r="AC208" s="235" t="s">
        <v>311</v>
      </c>
      <c r="AG208" s="81"/>
      <c r="AJ208" s="87" t="s">
        <v>119</v>
      </c>
      <c r="AK208" s="87">
        <v>14</v>
      </c>
      <c r="BB208" s="236" t="s">
        <v>116</v>
      </c>
      <c r="BM208" s="81">
        <f>IFERROR(X208*I208,"0")</f>
        <v>0</v>
      </c>
      <c r="BN208" s="81">
        <f>IFERROR(Y208*I208,"0")</f>
        <v>0</v>
      </c>
      <c r="BO208" s="81">
        <f>IFERROR(X208/J208,"0")</f>
        <v>0</v>
      </c>
      <c r="BP208" s="81">
        <f>IFERROR(Y208/J208,"0")</f>
        <v>0</v>
      </c>
    </row>
    <row r="209" spans="1:68" ht="12.75" hidden="1" customHeight="1" x14ac:dyDescent="0.2">
      <c r="A209" s="368"/>
      <c r="B209" s="368"/>
      <c r="C209" s="368"/>
      <c r="D209" s="368"/>
      <c r="E209" s="368"/>
      <c r="F209" s="368"/>
      <c r="G209" s="368"/>
      <c r="H209" s="368"/>
      <c r="I209" s="368"/>
      <c r="J209" s="368"/>
      <c r="K209" s="368"/>
      <c r="L209" s="368"/>
      <c r="M209" s="368"/>
      <c r="N209" s="368"/>
      <c r="O209" s="369"/>
      <c r="P209" s="365" t="s">
        <v>40</v>
      </c>
      <c r="Q209" s="366"/>
      <c r="R209" s="366"/>
      <c r="S209" s="366"/>
      <c r="T209" s="366"/>
      <c r="U209" s="366"/>
      <c r="V209" s="367"/>
      <c r="W209" s="42" t="s">
        <v>39</v>
      </c>
      <c r="X209" s="43">
        <f>IFERROR(SUM(X205:X208),"0")</f>
        <v>0</v>
      </c>
      <c r="Y209" s="43">
        <f>IFERROR(SUM(Y205:Y208),"0")</f>
        <v>0</v>
      </c>
      <c r="Z209" s="43">
        <f>IFERROR(IF(Z205="",0,Z205),"0")+IFERROR(IF(Z206="",0,Z206),"0")+IFERROR(IF(Z207="",0,Z207),"0")+IFERROR(IF(Z208="",0,Z208),"0")</f>
        <v>0</v>
      </c>
      <c r="AA209" s="67"/>
      <c r="AB209" s="67"/>
      <c r="AC209" s="67"/>
    </row>
    <row r="210" spans="1:68" ht="12.75" hidden="1" customHeight="1" x14ac:dyDescent="0.2">
      <c r="A210" s="368"/>
      <c r="B210" s="368"/>
      <c r="C210" s="368"/>
      <c r="D210" s="368"/>
      <c r="E210" s="368"/>
      <c r="F210" s="368"/>
      <c r="G210" s="368"/>
      <c r="H210" s="368"/>
      <c r="I210" s="368"/>
      <c r="J210" s="368"/>
      <c r="K210" s="368"/>
      <c r="L210" s="368"/>
      <c r="M210" s="368"/>
      <c r="N210" s="368"/>
      <c r="O210" s="369"/>
      <c r="P210" s="365" t="s">
        <v>40</v>
      </c>
      <c r="Q210" s="366"/>
      <c r="R210" s="366"/>
      <c r="S210" s="366"/>
      <c r="T210" s="366"/>
      <c r="U210" s="366"/>
      <c r="V210" s="367"/>
      <c r="W210" s="42" t="s">
        <v>0</v>
      </c>
      <c r="X210" s="43">
        <f>IFERROR(SUMPRODUCT(X205:X208*H205:H208),"0")</f>
        <v>0</v>
      </c>
      <c r="Y210" s="43">
        <f>IFERROR(SUMPRODUCT(Y205:Y208*H205:H208),"0")</f>
        <v>0</v>
      </c>
      <c r="Z210" s="42"/>
      <c r="AA210" s="67"/>
      <c r="AB210" s="67"/>
      <c r="AC210" s="67"/>
    </row>
    <row r="211" spans="1:68" ht="16.5" hidden="1" customHeight="1" x14ac:dyDescent="0.25">
      <c r="A211" s="352" t="s">
        <v>317</v>
      </c>
      <c r="B211" s="352"/>
      <c r="C211" s="352"/>
      <c r="D211" s="352"/>
      <c r="E211" s="352"/>
      <c r="F211" s="352"/>
      <c r="G211" s="352"/>
      <c r="H211" s="352"/>
      <c r="I211" s="352"/>
      <c r="J211" s="352"/>
      <c r="K211" s="352"/>
      <c r="L211" s="352"/>
      <c r="M211" s="352"/>
      <c r="N211" s="352"/>
      <c r="O211" s="352"/>
      <c r="P211" s="352"/>
      <c r="Q211" s="352"/>
      <c r="R211" s="352"/>
      <c r="S211" s="352"/>
      <c r="T211" s="352"/>
      <c r="U211" s="352"/>
      <c r="V211" s="352"/>
      <c r="W211" s="352"/>
      <c r="X211" s="352"/>
      <c r="Y211" s="352"/>
      <c r="Z211" s="352"/>
      <c r="AA211" s="65"/>
      <c r="AB211" s="65"/>
      <c r="AC211" s="82"/>
    </row>
    <row r="212" spans="1:68" ht="14.25" hidden="1" customHeight="1" x14ac:dyDescent="0.25">
      <c r="A212" s="353" t="s">
        <v>82</v>
      </c>
      <c r="B212" s="353"/>
      <c r="C212" s="353"/>
      <c r="D212" s="353"/>
      <c r="E212" s="353"/>
      <c r="F212" s="353"/>
      <c r="G212" s="353"/>
      <c r="H212" s="353"/>
      <c r="I212" s="353"/>
      <c r="J212" s="353"/>
      <c r="K212" s="353"/>
      <c r="L212" s="353"/>
      <c r="M212" s="353"/>
      <c r="N212" s="353"/>
      <c r="O212" s="353"/>
      <c r="P212" s="353"/>
      <c r="Q212" s="353"/>
      <c r="R212" s="353"/>
      <c r="S212" s="353"/>
      <c r="T212" s="353"/>
      <c r="U212" s="353"/>
      <c r="V212" s="353"/>
      <c r="W212" s="353"/>
      <c r="X212" s="353"/>
      <c r="Y212" s="353"/>
      <c r="Z212" s="353"/>
      <c r="AA212" s="66"/>
      <c r="AB212" s="66"/>
      <c r="AC212" s="83"/>
    </row>
    <row r="213" spans="1:68" ht="27" hidden="1" customHeight="1" x14ac:dyDescent="0.25">
      <c r="A213" s="63" t="s">
        <v>318</v>
      </c>
      <c r="B213" s="63" t="s">
        <v>319</v>
      </c>
      <c r="C213" s="36">
        <v>4301071097</v>
      </c>
      <c r="D213" s="354">
        <v>4620207491096</v>
      </c>
      <c r="E213" s="354"/>
      <c r="F213" s="62">
        <v>1</v>
      </c>
      <c r="G213" s="37">
        <v>5</v>
      </c>
      <c r="H213" s="62">
        <v>5</v>
      </c>
      <c r="I213" s="62">
        <v>5.23</v>
      </c>
      <c r="J213" s="37">
        <v>84</v>
      </c>
      <c r="K213" s="37" t="s">
        <v>87</v>
      </c>
      <c r="L213" s="37" t="s">
        <v>118</v>
      </c>
      <c r="M213" s="38" t="s">
        <v>86</v>
      </c>
      <c r="N213" s="38"/>
      <c r="O213" s="37">
        <v>180</v>
      </c>
      <c r="P213" s="436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3" s="356"/>
      <c r="R213" s="356"/>
      <c r="S213" s="356"/>
      <c r="T213" s="357"/>
      <c r="U213" s="39" t="s">
        <v>46</v>
      </c>
      <c r="V213" s="39" t="s">
        <v>46</v>
      </c>
      <c r="W213" s="40" t="s">
        <v>39</v>
      </c>
      <c r="X213" s="58">
        <v>0</v>
      </c>
      <c r="Y213" s="55">
        <f>IFERROR(IF(X213="","",X213),"")</f>
        <v>0</v>
      </c>
      <c r="Z213" s="41">
        <f>IFERROR(IF(X213="","",X213*0.0155),"")</f>
        <v>0</v>
      </c>
      <c r="AA213" s="68" t="s">
        <v>46</v>
      </c>
      <c r="AB213" s="69" t="s">
        <v>46</v>
      </c>
      <c r="AC213" s="237" t="s">
        <v>320</v>
      </c>
      <c r="AG213" s="81"/>
      <c r="AJ213" s="87" t="s">
        <v>119</v>
      </c>
      <c r="AK213" s="87">
        <v>12</v>
      </c>
      <c r="BB213" s="238" t="s">
        <v>70</v>
      </c>
      <c r="BM213" s="81">
        <f>IFERROR(X213*I213,"0")</f>
        <v>0</v>
      </c>
      <c r="BN213" s="81">
        <f>IFERROR(Y213*I213,"0")</f>
        <v>0</v>
      </c>
      <c r="BO213" s="81">
        <f>IFERROR(X213/J213,"0")</f>
        <v>0</v>
      </c>
      <c r="BP213" s="81">
        <f>IFERROR(Y213/J213,"0")</f>
        <v>0</v>
      </c>
    </row>
    <row r="214" spans="1:68" ht="12.75" hidden="1" customHeight="1" x14ac:dyDescent="0.2">
      <c r="A214" s="368"/>
      <c r="B214" s="368"/>
      <c r="C214" s="368"/>
      <c r="D214" s="368"/>
      <c r="E214" s="368"/>
      <c r="F214" s="368"/>
      <c r="G214" s="368"/>
      <c r="H214" s="368"/>
      <c r="I214" s="368"/>
      <c r="J214" s="368"/>
      <c r="K214" s="368"/>
      <c r="L214" s="368"/>
      <c r="M214" s="368"/>
      <c r="N214" s="368"/>
      <c r="O214" s="369"/>
      <c r="P214" s="365" t="s">
        <v>40</v>
      </c>
      <c r="Q214" s="366"/>
      <c r="R214" s="366"/>
      <c r="S214" s="366"/>
      <c r="T214" s="366"/>
      <c r="U214" s="366"/>
      <c r="V214" s="367"/>
      <c r="W214" s="42" t="s">
        <v>39</v>
      </c>
      <c r="X214" s="43">
        <f>IFERROR(SUM(X213:X213),"0")</f>
        <v>0</v>
      </c>
      <c r="Y214" s="43">
        <f>IFERROR(SUM(Y213:Y213),"0")</f>
        <v>0</v>
      </c>
      <c r="Z214" s="43">
        <f>IFERROR(IF(Z213="",0,Z213),"0")</f>
        <v>0</v>
      </c>
      <c r="AA214" s="67"/>
      <c r="AB214" s="67"/>
      <c r="AC214" s="67"/>
    </row>
    <row r="215" spans="1:68" ht="12.75" hidden="1" customHeight="1" x14ac:dyDescent="0.2">
      <c r="A215" s="368"/>
      <c r="B215" s="368"/>
      <c r="C215" s="368"/>
      <c r="D215" s="368"/>
      <c r="E215" s="368"/>
      <c r="F215" s="368"/>
      <c r="G215" s="368"/>
      <c r="H215" s="368"/>
      <c r="I215" s="368"/>
      <c r="J215" s="368"/>
      <c r="K215" s="368"/>
      <c r="L215" s="368"/>
      <c r="M215" s="368"/>
      <c r="N215" s="368"/>
      <c r="O215" s="369"/>
      <c r="P215" s="365" t="s">
        <v>40</v>
      </c>
      <c r="Q215" s="366"/>
      <c r="R215" s="366"/>
      <c r="S215" s="366"/>
      <c r="T215" s="366"/>
      <c r="U215" s="366"/>
      <c r="V215" s="367"/>
      <c r="W215" s="42" t="s">
        <v>0</v>
      </c>
      <c r="X215" s="43">
        <f>IFERROR(SUMPRODUCT(X213:X213*H213:H213),"0")</f>
        <v>0</v>
      </c>
      <c r="Y215" s="43">
        <f>IFERROR(SUMPRODUCT(Y213:Y213*H213:H213),"0")</f>
        <v>0</v>
      </c>
      <c r="Z215" s="42"/>
      <c r="AA215" s="67"/>
      <c r="AB215" s="67"/>
      <c r="AC215" s="67"/>
    </row>
    <row r="216" spans="1:68" ht="16.5" hidden="1" customHeight="1" x14ac:dyDescent="0.25">
      <c r="A216" s="352" t="s">
        <v>321</v>
      </c>
      <c r="B216" s="352"/>
      <c r="C216" s="352"/>
      <c r="D216" s="352"/>
      <c r="E216" s="352"/>
      <c r="F216" s="352"/>
      <c r="G216" s="352"/>
      <c r="H216" s="352"/>
      <c r="I216" s="352"/>
      <c r="J216" s="352"/>
      <c r="K216" s="352"/>
      <c r="L216" s="352"/>
      <c r="M216" s="352"/>
      <c r="N216" s="352"/>
      <c r="O216" s="352"/>
      <c r="P216" s="352"/>
      <c r="Q216" s="352"/>
      <c r="R216" s="352"/>
      <c r="S216" s="352"/>
      <c r="T216" s="352"/>
      <c r="U216" s="352"/>
      <c r="V216" s="352"/>
      <c r="W216" s="352"/>
      <c r="X216" s="352"/>
      <c r="Y216" s="352"/>
      <c r="Z216" s="352"/>
      <c r="AA216" s="65"/>
      <c r="AB216" s="65"/>
      <c r="AC216" s="82"/>
    </row>
    <row r="217" spans="1:68" ht="14.25" hidden="1" customHeight="1" x14ac:dyDescent="0.25">
      <c r="A217" s="353" t="s">
        <v>156</v>
      </c>
      <c r="B217" s="353"/>
      <c r="C217" s="353"/>
      <c r="D217" s="353"/>
      <c r="E217" s="353"/>
      <c r="F217" s="353"/>
      <c r="G217" s="353"/>
      <c r="H217" s="353"/>
      <c r="I217" s="353"/>
      <c r="J217" s="353"/>
      <c r="K217" s="353"/>
      <c r="L217" s="353"/>
      <c r="M217" s="353"/>
      <c r="N217" s="353"/>
      <c r="O217" s="353"/>
      <c r="P217" s="353"/>
      <c r="Q217" s="353"/>
      <c r="R217" s="353"/>
      <c r="S217" s="353"/>
      <c r="T217" s="353"/>
      <c r="U217" s="353"/>
      <c r="V217" s="353"/>
      <c r="W217" s="353"/>
      <c r="X217" s="353"/>
      <c r="Y217" s="353"/>
      <c r="Z217" s="353"/>
      <c r="AA217" s="66"/>
      <c r="AB217" s="66"/>
      <c r="AC217" s="83"/>
    </row>
    <row r="218" spans="1:68" ht="27" hidden="1" customHeight="1" x14ac:dyDescent="0.25">
      <c r="A218" s="63" t="s">
        <v>322</v>
      </c>
      <c r="B218" s="63" t="s">
        <v>323</v>
      </c>
      <c r="C218" s="36">
        <v>4301135691</v>
      </c>
      <c r="D218" s="354">
        <v>4620207490549</v>
      </c>
      <c r="E218" s="354"/>
      <c r="F218" s="62">
        <v>0.2</v>
      </c>
      <c r="G218" s="37">
        <v>12</v>
      </c>
      <c r="H218" s="62">
        <v>2.4</v>
      </c>
      <c r="I218" s="62">
        <v>3.1036000000000001</v>
      </c>
      <c r="J218" s="37">
        <v>70</v>
      </c>
      <c r="K218" s="37" t="s">
        <v>117</v>
      </c>
      <c r="L218" s="37" t="s">
        <v>88</v>
      </c>
      <c r="M218" s="38" t="s">
        <v>86</v>
      </c>
      <c r="N218" s="38"/>
      <c r="O218" s="37">
        <v>180</v>
      </c>
      <c r="P218" s="437" t="str">
        <f>HYPERLINK("https://abi.ru/products/Замороженные/Стародворье/Добросельские ЭТМ/Снеки/P004804/","Снеки «Жареные пельмени с мясом Добросельские» Фикс.вес 0,2 ТМ «Стародворье»")</f>
        <v>Снеки «Жареные пельмени с мясом Добросельские» Фикс.вес 0,2 ТМ «Стародворье»</v>
      </c>
      <c r="Q218" s="356"/>
      <c r="R218" s="356"/>
      <c r="S218" s="356"/>
      <c r="T218" s="357"/>
      <c r="U218" s="39" t="s">
        <v>46</v>
      </c>
      <c r="V218" s="39" t="s">
        <v>46</v>
      </c>
      <c r="W218" s="40" t="s">
        <v>39</v>
      </c>
      <c r="X218" s="58">
        <v>0</v>
      </c>
      <c r="Y218" s="55">
        <f>IFERROR(IF(X218="","",X218),"")</f>
        <v>0</v>
      </c>
      <c r="Z218" s="41">
        <f>IFERROR(IF(X218="","",X218*0.01788),"")</f>
        <v>0</v>
      </c>
      <c r="AA218" s="68" t="s">
        <v>46</v>
      </c>
      <c r="AB218" s="69" t="s">
        <v>46</v>
      </c>
      <c r="AC218" s="239" t="s">
        <v>324</v>
      </c>
      <c r="AG218" s="81"/>
      <c r="AJ218" s="87" t="s">
        <v>89</v>
      </c>
      <c r="AK218" s="87">
        <v>1</v>
      </c>
      <c r="BB218" s="240" t="s">
        <v>116</v>
      </c>
      <c r="BM218" s="81">
        <f>IFERROR(X218*I218,"0")</f>
        <v>0</v>
      </c>
      <c r="BN218" s="81">
        <f>IFERROR(Y218*I218,"0")</f>
        <v>0</v>
      </c>
      <c r="BO218" s="81">
        <f>IFERROR(X218/J218,"0")</f>
        <v>0</v>
      </c>
      <c r="BP218" s="81">
        <f>IFERROR(Y218/J218,"0")</f>
        <v>0</v>
      </c>
    </row>
    <row r="219" spans="1:68" ht="27" hidden="1" customHeight="1" x14ac:dyDescent="0.25">
      <c r="A219" s="63" t="s">
        <v>325</v>
      </c>
      <c r="B219" s="63" t="s">
        <v>326</v>
      </c>
      <c r="C219" s="36">
        <v>4301135694</v>
      </c>
      <c r="D219" s="354">
        <v>4620207490501</v>
      </c>
      <c r="E219" s="354"/>
      <c r="F219" s="62">
        <v>0.2</v>
      </c>
      <c r="G219" s="37">
        <v>12</v>
      </c>
      <c r="H219" s="62">
        <v>2.4</v>
      </c>
      <c r="I219" s="62">
        <v>3.1036000000000001</v>
      </c>
      <c r="J219" s="37">
        <v>70</v>
      </c>
      <c r="K219" s="37" t="s">
        <v>117</v>
      </c>
      <c r="L219" s="37" t="s">
        <v>88</v>
      </c>
      <c r="M219" s="38" t="s">
        <v>86</v>
      </c>
      <c r="N219" s="38"/>
      <c r="O219" s="37">
        <v>180</v>
      </c>
      <c r="P219" s="438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19" s="356"/>
      <c r="R219" s="356"/>
      <c r="S219" s="356"/>
      <c r="T219" s="357"/>
      <c r="U219" s="39" t="s">
        <v>46</v>
      </c>
      <c r="V219" s="39" t="s">
        <v>46</v>
      </c>
      <c r="W219" s="40" t="s">
        <v>39</v>
      </c>
      <c r="X219" s="58">
        <v>0</v>
      </c>
      <c r="Y219" s="55">
        <f>IFERROR(IF(X219="","",X219),"")</f>
        <v>0</v>
      </c>
      <c r="Z219" s="41">
        <f>IFERROR(IF(X219="","",X219*0.01788),"")</f>
        <v>0</v>
      </c>
      <c r="AA219" s="68" t="s">
        <v>46</v>
      </c>
      <c r="AB219" s="69" t="s">
        <v>46</v>
      </c>
      <c r="AC219" s="241" t="s">
        <v>324</v>
      </c>
      <c r="AG219" s="81"/>
      <c r="AJ219" s="87" t="s">
        <v>89</v>
      </c>
      <c r="AK219" s="87">
        <v>1</v>
      </c>
      <c r="BB219" s="242" t="s">
        <v>116</v>
      </c>
      <c r="BM219" s="81">
        <f>IFERROR(X219*I219,"0")</f>
        <v>0</v>
      </c>
      <c r="BN219" s="81">
        <f>IFERROR(Y219*I219,"0")</f>
        <v>0</v>
      </c>
      <c r="BO219" s="81">
        <f>IFERROR(X219/J219,"0")</f>
        <v>0</v>
      </c>
      <c r="BP219" s="81">
        <f>IFERROR(Y219/J219,"0")</f>
        <v>0</v>
      </c>
    </row>
    <row r="220" spans="1:68" ht="12.75" hidden="1" customHeight="1" x14ac:dyDescent="0.2">
      <c r="A220" s="368"/>
      <c r="B220" s="368"/>
      <c r="C220" s="368"/>
      <c r="D220" s="368"/>
      <c r="E220" s="368"/>
      <c r="F220" s="368"/>
      <c r="G220" s="368"/>
      <c r="H220" s="368"/>
      <c r="I220" s="368"/>
      <c r="J220" s="368"/>
      <c r="K220" s="368"/>
      <c r="L220" s="368"/>
      <c r="M220" s="368"/>
      <c r="N220" s="368"/>
      <c r="O220" s="369"/>
      <c r="P220" s="365" t="s">
        <v>40</v>
      </c>
      <c r="Q220" s="366"/>
      <c r="R220" s="366"/>
      <c r="S220" s="366"/>
      <c r="T220" s="366"/>
      <c r="U220" s="366"/>
      <c r="V220" s="367"/>
      <c r="W220" s="42" t="s">
        <v>39</v>
      </c>
      <c r="X220" s="43">
        <f>IFERROR(SUM(X218:X219),"0")</f>
        <v>0</v>
      </c>
      <c r="Y220" s="43">
        <f>IFERROR(SUM(Y218:Y219),"0")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ht="12.75" hidden="1" customHeight="1" x14ac:dyDescent="0.2">
      <c r="A221" s="368"/>
      <c r="B221" s="368"/>
      <c r="C221" s="368"/>
      <c r="D221" s="368"/>
      <c r="E221" s="368"/>
      <c r="F221" s="368"/>
      <c r="G221" s="368"/>
      <c r="H221" s="368"/>
      <c r="I221" s="368"/>
      <c r="J221" s="368"/>
      <c r="K221" s="368"/>
      <c r="L221" s="368"/>
      <c r="M221" s="368"/>
      <c r="N221" s="368"/>
      <c r="O221" s="369"/>
      <c r="P221" s="365" t="s">
        <v>40</v>
      </c>
      <c r="Q221" s="366"/>
      <c r="R221" s="366"/>
      <c r="S221" s="366"/>
      <c r="T221" s="366"/>
      <c r="U221" s="366"/>
      <c r="V221" s="367"/>
      <c r="W221" s="42" t="s">
        <v>0</v>
      </c>
      <c r="X221" s="43">
        <f>IFERROR(SUMPRODUCT(X218:X219*H218:H219),"0")</f>
        <v>0</v>
      </c>
      <c r="Y221" s="43">
        <f>IFERROR(SUMPRODUCT(Y218:Y219*H218:H219),"0")</f>
        <v>0</v>
      </c>
      <c r="Z221" s="42"/>
      <c r="AA221" s="67"/>
      <c r="AB221" s="67"/>
      <c r="AC221" s="67"/>
    </row>
    <row r="222" spans="1:68" ht="27.75" hidden="1" customHeight="1" x14ac:dyDescent="0.2">
      <c r="A222" s="351" t="s">
        <v>327</v>
      </c>
      <c r="B222" s="351"/>
      <c r="C222" s="351"/>
      <c r="D222" s="351"/>
      <c r="E222" s="351"/>
      <c r="F222" s="351"/>
      <c r="G222" s="351"/>
      <c r="H222" s="351"/>
      <c r="I222" s="351"/>
      <c r="J222" s="351"/>
      <c r="K222" s="351"/>
      <c r="L222" s="351"/>
      <c r="M222" s="351"/>
      <c r="N222" s="351"/>
      <c r="O222" s="351"/>
      <c r="P222" s="351"/>
      <c r="Q222" s="351"/>
      <c r="R222" s="351"/>
      <c r="S222" s="351"/>
      <c r="T222" s="351"/>
      <c r="U222" s="351"/>
      <c r="V222" s="351"/>
      <c r="W222" s="351"/>
      <c r="X222" s="351"/>
      <c r="Y222" s="351"/>
      <c r="Z222" s="351"/>
      <c r="AA222" s="54"/>
      <c r="AB222" s="54"/>
      <c r="AC222" s="54"/>
    </row>
    <row r="223" spans="1:68" ht="16.5" hidden="1" customHeight="1" x14ac:dyDescent="0.25">
      <c r="A223" s="352" t="s">
        <v>328</v>
      </c>
      <c r="B223" s="352"/>
      <c r="C223" s="352"/>
      <c r="D223" s="352"/>
      <c r="E223" s="352"/>
      <c r="F223" s="352"/>
      <c r="G223" s="352"/>
      <c r="H223" s="352"/>
      <c r="I223" s="352"/>
      <c r="J223" s="352"/>
      <c r="K223" s="352"/>
      <c r="L223" s="352"/>
      <c r="M223" s="352"/>
      <c r="N223" s="352"/>
      <c r="O223" s="352"/>
      <c r="P223" s="352"/>
      <c r="Q223" s="352"/>
      <c r="R223" s="352"/>
      <c r="S223" s="352"/>
      <c r="T223" s="352"/>
      <c r="U223" s="352"/>
      <c r="V223" s="352"/>
      <c r="W223" s="352"/>
      <c r="X223" s="352"/>
      <c r="Y223" s="352"/>
      <c r="Z223" s="352"/>
      <c r="AA223" s="65"/>
      <c r="AB223" s="65"/>
      <c r="AC223" s="82"/>
    </row>
    <row r="224" spans="1:68" ht="14.25" hidden="1" customHeight="1" x14ac:dyDescent="0.25">
      <c r="A224" s="353" t="s">
        <v>82</v>
      </c>
      <c r="B224" s="353"/>
      <c r="C224" s="353"/>
      <c r="D224" s="353"/>
      <c r="E224" s="353"/>
      <c r="F224" s="353"/>
      <c r="G224" s="353"/>
      <c r="H224" s="353"/>
      <c r="I224" s="353"/>
      <c r="J224" s="353"/>
      <c r="K224" s="353"/>
      <c r="L224" s="353"/>
      <c r="M224" s="353"/>
      <c r="N224" s="353"/>
      <c r="O224" s="353"/>
      <c r="P224" s="353"/>
      <c r="Q224" s="353"/>
      <c r="R224" s="353"/>
      <c r="S224" s="353"/>
      <c r="T224" s="353"/>
      <c r="U224" s="353"/>
      <c r="V224" s="353"/>
      <c r="W224" s="353"/>
      <c r="X224" s="353"/>
      <c r="Y224" s="353"/>
      <c r="Z224" s="353"/>
      <c r="AA224" s="66"/>
      <c r="AB224" s="66"/>
      <c r="AC224" s="83"/>
    </row>
    <row r="225" spans="1:68" ht="27" hidden="1" customHeight="1" x14ac:dyDescent="0.25">
      <c r="A225" s="63" t="s">
        <v>329</v>
      </c>
      <c r="B225" s="63" t="s">
        <v>330</v>
      </c>
      <c r="C225" s="36">
        <v>4301071036</v>
      </c>
      <c r="D225" s="354">
        <v>4607111036162</v>
      </c>
      <c r="E225" s="354"/>
      <c r="F225" s="62">
        <v>0.8</v>
      </c>
      <c r="G225" s="37">
        <v>8</v>
      </c>
      <c r="H225" s="62">
        <v>6.4</v>
      </c>
      <c r="I225" s="62">
        <v>6.6811999999999996</v>
      </c>
      <c r="J225" s="37">
        <v>84</v>
      </c>
      <c r="K225" s="37" t="s">
        <v>87</v>
      </c>
      <c r="L225" s="37" t="s">
        <v>88</v>
      </c>
      <c r="M225" s="38" t="s">
        <v>86</v>
      </c>
      <c r="N225" s="38"/>
      <c r="O225" s="37">
        <v>90</v>
      </c>
      <c r="P225" s="43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5" s="356"/>
      <c r="R225" s="356"/>
      <c r="S225" s="356"/>
      <c r="T225" s="357"/>
      <c r="U225" s="39" t="s">
        <v>46</v>
      </c>
      <c r="V225" s="39" t="s">
        <v>46</v>
      </c>
      <c r="W225" s="40" t="s">
        <v>39</v>
      </c>
      <c r="X225" s="58">
        <v>0</v>
      </c>
      <c r="Y225" s="55">
        <f>IFERROR(IF(X225="","",X225),"")</f>
        <v>0</v>
      </c>
      <c r="Z225" s="41">
        <f>IFERROR(IF(X225="","",X225*0.0155),"")</f>
        <v>0</v>
      </c>
      <c r="AA225" s="68" t="s">
        <v>46</v>
      </c>
      <c r="AB225" s="69" t="s">
        <v>46</v>
      </c>
      <c r="AC225" s="243" t="s">
        <v>331</v>
      </c>
      <c r="AG225" s="81"/>
      <c r="AJ225" s="87" t="s">
        <v>89</v>
      </c>
      <c r="AK225" s="87">
        <v>1</v>
      </c>
      <c r="BB225" s="244" t="s">
        <v>70</v>
      </c>
      <c r="BM225" s="81">
        <f>IFERROR(X225*I225,"0")</f>
        <v>0</v>
      </c>
      <c r="BN225" s="81">
        <f>IFERROR(Y225*I225,"0")</f>
        <v>0</v>
      </c>
      <c r="BO225" s="81">
        <f>IFERROR(X225/J225,"0")</f>
        <v>0</v>
      </c>
      <c r="BP225" s="81">
        <f>IFERROR(Y225/J225,"0")</f>
        <v>0</v>
      </c>
    </row>
    <row r="226" spans="1:68" ht="12.75" hidden="1" customHeight="1" x14ac:dyDescent="0.2">
      <c r="A226" s="368"/>
      <c r="B226" s="368"/>
      <c r="C226" s="368"/>
      <c r="D226" s="368"/>
      <c r="E226" s="368"/>
      <c r="F226" s="368"/>
      <c r="G226" s="368"/>
      <c r="H226" s="368"/>
      <c r="I226" s="368"/>
      <c r="J226" s="368"/>
      <c r="K226" s="368"/>
      <c r="L226" s="368"/>
      <c r="M226" s="368"/>
      <c r="N226" s="368"/>
      <c r="O226" s="369"/>
      <c r="P226" s="365" t="s">
        <v>40</v>
      </c>
      <c r="Q226" s="366"/>
      <c r="R226" s="366"/>
      <c r="S226" s="366"/>
      <c r="T226" s="366"/>
      <c r="U226" s="366"/>
      <c r="V226" s="367"/>
      <c r="W226" s="42" t="s">
        <v>39</v>
      </c>
      <c r="X226" s="43">
        <f>IFERROR(SUM(X225:X225),"0")</f>
        <v>0</v>
      </c>
      <c r="Y226" s="43">
        <f>IFERROR(SUM(Y225:Y225),"0")</f>
        <v>0</v>
      </c>
      <c r="Z226" s="43">
        <f>IFERROR(IF(Z225="",0,Z225),"0")</f>
        <v>0</v>
      </c>
      <c r="AA226" s="67"/>
      <c r="AB226" s="67"/>
      <c r="AC226" s="67"/>
    </row>
    <row r="227" spans="1:68" ht="12.75" hidden="1" customHeight="1" x14ac:dyDescent="0.2">
      <c r="A227" s="368"/>
      <c r="B227" s="368"/>
      <c r="C227" s="368"/>
      <c r="D227" s="368"/>
      <c r="E227" s="368"/>
      <c r="F227" s="368"/>
      <c r="G227" s="368"/>
      <c r="H227" s="368"/>
      <c r="I227" s="368"/>
      <c r="J227" s="368"/>
      <c r="K227" s="368"/>
      <c r="L227" s="368"/>
      <c r="M227" s="368"/>
      <c r="N227" s="368"/>
      <c r="O227" s="369"/>
      <c r="P227" s="365" t="s">
        <v>40</v>
      </c>
      <c r="Q227" s="366"/>
      <c r="R227" s="366"/>
      <c r="S227" s="366"/>
      <c r="T227" s="366"/>
      <c r="U227" s="366"/>
      <c r="V227" s="367"/>
      <c r="W227" s="42" t="s">
        <v>0</v>
      </c>
      <c r="X227" s="43">
        <f>IFERROR(SUMPRODUCT(X225:X225*H225:H225),"0")</f>
        <v>0</v>
      </c>
      <c r="Y227" s="43">
        <f>IFERROR(SUMPRODUCT(Y225:Y225*H225:H225),"0")</f>
        <v>0</v>
      </c>
      <c r="Z227" s="42"/>
      <c r="AA227" s="67"/>
      <c r="AB227" s="67"/>
      <c r="AC227" s="67"/>
    </row>
    <row r="228" spans="1:68" ht="27.75" hidden="1" customHeight="1" x14ac:dyDescent="0.2">
      <c r="A228" s="351" t="s">
        <v>332</v>
      </c>
      <c r="B228" s="351"/>
      <c r="C228" s="351"/>
      <c r="D228" s="351"/>
      <c r="E228" s="351"/>
      <c r="F228" s="351"/>
      <c r="G228" s="351"/>
      <c r="H228" s="351"/>
      <c r="I228" s="351"/>
      <c r="J228" s="351"/>
      <c r="K228" s="351"/>
      <c r="L228" s="351"/>
      <c r="M228" s="351"/>
      <c r="N228" s="351"/>
      <c r="O228" s="351"/>
      <c r="P228" s="351"/>
      <c r="Q228" s="351"/>
      <c r="R228" s="351"/>
      <c r="S228" s="351"/>
      <c r="T228" s="351"/>
      <c r="U228" s="351"/>
      <c r="V228" s="351"/>
      <c r="W228" s="351"/>
      <c r="X228" s="351"/>
      <c r="Y228" s="351"/>
      <c r="Z228" s="351"/>
      <c r="AA228" s="54"/>
      <c r="AB228" s="54"/>
      <c r="AC228" s="54"/>
    </row>
    <row r="229" spans="1:68" ht="16.5" hidden="1" customHeight="1" x14ac:dyDescent="0.25">
      <c r="A229" s="352" t="s">
        <v>333</v>
      </c>
      <c r="B229" s="352"/>
      <c r="C229" s="352"/>
      <c r="D229" s="352"/>
      <c r="E229" s="352"/>
      <c r="F229" s="352"/>
      <c r="G229" s="352"/>
      <c r="H229" s="352"/>
      <c r="I229" s="352"/>
      <c r="J229" s="352"/>
      <c r="K229" s="352"/>
      <c r="L229" s="352"/>
      <c r="M229" s="352"/>
      <c r="N229" s="352"/>
      <c r="O229" s="352"/>
      <c r="P229" s="352"/>
      <c r="Q229" s="352"/>
      <c r="R229" s="352"/>
      <c r="S229" s="352"/>
      <c r="T229" s="352"/>
      <c r="U229" s="352"/>
      <c r="V229" s="352"/>
      <c r="W229" s="352"/>
      <c r="X229" s="352"/>
      <c r="Y229" s="352"/>
      <c r="Z229" s="352"/>
      <c r="AA229" s="65"/>
      <c r="AB229" s="65"/>
      <c r="AC229" s="82"/>
    </row>
    <row r="230" spans="1:68" ht="14.25" hidden="1" customHeight="1" x14ac:dyDescent="0.25">
      <c r="A230" s="353" t="s">
        <v>82</v>
      </c>
      <c r="B230" s="353"/>
      <c r="C230" s="353"/>
      <c r="D230" s="353"/>
      <c r="E230" s="353"/>
      <c r="F230" s="353"/>
      <c r="G230" s="353"/>
      <c r="H230" s="353"/>
      <c r="I230" s="353"/>
      <c r="J230" s="353"/>
      <c r="K230" s="353"/>
      <c r="L230" s="353"/>
      <c r="M230" s="353"/>
      <c r="N230" s="353"/>
      <c r="O230" s="353"/>
      <c r="P230" s="353"/>
      <c r="Q230" s="353"/>
      <c r="R230" s="353"/>
      <c r="S230" s="353"/>
      <c r="T230" s="353"/>
      <c r="U230" s="353"/>
      <c r="V230" s="353"/>
      <c r="W230" s="353"/>
      <c r="X230" s="353"/>
      <c r="Y230" s="353"/>
      <c r="Z230" s="353"/>
      <c r="AA230" s="66"/>
      <c r="AB230" s="66"/>
      <c r="AC230" s="83"/>
    </row>
    <row r="231" spans="1:68" ht="27" hidden="1" customHeight="1" x14ac:dyDescent="0.25">
      <c r="A231" s="63" t="s">
        <v>334</v>
      </c>
      <c r="B231" s="63" t="s">
        <v>335</v>
      </c>
      <c r="C231" s="36">
        <v>4301071029</v>
      </c>
      <c r="D231" s="354">
        <v>4607111035899</v>
      </c>
      <c r="E231" s="354"/>
      <c r="F231" s="62">
        <v>1</v>
      </c>
      <c r="G231" s="37">
        <v>5</v>
      </c>
      <c r="H231" s="62">
        <v>5</v>
      </c>
      <c r="I231" s="62">
        <v>5.2619999999999996</v>
      </c>
      <c r="J231" s="37">
        <v>84</v>
      </c>
      <c r="K231" s="37" t="s">
        <v>87</v>
      </c>
      <c r="L231" s="37" t="s">
        <v>88</v>
      </c>
      <c r="M231" s="38" t="s">
        <v>86</v>
      </c>
      <c r="N231" s="38"/>
      <c r="O231" s="37">
        <v>180</v>
      </c>
      <c r="P231" s="440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1" s="356"/>
      <c r="R231" s="356"/>
      <c r="S231" s="356"/>
      <c r="T231" s="357"/>
      <c r="U231" s="39" t="s">
        <v>46</v>
      </c>
      <c r="V231" s="39" t="s">
        <v>46</v>
      </c>
      <c r="W231" s="40" t="s">
        <v>39</v>
      </c>
      <c r="X231" s="58">
        <v>0</v>
      </c>
      <c r="Y231" s="55">
        <f>IFERROR(IF(X231="","",X231),"")</f>
        <v>0</v>
      </c>
      <c r="Z231" s="41">
        <f>IFERROR(IF(X231="","",X231*0.0155),"")</f>
        <v>0</v>
      </c>
      <c r="AA231" s="68" t="s">
        <v>46</v>
      </c>
      <c r="AB231" s="69" t="s">
        <v>46</v>
      </c>
      <c r="AC231" s="245" t="s">
        <v>280</v>
      </c>
      <c r="AG231" s="81"/>
      <c r="AJ231" s="87" t="s">
        <v>89</v>
      </c>
      <c r="AK231" s="87">
        <v>1</v>
      </c>
      <c r="BB231" s="246" t="s">
        <v>70</v>
      </c>
      <c r="BM231" s="81">
        <f>IFERROR(X231*I231,"0")</f>
        <v>0</v>
      </c>
      <c r="BN231" s="81">
        <f>IFERROR(Y231*I231,"0")</f>
        <v>0</v>
      </c>
      <c r="BO231" s="81">
        <f>IFERROR(X231/J231,"0")</f>
        <v>0</v>
      </c>
      <c r="BP231" s="81">
        <f>IFERROR(Y231/J231,"0")</f>
        <v>0</v>
      </c>
    </row>
    <row r="232" spans="1:68" ht="12.75" hidden="1" customHeight="1" x14ac:dyDescent="0.2">
      <c r="A232" s="368"/>
      <c r="B232" s="368"/>
      <c r="C232" s="368"/>
      <c r="D232" s="368"/>
      <c r="E232" s="368"/>
      <c r="F232" s="368"/>
      <c r="G232" s="368"/>
      <c r="H232" s="368"/>
      <c r="I232" s="368"/>
      <c r="J232" s="368"/>
      <c r="K232" s="368"/>
      <c r="L232" s="368"/>
      <c r="M232" s="368"/>
      <c r="N232" s="368"/>
      <c r="O232" s="369"/>
      <c r="P232" s="365" t="s">
        <v>40</v>
      </c>
      <c r="Q232" s="366"/>
      <c r="R232" s="366"/>
      <c r="S232" s="366"/>
      <c r="T232" s="366"/>
      <c r="U232" s="366"/>
      <c r="V232" s="367"/>
      <c r="W232" s="42" t="s">
        <v>39</v>
      </c>
      <c r="X232" s="43">
        <f>IFERROR(SUM(X231:X231),"0")</f>
        <v>0</v>
      </c>
      <c r="Y232" s="43">
        <f>IFERROR(SUM(Y231:Y231),"0")</f>
        <v>0</v>
      </c>
      <c r="Z232" s="43">
        <f>IFERROR(IF(Z231="",0,Z231),"0")</f>
        <v>0</v>
      </c>
      <c r="AA232" s="67"/>
      <c r="AB232" s="67"/>
      <c r="AC232" s="67"/>
    </row>
    <row r="233" spans="1:68" ht="12.75" hidden="1" customHeight="1" x14ac:dyDescent="0.2">
      <c r="A233" s="368"/>
      <c r="B233" s="368"/>
      <c r="C233" s="368"/>
      <c r="D233" s="368"/>
      <c r="E233" s="368"/>
      <c r="F233" s="368"/>
      <c r="G233" s="368"/>
      <c r="H233" s="368"/>
      <c r="I233" s="368"/>
      <c r="J233" s="368"/>
      <c r="K233" s="368"/>
      <c r="L233" s="368"/>
      <c r="M233" s="368"/>
      <c r="N233" s="368"/>
      <c r="O233" s="369"/>
      <c r="P233" s="365" t="s">
        <v>40</v>
      </c>
      <c r="Q233" s="366"/>
      <c r="R233" s="366"/>
      <c r="S233" s="366"/>
      <c r="T233" s="366"/>
      <c r="U233" s="366"/>
      <c r="V233" s="367"/>
      <c r="W233" s="42" t="s">
        <v>0</v>
      </c>
      <c r="X233" s="43">
        <f>IFERROR(SUMPRODUCT(X231:X231*H231:H231),"0")</f>
        <v>0</v>
      </c>
      <c r="Y233" s="43">
        <f>IFERROR(SUMPRODUCT(Y231:Y231*H231:H231),"0")</f>
        <v>0</v>
      </c>
      <c r="Z233" s="42"/>
      <c r="AA233" s="67"/>
      <c r="AB233" s="67"/>
      <c r="AC233" s="67"/>
    </row>
    <row r="234" spans="1:68" ht="27.75" hidden="1" customHeight="1" x14ac:dyDescent="0.2">
      <c r="A234" s="351" t="s">
        <v>336</v>
      </c>
      <c r="B234" s="351"/>
      <c r="C234" s="351"/>
      <c r="D234" s="351"/>
      <c r="E234" s="351"/>
      <c r="F234" s="351"/>
      <c r="G234" s="351"/>
      <c r="H234" s="351"/>
      <c r="I234" s="351"/>
      <c r="J234" s="351"/>
      <c r="K234" s="351"/>
      <c r="L234" s="351"/>
      <c r="M234" s="351"/>
      <c r="N234" s="351"/>
      <c r="O234" s="351"/>
      <c r="P234" s="351"/>
      <c r="Q234" s="351"/>
      <c r="R234" s="351"/>
      <c r="S234" s="351"/>
      <c r="T234" s="351"/>
      <c r="U234" s="351"/>
      <c r="V234" s="351"/>
      <c r="W234" s="351"/>
      <c r="X234" s="351"/>
      <c r="Y234" s="351"/>
      <c r="Z234" s="351"/>
      <c r="AA234" s="54"/>
      <c r="AB234" s="54"/>
      <c r="AC234" s="54"/>
    </row>
    <row r="235" spans="1:68" ht="16.5" hidden="1" customHeight="1" x14ac:dyDescent="0.25">
      <c r="A235" s="352" t="s">
        <v>337</v>
      </c>
      <c r="B235" s="352"/>
      <c r="C235" s="352"/>
      <c r="D235" s="352"/>
      <c r="E235" s="352"/>
      <c r="F235" s="352"/>
      <c r="G235" s="352"/>
      <c r="H235" s="352"/>
      <c r="I235" s="352"/>
      <c r="J235" s="352"/>
      <c r="K235" s="352"/>
      <c r="L235" s="352"/>
      <c r="M235" s="352"/>
      <c r="N235" s="352"/>
      <c r="O235" s="352"/>
      <c r="P235" s="352"/>
      <c r="Q235" s="352"/>
      <c r="R235" s="352"/>
      <c r="S235" s="352"/>
      <c r="T235" s="352"/>
      <c r="U235" s="352"/>
      <c r="V235" s="352"/>
      <c r="W235" s="352"/>
      <c r="X235" s="352"/>
      <c r="Y235" s="352"/>
      <c r="Z235" s="352"/>
      <c r="AA235" s="65"/>
      <c r="AB235" s="65"/>
      <c r="AC235" s="82"/>
    </row>
    <row r="236" spans="1:68" ht="14.25" hidden="1" customHeight="1" x14ac:dyDescent="0.25">
      <c r="A236" s="353" t="s">
        <v>338</v>
      </c>
      <c r="B236" s="353"/>
      <c r="C236" s="353"/>
      <c r="D236" s="353"/>
      <c r="E236" s="353"/>
      <c r="F236" s="353"/>
      <c r="G236" s="353"/>
      <c r="H236" s="353"/>
      <c r="I236" s="353"/>
      <c r="J236" s="353"/>
      <c r="K236" s="353"/>
      <c r="L236" s="353"/>
      <c r="M236" s="353"/>
      <c r="N236" s="353"/>
      <c r="O236" s="353"/>
      <c r="P236" s="353"/>
      <c r="Q236" s="353"/>
      <c r="R236" s="353"/>
      <c r="S236" s="353"/>
      <c r="T236" s="353"/>
      <c r="U236" s="353"/>
      <c r="V236" s="353"/>
      <c r="W236" s="353"/>
      <c r="X236" s="353"/>
      <c r="Y236" s="353"/>
      <c r="Z236" s="353"/>
      <c r="AA236" s="66"/>
      <c r="AB236" s="66"/>
      <c r="AC236" s="83"/>
    </row>
    <row r="237" spans="1:68" ht="27" hidden="1" customHeight="1" x14ac:dyDescent="0.25">
      <c r="A237" s="63" t="s">
        <v>339</v>
      </c>
      <c r="B237" s="63" t="s">
        <v>340</v>
      </c>
      <c r="C237" s="36">
        <v>4301133004</v>
      </c>
      <c r="D237" s="354">
        <v>4607111039774</v>
      </c>
      <c r="E237" s="354"/>
      <c r="F237" s="62">
        <v>0.25</v>
      </c>
      <c r="G237" s="37">
        <v>12</v>
      </c>
      <c r="H237" s="62">
        <v>3</v>
      </c>
      <c r="I237" s="62">
        <v>3.22</v>
      </c>
      <c r="J237" s="37">
        <v>70</v>
      </c>
      <c r="K237" s="37" t="s">
        <v>117</v>
      </c>
      <c r="L237" s="37" t="s">
        <v>88</v>
      </c>
      <c r="M237" s="38" t="s">
        <v>86</v>
      </c>
      <c r="N237" s="38"/>
      <c r="O237" s="37">
        <v>180</v>
      </c>
      <c r="P237" s="441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356"/>
      <c r="R237" s="356"/>
      <c r="S237" s="356"/>
      <c r="T237" s="357"/>
      <c r="U237" s="39" t="s">
        <v>46</v>
      </c>
      <c r="V237" s="39" t="s">
        <v>46</v>
      </c>
      <c r="W237" s="40" t="s">
        <v>39</v>
      </c>
      <c r="X237" s="58">
        <v>0</v>
      </c>
      <c r="Y237" s="55">
        <f>IFERROR(IF(X237="","",X237),"")</f>
        <v>0</v>
      </c>
      <c r="Z237" s="41">
        <f>IFERROR(IF(X237="","",X237*0.01788),"")</f>
        <v>0</v>
      </c>
      <c r="AA237" s="68" t="s">
        <v>46</v>
      </c>
      <c r="AB237" s="69" t="s">
        <v>46</v>
      </c>
      <c r="AC237" s="247" t="s">
        <v>341</v>
      </c>
      <c r="AG237" s="81"/>
      <c r="AJ237" s="87" t="s">
        <v>89</v>
      </c>
      <c r="AK237" s="87">
        <v>1</v>
      </c>
      <c r="BB237" s="248" t="s">
        <v>116</v>
      </c>
      <c r="BM237" s="81">
        <f>IFERROR(X237*I237,"0")</f>
        <v>0</v>
      </c>
      <c r="BN237" s="81">
        <f>IFERROR(Y237*I237,"0")</f>
        <v>0</v>
      </c>
      <c r="BO237" s="81">
        <f>IFERROR(X237/J237,"0")</f>
        <v>0</v>
      </c>
      <c r="BP237" s="81">
        <f>IFERROR(Y237/J237,"0")</f>
        <v>0</v>
      </c>
    </row>
    <row r="238" spans="1:68" ht="12.75" hidden="1" customHeight="1" x14ac:dyDescent="0.2">
      <c r="A238" s="368"/>
      <c r="B238" s="368"/>
      <c r="C238" s="368"/>
      <c r="D238" s="368"/>
      <c r="E238" s="368"/>
      <c r="F238" s="368"/>
      <c r="G238" s="368"/>
      <c r="H238" s="368"/>
      <c r="I238" s="368"/>
      <c r="J238" s="368"/>
      <c r="K238" s="368"/>
      <c r="L238" s="368"/>
      <c r="M238" s="368"/>
      <c r="N238" s="368"/>
      <c r="O238" s="369"/>
      <c r="P238" s="365" t="s">
        <v>40</v>
      </c>
      <c r="Q238" s="366"/>
      <c r="R238" s="366"/>
      <c r="S238" s="366"/>
      <c r="T238" s="366"/>
      <c r="U238" s="366"/>
      <c r="V238" s="367"/>
      <c r="W238" s="42" t="s">
        <v>39</v>
      </c>
      <c r="X238" s="43">
        <f>IFERROR(SUM(X237:X237),"0")</f>
        <v>0</v>
      </c>
      <c r="Y238" s="43">
        <f>IFERROR(SUM(Y237:Y237),"0")</f>
        <v>0</v>
      </c>
      <c r="Z238" s="43">
        <f>IFERROR(IF(Z237="",0,Z237),"0")</f>
        <v>0</v>
      </c>
      <c r="AA238" s="67"/>
      <c r="AB238" s="67"/>
      <c r="AC238" s="67"/>
    </row>
    <row r="239" spans="1:68" ht="12.75" hidden="1" customHeight="1" x14ac:dyDescent="0.2">
      <c r="A239" s="368"/>
      <c r="B239" s="368"/>
      <c r="C239" s="368"/>
      <c r="D239" s="368"/>
      <c r="E239" s="368"/>
      <c r="F239" s="368"/>
      <c r="G239" s="368"/>
      <c r="H239" s="368"/>
      <c r="I239" s="368"/>
      <c r="J239" s="368"/>
      <c r="K239" s="368"/>
      <c r="L239" s="368"/>
      <c r="M239" s="368"/>
      <c r="N239" s="368"/>
      <c r="O239" s="369"/>
      <c r="P239" s="365" t="s">
        <v>40</v>
      </c>
      <c r="Q239" s="366"/>
      <c r="R239" s="366"/>
      <c r="S239" s="366"/>
      <c r="T239" s="366"/>
      <c r="U239" s="366"/>
      <c r="V239" s="367"/>
      <c r="W239" s="42" t="s">
        <v>0</v>
      </c>
      <c r="X239" s="43">
        <f>IFERROR(SUMPRODUCT(X237:X237*H237:H237),"0")</f>
        <v>0</v>
      </c>
      <c r="Y239" s="43">
        <f>IFERROR(SUMPRODUCT(Y237:Y237*H237:H237),"0")</f>
        <v>0</v>
      </c>
      <c r="Z239" s="42"/>
      <c r="AA239" s="67"/>
      <c r="AB239" s="67"/>
      <c r="AC239" s="67"/>
    </row>
    <row r="240" spans="1:68" ht="14.25" hidden="1" customHeight="1" x14ac:dyDescent="0.25">
      <c r="A240" s="353" t="s">
        <v>156</v>
      </c>
      <c r="B240" s="353"/>
      <c r="C240" s="353"/>
      <c r="D240" s="353"/>
      <c r="E240" s="353"/>
      <c r="F240" s="353"/>
      <c r="G240" s="353"/>
      <c r="H240" s="353"/>
      <c r="I240" s="353"/>
      <c r="J240" s="353"/>
      <c r="K240" s="353"/>
      <c r="L240" s="353"/>
      <c r="M240" s="353"/>
      <c r="N240" s="353"/>
      <c r="O240" s="353"/>
      <c r="P240" s="353"/>
      <c r="Q240" s="353"/>
      <c r="R240" s="353"/>
      <c r="S240" s="353"/>
      <c r="T240" s="353"/>
      <c r="U240" s="353"/>
      <c r="V240" s="353"/>
      <c r="W240" s="353"/>
      <c r="X240" s="353"/>
      <c r="Y240" s="353"/>
      <c r="Z240" s="353"/>
      <c r="AA240" s="66"/>
      <c r="AB240" s="66"/>
      <c r="AC240" s="83"/>
    </row>
    <row r="241" spans="1:68" ht="37.5" hidden="1" customHeight="1" x14ac:dyDescent="0.25">
      <c r="A241" s="63" t="s">
        <v>342</v>
      </c>
      <c r="B241" s="63" t="s">
        <v>343</v>
      </c>
      <c r="C241" s="36">
        <v>4301135400</v>
      </c>
      <c r="D241" s="354">
        <v>4607111039361</v>
      </c>
      <c r="E241" s="354"/>
      <c r="F241" s="62">
        <v>0.25</v>
      </c>
      <c r="G241" s="37">
        <v>12</v>
      </c>
      <c r="H241" s="62">
        <v>3</v>
      </c>
      <c r="I241" s="62">
        <v>3.7035999999999998</v>
      </c>
      <c r="J241" s="37">
        <v>70</v>
      </c>
      <c r="K241" s="37" t="s">
        <v>117</v>
      </c>
      <c r="L241" s="37" t="s">
        <v>88</v>
      </c>
      <c r="M241" s="38" t="s">
        <v>86</v>
      </c>
      <c r="N241" s="38"/>
      <c r="O241" s="37">
        <v>180</v>
      </c>
      <c r="P241" s="442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356"/>
      <c r="R241" s="356"/>
      <c r="S241" s="356"/>
      <c r="T241" s="357"/>
      <c r="U241" s="39" t="s">
        <v>46</v>
      </c>
      <c r="V241" s="39" t="s">
        <v>46</v>
      </c>
      <c r="W241" s="40" t="s">
        <v>39</v>
      </c>
      <c r="X241" s="58">
        <v>0</v>
      </c>
      <c r="Y241" s="55">
        <f>IFERROR(IF(X241="","",X241),"")</f>
        <v>0</v>
      </c>
      <c r="Z241" s="41">
        <f>IFERROR(IF(X241="","",X241*0.01788),"")</f>
        <v>0</v>
      </c>
      <c r="AA241" s="68" t="s">
        <v>46</v>
      </c>
      <c r="AB241" s="69" t="s">
        <v>46</v>
      </c>
      <c r="AC241" s="249" t="s">
        <v>341</v>
      </c>
      <c r="AG241" s="81"/>
      <c r="AJ241" s="87" t="s">
        <v>89</v>
      </c>
      <c r="AK241" s="87">
        <v>1</v>
      </c>
      <c r="BB241" s="250" t="s">
        <v>116</v>
      </c>
      <c r="BM241" s="81">
        <f>IFERROR(X241*I241,"0")</f>
        <v>0</v>
      </c>
      <c r="BN241" s="81">
        <f>IFERROR(Y241*I241,"0")</f>
        <v>0</v>
      </c>
      <c r="BO241" s="81">
        <f>IFERROR(X241/J241,"0")</f>
        <v>0</v>
      </c>
      <c r="BP241" s="81">
        <f>IFERROR(Y241/J241,"0")</f>
        <v>0</v>
      </c>
    </row>
    <row r="242" spans="1:68" ht="12.75" hidden="1" customHeight="1" x14ac:dyDescent="0.2">
      <c r="A242" s="368"/>
      <c r="B242" s="368"/>
      <c r="C242" s="368"/>
      <c r="D242" s="368"/>
      <c r="E242" s="368"/>
      <c r="F242" s="368"/>
      <c r="G242" s="368"/>
      <c r="H242" s="368"/>
      <c r="I242" s="368"/>
      <c r="J242" s="368"/>
      <c r="K242" s="368"/>
      <c r="L242" s="368"/>
      <c r="M242" s="368"/>
      <c r="N242" s="368"/>
      <c r="O242" s="369"/>
      <c r="P242" s="365" t="s">
        <v>40</v>
      </c>
      <c r="Q242" s="366"/>
      <c r="R242" s="366"/>
      <c r="S242" s="366"/>
      <c r="T242" s="366"/>
      <c r="U242" s="366"/>
      <c r="V242" s="367"/>
      <c r="W242" s="42" t="s">
        <v>39</v>
      </c>
      <c r="X242" s="43">
        <f>IFERROR(SUM(X241:X241),"0")</f>
        <v>0</v>
      </c>
      <c r="Y242" s="43">
        <f>IFERROR(SUM(Y241:Y241),"0")</f>
        <v>0</v>
      </c>
      <c r="Z242" s="43">
        <f>IFERROR(IF(Z241="",0,Z241),"0")</f>
        <v>0</v>
      </c>
      <c r="AA242" s="67"/>
      <c r="AB242" s="67"/>
      <c r="AC242" s="67"/>
    </row>
    <row r="243" spans="1:68" ht="12.75" hidden="1" customHeight="1" x14ac:dyDescent="0.2">
      <c r="A243" s="368"/>
      <c r="B243" s="368"/>
      <c r="C243" s="368"/>
      <c r="D243" s="368"/>
      <c r="E243" s="368"/>
      <c r="F243" s="368"/>
      <c r="G243" s="368"/>
      <c r="H243" s="368"/>
      <c r="I243" s="368"/>
      <c r="J243" s="368"/>
      <c r="K243" s="368"/>
      <c r="L243" s="368"/>
      <c r="M243" s="368"/>
      <c r="N243" s="368"/>
      <c r="O243" s="369"/>
      <c r="P243" s="365" t="s">
        <v>40</v>
      </c>
      <c r="Q243" s="366"/>
      <c r="R243" s="366"/>
      <c r="S243" s="366"/>
      <c r="T243" s="366"/>
      <c r="U243" s="366"/>
      <c r="V243" s="367"/>
      <c r="W243" s="42" t="s">
        <v>0</v>
      </c>
      <c r="X243" s="43">
        <f>IFERROR(SUMPRODUCT(X241:X241*H241:H241),"0")</f>
        <v>0</v>
      </c>
      <c r="Y243" s="43">
        <f>IFERROR(SUMPRODUCT(Y241:Y241*H241:H241),"0")</f>
        <v>0</v>
      </c>
      <c r="Z243" s="42"/>
      <c r="AA243" s="67"/>
      <c r="AB243" s="67"/>
      <c r="AC243" s="67"/>
    </row>
    <row r="244" spans="1:68" ht="27.75" hidden="1" customHeight="1" x14ac:dyDescent="0.2">
      <c r="A244" s="351" t="s">
        <v>344</v>
      </c>
      <c r="B244" s="351"/>
      <c r="C244" s="351"/>
      <c r="D244" s="351"/>
      <c r="E244" s="351"/>
      <c r="F244" s="351"/>
      <c r="G244" s="351"/>
      <c r="H244" s="351"/>
      <c r="I244" s="351"/>
      <c r="J244" s="351"/>
      <c r="K244" s="351"/>
      <c r="L244" s="351"/>
      <c r="M244" s="351"/>
      <c r="N244" s="351"/>
      <c r="O244" s="351"/>
      <c r="P244" s="351"/>
      <c r="Q244" s="351"/>
      <c r="R244" s="351"/>
      <c r="S244" s="351"/>
      <c r="T244" s="351"/>
      <c r="U244" s="351"/>
      <c r="V244" s="351"/>
      <c r="W244" s="351"/>
      <c r="X244" s="351"/>
      <c r="Y244" s="351"/>
      <c r="Z244" s="351"/>
      <c r="AA244" s="54"/>
      <c r="AB244" s="54"/>
      <c r="AC244" s="54"/>
    </row>
    <row r="245" spans="1:68" ht="16.5" hidden="1" customHeight="1" x14ac:dyDescent="0.25">
      <c r="A245" s="352" t="s">
        <v>344</v>
      </c>
      <c r="B245" s="352"/>
      <c r="C245" s="352"/>
      <c r="D245" s="352"/>
      <c r="E245" s="352"/>
      <c r="F245" s="352"/>
      <c r="G245" s="352"/>
      <c r="H245" s="352"/>
      <c r="I245" s="352"/>
      <c r="J245" s="352"/>
      <c r="K245" s="352"/>
      <c r="L245" s="352"/>
      <c r="M245" s="352"/>
      <c r="N245" s="352"/>
      <c r="O245" s="352"/>
      <c r="P245" s="352"/>
      <c r="Q245" s="352"/>
      <c r="R245" s="352"/>
      <c r="S245" s="352"/>
      <c r="T245" s="352"/>
      <c r="U245" s="352"/>
      <c r="V245" s="352"/>
      <c r="W245" s="352"/>
      <c r="X245" s="352"/>
      <c r="Y245" s="352"/>
      <c r="Z245" s="352"/>
      <c r="AA245" s="65"/>
      <c r="AB245" s="65"/>
      <c r="AC245" s="82"/>
    </row>
    <row r="246" spans="1:68" ht="14.25" hidden="1" customHeight="1" x14ac:dyDescent="0.25">
      <c r="A246" s="353" t="s">
        <v>82</v>
      </c>
      <c r="B246" s="353"/>
      <c r="C246" s="353"/>
      <c r="D246" s="353"/>
      <c r="E246" s="353"/>
      <c r="F246" s="353"/>
      <c r="G246" s="353"/>
      <c r="H246" s="353"/>
      <c r="I246" s="353"/>
      <c r="J246" s="353"/>
      <c r="K246" s="353"/>
      <c r="L246" s="353"/>
      <c r="M246" s="353"/>
      <c r="N246" s="353"/>
      <c r="O246" s="353"/>
      <c r="P246" s="353"/>
      <c r="Q246" s="353"/>
      <c r="R246" s="353"/>
      <c r="S246" s="353"/>
      <c r="T246" s="353"/>
      <c r="U246" s="353"/>
      <c r="V246" s="353"/>
      <c r="W246" s="353"/>
      <c r="X246" s="353"/>
      <c r="Y246" s="353"/>
      <c r="Z246" s="353"/>
      <c r="AA246" s="66"/>
      <c r="AB246" s="66"/>
      <c r="AC246" s="83"/>
    </row>
    <row r="247" spans="1:68" ht="27" hidden="1" customHeight="1" x14ac:dyDescent="0.25">
      <c r="A247" s="63" t="s">
        <v>345</v>
      </c>
      <c r="B247" s="63" t="s">
        <v>346</v>
      </c>
      <c r="C247" s="36">
        <v>4301071014</v>
      </c>
      <c r="D247" s="354">
        <v>4640242181264</v>
      </c>
      <c r="E247" s="354"/>
      <c r="F247" s="62">
        <v>0.7</v>
      </c>
      <c r="G247" s="37">
        <v>10</v>
      </c>
      <c r="H247" s="62">
        <v>7</v>
      </c>
      <c r="I247" s="62">
        <v>7.28</v>
      </c>
      <c r="J247" s="37">
        <v>84</v>
      </c>
      <c r="K247" s="37" t="s">
        <v>87</v>
      </c>
      <c r="L247" s="37" t="s">
        <v>88</v>
      </c>
      <c r="M247" s="38" t="s">
        <v>86</v>
      </c>
      <c r="N247" s="38"/>
      <c r="O247" s="37">
        <v>180</v>
      </c>
      <c r="P247" s="443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47" s="356"/>
      <c r="R247" s="356"/>
      <c r="S247" s="356"/>
      <c r="T247" s="357"/>
      <c r="U247" s="39" t="s">
        <v>46</v>
      </c>
      <c r="V247" s="39" t="s">
        <v>46</v>
      </c>
      <c r="W247" s="40" t="s">
        <v>39</v>
      </c>
      <c r="X247" s="58">
        <v>0</v>
      </c>
      <c r="Y247" s="55">
        <f>IFERROR(IF(X247="","",X247),"")</f>
        <v>0</v>
      </c>
      <c r="Z247" s="41">
        <f>IFERROR(IF(X247="","",X247*0.0155),"")</f>
        <v>0</v>
      </c>
      <c r="AA247" s="68" t="s">
        <v>46</v>
      </c>
      <c r="AB247" s="69" t="s">
        <v>46</v>
      </c>
      <c r="AC247" s="251" t="s">
        <v>347</v>
      </c>
      <c r="AG247" s="81"/>
      <c r="AJ247" s="87" t="s">
        <v>89</v>
      </c>
      <c r="AK247" s="87">
        <v>1</v>
      </c>
      <c r="BB247" s="252" t="s">
        <v>70</v>
      </c>
      <c r="BM247" s="81">
        <f>IFERROR(X247*I247,"0")</f>
        <v>0</v>
      </c>
      <c r="BN247" s="81">
        <f>IFERROR(Y247*I247,"0")</f>
        <v>0</v>
      </c>
      <c r="BO247" s="81">
        <f>IFERROR(X247/J247,"0")</f>
        <v>0</v>
      </c>
      <c r="BP247" s="81">
        <f>IFERROR(Y247/J247,"0")</f>
        <v>0</v>
      </c>
    </row>
    <row r="248" spans="1:68" ht="27" hidden="1" customHeight="1" x14ac:dyDescent="0.25">
      <c r="A248" s="63" t="s">
        <v>348</v>
      </c>
      <c r="B248" s="63" t="s">
        <v>349</v>
      </c>
      <c r="C248" s="36">
        <v>4301071021</v>
      </c>
      <c r="D248" s="354">
        <v>4640242181325</v>
      </c>
      <c r="E248" s="354"/>
      <c r="F248" s="62">
        <v>0.7</v>
      </c>
      <c r="G248" s="37">
        <v>10</v>
      </c>
      <c r="H248" s="62">
        <v>7</v>
      </c>
      <c r="I248" s="62">
        <v>7.28</v>
      </c>
      <c r="J248" s="37">
        <v>84</v>
      </c>
      <c r="K248" s="37" t="s">
        <v>87</v>
      </c>
      <c r="L248" s="37" t="s">
        <v>88</v>
      </c>
      <c r="M248" s="38" t="s">
        <v>86</v>
      </c>
      <c r="N248" s="38"/>
      <c r="O248" s="37">
        <v>180</v>
      </c>
      <c r="P248" s="444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48" s="356"/>
      <c r="R248" s="356"/>
      <c r="S248" s="356"/>
      <c r="T248" s="357"/>
      <c r="U248" s="39" t="s">
        <v>46</v>
      </c>
      <c r="V248" s="39" t="s">
        <v>46</v>
      </c>
      <c r="W248" s="40" t="s">
        <v>39</v>
      </c>
      <c r="X248" s="58">
        <v>0</v>
      </c>
      <c r="Y248" s="55">
        <f>IFERROR(IF(X248="","",X248),"")</f>
        <v>0</v>
      </c>
      <c r="Z248" s="41">
        <f>IFERROR(IF(X248="","",X248*0.0155),"")</f>
        <v>0</v>
      </c>
      <c r="AA248" s="68" t="s">
        <v>46</v>
      </c>
      <c r="AB248" s="69" t="s">
        <v>46</v>
      </c>
      <c r="AC248" s="253" t="s">
        <v>347</v>
      </c>
      <c r="AG248" s="81"/>
      <c r="AJ248" s="87" t="s">
        <v>89</v>
      </c>
      <c r="AK248" s="87">
        <v>1</v>
      </c>
      <c r="BB248" s="254" t="s">
        <v>70</v>
      </c>
      <c r="BM248" s="81">
        <f>IFERROR(X248*I248,"0")</f>
        <v>0</v>
      </c>
      <c r="BN248" s="81">
        <f>IFERROR(Y248*I248,"0")</f>
        <v>0</v>
      </c>
      <c r="BO248" s="81">
        <f>IFERROR(X248/J248,"0")</f>
        <v>0</v>
      </c>
      <c r="BP248" s="81">
        <f>IFERROR(Y248/J248,"0")</f>
        <v>0</v>
      </c>
    </row>
    <row r="249" spans="1:68" ht="12.75" hidden="1" customHeight="1" x14ac:dyDescent="0.2">
      <c r="A249" s="368"/>
      <c r="B249" s="368"/>
      <c r="C249" s="368"/>
      <c r="D249" s="368"/>
      <c r="E249" s="368"/>
      <c r="F249" s="368"/>
      <c r="G249" s="368"/>
      <c r="H249" s="368"/>
      <c r="I249" s="368"/>
      <c r="J249" s="368"/>
      <c r="K249" s="368"/>
      <c r="L249" s="368"/>
      <c r="M249" s="368"/>
      <c r="N249" s="368"/>
      <c r="O249" s="369"/>
      <c r="P249" s="365" t="s">
        <v>40</v>
      </c>
      <c r="Q249" s="366"/>
      <c r="R249" s="366"/>
      <c r="S249" s="366"/>
      <c r="T249" s="366"/>
      <c r="U249" s="366"/>
      <c r="V249" s="367"/>
      <c r="W249" s="42" t="s">
        <v>39</v>
      </c>
      <c r="X249" s="43">
        <f>IFERROR(SUM(X247:X248),"0")</f>
        <v>0</v>
      </c>
      <c r="Y249" s="43">
        <f>IFERROR(SUM(Y247:Y248),"0")</f>
        <v>0</v>
      </c>
      <c r="Z249" s="43">
        <f>IFERROR(IF(Z247="",0,Z247),"0")+IFERROR(IF(Z248="",0,Z248),"0")</f>
        <v>0</v>
      </c>
      <c r="AA249" s="67"/>
      <c r="AB249" s="67"/>
      <c r="AC249" s="67"/>
    </row>
    <row r="250" spans="1:68" ht="12.75" hidden="1" customHeight="1" x14ac:dyDescent="0.2">
      <c r="A250" s="368"/>
      <c r="B250" s="368"/>
      <c r="C250" s="368"/>
      <c r="D250" s="368"/>
      <c r="E250" s="368"/>
      <c r="F250" s="368"/>
      <c r="G250" s="368"/>
      <c r="H250" s="368"/>
      <c r="I250" s="368"/>
      <c r="J250" s="368"/>
      <c r="K250" s="368"/>
      <c r="L250" s="368"/>
      <c r="M250" s="368"/>
      <c r="N250" s="368"/>
      <c r="O250" s="369"/>
      <c r="P250" s="365" t="s">
        <v>40</v>
      </c>
      <c r="Q250" s="366"/>
      <c r="R250" s="366"/>
      <c r="S250" s="366"/>
      <c r="T250" s="366"/>
      <c r="U250" s="366"/>
      <c r="V250" s="367"/>
      <c r="W250" s="42" t="s">
        <v>0</v>
      </c>
      <c r="X250" s="43">
        <f>IFERROR(SUMPRODUCT(X247:X248*H247:H248),"0")</f>
        <v>0</v>
      </c>
      <c r="Y250" s="43">
        <f>IFERROR(SUMPRODUCT(Y247:Y248*H247:H248),"0")</f>
        <v>0</v>
      </c>
      <c r="Z250" s="42"/>
      <c r="AA250" s="67"/>
      <c r="AB250" s="67"/>
      <c r="AC250" s="67"/>
    </row>
    <row r="251" spans="1:68" ht="14.25" hidden="1" customHeight="1" x14ac:dyDescent="0.25">
      <c r="A251" s="353" t="s">
        <v>112</v>
      </c>
      <c r="B251" s="353"/>
      <c r="C251" s="353"/>
      <c r="D251" s="353"/>
      <c r="E251" s="353"/>
      <c r="F251" s="353"/>
      <c r="G251" s="353"/>
      <c r="H251" s="353"/>
      <c r="I251" s="353"/>
      <c r="J251" s="353"/>
      <c r="K251" s="353"/>
      <c r="L251" s="353"/>
      <c r="M251" s="353"/>
      <c r="N251" s="353"/>
      <c r="O251" s="353"/>
      <c r="P251" s="353"/>
      <c r="Q251" s="353"/>
      <c r="R251" s="353"/>
      <c r="S251" s="353"/>
      <c r="T251" s="353"/>
      <c r="U251" s="353"/>
      <c r="V251" s="353"/>
      <c r="W251" s="353"/>
      <c r="X251" s="353"/>
      <c r="Y251" s="353"/>
      <c r="Z251" s="353"/>
      <c r="AA251" s="66"/>
      <c r="AB251" s="66"/>
      <c r="AC251" s="83"/>
    </row>
    <row r="252" spans="1:68" ht="27" customHeight="1" x14ac:dyDescent="0.25">
      <c r="A252" s="63" t="s">
        <v>350</v>
      </c>
      <c r="B252" s="63" t="s">
        <v>351</v>
      </c>
      <c r="C252" s="36">
        <v>4301132080</v>
      </c>
      <c r="D252" s="354">
        <v>4640242180397</v>
      </c>
      <c r="E252" s="354"/>
      <c r="F252" s="62">
        <v>1</v>
      </c>
      <c r="G252" s="37">
        <v>6</v>
      </c>
      <c r="H252" s="62">
        <v>6</v>
      </c>
      <c r="I252" s="62">
        <v>6.26</v>
      </c>
      <c r="J252" s="37">
        <v>84</v>
      </c>
      <c r="K252" s="37" t="s">
        <v>87</v>
      </c>
      <c r="L252" s="37" t="s">
        <v>118</v>
      </c>
      <c r="M252" s="38" t="s">
        <v>86</v>
      </c>
      <c r="N252" s="38"/>
      <c r="O252" s="37">
        <v>180</v>
      </c>
      <c r="P252" s="445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2" s="356"/>
      <c r="R252" s="356"/>
      <c r="S252" s="356"/>
      <c r="T252" s="357"/>
      <c r="U252" s="39" t="s">
        <v>46</v>
      </c>
      <c r="V252" s="39" t="s">
        <v>46</v>
      </c>
      <c r="W252" s="40" t="s">
        <v>39</v>
      </c>
      <c r="X252" s="58">
        <v>228</v>
      </c>
      <c r="Y252" s="55">
        <f>IFERROR(IF(X252="","",X252),"")</f>
        <v>228</v>
      </c>
      <c r="Z252" s="41">
        <f>IFERROR(IF(X252="","",X252*0.0155),"")</f>
        <v>3.5339999999999998</v>
      </c>
      <c r="AA252" s="68" t="s">
        <v>46</v>
      </c>
      <c r="AB252" s="69" t="s">
        <v>46</v>
      </c>
      <c r="AC252" s="255" t="s">
        <v>352</v>
      </c>
      <c r="AG252" s="81"/>
      <c r="AJ252" s="87" t="s">
        <v>119</v>
      </c>
      <c r="AK252" s="87">
        <v>12</v>
      </c>
      <c r="BB252" s="256" t="s">
        <v>116</v>
      </c>
      <c r="BM252" s="81">
        <f>IFERROR(X252*I252,"0")</f>
        <v>1427.28</v>
      </c>
      <c r="BN252" s="81">
        <f>IFERROR(Y252*I252,"0")</f>
        <v>1427.28</v>
      </c>
      <c r="BO252" s="81">
        <f>IFERROR(X252/J252,"0")</f>
        <v>2.7142857142857144</v>
      </c>
      <c r="BP252" s="81">
        <f>IFERROR(Y252/J252,"0")</f>
        <v>2.7142857142857144</v>
      </c>
    </row>
    <row r="253" spans="1:68" x14ac:dyDescent="0.2">
      <c r="A253" s="368"/>
      <c r="B253" s="368"/>
      <c r="C253" s="368"/>
      <c r="D253" s="368"/>
      <c r="E253" s="368"/>
      <c r="F253" s="368"/>
      <c r="G253" s="368"/>
      <c r="H253" s="368"/>
      <c r="I253" s="368"/>
      <c r="J253" s="368"/>
      <c r="K253" s="368"/>
      <c r="L253" s="368"/>
      <c r="M253" s="368"/>
      <c r="N253" s="368"/>
      <c r="O253" s="369"/>
      <c r="P253" s="365" t="s">
        <v>40</v>
      </c>
      <c r="Q253" s="366"/>
      <c r="R253" s="366"/>
      <c r="S253" s="366"/>
      <c r="T253" s="366"/>
      <c r="U253" s="366"/>
      <c r="V253" s="367"/>
      <c r="W253" s="42" t="s">
        <v>39</v>
      </c>
      <c r="X253" s="43">
        <f>IFERROR(SUM(X252:X252),"0")</f>
        <v>228</v>
      </c>
      <c r="Y253" s="43">
        <f>IFERROR(SUM(Y252:Y252),"0")</f>
        <v>228</v>
      </c>
      <c r="Z253" s="43">
        <f>IFERROR(IF(Z252="",0,Z252),"0")</f>
        <v>3.5339999999999998</v>
      </c>
      <c r="AA253" s="67"/>
      <c r="AB253" s="67"/>
      <c r="AC253" s="67"/>
    </row>
    <row r="254" spans="1:68" x14ac:dyDescent="0.2">
      <c r="A254" s="368"/>
      <c r="B254" s="368"/>
      <c r="C254" s="368"/>
      <c r="D254" s="368"/>
      <c r="E254" s="368"/>
      <c r="F254" s="368"/>
      <c r="G254" s="368"/>
      <c r="H254" s="368"/>
      <c r="I254" s="368"/>
      <c r="J254" s="368"/>
      <c r="K254" s="368"/>
      <c r="L254" s="368"/>
      <c r="M254" s="368"/>
      <c r="N254" s="368"/>
      <c r="O254" s="369"/>
      <c r="P254" s="365" t="s">
        <v>40</v>
      </c>
      <c r="Q254" s="366"/>
      <c r="R254" s="366"/>
      <c r="S254" s="366"/>
      <c r="T254" s="366"/>
      <c r="U254" s="366"/>
      <c r="V254" s="367"/>
      <c r="W254" s="42" t="s">
        <v>0</v>
      </c>
      <c r="X254" s="43">
        <f>IFERROR(SUMPRODUCT(X252:X252*H252:H252),"0")</f>
        <v>1368</v>
      </c>
      <c r="Y254" s="43">
        <f>IFERROR(SUMPRODUCT(Y252:Y252*H252:H252),"0")</f>
        <v>1368</v>
      </c>
      <c r="Z254" s="42"/>
      <c r="AA254" s="67"/>
      <c r="AB254" s="67"/>
      <c r="AC254" s="67"/>
    </row>
    <row r="255" spans="1:68" ht="14.25" hidden="1" customHeight="1" x14ac:dyDescent="0.25">
      <c r="A255" s="353" t="s">
        <v>150</v>
      </c>
      <c r="B255" s="353"/>
      <c r="C255" s="353"/>
      <c r="D255" s="353"/>
      <c r="E255" s="353"/>
      <c r="F255" s="353"/>
      <c r="G255" s="353"/>
      <c r="H255" s="353"/>
      <c r="I255" s="353"/>
      <c r="J255" s="353"/>
      <c r="K255" s="353"/>
      <c r="L255" s="353"/>
      <c r="M255" s="353"/>
      <c r="N255" s="353"/>
      <c r="O255" s="353"/>
      <c r="P255" s="353"/>
      <c r="Q255" s="353"/>
      <c r="R255" s="353"/>
      <c r="S255" s="353"/>
      <c r="T255" s="353"/>
      <c r="U255" s="353"/>
      <c r="V255" s="353"/>
      <c r="W255" s="353"/>
      <c r="X255" s="353"/>
      <c r="Y255" s="353"/>
      <c r="Z255" s="353"/>
      <c r="AA255" s="66"/>
      <c r="AB255" s="66"/>
      <c r="AC255" s="83"/>
    </row>
    <row r="256" spans="1:68" ht="27" hidden="1" customHeight="1" x14ac:dyDescent="0.25">
      <c r="A256" s="63" t="s">
        <v>353</v>
      </c>
      <c r="B256" s="63" t="s">
        <v>354</v>
      </c>
      <c r="C256" s="36">
        <v>4301136051</v>
      </c>
      <c r="D256" s="354">
        <v>4640242180304</v>
      </c>
      <c r="E256" s="354"/>
      <c r="F256" s="62">
        <v>2.7</v>
      </c>
      <c r="G256" s="37">
        <v>1</v>
      </c>
      <c r="H256" s="62">
        <v>2.7</v>
      </c>
      <c r="I256" s="62">
        <v>2.8906000000000001</v>
      </c>
      <c r="J256" s="37">
        <v>126</v>
      </c>
      <c r="K256" s="37" t="s">
        <v>117</v>
      </c>
      <c r="L256" s="37" t="s">
        <v>118</v>
      </c>
      <c r="M256" s="38" t="s">
        <v>86</v>
      </c>
      <c r="N256" s="38"/>
      <c r="O256" s="37">
        <v>180</v>
      </c>
      <c r="P256" s="446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56" s="356"/>
      <c r="R256" s="356"/>
      <c r="S256" s="356"/>
      <c r="T256" s="357"/>
      <c r="U256" s="39" t="s">
        <v>46</v>
      </c>
      <c r="V256" s="39" t="s">
        <v>46</v>
      </c>
      <c r="W256" s="40" t="s">
        <v>39</v>
      </c>
      <c r="X256" s="58">
        <v>0</v>
      </c>
      <c r="Y256" s="55">
        <f>IFERROR(IF(X256="","",X256),"")</f>
        <v>0</v>
      </c>
      <c r="Z256" s="41">
        <f>IFERROR(IF(X256="","",X256*0.00936),"")</f>
        <v>0</v>
      </c>
      <c r="AA256" s="68" t="s">
        <v>46</v>
      </c>
      <c r="AB256" s="69" t="s">
        <v>46</v>
      </c>
      <c r="AC256" s="257" t="s">
        <v>355</v>
      </c>
      <c r="AG256" s="81"/>
      <c r="AJ256" s="87" t="s">
        <v>119</v>
      </c>
      <c r="AK256" s="87">
        <v>14</v>
      </c>
      <c r="BB256" s="258" t="s">
        <v>116</v>
      </c>
      <c r="BM256" s="81">
        <f>IFERROR(X256*I256,"0")</f>
        <v>0</v>
      </c>
      <c r="BN256" s="81">
        <f>IFERROR(Y256*I256,"0")</f>
        <v>0</v>
      </c>
      <c r="BO256" s="81">
        <f>IFERROR(X256/J256,"0")</f>
        <v>0</v>
      </c>
      <c r="BP256" s="81">
        <f>IFERROR(Y256/J256,"0")</f>
        <v>0</v>
      </c>
    </row>
    <row r="257" spans="1:68" ht="27" hidden="1" customHeight="1" x14ac:dyDescent="0.25">
      <c r="A257" s="63" t="s">
        <v>356</v>
      </c>
      <c r="B257" s="63" t="s">
        <v>357</v>
      </c>
      <c r="C257" s="36">
        <v>4301136053</v>
      </c>
      <c r="D257" s="354">
        <v>4640242180236</v>
      </c>
      <c r="E257" s="354"/>
      <c r="F257" s="62">
        <v>5</v>
      </c>
      <c r="G257" s="37">
        <v>1</v>
      </c>
      <c r="H257" s="62">
        <v>5</v>
      </c>
      <c r="I257" s="62">
        <v>5.2350000000000003</v>
      </c>
      <c r="J257" s="37">
        <v>84</v>
      </c>
      <c r="K257" s="37" t="s">
        <v>87</v>
      </c>
      <c r="L257" s="37" t="s">
        <v>118</v>
      </c>
      <c r="M257" s="38" t="s">
        <v>86</v>
      </c>
      <c r="N257" s="38"/>
      <c r="O257" s="37">
        <v>180</v>
      </c>
      <c r="P257" s="44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57" s="356"/>
      <c r="R257" s="356"/>
      <c r="S257" s="356"/>
      <c r="T257" s="357"/>
      <c r="U257" s="39" t="s">
        <v>46</v>
      </c>
      <c r="V257" s="39" t="s">
        <v>46</v>
      </c>
      <c r="W257" s="40" t="s">
        <v>39</v>
      </c>
      <c r="X257" s="58">
        <v>0</v>
      </c>
      <c r="Y257" s="55">
        <f>IFERROR(IF(X257="","",X257),"")</f>
        <v>0</v>
      </c>
      <c r="Z257" s="41">
        <f>IFERROR(IF(X257="","",X257*0.0155),"")</f>
        <v>0</v>
      </c>
      <c r="AA257" s="68" t="s">
        <v>46</v>
      </c>
      <c r="AB257" s="69" t="s">
        <v>46</v>
      </c>
      <c r="AC257" s="259" t="s">
        <v>355</v>
      </c>
      <c r="AG257" s="81"/>
      <c r="AJ257" s="87" t="s">
        <v>119</v>
      </c>
      <c r="AK257" s="87">
        <v>12</v>
      </c>
      <c r="BB257" s="260" t="s">
        <v>116</v>
      </c>
      <c r="BM257" s="81">
        <f>IFERROR(X257*I257,"0")</f>
        <v>0</v>
      </c>
      <c r="BN257" s="81">
        <f>IFERROR(Y257*I257,"0")</f>
        <v>0</v>
      </c>
      <c r="BO257" s="81">
        <f>IFERROR(X257/J257,"0")</f>
        <v>0</v>
      </c>
      <c r="BP257" s="81">
        <f>IFERROR(Y257/J257,"0")</f>
        <v>0</v>
      </c>
    </row>
    <row r="258" spans="1:68" ht="27" hidden="1" customHeight="1" x14ac:dyDescent="0.25">
      <c r="A258" s="63" t="s">
        <v>358</v>
      </c>
      <c r="B258" s="63" t="s">
        <v>359</v>
      </c>
      <c r="C258" s="36">
        <v>4301136052</v>
      </c>
      <c r="D258" s="354">
        <v>4640242180410</v>
      </c>
      <c r="E258" s="354"/>
      <c r="F258" s="62">
        <v>2.2400000000000002</v>
      </c>
      <c r="G258" s="37">
        <v>1</v>
      </c>
      <c r="H258" s="62">
        <v>2.2400000000000002</v>
      </c>
      <c r="I258" s="62">
        <v>2.4319999999999999</v>
      </c>
      <c r="J258" s="37">
        <v>126</v>
      </c>
      <c r="K258" s="37" t="s">
        <v>117</v>
      </c>
      <c r="L258" s="37" t="s">
        <v>88</v>
      </c>
      <c r="M258" s="38" t="s">
        <v>86</v>
      </c>
      <c r="N258" s="38"/>
      <c r="O258" s="37">
        <v>180</v>
      </c>
      <c r="P258" s="44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58" s="356"/>
      <c r="R258" s="356"/>
      <c r="S258" s="356"/>
      <c r="T258" s="357"/>
      <c r="U258" s="39" t="s">
        <v>46</v>
      </c>
      <c r="V258" s="39" t="s">
        <v>46</v>
      </c>
      <c r="W258" s="40" t="s">
        <v>39</v>
      </c>
      <c r="X258" s="58">
        <v>0</v>
      </c>
      <c r="Y258" s="55">
        <f>IFERROR(IF(X258="","",X258),"")</f>
        <v>0</v>
      </c>
      <c r="Z258" s="41">
        <f>IFERROR(IF(X258="","",X258*0.00936),"")</f>
        <v>0</v>
      </c>
      <c r="AA258" s="68" t="s">
        <v>46</v>
      </c>
      <c r="AB258" s="69" t="s">
        <v>46</v>
      </c>
      <c r="AC258" s="261" t="s">
        <v>355</v>
      </c>
      <c r="AG258" s="81"/>
      <c r="AJ258" s="87" t="s">
        <v>89</v>
      </c>
      <c r="AK258" s="87">
        <v>1</v>
      </c>
      <c r="BB258" s="262" t="s">
        <v>116</v>
      </c>
      <c r="BM258" s="81">
        <f>IFERROR(X258*I258,"0")</f>
        <v>0</v>
      </c>
      <c r="BN258" s="81">
        <f>IFERROR(Y258*I258,"0")</f>
        <v>0</v>
      </c>
      <c r="BO258" s="81">
        <f>IFERROR(X258/J258,"0")</f>
        <v>0</v>
      </c>
      <c r="BP258" s="81">
        <f>IFERROR(Y258/J258,"0")</f>
        <v>0</v>
      </c>
    </row>
    <row r="259" spans="1:68" ht="12.75" hidden="1" customHeight="1" x14ac:dyDescent="0.2">
      <c r="A259" s="368"/>
      <c r="B259" s="368"/>
      <c r="C259" s="368"/>
      <c r="D259" s="368"/>
      <c r="E259" s="368"/>
      <c r="F259" s="368"/>
      <c r="G259" s="368"/>
      <c r="H259" s="368"/>
      <c r="I259" s="368"/>
      <c r="J259" s="368"/>
      <c r="K259" s="368"/>
      <c r="L259" s="368"/>
      <c r="M259" s="368"/>
      <c r="N259" s="368"/>
      <c r="O259" s="369"/>
      <c r="P259" s="365" t="s">
        <v>40</v>
      </c>
      <c r="Q259" s="366"/>
      <c r="R259" s="366"/>
      <c r="S259" s="366"/>
      <c r="T259" s="366"/>
      <c r="U259" s="366"/>
      <c r="V259" s="367"/>
      <c r="W259" s="42" t="s">
        <v>39</v>
      </c>
      <c r="X259" s="43">
        <f>IFERROR(SUM(X256:X258),"0")</f>
        <v>0</v>
      </c>
      <c r="Y259" s="43">
        <f>IFERROR(SUM(Y256:Y258),"0")</f>
        <v>0</v>
      </c>
      <c r="Z259" s="43">
        <f>IFERROR(IF(Z256="",0,Z256),"0")+IFERROR(IF(Z257="",0,Z257),"0")+IFERROR(IF(Z258="",0,Z258),"0")</f>
        <v>0</v>
      </c>
      <c r="AA259" s="67"/>
      <c r="AB259" s="67"/>
      <c r="AC259" s="67"/>
    </row>
    <row r="260" spans="1:68" ht="12.75" hidden="1" customHeight="1" x14ac:dyDescent="0.2">
      <c r="A260" s="368"/>
      <c r="B260" s="368"/>
      <c r="C260" s="368"/>
      <c r="D260" s="368"/>
      <c r="E260" s="368"/>
      <c r="F260" s="368"/>
      <c r="G260" s="368"/>
      <c r="H260" s="368"/>
      <c r="I260" s="368"/>
      <c r="J260" s="368"/>
      <c r="K260" s="368"/>
      <c r="L260" s="368"/>
      <c r="M260" s="368"/>
      <c r="N260" s="368"/>
      <c r="O260" s="369"/>
      <c r="P260" s="365" t="s">
        <v>40</v>
      </c>
      <c r="Q260" s="366"/>
      <c r="R260" s="366"/>
      <c r="S260" s="366"/>
      <c r="T260" s="366"/>
      <c r="U260" s="366"/>
      <c r="V260" s="367"/>
      <c r="W260" s="42" t="s">
        <v>0</v>
      </c>
      <c r="X260" s="43">
        <f>IFERROR(SUMPRODUCT(X256:X258*H256:H258),"0")</f>
        <v>0</v>
      </c>
      <c r="Y260" s="43">
        <f>IFERROR(SUMPRODUCT(Y256:Y258*H256:H258),"0")</f>
        <v>0</v>
      </c>
      <c r="Z260" s="42"/>
      <c r="AA260" s="67"/>
      <c r="AB260" s="67"/>
      <c r="AC260" s="67"/>
    </row>
    <row r="261" spans="1:68" ht="14.25" hidden="1" customHeight="1" x14ac:dyDescent="0.25">
      <c r="A261" s="353" t="s">
        <v>156</v>
      </c>
      <c r="B261" s="353"/>
      <c r="C261" s="353"/>
      <c r="D261" s="353"/>
      <c r="E261" s="353"/>
      <c r="F261" s="353"/>
      <c r="G261" s="353"/>
      <c r="H261" s="353"/>
      <c r="I261" s="353"/>
      <c r="J261" s="353"/>
      <c r="K261" s="353"/>
      <c r="L261" s="353"/>
      <c r="M261" s="353"/>
      <c r="N261" s="353"/>
      <c r="O261" s="353"/>
      <c r="P261" s="353"/>
      <c r="Q261" s="353"/>
      <c r="R261" s="353"/>
      <c r="S261" s="353"/>
      <c r="T261" s="353"/>
      <c r="U261" s="353"/>
      <c r="V261" s="353"/>
      <c r="W261" s="353"/>
      <c r="X261" s="353"/>
      <c r="Y261" s="353"/>
      <c r="Z261" s="353"/>
      <c r="AA261" s="66"/>
      <c r="AB261" s="66"/>
      <c r="AC261" s="83"/>
    </row>
    <row r="262" spans="1:68" ht="37.5" hidden="1" customHeight="1" x14ac:dyDescent="0.25">
      <c r="A262" s="63" t="s">
        <v>360</v>
      </c>
      <c r="B262" s="63" t="s">
        <v>361</v>
      </c>
      <c r="C262" s="36">
        <v>4301135504</v>
      </c>
      <c r="D262" s="354">
        <v>4640242181554</v>
      </c>
      <c r="E262" s="354"/>
      <c r="F262" s="62">
        <v>3</v>
      </c>
      <c r="G262" s="37">
        <v>1</v>
      </c>
      <c r="H262" s="62">
        <v>3</v>
      </c>
      <c r="I262" s="62">
        <v>3.1920000000000002</v>
      </c>
      <c r="J262" s="37">
        <v>126</v>
      </c>
      <c r="K262" s="37" t="s">
        <v>117</v>
      </c>
      <c r="L262" s="37" t="s">
        <v>88</v>
      </c>
      <c r="M262" s="38" t="s">
        <v>86</v>
      </c>
      <c r="N262" s="38"/>
      <c r="O262" s="37">
        <v>180</v>
      </c>
      <c r="P262" s="449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2" s="356"/>
      <c r="R262" s="356"/>
      <c r="S262" s="356"/>
      <c r="T262" s="357"/>
      <c r="U262" s="39" t="s">
        <v>46</v>
      </c>
      <c r="V262" s="39" t="s">
        <v>46</v>
      </c>
      <c r="W262" s="40" t="s">
        <v>39</v>
      </c>
      <c r="X262" s="58">
        <v>0</v>
      </c>
      <c r="Y262" s="55">
        <f t="shared" ref="Y262:Y271" si="18">IFERROR(IF(X262="","",X262),"")</f>
        <v>0</v>
      </c>
      <c r="Z262" s="41">
        <f>IFERROR(IF(X262="","",X262*0.00936),"")</f>
        <v>0</v>
      </c>
      <c r="AA262" s="68" t="s">
        <v>46</v>
      </c>
      <c r="AB262" s="69" t="s">
        <v>46</v>
      </c>
      <c r="AC262" s="263" t="s">
        <v>362</v>
      </c>
      <c r="AG262" s="81"/>
      <c r="AJ262" s="87" t="s">
        <v>89</v>
      </c>
      <c r="AK262" s="87">
        <v>1</v>
      </c>
      <c r="BB262" s="264" t="s">
        <v>116</v>
      </c>
      <c r="BM262" s="81">
        <f t="shared" ref="BM262:BM271" si="19">IFERROR(X262*I262,"0")</f>
        <v>0</v>
      </c>
      <c r="BN262" s="81">
        <f t="shared" ref="BN262:BN271" si="20">IFERROR(Y262*I262,"0")</f>
        <v>0</v>
      </c>
      <c r="BO262" s="81">
        <f t="shared" ref="BO262:BO271" si="21">IFERROR(X262/J262,"0")</f>
        <v>0</v>
      </c>
      <c r="BP262" s="81">
        <f t="shared" ref="BP262:BP271" si="22">IFERROR(Y262/J262,"0")</f>
        <v>0</v>
      </c>
    </row>
    <row r="263" spans="1:68" ht="27" customHeight="1" x14ac:dyDescent="0.25">
      <c r="A263" s="63" t="s">
        <v>363</v>
      </c>
      <c r="B263" s="63" t="s">
        <v>364</v>
      </c>
      <c r="C263" s="36">
        <v>4301135873</v>
      </c>
      <c r="D263" s="354">
        <v>4640242182087</v>
      </c>
      <c r="E263" s="354"/>
      <c r="F263" s="62">
        <v>5</v>
      </c>
      <c r="G263" s="37">
        <v>1</v>
      </c>
      <c r="H263" s="62">
        <v>5</v>
      </c>
      <c r="I263" s="62">
        <v>5.23</v>
      </c>
      <c r="J263" s="37">
        <v>84</v>
      </c>
      <c r="K263" s="37" t="s">
        <v>87</v>
      </c>
      <c r="L263" s="37" t="s">
        <v>88</v>
      </c>
      <c r="M263" s="38" t="s">
        <v>86</v>
      </c>
      <c r="N263" s="38"/>
      <c r="O263" s="37">
        <v>180</v>
      </c>
      <c r="P263" s="450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3" s="356"/>
      <c r="R263" s="356"/>
      <c r="S263" s="356"/>
      <c r="T263" s="357"/>
      <c r="U263" s="39" t="s">
        <v>46</v>
      </c>
      <c r="V263" s="39" t="s">
        <v>46</v>
      </c>
      <c r="W263" s="40" t="s">
        <v>39</v>
      </c>
      <c r="X263" s="58">
        <v>504</v>
      </c>
      <c r="Y263" s="55">
        <f t="shared" si="18"/>
        <v>504</v>
      </c>
      <c r="Z263" s="41">
        <f>IFERROR(IF(X263="","",X263*0.0155),"")</f>
        <v>7.8120000000000003</v>
      </c>
      <c r="AA263" s="68" t="s">
        <v>46</v>
      </c>
      <c r="AB263" s="69" t="s">
        <v>46</v>
      </c>
      <c r="AC263" s="265" t="s">
        <v>365</v>
      </c>
      <c r="AG263" s="81"/>
      <c r="AJ263" s="87" t="s">
        <v>89</v>
      </c>
      <c r="AK263" s="87">
        <v>1</v>
      </c>
      <c r="BB263" s="266" t="s">
        <v>116</v>
      </c>
      <c r="BM263" s="81">
        <f t="shared" si="19"/>
        <v>2635.92</v>
      </c>
      <c r="BN263" s="81">
        <f t="shared" si="20"/>
        <v>2635.92</v>
      </c>
      <c r="BO263" s="81">
        <f t="shared" si="21"/>
        <v>6</v>
      </c>
      <c r="BP263" s="81">
        <f t="shared" si="22"/>
        <v>6</v>
      </c>
    </row>
    <row r="264" spans="1:68" ht="27" customHeight="1" x14ac:dyDescent="0.25">
      <c r="A264" s="63" t="s">
        <v>366</v>
      </c>
      <c r="B264" s="63" t="s">
        <v>367</v>
      </c>
      <c r="C264" s="36">
        <v>4301135374</v>
      </c>
      <c r="D264" s="354">
        <v>4640242181424</v>
      </c>
      <c r="E264" s="354"/>
      <c r="F264" s="62">
        <v>5.5</v>
      </c>
      <c r="G264" s="37">
        <v>1</v>
      </c>
      <c r="H264" s="62">
        <v>5.5</v>
      </c>
      <c r="I264" s="62">
        <v>5.7350000000000003</v>
      </c>
      <c r="J264" s="37">
        <v>84</v>
      </c>
      <c r="K264" s="37" t="s">
        <v>87</v>
      </c>
      <c r="L264" s="37" t="s">
        <v>118</v>
      </c>
      <c r="M264" s="38" t="s">
        <v>86</v>
      </c>
      <c r="N264" s="38"/>
      <c r="O264" s="37">
        <v>180</v>
      </c>
      <c r="P264" s="451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64" s="356"/>
      <c r="R264" s="356"/>
      <c r="S264" s="356"/>
      <c r="T264" s="357"/>
      <c r="U264" s="39" t="s">
        <v>46</v>
      </c>
      <c r="V264" s="39" t="s">
        <v>46</v>
      </c>
      <c r="W264" s="40" t="s">
        <v>39</v>
      </c>
      <c r="X264" s="58">
        <v>228</v>
      </c>
      <c r="Y264" s="55">
        <f t="shared" si="18"/>
        <v>228</v>
      </c>
      <c r="Z264" s="41">
        <f>IFERROR(IF(X264="","",X264*0.0155),"")</f>
        <v>3.5339999999999998</v>
      </c>
      <c r="AA264" s="68" t="s">
        <v>46</v>
      </c>
      <c r="AB264" s="69" t="s">
        <v>46</v>
      </c>
      <c r="AC264" s="267" t="s">
        <v>362</v>
      </c>
      <c r="AG264" s="81"/>
      <c r="AJ264" s="87" t="s">
        <v>119</v>
      </c>
      <c r="AK264" s="87">
        <v>12</v>
      </c>
      <c r="BB264" s="268" t="s">
        <v>116</v>
      </c>
      <c r="BM264" s="81">
        <f t="shared" si="19"/>
        <v>1307.5800000000002</v>
      </c>
      <c r="BN264" s="81">
        <f t="shared" si="20"/>
        <v>1307.5800000000002</v>
      </c>
      <c r="BO264" s="81">
        <f t="shared" si="21"/>
        <v>2.7142857142857144</v>
      </c>
      <c r="BP264" s="81">
        <f t="shared" si="22"/>
        <v>2.7142857142857144</v>
      </c>
    </row>
    <row r="265" spans="1:68" ht="27" customHeight="1" x14ac:dyDescent="0.25">
      <c r="A265" s="63" t="s">
        <v>368</v>
      </c>
      <c r="B265" s="63" t="s">
        <v>369</v>
      </c>
      <c r="C265" s="36">
        <v>4301135405</v>
      </c>
      <c r="D265" s="354">
        <v>4640242181523</v>
      </c>
      <c r="E265" s="354"/>
      <c r="F265" s="62">
        <v>3</v>
      </c>
      <c r="G265" s="37">
        <v>1</v>
      </c>
      <c r="H265" s="62">
        <v>3</v>
      </c>
      <c r="I265" s="62">
        <v>3.1920000000000002</v>
      </c>
      <c r="J265" s="37">
        <v>126</v>
      </c>
      <c r="K265" s="37" t="s">
        <v>117</v>
      </c>
      <c r="L265" s="37" t="s">
        <v>118</v>
      </c>
      <c r="M265" s="38" t="s">
        <v>86</v>
      </c>
      <c r="N265" s="38"/>
      <c r="O265" s="37">
        <v>180</v>
      </c>
      <c r="P265" s="45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65" s="356"/>
      <c r="R265" s="356"/>
      <c r="S265" s="356"/>
      <c r="T265" s="357"/>
      <c r="U265" s="39" t="s">
        <v>46</v>
      </c>
      <c r="V265" s="39" t="s">
        <v>46</v>
      </c>
      <c r="W265" s="40" t="s">
        <v>39</v>
      </c>
      <c r="X265" s="58">
        <v>280</v>
      </c>
      <c r="Y265" s="55">
        <f t="shared" si="18"/>
        <v>280</v>
      </c>
      <c r="Z265" s="41">
        <f t="shared" ref="Z265:Z270" si="23">IFERROR(IF(X265="","",X265*0.00936),"")</f>
        <v>2.6208</v>
      </c>
      <c r="AA265" s="68" t="s">
        <v>46</v>
      </c>
      <c r="AB265" s="69" t="s">
        <v>46</v>
      </c>
      <c r="AC265" s="269" t="s">
        <v>365</v>
      </c>
      <c r="AG265" s="81"/>
      <c r="AJ265" s="87" t="s">
        <v>119</v>
      </c>
      <c r="AK265" s="87">
        <v>14</v>
      </c>
      <c r="BB265" s="270" t="s">
        <v>116</v>
      </c>
      <c r="BM265" s="81">
        <f t="shared" si="19"/>
        <v>893.76</v>
      </c>
      <c r="BN265" s="81">
        <f t="shared" si="20"/>
        <v>893.76</v>
      </c>
      <c r="BO265" s="81">
        <f t="shared" si="21"/>
        <v>2.2222222222222223</v>
      </c>
      <c r="BP265" s="81">
        <f t="shared" si="22"/>
        <v>2.2222222222222223</v>
      </c>
    </row>
    <row r="266" spans="1:68" ht="27" customHeight="1" x14ac:dyDescent="0.25">
      <c r="A266" s="63" t="s">
        <v>370</v>
      </c>
      <c r="B266" s="63" t="s">
        <v>371</v>
      </c>
      <c r="C266" s="36">
        <v>4301135375</v>
      </c>
      <c r="D266" s="354">
        <v>4640242181486</v>
      </c>
      <c r="E266" s="354"/>
      <c r="F266" s="62">
        <v>3.7</v>
      </c>
      <c r="G266" s="37">
        <v>1</v>
      </c>
      <c r="H266" s="62">
        <v>3.7</v>
      </c>
      <c r="I266" s="62">
        <v>3.8919999999999999</v>
      </c>
      <c r="J266" s="37">
        <v>126</v>
      </c>
      <c r="K266" s="37" t="s">
        <v>117</v>
      </c>
      <c r="L266" s="37" t="s">
        <v>118</v>
      </c>
      <c r="M266" s="38" t="s">
        <v>86</v>
      </c>
      <c r="N266" s="38"/>
      <c r="O266" s="37">
        <v>180</v>
      </c>
      <c r="P266" s="453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66" s="356"/>
      <c r="R266" s="356"/>
      <c r="S266" s="356"/>
      <c r="T266" s="357"/>
      <c r="U266" s="39" t="s">
        <v>46</v>
      </c>
      <c r="V266" s="39" t="s">
        <v>46</v>
      </c>
      <c r="W266" s="40" t="s">
        <v>39</v>
      </c>
      <c r="X266" s="58">
        <v>630</v>
      </c>
      <c r="Y266" s="55">
        <f t="shared" si="18"/>
        <v>630</v>
      </c>
      <c r="Z266" s="41">
        <f t="shared" si="23"/>
        <v>5.8967999999999998</v>
      </c>
      <c r="AA266" s="68" t="s">
        <v>46</v>
      </c>
      <c r="AB266" s="69" t="s">
        <v>46</v>
      </c>
      <c r="AC266" s="271" t="s">
        <v>362</v>
      </c>
      <c r="AG266" s="81"/>
      <c r="AJ266" s="87" t="s">
        <v>119</v>
      </c>
      <c r="AK266" s="87">
        <v>14</v>
      </c>
      <c r="BB266" s="272" t="s">
        <v>116</v>
      </c>
      <c r="BM266" s="81">
        <f t="shared" si="19"/>
        <v>2451.96</v>
      </c>
      <c r="BN266" s="81">
        <f t="shared" si="20"/>
        <v>2451.96</v>
      </c>
      <c r="BO266" s="81">
        <f t="shared" si="21"/>
        <v>5</v>
      </c>
      <c r="BP266" s="81">
        <f t="shared" si="22"/>
        <v>5</v>
      </c>
    </row>
    <row r="267" spans="1:68" ht="37.5" hidden="1" customHeight="1" x14ac:dyDescent="0.25">
      <c r="A267" s="63" t="s">
        <v>372</v>
      </c>
      <c r="B267" s="63" t="s">
        <v>373</v>
      </c>
      <c r="C267" s="36">
        <v>4301135402</v>
      </c>
      <c r="D267" s="354">
        <v>4640242181493</v>
      </c>
      <c r="E267" s="354"/>
      <c r="F267" s="62">
        <v>3.7</v>
      </c>
      <c r="G267" s="37">
        <v>1</v>
      </c>
      <c r="H267" s="62">
        <v>3.7</v>
      </c>
      <c r="I267" s="62">
        <v>3.8919999999999999</v>
      </c>
      <c r="J267" s="37">
        <v>126</v>
      </c>
      <c r="K267" s="37" t="s">
        <v>117</v>
      </c>
      <c r="L267" s="37" t="s">
        <v>118</v>
      </c>
      <c r="M267" s="38" t="s">
        <v>86</v>
      </c>
      <c r="N267" s="38"/>
      <c r="O267" s="37">
        <v>180</v>
      </c>
      <c r="P267" s="454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67" s="356"/>
      <c r="R267" s="356"/>
      <c r="S267" s="356"/>
      <c r="T267" s="357"/>
      <c r="U267" s="39" t="s">
        <v>46</v>
      </c>
      <c r="V267" s="39" t="s">
        <v>46</v>
      </c>
      <c r="W267" s="40" t="s">
        <v>39</v>
      </c>
      <c r="X267" s="58"/>
      <c r="Y267" s="55" t="str">
        <f t="shared" si="18"/>
        <v/>
      </c>
      <c r="Z267" s="41" t="str">
        <f t="shared" si="23"/>
        <v/>
      </c>
      <c r="AA267" s="68" t="s">
        <v>46</v>
      </c>
      <c r="AB267" s="69" t="s">
        <v>46</v>
      </c>
      <c r="AC267" s="273" t="s">
        <v>362</v>
      </c>
      <c r="AG267" s="81"/>
      <c r="AJ267" s="87" t="s">
        <v>119</v>
      </c>
      <c r="AK267" s="87">
        <v>14</v>
      </c>
      <c r="BB267" s="274" t="s">
        <v>116</v>
      </c>
      <c r="BM267" s="81">
        <f t="shared" si="19"/>
        <v>0</v>
      </c>
      <c r="BN267" s="81" t="str">
        <f t="shared" si="20"/>
        <v>0</v>
      </c>
      <c r="BO267" s="81">
        <f t="shared" si="21"/>
        <v>0</v>
      </c>
      <c r="BP267" s="81" t="str">
        <f t="shared" si="22"/>
        <v>0</v>
      </c>
    </row>
    <row r="268" spans="1:68" ht="37.5" hidden="1" customHeight="1" x14ac:dyDescent="0.25">
      <c r="A268" s="63" t="s">
        <v>374</v>
      </c>
      <c r="B268" s="63" t="s">
        <v>375</v>
      </c>
      <c r="C268" s="36">
        <v>4301135403</v>
      </c>
      <c r="D268" s="354">
        <v>4640242181509</v>
      </c>
      <c r="E268" s="354"/>
      <c r="F268" s="62">
        <v>3.7</v>
      </c>
      <c r="G268" s="37">
        <v>1</v>
      </c>
      <c r="H268" s="62">
        <v>3.7</v>
      </c>
      <c r="I268" s="62">
        <v>3.8919999999999999</v>
      </c>
      <c r="J268" s="37">
        <v>126</v>
      </c>
      <c r="K268" s="37" t="s">
        <v>117</v>
      </c>
      <c r="L268" s="37" t="s">
        <v>88</v>
      </c>
      <c r="M268" s="38" t="s">
        <v>86</v>
      </c>
      <c r="N268" s="38"/>
      <c r="O268" s="37">
        <v>180</v>
      </c>
      <c r="P268" s="455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68" s="356"/>
      <c r="R268" s="356"/>
      <c r="S268" s="356"/>
      <c r="T268" s="357"/>
      <c r="U268" s="39" t="s">
        <v>46</v>
      </c>
      <c r="V268" s="39" t="s">
        <v>46</v>
      </c>
      <c r="W268" s="40" t="s">
        <v>39</v>
      </c>
      <c r="X268" s="58">
        <v>0</v>
      </c>
      <c r="Y268" s="55">
        <f t="shared" si="18"/>
        <v>0</v>
      </c>
      <c r="Z268" s="41">
        <f t="shared" si="23"/>
        <v>0</v>
      </c>
      <c r="AA268" s="68" t="s">
        <v>46</v>
      </c>
      <c r="AB268" s="69" t="s">
        <v>46</v>
      </c>
      <c r="AC268" s="275" t="s">
        <v>362</v>
      </c>
      <c r="AG268" s="81"/>
      <c r="AJ268" s="87" t="s">
        <v>89</v>
      </c>
      <c r="AK268" s="87">
        <v>1</v>
      </c>
      <c r="BB268" s="276" t="s">
        <v>116</v>
      </c>
      <c r="BM268" s="81">
        <f t="shared" si="19"/>
        <v>0</v>
      </c>
      <c r="BN268" s="81">
        <f t="shared" si="20"/>
        <v>0</v>
      </c>
      <c r="BO268" s="81">
        <f t="shared" si="21"/>
        <v>0</v>
      </c>
      <c r="BP268" s="81">
        <f t="shared" si="22"/>
        <v>0</v>
      </c>
    </row>
    <row r="269" spans="1:68" ht="27" hidden="1" customHeight="1" x14ac:dyDescent="0.25">
      <c r="A269" s="63" t="s">
        <v>376</v>
      </c>
      <c r="B269" s="63" t="s">
        <v>377</v>
      </c>
      <c r="C269" s="36">
        <v>4301135304</v>
      </c>
      <c r="D269" s="354">
        <v>4640242181240</v>
      </c>
      <c r="E269" s="354"/>
      <c r="F269" s="62">
        <v>0.3</v>
      </c>
      <c r="G269" s="37">
        <v>9</v>
      </c>
      <c r="H269" s="62">
        <v>2.7</v>
      </c>
      <c r="I269" s="62">
        <v>2.88</v>
      </c>
      <c r="J269" s="37">
        <v>126</v>
      </c>
      <c r="K269" s="37" t="s">
        <v>117</v>
      </c>
      <c r="L269" s="37" t="s">
        <v>88</v>
      </c>
      <c r="M269" s="38" t="s">
        <v>86</v>
      </c>
      <c r="N269" s="38"/>
      <c r="O269" s="37">
        <v>180</v>
      </c>
      <c r="P269" s="456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69" s="356"/>
      <c r="R269" s="356"/>
      <c r="S269" s="356"/>
      <c r="T269" s="357"/>
      <c r="U269" s="39" t="s">
        <v>46</v>
      </c>
      <c r="V269" s="39" t="s">
        <v>46</v>
      </c>
      <c r="W269" s="40" t="s">
        <v>39</v>
      </c>
      <c r="X269" s="58">
        <v>0</v>
      </c>
      <c r="Y269" s="55">
        <f t="shared" si="18"/>
        <v>0</v>
      </c>
      <c r="Z269" s="41">
        <f t="shared" si="23"/>
        <v>0</v>
      </c>
      <c r="AA269" s="68" t="s">
        <v>46</v>
      </c>
      <c r="AB269" s="69" t="s">
        <v>46</v>
      </c>
      <c r="AC269" s="277" t="s">
        <v>362</v>
      </c>
      <c r="AG269" s="81"/>
      <c r="AJ269" s="87" t="s">
        <v>89</v>
      </c>
      <c r="AK269" s="87">
        <v>1</v>
      </c>
      <c r="BB269" s="278" t="s">
        <v>116</v>
      </c>
      <c r="BM269" s="81">
        <f t="shared" si="19"/>
        <v>0</v>
      </c>
      <c r="BN269" s="81">
        <f t="shared" si="20"/>
        <v>0</v>
      </c>
      <c r="BO269" s="81">
        <f t="shared" si="21"/>
        <v>0</v>
      </c>
      <c r="BP269" s="81">
        <f t="shared" si="22"/>
        <v>0</v>
      </c>
    </row>
    <row r="270" spans="1:68" ht="27" hidden="1" customHeight="1" x14ac:dyDescent="0.25">
      <c r="A270" s="63" t="s">
        <v>378</v>
      </c>
      <c r="B270" s="63" t="s">
        <v>379</v>
      </c>
      <c r="C270" s="36">
        <v>4301135610</v>
      </c>
      <c r="D270" s="354">
        <v>4640242181318</v>
      </c>
      <c r="E270" s="354"/>
      <c r="F270" s="62">
        <v>0.3</v>
      </c>
      <c r="G270" s="37">
        <v>9</v>
      </c>
      <c r="H270" s="62">
        <v>2.7</v>
      </c>
      <c r="I270" s="62">
        <v>2.988</v>
      </c>
      <c r="J270" s="37">
        <v>126</v>
      </c>
      <c r="K270" s="37" t="s">
        <v>117</v>
      </c>
      <c r="L270" s="37" t="s">
        <v>88</v>
      </c>
      <c r="M270" s="38" t="s">
        <v>86</v>
      </c>
      <c r="N270" s="38"/>
      <c r="O270" s="37">
        <v>180</v>
      </c>
      <c r="P270" s="45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0" s="356"/>
      <c r="R270" s="356"/>
      <c r="S270" s="356"/>
      <c r="T270" s="357"/>
      <c r="U270" s="39" t="s">
        <v>46</v>
      </c>
      <c r="V270" s="39" t="s">
        <v>46</v>
      </c>
      <c r="W270" s="40" t="s">
        <v>39</v>
      </c>
      <c r="X270" s="58">
        <v>0</v>
      </c>
      <c r="Y270" s="55">
        <f t="shared" si="18"/>
        <v>0</v>
      </c>
      <c r="Z270" s="41">
        <f t="shared" si="23"/>
        <v>0</v>
      </c>
      <c r="AA270" s="68" t="s">
        <v>46</v>
      </c>
      <c r="AB270" s="69" t="s">
        <v>46</v>
      </c>
      <c r="AC270" s="279" t="s">
        <v>365</v>
      </c>
      <c r="AG270" s="81"/>
      <c r="AJ270" s="87" t="s">
        <v>89</v>
      </c>
      <c r="AK270" s="87">
        <v>1</v>
      </c>
      <c r="BB270" s="280" t="s">
        <v>116</v>
      </c>
      <c r="BM270" s="81">
        <f t="shared" si="19"/>
        <v>0</v>
      </c>
      <c r="BN270" s="81">
        <f t="shared" si="20"/>
        <v>0</v>
      </c>
      <c r="BO270" s="81">
        <f t="shared" si="21"/>
        <v>0</v>
      </c>
      <c r="BP270" s="81">
        <f t="shared" si="22"/>
        <v>0</v>
      </c>
    </row>
    <row r="271" spans="1:68" ht="27" hidden="1" customHeight="1" x14ac:dyDescent="0.25">
      <c r="A271" s="63" t="s">
        <v>380</v>
      </c>
      <c r="B271" s="63" t="s">
        <v>381</v>
      </c>
      <c r="C271" s="36">
        <v>4301135306</v>
      </c>
      <c r="D271" s="354">
        <v>4640242181387</v>
      </c>
      <c r="E271" s="354"/>
      <c r="F271" s="62">
        <v>0.3</v>
      </c>
      <c r="G271" s="37">
        <v>9</v>
      </c>
      <c r="H271" s="62">
        <v>2.7</v>
      </c>
      <c r="I271" s="62">
        <v>2.8450000000000002</v>
      </c>
      <c r="J271" s="37">
        <v>234</v>
      </c>
      <c r="K271" s="37" t="s">
        <v>168</v>
      </c>
      <c r="L271" s="37" t="s">
        <v>88</v>
      </c>
      <c r="M271" s="38" t="s">
        <v>86</v>
      </c>
      <c r="N271" s="38"/>
      <c r="O271" s="37">
        <v>180</v>
      </c>
      <c r="P271" s="458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1" s="356"/>
      <c r="R271" s="356"/>
      <c r="S271" s="356"/>
      <c r="T271" s="357"/>
      <c r="U271" s="39" t="s">
        <v>46</v>
      </c>
      <c r="V271" s="39" t="s">
        <v>46</v>
      </c>
      <c r="W271" s="40" t="s">
        <v>39</v>
      </c>
      <c r="X271" s="58">
        <v>0</v>
      </c>
      <c r="Y271" s="55">
        <f t="shared" si="18"/>
        <v>0</v>
      </c>
      <c r="Z271" s="41">
        <f>IFERROR(IF(X271="","",X271*0.00502),"")</f>
        <v>0</v>
      </c>
      <c r="AA271" s="68" t="s">
        <v>46</v>
      </c>
      <c r="AB271" s="69" t="s">
        <v>46</v>
      </c>
      <c r="AC271" s="281" t="s">
        <v>362</v>
      </c>
      <c r="AG271" s="81"/>
      <c r="AJ271" s="87" t="s">
        <v>89</v>
      </c>
      <c r="AK271" s="87">
        <v>1</v>
      </c>
      <c r="BB271" s="282" t="s">
        <v>116</v>
      </c>
      <c r="BM271" s="81">
        <f t="shared" si="19"/>
        <v>0</v>
      </c>
      <c r="BN271" s="81">
        <f t="shared" si="20"/>
        <v>0</v>
      </c>
      <c r="BO271" s="81">
        <f t="shared" si="21"/>
        <v>0</v>
      </c>
      <c r="BP271" s="81">
        <f t="shared" si="22"/>
        <v>0</v>
      </c>
    </row>
    <row r="272" spans="1:68" x14ac:dyDescent="0.2">
      <c r="A272" s="368"/>
      <c r="B272" s="368"/>
      <c r="C272" s="368"/>
      <c r="D272" s="368"/>
      <c r="E272" s="368"/>
      <c r="F272" s="368"/>
      <c r="G272" s="368"/>
      <c r="H272" s="368"/>
      <c r="I272" s="368"/>
      <c r="J272" s="368"/>
      <c r="K272" s="368"/>
      <c r="L272" s="368"/>
      <c r="M272" s="368"/>
      <c r="N272" s="368"/>
      <c r="O272" s="369"/>
      <c r="P272" s="365" t="s">
        <v>40</v>
      </c>
      <c r="Q272" s="366"/>
      <c r="R272" s="366"/>
      <c r="S272" s="366"/>
      <c r="T272" s="366"/>
      <c r="U272" s="366"/>
      <c r="V272" s="367"/>
      <c r="W272" s="42" t="s">
        <v>39</v>
      </c>
      <c r="X272" s="43">
        <f>IFERROR(SUM(X262:X271),"0")</f>
        <v>1642</v>
      </c>
      <c r="Y272" s="43">
        <f>IFERROR(SUM(Y262:Y271),"0")</f>
        <v>1642</v>
      </c>
      <c r="Z272" s="43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19.863599999999998</v>
      </c>
      <c r="AA272" s="67"/>
      <c r="AB272" s="67"/>
      <c r="AC272" s="67"/>
    </row>
    <row r="273" spans="1:32" x14ac:dyDescent="0.2">
      <c r="A273" s="368"/>
      <c r="B273" s="368"/>
      <c r="C273" s="368"/>
      <c r="D273" s="368"/>
      <c r="E273" s="368"/>
      <c r="F273" s="368"/>
      <c r="G273" s="368"/>
      <c r="H273" s="368"/>
      <c r="I273" s="368"/>
      <c r="J273" s="368"/>
      <c r="K273" s="368"/>
      <c r="L273" s="368"/>
      <c r="M273" s="368"/>
      <c r="N273" s="368"/>
      <c r="O273" s="369"/>
      <c r="P273" s="365" t="s">
        <v>40</v>
      </c>
      <c r="Q273" s="366"/>
      <c r="R273" s="366"/>
      <c r="S273" s="366"/>
      <c r="T273" s="366"/>
      <c r="U273" s="366"/>
      <c r="V273" s="367"/>
      <c r="W273" s="42" t="s">
        <v>0</v>
      </c>
      <c r="X273" s="43">
        <f>IFERROR(SUMPRODUCT(X262:X271*H262:H271),"0")</f>
        <v>6945</v>
      </c>
      <c r="Y273" s="43" t="str">
        <f>IFERROR(SUMPRODUCT(Y262:Y271*H262:H271),"0")</f>
        <v>0</v>
      </c>
      <c r="Z273" s="42"/>
      <c r="AA273" s="67"/>
      <c r="AB273" s="67"/>
      <c r="AC273" s="67"/>
    </row>
    <row r="274" spans="1:32" ht="15" customHeight="1" x14ac:dyDescent="0.2">
      <c r="A274" s="368"/>
      <c r="B274" s="368"/>
      <c r="C274" s="368"/>
      <c r="D274" s="368"/>
      <c r="E274" s="368"/>
      <c r="F274" s="368"/>
      <c r="G274" s="368"/>
      <c r="H274" s="368"/>
      <c r="I274" s="368"/>
      <c r="J274" s="368"/>
      <c r="K274" s="368"/>
      <c r="L274" s="368"/>
      <c r="M274" s="368"/>
      <c r="N274" s="368"/>
      <c r="O274" s="462"/>
      <c r="P274" s="459" t="s">
        <v>33</v>
      </c>
      <c r="Q274" s="460"/>
      <c r="R274" s="460"/>
      <c r="S274" s="460"/>
      <c r="T274" s="460"/>
      <c r="U274" s="460"/>
      <c r="V274" s="461"/>
      <c r="W274" s="42" t="s">
        <v>0</v>
      </c>
      <c r="X274" s="43">
        <f>IFERROR(X31+X37+X44+X51+X59+X64+X68+X73+X79+X85+X90+X96+X106+X112+X123+X127+X131+X136+X143+X150+X156+X161+X166+X171+X176+X183+X188+X197+X203+X210+X215+X221+X227+X233+X239+X243+X250+X254+X260+X273,"0")</f>
        <v>10834.199999999999</v>
      </c>
      <c r="Y274" s="43">
        <f>IFERROR(Y31+Y37+Y44+Y51+Y59+Y64+Y68+Y73+Y79+Y85+Y90+Y96+Y106+Y112+Y123+Y127+Y131+Y136+Y143+Y150+Y156+Y161+Y166+Y171+Y176+Y183+Y188+Y197+Y203+Y210+Y215+Y221+Y227+Y233+Y239+Y243+Y250+Y254+Y260+Y273,"0")</f>
        <v>3229.44</v>
      </c>
      <c r="Z274" s="42"/>
      <c r="AA274" s="67"/>
      <c r="AB274" s="67"/>
      <c r="AC274" s="67"/>
    </row>
    <row r="275" spans="1:32" x14ac:dyDescent="0.2">
      <c r="A275" s="368"/>
      <c r="B275" s="368"/>
      <c r="C275" s="368"/>
      <c r="D275" s="368"/>
      <c r="E275" s="368"/>
      <c r="F275" s="368"/>
      <c r="G275" s="368"/>
      <c r="H275" s="368"/>
      <c r="I275" s="368"/>
      <c r="J275" s="368"/>
      <c r="K275" s="368"/>
      <c r="L275" s="368"/>
      <c r="M275" s="368"/>
      <c r="N275" s="368"/>
      <c r="O275" s="462"/>
      <c r="P275" s="459" t="s">
        <v>34</v>
      </c>
      <c r="Q275" s="460"/>
      <c r="R275" s="460"/>
      <c r="S275" s="460"/>
      <c r="T275" s="460"/>
      <c r="U275" s="460"/>
      <c r="V275" s="461"/>
      <c r="W275" s="42" t="s">
        <v>0</v>
      </c>
      <c r="X275" s="43">
        <f>IFERROR(SUM(BM22:BM271),"0")</f>
        <v>11767.607599999999</v>
      </c>
      <c r="Y275" s="43">
        <f>IFERROR(SUM(BN22:BN271),"0")</f>
        <v>11767.607599999999</v>
      </c>
      <c r="Z275" s="42"/>
      <c r="AA275" s="67"/>
      <c r="AB275" s="67"/>
      <c r="AC275" s="67"/>
    </row>
    <row r="276" spans="1:32" x14ac:dyDescent="0.2">
      <c r="A276" s="368"/>
      <c r="B276" s="368"/>
      <c r="C276" s="368"/>
      <c r="D276" s="368"/>
      <c r="E276" s="368"/>
      <c r="F276" s="368"/>
      <c r="G276" s="368"/>
      <c r="H276" s="368"/>
      <c r="I276" s="368"/>
      <c r="J276" s="368"/>
      <c r="K276" s="368"/>
      <c r="L276" s="368"/>
      <c r="M276" s="368"/>
      <c r="N276" s="368"/>
      <c r="O276" s="462"/>
      <c r="P276" s="459" t="s">
        <v>35</v>
      </c>
      <c r="Q276" s="460"/>
      <c r="R276" s="460"/>
      <c r="S276" s="460"/>
      <c r="T276" s="460"/>
      <c r="U276" s="460"/>
      <c r="V276" s="461"/>
      <c r="W276" s="42" t="s">
        <v>20</v>
      </c>
      <c r="X276" s="44">
        <f>ROUNDUP(SUM(BO22:BO271),0)</f>
        <v>31</v>
      </c>
      <c r="Y276" s="44">
        <f>ROUNDUP(SUM(BP22:BP271),0)</f>
        <v>31</v>
      </c>
      <c r="Z276" s="42"/>
      <c r="AA276" s="67"/>
      <c r="AB276" s="67"/>
      <c r="AC276" s="67"/>
    </row>
    <row r="277" spans="1:32" x14ac:dyDescent="0.2">
      <c r="A277" s="368"/>
      <c r="B277" s="368"/>
      <c r="C277" s="368"/>
      <c r="D277" s="368"/>
      <c r="E277" s="368"/>
      <c r="F277" s="368"/>
      <c r="G277" s="368"/>
      <c r="H277" s="368"/>
      <c r="I277" s="368"/>
      <c r="J277" s="368"/>
      <c r="K277" s="368"/>
      <c r="L277" s="368"/>
      <c r="M277" s="368"/>
      <c r="N277" s="368"/>
      <c r="O277" s="462"/>
      <c r="P277" s="459" t="s">
        <v>36</v>
      </c>
      <c r="Q277" s="460"/>
      <c r="R277" s="460"/>
      <c r="S277" s="460"/>
      <c r="T277" s="460"/>
      <c r="U277" s="460"/>
      <c r="V277" s="461"/>
      <c r="W277" s="42" t="s">
        <v>0</v>
      </c>
      <c r="X277" s="43">
        <f>GrossWeightTotal+PalletQtyTotal*25</f>
        <v>12542.607599999999</v>
      </c>
      <c r="Y277" s="43">
        <f>GrossWeightTotalR+PalletQtyTotalR*25</f>
        <v>12542.607599999999</v>
      </c>
      <c r="Z277" s="42"/>
      <c r="AA277" s="67"/>
      <c r="AB277" s="67"/>
      <c r="AC277" s="67"/>
    </row>
    <row r="278" spans="1:32" x14ac:dyDescent="0.2">
      <c r="A278" s="368"/>
      <c r="B278" s="368"/>
      <c r="C278" s="368"/>
      <c r="D278" s="368"/>
      <c r="E278" s="368"/>
      <c r="F278" s="368"/>
      <c r="G278" s="368"/>
      <c r="H278" s="368"/>
      <c r="I278" s="368"/>
      <c r="J278" s="368"/>
      <c r="K278" s="368"/>
      <c r="L278" s="368"/>
      <c r="M278" s="368"/>
      <c r="N278" s="368"/>
      <c r="O278" s="462"/>
      <c r="P278" s="459" t="s">
        <v>37</v>
      </c>
      <c r="Q278" s="460"/>
      <c r="R278" s="460"/>
      <c r="S278" s="460"/>
      <c r="T278" s="460"/>
      <c r="U278" s="460"/>
      <c r="V278" s="461"/>
      <c r="W278" s="42" t="s">
        <v>20</v>
      </c>
      <c r="X278" s="43">
        <f>IFERROR(X30+X36+X43+X50+X58+X63+X67+X72+X78+X84+X89+X95+X105+X111+X122+X126+X130+X135+X142+X149+X155+X160+X165+X170+X175+X182+X187+X196+X202+X209+X214+X220+X226+X232+X238+X242+X249+X253+X259+X272,"0")</f>
        <v>2806</v>
      </c>
      <c r="Y278" s="43">
        <f>IFERROR(Y30+Y36+Y43+Y50+Y58+Y63+Y67+Y72+Y78+Y84+Y89+Y95+Y105+Y111+Y122+Y126+Y130+Y135+Y142+Y149+Y155+Y160+Y165+Y170+Y175+Y182+Y187+Y196+Y202+Y209+Y214+Y220+Y226+Y232+Y238+Y242+Y249+Y253+Y259+Y272,"0")</f>
        <v>2806</v>
      </c>
      <c r="Z278" s="42"/>
      <c r="AA278" s="67"/>
      <c r="AB278" s="67"/>
      <c r="AC278" s="67"/>
    </row>
    <row r="279" spans="1:32" ht="14.25" hidden="1" customHeight="1" x14ac:dyDescent="0.2">
      <c r="A279" s="368"/>
      <c r="B279" s="368"/>
      <c r="C279" s="368"/>
      <c r="D279" s="368"/>
      <c r="E279" s="368"/>
      <c r="F279" s="368"/>
      <c r="G279" s="368"/>
      <c r="H279" s="368"/>
      <c r="I279" s="368"/>
      <c r="J279" s="368"/>
      <c r="K279" s="368"/>
      <c r="L279" s="368"/>
      <c r="M279" s="368"/>
      <c r="N279" s="368"/>
      <c r="O279" s="462"/>
      <c r="P279" s="459" t="s">
        <v>38</v>
      </c>
      <c r="Q279" s="460"/>
      <c r="R279" s="460"/>
      <c r="S279" s="460"/>
      <c r="T279" s="460"/>
      <c r="U279" s="460"/>
      <c r="V279" s="461"/>
      <c r="W279" s="45" t="s">
        <v>52</v>
      </c>
      <c r="X279" s="42"/>
      <c r="Y279" s="42"/>
      <c r="Z279" s="42">
        <f>IFERROR(Z30+Z36+Z43+Z50+Z58+Z63+Z67+Z72+Z78+Z84+Z89+Z95+Z105+Z111+Z122+Z126+Z130+Z135+Z142+Z149+Z155+Z160+Z165+Z170+Z175+Z182+Z187+Z196+Z202+Z209+Z214+Z220+Z226+Z232+Z238+Z242+Z249+Z253+Z259+Z272,"0")</f>
        <v>38.088859999999997</v>
      </c>
      <c r="AA279" s="67"/>
      <c r="AB279" s="67"/>
      <c r="AC279" s="67"/>
    </row>
    <row r="280" spans="1:32" ht="13.5" thickBot="1" x14ac:dyDescent="0.25"/>
    <row r="281" spans="1:32" ht="27" thickTop="1" thickBot="1" x14ac:dyDescent="0.25">
      <c r="A281" s="46" t="s">
        <v>9</v>
      </c>
      <c r="B281" s="463" t="s">
        <v>81</v>
      </c>
      <c r="C281" s="463" t="s">
        <v>81</v>
      </c>
      <c r="D281" s="463" t="s">
        <v>45</v>
      </c>
      <c r="E281" s="463" t="s">
        <v>45</v>
      </c>
      <c r="F281" s="463" t="s">
        <v>45</v>
      </c>
      <c r="G281" s="463" t="s">
        <v>45</v>
      </c>
      <c r="H281" s="463" t="s">
        <v>45</v>
      </c>
      <c r="I281" s="463" t="s">
        <v>45</v>
      </c>
      <c r="J281" s="463" t="s">
        <v>45</v>
      </c>
      <c r="K281" s="463" t="s">
        <v>45</v>
      </c>
      <c r="L281" s="463" t="s">
        <v>45</v>
      </c>
      <c r="M281" s="463" t="s">
        <v>45</v>
      </c>
      <c r="N281" s="464"/>
      <c r="O281" s="463" t="s">
        <v>45</v>
      </c>
      <c r="P281" s="463" t="s">
        <v>45</v>
      </c>
      <c r="Q281" s="463" t="s">
        <v>45</v>
      </c>
      <c r="R281" s="463" t="s">
        <v>45</v>
      </c>
      <c r="S281" s="463" t="s">
        <v>45</v>
      </c>
      <c r="T281" s="463" t="s">
        <v>45</v>
      </c>
      <c r="U281" s="463" t="s">
        <v>45</v>
      </c>
      <c r="V281" s="463" t="s">
        <v>45</v>
      </c>
      <c r="W281" s="88" t="s">
        <v>273</v>
      </c>
      <c r="X281" s="88" t="s">
        <v>287</v>
      </c>
      <c r="Y281" s="463" t="s">
        <v>301</v>
      </c>
      <c r="Z281" s="463" t="s">
        <v>301</v>
      </c>
      <c r="AA281" s="463" t="s">
        <v>301</v>
      </c>
      <c r="AB281" s="88" t="s">
        <v>327</v>
      </c>
      <c r="AC281" s="88" t="s">
        <v>332</v>
      </c>
      <c r="AD281" s="88" t="s">
        <v>336</v>
      </c>
      <c r="AE281" s="88" t="s">
        <v>344</v>
      </c>
      <c r="AF281" s="1"/>
    </row>
    <row r="282" spans="1:32" ht="14.25" customHeight="1" thickTop="1" x14ac:dyDescent="0.2">
      <c r="A282" s="465" t="s">
        <v>10</v>
      </c>
      <c r="B282" s="463" t="s">
        <v>81</v>
      </c>
      <c r="C282" s="463" t="s">
        <v>105</v>
      </c>
      <c r="D282" s="463" t="s">
        <v>111</v>
      </c>
      <c r="E282" s="463" t="s">
        <v>122</v>
      </c>
      <c r="F282" s="463" t="s">
        <v>132</v>
      </c>
      <c r="G282" s="463" t="s">
        <v>143</v>
      </c>
      <c r="H282" s="463" t="s">
        <v>164</v>
      </c>
      <c r="I282" s="463" t="s">
        <v>171</v>
      </c>
      <c r="J282" s="463" t="s">
        <v>175</v>
      </c>
      <c r="K282" s="463" t="s">
        <v>183</v>
      </c>
      <c r="L282" s="463" t="s">
        <v>198</v>
      </c>
      <c r="M282" s="463" t="s">
        <v>204</v>
      </c>
      <c r="N282" s="1"/>
      <c r="O282" s="463" t="s">
        <v>229</v>
      </c>
      <c r="P282" s="463" t="s">
        <v>234</v>
      </c>
      <c r="Q282" s="463" t="s">
        <v>243</v>
      </c>
      <c r="R282" s="463" t="s">
        <v>252</v>
      </c>
      <c r="S282" s="463" t="s">
        <v>257</v>
      </c>
      <c r="T282" s="463" t="s">
        <v>261</v>
      </c>
      <c r="U282" s="463" t="s">
        <v>264</v>
      </c>
      <c r="V282" s="463" t="s">
        <v>269</v>
      </c>
      <c r="W282" s="463" t="s">
        <v>274</v>
      </c>
      <c r="X282" s="463" t="s">
        <v>288</v>
      </c>
      <c r="Y282" s="463" t="s">
        <v>302</v>
      </c>
      <c r="Z282" s="463" t="s">
        <v>317</v>
      </c>
      <c r="AA282" s="463" t="s">
        <v>321</v>
      </c>
      <c r="AB282" s="463" t="s">
        <v>328</v>
      </c>
      <c r="AC282" s="463" t="s">
        <v>333</v>
      </c>
      <c r="AD282" s="463" t="s">
        <v>337</v>
      </c>
      <c r="AE282" s="463" t="s">
        <v>344</v>
      </c>
      <c r="AF282" s="1"/>
    </row>
    <row r="283" spans="1:32" ht="13.5" thickBot="1" x14ac:dyDescent="0.25">
      <c r="A283" s="466"/>
      <c r="B283" s="463"/>
      <c r="C283" s="463"/>
      <c r="D283" s="463"/>
      <c r="E283" s="463"/>
      <c r="F283" s="463"/>
      <c r="G283" s="463"/>
      <c r="H283" s="463"/>
      <c r="I283" s="463"/>
      <c r="J283" s="463"/>
      <c r="K283" s="463"/>
      <c r="L283" s="463"/>
      <c r="M283" s="463"/>
      <c r="N283" s="1"/>
      <c r="O283" s="463"/>
      <c r="P283" s="463"/>
      <c r="Q283" s="463"/>
      <c r="R283" s="463"/>
      <c r="S283" s="463"/>
      <c r="T283" s="463"/>
      <c r="U283" s="463"/>
      <c r="V283" s="463"/>
      <c r="W283" s="463"/>
      <c r="X283" s="463"/>
      <c r="Y283" s="463"/>
      <c r="Z283" s="463"/>
      <c r="AA283" s="463"/>
      <c r="AB283" s="463"/>
      <c r="AC283" s="463"/>
      <c r="AD283" s="463"/>
      <c r="AE283" s="463"/>
      <c r="AF283" s="1"/>
    </row>
    <row r="284" spans="1:32" ht="18" thickTop="1" thickBot="1" x14ac:dyDescent="0.25">
      <c r="A284" s="46" t="s">
        <v>13</v>
      </c>
      <c r="B284" s="52">
        <f>IFERROR(X22*H22,"0")+IFERROR(X23*H23,"0")+IFERROR(X24*H24,"0")+IFERROR(X25*H25,"0")+IFERROR(X26*H26,"0")+IFERROR(X27*H27,"0")+IFERROR(X28*H28,"0")+IFERROR(X29*H29,"0")</f>
        <v>0</v>
      </c>
      <c r="C284" s="52">
        <f>IFERROR(X34*H34,"0")+IFERROR(X35*H35,"0")</f>
        <v>0</v>
      </c>
      <c r="D284" s="52">
        <f>IFERROR(X41*H41,"0")+IFERROR(X42*H42,"0")</f>
        <v>210</v>
      </c>
      <c r="E284" s="52">
        <f>IFERROR(X47*H47,"0")+IFERROR(X48*H48,"0")+IFERROR(X49*H49,"0")</f>
        <v>0</v>
      </c>
      <c r="F284" s="52">
        <f>IFERROR(X54*H54,"0")+IFERROR(X55*H55,"0")+IFERROR(X56*H56,"0")+IFERROR(X57*H57,"0")</f>
        <v>0</v>
      </c>
      <c r="G284" s="52">
        <f>IFERROR(X62*H62,"0")+IFERROR(X66*H66,"0")+IFERROR(X70*H70,"0")+IFERROR(X71*H71,"0")+IFERROR(X75*H75,"0")+IFERROR(X76*H76,"0")+IFERROR(X77*H77,"0")</f>
        <v>0</v>
      </c>
      <c r="H284" s="52">
        <f>IFERROR(X82*H82,"0")+IFERROR(X83*H83,"0")</f>
        <v>0</v>
      </c>
      <c r="I284" s="52">
        <f>IFERROR(X88*H88,"0")</f>
        <v>50.4</v>
      </c>
      <c r="J284" s="52">
        <f>IFERROR(X93*H93,"0")+IFERROR(X94*H94,"0")</f>
        <v>302.39999999999998</v>
      </c>
      <c r="K284" s="52">
        <f>IFERROR(X99*H99,"0")+IFERROR(X100*H100,"0")+IFERROR(X101*H101,"0")+IFERROR(X102*H102,"0")+IFERROR(X103*H103,"0")+IFERROR(X104*H104,"0")</f>
        <v>582.95999999999992</v>
      </c>
      <c r="L284" s="52">
        <f>IFERROR(X109*H109,"0")+IFERROR(X110*H110,"0")</f>
        <v>0</v>
      </c>
      <c r="M284" s="52">
        <f>IFERROR(X115*H115,"0")+IFERROR(X116*H116,"0")+IFERROR(X117*H117,"0")+IFERROR(X118*H118,"0")+IFERROR(X119*H119,"0")+IFERROR(X120*H120,"0")+IFERROR(X121*H121,"0")+IFERROR(X125*H125,"0")+IFERROR(X129*H129,"0")</f>
        <v>76.800000000000011</v>
      </c>
      <c r="N284" s="1"/>
      <c r="O284" s="52">
        <f>IFERROR(X134*H134,"0")</f>
        <v>0</v>
      </c>
      <c r="P284" s="52">
        <f>IFERROR(X139*H139,"0")+IFERROR(X140*H140,"0")+IFERROR(X141*H141,"0")</f>
        <v>630</v>
      </c>
      <c r="Q284" s="52">
        <f>IFERROR(X146*H146,"0")+IFERROR(X147*H147,"0")+IFERROR(X148*H148,"0")</f>
        <v>84</v>
      </c>
      <c r="R284" s="52">
        <f>IFERROR(X153*H153,"0")+IFERROR(X154*H154,"0")</f>
        <v>168</v>
      </c>
      <c r="S284" s="52">
        <f>IFERROR(X159*H159,"0")</f>
        <v>42</v>
      </c>
      <c r="T284" s="52">
        <f>IFERROR(X164*H164,"0")</f>
        <v>0</v>
      </c>
      <c r="U284" s="52">
        <f>IFERROR(X169*H169,"0")</f>
        <v>0</v>
      </c>
      <c r="V284" s="52">
        <f>IFERROR(X174*H174,"0")</f>
        <v>164.64</v>
      </c>
      <c r="W284" s="52">
        <f>IFERROR(X180*H180,"0")+IFERROR(X181*H181,"0")+IFERROR(X185*H185,"0")+IFERROR(X186*H186,"0")</f>
        <v>0</v>
      </c>
      <c r="X284" s="52">
        <f>IFERROR(X192*H192,"0")+IFERROR(X193*H193,"0")+IFERROR(X194*H194,"0")+IFERROR(X195*H195,"0")</f>
        <v>210</v>
      </c>
      <c r="Y284" s="52">
        <f>IFERROR(X201*H201,"0")+IFERROR(X205*H205,"0")+IFERROR(X206*H206,"0")+IFERROR(X207*H207,"0")+IFERROR(X208*H208,"0")</f>
        <v>0</v>
      </c>
      <c r="Z284" s="52">
        <f>IFERROR(X213*H213,"0")</f>
        <v>0</v>
      </c>
      <c r="AA284" s="52">
        <f>IFERROR(X218*H218,"0")+IFERROR(X219*H219,"0")</f>
        <v>0</v>
      </c>
      <c r="AB284" s="52">
        <f>IFERROR(X225*H225,"0")</f>
        <v>0</v>
      </c>
      <c r="AC284" s="52">
        <f>IFERROR(X231*H231,"0")</f>
        <v>0</v>
      </c>
      <c r="AD284" s="52">
        <f>IFERROR(X237*H237,"0")+IFERROR(X241*H241,"0")</f>
        <v>0</v>
      </c>
      <c r="AE284" s="52">
        <f>IFERROR(X247*H247,"0")+IFERROR(X248*H248,"0")+IFERROR(X252*H252,"0")+IFERROR(X256*H256,"0")+IFERROR(X257*H257,"0")+IFERROR(X258*H258,"0")+IFERROR(X262*H262,"0")+IFERROR(X263*H263,"0")+IFERROR(X264*H264,"0")+IFERROR(X265*H265,"0")+IFERROR(X266*H266,"0")+IFERROR(X267*H267,"0")+IFERROR(X268*H268,"0")+IFERROR(X269*H269,"0")+IFERROR(X270*H270,"0")+IFERROR(X271*H271,"0")</f>
        <v>8313</v>
      </c>
      <c r="AF284" s="1"/>
    </row>
    <row r="285" spans="1:32" ht="13.5" thickTop="1" x14ac:dyDescent="0.2">
      <c r="C285" s="1"/>
    </row>
    <row r="286" spans="1:32" ht="19.5" customHeight="1" x14ac:dyDescent="0.2">
      <c r="A286" s="70" t="s">
        <v>62</v>
      </c>
      <c r="B286" s="70" t="s">
        <v>63</v>
      </c>
      <c r="C286" s="70" t="s">
        <v>65</v>
      </c>
    </row>
    <row r="287" spans="1:32" x14ac:dyDescent="0.2">
      <c r="A287" s="71">
        <f>SUMPRODUCT(--(BB:BB="ЗПФ"),--(W:W="кор"),H:H,Y:Y)+SUMPRODUCT(--(BB:BB="ЗПФ"),--(W:W="кг"),Y:Y)</f>
        <v>76.800000000000011</v>
      </c>
      <c r="B287" s="72">
        <f>SUMPRODUCT(--(BB:BB="ПГП"),--(W:W="кор"),H:H,Y:Y)+SUMPRODUCT(--(BB:BB="ПГП"),--(W:W="кг"),Y:Y)</f>
        <v>10757.4</v>
      </c>
      <c r="C287" s="72">
        <f>SUMPRODUCT(--(BB:BB="КИЗ"),--(W:W="кор"),H:H,Y:Y)+SUMPRODUCT(--(BB:BB="КИЗ"),--(W:W="кг"),Y:Y)</f>
        <v>0</v>
      </c>
    </row>
  </sheetData>
  <sheetProtection algorithmName="SHA-512" hashValue="LokZT3B5oROWADAB/ZPsjufcQAv4XTigQnCJ/k5/UlN5crkwX5anxyxDOplxPMfXP2rMVecTb2vkSzNVwrRyUw==" saltValue="wnK8SCu70W86nLuFzjfw/Q==" spinCount="100000" sheet="1" objects="1" scenarios="1" sort="0" autoFilter="0" pivotTables="0"/>
  <autoFilter ref="A18:AF27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68,00"/>
        <filter val="1 642,00"/>
        <filter val="10 834,20"/>
        <filter val="11 767,61"/>
        <filter val="112,00"/>
        <filter val="12 542,61"/>
        <filter val="12,00"/>
        <filter val="14,00"/>
        <filter val="140,00"/>
        <filter val="164,64"/>
        <filter val="168,00"/>
        <filter val="196,00"/>
        <filter val="2 806,00"/>
        <filter val="210,00"/>
        <filter val="228,00"/>
        <filter val="28,00"/>
        <filter val="280,00"/>
        <filter val="302,40"/>
        <filter val="31"/>
        <filter val="42,00"/>
        <filter val="50,40"/>
        <filter val="504,00"/>
        <filter val="56,00"/>
        <filter val="582,96"/>
        <filter val="6 945,00"/>
        <filter val="630,00"/>
        <filter val="70,00"/>
        <filter val="76,80"/>
        <filter val="84,00"/>
        <filter val="98,00"/>
      </filters>
    </filterColumn>
    <filterColumn colId="29" showButton="0"/>
    <filterColumn colId="30" showButton="0"/>
  </autoFilter>
  <dataConsolidate/>
  <mergeCells count="498">
    <mergeCell ref="W282:W283"/>
    <mergeCell ref="X282:X283"/>
    <mergeCell ref="Y282:Y283"/>
    <mergeCell ref="Z282:Z283"/>
    <mergeCell ref="AA282:AA283"/>
    <mergeCell ref="AB282:AB283"/>
    <mergeCell ref="AC282:AC283"/>
    <mergeCell ref="AD282:AD283"/>
    <mergeCell ref="AE282:AE283"/>
    <mergeCell ref="B281:C281"/>
    <mergeCell ref="D281:V281"/>
    <mergeCell ref="Y281:AA281"/>
    <mergeCell ref="A282:A283"/>
    <mergeCell ref="B282:B283"/>
    <mergeCell ref="C282:C283"/>
    <mergeCell ref="D282:D283"/>
    <mergeCell ref="E282:E283"/>
    <mergeCell ref="F282:F283"/>
    <mergeCell ref="G282:G283"/>
    <mergeCell ref="H282:H283"/>
    <mergeCell ref="I282:I283"/>
    <mergeCell ref="J282:J283"/>
    <mergeCell ref="K282:K283"/>
    <mergeCell ref="L282:L283"/>
    <mergeCell ref="M282:M283"/>
    <mergeCell ref="O282:O283"/>
    <mergeCell ref="P282:P283"/>
    <mergeCell ref="Q282:Q283"/>
    <mergeCell ref="R282:R283"/>
    <mergeCell ref="S282:S283"/>
    <mergeCell ref="T282:T283"/>
    <mergeCell ref="U282:U283"/>
    <mergeCell ref="V282:V283"/>
    <mergeCell ref="D271:E271"/>
    <mergeCell ref="P271:T271"/>
    <mergeCell ref="P272:V272"/>
    <mergeCell ref="A272:O273"/>
    <mergeCell ref="P273:V273"/>
    <mergeCell ref="P274:V274"/>
    <mergeCell ref="A274:O279"/>
    <mergeCell ref="P275:V275"/>
    <mergeCell ref="P276:V276"/>
    <mergeCell ref="P277:V277"/>
    <mergeCell ref="P278:V278"/>
    <mergeCell ref="P279:V279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A255:Z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P249:V249"/>
    <mergeCell ref="A249:O250"/>
    <mergeCell ref="P250:V250"/>
    <mergeCell ref="A251:Z251"/>
    <mergeCell ref="D252:E252"/>
    <mergeCell ref="P252:T252"/>
    <mergeCell ref="P253:V253"/>
    <mergeCell ref="A253:O254"/>
    <mergeCell ref="P254:V254"/>
    <mergeCell ref="P242:V242"/>
    <mergeCell ref="A242:O243"/>
    <mergeCell ref="P243:V243"/>
    <mergeCell ref="A244:Z244"/>
    <mergeCell ref="A245:Z245"/>
    <mergeCell ref="A246:Z246"/>
    <mergeCell ref="D247:E247"/>
    <mergeCell ref="P247:T247"/>
    <mergeCell ref="D248:E248"/>
    <mergeCell ref="P248:T248"/>
    <mergeCell ref="A236:Z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A229:Z229"/>
    <mergeCell ref="A230:Z230"/>
    <mergeCell ref="D231:E231"/>
    <mergeCell ref="P231:T231"/>
    <mergeCell ref="P232:V232"/>
    <mergeCell ref="A232:O233"/>
    <mergeCell ref="P233:V233"/>
    <mergeCell ref="A234:Z234"/>
    <mergeCell ref="A235:Z235"/>
    <mergeCell ref="A222:Z222"/>
    <mergeCell ref="A223:Z223"/>
    <mergeCell ref="A224:Z224"/>
    <mergeCell ref="D225:E225"/>
    <mergeCell ref="P225:T225"/>
    <mergeCell ref="P226:V226"/>
    <mergeCell ref="A226:O227"/>
    <mergeCell ref="P227:V227"/>
    <mergeCell ref="A228:Z228"/>
    <mergeCell ref="A216:Z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P209:V209"/>
    <mergeCell ref="A209:O210"/>
    <mergeCell ref="P210:V210"/>
    <mergeCell ref="A211:Z211"/>
    <mergeCell ref="A212:Z212"/>
    <mergeCell ref="D213:E213"/>
    <mergeCell ref="P213:T213"/>
    <mergeCell ref="P214:V214"/>
    <mergeCell ref="A214:O215"/>
    <mergeCell ref="P215:V215"/>
    <mergeCell ref="A204:Z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196:V196"/>
    <mergeCell ref="A196:O197"/>
    <mergeCell ref="P197:V197"/>
    <mergeCell ref="A198:Z198"/>
    <mergeCell ref="A199:Z199"/>
    <mergeCell ref="A200:Z200"/>
    <mergeCell ref="D201:E201"/>
    <mergeCell ref="P201:T201"/>
    <mergeCell ref="P202:V202"/>
    <mergeCell ref="A202:O203"/>
    <mergeCell ref="P203:V203"/>
    <mergeCell ref="A190:Z190"/>
    <mergeCell ref="A191:Z191"/>
    <mergeCell ref="D192:E192"/>
    <mergeCell ref="P192:T192"/>
    <mergeCell ref="D193:E193"/>
    <mergeCell ref="P193:T193"/>
    <mergeCell ref="D194:E194"/>
    <mergeCell ref="P194:T194"/>
    <mergeCell ref="D195:E195"/>
    <mergeCell ref="P195:T195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A177:Z177"/>
    <mergeCell ref="A178:Z178"/>
    <mergeCell ref="A179:Z179"/>
    <mergeCell ref="D180:E180"/>
    <mergeCell ref="P180:T180"/>
    <mergeCell ref="D181:E181"/>
    <mergeCell ref="P181:T181"/>
    <mergeCell ref="P182:V182"/>
    <mergeCell ref="A182:O183"/>
    <mergeCell ref="P183:V183"/>
    <mergeCell ref="P170:V170"/>
    <mergeCell ref="A170:O171"/>
    <mergeCell ref="P171:V171"/>
    <mergeCell ref="A172:Z172"/>
    <mergeCell ref="A173:Z173"/>
    <mergeCell ref="D174:E174"/>
    <mergeCell ref="P174:T174"/>
    <mergeCell ref="P175:V175"/>
    <mergeCell ref="A175:O176"/>
    <mergeCell ref="P176:V176"/>
    <mergeCell ref="D164:E164"/>
    <mergeCell ref="P164:T164"/>
    <mergeCell ref="P165:V165"/>
    <mergeCell ref="A165:O166"/>
    <mergeCell ref="P166:V166"/>
    <mergeCell ref="A167:Z167"/>
    <mergeCell ref="A168:Z168"/>
    <mergeCell ref="D169:E169"/>
    <mergeCell ref="P169:T169"/>
    <mergeCell ref="A157:Z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A151:Z151"/>
    <mergeCell ref="A152:Z152"/>
    <mergeCell ref="D153:E153"/>
    <mergeCell ref="P153:T153"/>
    <mergeCell ref="D154:E154"/>
    <mergeCell ref="P154:T154"/>
    <mergeCell ref="P155:V155"/>
    <mergeCell ref="A155:O156"/>
    <mergeCell ref="P156:V156"/>
    <mergeCell ref="A144:Z144"/>
    <mergeCell ref="A145:Z145"/>
    <mergeCell ref="D146:E146"/>
    <mergeCell ref="P146:T146"/>
    <mergeCell ref="D147:E147"/>
    <mergeCell ref="P147:T147"/>
    <mergeCell ref="D148:E148"/>
    <mergeCell ref="P148:T148"/>
    <mergeCell ref="P149:V149"/>
    <mergeCell ref="A149:O150"/>
    <mergeCell ref="P150:V150"/>
    <mergeCell ref="A137:Z137"/>
    <mergeCell ref="A138:Z138"/>
    <mergeCell ref="D139:E139"/>
    <mergeCell ref="P139:T139"/>
    <mergeCell ref="D140:E140"/>
    <mergeCell ref="P140:T140"/>
    <mergeCell ref="D141:E141"/>
    <mergeCell ref="P141:T141"/>
    <mergeCell ref="P142:V142"/>
    <mergeCell ref="A142:O143"/>
    <mergeCell ref="P143:V143"/>
    <mergeCell ref="P130:V130"/>
    <mergeCell ref="A130:O131"/>
    <mergeCell ref="P131:V131"/>
    <mergeCell ref="A132:Z132"/>
    <mergeCell ref="A133:Z133"/>
    <mergeCell ref="D134:E134"/>
    <mergeCell ref="P134:T134"/>
    <mergeCell ref="P135:V135"/>
    <mergeCell ref="A135:O136"/>
    <mergeCell ref="P136:V136"/>
    <mergeCell ref="A124:Z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D119:E119"/>
    <mergeCell ref="P119:T119"/>
    <mergeCell ref="D120:E120"/>
    <mergeCell ref="P120:T120"/>
    <mergeCell ref="D121:E121"/>
    <mergeCell ref="P121:T121"/>
    <mergeCell ref="P122:V122"/>
    <mergeCell ref="A122:O123"/>
    <mergeCell ref="P123:V123"/>
    <mergeCell ref="A113:Z113"/>
    <mergeCell ref="A114:Z114"/>
    <mergeCell ref="D115:E115"/>
    <mergeCell ref="P115:T115"/>
    <mergeCell ref="D116:E116"/>
    <mergeCell ref="P116:T116"/>
    <mergeCell ref="D117:E117"/>
    <mergeCell ref="P117:T117"/>
    <mergeCell ref="D118:E118"/>
    <mergeCell ref="P118:T118"/>
    <mergeCell ref="A107:Z107"/>
    <mergeCell ref="A108:Z108"/>
    <mergeCell ref="D109:E109"/>
    <mergeCell ref="P109:T109"/>
    <mergeCell ref="D110:E110"/>
    <mergeCell ref="P110:T110"/>
    <mergeCell ref="P111:V111"/>
    <mergeCell ref="A111:O112"/>
    <mergeCell ref="P112:V112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P95:V95"/>
    <mergeCell ref="A95:O96"/>
    <mergeCell ref="P96:V96"/>
    <mergeCell ref="A97:Z97"/>
    <mergeCell ref="A98:Z98"/>
    <mergeCell ref="D99:E99"/>
    <mergeCell ref="P99:T99"/>
    <mergeCell ref="D100:E100"/>
    <mergeCell ref="P100:T100"/>
    <mergeCell ref="P89:V89"/>
    <mergeCell ref="A89:O90"/>
    <mergeCell ref="P90:V90"/>
    <mergeCell ref="A91:Z91"/>
    <mergeCell ref="A92:Z92"/>
    <mergeCell ref="D93:E93"/>
    <mergeCell ref="P93:T93"/>
    <mergeCell ref="D94:E94"/>
    <mergeCell ref="P94:T94"/>
    <mergeCell ref="D83:E83"/>
    <mergeCell ref="P83:T83"/>
    <mergeCell ref="P84:V84"/>
    <mergeCell ref="A84:O85"/>
    <mergeCell ref="P85:V85"/>
    <mergeCell ref="A86:Z86"/>
    <mergeCell ref="A87:Z87"/>
    <mergeCell ref="D88:E88"/>
    <mergeCell ref="P88:T88"/>
    <mergeCell ref="D77:E77"/>
    <mergeCell ref="P77:T77"/>
    <mergeCell ref="P78:V78"/>
    <mergeCell ref="A78:O79"/>
    <mergeCell ref="P79:V79"/>
    <mergeCell ref="A80:Z80"/>
    <mergeCell ref="A81:Z81"/>
    <mergeCell ref="D82:E82"/>
    <mergeCell ref="P82:T82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A65:Z65"/>
    <mergeCell ref="D66:E66"/>
    <mergeCell ref="P66:T66"/>
    <mergeCell ref="P67:V67"/>
    <mergeCell ref="A67:O68"/>
    <mergeCell ref="P68:V68"/>
    <mergeCell ref="A69:Z69"/>
    <mergeCell ref="D70:E70"/>
    <mergeCell ref="P70:T70"/>
    <mergeCell ref="P58:V58"/>
    <mergeCell ref="A58:O59"/>
    <mergeCell ref="P59:V59"/>
    <mergeCell ref="A60:Z60"/>
    <mergeCell ref="A61:Z61"/>
    <mergeCell ref="D62:E62"/>
    <mergeCell ref="P62:T62"/>
    <mergeCell ref="P63:V63"/>
    <mergeCell ref="A63:O64"/>
    <mergeCell ref="P64:V64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A45:Z45"/>
    <mergeCell ref="A46:Z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38:Z38"/>
    <mergeCell ref="A39:Z39"/>
    <mergeCell ref="A40:Z40"/>
    <mergeCell ref="D41:E41"/>
    <mergeCell ref="P41:T41"/>
    <mergeCell ref="D42:E42"/>
    <mergeCell ref="P42:T42"/>
    <mergeCell ref="P43:V43"/>
    <mergeCell ref="A43:O44"/>
    <mergeCell ref="P44:V44"/>
    <mergeCell ref="A32:Z32"/>
    <mergeCell ref="A33:Z33"/>
    <mergeCell ref="D34:E34"/>
    <mergeCell ref="P34:T34"/>
    <mergeCell ref="D35:E35"/>
    <mergeCell ref="P35:T35"/>
    <mergeCell ref="P36:V36"/>
    <mergeCell ref="A36:O37"/>
    <mergeCell ref="P37:V37"/>
    <mergeCell ref="D26:E26"/>
    <mergeCell ref="P26:T26"/>
    <mergeCell ref="D27:E27"/>
    <mergeCell ref="P27:T27"/>
    <mergeCell ref="D28:E28"/>
    <mergeCell ref="P28:T28"/>
    <mergeCell ref="D29:E29"/>
    <mergeCell ref="P29:T29"/>
    <mergeCell ref="P30:V30"/>
    <mergeCell ref="A30:O31"/>
    <mergeCell ref="P31:V31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6" stopIfTrue="1">
      <formula>IF($V$5="самовывоз",1,0)</formula>
    </cfRule>
  </conditionalFormatting>
  <conditionalFormatting sqref="H9:I9">
    <cfRule type="expression" dxfId="7" priority="9" stopIfTrue="1">
      <formula>IF($V$5="самовывоз",1,0)</formula>
    </cfRule>
  </conditionalFormatting>
  <conditionalFormatting sqref="F9:G9">
    <cfRule type="expression" dxfId="6" priority="8" stopIfTrue="1">
      <formula>IF($V$5="самовывоз",1,0)</formula>
    </cfRule>
  </conditionalFormatting>
  <conditionalFormatting sqref="F10:G10">
    <cfRule type="expression" dxfId="5" priority="7" stopIfTrue="1">
      <formula>IF($V$5="самовывоз",1,0)</formula>
    </cfRule>
  </conditionalFormatting>
  <conditionalFormatting sqref="D9:E9">
    <cfRule type="expression" dxfId="4" priority="6" stopIfTrue="1">
      <formula>IF($V$5="самовывоз",1,0)</formula>
    </cfRule>
  </conditionalFormatting>
  <conditionalFormatting sqref="D10:E10">
    <cfRule type="expression" dxfId="3" priority="5" stopIfTrue="1">
      <formula>IF($V$5="самовывоз",1,0)</formula>
    </cfRule>
  </conditionalFormatting>
  <conditionalFormatting sqref="P8 P6:R6 P5">
    <cfRule type="expression" dxfId="2" priority="4" stopIfTrue="1">
      <formula>IF($V$5="доставка",1,0)</formula>
    </cfRule>
  </conditionalFormatting>
  <conditionalFormatting sqref="Q8:R8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68:X271 X262:X263 X258 X247:X248 X241 X237 X231 X225 X218:X219 X207 X205 X195 X185:X186 X180 X169 X153 X146:X147 X139 X134 X129 X125 X119 X116 X75:X77 X70:X71 X66 X62 X34:X35 X22:X29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264:X267 X256:X257 X252 X213 X208 X206 X201 X192:X194 X181 X174 X164 X159 X154 X148 X140:X141 X120:X121 X117:X118 X115 X109:X110 X99:X104 X93:X94 X88 X82:X83 X54:X57 X47:X49 X41:X42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382</v>
      </c>
      <c r="H1" s="9"/>
    </row>
    <row r="3" spans="2:8" x14ac:dyDescent="0.2">
      <c r="B3" s="53" t="s">
        <v>383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384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79</v>
      </c>
      <c r="C6" s="53" t="s">
        <v>385</v>
      </c>
      <c r="D6" s="53" t="s">
        <v>386</v>
      </c>
      <c r="E6" s="53" t="s">
        <v>46</v>
      </c>
    </row>
    <row r="8" spans="2:8" x14ac:dyDescent="0.2">
      <c r="B8" s="53" t="s">
        <v>80</v>
      </c>
      <c r="C8" s="53" t="s">
        <v>385</v>
      </c>
      <c r="D8" s="53" t="s">
        <v>46</v>
      </c>
      <c r="E8" s="53" t="s">
        <v>46</v>
      </c>
    </row>
    <row r="10" spans="2:8" x14ac:dyDescent="0.2">
      <c r="B10" s="53" t="s">
        <v>387</v>
      </c>
      <c r="C10" s="53" t="s">
        <v>46</v>
      </c>
      <c r="D10" s="53" t="s">
        <v>46</v>
      </c>
      <c r="E10" s="53" t="s">
        <v>46</v>
      </c>
    </row>
    <row r="11" spans="2:8" x14ac:dyDescent="0.2">
      <c r="B11" s="53" t="s">
        <v>388</v>
      </c>
      <c r="C11" s="53" t="s">
        <v>46</v>
      </c>
      <c r="D11" s="53" t="s">
        <v>46</v>
      </c>
      <c r="E11" s="53" t="s">
        <v>46</v>
      </c>
    </row>
    <row r="12" spans="2:8" x14ac:dyDescent="0.2">
      <c r="B12" s="53" t="s">
        <v>389</v>
      </c>
      <c r="C12" s="53" t="s">
        <v>46</v>
      </c>
      <c r="D12" s="53" t="s">
        <v>46</v>
      </c>
      <c r="E12" s="53" t="s">
        <v>46</v>
      </c>
    </row>
    <row r="13" spans="2:8" x14ac:dyDescent="0.2">
      <c r="B13" s="53" t="s">
        <v>390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391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392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393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394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395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396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397</v>
      </c>
      <c r="C20" s="53" t="s">
        <v>46</v>
      </c>
      <c r="D20" s="53" t="s">
        <v>46</v>
      </c>
      <c r="E20" s="53" t="s">
        <v>46</v>
      </c>
    </row>
  </sheetData>
  <sheetProtection algorithmName="SHA-512" hashValue="M+0HG6AYhLz/IPQu35iNIAjXw56gNLIOxgVQwIqgcPgU4UZ6wZO/2Go9LrSRDK3Mg2qBxlw+XUfMjHCSYnPK1w==" saltValue="ftqWCbYj8Z7Dv/S87Dzfd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429</vt:i4>
      </vt:variant>
    </vt:vector>
  </HeadingPairs>
  <TitlesOfParts>
    <vt:vector size="4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Proxy</vt:lpstr>
      <vt:lpstr>Ref_UnloadCodeAdressList0001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2026-08-14T12:05:55Z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