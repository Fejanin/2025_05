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A803F6-1CFF-48F2-9652-1F53D182B29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55" i="2" l="1"/>
  <c r="Y412" i="2"/>
  <c r="Z428" i="2"/>
  <c r="BN472" i="2"/>
  <c r="BN214" i="2"/>
  <c r="BN402" i="2"/>
  <c r="Z134" i="2"/>
  <c r="Z373" i="2"/>
  <c r="BN30" i="2"/>
  <c r="Z90" i="2"/>
  <c r="BP202" i="2"/>
  <c r="Y262" i="2"/>
  <c r="BN446" i="2"/>
  <c r="BN284" i="2"/>
  <c r="BN373" i="2"/>
  <c r="BN288" i="2"/>
  <c r="Y151" i="2"/>
  <c r="BN155" i="2"/>
  <c r="Z167" i="2"/>
  <c r="BN231" i="2"/>
  <c r="BN304" i="2"/>
  <c r="BN28" i="2"/>
  <c r="BN115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24" i="2" l="1"/>
  <c r="Z418" i="2"/>
  <c r="Z405" i="2"/>
  <c r="Z369" i="2"/>
  <c r="Z32" i="2"/>
  <c r="Z150" i="2"/>
  <c r="Z386" i="2"/>
  <c r="Z251" i="2"/>
  <c r="Z322" i="2"/>
  <c r="Z338" i="2"/>
  <c r="Z411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<sst xmlns="http://schemas.openxmlformats.org/spreadsheetml/2006/main" count="4194" uniqueCount="891">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</sst>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46242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Суббота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0.41666666666666669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550</v>
      </c>
      <c r="Y424" s="53">
        <f t="shared" si="52"/>
        <v>555</v>
      </c>
      <c r="Z424" s="39">
        <f>IFERROR(IF(Y424=0,"",ROUNDUP(Y424/H424,0)*0.02175),"")</f>
        <v>0.80474999999999997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567.23333333333335</v>
      </c>
      <c r="BN424" s="75">
        <f t="shared" si="54"/>
        <v>572.39</v>
      </c>
      <c r="BO424" s="75">
        <f t="shared" si="55"/>
        <v>0.76388888888888884</v>
      </c>
      <c r="BP424" s="75">
        <f t="shared" si="56"/>
        <v>0.77083333333333326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550</v>
      </c>
      <c r="Y426" s="53">
        <f t="shared" si="52"/>
        <v>555</v>
      </c>
      <c r="Z426" s="39">
        <f>IFERROR(IF(Y426=0,"",ROUNDUP(Y426/H426,0)*0.02175),"")</f>
        <v>0.80474999999999997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567.23333333333335</v>
      </c>
      <c r="BN426" s="75">
        <f t="shared" si="54"/>
        <v>572.39</v>
      </c>
      <c r="BO426" s="75">
        <f t="shared" si="55"/>
        <v>0.76388888888888884</v>
      </c>
      <c r="BP426" s="75">
        <f t="shared" si="56"/>
        <v>0.77083333333333326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73.333333333333329</v>
      </c>
      <c r="Y431" s="41">
        <f>IFERROR(Y423/H423,"0")+IFERROR(Y424/H424,"0")+IFERROR(Y425/H425,"0")+IFERROR(Y426/H426,"0")+IFERROR(Y427/H427,"0")+IFERROR(Y428/H428,"0")+IFERROR(Y429/H429,"0")+IFERROR(Y430/H430,"0")</f>
        <v>74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1.6094999999999999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1100</v>
      </c>
      <c r="Y432" s="41">
        <f>IFERROR(SUM(Y423:Y430),"0")</f>
        <v>1110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1100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1110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1134.4666666666667</v>
      </c>
      <c r="Y552" s="41">
        <f>IFERROR(SUM(BN22:BN548),"0")</f>
        <v>1144.78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2</v>
      </c>
      <c r="Y553" s="42">
        <f>ROUNDUP(SUM(BP22:BP548),0)</f>
        <v>2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1184.4666666666667</v>
      </c>
      <c r="Y554" s="41">
        <f>GrossWeightTotalR+PalletQtyTotalR*25</f>
        <v>1194.78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73.333333333333329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74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1.6094999999999999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1110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34,47"/>
        <filter val="1 184,47"/>
        <filter val="2"/>
        <filter val="550,00"/>
        <filter val="73,33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2026-08-08T06:20:02Z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