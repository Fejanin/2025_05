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7E8B6BF-7685-4AD3-B113-46547FB55C1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N541" i="1" s="1"/>
  <c r="P541" i="1"/>
  <c r="X539" i="1"/>
  <c r="X538" i="1"/>
  <c r="BP537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P529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O503" i="1"/>
  <c r="BM503" i="1"/>
  <c r="Y503" i="1"/>
  <c r="BP503" i="1" s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O499" i="1"/>
  <c r="BM499" i="1"/>
  <c r="Z499" i="1"/>
  <c r="Y499" i="1"/>
  <c r="BN499" i="1" s="1"/>
  <c r="P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BN495" i="1" s="1"/>
  <c r="P495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BP487" i="1" s="1"/>
  <c r="P487" i="1"/>
  <c r="X485" i="1"/>
  <c r="X484" i="1"/>
  <c r="BO483" i="1"/>
  <c r="BM483" i="1"/>
  <c r="Z483" i="1"/>
  <c r="Z484" i="1" s="1"/>
  <c r="Y483" i="1"/>
  <c r="Y485" i="1" s="1"/>
  <c r="P483" i="1"/>
  <c r="X480" i="1"/>
  <c r="Y479" i="1"/>
  <c r="X479" i="1"/>
  <c r="BO478" i="1"/>
  <c r="BM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BP440" i="1" s="1"/>
  <c r="P440" i="1"/>
  <c r="BO439" i="1"/>
  <c r="BM439" i="1"/>
  <c r="Y439" i="1"/>
  <c r="P439" i="1"/>
  <c r="X437" i="1"/>
  <c r="X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P408" i="1"/>
  <c r="BO407" i="1"/>
  <c r="BM407" i="1"/>
  <c r="Y407" i="1"/>
  <c r="BN407" i="1" s="1"/>
  <c r="P407" i="1"/>
  <c r="X405" i="1"/>
  <c r="X404" i="1"/>
  <c r="BO403" i="1"/>
  <c r="BM403" i="1"/>
  <c r="Y403" i="1"/>
  <c r="P403" i="1"/>
  <c r="BO402" i="1"/>
  <c r="BM402" i="1"/>
  <c r="Y402" i="1"/>
  <c r="P402" i="1"/>
  <c r="BO401" i="1"/>
  <c r="BM401" i="1"/>
  <c r="Y401" i="1"/>
  <c r="BP401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Z383" i="1"/>
  <c r="Y383" i="1"/>
  <c r="BN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Z363" i="1"/>
  <c r="Y363" i="1"/>
  <c r="BN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Z329" i="1"/>
  <c r="Y329" i="1"/>
  <c r="BN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P319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P311" i="1"/>
  <c r="BO311" i="1"/>
  <c r="BM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Z305" i="1"/>
  <c r="Y305" i="1"/>
  <c r="BN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X298" i="1"/>
  <c r="X297" i="1"/>
  <c r="BP296" i="1"/>
  <c r="BO296" i="1"/>
  <c r="BM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Z288" i="1"/>
  <c r="Y288" i="1"/>
  <c r="BN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Z280" i="1"/>
  <c r="Y280" i="1"/>
  <c r="BN280" i="1" s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P274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P264" i="1"/>
  <c r="X262" i="1"/>
  <c r="X261" i="1"/>
  <c r="BO260" i="1"/>
  <c r="BM260" i="1"/>
  <c r="Z260" i="1"/>
  <c r="Y260" i="1"/>
  <c r="BN260" i="1" s="1"/>
  <c r="P260" i="1"/>
  <c r="BO259" i="1"/>
  <c r="BM259" i="1"/>
  <c r="Y259" i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O243" i="1"/>
  <c r="BM243" i="1"/>
  <c r="Z243" i="1"/>
  <c r="Y243" i="1"/>
  <c r="BN243" i="1" s="1"/>
  <c r="P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Y245" i="1" s="1"/>
  <c r="P240" i="1"/>
  <c r="X238" i="1"/>
  <c r="X237" i="1"/>
  <c r="BO236" i="1"/>
  <c r="BM236" i="1"/>
  <c r="Y236" i="1"/>
  <c r="BP236" i="1" s="1"/>
  <c r="P236" i="1"/>
  <c r="BO235" i="1"/>
  <c r="BM235" i="1"/>
  <c r="Z235" i="1"/>
  <c r="Y235" i="1"/>
  <c r="BN235" i="1" s="1"/>
  <c r="P235" i="1"/>
  <c r="BO234" i="1"/>
  <c r="BM234" i="1"/>
  <c r="Y234" i="1"/>
  <c r="BP234" i="1" s="1"/>
  <c r="P234" i="1"/>
  <c r="BO233" i="1"/>
  <c r="BM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N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Z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X221" i="1"/>
  <c r="X220" i="1"/>
  <c r="BO219" i="1"/>
  <c r="BM219" i="1"/>
  <c r="Y219" i="1"/>
  <c r="Y220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N208" i="1" s="1"/>
  <c r="P208" i="1"/>
  <c r="X204" i="1"/>
  <c r="X203" i="1"/>
  <c r="BO202" i="1"/>
  <c r="BM202" i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O192" i="1"/>
  <c r="BM192" i="1"/>
  <c r="Y192" i="1"/>
  <c r="BN192" i="1" s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BN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Y174" i="1" s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BP155" i="1" s="1"/>
  <c r="P155" i="1"/>
  <c r="BO154" i="1"/>
  <c r="BM154" i="1"/>
  <c r="Y154" i="1"/>
  <c r="BN154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BN147" i="1" s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BP140" i="1" s="1"/>
  <c r="P140" i="1"/>
  <c r="BO139" i="1"/>
  <c r="BM139" i="1"/>
  <c r="Y139" i="1"/>
  <c r="BN139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O133" i="1"/>
  <c r="BM133" i="1"/>
  <c r="Y133" i="1"/>
  <c r="BN133" i="1" s="1"/>
  <c r="P133" i="1"/>
  <c r="BO132" i="1"/>
  <c r="BM132" i="1"/>
  <c r="Y132" i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O122" i="1"/>
  <c r="BM122" i="1"/>
  <c r="Y122" i="1"/>
  <c r="P122" i="1"/>
  <c r="BO121" i="1"/>
  <c r="BM121" i="1"/>
  <c r="Y121" i="1"/>
  <c r="BP121" i="1" s="1"/>
  <c r="P121" i="1"/>
  <c r="BO120" i="1"/>
  <c r="BM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P97" i="1"/>
  <c r="BO96" i="1"/>
  <c r="BM96" i="1"/>
  <c r="Y96" i="1"/>
  <c r="BP96" i="1" s="1"/>
  <c r="P96" i="1"/>
  <c r="BO95" i="1"/>
  <c r="BM95" i="1"/>
  <c r="Y95" i="1"/>
  <c r="BN95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N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82" i="1" l="1"/>
  <c r="BN82" i="1"/>
  <c r="BP97" i="1"/>
  <c r="BN97" i="1"/>
  <c r="Z97" i="1"/>
  <c r="BP122" i="1"/>
  <c r="BN122" i="1"/>
  <c r="Z122" i="1"/>
  <c r="BP156" i="1"/>
  <c r="BN156" i="1"/>
  <c r="Z156" i="1"/>
  <c r="BP186" i="1"/>
  <c r="BN186" i="1"/>
  <c r="Z186" i="1"/>
  <c r="BP276" i="1"/>
  <c r="BN276" i="1"/>
  <c r="Z276" i="1"/>
  <c r="BN284" i="1"/>
  <c r="BN301" i="1"/>
  <c r="Y317" i="1"/>
  <c r="Y316" i="1"/>
  <c r="BN315" i="1"/>
  <c r="BP321" i="1"/>
  <c r="BN321" i="1"/>
  <c r="Z321" i="1"/>
  <c r="BN356" i="1"/>
  <c r="Z356" i="1"/>
  <c r="BN401" i="1"/>
  <c r="BN440" i="1"/>
  <c r="BN451" i="1"/>
  <c r="Z451" i="1"/>
  <c r="BN470" i="1"/>
  <c r="BN503" i="1"/>
  <c r="BN509" i="1"/>
  <c r="BP515" i="1"/>
  <c r="BN515" i="1"/>
  <c r="Z515" i="1"/>
  <c r="Y527" i="1"/>
  <c r="Y526" i="1"/>
  <c r="BN525" i="1"/>
  <c r="Y535" i="1"/>
  <c r="Y534" i="1"/>
  <c r="BN533" i="1"/>
  <c r="Z23" i="1"/>
  <c r="BN23" i="1"/>
  <c r="X550" i="1"/>
  <c r="Z35" i="1"/>
  <c r="Z36" i="1" s="1"/>
  <c r="BN35" i="1"/>
  <c r="BP35" i="1"/>
  <c r="Y36" i="1"/>
  <c r="Z41" i="1"/>
  <c r="BN41" i="1"/>
  <c r="Z53" i="1"/>
  <c r="BN53" i="1"/>
  <c r="Z66" i="1"/>
  <c r="BN66" i="1"/>
  <c r="Y74" i="1"/>
  <c r="Z82" i="1"/>
  <c r="BP112" i="1"/>
  <c r="BN112" i="1"/>
  <c r="Z112" i="1"/>
  <c r="BP141" i="1"/>
  <c r="BN141" i="1"/>
  <c r="Z141" i="1"/>
  <c r="BP178" i="1"/>
  <c r="BN178" i="1"/>
  <c r="Z178" i="1"/>
  <c r="BP210" i="1"/>
  <c r="BN210" i="1"/>
  <c r="Z210" i="1"/>
  <c r="BN274" i="1"/>
  <c r="Z274" i="1"/>
  <c r="BN296" i="1"/>
  <c r="Z296" i="1"/>
  <c r="Y313" i="1"/>
  <c r="Z311" i="1"/>
  <c r="Z312" i="1" s="1"/>
  <c r="Y323" i="1"/>
  <c r="Z319" i="1"/>
  <c r="BN351" i="1"/>
  <c r="BP356" i="1"/>
  <c r="BP358" i="1"/>
  <c r="BN358" i="1"/>
  <c r="Z358" i="1"/>
  <c r="BN367" i="1"/>
  <c r="BN373" i="1"/>
  <c r="BP414" i="1"/>
  <c r="BN414" i="1"/>
  <c r="Z414" i="1"/>
  <c r="Z417" i="1" s="1"/>
  <c r="BP422" i="1"/>
  <c r="BN422" i="1"/>
  <c r="Z422" i="1"/>
  <c r="BN428" i="1"/>
  <c r="Z428" i="1"/>
  <c r="BP451" i="1"/>
  <c r="BP461" i="1"/>
  <c r="BN461" i="1"/>
  <c r="Z461" i="1"/>
  <c r="Y510" i="1"/>
  <c r="BN513" i="1"/>
  <c r="Z513" i="1"/>
  <c r="Y531" i="1"/>
  <c r="Z529" i="1"/>
  <c r="Z530" i="1" s="1"/>
  <c r="Y539" i="1"/>
  <c r="Z537" i="1"/>
  <c r="Z538" i="1" s="1"/>
  <c r="J560" i="1"/>
  <c r="BP227" i="1"/>
  <c r="BP235" i="1"/>
  <c r="BP243" i="1"/>
  <c r="BP260" i="1"/>
  <c r="BN270" i="1"/>
  <c r="BP280" i="1"/>
  <c r="BP288" i="1"/>
  <c r="BP305" i="1"/>
  <c r="BP329" i="1"/>
  <c r="BN343" i="1"/>
  <c r="BP363" i="1"/>
  <c r="BP377" i="1"/>
  <c r="BP383" i="1"/>
  <c r="BN395" i="1"/>
  <c r="BN416" i="1"/>
  <c r="BN424" i="1"/>
  <c r="BN478" i="1"/>
  <c r="BP483" i="1"/>
  <c r="BN487" i="1"/>
  <c r="BP499" i="1"/>
  <c r="BN517" i="1"/>
  <c r="X552" i="1"/>
  <c r="Z27" i="1"/>
  <c r="BP27" i="1"/>
  <c r="BN31" i="1"/>
  <c r="Z43" i="1"/>
  <c r="BP43" i="1"/>
  <c r="Z51" i="1"/>
  <c r="BP51" i="1"/>
  <c r="Z60" i="1"/>
  <c r="BP60" i="1"/>
  <c r="BN64" i="1"/>
  <c r="BN70" i="1"/>
  <c r="BN78" i="1"/>
  <c r="Z89" i="1"/>
  <c r="BP89" i="1"/>
  <c r="Z95" i="1"/>
  <c r="BP95" i="1"/>
  <c r="Z104" i="1"/>
  <c r="BP104" i="1"/>
  <c r="BN108" i="1"/>
  <c r="BN114" i="1"/>
  <c r="BN120" i="1"/>
  <c r="Z133" i="1"/>
  <c r="BP133" i="1"/>
  <c r="Z139" i="1"/>
  <c r="BP139" i="1"/>
  <c r="Z147" i="1"/>
  <c r="BP147" i="1"/>
  <c r="Z154" i="1"/>
  <c r="BP154" i="1"/>
  <c r="BN167" i="1"/>
  <c r="BN172" i="1"/>
  <c r="BN180" i="1"/>
  <c r="Z184" i="1"/>
  <c r="BP184" i="1"/>
  <c r="Z192" i="1"/>
  <c r="BP192" i="1"/>
  <c r="BN202" i="1"/>
  <c r="Y203" i="1"/>
  <c r="Z208" i="1"/>
  <c r="BP208" i="1"/>
  <c r="BN212" i="1"/>
  <c r="BN219" i="1"/>
  <c r="Z225" i="1"/>
  <c r="Z233" i="1"/>
  <c r="BN272" i="1"/>
  <c r="BP272" i="1"/>
  <c r="Z272" i="1"/>
  <c r="BN409" i="1"/>
  <c r="BP409" i="1"/>
  <c r="Z409" i="1"/>
  <c r="BN426" i="1"/>
  <c r="BP426" i="1"/>
  <c r="Z426" i="1"/>
  <c r="BN434" i="1"/>
  <c r="BP434" i="1"/>
  <c r="Z434" i="1"/>
  <c r="BN241" i="1"/>
  <c r="BP241" i="1"/>
  <c r="Z241" i="1"/>
  <c r="BN249" i="1"/>
  <c r="BP249" i="1"/>
  <c r="Z249" i="1"/>
  <c r="Y266" i="1"/>
  <c r="BN264" i="1"/>
  <c r="BP264" i="1"/>
  <c r="Z264" i="1"/>
  <c r="BN286" i="1"/>
  <c r="BP286" i="1"/>
  <c r="Z286" i="1"/>
  <c r="BN303" i="1"/>
  <c r="BP303" i="1"/>
  <c r="Z303" i="1"/>
  <c r="BN403" i="1"/>
  <c r="BP403" i="1"/>
  <c r="Z403" i="1"/>
  <c r="BN497" i="1"/>
  <c r="BP497" i="1"/>
  <c r="Z497" i="1"/>
  <c r="B560" i="1"/>
  <c r="Z31" i="1"/>
  <c r="Z64" i="1"/>
  <c r="Z70" i="1"/>
  <c r="BP70" i="1"/>
  <c r="Z78" i="1"/>
  <c r="Y84" i="1"/>
  <c r="Z108" i="1"/>
  <c r="Y118" i="1"/>
  <c r="Z114" i="1"/>
  <c r="Z120" i="1"/>
  <c r="BP120" i="1"/>
  <c r="Z167" i="1"/>
  <c r="Z172" i="1"/>
  <c r="BP172" i="1"/>
  <c r="Y188" i="1"/>
  <c r="Z180" i="1"/>
  <c r="Z202" i="1"/>
  <c r="Z203" i="1" s="1"/>
  <c r="BP202" i="1"/>
  <c r="Z212" i="1"/>
  <c r="Z219" i="1"/>
  <c r="Z220" i="1" s="1"/>
  <c r="BP219" i="1"/>
  <c r="Y237" i="1"/>
  <c r="BP223" i="1"/>
  <c r="Z223" i="1"/>
  <c r="BP231" i="1"/>
  <c r="Z231" i="1"/>
  <c r="BN345" i="1"/>
  <c r="BP345" i="1"/>
  <c r="Z345" i="1"/>
  <c r="BN397" i="1"/>
  <c r="BP397" i="1"/>
  <c r="Z397" i="1"/>
  <c r="BN489" i="1"/>
  <c r="BP489" i="1"/>
  <c r="Z489" i="1"/>
  <c r="BN519" i="1"/>
  <c r="BP519" i="1"/>
  <c r="Z519" i="1"/>
  <c r="X551" i="1"/>
  <c r="X553" i="1" s="1"/>
  <c r="Y33" i="1"/>
  <c r="E560" i="1"/>
  <c r="F560" i="1"/>
  <c r="Y99" i="1"/>
  <c r="G560" i="1"/>
  <c r="H560" i="1"/>
  <c r="Y143" i="1"/>
  <c r="BP225" i="1"/>
  <c r="BP233" i="1"/>
  <c r="BN327" i="1"/>
  <c r="BP327" i="1"/>
  <c r="Z327" i="1"/>
  <c r="BN336" i="1"/>
  <c r="BP336" i="1"/>
  <c r="Z336" i="1"/>
  <c r="BN375" i="1"/>
  <c r="BP375" i="1"/>
  <c r="Z375" i="1"/>
  <c r="BN381" i="1"/>
  <c r="BP381" i="1"/>
  <c r="Z381" i="1"/>
  <c r="BN389" i="1"/>
  <c r="BP389" i="1"/>
  <c r="Z389" i="1"/>
  <c r="BN472" i="1"/>
  <c r="BP472" i="1"/>
  <c r="Z472" i="1"/>
  <c r="Y278" i="1"/>
  <c r="Y411" i="1"/>
  <c r="Z560" i="1"/>
  <c r="Y543" i="1"/>
  <c r="Z270" i="1"/>
  <c r="Z284" i="1"/>
  <c r="Z301" i="1"/>
  <c r="BN311" i="1"/>
  <c r="Y312" i="1"/>
  <c r="Z315" i="1"/>
  <c r="Z316" i="1" s="1"/>
  <c r="BP315" i="1"/>
  <c r="BN319" i="1"/>
  <c r="Z343" i="1"/>
  <c r="Z351" i="1"/>
  <c r="Z367" i="1"/>
  <c r="Y379" i="1"/>
  <c r="Z373" i="1"/>
  <c r="Z395" i="1"/>
  <c r="Z401" i="1"/>
  <c r="Z407" i="1"/>
  <c r="BP407" i="1"/>
  <c r="Z416" i="1"/>
  <c r="Z424" i="1"/>
  <c r="Z440" i="1"/>
  <c r="BN469" i="1"/>
  <c r="Z470" i="1"/>
  <c r="Z478" i="1"/>
  <c r="BN483" i="1"/>
  <c r="Y484" i="1"/>
  <c r="Z487" i="1"/>
  <c r="Z495" i="1"/>
  <c r="BP495" i="1"/>
  <c r="Z503" i="1"/>
  <c r="Y511" i="1"/>
  <c r="Z509" i="1"/>
  <c r="Z517" i="1"/>
  <c r="Z525" i="1"/>
  <c r="Z526" i="1" s="1"/>
  <c r="BP525" i="1"/>
  <c r="BN529" i="1"/>
  <c r="Y530" i="1"/>
  <c r="Z533" i="1"/>
  <c r="Z534" i="1" s="1"/>
  <c r="BP533" i="1"/>
  <c r="BN537" i="1"/>
  <c r="Y538" i="1"/>
  <c r="Z541" i="1"/>
  <c r="BP541" i="1"/>
  <c r="M560" i="1"/>
  <c r="Y410" i="1"/>
  <c r="W560" i="1"/>
  <c r="Y560" i="1"/>
  <c r="Y24" i="1"/>
  <c r="Y46" i="1"/>
  <c r="Y67" i="1"/>
  <c r="Y109" i="1"/>
  <c r="Y125" i="1"/>
  <c r="Y136" i="1"/>
  <c r="Y150" i="1"/>
  <c r="Y159" i="1"/>
  <c r="Y163" i="1"/>
  <c r="Y189" i="1"/>
  <c r="Y215" i="1"/>
  <c r="Y238" i="1"/>
  <c r="Y252" i="1"/>
  <c r="Y256" i="1"/>
  <c r="Y261" i="1"/>
  <c r="Y267" i="1"/>
  <c r="Y277" i="1"/>
  <c r="BP285" i="1"/>
  <c r="BN285" i="1"/>
  <c r="Z285" i="1"/>
  <c r="BP289" i="1"/>
  <c r="BN289" i="1"/>
  <c r="Z289" i="1"/>
  <c r="BP302" i="1"/>
  <c r="BN302" i="1"/>
  <c r="Z302" i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Z359" i="1" s="1"/>
  <c r="Y359" i="1"/>
  <c r="BP374" i="1"/>
  <c r="BN374" i="1"/>
  <c r="Z374" i="1"/>
  <c r="Y378" i="1"/>
  <c r="BP382" i="1"/>
  <c r="BN382" i="1"/>
  <c r="Z382" i="1"/>
  <c r="Y386" i="1"/>
  <c r="BP390" i="1"/>
  <c r="BN390" i="1"/>
  <c r="Z390" i="1"/>
  <c r="Y392" i="1"/>
  <c r="Y399" i="1"/>
  <c r="BP394" i="1"/>
  <c r="BN394" i="1"/>
  <c r="Z394" i="1"/>
  <c r="Y398" i="1"/>
  <c r="BP402" i="1"/>
  <c r="BN402" i="1"/>
  <c r="Z402" i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H9" i="1"/>
  <c r="A10" i="1"/>
  <c r="Y32" i="1"/>
  <c r="Y56" i="1"/>
  <c r="Y75" i="1"/>
  <c r="Y79" i="1"/>
  <c r="Y85" i="1"/>
  <c r="Y92" i="1"/>
  <c r="Y100" i="1"/>
  <c r="Y117" i="1"/>
  <c r="Y129" i="1"/>
  <c r="Y144" i="1"/>
  <c r="Y170" i="1"/>
  <c r="Y175" i="1"/>
  <c r="Y195" i="1"/>
  <c r="Y199" i="1"/>
  <c r="Y246" i="1"/>
  <c r="BP281" i="1"/>
  <c r="BN281" i="1"/>
  <c r="Z281" i="1"/>
  <c r="F9" i="1"/>
  <c r="J9" i="1"/>
  <c r="Z22" i="1"/>
  <c r="Z24" i="1" s="1"/>
  <c r="BN22" i="1"/>
  <c r="BP22" i="1"/>
  <c r="X554" i="1"/>
  <c r="Y25" i="1"/>
  <c r="Z28" i="1"/>
  <c r="BN28" i="1"/>
  <c r="Z30" i="1"/>
  <c r="BN30" i="1"/>
  <c r="C560" i="1"/>
  <c r="Z42" i="1"/>
  <c r="BN42" i="1"/>
  <c r="Z44" i="1"/>
  <c r="BN44" i="1"/>
  <c r="Y47" i="1"/>
  <c r="D560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Z115" i="1"/>
  <c r="BN115" i="1"/>
  <c r="Z121" i="1"/>
  <c r="BN121" i="1"/>
  <c r="Z123" i="1"/>
  <c r="BN123" i="1"/>
  <c r="Z127" i="1"/>
  <c r="Z128" i="1" s="1"/>
  <c r="BN127" i="1"/>
  <c r="BP127" i="1"/>
  <c r="Z132" i="1"/>
  <c r="BN132" i="1"/>
  <c r="BP132" i="1"/>
  <c r="Z134" i="1"/>
  <c r="BN134" i="1"/>
  <c r="Y137" i="1"/>
  <c r="Z140" i="1"/>
  <c r="BN140" i="1"/>
  <c r="Z142" i="1"/>
  <c r="BN142" i="1"/>
  <c r="Z146" i="1"/>
  <c r="BN146" i="1"/>
  <c r="BP146" i="1"/>
  <c r="Z148" i="1"/>
  <c r="BN148" i="1"/>
  <c r="I560" i="1"/>
  <c r="Z155" i="1"/>
  <c r="BN155" i="1"/>
  <c r="Z157" i="1"/>
  <c r="BN157" i="1"/>
  <c r="Y158" i="1"/>
  <c r="Z161" i="1"/>
  <c r="Z162" i="1" s="1"/>
  <c r="BN161" i="1"/>
  <c r="BP161" i="1"/>
  <c r="Z166" i="1"/>
  <c r="BN166" i="1"/>
  <c r="BP166" i="1"/>
  <c r="Z168" i="1"/>
  <c r="BN168" i="1"/>
  <c r="Y169" i="1"/>
  <c r="Z173" i="1"/>
  <c r="Z174" i="1" s="1"/>
  <c r="BN173" i="1"/>
  <c r="Z177" i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Z199" i="1" s="1"/>
  <c r="BN197" i="1"/>
  <c r="BP197" i="1"/>
  <c r="K560" i="1"/>
  <c r="Z209" i="1"/>
  <c r="BN209" i="1"/>
  <c r="Z211" i="1"/>
  <c r="BN211" i="1"/>
  <c r="Z213" i="1"/>
  <c r="BN213" i="1"/>
  <c r="Y216" i="1"/>
  <c r="L560" i="1"/>
  <c r="Y221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BP366" i="1"/>
  <c r="BN366" i="1"/>
  <c r="Z366" i="1"/>
  <c r="BP415" i="1"/>
  <c r="BN415" i="1"/>
  <c r="Z415" i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Z368" i="1" s="1"/>
  <c r="Y368" i="1"/>
  <c r="BP372" i="1"/>
  <c r="BN372" i="1"/>
  <c r="Z372" i="1"/>
  <c r="BP376" i="1"/>
  <c r="BN376" i="1"/>
  <c r="Z376" i="1"/>
  <c r="Y385" i="1"/>
  <c r="BP384" i="1"/>
  <c r="BN384" i="1"/>
  <c r="Z384" i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BP427" i="1"/>
  <c r="BN427" i="1"/>
  <c r="Z427" i="1"/>
  <c r="BP435" i="1"/>
  <c r="BN435" i="1"/>
  <c r="Z435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Y490" i="1"/>
  <c r="BP514" i="1"/>
  <c r="BN514" i="1"/>
  <c r="Z514" i="1"/>
  <c r="Y520" i="1"/>
  <c r="BP518" i="1"/>
  <c r="BN518" i="1"/>
  <c r="Z518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55" i="1" l="1"/>
  <c r="Z490" i="1"/>
  <c r="Z378" i="1"/>
  <c r="Z322" i="1"/>
  <c r="Z277" i="1"/>
  <c r="Z251" i="1"/>
  <c r="Z188" i="1"/>
  <c r="Z169" i="1"/>
  <c r="Z150" i="1"/>
  <c r="Z143" i="1"/>
  <c r="Z136" i="1"/>
  <c r="Z74" i="1"/>
  <c r="Z67" i="1"/>
  <c r="Z520" i="1"/>
  <c r="Z237" i="1"/>
  <c r="Z215" i="1"/>
  <c r="Z430" i="1"/>
  <c r="Z124" i="1"/>
  <c r="Z117" i="1"/>
  <c r="Z99" i="1"/>
  <c r="Z46" i="1"/>
  <c r="Z404" i="1"/>
  <c r="Z308" i="1"/>
  <c r="Z158" i="1"/>
  <c r="Z32" i="1"/>
  <c r="Z292" i="1"/>
  <c r="Z385" i="1"/>
  <c r="Z347" i="1"/>
  <c r="Z474" i="1"/>
  <c r="Z245" i="1"/>
  <c r="Z194" i="1"/>
  <c r="Z109" i="1"/>
  <c r="Z92" i="1"/>
  <c r="Y550" i="1"/>
  <c r="Y552" i="1"/>
  <c r="Z398" i="1"/>
  <c r="Z338" i="1"/>
  <c r="Z331" i="1"/>
  <c r="Z555" i="1" s="1"/>
  <c r="Y554" i="1"/>
  <c r="Y551" i="1"/>
  <c r="Z436" i="1"/>
  <c r="Y553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<sst xmlns="http://schemas.openxmlformats.org/spreadsheetml/2006/main" count="2502" uniqueCount="908">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</sst>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46242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129</v>
      </c>
      <c r="Y30" s="628">
        <f>IFERROR(IF(X30="",0,CEILING((X30/$H30),1)*$H30),"")</f>
        <v>129.6</v>
      </c>
      <c r="Z30" s="36">
        <f>IFERROR(IF(Y30=0,"",ROUNDUP(Y30/H30,0)*0.00651),"")</f>
        <v>0.46872000000000003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227.9</v>
      </c>
      <c r="BN30" s="64">
        <f>IFERROR(Y30*I30/H30,"0")</f>
        <v>228.95999999999998</v>
      </c>
      <c r="BO30" s="64">
        <f>IFERROR(1/J30*(X30/H30),"0")</f>
        <v>0.39377289377289382</v>
      </c>
      <c r="BP30" s="64">
        <f>IFERROR(1/J30*(Y30/H30),"0")</f>
        <v>0.39560439560439564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71.666666666666671</v>
      </c>
      <c r="Y32" s="629">
        <f>IFERROR(Y27/H27,"0")+IFERROR(Y28/H28,"0")+IFERROR(Y29/H29,"0")+IFERROR(Y30/H30,"0")+IFERROR(Y31/H31,"0")</f>
        <v>72</v>
      </c>
      <c r="Z32" s="629">
        <f>IFERROR(IF(Z27="",0,Z27),"0")+IFERROR(IF(Z28="",0,Z28),"0")+IFERROR(IF(Z29="",0,Z29),"0")+IFERROR(IF(Z30="",0,Z30),"0")+IFERROR(IF(Z31="",0,Z31),"0")</f>
        <v>0.46872000000000003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129</v>
      </c>
      <c r="Y33" s="629">
        <f>IFERROR(SUM(Y27:Y31),"0")</f>
        <v>129.6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641</v>
      </c>
      <c r="Y51" s="628">
        <f>IFERROR(IF(X51="",0,CEILING((X51/$H51),1)*$H51),"")</f>
        <v>648</v>
      </c>
      <c r="Z51" s="36">
        <f>IFERROR(IF(Y51=0,"",ROUNDUP(Y51/H51,0)*0.01898),"")</f>
        <v>1.1388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665.33425925925928</v>
      </c>
      <c r="BN51" s="64">
        <f>IFERROR(Y51*I51/H51,"0")</f>
        <v>672.6</v>
      </c>
      <c r="BO51" s="64">
        <f>IFERROR(1/J51*(X51/H51),"0")</f>
        <v>0.92737268518518512</v>
      </c>
      <c r="BP51" s="64">
        <f>IFERROR(1/J51*(Y51/H51),"0")</f>
        <v>0.93749999999999989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59.351851851851848</v>
      </c>
      <c r="Y55" s="629">
        <f>IFERROR(Y51/H51,"0")+IFERROR(Y52/H52,"0")+IFERROR(Y53/H53,"0")+IFERROR(Y54/H54,"0")</f>
        <v>59.999999999999993</v>
      </c>
      <c r="Z55" s="629">
        <f>IFERROR(IF(Z51="",0,Z51),"0")+IFERROR(IF(Z52="",0,Z52),"0")+IFERROR(IF(Z53="",0,Z53),"0")+IFERROR(IF(Z54="",0,Z54),"0")</f>
        <v>1.1388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641</v>
      </c>
      <c r="Y56" s="629">
        <f>IFERROR(SUM(Y51:Y54),"0")</f>
        <v>648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52</v>
      </c>
      <c r="Y64" s="628">
        <f t="shared" si="0"/>
        <v>52</v>
      </c>
      <c r="Z64" s="36">
        <f>IFERROR(IF(Y64=0,"",ROUNDUP(Y64/H64,0)*0.00902),"")</f>
        <v>0.11726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54.470000000000006</v>
      </c>
      <c r="BN64" s="64">
        <f t="shared" si="2"/>
        <v>54.470000000000006</v>
      </c>
      <c r="BO64" s="64">
        <f t="shared" si="3"/>
        <v>9.8484848484848481E-2</v>
      </c>
      <c r="BP64" s="64">
        <f t="shared" si="4"/>
        <v>9.8484848484848481E-2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3</v>
      </c>
      <c r="Y66" s="628">
        <f t="shared" si="0"/>
        <v>4.5</v>
      </c>
      <c r="Z66" s="36">
        <f>IFERROR(IF(Y66=0,"",ROUNDUP(Y66/H66,0)*0.00902),"")</f>
        <v>9.0200000000000002E-3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3.1266666666666669</v>
      </c>
      <c r="BN66" s="64">
        <f t="shared" si="2"/>
        <v>4.6900000000000004</v>
      </c>
      <c r="BO66" s="64">
        <f t="shared" si="3"/>
        <v>5.0505050505050501E-3</v>
      </c>
      <c r="BP66" s="64">
        <f t="shared" si="4"/>
        <v>7.575757575757576E-3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13.666666666666666</v>
      </c>
      <c r="Y67" s="629">
        <f>IFERROR(Y59/H59,"0")+IFERROR(Y60/H60,"0")+IFERROR(Y61/H61,"0")+IFERROR(Y62/H62,"0")+IFERROR(Y63/H63,"0")+IFERROR(Y64/H64,"0")+IFERROR(Y65/H65,"0")+IFERROR(Y66/H66,"0")</f>
        <v>14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0.12628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55</v>
      </c>
      <c r="Y68" s="629">
        <f>IFERROR(SUM(Y59:Y66),"0")</f>
        <v>56.5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45</v>
      </c>
      <c r="Y70" s="628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46.708333333333336</v>
      </c>
      <c r="BN70" s="64">
        <f>IFERROR(Y70*I70/H70,"0")</f>
        <v>56.05</v>
      </c>
      <c r="BO70" s="64">
        <f>IFERROR(1/J70*(X70/H70),"0")</f>
        <v>6.5104166666666657E-2</v>
      </c>
      <c r="BP70" s="64">
        <f>IFERROR(1/J70*(Y70/H70),"0")</f>
        <v>7.8125E-2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4.1666666666666661</v>
      </c>
      <c r="Y74" s="629">
        <f>IFERROR(Y70/H70,"0")+IFERROR(Y71/H71,"0")+IFERROR(Y72/H72,"0")+IFERROR(Y73/H73,"0")</f>
        <v>5</v>
      </c>
      <c r="Z74" s="629">
        <f>IFERROR(IF(Z70="",0,Z70),"0")+IFERROR(IF(Z71="",0,Z71),"0")+IFERROR(IF(Z72="",0,Z72),"0")+IFERROR(IF(Z73="",0,Z73),"0")</f>
        <v>9.4899999999999998E-2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45</v>
      </c>
      <c r="Y75" s="629">
        <f>IFERROR(SUM(Y70:Y73),"0")</f>
        <v>54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4</v>
      </c>
      <c r="Y89" s="628">
        <f>IFERROR(IF(X89="",0,CEILING((X89/$H89),1)*$H89),"")</f>
        <v>5.0999999999999996</v>
      </c>
      <c r="Z89" s="36">
        <f>IFERROR(IF(Y89=0,"",ROUNDUP(Y89/H89,0)*0.00726),"")</f>
        <v>2.1780000000000001E-2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4.2352941176470589</v>
      </c>
      <c r="BN89" s="64">
        <f>IFERROR(Y89*I89/H89,"0")</f>
        <v>5.4</v>
      </c>
      <c r="BO89" s="64">
        <f>IFERROR(1/J89*(X89/H89),"0")</f>
        <v>1.2254901960784314E-2</v>
      </c>
      <c r="BP89" s="64">
        <f>IFERROR(1/J89*(Y89/H89),"0")</f>
        <v>1.5625E-2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2.3529411764705883</v>
      </c>
      <c r="Y92" s="629">
        <f>IFERROR(Y88/H88,"0")+IFERROR(Y89/H89,"0")+IFERROR(Y90/H90,"0")+IFERROR(Y91/H91,"0")</f>
        <v>3</v>
      </c>
      <c r="Z92" s="629">
        <f>IFERROR(IF(Z88="",0,Z88),"0")+IFERROR(IF(Z89="",0,Z89),"0")+IFERROR(IF(Z90="",0,Z90),"0")+IFERROR(IF(Z91="",0,Z91),"0")</f>
        <v>2.1780000000000001E-2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4</v>
      </c>
      <c r="Y93" s="629">
        <f>IFERROR(SUM(Y88:Y91),"0")</f>
        <v>5.0999999999999996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hidden="1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hidden="1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2</v>
      </c>
      <c r="Y113" s="628">
        <f>IFERROR(IF(X113="",0,CEILING((X113/$H113),1)*$H113),"")</f>
        <v>2</v>
      </c>
      <c r="Z113" s="36">
        <f>IFERROR(IF(Y113=0,"",ROUNDUP(Y113/H113,0)*0.00358),"")</f>
        <v>7.1599999999999997E-3</v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2.42</v>
      </c>
      <c r="BN113" s="64">
        <f>IFERROR(Y113*I113/H113,"0")</f>
        <v>2.42</v>
      </c>
      <c r="BO113" s="64">
        <f>IFERROR(1/J113*(X113/H113),"0")</f>
        <v>5.1020408163265302E-3</v>
      </c>
      <c r="BP113" s="64">
        <f>IFERROR(1/J113*(Y113/H113),"0")</f>
        <v>5.1020408163265302E-3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2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7.1599999999999997E-3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2</v>
      </c>
      <c r="Y118" s="629">
        <f>IFERROR(SUM(Y112:Y116),"0")</f>
        <v>2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hidden="1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2</v>
      </c>
      <c r="Y127" s="628">
        <f>IFERROR(IF(X127="",0,CEILING((X127/$H127),1)*$H127),"")</f>
        <v>3.96</v>
      </c>
      <c r="Z127" s="36">
        <f>IFERROR(IF(Y127=0,"",ROUNDUP(Y127/H127,0)*0.00651),"")</f>
        <v>1.302E-2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2.2606060606060607</v>
      </c>
      <c r="BN127" s="64">
        <f>IFERROR(Y127*I127/H127,"0")</f>
        <v>4.476</v>
      </c>
      <c r="BO127" s="64">
        <f>IFERROR(1/J127*(X127/H127),"0")</f>
        <v>5.5500055500055509E-3</v>
      </c>
      <c r="BP127" s="64">
        <f>IFERROR(1/J127*(Y127/H127),"0")</f>
        <v>1.098901098901099E-2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1.0101010101010102</v>
      </c>
      <c r="Y128" s="629">
        <f>IFERROR(Y127/H127,"0")</f>
        <v>2</v>
      </c>
      <c r="Z128" s="629">
        <f>IFERROR(IF(Z127="",0,Z127),"0")</f>
        <v>1.302E-2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2</v>
      </c>
      <c r="Y129" s="629">
        <f>IFERROR(SUM(Y127:Y127),"0")</f>
        <v>3.96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22</v>
      </c>
      <c r="Y134" s="628">
        <f>IFERROR(IF(X134="",0,CEILING((X134/$H134),1)*$H134),"")</f>
        <v>22.400000000000002</v>
      </c>
      <c r="Z134" s="36">
        <f>IFERROR(IF(Y134=0,"",ROUNDUP(Y134/H134,0)*0.00651),"")</f>
        <v>4.5569999999999999E-2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23.237499999999997</v>
      </c>
      <c r="BN134" s="64">
        <f>IFERROR(Y134*I134/H134,"0")</f>
        <v>23.66</v>
      </c>
      <c r="BO134" s="64">
        <f>IFERROR(1/J134*(X134/H134),"0")</f>
        <v>3.7774725274725279E-2</v>
      </c>
      <c r="BP134" s="64">
        <f>IFERROR(1/J134*(Y134/H134),"0")</f>
        <v>3.8461538461538464E-2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6.875</v>
      </c>
      <c r="Y136" s="629">
        <f>IFERROR(Y132/H132,"0")+IFERROR(Y133/H133,"0")+IFERROR(Y134/H134,"0")+IFERROR(Y135/H135,"0")</f>
        <v>7</v>
      </c>
      <c r="Z136" s="629">
        <f>IFERROR(IF(Z132="",0,Z132),"0")+IFERROR(IF(Z133="",0,Z133),"0")+IFERROR(IF(Z134="",0,Z134),"0")+IFERROR(IF(Z135="",0,Z135),"0")</f>
        <v>4.5569999999999999E-2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22</v>
      </c>
      <c r="Y137" s="629">
        <f>IFERROR(SUM(Y132:Y135),"0")</f>
        <v>22.400000000000002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28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30.842424242424237</v>
      </c>
      <c r="BN148" s="64">
        <f>IFERROR(Y148*I148/H148,"0")</f>
        <v>31.988000000000003</v>
      </c>
      <c r="BO148" s="64">
        <f>IFERROR(1/J148*(X148/H148),"0")</f>
        <v>5.8275058275058279E-2</v>
      </c>
      <c r="BP148" s="64">
        <f>IFERROR(1/J148*(Y148/H148),"0")</f>
        <v>6.0439560439560447E-2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10.606060606060606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28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70</v>
      </c>
      <c r="Y177" s="628">
        <f t="shared" ref="Y177:Y187" si="10">IFERROR(IF(X177="",0,CEILING((X177/$H177),1)*$H177),"")</f>
        <v>70</v>
      </c>
      <c r="Z177" s="36">
        <f>IFERROR(IF(Y177=0,"",ROUNDUP(Y177/H177,0)*0.00902),"")</f>
        <v>0.1804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73.8</v>
      </c>
      <c r="BN177" s="64">
        <f t="shared" ref="BN177:BN187" si="12">IFERROR(Y177*I177/H177,"0")</f>
        <v>73.8</v>
      </c>
      <c r="BO177" s="64">
        <f t="shared" ref="BO177:BO187" si="13">IFERROR(1/J177*(X177/H177),"0")</f>
        <v>0.15151515151515152</v>
      </c>
      <c r="BP177" s="64">
        <f t="shared" ref="BP177:BP187" si="14">IFERROR(1/J177*(Y177/H177),"0")</f>
        <v>0.15151515151515152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3</v>
      </c>
      <c r="Y181" s="628">
        <f t="shared" si="10"/>
        <v>3.6</v>
      </c>
      <c r="Z181" s="36">
        <f>IFERROR(IF(Y181=0,"",ROUNDUP(Y181/H181,0)*0.00417),"")</f>
        <v>1.668E-2</v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3.7</v>
      </c>
      <c r="BN181" s="64">
        <f t="shared" si="12"/>
        <v>4.4400000000000004</v>
      </c>
      <c r="BO181" s="64">
        <f t="shared" si="13"/>
        <v>9.9206349206349183E-3</v>
      </c>
      <c r="BP181" s="64">
        <f t="shared" si="14"/>
        <v>1.1904761904761904E-2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76</v>
      </c>
      <c r="Y182" s="628">
        <f t="shared" si="10"/>
        <v>77.28</v>
      </c>
      <c r="Z182" s="36">
        <f>IFERROR(IF(Y182=0,"",ROUNDUP(Y182/H182,0)*0.00502),"")</f>
        <v>0.23092000000000001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80.523809523809533</v>
      </c>
      <c r="BN182" s="64">
        <f t="shared" si="12"/>
        <v>81.88000000000001</v>
      </c>
      <c r="BO182" s="64">
        <f t="shared" si="13"/>
        <v>0.19332519332519335</v>
      </c>
      <c r="BP182" s="64">
        <f t="shared" si="14"/>
        <v>0.1965811965811966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3</v>
      </c>
      <c r="Y183" s="628">
        <f t="shared" si="10"/>
        <v>3.6</v>
      </c>
      <c r="Z183" s="36">
        <f>IFERROR(IF(Y183=0,"",ROUNDUP(Y183/H183,0)*0.00417),"")</f>
        <v>1.668E-2</v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3.7</v>
      </c>
      <c r="BN183" s="64">
        <f t="shared" si="12"/>
        <v>4.4400000000000004</v>
      </c>
      <c r="BO183" s="64">
        <f t="shared" si="13"/>
        <v>9.9206349206349183E-3</v>
      </c>
      <c r="BP183" s="64">
        <f t="shared" si="14"/>
        <v>1.1904761904761904E-2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71.904761904761898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74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0.44468000000000008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152</v>
      </c>
      <c r="Y189" s="629">
        <f>IFERROR(SUM(Y177:Y187),"0")</f>
        <v>154.47999999999999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8</v>
      </c>
      <c r="Y226" s="628">
        <f t="shared" si="21"/>
        <v>8</v>
      </c>
      <c r="Z226" s="36">
        <f>IFERROR(IF(Y226=0,"",ROUNDUP(Y226/H226,0)*0.00556),"")</f>
        <v>5.5599999999999997E-2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9.3000000000000007</v>
      </c>
      <c r="BN226" s="64">
        <f t="shared" si="23"/>
        <v>9.3000000000000007</v>
      </c>
      <c r="BO226" s="64">
        <f t="shared" si="24"/>
        <v>3.968253968253968E-2</v>
      </c>
      <c r="BP226" s="64">
        <f t="shared" si="25"/>
        <v>3.968253968253968E-2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17</v>
      </c>
      <c r="Y227" s="628">
        <f t="shared" si="21"/>
        <v>18.900000000000002</v>
      </c>
      <c r="Z227" s="36">
        <f t="shared" ref="Z227:Z232" si="26">IFERROR(IF(Y227=0,"",ROUNDUP(Y227/H227,0)*0.00502),"")</f>
        <v>4.5179999999999998E-2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18.05238095238095</v>
      </c>
      <c r="BN227" s="64">
        <f t="shared" si="23"/>
        <v>20.07</v>
      </c>
      <c r="BO227" s="64">
        <f t="shared" si="24"/>
        <v>3.4595034595034595E-2</v>
      </c>
      <c r="BP227" s="64">
        <f t="shared" si="25"/>
        <v>3.8461538461538464E-2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36</v>
      </c>
      <c r="Y232" s="628">
        <f t="shared" si="21"/>
        <v>36</v>
      </c>
      <c r="Z232" s="36">
        <f t="shared" si="26"/>
        <v>0.1004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38.6</v>
      </c>
      <c r="BN232" s="64">
        <f t="shared" si="23"/>
        <v>38.6</v>
      </c>
      <c r="BO232" s="64">
        <f t="shared" si="24"/>
        <v>8.5470085470085472E-2</v>
      </c>
      <c r="BP232" s="64">
        <f t="shared" si="25"/>
        <v>8.5470085470085472E-2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22</v>
      </c>
      <c r="Y233" s="628">
        <f t="shared" si="21"/>
        <v>22.400000000000002</v>
      </c>
      <c r="Z233" s="36">
        <f>IFERROR(IF(Y233=0,"",ROUNDUP(Y233/H233,0)*0.00417),"")</f>
        <v>0.11676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27.774999999999999</v>
      </c>
      <c r="BN233" s="64">
        <f t="shared" si="23"/>
        <v>28.28</v>
      </c>
      <c r="BO233" s="64">
        <f t="shared" si="24"/>
        <v>8.1845238095238096E-2</v>
      </c>
      <c r="BP233" s="64">
        <f t="shared" si="25"/>
        <v>8.3333333333333329E-2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65.595238095238102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0.31794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83</v>
      </c>
      <c r="Y238" s="629">
        <f>IFERROR(SUM(Y223:Y236),"0")</f>
        <v>85.300000000000011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14</v>
      </c>
      <c r="Y250" s="628">
        <f>IFERROR(IF(X250="",0,CEILING((X250/$H250),1)*$H250),"")</f>
        <v>15.120000000000001</v>
      </c>
      <c r="Z250" s="36">
        <f>IFERROR(IF(Y250=0,"",ROUNDUP(Y250/H250,0)*0.0059),"")</f>
        <v>7.0800000000000002E-2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16.111111111111111</v>
      </c>
      <c r="BN250" s="64">
        <f>IFERROR(Y250*I250/H250,"0")</f>
        <v>17.399999999999999</v>
      </c>
      <c r="BO250" s="64">
        <f>IFERROR(1/J250*(X250/H250),"0")</f>
        <v>5.1440329218106991E-2</v>
      </c>
      <c r="BP250" s="64">
        <f>IFERROR(1/J250*(Y250/H250),"0")</f>
        <v>5.5555555555555552E-2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11.111111111111111</v>
      </c>
      <c r="Y251" s="629">
        <f>IFERROR(Y248/H248,"0")+IFERROR(Y249/H249,"0")+IFERROR(Y250/H250,"0")</f>
        <v>12</v>
      </c>
      <c r="Z251" s="629">
        <f>IFERROR(IF(Z248="",0,Z248),"0")+IFERROR(IF(Z249="",0,Z249),"0")+IFERROR(IF(Z250="",0,Z250),"0")</f>
        <v>7.0800000000000002E-2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14</v>
      </c>
      <c r="Y252" s="629">
        <f>IFERROR(SUM(Y248:Y250),"0")</f>
        <v>15.120000000000001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10</v>
      </c>
      <c r="Y254" s="62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11.507936507936508</v>
      </c>
      <c r="BN254" s="64">
        <f>IFERROR(Y254*I254/H254,"0")</f>
        <v>11.6</v>
      </c>
      <c r="BO254" s="64">
        <f>IFERROR(1/J254*(X254/H254),"0")</f>
        <v>3.6743092298647854E-2</v>
      </c>
      <c r="BP254" s="64">
        <f>IFERROR(1/J254*(Y254/H254),"0")</f>
        <v>3.7037037037037035E-2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7.9365079365079367</v>
      </c>
      <c r="Y255" s="629">
        <f>IFERROR(Y254/H254,"0")</f>
        <v>8</v>
      </c>
      <c r="Z255" s="629">
        <f>IFERROR(IF(Z254="",0,Z254),"0")</f>
        <v>4.7199999999999999E-2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10</v>
      </c>
      <c r="Y256" s="629">
        <f>IFERROR(SUM(Y254:Y254),"0")</f>
        <v>10.08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75</v>
      </c>
      <c r="Y269" s="628">
        <f t="shared" ref="Y269:Y276" si="27">IFERROR(IF(X269="",0,CEILING((X269/$H269),1)*$H269),"")</f>
        <v>75.600000000000009</v>
      </c>
      <c r="Z269" s="36">
        <f>IFERROR(IF(Y269=0,"",ROUNDUP(Y269/H269,0)*0.00902),"")</f>
        <v>0.12628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77.638888888888886</v>
      </c>
      <c r="BN269" s="64">
        <f t="shared" ref="BN269:BN276" si="29">IFERROR(Y269*I269/H269,"0")</f>
        <v>78.260000000000005</v>
      </c>
      <c r="BO269" s="64">
        <f t="shared" ref="BO269:BO276" si="30">IFERROR(1/J269*(X269/H269),"0")</f>
        <v>0.10521885521885521</v>
      </c>
      <c r="BP269" s="64">
        <f t="shared" ref="BP269:BP276" si="31">IFERROR(1/J269*(Y269/H269),"0")</f>
        <v>0.10606060606060606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198</v>
      </c>
      <c r="Y270" s="628">
        <f t="shared" si="27"/>
        <v>199.8</v>
      </c>
      <c r="Z270" s="36">
        <f>IFERROR(IF(Y270=0,"",ROUNDUP(Y270/H270,0)*0.00902),"")</f>
        <v>0.33374000000000004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204.96666666666664</v>
      </c>
      <c r="BN270" s="64">
        <f t="shared" si="29"/>
        <v>206.82999999999998</v>
      </c>
      <c r="BO270" s="64">
        <f t="shared" si="30"/>
        <v>0.27777777777777779</v>
      </c>
      <c r="BP270" s="64">
        <f t="shared" si="31"/>
        <v>0.28030303030303033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20</v>
      </c>
      <c r="Y272" s="628">
        <f t="shared" si="27"/>
        <v>21.6</v>
      </c>
      <c r="Z272" s="36">
        <f>IFERROR(IF(Y272=0,"",ROUNDUP(Y272/H272,0)*0.00902),"")</f>
        <v>3.6080000000000001E-2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20.703703703703702</v>
      </c>
      <c r="BN272" s="64">
        <f t="shared" si="29"/>
        <v>22.36</v>
      </c>
      <c r="BO272" s="64">
        <f t="shared" si="30"/>
        <v>2.8058361391694722E-2</v>
      </c>
      <c r="BP272" s="64">
        <f t="shared" si="31"/>
        <v>3.0303030303030304E-2</v>
      </c>
    </row>
    <row r="273" spans="1:68" ht="27" hidden="1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85</v>
      </c>
      <c r="Y274" s="628">
        <f t="shared" si="27"/>
        <v>86.4</v>
      </c>
      <c r="Z274" s="36">
        <f>IFERROR(IF(Y274=0,"",ROUNDUP(Y274/H274,0)*0.00502),"")</f>
        <v>0.24096000000000001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89.722222222222214</v>
      </c>
      <c r="BN274" s="64">
        <f t="shared" si="29"/>
        <v>91.2</v>
      </c>
      <c r="BO274" s="64">
        <f t="shared" si="30"/>
        <v>0.20180436847103517</v>
      </c>
      <c r="BP274" s="64">
        <f t="shared" si="31"/>
        <v>0.20512820512820515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101.48148148148147</v>
      </c>
      <c r="Y277" s="629">
        <f>IFERROR(Y269/H269,"0")+IFERROR(Y270/H270,"0")+IFERROR(Y271/H271,"0")+IFERROR(Y272/H272,"0")+IFERROR(Y273/H273,"0")+IFERROR(Y274/H274,"0")+IFERROR(Y275/H275,"0")+IFERROR(Y276/H276,"0")</f>
        <v>103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0.73706000000000005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378</v>
      </c>
      <c r="Y278" s="629">
        <f>IFERROR(SUM(Y269:Y276),"0")</f>
        <v>383.40000000000009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74</v>
      </c>
      <c r="Y280" s="628">
        <f t="shared" ref="Y280:Y291" si="32">IFERROR(IF(X280="",0,CEILING((X280/$H280),1)*$H280),"")</f>
        <v>81</v>
      </c>
      <c r="Z280" s="36">
        <f>IFERROR(IF(Y280=0,"",ROUNDUP(Y280/H280,0)*0.01898),"")</f>
        <v>0.1898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78.51308641975308</v>
      </c>
      <c r="BN280" s="64">
        <f t="shared" ref="BN280:BN291" si="34">IFERROR(Y280*I280/H280,"0")</f>
        <v>85.94</v>
      </c>
      <c r="BO280" s="64">
        <f t="shared" ref="BO280:BO291" si="35">IFERROR(1/J280*(X280/H280),"0")</f>
        <v>0.14274691358024691</v>
      </c>
      <c r="BP280" s="64">
        <f t="shared" ref="BP280:BP291" si="36">IFERROR(1/J280*(Y280/H280),"0")</f>
        <v>0.15625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73</v>
      </c>
      <c r="Y283" s="628">
        <f t="shared" si="32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81.212500000000006</v>
      </c>
      <c r="BN283" s="64">
        <f t="shared" si="34"/>
        <v>82.77</v>
      </c>
      <c r="BO283" s="64">
        <f t="shared" si="35"/>
        <v>0.16712454212454214</v>
      </c>
      <c r="BP283" s="64">
        <f t="shared" si="36"/>
        <v>0.17032967032967034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400</v>
      </c>
      <c r="Y286" s="628">
        <f t="shared" si="32"/>
        <v>400.8</v>
      </c>
      <c r="Z286" s="36">
        <f>IFERROR(IF(Y286=0,"",ROUNDUP(Y286/H286,0)*0.00651),"")</f>
        <v>1.08717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442</v>
      </c>
      <c r="BN286" s="64">
        <f t="shared" si="34"/>
        <v>442.88400000000007</v>
      </c>
      <c r="BO286" s="64">
        <f t="shared" si="35"/>
        <v>0.91575091575091594</v>
      </c>
      <c r="BP286" s="64">
        <f t="shared" si="36"/>
        <v>0.91758241758241765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80</v>
      </c>
      <c r="Y288" s="628">
        <f t="shared" si="32"/>
        <v>81.599999999999994</v>
      </c>
      <c r="Z288" s="36">
        <f>IFERROR(IF(Y288=0,"",ROUNDUP(Y288/H288,0)*0.00651),"")</f>
        <v>0.22134000000000001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88.40000000000002</v>
      </c>
      <c r="BN288" s="64">
        <f t="shared" si="34"/>
        <v>90.168000000000006</v>
      </c>
      <c r="BO288" s="64">
        <f t="shared" si="35"/>
        <v>0.18315018315018317</v>
      </c>
      <c r="BP288" s="64">
        <f t="shared" si="36"/>
        <v>0.18681318681318682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120</v>
      </c>
      <c r="Y290" s="628">
        <f t="shared" si="32"/>
        <v>120</v>
      </c>
      <c r="Z290" s="36">
        <f>IFERROR(IF(Y290=0,"",ROUNDUP(Y290/H290,0)*0.00651),"")</f>
        <v>0.32550000000000001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132.9</v>
      </c>
      <c r="BN290" s="64">
        <f t="shared" si="34"/>
        <v>132.9</v>
      </c>
      <c r="BO290" s="64">
        <f t="shared" si="35"/>
        <v>0.27472527472527475</v>
      </c>
      <c r="BP290" s="64">
        <f t="shared" si="36"/>
        <v>0.27472527472527475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289.55246913580254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292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2.02562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747</v>
      </c>
      <c r="Y293" s="629">
        <f>IFERROR(SUM(Y280:Y291),"0")</f>
        <v>757.80000000000007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8</v>
      </c>
      <c r="Y295" s="628">
        <f>IFERROR(IF(X295="",0,CEILING((X295/$H295),1)*$H295),"")</f>
        <v>9.6</v>
      </c>
      <c r="Z295" s="36">
        <f>IFERROR(IF(Y295=0,"",ROUNDUP(Y295/H295,0)*0.00651),"")</f>
        <v>2.6040000000000001E-2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8.8400000000000016</v>
      </c>
      <c r="BN295" s="64">
        <f>IFERROR(Y295*I295/H295,"0")</f>
        <v>10.608000000000001</v>
      </c>
      <c r="BO295" s="64">
        <f>IFERROR(1/J295*(X295/H295),"0")</f>
        <v>1.8315018315018316E-2</v>
      </c>
      <c r="BP295" s="64">
        <f>IFERROR(1/J295*(Y295/H295),"0")</f>
        <v>2.197802197802198E-2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3.3333333333333335</v>
      </c>
      <c r="Y297" s="629">
        <f>IFERROR(Y295/H295,"0")+IFERROR(Y296/H296,"0")</f>
        <v>4</v>
      </c>
      <c r="Z297" s="629">
        <f>IFERROR(IF(Z295="",0,Z295),"0")+IFERROR(IF(Z296="",0,Z296),"0")</f>
        <v>2.6040000000000001E-2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8</v>
      </c>
      <c r="Y298" s="629">
        <f>IFERROR(SUM(Y295:Y296),"0")</f>
        <v>9.6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198</v>
      </c>
      <c r="Y301" s="628">
        <f t="shared" ref="Y301:Y307" si="37">IFERROR(IF(X301="",0,CEILING((X301/$H301),1)*$H301),"")</f>
        <v>208.79999999999998</v>
      </c>
      <c r="Z301" s="36">
        <f>IFERROR(IF(Y301=0,"",ROUNDUP(Y301/H301,0)*0.01898),"")</f>
        <v>0.34164</v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204.99827586206897</v>
      </c>
      <c r="BN301" s="64">
        <f t="shared" ref="BN301:BN307" si="39">IFERROR(Y301*I301/H301,"0")</f>
        <v>216.17999999999998</v>
      </c>
      <c r="BO301" s="64">
        <f t="shared" ref="BO301:BO307" si="40">IFERROR(1/J301*(X301/H301),"0")</f>
        <v>0.26670258620689657</v>
      </c>
      <c r="BP301" s="64">
        <f t="shared" ref="BP301:BP307" si="41">IFERROR(1/J301*(Y301/H301),"0")</f>
        <v>0.28125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99</v>
      </c>
      <c r="Y307" s="628">
        <f t="shared" si="37"/>
        <v>100</v>
      </c>
      <c r="Z307" s="36">
        <f>IFERROR(IF(Y307=0,"",ROUNDUP(Y307/H307,0)*0.00902),"")</f>
        <v>0.22550000000000001</v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103.70250000000001</v>
      </c>
      <c r="BN307" s="64">
        <f t="shared" si="39"/>
        <v>104.75000000000001</v>
      </c>
      <c r="BO307" s="64">
        <f t="shared" si="40"/>
        <v>0.1875</v>
      </c>
      <c r="BP307" s="64">
        <f t="shared" si="41"/>
        <v>0.18939393939393939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41.818965517241381</v>
      </c>
      <c r="Y308" s="629">
        <f>IFERROR(Y301/H301,"0")+IFERROR(Y302/H302,"0")+IFERROR(Y303/H303,"0")+IFERROR(Y304/H304,"0")+IFERROR(Y305/H305,"0")+IFERROR(Y306/H306,"0")+IFERROR(Y307/H307,"0")</f>
        <v>43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0.56713999999999998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297</v>
      </c>
      <c r="Y309" s="629">
        <f>IFERROR(SUM(Y301:Y307),"0")</f>
        <v>308.79999999999995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8</v>
      </c>
      <c r="Y315" s="628">
        <f>IFERROR(IF(X315="",0,CEILING((X315/$H315),1)*$H315),"")</f>
        <v>9</v>
      </c>
      <c r="Z315" s="36">
        <f>IFERROR(IF(Y315=0,"",ROUNDUP(Y315/H315,0)*0.0059),"")</f>
        <v>2.9499999999999998E-2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8.7777777777777786</v>
      </c>
      <c r="BN315" s="64">
        <f>IFERROR(Y315*I315/H315,"0")</f>
        <v>9.8750000000000018</v>
      </c>
      <c r="BO315" s="64">
        <f>IFERROR(1/J315*(X315/H315),"0")</f>
        <v>2.0576131687242798E-2</v>
      </c>
      <c r="BP315" s="64">
        <f>IFERROR(1/J315*(Y315/H315),"0")</f>
        <v>2.3148148148148147E-2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4.4444444444444446</v>
      </c>
      <c r="Y316" s="629">
        <f>IFERROR(Y315/H315,"0")</f>
        <v>5</v>
      </c>
      <c r="Z316" s="629">
        <f>IFERROR(IF(Z315="",0,Z315),"0")</f>
        <v>2.9499999999999998E-2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8</v>
      </c>
      <c r="Y317" s="629">
        <f>IFERROR(SUM(Y315:Y315),"0")</f>
        <v>9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20</v>
      </c>
      <c r="Y336" s="628">
        <f>IFERROR(IF(X336="",0,CEILING((X336/$H336),1)*$H336),"")</f>
        <v>21.599999999999998</v>
      </c>
      <c r="Z336" s="36">
        <f>IFERROR(IF(Y336=0,"",ROUNDUP(Y336/H336,0)*0.00651),"")</f>
        <v>5.8590000000000003E-2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22.100000000000005</v>
      </c>
      <c r="BN336" s="64">
        <f>IFERROR(Y336*I336/H336,"0")</f>
        <v>23.868000000000002</v>
      </c>
      <c r="BO336" s="64">
        <f>IFERROR(1/J336*(X336/H336),"0")</f>
        <v>4.5787545787545791E-2</v>
      </c>
      <c r="BP336" s="64">
        <f>IFERROR(1/J336*(Y336/H336),"0")</f>
        <v>4.9450549450549455E-2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8.3333333333333339</v>
      </c>
      <c r="Y338" s="629">
        <f>IFERROR(Y335/H335,"0")+IFERROR(Y336/H336,"0")+IFERROR(Y337/H337,"0")</f>
        <v>9</v>
      </c>
      <c r="Z338" s="629">
        <f>IFERROR(IF(Z335="",0,Z335),"0")+IFERROR(IF(Z336="",0,Z336),"0")+IFERROR(IF(Z337="",0,Z337),"0")</f>
        <v>5.8590000000000003E-2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20</v>
      </c>
      <c r="Y339" s="629">
        <f>IFERROR(SUM(Y335:Y337),"0")</f>
        <v>21.599999999999998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hidden="1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10</v>
      </c>
      <c r="Y365" s="628">
        <f>IFERROR(IF(X365="",0,CEILING((X365/$H365),1)*$H365),"")</f>
        <v>10.8</v>
      </c>
      <c r="Z365" s="36">
        <f>IFERROR(IF(Y365=0,"",ROUNDUP(Y365/H365,0)*0.01898),"")</f>
        <v>1.898E-2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10.37962962962963</v>
      </c>
      <c r="BN365" s="64">
        <f>IFERROR(Y365*I365/H365,"0")</f>
        <v>11.21</v>
      </c>
      <c r="BO365" s="64">
        <f>IFERROR(1/J365*(X365/H365),"0")</f>
        <v>1.4467592592592591E-2</v>
      </c>
      <c r="BP365" s="64">
        <f>IFERROR(1/J365*(Y365/H365),"0")</f>
        <v>1.5625E-2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0.92592592592592582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10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122</v>
      </c>
      <c r="Y372" s="628">
        <f t="shared" si="42"/>
        <v>126</v>
      </c>
      <c r="Z372" s="36">
        <f>IFERROR(IF(Y372=0,"",ROUNDUP(Y372/H372,0)*0.00902),"")</f>
        <v>0.27060000000000001</v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129.26190476190476</v>
      </c>
      <c r="BN372" s="64">
        <f t="shared" si="44"/>
        <v>133.5</v>
      </c>
      <c r="BO372" s="64">
        <f t="shared" si="45"/>
        <v>0.22005772005772006</v>
      </c>
      <c r="BP372" s="64">
        <f t="shared" si="46"/>
        <v>0.22727272727272729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3</v>
      </c>
      <c r="Y377" s="628">
        <f t="shared" si="42"/>
        <v>3.6</v>
      </c>
      <c r="Z377" s="36">
        <f>IFERROR(IF(Y377=0,"",ROUNDUP(Y377/H377,0)*0.00651),"")</f>
        <v>1.302E-2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3.38</v>
      </c>
      <c r="BN377" s="64">
        <f t="shared" si="44"/>
        <v>4.056</v>
      </c>
      <c r="BO377" s="64">
        <f t="shared" si="45"/>
        <v>9.1575091575091579E-3</v>
      </c>
      <c r="BP377" s="64">
        <f t="shared" si="46"/>
        <v>1.098901098901099E-2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30.714285714285715</v>
      </c>
      <c r="Y378" s="629">
        <f>IFERROR(Y371/H371,"0")+IFERROR(Y372/H372,"0")+IFERROR(Y373/H373,"0")+IFERROR(Y374/H374,"0")+IFERROR(Y375/H375,"0")+IFERROR(Y376/H376,"0")+IFERROR(Y377/H377,"0")</f>
        <v>32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0.28361999999999998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125</v>
      </c>
      <c r="Y379" s="629">
        <f>IFERROR(SUM(Y371:Y377),"0")</f>
        <v>129.6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500</v>
      </c>
      <c r="Y389" s="628">
        <f>IFERROR(IF(X389="",0,CEILING((X389/$H389),1)*$H389),"")</f>
        <v>507</v>
      </c>
      <c r="Z389" s="36">
        <f>IFERROR(IF(Y389=0,"",ROUNDUP(Y389/H389,0)*0.01898),"")</f>
        <v>1.2337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531.66666666666663</v>
      </c>
      <c r="BN389" s="64">
        <f>IFERROR(Y389*I389/H389,"0")</f>
        <v>539.11</v>
      </c>
      <c r="BO389" s="64">
        <f>IFERROR(1/J389*(X389/H389),"0")</f>
        <v>1.0016025641025641</v>
      </c>
      <c r="BP389" s="64">
        <f>IFERROR(1/J389*(Y389/H389),"0")</f>
        <v>1.015625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171</v>
      </c>
      <c r="Y390" s="628">
        <f>IFERROR(IF(X390="",0,CEILING((X390/$H390),1)*$H390),"")</f>
        <v>176.4</v>
      </c>
      <c r="Z390" s="36">
        <f>IFERROR(IF(Y390=0,"",ROUNDUP(Y390/H390,0)*0.01898),"")</f>
        <v>0.39857999999999999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181.05642857142857</v>
      </c>
      <c r="BN390" s="64">
        <f>IFERROR(Y390*I390/H390,"0")</f>
        <v>186.774</v>
      </c>
      <c r="BO390" s="64">
        <f>IFERROR(1/J390*(X390/H390),"0")</f>
        <v>0.31808035714285715</v>
      </c>
      <c r="BP390" s="64">
        <f>IFERROR(1/J390*(Y390/H390),"0")</f>
        <v>0.328125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84.459706959706963</v>
      </c>
      <c r="Y391" s="629">
        <f>IFERROR(Y388/H388,"0")+IFERROR(Y389/H389,"0")+IFERROR(Y390/H390,"0")</f>
        <v>86</v>
      </c>
      <c r="Z391" s="629">
        <f>IFERROR(IF(Z388="",0,Z388),"0")+IFERROR(IF(Z389="",0,Z389),"0")+IFERROR(IF(Z390="",0,Z390),"0")</f>
        <v>1.63228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671</v>
      </c>
      <c r="Y392" s="629">
        <f>IFERROR(SUM(Y388:Y390),"0")</f>
        <v>683.4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5</v>
      </c>
      <c r="Y395" s="628">
        <f>IFERROR(IF(X395="",0,CEILING((X395/$H395),1)*$H395),"")</f>
        <v>6.08</v>
      </c>
      <c r="Z395" s="36">
        <f>IFERROR(IF(Y395=0,"",ROUNDUP(Y395/H395,0)*0.00902),"")</f>
        <v>1.804E-2</v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5.3782894736842106</v>
      </c>
      <c r="BN395" s="64">
        <f>IFERROR(Y395*I395/H395,"0")</f>
        <v>6.5399999999999991</v>
      </c>
      <c r="BO395" s="64">
        <f>IFERROR(1/J395*(X395/H395),"0")</f>
        <v>1.2460127591706539E-2</v>
      </c>
      <c r="BP395" s="64">
        <f>IFERROR(1/J395*(Y395/H395),"0")</f>
        <v>1.5151515151515152E-2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7</v>
      </c>
      <c r="Y396" s="628">
        <f>IFERROR(IF(X396="",0,CEILING((X396/$H396),1)*$H396),"")</f>
        <v>7.6499999999999995</v>
      </c>
      <c r="Z396" s="36">
        <f>IFERROR(IF(Y396=0,"",ROUNDUP(Y396/H396,0)*0.00651),"")</f>
        <v>1.9529999999999999E-2</v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8.1117647058823543</v>
      </c>
      <c r="BN396" s="64">
        <f>IFERROR(Y396*I396/H396,"0")</f>
        <v>8.8650000000000002</v>
      </c>
      <c r="BO396" s="64">
        <f>IFERROR(1/J396*(X396/H396),"0")</f>
        <v>1.508295625942685E-2</v>
      </c>
      <c r="BP396" s="64">
        <f>IFERROR(1/J396*(Y396/H396),"0")</f>
        <v>1.6483516483516484E-2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35</v>
      </c>
      <c r="Y397" s="628">
        <f>IFERROR(IF(X397="",0,CEILING((X397/$H397),1)*$H397),"")</f>
        <v>35.699999999999996</v>
      </c>
      <c r="Z397" s="36">
        <f>IFERROR(IF(Y397=0,"",ROUNDUP(Y397/H397,0)*0.00651),"")</f>
        <v>9.1139999999999999E-2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39.529411764705884</v>
      </c>
      <c r="BN397" s="64">
        <f>IFERROR(Y397*I397/H397,"0")</f>
        <v>40.32</v>
      </c>
      <c r="BO397" s="64">
        <f>IFERROR(1/J397*(X397/H397),"0")</f>
        <v>7.5414781297134248E-2</v>
      </c>
      <c r="BP397" s="64">
        <f>IFERROR(1/J397*(Y397/H397),"0")</f>
        <v>7.6923076923076927E-2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18.115325077399383</v>
      </c>
      <c r="Y398" s="629">
        <f>IFERROR(Y394/H394,"0")+IFERROR(Y395/H395,"0")+IFERROR(Y396/H396,"0")+IFERROR(Y397/H397,"0")</f>
        <v>19</v>
      </c>
      <c r="Z398" s="629">
        <f>IFERROR(IF(Z394="",0,Z394),"0")+IFERROR(IF(Z395="",0,Z395),"0")+IFERROR(IF(Z396="",0,Z396),"0")+IFERROR(IF(Z397="",0,Z397),"0")</f>
        <v>0.12870999999999999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47</v>
      </c>
      <c r="Y399" s="629">
        <f>IFERROR(SUM(Y394:Y397),"0")</f>
        <v>49.429999999999993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17</v>
      </c>
      <c r="Y401" s="628">
        <f>IFERROR(IF(X401="",0,CEILING((X401/$H401),1)*$H401),"")</f>
        <v>18</v>
      </c>
      <c r="Z401" s="36">
        <f>IFERROR(IF(Y401=0,"",ROUNDUP(Y401/H401,0)*0.00474),"")</f>
        <v>4.2660000000000003E-2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19.040000000000003</v>
      </c>
      <c r="BN401" s="64">
        <f>IFERROR(Y401*I401/H401,"0")</f>
        <v>20.160000000000004</v>
      </c>
      <c r="BO401" s="64">
        <f>IFERROR(1/J401*(X401/H401),"0")</f>
        <v>3.5714285714285712E-2</v>
      </c>
      <c r="BP401" s="64">
        <f>IFERROR(1/J401*(Y401/H401),"0")</f>
        <v>3.7815126050420166E-2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6</v>
      </c>
      <c r="Y402" s="628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6.7200000000000006</v>
      </c>
      <c r="BN402" s="64">
        <f>IFERROR(Y402*I402/H402,"0")</f>
        <v>6.7200000000000006</v>
      </c>
      <c r="BO402" s="64">
        <f>IFERROR(1/J402*(X402/H402),"0")</f>
        <v>1.2605042016806723E-2</v>
      </c>
      <c r="BP402" s="64">
        <f>IFERROR(1/J402*(Y402/H402),"0")</f>
        <v>1.2605042016806723E-2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2</v>
      </c>
      <c r="Y403" s="628">
        <f>IFERROR(IF(X403="",0,CEILING((X403/$H403),1)*$H403),"")</f>
        <v>2</v>
      </c>
      <c r="Z403" s="36">
        <f>IFERROR(IF(Y403=0,"",ROUNDUP(Y403/H403,0)*0.00474),"")</f>
        <v>4.7400000000000003E-3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2.2400000000000002</v>
      </c>
      <c r="BN403" s="64">
        <f>IFERROR(Y403*I403/H403,"0")</f>
        <v>2.2400000000000002</v>
      </c>
      <c r="BO403" s="64">
        <f>IFERROR(1/J403*(X403/H403),"0")</f>
        <v>4.2016806722689074E-3</v>
      </c>
      <c r="BP403" s="64">
        <f>IFERROR(1/J403*(Y403/H403),"0")</f>
        <v>4.2016806722689074E-3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12.5</v>
      </c>
      <c r="Y404" s="629">
        <f>IFERROR(Y401/H401,"0")+IFERROR(Y402/H402,"0")+IFERROR(Y403/H403,"0")</f>
        <v>13</v>
      </c>
      <c r="Z404" s="629">
        <f>IFERROR(IF(Z401="",0,Z401),"0")+IFERROR(IF(Z402="",0,Z402),"0")+IFERROR(IF(Z403="",0,Z403),"0")</f>
        <v>6.1620000000000001E-2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25</v>
      </c>
      <c r="Y405" s="629">
        <f>IFERROR(SUM(Y401:Y403),"0")</f>
        <v>26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60</v>
      </c>
      <c r="Y407" s="628">
        <f>IFERROR(IF(X407="",0,CEILING((X407/$H407),1)*$H407),"")</f>
        <v>60</v>
      </c>
      <c r="Z407" s="36">
        <f>IFERROR(IF(Y407=0,"",ROUNDUP(Y407/H407,0)*0.0045),"")</f>
        <v>0.09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64.400000000000006</v>
      </c>
      <c r="BN407" s="64">
        <f>IFERROR(Y407*I407/H407,"0")</f>
        <v>64.400000000000006</v>
      </c>
      <c r="BO407" s="64">
        <f>IFERROR(1/J407*(X407/H407),"0")</f>
        <v>8.9285714285714274E-2</v>
      </c>
      <c r="BP407" s="64">
        <f>IFERROR(1/J407*(Y407/H407),"0")</f>
        <v>8.9285714285714274E-2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70</v>
      </c>
      <c r="Y408" s="628">
        <f>IFERROR(IF(X408="",0,CEILING((X408/$H408),1)*$H408),"")</f>
        <v>70.2</v>
      </c>
      <c r="Z408" s="36">
        <f>IFERROR(IF(Y408=0,"",ROUNDUP(Y408/H408,0)*0.006),"")</f>
        <v>0.108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74.84615384615384</v>
      </c>
      <c r="BN408" s="64">
        <f>IFERROR(Y408*I408/H408,"0")</f>
        <v>75.06</v>
      </c>
      <c r="BO408" s="64">
        <f>IFERROR(1/J408*(X408/H408),"0")</f>
        <v>0.12464387464387464</v>
      </c>
      <c r="BP408" s="64">
        <f>IFERROR(1/J408*(Y408/H408),"0")</f>
        <v>0.125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43</v>
      </c>
      <c r="Y409" s="628">
        <f>IFERROR(IF(X409="",0,CEILING((X409/$H409),1)*$H409),"")</f>
        <v>45</v>
      </c>
      <c r="Z409" s="36">
        <f>IFERROR(IF(Y409=0,"",ROUNDUP(Y409/H409,0)*0.0045),"")</f>
        <v>6.7499999999999991E-2</v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46.153333333333336</v>
      </c>
      <c r="BN409" s="64">
        <f>IFERROR(Y409*I409/H409,"0")</f>
        <v>48.300000000000004</v>
      </c>
      <c r="BO409" s="64">
        <f>IFERROR(1/J409*(X409/H409),"0")</f>
        <v>6.3988095238095233E-2</v>
      </c>
      <c r="BP409" s="64">
        <f>IFERROR(1/J409*(Y409/H409),"0")</f>
        <v>6.6964285714285712E-2</v>
      </c>
    </row>
    <row r="410" spans="1:68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52.282051282051285</v>
      </c>
      <c r="Y410" s="629">
        <f>IFERROR(Y407/H407,"0")+IFERROR(Y408/H408,"0")+IFERROR(Y409/H409,"0")</f>
        <v>53</v>
      </c>
      <c r="Z410" s="629">
        <f>IFERROR(IF(Z407="",0,Z407),"0")+IFERROR(IF(Z408="",0,Z408),"0")+IFERROR(IF(Z409="",0,Z409),"0")</f>
        <v>0.26550000000000001</v>
      </c>
      <c r="AA410" s="630"/>
      <c r="AB410" s="630"/>
      <c r="AC410" s="630"/>
    </row>
    <row r="411" spans="1:68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173</v>
      </c>
      <c r="Y411" s="629">
        <f>IFERROR(SUM(Y407:Y409),"0")</f>
        <v>175.2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18</v>
      </c>
      <c r="Y415" s="628">
        <f>IFERROR(IF(X415="",0,CEILING((X415/$H415),1)*$H415),"")</f>
        <v>18.900000000000002</v>
      </c>
      <c r="Z415" s="36">
        <f>IFERROR(IF(Y415=0,"",ROUNDUP(Y415/H415,0)*0.00651),"")</f>
        <v>5.8590000000000003E-2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20.16</v>
      </c>
      <c r="BN415" s="64">
        <f>IFERROR(Y415*I415/H415,"0")</f>
        <v>21.167999999999999</v>
      </c>
      <c r="BO415" s="64">
        <f>IFERROR(1/J415*(X415/H415),"0")</f>
        <v>4.709576138147567E-2</v>
      </c>
      <c r="BP415" s="64">
        <f>IFERROR(1/J415*(Y415/H415),"0")</f>
        <v>4.9450549450549455E-2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8.5714285714285712</v>
      </c>
      <c r="Y417" s="629">
        <f>IFERROR(Y414/H414,"0")+IFERROR(Y415/H415,"0")+IFERROR(Y416/H416,"0")</f>
        <v>9</v>
      </c>
      <c r="Z417" s="629">
        <f>IFERROR(IF(Z414="",0,Z414),"0")+IFERROR(IF(Z415="",0,Z415),"0")+IFERROR(IF(Z416="",0,Z416),"0")</f>
        <v>5.8590000000000003E-2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18</v>
      </c>
      <c r="Y418" s="629">
        <f>IFERROR(SUM(Y414:Y416),"0")</f>
        <v>18.900000000000002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500</v>
      </c>
      <c r="Y424" s="628">
        <f t="shared" si="47"/>
        <v>510</v>
      </c>
      <c r="Z424" s="36">
        <f>IFERROR(IF(Y424=0,"",ROUNDUP(Y424/H424,0)*0.02175),"")</f>
        <v>0.73949999999999994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515.66666666666663</v>
      </c>
      <c r="BN424" s="64">
        <f t="shared" si="49"/>
        <v>525.98</v>
      </c>
      <c r="BO424" s="64">
        <f t="shared" si="50"/>
        <v>0.69444444444444442</v>
      </c>
      <c r="BP424" s="64">
        <f t="shared" si="51"/>
        <v>0.70833333333333326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33.333333333333336</v>
      </c>
      <c r="Y430" s="629">
        <f>IFERROR(Y422/H422,"0")+IFERROR(Y423/H423,"0")+IFERROR(Y424/H424,"0")+IFERROR(Y425/H425,"0")+IFERROR(Y426/H426,"0")+IFERROR(Y427/H427,"0")+IFERROR(Y428/H428,"0")+IFERROR(Y429/H429,"0")</f>
        <v>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0.73949999999999994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500</v>
      </c>
      <c r="Y431" s="629">
        <f>IFERROR(SUM(Y422:Y429),"0")</f>
        <v>510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700</v>
      </c>
      <c r="Y433" s="628">
        <f>IFERROR(IF(X433="",0,CEILING((X433/$H433),1)*$H433),"")</f>
        <v>705</v>
      </c>
      <c r="Z433" s="36">
        <f>IFERROR(IF(Y433=0,"",ROUNDUP(Y433/H433,0)*0.02175),"")</f>
        <v>1.0222499999999999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721.93333333333328</v>
      </c>
      <c r="BN433" s="64">
        <f>IFERROR(Y433*I433/H433,"0")</f>
        <v>727.09</v>
      </c>
      <c r="BO433" s="64">
        <f>IFERROR(1/J433*(X433/H433),"0")</f>
        <v>0.9722222222222221</v>
      </c>
      <c r="BP433" s="64">
        <f>IFERROR(1/J433*(Y433/H433),"0")</f>
        <v>0.97916666666666663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46.666666666666664</v>
      </c>
      <c r="Y436" s="629">
        <f>IFERROR(Y433/H433,"0")+IFERROR(Y434/H434,"0")+IFERROR(Y435/H435,"0")</f>
        <v>47</v>
      </c>
      <c r="Z436" s="629">
        <f>IFERROR(IF(Z433="",0,Z433),"0")+IFERROR(IF(Z434="",0,Z434),"0")+IFERROR(IF(Z435="",0,Z435),"0")</f>
        <v>1.0222499999999999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700</v>
      </c>
      <c r="Y437" s="629">
        <f>IFERROR(SUM(Y433:Y435),"0")</f>
        <v>705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100</v>
      </c>
      <c r="Y446" s="628">
        <f>IFERROR(IF(X446="",0,CEILING((X446/$H446),1)*$H446),"")</f>
        <v>108</v>
      </c>
      <c r="Z446" s="36">
        <f>IFERROR(IF(Y446=0,"",ROUNDUP(Y446/H446,0)*0.01898),"")</f>
        <v>0.22776000000000002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105.48888888888888</v>
      </c>
      <c r="BN446" s="64">
        <f>IFERROR(Y446*I446/H446,"0")</f>
        <v>113.92799999999998</v>
      </c>
      <c r="BO446" s="64">
        <f>IFERROR(1/J446*(X446/H446),"0")</f>
        <v>0.1736111111111111</v>
      </c>
      <c r="BP446" s="64">
        <f>IFERROR(1/J446*(Y446/H446),"0")</f>
        <v>0.1875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11.111111111111111</v>
      </c>
      <c r="Y447" s="629">
        <f>IFERROR(Y445/H445,"0")+IFERROR(Y446/H446,"0")</f>
        <v>12</v>
      </c>
      <c r="Z447" s="629">
        <f>IFERROR(IF(Z445="",0,Z445),"0")+IFERROR(IF(Z446="",0,Z446),"0")</f>
        <v>0.22776000000000002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100</v>
      </c>
      <c r="Y448" s="629">
        <f>IFERROR(SUM(Y445:Y446),"0")</f>
        <v>108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700</v>
      </c>
      <c r="Y460" s="628">
        <f>IFERROR(IF(X460="",0,CEILING((X460/$H460),1)*$H460),"")</f>
        <v>702</v>
      </c>
      <c r="Z460" s="36">
        <f>IFERROR(IF(Y460=0,"",ROUNDUP(Y460/H460,0)*0.01898),"")</f>
        <v>1.48044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738.42222222222222</v>
      </c>
      <c r="BN460" s="64">
        <f>IFERROR(Y460*I460/H460,"0")</f>
        <v>740.53199999999993</v>
      </c>
      <c r="BO460" s="64">
        <f>IFERROR(1/J460*(X460/H460),"0")</f>
        <v>1.2152777777777777</v>
      </c>
      <c r="BP460" s="64">
        <f>IFERROR(1/J460*(Y460/H460),"0")</f>
        <v>1.21875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77.777777777777771</v>
      </c>
      <c r="Y463" s="629">
        <f>IFERROR(Y460/H460,"0")+IFERROR(Y461/H461,"0")+IFERROR(Y462/H462,"0")</f>
        <v>78</v>
      </c>
      <c r="Z463" s="629">
        <f>IFERROR(IF(Z460="",0,Z460),"0")+IFERROR(IF(Z461="",0,Z461),"0")+IFERROR(IF(Z462="",0,Z462),"0")</f>
        <v>1.48044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700</v>
      </c>
      <c r="Y464" s="629">
        <f>IFERROR(SUM(Y460:Y462),"0")</f>
        <v>702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84</v>
      </c>
      <c r="Y495" s="628">
        <f t="shared" ref="Y495:Y503" si="57">IFERROR(IF(X495="",0,CEILING((X495/$H495),1)*$H495),"")</f>
        <v>84.48</v>
      </c>
      <c r="Z495" s="36">
        <f t="shared" ref="Z495:Z500" si="58">IFERROR(IF(Y495=0,"",ROUNDUP(Y495/H495,0)*0.01196),"")</f>
        <v>0.19136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89.568181818181813</v>
      </c>
      <c r="BN495" s="64">
        <f t="shared" ref="BN495:BN503" si="60">IFERROR(Y495*I495/H495,"0")</f>
        <v>90.08</v>
      </c>
      <c r="BO495" s="64">
        <f t="shared" ref="BO495:BO503" si="61">IFERROR(1/J495*(X495/H495),"0")</f>
        <v>0.15297202797202797</v>
      </c>
      <c r="BP495" s="64">
        <f t="shared" ref="BP495:BP503" si="62">IFERROR(1/J495*(Y495/H495),"0")</f>
        <v>0.15384615384615385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4</v>
      </c>
      <c r="Y497" s="628">
        <f t="shared" si="57"/>
        <v>5.28</v>
      </c>
      <c r="Z497" s="36">
        <f t="shared" si="58"/>
        <v>1.196E-2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4.2651515151515147</v>
      </c>
      <c r="BN497" s="64">
        <f t="shared" si="60"/>
        <v>5.63</v>
      </c>
      <c r="BO497" s="64">
        <f t="shared" si="61"/>
        <v>7.2843822843822849E-3</v>
      </c>
      <c r="BP497" s="64">
        <f t="shared" si="62"/>
        <v>9.6153846153846159E-3</v>
      </c>
    </row>
    <row r="498" spans="1:68" ht="27" hidden="1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17</v>
      </c>
      <c r="Y502" s="628">
        <f t="shared" si="57"/>
        <v>19.2</v>
      </c>
      <c r="Z502" s="36">
        <f>IFERROR(IF(Y502=0,"",ROUNDUP(Y502/H502,0)*0.00902),"")</f>
        <v>3.6080000000000001E-2</v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24.472916666666666</v>
      </c>
      <c r="BN502" s="64">
        <f t="shared" si="60"/>
        <v>27.64</v>
      </c>
      <c r="BO502" s="64">
        <f t="shared" si="61"/>
        <v>2.6830808080808084E-2</v>
      </c>
      <c r="BP502" s="64">
        <f t="shared" si="62"/>
        <v>3.0303030303030304E-2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20.208333333333332</v>
      </c>
      <c r="Y504" s="629">
        <f>IFERROR(Y495/H495,"0")+IFERROR(Y496/H496,"0")+IFERROR(Y497/H497,"0")+IFERROR(Y498/H498,"0")+IFERROR(Y499/H499,"0")+IFERROR(Y500/H500,"0")+IFERROR(Y501/H501,"0")+IFERROR(Y502/H502,"0")+IFERROR(Y503/H503,"0")</f>
        <v>21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0.2394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105</v>
      </c>
      <c r="Y505" s="629">
        <f>IFERROR(SUM(Y495:Y503),"0")</f>
        <v>108.96000000000001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650</v>
      </c>
      <c r="Y507" s="628">
        <f>IFERROR(IF(X507="",0,CEILING((X507/$H507),1)*$H507),"")</f>
        <v>654.72</v>
      </c>
      <c r="Z507" s="36">
        <f>IFERROR(IF(Y507=0,"",ROUNDUP(Y507/H507,0)*0.01196),"")</f>
        <v>1.4830399999999999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693.08712121212113</v>
      </c>
      <c r="BN507" s="64">
        <f>IFERROR(Y507*I507/H507,"0")</f>
        <v>698.12</v>
      </c>
      <c r="BO507" s="64">
        <f>IFERROR(1/J507*(X507/H507),"0")</f>
        <v>1.1837121212121211</v>
      </c>
      <c r="BP507" s="64">
        <f>IFERROR(1/J507*(Y507/H507),"0")</f>
        <v>1.1923076923076923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123.10606060606059</v>
      </c>
      <c r="Y510" s="629">
        <f>IFERROR(Y507/H507,"0")+IFERROR(Y508/H508,"0")+IFERROR(Y509/H509,"0")</f>
        <v>124</v>
      </c>
      <c r="Z510" s="629">
        <f>IFERROR(IF(Z507="",0,Z507),"0")+IFERROR(IF(Z508="",0,Z508),"0")+IFERROR(IF(Z509="",0,Z509),"0")</f>
        <v>1.4830399999999999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650</v>
      </c>
      <c r="Y511" s="629">
        <f>IFERROR(SUM(Y507:Y509),"0")</f>
        <v>654.72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81</v>
      </c>
      <c r="Y513" s="628">
        <f t="shared" ref="Y513:Y519" si="63">IFERROR(IF(X513="",0,CEILING((X513/$H513),1)*$H513),"")</f>
        <v>84.48</v>
      </c>
      <c r="Z513" s="36">
        <f>IFERROR(IF(Y513=0,"",ROUNDUP(Y513/H513,0)*0.01196),"")</f>
        <v>0.19136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86.369318181818173</v>
      </c>
      <c r="BN513" s="64">
        <f t="shared" ref="BN513:BN519" si="65">IFERROR(Y513*I513/H513,"0")</f>
        <v>90.08</v>
      </c>
      <c r="BO513" s="64">
        <f t="shared" ref="BO513:BO519" si="66">IFERROR(1/J513*(X513/H513),"0")</f>
        <v>0.14750874125874125</v>
      </c>
      <c r="BP513" s="64">
        <f t="shared" ref="BP513:BP519" si="67">IFERROR(1/J513*(Y513/H513),"0")</f>
        <v>0.15384615384615385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hidden="1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15.34090909090909</v>
      </c>
      <c r="Y520" s="629">
        <f>IFERROR(Y513/H513,"0")+IFERROR(Y514/H514,"0")+IFERROR(Y515/H515,"0")+IFERROR(Y516/H516,"0")+IFERROR(Y517/H517,"0")+IFERROR(Y518/H518,"0")+IFERROR(Y519/H519,"0")</f>
        <v>16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0.19136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81</v>
      </c>
      <c r="Y521" s="629">
        <f>IFERROR(SUM(Y513:Y519),"0")</f>
        <v>84.48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20</v>
      </c>
      <c r="Y537" s="628">
        <f>IFERROR(IF(X537="",0,CEILING((X537/$H537),1)*$H537),"")</f>
        <v>27</v>
      </c>
      <c r="Z537" s="36">
        <f>IFERROR(IF(Y537=0,"",ROUNDUP(Y537/H537,0)*0.01898),"")</f>
        <v>5.6940000000000004E-2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21.097777777777779</v>
      </c>
      <c r="BN537" s="64">
        <f>IFERROR(Y537*I537/H537,"0")</f>
        <v>28.481999999999996</v>
      </c>
      <c r="BO537" s="64">
        <f>IFERROR(1/J537*(X537/H537),"0")</f>
        <v>3.4722222222222224E-2</v>
      </c>
      <c r="BP537" s="64">
        <f>IFERROR(1/J537*(Y537/H537),"0")</f>
        <v>4.6875E-2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2.2222222222222223</v>
      </c>
      <c r="Y538" s="629">
        <f>IFERROR(Y537/H537,"0")</f>
        <v>3</v>
      </c>
      <c r="Z538" s="629">
        <f>IFERROR(IF(Z537="",0,Z537),"0")</f>
        <v>5.6940000000000004E-2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20</v>
      </c>
      <c r="Y539" s="629">
        <f>IFERROR(SUM(Y537:Y537),"0")</f>
        <v>27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6592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6721.67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7074.8818186381877</v>
      </c>
      <c r="Y551" s="629">
        <f>IFERROR(SUM(BN22:BN547),"0")</f>
        <v>7213.6460000000006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12</v>
      </c>
      <c r="Y552" s="38">
        <f>ROUNDUP(SUM(BP22:BP547),0)</f>
        <v>13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7374.8818186381877</v>
      </c>
      <c r="Y553" s="629">
        <f>GrossWeightTotalR+PalletQtyTotalR*25</f>
        <v>7538.6460000000006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1322.3998814670942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1349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14.254479999999997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129.6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648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110.5</v>
      </c>
      <c r="F560" s="46">
        <f>IFERROR(Y88*1,"0")+IFERROR(Y89*1,"0")+IFERROR(Y90*1,"0")+IFERROR(Y91*1,"0")+IFERROR(Y95*1,"0")+IFERROR(Y96*1,"0")+IFERROR(Y97*1,"0")+IFERROR(Y98*1,"0")</f>
        <v>5.0999999999999996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5.96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73.84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154.47999999999999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110.50000000000001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1150.8000000000002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317.79999999999995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21.599999999999998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1074.43</v>
      </c>
      <c r="U560" s="46">
        <f>IFERROR(Y414*1,"0")+IFERROR(Y415*1,"0")+IFERROR(Y416*1,"0")</f>
        <v>18.900000000000002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1323</v>
      </c>
      <c r="W560" s="46">
        <f>IFERROR(Y451*1,"0")+IFERROR(Y452*1,"0")+IFERROR(Y456*1,"0")+IFERROR(Y460*1,"0")+IFERROR(Y461*1,"0")+IFERROR(Y462*1,"0")</f>
        <v>702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848.16000000000008</v>
      </c>
      <c r="AA560" s="46">
        <f>IFERROR(Y525*1,"0")+IFERROR(Y529*1,"0")+IFERROR(Y533*1,"0")+IFERROR(Y537*1,"0")+IFERROR(Y541*1,"0")+IFERROR(Y542*1,"0")</f>
        <v>27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322,40"/>
        <filter val="1,01"/>
        <filter val="10,00"/>
        <filter val="10,61"/>
        <filter val="100,00"/>
        <filter val="101,48"/>
        <filter val="105,00"/>
        <filter val="11,11"/>
        <filter val="12"/>
        <filter val="12,50"/>
        <filter val="120,00"/>
        <filter val="122,00"/>
        <filter val="123,11"/>
        <filter val="125,00"/>
        <filter val="129,00"/>
        <filter val="13,67"/>
        <filter val="14,00"/>
        <filter val="15,34"/>
        <filter val="152,00"/>
        <filter val="17,00"/>
        <filter val="171,00"/>
        <filter val="173,00"/>
        <filter val="18,00"/>
        <filter val="18,12"/>
        <filter val="198,00"/>
        <filter val="2,00"/>
        <filter val="2,22"/>
        <filter val="2,35"/>
        <filter val="20,00"/>
        <filter val="20,21"/>
        <filter val="22,00"/>
        <filter val="25,00"/>
        <filter val="28,00"/>
        <filter val="289,55"/>
        <filter val="297,00"/>
        <filter val="3,00"/>
        <filter val="3,33"/>
        <filter val="30,71"/>
        <filter val="33,33"/>
        <filter val="35,00"/>
        <filter val="36,00"/>
        <filter val="378,00"/>
        <filter val="4,00"/>
        <filter val="4,17"/>
        <filter val="4,44"/>
        <filter val="400,00"/>
        <filter val="41,82"/>
        <filter val="43,00"/>
        <filter val="45,00"/>
        <filter val="46,67"/>
        <filter val="47,00"/>
        <filter val="5,00"/>
        <filter val="500,00"/>
        <filter val="52,00"/>
        <filter val="52,28"/>
        <filter val="55,00"/>
        <filter val="59,35"/>
        <filter val="6 592,00"/>
        <filter val="6,00"/>
        <filter val="6,88"/>
        <filter val="60,00"/>
        <filter val="641,00"/>
        <filter val="65,60"/>
        <filter val="650,00"/>
        <filter val="671,00"/>
        <filter val="7 074,88"/>
        <filter val="7 374,88"/>
        <filter val="7,00"/>
        <filter val="7,86"/>
        <filter val="7,94"/>
        <filter val="70,00"/>
        <filter val="700,00"/>
        <filter val="71,67"/>
        <filter val="71,90"/>
        <filter val="73,00"/>
        <filter val="74,00"/>
        <filter val="747,00"/>
        <filter val="75,00"/>
        <filter val="76,00"/>
        <filter val="77,78"/>
        <filter val="8,00"/>
        <filter val="8,33"/>
        <filter val="8,57"/>
        <filter val="80,00"/>
        <filter val="81,00"/>
        <filter val="83,00"/>
        <filter val="84,00"/>
        <filter val="84,46"/>
        <filter val="85,00"/>
        <filter val="99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2026-08-05T13:37:04Z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