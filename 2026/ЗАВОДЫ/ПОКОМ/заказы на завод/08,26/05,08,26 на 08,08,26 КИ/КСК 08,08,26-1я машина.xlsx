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D40DB7-7CDF-4D37-AE44-508D7129AAA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72" i="2" l="1"/>
  <c r="BN155" i="2"/>
  <c r="BN186" i="2"/>
  <c r="BN231" i="2"/>
  <c r="BN284" i="2"/>
  <c r="BN463" i="2"/>
  <c r="BN30" i="2"/>
  <c r="Z31" i="2"/>
  <c r="Y79" i="2"/>
  <c r="Y262" i="2"/>
  <c r="BN288" i="2"/>
  <c r="Z302" i="2"/>
  <c r="Z363" i="2"/>
  <c r="BN446" i="2"/>
  <c r="BN457" i="2"/>
  <c r="BN515" i="2"/>
  <c r="Z192" i="2"/>
  <c r="BP187" i="2"/>
  <c r="Z185" i="2"/>
  <c r="Z182" i="2"/>
  <c r="BP273" i="2"/>
  <c r="BN416" i="2"/>
  <c r="Y151" i="2"/>
  <c r="Y137" i="2"/>
  <c r="BN82" i="2"/>
  <c r="Z283" i="2"/>
  <c r="BN389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83" i="2"/>
  <c r="BN374" i="2"/>
  <c r="BN373" i="2"/>
  <c r="Z373" i="2"/>
  <c r="BN368" i="2"/>
  <c r="BP363" i="2"/>
  <c r="BN358" i="2"/>
  <c r="Y360" i="2"/>
  <c r="BN351" i="2"/>
  <c r="Z346" i="2"/>
  <c r="Z336" i="2"/>
  <c r="Z328" i="2"/>
  <c r="Y323" i="2"/>
  <c r="Z320" i="2"/>
  <c r="BP304" i="2"/>
  <c r="Z304" i="2"/>
  <c r="Z290" i="2"/>
  <c r="BN290" i="2"/>
  <c r="BP283" i="2"/>
  <c r="Z280" i="2"/>
  <c r="BN274" i="2"/>
  <c r="Z273" i="2"/>
  <c r="BN264" i="2"/>
  <c r="Z264" i="2"/>
  <c r="Z266" i="2" s="1"/>
  <c r="BN259" i="2"/>
  <c r="Z250" i="2"/>
  <c r="Z244" i="2"/>
  <c r="BN235" i="2"/>
  <c r="Z231" i="2"/>
  <c r="Z230" i="2"/>
  <c r="BN226" i="2"/>
  <c r="BN214" i="2"/>
  <c r="BN209" i="2"/>
  <c r="Y204" i="2"/>
  <c r="BP185" i="2"/>
  <c r="Z173" i="2"/>
  <c r="Z167" i="2"/>
  <c r="Z157" i="2"/>
  <c r="Z156" i="2"/>
  <c r="Y158" i="2"/>
  <c r="BN148" i="2"/>
  <c r="Z134" i="2"/>
  <c r="Z132" i="2"/>
  <c r="BN132" i="2"/>
  <c r="Y128" i="2"/>
  <c r="BP127" i="2"/>
  <c r="Z122" i="2"/>
  <c r="BN120" i="2"/>
  <c r="BN115" i="2"/>
  <c r="Z113" i="2"/>
  <c r="BN106" i="2"/>
  <c r="Z90" i="2"/>
  <c r="F561" i="2"/>
  <c r="BN77" i="2"/>
  <c r="BN61" i="2"/>
  <c r="Z59" i="2"/>
  <c r="Y55" i="2"/>
  <c r="X555" i="2"/>
  <c r="Y37" i="2"/>
  <c r="BP35" i="2"/>
  <c r="Z35" i="2"/>
  <c r="Z36" i="2" s="1"/>
  <c r="BN28" i="2"/>
  <c r="Y25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51" i="2" l="1"/>
  <c r="Z322" i="2"/>
  <c r="Z418" i="2"/>
  <c r="Z277" i="2"/>
  <c r="Z475" i="2"/>
  <c r="Z411" i="2"/>
  <c r="Z405" i="2"/>
  <c r="Z386" i="2"/>
  <c r="Z292" i="2"/>
  <c r="Z174" i="2"/>
  <c r="Z150" i="2"/>
  <c r="Z136" i="2"/>
  <c r="Z117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<sst xmlns="http://schemas.openxmlformats.org/spreadsheetml/2006/main" count="4194" uniqueCount="891">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</sst>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46242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Суббота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32</v>
      </c>
      <c r="Y44" s="55">
        <f>IFERROR(IF(X44="",0,CEILING((X44/$H44),1)*$H44),"")</f>
        <v>32.64</v>
      </c>
      <c r="Z44" s="41">
        <f>IFERROR(IF(Y44=0,"",ROUNDUP(Y44/H44,0)*0.00651),"")</f>
        <v>0.11067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35</v>
      </c>
      <c r="BN44" s="78">
        <f>IFERROR(Y44*I44/H44,"0")</f>
        <v>35.70000000000001</v>
      </c>
      <c r="BO44" s="78">
        <f>IFERROR(1/J44*(X44/H44),"0")</f>
        <v>9.1575091575091583E-2</v>
      </c>
      <c r="BP44" s="78">
        <f>IFERROR(1/J44*(Y44/H44),"0")</f>
        <v>9.3406593406593408E-2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17</v>
      </c>
      <c r="Z46" s="43">
        <f>IFERROR(IF(Z41="",0,Z41),"0")+IFERROR(IF(Z42="",0,Z42),"0")+IFERROR(IF(Z43="",0,Z43),"0")+IFERROR(IF(Z44="",0,Z44),"0")+IFERROR(IF(Z45="",0,Z45),"0")</f>
        <v>0.11067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32</v>
      </c>
      <c r="Y47" s="43">
        <f>IFERROR(SUM(Y41:Y45),"0")</f>
        <v>32.64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360</v>
      </c>
      <c r="Y53" s="55">
        <f>IFERROR(IF(X53="",0,CEILING((X53/$H53),1)*$H53),"")</f>
        <v>360</v>
      </c>
      <c r="Z53" s="41">
        <f>IFERROR(IF(Y53=0,"",ROUNDUP(Y53/H53,0)*0.00902),"")</f>
        <v>0.81180000000000008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377.1</v>
      </c>
      <c r="BN53" s="78">
        <f>IFERROR(Y53*I53/H53,"0")</f>
        <v>377.1</v>
      </c>
      <c r="BO53" s="78">
        <f>IFERROR(1/J53*(X53/H53),"0")</f>
        <v>0.68181818181818188</v>
      </c>
      <c r="BP53" s="78">
        <f>IFERROR(1/J53*(Y53/H53),"0")</f>
        <v>0.68181818181818188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99.259259259259267</v>
      </c>
      <c r="Y55" s="43">
        <f>IFERROR(Y51/H51,"0")+IFERROR(Y52/H52,"0")+IFERROR(Y53/H53,"0")+IFERROR(Y54/H54,"0")</f>
        <v>100</v>
      </c>
      <c r="Z55" s="43">
        <f>IFERROR(IF(Z51="",0,Z51),"0")+IFERROR(IF(Z52="",0,Z52),"0")+IFERROR(IF(Z53="",0,Z53),"0")+IFERROR(IF(Z54="",0,Z54),"0")</f>
        <v>1.0016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460</v>
      </c>
      <c r="Y56" s="43">
        <f>IFERROR(SUM(Y51:Y54),"0")</f>
        <v>468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450</v>
      </c>
      <c r="Y66" s="55">
        <f t="shared" si="0"/>
        <v>450</v>
      </c>
      <c r="Z66" s="41">
        <f>IFERROR(IF(Y66=0,"",ROUNDUP(Y66/H66,0)*0.00902),"")</f>
        <v>0.90200000000000002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469</v>
      </c>
      <c r="BN66" s="78">
        <f t="shared" si="2"/>
        <v>469</v>
      </c>
      <c r="BO66" s="78">
        <f t="shared" si="3"/>
        <v>0.75757575757575757</v>
      </c>
      <c r="BP66" s="78">
        <f t="shared" si="4"/>
        <v>0.75757575757575757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100</v>
      </c>
      <c r="Y67" s="43">
        <f>IFERROR(Y59/H59,"0")+IFERROR(Y60/H60,"0")+IFERROR(Y61/H61,"0")+IFERROR(Y62/H62,"0")+IFERROR(Y63/H63,"0")+IFERROR(Y64/H64,"0")+IFERROR(Y65/H65,"0")+IFERROR(Y66/H66,"0")</f>
        <v>100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0.90200000000000002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450</v>
      </c>
      <c r="Y68" s="43">
        <f>IFERROR(SUM(Y59:Y66),"0")</f>
        <v>450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112.5</v>
      </c>
      <c r="Y73" s="55">
        <f>IFERROR(IF(X73="",0,CEILING((X73/$H73),1)*$H73),"")</f>
        <v>113.4</v>
      </c>
      <c r="Z73" s="41">
        <f>IFERROR(IF(Y73=0,"",ROUNDUP(Y73/H73,0)*0.00651),"")</f>
        <v>0.27342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119.99999999999999</v>
      </c>
      <c r="BN73" s="78">
        <f>IFERROR(Y73*I73/H73,"0")</f>
        <v>120.95999999999998</v>
      </c>
      <c r="BO73" s="78">
        <f>IFERROR(1/J73*(X73/H73),"0")</f>
        <v>0.22893772893772893</v>
      </c>
      <c r="BP73" s="78">
        <f>IFERROR(1/J73*(Y73/H73),"0")</f>
        <v>0.23076923076923078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41.666666666666664</v>
      </c>
      <c r="Y74" s="43">
        <f>IFERROR(Y70/H70,"0")+IFERROR(Y71/H71,"0")+IFERROR(Y72/H72,"0")+IFERROR(Y73/H73,"0")</f>
        <v>42</v>
      </c>
      <c r="Z74" s="43">
        <f>IFERROR(IF(Z70="",0,Z70),"0")+IFERROR(IF(Z71="",0,Z71),"0")+IFERROR(IF(Z72="",0,Z72),"0")+IFERROR(IF(Z73="",0,Z73),"0")</f>
        <v>0.27342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112.5</v>
      </c>
      <c r="Y75" s="43">
        <f>IFERROR(SUM(Y70:Y73),"0")</f>
        <v>113.4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50</v>
      </c>
      <c r="Y82" s="55">
        <f>IFERROR(IF(X82="",0,CEILING((X82/$H82),1)*$H82),"")</f>
        <v>54.6</v>
      </c>
      <c r="Z82" s="41">
        <f>IFERROR(IF(Y82=0,"",ROUNDUP(Y82/H82,0)*0.01898),"")</f>
        <v>0.13286000000000001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52.628205128205138</v>
      </c>
      <c r="BN82" s="78">
        <f>IFERROR(Y82*I82/H82,"0")</f>
        <v>57.470000000000013</v>
      </c>
      <c r="BO82" s="78">
        <f>IFERROR(1/J82*(X82/H82),"0")</f>
        <v>0.10016025641025642</v>
      </c>
      <c r="BP82" s="78">
        <f>IFERROR(1/J82*(Y82/H82),"0")</f>
        <v>0.109375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6.4102564102564106</v>
      </c>
      <c r="Y84" s="43">
        <f>IFERROR(Y82/H82,"0")+IFERROR(Y83/H83,"0")</f>
        <v>7</v>
      </c>
      <c r="Z84" s="43">
        <f>IFERROR(IF(Z82="",0,Z82),"0")+IFERROR(IF(Z83="",0,Z83),"0")</f>
        <v>0.13286000000000001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50</v>
      </c>
      <c r="Y85" s="43">
        <f>IFERROR(SUM(Y82:Y83),"0")</f>
        <v>54.6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100</v>
      </c>
      <c r="Y92" s="43">
        <f>IFERROR(Y88/H88,"0")+IFERROR(Y89/H89,"0")+IFERROR(Y90/H90,"0")+IFERROR(Y91/H91,"0")</f>
        <v>100</v>
      </c>
      <c r="Z92" s="43">
        <f>IFERROR(IF(Z88="",0,Z88),"0")+IFERROR(IF(Z89="",0,Z89),"0")+IFERROR(IF(Z90="",0,Z90),"0")+IFERROR(IF(Z91="",0,Z91),"0")</f>
        <v>0.90200000000000002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450</v>
      </c>
      <c r="Y93" s="43">
        <f>IFERROR(SUM(Y88:Y91),"0")</f>
        <v>450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495</v>
      </c>
      <c r="Y97" s="55">
        <f>IFERROR(IF(X97="",0,CEILING((X97/$H97),1)*$H97),"")</f>
        <v>496.8</v>
      </c>
      <c r="Z97" s="41">
        <f>IFERROR(IF(Y97=0,"",ROUNDUP(Y97/H97,0)*0.00651),"")</f>
        <v>1.19784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541.19999999999993</v>
      </c>
      <c r="BN97" s="78">
        <f>IFERROR(Y97*I97/H97,"0")</f>
        <v>543.16800000000001</v>
      </c>
      <c r="BO97" s="78">
        <f>IFERROR(1/J97*(X97/H97),"0")</f>
        <v>1.0073260073260073</v>
      </c>
      <c r="BP97" s="78">
        <f>IFERROR(1/J97*(Y97/H97),"0")</f>
        <v>1.0109890109890112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232.71604938271602</v>
      </c>
      <c r="Y99" s="43">
        <f>IFERROR(Y95/H95,"0")+IFERROR(Y96/H96,"0")+IFERROR(Y97/H97,"0")+IFERROR(Y98/H98,"0")</f>
        <v>234</v>
      </c>
      <c r="Z99" s="43">
        <f>IFERROR(IF(Z95="",0,Z95),"0")+IFERROR(IF(Z96="",0,Z96),"0")+IFERROR(IF(Z97="",0,Z97),"0")+IFERROR(IF(Z98="",0,Z98),"0")</f>
        <v>2.1468400000000001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895</v>
      </c>
      <c r="Y100" s="43">
        <f>IFERROR(SUM(Y95:Y98),"0")</f>
        <v>901.8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495</v>
      </c>
      <c r="Y107" s="55">
        <f t="shared" si="5"/>
        <v>495</v>
      </c>
      <c r="Z107" s="41">
        <f>IFERROR(IF(Y107=0,"",ROUNDUP(Y107/H107,0)*0.00902),"")</f>
        <v>0.99219999999999997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515.90000000000009</v>
      </c>
      <c r="BN107" s="78">
        <f t="shared" si="7"/>
        <v>515.90000000000009</v>
      </c>
      <c r="BO107" s="78">
        <f t="shared" si="8"/>
        <v>0.83333333333333337</v>
      </c>
      <c r="BP107" s="78">
        <f t="shared" si="9"/>
        <v>0.83333333333333337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110</v>
      </c>
      <c r="Y109" s="43">
        <f>IFERROR(Y103/H103,"0")+IFERROR(Y104/H104,"0")+IFERROR(Y105/H105,"0")+IFERROR(Y106/H106,"0")+IFERROR(Y107/H107,"0")+IFERROR(Y108/H108,"0")</f>
        <v>110</v>
      </c>
      <c r="Z109" s="43">
        <f>IFERROR(IF(Z103="",0,Z103),"0")+IFERROR(IF(Z104="",0,Z104),"0")+IFERROR(IF(Z105="",0,Z105),"0")+IFERROR(IF(Z106="",0,Z106),"0")+IFERROR(IF(Z107="",0,Z107),"0")+IFERROR(IF(Z108="",0,Z108),"0")</f>
        <v>0.99219999999999997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495</v>
      </c>
      <c r="Y110" s="43">
        <f>IFERROR(SUM(Y103:Y108),"0")</f>
        <v>495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600</v>
      </c>
      <c r="Y120" s="55">
        <f>IFERROR(IF(X120="",0,CEILING((X120/$H120),1)*$H120),"")</f>
        <v>607.5</v>
      </c>
      <c r="Z120" s="41">
        <f>IFERROR(IF(Y120=0,"",ROUNDUP(Y120/H120,0)*0.01898),"")</f>
        <v>1.4235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636.14814814814804</v>
      </c>
      <c r="BN120" s="78">
        <f>IFERROR(Y120*I120/H120,"0")</f>
        <v>644.09999999999991</v>
      </c>
      <c r="BO120" s="78">
        <f>IFERROR(1/J120*(X120/H120),"0")</f>
        <v>1.1574074074074074</v>
      </c>
      <c r="BP120" s="78">
        <f>IFERROR(1/J120*(Y120/H120),"0")</f>
        <v>1.171875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675</v>
      </c>
      <c r="Y122" s="55">
        <f>IFERROR(IF(X122="",0,CEILING((X122/$H122),1)*$H122),"")</f>
        <v>675</v>
      </c>
      <c r="Z122" s="41">
        <f>IFERROR(IF(Y122=0,"",ROUNDUP(Y122/H122,0)*0.00651),"")</f>
        <v>1.6274999999999999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737.99999999999989</v>
      </c>
      <c r="BN122" s="78">
        <f>IFERROR(Y122*I122/H122,"0")</f>
        <v>737.99999999999989</v>
      </c>
      <c r="BO122" s="78">
        <f>IFERROR(1/J122*(X122/H122),"0")</f>
        <v>1.3736263736263736</v>
      </c>
      <c r="BP122" s="78">
        <f>IFERROR(1/J122*(Y122/H122),"0")</f>
        <v>1.3736263736263736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48</v>
      </c>
      <c r="Y123" s="55">
        <f>IFERROR(IF(X123="",0,CEILING((X123/$H123),1)*$H123),"")</f>
        <v>48.6</v>
      </c>
      <c r="Z123" s="41">
        <f>IFERROR(IF(Y123=0,"",ROUNDUP(Y123/H123,0)*0.00651),"")</f>
        <v>0.17577000000000001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52.8</v>
      </c>
      <c r="BN123" s="78">
        <f>IFERROR(Y123*I123/H123,"0")</f>
        <v>53.46</v>
      </c>
      <c r="BO123" s="78">
        <f>IFERROR(1/J123*(X123/H123),"0")</f>
        <v>0.14652014652014653</v>
      </c>
      <c r="BP123" s="78">
        <f>IFERROR(1/J123*(Y123/H123),"0")</f>
        <v>0.14835164835164835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350.7407407407407</v>
      </c>
      <c r="Y124" s="43">
        <f>IFERROR(Y120/H120,"0")+IFERROR(Y121/H121,"0")+IFERROR(Y122/H122,"0")+IFERROR(Y123/H123,"0")</f>
        <v>352</v>
      </c>
      <c r="Z124" s="43">
        <f>IFERROR(IF(Z120="",0,Z120),"0")+IFERROR(IF(Z121="",0,Z121),"0")+IFERROR(IF(Z122="",0,Z122),"0")+IFERROR(IF(Z123="",0,Z123),"0")</f>
        <v>3.2267700000000001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1323</v>
      </c>
      <c r="Y125" s="43">
        <f>IFERROR(SUM(Y120:Y123),"0")</f>
        <v>1331.1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33</v>
      </c>
      <c r="Y127" s="55">
        <f>IFERROR(IF(X127="",0,CEILING((X127/$H127),1)*$H127),"")</f>
        <v>33.659999999999997</v>
      </c>
      <c r="Z127" s="41">
        <f>IFERROR(IF(Y127=0,"",ROUNDUP(Y127/H127,0)*0.00651),"")</f>
        <v>0.11067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37.299999999999997</v>
      </c>
      <c r="BN127" s="78">
        <f>IFERROR(Y127*I127/H127,"0")</f>
        <v>38.045999999999992</v>
      </c>
      <c r="BO127" s="78">
        <f>IFERROR(1/J127*(X127/H127),"0")</f>
        <v>9.1575091575091583E-2</v>
      </c>
      <c r="BP127" s="78">
        <f>IFERROR(1/J127*(Y127/H127),"0")</f>
        <v>9.3406593406593408E-2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16.666666666666668</v>
      </c>
      <c r="Y128" s="43">
        <f>IFERROR(Y127/H127,"0")</f>
        <v>17</v>
      </c>
      <c r="Z128" s="43">
        <f>IFERROR(IF(Z127="",0,Z127),"0")</f>
        <v>0.11067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33</v>
      </c>
      <c r="Y129" s="43">
        <f>IFERROR(SUM(Y127:Y127),"0")</f>
        <v>33.659999999999997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48</v>
      </c>
      <c r="Y135" s="55">
        <f>IFERROR(IF(X135="",0,CEILING((X135/$H135),1)*$H135),"")</f>
        <v>48</v>
      </c>
      <c r="Z135" s="41">
        <f>IFERROR(IF(Y135=0,"",ROUNDUP(Y135/H135,0)*0.00651),"")</f>
        <v>9.7650000000000001E-2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50.7</v>
      </c>
      <c r="BN135" s="78">
        <f>IFERROR(Y135*I135/H135,"0")</f>
        <v>50.7</v>
      </c>
      <c r="BO135" s="78">
        <f>IFERROR(1/J135*(X135/H135),"0")</f>
        <v>8.241758241758243E-2</v>
      </c>
      <c r="BP135" s="78">
        <f>IFERROR(1/J135*(Y135/H135),"0")</f>
        <v>8.241758241758243E-2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15</v>
      </c>
      <c r="Y136" s="43">
        <f>IFERROR(Y132/H132,"0")+IFERROR(Y133/H133,"0")+IFERROR(Y134/H134,"0")+IFERROR(Y135/H135,"0")</f>
        <v>15</v>
      </c>
      <c r="Z136" s="43">
        <f>IFERROR(IF(Z132="",0,Z132),"0")+IFERROR(IF(Z133="",0,Z133),"0")+IFERROR(IF(Z134="",0,Z134),"0")+IFERROR(IF(Z135="",0,Z135),"0")</f>
        <v>9.7650000000000001E-2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48</v>
      </c>
      <c r="Y137" s="43">
        <f>IFERROR(SUM(Y132:Y135),"0")</f>
        <v>48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42</v>
      </c>
      <c r="Y141" s="55">
        <f>IFERROR(IF(X141="",0,CEILING((X141/$H141),1)*$H141),"")</f>
        <v>42</v>
      </c>
      <c r="Z141" s="41">
        <f>IFERROR(IF(Y141=0,"",ROUNDUP(Y141/H141,0)*0.00651),"")</f>
        <v>9.7650000000000001E-2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46.02</v>
      </c>
      <c r="BN141" s="78">
        <f>IFERROR(Y141*I141/H141,"0")</f>
        <v>46.02</v>
      </c>
      <c r="BO141" s="78">
        <f>IFERROR(1/J141*(X141/H141),"0")</f>
        <v>8.241758241758243E-2</v>
      </c>
      <c r="BP141" s="78">
        <f>IFERROR(1/J141*(Y141/H141),"0")</f>
        <v>8.241758241758243E-2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15.000000000000002</v>
      </c>
      <c r="Y143" s="43">
        <f>IFERROR(Y139/H139,"0")+IFERROR(Y140/H140,"0")+IFERROR(Y141/H141,"0")+IFERROR(Y142/H142,"0")</f>
        <v>15.000000000000002</v>
      </c>
      <c r="Z143" s="43">
        <f>IFERROR(IF(Z139="",0,Z139),"0")+IFERROR(IF(Z140="",0,Z140),"0")+IFERROR(IF(Z141="",0,Z141),"0")+IFERROR(IF(Z142="",0,Z142),"0")</f>
        <v>9.7650000000000001E-2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42</v>
      </c>
      <c r="Y144" s="43">
        <f>IFERROR(SUM(Y139:Y142),"0")</f>
        <v>42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33</v>
      </c>
      <c r="Y148" s="55">
        <f>IFERROR(IF(X148="",0,CEILING((X148/$H148),1)*$H148),"")</f>
        <v>34.32</v>
      </c>
      <c r="Z148" s="41">
        <f>IFERROR(IF(Y148=0,"",ROUNDUP(Y148/H148,0)*0.00651),"")</f>
        <v>8.4629999999999997E-2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36.349999999999994</v>
      </c>
      <c r="BN148" s="78">
        <f>IFERROR(Y148*I148/H148,"0")</f>
        <v>37.803999999999995</v>
      </c>
      <c r="BO148" s="78">
        <f>IFERROR(1/J148*(X148/H148),"0")</f>
        <v>6.8681318681318687E-2</v>
      </c>
      <c r="BP148" s="78">
        <f>IFERROR(1/J148*(Y148/H148),"0")</f>
        <v>7.1428571428571438E-2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12.5</v>
      </c>
      <c r="Y150" s="43">
        <f>IFERROR(Y146/H146,"0")+IFERROR(Y147/H147,"0")+IFERROR(Y148/H148,"0")+IFERROR(Y149/H149,"0")</f>
        <v>13</v>
      </c>
      <c r="Z150" s="43">
        <f>IFERROR(IF(Z146="",0,Z146),"0")+IFERROR(IF(Z147="",0,Z147),"0")+IFERROR(IF(Z148="",0,Z148),"0")+IFERROR(IF(Z149="",0,Z149),"0")</f>
        <v>8.4629999999999997E-2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33</v>
      </c>
      <c r="Y151" s="43">
        <f>IFERROR(SUM(Y146:Y149),"0")</f>
        <v>34.32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12</v>
      </c>
      <c r="Y173" s="55">
        <f>IFERROR(IF(X173="",0,CEILING((X173/$H173),1)*$H173),"")</f>
        <v>12.24</v>
      </c>
      <c r="Z173" s="41">
        <f>IFERROR(IF(Y173=0,"",ROUNDUP(Y173/H173,0)*0.00556),"")</f>
        <v>9.4519999999999993E-2</v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14.166666666666666</v>
      </c>
      <c r="BN173" s="78">
        <f>IFERROR(Y173*I173/H173,"0")</f>
        <v>14.450000000000001</v>
      </c>
      <c r="BO173" s="78">
        <f>IFERROR(1/J173*(X173/H173),"0")</f>
        <v>6.6137566137566134E-2</v>
      </c>
      <c r="BP173" s="78">
        <f>IFERROR(1/J173*(Y173/H173),"0")</f>
        <v>6.7460317460317457E-2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16.666666666666668</v>
      </c>
      <c r="Y174" s="43">
        <f>IFERROR(Y172/H172,"0")+IFERROR(Y173/H173,"0")</f>
        <v>17</v>
      </c>
      <c r="Z174" s="43">
        <f>IFERROR(IF(Z172="",0,Z172),"0")+IFERROR(IF(Z173="",0,Z173),"0")</f>
        <v>9.4519999999999993E-2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12</v>
      </c>
      <c r="Y175" s="43">
        <f>IFERROR(SUM(Y172:Y173),"0")</f>
        <v>12.24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200</v>
      </c>
      <c r="Y177" s="55">
        <f t="shared" ref="Y177:Y187" si="10">IFERROR(IF(X177="",0,CEILING((X177/$H177),1)*$H177),"")</f>
        <v>203</v>
      </c>
      <c r="Z177" s="41">
        <f>IFERROR(IF(Y177=0,"",ROUNDUP(Y177/H177,0)*0.00902),"")</f>
        <v>0.52316000000000007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210.85714285714286</v>
      </c>
      <c r="BN177" s="78">
        <f t="shared" ref="BN177:BN187" si="12">IFERROR(Y177*I177/H177,"0")</f>
        <v>214.01999999999998</v>
      </c>
      <c r="BO177" s="78">
        <f t="shared" ref="BO177:BO187" si="13">IFERROR(1/J177*(X177/H177),"0")</f>
        <v>0.43290043290043295</v>
      </c>
      <c r="BP177" s="78">
        <f t="shared" ref="BP177:BP187" si="14">IFERROR(1/J177*(Y177/H177),"0")</f>
        <v>0.43939393939393939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250</v>
      </c>
      <c r="Y179" s="55">
        <f t="shared" si="10"/>
        <v>252</v>
      </c>
      <c r="Z179" s="41">
        <f>IFERROR(IF(Y179=0,"",ROUNDUP(Y179/H179,0)*0.00902),"")</f>
        <v>0.64944000000000002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263.57142857142856</v>
      </c>
      <c r="BN179" s="78">
        <f t="shared" si="12"/>
        <v>265.68</v>
      </c>
      <c r="BO179" s="78">
        <f t="shared" si="13"/>
        <v>0.54112554112554112</v>
      </c>
      <c r="BP179" s="78">
        <f t="shared" si="14"/>
        <v>0.54545454545454541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250</v>
      </c>
      <c r="Y180" s="55">
        <f t="shared" si="10"/>
        <v>252</v>
      </c>
      <c r="Z180" s="41">
        <f>IFERROR(IF(Y180=0,"",ROUNDUP(Y180/H180,0)*0.00902),"")</f>
        <v>0.64944000000000002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263.57142857142856</v>
      </c>
      <c r="BN180" s="78">
        <f t="shared" si="12"/>
        <v>265.68</v>
      </c>
      <c r="BO180" s="78">
        <f t="shared" si="13"/>
        <v>0.54112554112554112</v>
      </c>
      <c r="BP180" s="78">
        <f t="shared" si="14"/>
        <v>0.54545454545454541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168.00000000000003</v>
      </c>
      <c r="Y182" s="55">
        <f t="shared" si="10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178.00000000000006</v>
      </c>
      <c r="BN182" s="78">
        <f t="shared" si="12"/>
        <v>178.00000000000003</v>
      </c>
      <c r="BO182" s="78">
        <f t="shared" si="13"/>
        <v>0.42735042735042744</v>
      </c>
      <c r="BP182" s="78">
        <f t="shared" si="14"/>
        <v>0.42735042735042739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2.6999999999999997</v>
      </c>
      <c r="Y183" s="55">
        <f t="shared" si="10"/>
        <v>2.7</v>
      </c>
      <c r="Z183" s="41">
        <f>IFERROR(IF(Y183=0,"",ROUNDUP(Y183/H183,0)*0.00417),"")</f>
        <v>1.251E-2</v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3.3299999999999996</v>
      </c>
      <c r="BN183" s="78">
        <f t="shared" si="12"/>
        <v>3.33</v>
      </c>
      <c r="BO183" s="78">
        <f t="shared" si="13"/>
        <v>8.9285714285714263E-3</v>
      </c>
      <c r="BP183" s="78">
        <f t="shared" si="14"/>
        <v>8.9285714285714281E-3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140</v>
      </c>
      <c r="Y185" s="55">
        <f t="shared" si="10"/>
        <v>141.12</v>
      </c>
      <c r="Z185" s="41">
        <f>IFERROR(IF(Y185=0,"",ROUNDUP(Y185/H185,0)*0.00502),"")</f>
        <v>0.42168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148.33333333333334</v>
      </c>
      <c r="BN185" s="78">
        <f t="shared" si="12"/>
        <v>149.52000000000001</v>
      </c>
      <c r="BO185" s="78">
        <f t="shared" si="13"/>
        <v>0.35612535612535623</v>
      </c>
      <c r="BP185" s="78">
        <f t="shared" si="14"/>
        <v>0.35897435897435903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84.000000000000014</v>
      </c>
      <c r="Y187" s="55">
        <f t="shared" si="10"/>
        <v>84</v>
      </c>
      <c r="Z187" s="41">
        <f>IFERROR(IF(Y187=0,"",ROUNDUP(Y187/H187,0)*0.00502),"")</f>
        <v>0.251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89.000000000000028</v>
      </c>
      <c r="BN187" s="78">
        <f t="shared" si="12"/>
        <v>89.000000000000014</v>
      </c>
      <c r="BO187" s="78">
        <f t="shared" si="13"/>
        <v>0.21367521367521372</v>
      </c>
      <c r="BP187" s="78">
        <f t="shared" si="14"/>
        <v>0.21367521367521369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436.33333333333337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439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3.0092299999999996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1094.7</v>
      </c>
      <c r="Y189" s="43">
        <f>IFERROR(SUM(Y177:Y187),"0")</f>
        <v>1102.8200000000002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42</v>
      </c>
      <c r="Y192" s="55">
        <f>IFERROR(IF(X192="",0,CEILING((X192/$H192),1)*$H192),"")</f>
        <v>42.84</v>
      </c>
      <c r="Z192" s="41">
        <f>IFERROR(IF(Y192=0,"",ROUNDUP(Y192/H192,0)*0.00651),"")</f>
        <v>0.11067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46.1</v>
      </c>
      <c r="BN192" s="78">
        <f>IFERROR(Y192*I192/H192,"0")</f>
        <v>47.022000000000006</v>
      </c>
      <c r="BO192" s="78">
        <f>IFERROR(1/J192*(X192/H192),"0")</f>
        <v>9.1575091575091583E-2</v>
      </c>
      <c r="BP192" s="78">
        <f>IFERROR(1/J192*(Y192/H192),"0")</f>
        <v>9.3406593406593408E-2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16.666666666666668</v>
      </c>
      <c r="Y194" s="43">
        <f>IFERROR(Y191/H191,"0")+IFERROR(Y192/H192,"0")+IFERROR(Y193/H193,"0")</f>
        <v>17</v>
      </c>
      <c r="Z194" s="43">
        <f>IFERROR(IF(Z191="",0,Z191),"0")+IFERROR(IF(Z192="",0,Z192),"0")+IFERROR(IF(Z193="",0,Z193),"0")</f>
        <v>0.11067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42</v>
      </c>
      <c r="Y195" s="43">
        <f>IFERROR(SUM(Y191:Y193),"0")</f>
        <v>42.84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100</v>
      </c>
      <c r="Y213" s="55">
        <f t="shared" si="15"/>
        <v>108</v>
      </c>
      <c r="Z213" s="41">
        <f t="shared" si="16"/>
        <v>0.1898</v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103.79629629629629</v>
      </c>
      <c r="BN213" s="78">
        <f t="shared" si="18"/>
        <v>112.1</v>
      </c>
      <c r="BO213" s="78">
        <f t="shared" si="19"/>
        <v>0.14467592592592593</v>
      </c>
      <c r="BP213" s="78">
        <f t="shared" si="20"/>
        <v>0.15625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9.2592592592592595</v>
      </c>
      <c r="Y215" s="43">
        <f>IFERROR(Y208/H208,"0")+IFERROR(Y209/H209,"0")+IFERROR(Y210/H210,"0")+IFERROR(Y211/H211,"0")+IFERROR(Y212/H212,"0")+IFERROR(Y213/H213,"0")+IFERROR(Y214/H214,"0")</f>
        <v>10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0.1898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100</v>
      </c>
      <c r="Y216" s="43">
        <f>IFERROR(SUM(Y208:Y214),"0")</f>
        <v>108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ref="Y223:Y236" si="21">IFERROR(IF(X223="",0,CEILING((X223/$H223),1)*$H223),"")</f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52.976190476190474</v>
      </c>
      <c r="BN223" s="78">
        <f t="shared" ref="BN223:BN236" si="23">IFERROR(Y223*I223/H223,"0")</f>
        <v>53.400000000000006</v>
      </c>
      <c r="BO223" s="78">
        <f t="shared" ref="BO223:BO236" si="24">IFERROR(1/J223*(X223/H223),"0")</f>
        <v>9.0187590187590191E-2</v>
      </c>
      <c r="BP223" s="78">
        <f t="shared" ref="BP223:BP236" si="25">IFERROR(1/J223*(Y223/H223),"0")</f>
        <v>9.0909090909090912E-2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87.5</v>
      </c>
      <c r="Y227" s="55">
        <f t="shared" si="21"/>
        <v>88.2</v>
      </c>
      <c r="Z227" s="41">
        <f t="shared" ref="Z227:Z232" si="26">IFERROR(IF(Y227=0,"",ROUNDUP(Y227/H227,0)*0.00502),"")</f>
        <v>0.21084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92.916666666666657</v>
      </c>
      <c r="BN227" s="78">
        <f t="shared" si="23"/>
        <v>93.66</v>
      </c>
      <c r="BO227" s="78">
        <f t="shared" si="24"/>
        <v>0.17806267806267806</v>
      </c>
      <c r="BP227" s="78">
        <f t="shared" si="25"/>
        <v>0.17948717948717952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280</v>
      </c>
      <c r="Y229" s="55">
        <f t="shared" si="21"/>
        <v>281.40000000000003</v>
      </c>
      <c r="Z229" s="41">
        <f t="shared" si="26"/>
        <v>0.67268000000000006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297.33333333333331</v>
      </c>
      <c r="BN229" s="78">
        <f t="shared" si="23"/>
        <v>298.82</v>
      </c>
      <c r="BO229" s="78">
        <f t="shared" si="24"/>
        <v>0.56980056980056981</v>
      </c>
      <c r="BP229" s="78">
        <f t="shared" si="25"/>
        <v>0.57264957264957272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140</v>
      </c>
      <c r="Y234" s="55">
        <f t="shared" si="21"/>
        <v>140.70000000000002</v>
      </c>
      <c r="Z234" s="41">
        <f>IFERROR(IF(Y234=0,"",ROUNDUP(Y234/H234,0)*0.00502),"")</f>
        <v>0.33634000000000003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146.66666666666666</v>
      </c>
      <c r="BN234" s="78">
        <f t="shared" si="23"/>
        <v>147.40000000000003</v>
      </c>
      <c r="BO234" s="78">
        <f t="shared" si="24"/>
        <v>0.28490028490028491</v>
      </c>
      <c r="BP234" s="78">
        <f t="shared" si="25"/>
        <v>0.28632478632478636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253.57142857142853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1.3281000000000001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557.5</v>
      </c>
      <c r="Y238" s="43">
        <f>IFERROR(SUM(Y223:Y236),"0")</f>
        <v>560.70000000000005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ref="Y269:Y276" si="27">IFERROR(IF(X269="",0,CEILING((X269/$H269),1)*$H269),"")</f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258.7962962962963</v>
      </c>
      <c r="BN269" s="78">
        <f t="shared" ref="BN269:BN276" si="29">IFERROR(Y269*I269/H269,"0")</f>
        <v>262.72999999999996</v>
      </c>
      <c r="BO269" s="78">
        <f t="shared" ref="BO269:BO276" si="30">IFERROR(1/J269*(X269/H269),"0")</f>
        <v>0.35072951739618402</v>
      </c>
      <c r="BP269" s="78">
        <f t="shared" ref="BP269:BP276" si="31">IFERROR(1/J269*(Y269/H269),"0")</f>
        <v>0.35606060606060608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27"/>
        <v>54</v>
      </c>
      <c r="Z271" s="41">
        <f>IFERROR(IF(Y271=0,"",ROUNDUP(Y271/H271,0)*0.00902),"")</f>
        <v>9.0200000000000002E-2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51.759259259259252</v>
      </c>
      <c r="BN271" s="78">
        <f t="shared" si="29"/>
        <v>55.9</v>
      </c>
      <c r="BO271" s="78">
        <f t="shared" si="30"/>
        <v>7.0145903479236812E-2</v>
      </c>
      <c r="BP271" s="78">
        <f t="shared" si="31"/>
        <v>7.575757575757576E-2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27"/>
        <v>43.2</v>
      </c>
      <c r="Z272" s="41">
        <f>IFERROR(IF(Y272=0,"",ROUNDUP(Y272/H272,0)*0.00902),"")</f>
        <v>7.2160000000000002E-2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41.407407407407405</v>
      </c>
      <c r="BN272" s="78">
        <f t="shared" si="29"/>
        <v>44.72</v>
      </c>
      <c r="BO272" s="78">
        <f t="shared" si="30"/>
        <v>5.6116722783389444E-2</v>
      </c>
      <c r="BP272" s="78">
        <f t="shared" si="31"/>
        <v>6.0606060606060608E-2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27"/>
        <v>120.60000000000001</v>
      </c>
      <c r="Z273" s="41">
        <f>IFERROR(IF(Y273=0,"",ROUNDUP(Y273/H273,0)*0.00502),"")</f>
        <v>0.33634000000000003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128.66666666666666</v>
      </c>
      <c r="BN273" s="78">
        <f t="shared" si="29"/>
        <v>129.31</v>
      </c>
      <c r="BO273" s="78">
        <f t="shared" si="30"/>
        <v>0.28490028490028496</v>
      </c>
      <c r="BP273" s="78">
        <f t="shared" si="31"/>
        <v>0.28632478632478636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27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63.333333333333329</v>
      </c>
      <c r="BN274" s="78">
        <f t="shared" si="29"/>
        <v>64.599999999999994</v>
      </c>
      <c r="BO274" s="78">
        <f t="shared" si="30"/>
        <v>0.14245014245014248</v>
      </c>
      <c r="BP274" s="78">
        <f t="shared" si="31"/>
        <v>0.14529914529914531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90</v>
      </c>
      <c r="Y275" s="55">
        <f t="shared" si="27"/>
        <v>90</v>
      </c>
      <c r="Z275" s="41">
        <f>IFERROR(IF(Y275=0,"",ROUNDUP(Y275/H275,0)*0.00502),"")</f>
        <v>0.251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95</v>
      </c>
      <c r="BN275" s="78">
        <f t="shared" si="29"/>
        <v>95</v>
      </c>
      <c r="BO275" s="78">
        <f t="shared" si="30"/>
        <v>0.21367521367521369</v>
      </c>
      <c r="BP275" s="78">
        <f t="shared" si="31"/>
        <v>0.21367521367521369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30</v>
      </c>
      <c r="Y276" s="55">
        <f t="shared" si="27"/>
        <v>30.6</v>
      </c>
      <c r="Z276" s="41">
        <f>IFERROR(IF(Y276=0,"",ROUNDUP(Y276/H276,0)*0.00502),"")</f>
        <v>8.5339999999999999E-2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31.666666666666664</v>
      </c>
      <c r="BN276" s="78">
        <f t="shared" si="29"/>
        <v>32.299999999999997</v>
      </c>
      <c r="BO276" s="78">
        <f t="shared" si="30"/>
        <v>7.122507122507124E-2</v>
      </c>
      <c r="BP276" s="78">
        <f t="shared" si="31"/>
        <v>7.2649572649572655E-2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229.62962962962962</v>
      </c>
      <c r="Y277" s="43">
        <f>IFERROR(Y269/H269,"0")+IFERROR(Y270/H270,"0")+IFERROR(Y271/H271,"0")+IFERROR(Y272/H272,"0")+IFERROR(Y273/H273,"0")+IFERROR(Y274/H274,"0")+IFERROR(Y275/H275,"0")+IFERROR(Y276/H276,"0")</f>
        <v>233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1.4296600000000002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640</v>
      </c>
      <c r="Y278" s="43">
        <f>IFERROR(SUM(Y269:Y276),"0")</f>
        <v>653.40000000000009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ref="Y280:Y291" si="32">IFERROR(IF(X280="",0,CEILING((X280/$H280),1)*$H280),"")</f>
        <v>153.9</v>
      </c>
      <c r="Z280" s="41">
        <f>IFERROR(IF(Y280=0,"",ROUNDUP(Y280/H280,0)*0.01898),"")</f>
        <v>0.36062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159.14814814814815</v>
      </c>
      <c r="BN280" s="78">
        <f t="shared" ref="BN280:BN291" si="34">IFERROR(Y280*I280/H280,"0")</f>
        <v>163.286</v>
      </c>
      <c r="BO280" s="78">
        <f t="shared" ref="BO280:BO291" si="35">IFERROR(1/J280*(X280/H280),"0")</f>
        <v>0.28935185185185186</v>
      </c>
      <c r="BP280" s="78">
        <f t="shared" ref="BP280:BP291" si="36">IFERROR(1/J280*(Y280/H280),"0")</f>
        <v>0.296875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32"/>
        <v>153.9</v>
      </c>
      <c r="Z281" s="41">
        <f>IFERROR(IF(Y281=0,"",ROUNDUP(Y281/H281,0)*0.01898),"")</f>
        <v>0.36062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158.81481481481484</v>
      </c>
      <c r="BN281" s="78">
        <f t="shared" si="34"/>
        <v>162.94400000000002</v>
      </c>
      <c r="BO281" s="78">
        <f t="shared" si="35"/>
        <v>0.28935185185185186</v>
      </c>
      <c r="BP281" s="78">
        <f t="shared" si="36"/>
        <v>0.296875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300</v>
      </c>
      <c r="Y282" s="55">
        <f t="shared" si="32"/>
        <v>304.5</v>
      </c>
      <c r="Z282" s="41">
        <f>IFERROR(IF(Y282=0,"",ROUNDUP(Y282/H282,0)*0.01898),"")</f>
        <v>0.6643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317.03448275862075</v>
      </c>
      <c r="BN282" s="78">
        <f t="shared" si="34"/>
        <v>321.79000000000008</v>
      </c>
      <c r="BO282" s="78">
        <f t="shared" si="35"/>
        <v>0.53879310344827591</v>
      </c>
      <c r="BP282" s="78">
        <f t="shared" si="36"/>
        <v>0.546875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280</v>
      </c>
      <c r="Y283" s="55">
        <f t="shared" si="32"/>
        <v>280.8</v>
      </c>
      <c r="Z283" s="41">
        <f>IFERROR(IF(Y283=0,"",ROUNDUP(Y283/H283,0)*0.00651),"")</f>
        <v>0.76167000000000007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311.5</v>
      </c>
      <c r="BN283" s="78">
        <f t="shared" si="34"/>
        <v>312.39</v>
      </c>
      <c r="BO283" s="78">
        <f t="shared" si="35"/>
        <v>0.64102564102564108</v>
      </c>
      <c r="BP283" s="78">
        <f t="shared" si="36"/>
        <v>0.64285714285714302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160</v>
      </c>
      <c r="Y286" s="55">
        <f t="shared" si="32"/>
        <v>160.79999999999998</v>
      </c>
      <c r="Z286" s="41">
        <f>IFERROR(IF(Y286=0,"",ROUNDUP(Y286/H286,0)*0.00651),"")</f>
        <v>0.43617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176.80000000000004</v>
      </c>
      <c r="BN286" s="78">
        <f t="shared" si="34"/>
        <v>177.684</v>
      </c>
      <c r="BO286" s="78">
        <f t="shared" si="35"/>
        <v>0.36630036630036633</v>
      </c>
      <c r="BP286" s="78">
        <f t="shared" si="36"/>
        <v>0.36813186813186816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80</v>
      </c>
      <c r="Y289" s="55">
        <f t="shared" si="32"/>
        <v>81.599999999999994</v>
      </c>
      <c r="Z289" s="41">
        <f>IFERROR(IF(Y289=0,"",ROUNDUP(Y289/H289,0)*0.00651),"")</f>
        <v>0.22134000000000001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88.40000000000002</v>
      </c>
      <c r="BN289" s="78">
        <f t="shared" si="34"/>
        <v>90.168000000000006</v>
      </c>
      <c r="BO289" s="78">
        <f t="shared" si="35"/>
        <v>0.18315018315018317</v>
      </c>
      <c r="BP289" s="78">
        <f t="shared" si="36"/>
        <v>0.18681318681318682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120</v>
      </c>
      <c r="Y290" s="55">
        <f t="shared" si="32"/>
        <v>120</v>
      </c>
      <c r="Z290" s="41">
        <f>IFERROR(IF(Y290=0,"",ROUNDUP(Y290/H290,0)*0.00651),"")</f>
        <v>0.32550000000000001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132.9</v>
      </c>
      <c r="BN290" s="78">
        <f t="shared" si="34"/>
        <v>132.9</v>
      </c>
      <c r="BO290" s="78">
        <f t="shared" si="35"/>
        <v>0.27472527472527475</v>
      </c>
      <c r="BP290" s="78">
        <f t="shared" si="36"/>
        <v>0.27472527472527475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338.18646232439335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341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3.1302200000000004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1240</v>
      </c>
      <c r="Y293" s="43">
        <f>IFERROR(SUM(Y280:Y291),"0")</f>
        <v>1255.4999999999998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32</v>
      </c>
      <c r="Y295" s="55">
        <f>IFERROR(IF(X295="",0,CEILING((X295/$H295),1)*$H295),"")</f>
        <v>33.6</v>
      </c>
      <c r="Z295" s="41">
        <f>IFERROR(IF(Y295=0,"",ROUNDUP(Y295/H295,0)*0.00651),"")</f>
        <v>9.1139999999999999E-2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35.360000000000007</v>
      </c>
      <c r="BN295" s="78">
        <f>IFERROR(Y295*I295/H295,"0")</f>
        <v>37.128000000000007</v>
      </c>
      <c r="BO295" s="78">
        <f>IFERROR(1/J295*(X295/H295),"0")</f>
        <v>7.3260073260073263E-2</v>
      </c>
      <c r="BP295" s="78">
        <f>IFERROR(1/J295*(Y295/H295),"0")</f>
        <v>7.6923076923076941E-2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40</v>
      </c>
      <c r="Y296" s="55">
        <f>IFERROR(IF(X296="",0,CEILING((X296/$H296),1)*$H296),"")</f>
        <v>40.799999999999997</v>
      </c>
      <c r="Z296" s="41">
        <f>IFERROR(IF(Y296=0,"",ROUNDUP(Y296/H296,0)*0.00651),"")</f>
        <v>0.11067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44.20000000000001</v>
      </c>
      <c r="BN296" s="78">
        <f>IFERROR(Y296*I296/H296,"0")</f>
        <v>45.084000000000003</v>
      </c>
      <c r="BO296" s="78">
        <f>IFERROR(1/J296*(X296/H296),"0")</f>
        <v>9.1575091575091583E-2</v>
      </c>
      <c r="BP296" s="78">
        <f>IFERROR(1/J296*(Y296/H296),"0")</f>
        <v>9.3406593406593408E-2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30</v>
      </c>
      <c r="Y297" s="43">
        <f>IFERROR(Y295/H295,"0")+IFERROR(Y296/H296,"0")</f>
        <v>31</v>
      </c>
      <c r="Z297" s="43">
        <f>IFERROR(IF(Z295="",0,Z295),"0")+IFERROR(IF(Z296="",0,Z296),"0")</f>
        <v>0.20180999999999999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72</v>
      </c>
      <c r="Y298" s="43">
        <f>IFERROR(SUM(Y295:Y296),"0")</f>
        <v>74.400000000000006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40</v>
      </c>
      <c r="Y303" s="55">
        <f t="shared" si="37"/>
        <v>46.4</v>
      </c>
      <c r="Z303" s="41">
        <f>IFERROR(IF(Y303=0,"",ROUNDUP(Y303/H303,0)*0.01898),"")</f>
        <v>7.5920000000000001E-2</v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41.413793103448278</v>
      </c>
      <c r="BN303" s="78">
        <f t="shared" si="39"/>
        <v>48.04</v>
      </c>
      <c r="BO303" s="78">
        <f t="shared" si="40"/>
        <v>5.387931034482759E-2</v>
      </c>
      <c r="BP303" s="78">
        <f t="shared" si="41"/>
        <v>6.25E-2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8</v>
      </c>
      <c r="Y304" s="55">
        <f t="shared" si="37"/>
        <v>8</v>
      </c>
      <c r="Z304" s="41">
        <f>IFERROR(IF(Y304=0,"",ROUNDUP(Y304/H304,0)*0.00902),"")</f>
        <v>1.804E-2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8.3800000000000008</v>
      </c>
      <c r="BN304" s="78">
        <f t="shared" si="39"/>
        <v>8.3800000000000008</v>
      </c>
      <c r="BO304" s="78">
        <f t="shared" si="40"/>
        <v>1.5151515151515152E-2</v>
      </c>
      <c r="BP304" s="78">
        <f t="shared" si="41"/>
        <v>1.5151515151515152E-2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5.4482758620689662</v>
      </c>
      <c r="Y308" s="43">
        <f>IFERROR(Y301/H301,"0")+IFERROR(Y302/H302,"0")+IFERROR(Y303/H303,"0")+IFERROR(Y304/H304,"0")+IFERROR(Y305/H305,"0")+IFERROR(Y306/H306,"0")+IFERROR(Y307/H307,"0")</f>
        <v>6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9.3960000000000002E-2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48</v>
      </c>
      <c r="Y309" s="43">
        <f>IFERROR(SUM(Y301:Y307),"0")</f>
        <v>54.4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60</v>
      </c>
      <c r="Y336" s="55">
        <f>IFERROR(IF(X336="",0,CEILING((X336/$H336),1)*$H336),"")</f>
        <v>60</v>
      </c>
      <c r="Z336" s="41">
        <f>IFERROR(IF(Y336=0,"",ROUNDUP(Y336/H336,0)*0.00651),"")</f>
        <v>0.16275000000000001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66.300000000000011</v>
      </c>
      <c r="BN336" s="78">
        <f>IFERROR(Y336*I336/H336,"0")</f>
        <v>66.300000000000011</v>
      </c>
      <c r="BO336" s="78">
        <f>IFERROR(1/J336*(X336/H336),"0")</f>
        <v>0.13736263736263737</v>
      </c>
      <c r="BP336" s="78">
        <f>IFERROR(1/J336*(Y336/H336),"0")</f>
        <v>0.13736263736263737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280</v>
      </c>
      <c r="Y337" s="55">
        <f>IFERROR(IF(X337="",0,CEILING((X337/$H337),1)*$H337),"")</f>
        <v>280.8</v>
      </c>
      <c r="Z337" s="41">
        <f>IFERROR(IF(Y337=0,"",ROUNDUP(Y337/H337,0)*0.00651),"")</f>
        <v>0.76167000000000007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301</v>
      </c>
      <c r="BN337" s="78">
        <f>IFERROR(Y337*I337/H337,"0")</f>
        <v>301.86</v>
      </c>
      <c r="BO337" s="78">
        <f>IFERROR(1/J337*(X337/H337),"0")</f>
        <v>0.64102564102564108</v>
      </c>
      <c r="BP337" s="78">
        <f>IFERROR(1/J337*(Y337/H337),"0")</f>
        <v>0.64285714285714302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141.66666666666669</v>
      </c>
      <c r="Y338" s="43">
        <f>IFERROR(Y335/H335,"0")+IFERROR(Y336/H336,"0")+IFERROR(Y337/H337,"0")</f>
        <v>142</v>
      </c>
      <c r="Z338" s="43">
        <f>IFERROR(IF(Z335="",0,Z335),"0")+IFERROR(IF(Z336="",0,Z336),"0")+IFERROR(IF(Z337="",0,Z337),"0")</f>
        <v>0.92442000000000002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340</v>
      </c>
      <c r="Y339" s="43">
        <f>IFERROR(SUM(Y335:Y337),"0")</f>
        <v>340.8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200</v>
      </c>
      <c r="Y356" s="55">
        <f>IFERROR(IF(X356="",0,CEILING((X356/$H356),1)*$H356),"")</f>
        <v>202.79999999999998</v>
      </c>
      <c r="Z356" s="41">
        <f>IFERROR(IF(Y356=0,"",ROUNDUP(Y356/H356,0)*0.01898),"")</f>
        <v>0.49348000000000003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210.51282051282055</v>
      </c>
      <c r="BN356" s="78">
        <f>IFERROR(Y356*I356/H356,"0")</f>
        <v>213.46</v>
      </c>
      <c r="BO356" s="78">
        <f>IFERROR(1/J356*(X356/H356),"0")</f>
        <v>0.40064102564102566</v>
      </c>
      <c r="BP356" s="78">
        <f>IFERROR(1/J356*(Y356/H356),"0")</f>
        <v>0.40625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200</v>
      </c>
      <c r="Y357" s="55">
        <f>IFERROR(IF(X357="",0,CEILING((X357/$H357),1)*$H357),"")</f>
        <v>202.79999999999998</v>
      </c>
      <c r="Z357" s="41">
        <f>IFERROR(IF(Y357=0,"",ROUNDUP(Y357/H357,0)*0.01898),"")</f>
        <v>0.49348000000000003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210.51282051282055</v>
      </c>
      <c r="BN357" s="78">
        <f>IFERROR(Y357*I357/H357,"0")</f>
        <v>213.46</v>
      </c>
      <c r="BO357" s="78">
        <f>IFERROR(1/J357*(X357/H357),"0")</f>
        <v>0.40064102564102566</v>
      </c>
      <c r="BP357" s="78">
        <f>IFERROR(1/J357*(Y357/H357),"0")</f>
        <v>0.40625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100</v>
      </c>
      <c r="Y358" s="55">
        <f>IFERROR(IF(X358="",0,CEILING((X358/$H358),1)*$H358),"")</f>
        <v>101.39999999999999</v>
      </c>
      <c r="Z358" s="41">
        <f>IFERROR(IF(Y358=0,"",ROUNDUP(Y358/H358,0)*0.01898),"")</f>
        <v>0.24674000000000001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105.25641025641028</v>
      </c>
      <c r="BN358" s="78">
        <f>IFERROR(Y358*I358/H358,"0")</f>
        <v>106.73</v>
      </c>
      <c r="BO358" s="78">
        <f>IFERROR(1/J358*(X358/H358),"0")</f>
        <v>0.20032051282051283</v>
      </c>
      <c r="BP358" s="78">
        <f>IFERROR(1/J358*(Y358/H358),"0")</f>
        <v>0.203125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64.102564102564102</v>
      </c>
      <c r="Y359" s="43">
        <f>IFERROR(Y356/H356,"0")+IFERROR(Y357/H357,"0")+IFERROR(Y358/H358,"0")</f>
        <v>65</v>
      </c>
      <c r="Z359" s="43">
        <f>IFERROR(IF(Z356="",0,Z356),"0")+IFERROR(IF(Z357="",0,Z357),"0")+IFERROR(IF(Z358="",0,Z358),"0")</f>
        <v>1.2337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500</v>
      </c>
      <c r="Y360" s="43">
        <f>IFERROR(SUM(Y356:Y358),"0")</f>
        <v>506.99999999999994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50</v>
      </c>
      <c r="Y363" s="55">
        <f t="shared" ref="Y363:Y368" si="42">IFERROR(IF(X363="",0,CEILING((X363/$H363),1)*$H363),"")</f>
        <v>54</v>
      </c>
      <c r="Z363" s="41">
        <f>IFERROR(IF(Y363=0,"",ROUNDUP(Y363/H363,0)*0.01898),"")</f>
        <v>9.4899999999999998E-2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51.898148148148145</v>
      </c>
      <c r="BN363" s="78">
        <f t="shared" ref="BN363:BN368" si="44">IFERROR(Y363*I363/H363,"0")</f>
        <v>56.05</v>
      </c>
      <c r="BO363" s="78">
        <f t="shared" ref="BO363:BO368" si="45">IFERROR(1/J363*(X363/H363),"0")</f>
        <v>7.2337962962962965E-2</v>
      </c>
      <c r="BP363" s="78">
        <f t="shared" ref="BP363:BP368" si="46">IFERROR(1/J363*(Y363/H363),"0")</f>
        <v>7.8125E-2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4.6296296296296298</v>
      </c>
      <c r="Y369" s="43">
        <f>IFERROR(Y363/H363,"0")+IFERROR(Y364/H364,"0")+IFERROR(Y365/H365,"0")+IFERROR(Y366/H366,"0")+IFERROR(Y367/H367,"0")+IFERROR(Y368/H368,"0")</f>
        <v>5</v>
      </c>
      <c r="Z369" s="43">
        <f>IFERROR(IF(Z363="",0,Z363),"0")+IFERROR(IF(Z364="",0,Z364),"0")+IFERROR(IF(Z365="",0,Z365),"0")+IFERROR(IF(Z366="",0,Z366),"0")+IFERROR(IF(Z367="",0,Z367),"0")+IFERROR(IF(Z368="",0,Z368),"0")</f>
        <v>9.4899999999999998E-2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50</v>
      </c>
      <c r="Y370" s="43">
        <f>IFERROR(SUM(Y363:Y368),"0")</f>
        <v>54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300</v>
      </c>
      <c r="Y389" s="55">
        <f>IFERROR(IF(X389="",0,CEILING((X389/$H389),1)*$H389),"")</f>
        <v>302.40000000000003</v>
      </c>
      <c r="Z389" s="41">
        <f>IFERROR(IF(Y389=0,"",ROUNDUP(Y389/H389,0)*0.01898),"")</f>
        <v>0.68328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317.64285714285711</v>
      </c>
      <c r="BN389" s="78">
        <f>IFERROR(Y389*I389/H389,"0")</f>
        <v>320.18400000000003</v>
      </c>
      <c r="BO389" s="78">
        <f>IFERROR(1/J389*(X389/H389),"0")</f>
        <v>0.5580357142857143</v>
      </c>
      <c r="BP389" s="78">
        <f>IFERROR(1/J389*(Y389/H389),"0")</f>
        <v>0.5625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400</v>
      </c>
      <c r="Y390" s="55">
        <f>IFERROR(IF(X390="",0,CEILING((X390/$H390),1)*$H390),"")</f>
        <v>405.59999999999997</v>
      </c>
      <c r="Z390" s="41">
        <f>IFERROR(IF(Y390=0,"",ROUNDUP(Y390/H390,0)*0.01898),"")</f>
        <v>0.98696000000000006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425.33333333333337</v>
      </c>
      <c r="BN390" s="78">
        <f>IFERROR(Y390*I390/H390,"0")</f>
        <v>431.28799999999995</v>
      </c>
      <c r="BO390" s="78">
        <f>IFERROR(1/J390*(X390/H390),"0")</f>
        <v>0.80128205128205132</v>
      </c>
      <c r="BP390" s="78">
        <f>IFERROR(1/J390*(Y390/H390),"0")</f>
        <v>0.8125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70</v>
      </c>
      <c r="Y391" s="55">
        <f>IFERROR(IF(X391="",0,CEILING((X391/$H391),1)*$H391),"")</f>
        <v>75.600000000000009</v>
      </c>
      <c r="Z391" s="41">
        <f>IFERROR(IF(Y391=0,"",ROUNDUP(Y391/H391,0)*0.01898),"")</f>
        <v>0.17082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74.116666666666674</v>
      </c>
      <c r="BN391" s="78">
        <f>IFERROR(Y391*I391/H391,"0")</f>
        <v>80.046000000000006</v>
      </c>
      <c r="BO391" s="78">
        <f>IFERROR(1/J391*(X391/H391),"0")</f>
        <v>0.13020833333333331</v>
      </c>
      <c r="BP391" s="78">
        <f>IFERROR(1/J391*(Y391/H391),"0")</f>
        <v>0.140625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95.329670329670321</v>
      </c>
      <c r="Y392" s="43">
        <f>IFERROR(Y389/H389,"0")+IFERROR(Y390/H390,"0")+IFERROR(Y391/H391,"0")</f>
        <v>97</v>
      </c>
      <c r="Z392" s="43">
        <f>IFERROR(IF(Z389="",0,Z389),"0")+IFERROR(IF(Z390="",0,Z390),"0")+IFERROR(IF(Z391="",0,Z391),"0")</f>
        <v>1.8410600000000001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770</v>
      </c>
      <c r="Y393" s="43">
        <f>IFERROR(SUM(Y389:Y391),"0")</f>
        <v>783.6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51.000000000000007</v>
      </c>
      <c r="Y397" s="55">
        <f>IFERROR(IF(X397="",0,CEILING((X397/$H397),1)*$H397),"")</f>
        <v>51</v>
      </c>
      <c r="Z397" s="41">
        <f>IFERROR(IF(Y397=0,"",ROUNDUP(Y397/H397,0)*0.00651),"")</f>
        <v>0.13020000000000001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59.100000000000009</v>
      </c>
      <c r="BN397" s="78">
        <f>IFERROR(Y397*I397/H397,"0")</f>
        <v>59.100000000000009</v>
      </c>
      <c r="BO397" s="78">
        <f>IFERROR(1/J397*(X397/H397),"0")</f>
        <v>0.10989010989010992</v>
      </c>
      <c r="BP397" s="78">
        <f>IFERROR(1/J397*(Y397/H397),"0")</f>
        <v>0.1098901098901099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170</v>
      </c>
      <c r="Y398" s="55">
        <f>IFERROR(IF(X398="",0,CEILING((X398/$H398),1)*$H398),"")</f>
        <v>170.85</v>
      </c>
      <c r="Z398" s="41">
        <f>IFERROR(IF(Y398=0,"",ROUNDUP(Y398/H398,0)*0.00651),"")</f>
        <v>0.43617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192</v>
      </c>
      <c r="BN398" s="78">
        <f>IFERROR(Y398*I398/H398,"0")</f>
        <v>192.95999999999998</v>
      </c>
      <c r="BO398" s="78">
        <f>IFERROR(1/J398*(X398/H398),"0")</f>
        <v>0.36630036630036633</v>
      </c>
      <c r="BP398" s="78">
        <f>IFERROR(1/J398*(Y398/H398),"0")</f>
        <v>0.36813186813186816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86.666666666666671</v>
      </c>
      <c r="Y399" s="43">
        <f>IFERROR(Y395/H395,"0")+IFERROR(Y396/H396,"0")+IFERROR(Y397/H397,"0")+IFERROR(Y398/H398,"0")</f>
        <v>87</v>
      </c>
      <c r="Z399" s="43">
        <f>IFERROR(IF(Z395="",0,Z395),"0")+IFERROR(IF(Z396="",0,Z396),"0")+IFERROR(IF(Z397="",0,Z397),"0")+IFERROR(IF(Z398="",0,Z398),"0")</f>
        <v>0.56637000000000004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221</v>
      </c>
      <c r="Y400" s="43">
        <f>IFERROR(SUM(Y395:Y398),"0")</f>
        <v>221.85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50</v>
      </c>
      <c r="Y408" s="55">
        <f>IFERROR(IF(X408="",0,CEILING((X408/$H408),1)*$H408),"")</f>
        <v>51</v>
      </c>
      <c r="Z408" s="41">
        <f>IFERROR(IF(Y408=0,"",ROUNDUP(Y408/H408,0)*0.0045),"")</f>
        <v>7.6499999999999999E-2</v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53.666666666666664</v>
      </c>
      <c r="BN408" s="78">
        <f>IFERROR(Y408*I408/H408,"0")</f>
        <v>54.74</v>
      </c>
      <c r="BO408" s="78">
        <f>IFERROR(1/J408*(X408/H408),"0")</f>
        <v>7.4404761904761904E-2</v>
      </c>
      <c r="BP408" s="78">
        <f>IFERROR(1/J408*(Y408/H408),"0")</f>
        <v>7.5892857142857137E-2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48.75</v>
      </c>
      <c r="Y409" s="55">
        <f>IFERROR(IF(X409="",0,CEILING((X409/$H409),1)*$H409),"")</f>
        <v>50.699999999999996</v>
      </c>
      <c r="Z409" s="41">
        <f>IFERROR(IF(Y409=0,"",ROUNDUP(Y409/H409,0)*0.006),"")</f>
        <v>7.8E-2</v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52.125</v>
      </c>
      <c r="BN409" s="78">
        <f>IFERROR(Y409*I409/H409,"0")</f>
        <v>54.209999999999994</v>
      </c>
      <c r="BO409" s="78">
        <f>IFERROR(1/J409*(X409/H409),"0")</f>
        <v>8.6805555555555552E-2</v>
      </c>
      <c r="BP409" s="78">
        <f>IFERROR(1/J409*(Y409/H409),"0")</f>
        <v>9.0277777777777776E-2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45</v>
      </c>
      <c r="Y410" s="55">
        <f>IFERROR(IF(X410="",0,CEILING((X410/$H410),1)*$H410),"")</f>
        <v>45</v>
      </c>
      <c r="Z410" s="41">
        <f>IFERROR(IF(Y410=0,"",ROUNDUP(Y410/H410,0)*0.0045),"")</f>
        <v>6.7499999999999991E-2</v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48.300000000000004</v>
      </c>
      <c r="BN410" s="78">
        <f>IFERROR(Y410*I410/H410,"0")</f>
        <v>48.300000000000004</v>
      </c>
      <c r="BO410" s="78">
        <f>IFERROR(1/J410*(X410/H410),"0")</f>
        <v>6.6964285714285712E-2</v>
      </c>
      <c r="BP410" s="78">
        <f>IFERROR(1/J410*(Y410/H410),"0")</f>
        <v>6.6964285714285712E-2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44.166666666666671</v>
      </c>
      <c r="Y411" s="43">
        <f>IFERROR(Y408/H408,"0")+IFERROR(Y409/H409,"0")+IFERROR(Y410/H410,"0")</f>
        <v>45</v>
      </c>
      <c r="Z411" s="43">
        <f>IFERROR(IF(Z408="",0,Z408),"0")+IFERROR(IF(Z409="",0,Z409),"0")+IFERROR(IF(Z410="",0,Z410),"0")</f>
        <v>0.22199999999999998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143.75</v>
      </c>
      <c r="Y412" s="43">
        <f>IFERROR(SUM(Y408:Y410),"0")</f>
        <v>146.69999999999999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1050</v>
      </c>
      <c r="Y416" s="55">
        <f>IFERROR(IF(X416="",0,CEILING((X416/$H416),1)*$H416),"")</f>
        <v>1050</v>
      </c>
      <c r="Z416" s="41">
        <f>IFERROR(IF(Y416=0,"",ROUNDUP(Y416/H416,0)*0.00651),"")</f>
        <v>3.2549999999999999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1176</v>
      </c>
      <c r="BN416" s="78">
        <f>IFERROR(Y416*I416/H416,"0")</f>
        <v>1176</v>
      </c>
      <c r="BO416" s="78">
        <f>IFERROR(1/J416*(X416/H416),"0")</f>
        <v>2.7472527472527473</v>
      </c>
      <c r="BP416" s="78">
        <f>IFERROR(1/J416*(Y416/H416),"0")</f>
        <v>2.7472527472527473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525</v>
      </c>
      <c r="Y417" s="55">
        <f>IFERROR(IF(X417="",0,CEILING((X417/$H417),1)*$H417),"")</f>
        <v>525</v>
      </c>
      <c r="Z417" s="41">
        <f>IFERROR(IF(Y417=0,"",ROUNDUP(Y417/H417,0)*0.00651),"")</f>
        <v>1.6274999999999999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585</v>
      </c>
      <c r="BN417" s="78">
        <f>IFERROR(Y417*I417/H417,"0")</f>
        <v>585</v>
      </c>
      <c r="BO417" s="78">
        <f>IFERROR(1/J417*(X417/H417),"0")</f>
        <v>1.3736263736263736</v>
      </c>
      <c r="BP417" s="78">
        <f>IFERROR(1/J417*(Y417/H417),"0")</f>
        <v>1.3736263736263736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750</v>
      </c>
      <c r="Y418" s="43">
        <f>IFERROR(Y415/H415,"0")+IFERROR(Y416/H416,"0")+IFERROR(Y417/H417,"0")</f>
        <v>750</v>
      </c>
      <c r="Z418" s="43">
        <f>IFERROR(IF(Z415="",0,Z415),"0")+IFERROR(IF(Z416="",0,Z416),"0")+IFERROR(IF(Z417="",0,Z417),"0")</f>
        <v>4.8825000000000003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1575</v>
      </c>
      <c r="Y419" s="43">
        <f>IFERROR(SUM(Y415:Y417),"0")</f>
        <v>1575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200</v>
      </c>
      <c r="Y423" s="55">
        <f t="shared" ref="Y423:Y430" si="52">IFERROR(IF(X423="",0,CEILING((X423/$H423),1)*$H423),"")</f>
        <v>210</v>
      </c>
      <c r="Z423" s="41">
        <f>IFERROR(IF(Y423=0,"",ROUNDUP(Y423/H423,0)*0.02175),"")</f>
        <v>0.30449999999999999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206.26666666666668</v>
      </c>
      <c r="BN423" s="78">
        <f t="shared" ref="BN423:BN430" si="54">IFERROR(Y423*I423/H423,"0")</f>
        <v>216.58</v>
      </c>
      <c r="BO423" s="78">
        <f t="shared" ref="BO423:BO430" si="55">IFERROR(1/J423*(X423/H423),"0")</f>
        <v>0.27777777777777779</v>
      </c>
      <c r="BP423" s="78">
        <f t="shared" ref="BP423:BP430" si="56">IFERROR(1/J423*(Y423/H423),"0")</f>
        <v>0.29166666666666663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1500</v>
      </c>
      <c r="Y425" s="55">
        <f t="shared" si="52"/>
        <v>1500</v>
      </c>
      <c r="Z425" s="41">
        <f>IFERROR(IF(Y425=0,"",ROUNDUP(Y425/H425,0)*0.02175),"")</f>
        <v>2.1749999999999998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1547</v>
      </c>
      <c r="BN425" s="78">
        <f t="shared" si="54"/>
        <v>1547</v>
      </c>
      <c r="BO425" s="78">
        <f t="shared" si="55"/>
        <v>2.083333333333333</v>
      </c>
      <c r="BP425" s="78">
        <f t="shared" si="56"/>
        <v>2.083333333333333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25</v>
      </c>
      <c r="Y430" s="55">
        <f t="shared" si="52"/>
        <v>25</v>
      </c>
      <c r="Z430" s="41">
        <f>IFERROR(IF(Y430=0,"",ROUNDUP(Y430/H430,0)*0.00902),"")</f>
        <v>4.5100000000000001E-2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25.95</v>
      </c>
      <c r="BN430" s="78">
        <f t="shared" si="54"/>
        <v>25.95</v>
      </c>
      <c r="BO430" s="78">
        <f t="shared" si="55"/>
        <v>3.787878787878788E-2</v>
      </c>
      <c r="BP430" s="78">
        <f t="shared" si="56"/>
        <v>3.787878787878788E-2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118.33333333333333</v>
      </c>
      <c r="Y431" s="43">
        <f>IFERROR(Y423/H423,"0")+IFERROR(Y424/H424,"0")+IFERROR(Y425/H425,"0")+IFERROR(Y426/H426,"0")+IFERROR(Y427/H427,"0")+IFERROR(Y428/H428,"0")+IFERROR(Y429/H429,"0")+IFERROR(Y430/H430,"0")</f>
        <v>119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2.5246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1725</v>
      </c>
      <c r="Y432" s="43">
        <f>IFERROR(SUM(Y423:Y430),"0")</f>
        <v>1735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1500</v>
      </c>
      <c r="Y434" s="55">
        <f>IFERROR(IF(X434="",0,CEILING((X434/$H434),1)*$H434),"")</f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1547</v>
      </c>
      <c r="BN434" s="78">
        <f>IFERROR(Y434*I434/H434,"0")</f>
        <v>1547</v>
      </c>
      <c r="BO434" s="78">
        <f>IFERROR(1/J434*(X434/H434),"0")</f>
        <v>2.083333333333333</v>
      </c>
      <c r="BP434" s="78">
        <f>IFERROR(1/J434*(Y434/H434),"0")</f>
        <v>2.083333333333333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100</v>
      </c>
      <c r="Y437" s="43">
        <f>IFERROR(Y434/H434,"0")+IFERROR(Y435/H435,"0")+IFERROR(Y436/H436,"0")</f>
        <v>100</v>
      </c>
      <c r="Z437" s="43">
        <f>IFERROR(IF(Z434="",0,Z434),"0")+IFERROR(IF(Z435="",0,Z435),"0")+IFERROR(IF(Z436="",0,Z436),"0")</f>
        <v>2.1749999999999998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1500</v>
      </c>
      <c r="Y438" s="43">
        <f>IFERROR(SUM(Y434:Y436),"0")</f>
        <v>1500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50</v>
      </c>
      <c r="Y461" s="55">
        <f>IFERROR(IF(X461="",0,CEILING((X461/$H461),1)*$H461),"")</f>
        <v>54</v>
      </c>
      <c r="Z461" s="41">
        <f>IFERROR(IF(Y461=0,"",ROUNDUP(Y461/H461,0)*0.01898),"")</f>
        <v>0.11388000000000001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52.74444444444444</v>
      </c>
      <c r="BN461" s="78">
        <f>IFERROR(Y461*I461/H461,"0")</f>
        <v>56.963999999999992</v>
      </c>
      <c r="BO461" s="78">
        <f>IFERROR(1/J461*(X461/H461),"0")</f>
        <v>8.6805555555555552E-2</v>
      </c>
      <c r="BP461" s="78">
        <f>IFERROR(1/J461*(Y461/H461),"0")</f>
        <v>9.375E-2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5.5555555555555554</v>
      </c>
      <c r="Y464" s="43">
        <f>IFERROR(Y461/H461,"0")+IFERROR(Y462/H462,"0")+IFERROR(Y463/H463,"0")</f>
        <v>6</v>
      </c>
      <c r="Z464" s="43">
        <f>IFERROR(IF(Z461="",0,Z461),"0")+IFERROR(IF(Z462="",0,Z462),"0")+IFERROR(IF(Z463="",0,Z463),"0")</f>
        <v>0.11388000000000001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50</v>
      </c>
      <c r="Y465" s="43">
        <f>IFERROR(SUM(Y461:Y463),"0")</f>
        <v>54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90</v>
      </c>
      <c r="Y503" s="55">
        <f t="shared" si="62"/>
        <v>91.2</v>
      </c>
      <c r="Z503" s="41">
        <f>IFERROR(IF(Y503=0,"",ROUNDUP(Y503/H503,0)*0.00902),"")</f>
        <v>0.17138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129.5625</v>
      </c>
      <c r="BN503" s="78">
        <f t="shared" si="65"/>
        <v>131.29000000000002</v>
      </c>
      <c r="BO503" s="78">
        <f t="shared" si="66"/>
        <v>0.14204545454545456</v>
      </c>
      <c r="BP503" s="78">
        <f t="shared" si="67"/>
        <v>0.14393939393939395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240</v>
      </c>
      <c r="Y504" s="55">
        <f t="shared" si="62"/>
        <v>240</v>
      </c>
      <c r="Z504" s="41">
        <f>IFERROR(IF(Y504=0,"",ROUNDUP(Y504/H504,0)*0.00902),"")</f>
        <v>0.45100000000000001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345.50000000000006</v>
      </c>
      <c r="BN504" s="78">
        <f t="shared" si="65"/>
        <v>345.50000000000006</v>
      </c>
      <c r="BO504" s="78">
        <f t="shared" si="66"/>
        <v>0.37878787878787878</v>
      </c>
      <c r="BP504" s="78">
        <f t="shared" si="67"/>
        <v>0.37878787878787878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68.75</v>
      </c>
      <c r="Y505" s="43">
        <f>IFERROR(Y496/H496,"0")+IFERROR(Y497/H497,"0")+IFERROR(Y498/H498,"0")+IFERROR(Y499/H499,"0")+IFERROR(Y500/H500,"0")+IFERROR(Y501/H501,"0")+IFERROR(Y502/H502,"0")+IFERROR(Y503/H503,"0")+IFERROR(Y504/H504,"0")</f>
        <v>69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0.62238000000000004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330</v>
      </c>
      <c r="Y506" s="43">
        <f>IFERROR(SUM(Y496:Y504),"0")</f>
        <v>331.2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250</v>
      </c>
      <c r="Y508" s="55">
        <f>IFERROR(IF(X508="",0,CEILING((X508/$H508),1)*$H508),"")</f>
        <v>253.44</v>
      </c>
      <c r="Z508" s="41">
        <f>IFERROR(IF(Y508=0,"",ROUNDUP(Y508/H508,0)*0.01196),"")</f>
        <v>0.57408000000000003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266.57196969696969</v>
      </c>
      <c r="BN508" s="78">
        <f>IFERROR(Y508*I508/H508,"0")</f>
        <v>270.23999999999995</v>
      </c>
      <c r="BO508" s="78">
        <f>IFERROR(1/J508*(X508/H508),"0")</f>
        <v>0.45527389277389274</v>
      </c>
      <c r="BP508" s="78">
        <f>IFERROR(1/J508*(Y508/H508),"0")</f>
        <v>0.46153846153846156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90</v>
      </c>
      <c r="Y510" s="55">
        <f>IFERROR(IF(X510="",0,CEILING((X510/$H510),1)*$H510),"")</f>
        <v>91.2</v>
      </c>
      <c r="Z510" s="41">
        <f>IFERROR(IF(Y510=0,"",ROUNDUP(Y510/H510,0)*0.00902),"")</f>
        <v>0.17138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129.5625</v>
      </c>
      <c r="BN510" s="78">
        <f>IFERROR(Y510*I510/H510,"0")</f>
        <v>131.29000000000002</v>
      </c>
      <c r="BO510" s="78">
        <f>IFERROR(1/J510*(X510/H510),"0")</f>
        <v>0.14204545454545456</v>
      </c>
      <c r="BP510" s="78">
        <f>IFERROR(1/J510*(Y510/H510),"0")</f>
        <v>0.14393939393939395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66.098484848484844</v>
      </c>
      <c r="Y511" s="43">
        <f>IFERROR(Y508/H508,"0")+IFERROR(Y509/H509,"0")+IFERROR(Y510/H510,"0")</f>
        <v>67</v>
      </c>
      <c r="Z511" s="43">
        <f>IFERROR(IF(Z508="",0,Z508),"0")+IFERROR(IF(Z509="",0,Z509),"0")+IFERROR(IF(Z510="",0,Z510),"0")</f>
        <v>0.74546000000000001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340</v>
      </c>
      <c r="Y512" s="43">
        <f>IFERROR(SUM(Y508:Y510),"0")</f>
        <v>344.64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150</v>
      </c>
      <c r="Y516" s="55">
        <f t="shared" si="68"/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159.94318181818181</v>
      </c>
      <c r="BN516" s="78">
        <f t="shared" si="70"/>
        <v>163.26999999999998</v>
      </c>
      <c r="BO516" s="78">
        <f t="shared" si="71"/>
        <v>0.27316433566433568</v>
      </c>
      <c r="BP516" s="78">
        <f t="shared" si="72"/>
        <v>0.27884615384615385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42</v>
      </c>
      <c r="Y517" s="55">
        <f t="shared" si="68"/>
        <v>43.199999999999996</v>
      </c>
      <c r="Z517" s="41">
        <f>IFERROR(IF(Y517=0,"",ROUNDUP(Y517/H517,0)*0.00902),"")</f>
        <v>8.1180000000000002E-2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60.462500000000006</v>
      </c>
      <c r="BN517" s="78">
        <f t="shared" si="70"/>
        <v>62.190000000000005</v>
      </c>
      <c r="BO517" s="78">
        <f t="shared" si="71"/>
        <v>6.6287878787878785E-2</v>
      </c>
      <c r="BP517" s="78">
        <f t="shared" si="72"/>
        <v>6.8181818181818177E-2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150</v>
      </c>
      <c r="Y520" s="55">
        <f t="shared" si="68"/>
        <v>153.6</v>
      </c>
      <c r="Z520" s="41">
        <f>IFERROR(IF(Y520=0,"",ROUNDUP(Y520/H520,0)*0.00902),"")</f>
        <v>0.28864000000000001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208.4375</v>
      </c>
      <c r="BN520" s="78">
        <f t="shared" si="70"/>
        <v>213.44</v>
      </c>
      <c r="BO520" s="78">
        <f t="shared" si="71"/>
        <v>0.23674242424242425</v>
      </c>
      <c r="BP520" s="78">
        <f t="shared" si="72"/>
        <v>0.24242424242424243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68.409090909090907</v>
      </c>
      <c r="Y521" s="43">
        <f>IFERROR(Y514/H514,"0")+IFERROR(Y515/H515,"0")+IFERROR(Y516/H516,"0")+IFERROR(Y517/H517,"0")+IFERROR(Y518/H518,"0")+IFERROR(Y519/H519,"0")+IFERROR(Y520/H520,"0")</f>
        <v>70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0.71665999999999996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342</v>
      </c>
      <c r="Y522" s="43">
        <f>IFERROR(SUM(Y514:Y520),"0")</f>
        <v>349.91999999999996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60</v>
      </c>
      <c r="Y526" s="55">
        <f>IFERROR(IF(X526="",0,CEILING((X526/$H526),1)*$H526),"")</f>
        <v>60</v>
      </c>
      <c r="Z526" s="41">
        <f>IFERROR(IF(Y526=0,"",ROUNDUP(Y526/H526,0)*0.01898),"")</f>
        <v>9.4899999999999998E-2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62.050000000000004</v>
      </c>
      <c r="BN526" s="78">
        <f>IFERROR(Y526*I526/H526,"0")</f>
        <v>62.050000000000004</v>
      </c>
      <c r="BO526" s="78">
        <f>IFERROR(1/J526*(X526/H526),"0")</f>
        <v>7.8125E-2</v>
      </c>
      <c r="BP526" s="78">
        <f>IFERROR(1/J526*(Y526/H526),"0")</f>
        <v>7.8125E-2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5</v>
      </c>
      <c r="Y527" s="43">
        <f>IFERROR(Y526/H526,"0")</f>
        <v>5</v>
      </c>
      <c r="Z527" s="43">
        <f>IFERROR(IF(Z526="",0,Z526),"0")</f>
        <v>9.4899999999999998E-2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60</v>
      </c>
      <c r="Y528" s="43">
        <f>IFERROR(SUM(Y526:Y526),"0")</f>
        <v>60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1300</v>
      </c>
      <c r="Y538" s="55">
        <f>IFERROR(IF(X538="",0,CEILING((X538/$H538),1)*$H538),"")</f>
        <v>1305</v>
      </c>
      <c r="Z538" s="41">
        <f>IFERROR(IF(Y538=0,"",ROUNDUP(Y538/H538,0)*0.01898),"")</f>
        <v>2.7521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1371.3555555555554</v>
      </c>
      <c r="BN538" s="78">
        <f>IFERROR(Y538*I538/H538,"0")</f>
        <v>1376.63</v>
      </c>
      <c r="BO538" s="78">
        <f>IFERROR(1/J538*(X538/H538),"0")</f>
        <v>2.2569444444444446</v>
      </c>
      <c r="BP538" s="78">
        <f>IFERROR(1/J538*(Y538/H538),"0")</f>
        <v>2.265625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144.44444444444446</v>
      </c>
      <c r="Y539" s="43">
        <f>IFERROR(Y538/H538,"0")</f>
        <v>145</v>
      </c>
      <c r="Z539" s="43">
        <f>IFERROR(IF(Z538="",0,Z538),"0")</f>
        <v>2.7521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1300</v>
      </c>
      <c r="Y540" s="43">
        <f>IFERROR(SUM(Y538:Y538),"0")</f>
        <v>1305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17476.45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17627.53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18801.709274616398</v>
      </c>
      <c r="Y552" s="43">
        <f>IFERROR(SUM(BN22:BN548),"0")</f>
        <v>18963.745999999999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34</v>
      </c>
      <c r="Y553" s="44">
        <f>ROUNDUP(SUM(BP22:BP548),0)</f>
        <v>34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19651.709274616398</v>
      </c>
      <c r="Y554" s="43">
        <f>GrossWeightTotalR+PalletQtyTotalR*25</f>
        <v>19813.745999999999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4215.5408012591924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4243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39.176859999999998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32.64</v>
      </c>
      <c r="D561" s="52">
        <f>IFERROR(Y51*1,"0")+IFERROR(Y52*1,"0")+IFERROR(Y53*1,"0")+IFERROR(Y54*1,"0")</f>
        <v>468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618</v>
      </c>
      <c r="F561" s="52">
        <f>IFERROR(Y88*1,"0")+IFERROR(Y89*1,"0")+IFERROR(Y90*1,"0")+IFERROR(Y91*1,"0")+IFERROR(Y95*1,"0")+IFERROR(Y96*1,"0")+IFERROR(Y97*1,"0")+IFERROR(Y98*1,"0")</f>
        <v>1351.8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1859.76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124.32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1157.8999999999999</v>
      </c>
      <c r="K561" s="52">
        <f>IFERROR(Y208*1,"0")+IFERROR(Y209*1,"0")+IFERROR(Y210*1,"0")+IFERROR(Y211*1,"0")+IFERROR(Y212*1,"0")+IFERROR(Y213*1,"0")+IFERROR(Y214*1,"0")</f>
        <v>108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560.70000000000005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1983.2999999999997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54.4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340.8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506.99999999999994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1206.1500000000001</v>
      </c>
      <c r="U561" s="52">
        <f>IFERROR(Y415*1,"0")+IFERROR(Y416*1,"0")+IFERROR(Y417*1,"0")</f>
        <v>1575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3235</v>
      </c>
      <c r="W561" s="52">
        <f>IFERROR(Y452*1,"0")+IFERROR(Y453*1,"0")+IFERROR(Y457*1,"0")+IFERROR(Y461*1,"0")+IFERROR(Y462*1,"0")+IFERROR(Y463*1,"0")</f>
        <v>54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1025.76</v>
      </c>
      <c r="AA561" s="52">
        <f>IFERROR(Y526*1,"0")+IFERROR(Y530*1,"0")+IFERROR(Y534*1,"0")+IFERROR(Y538*1,"0")+IFERROR(Y542*1,"0")+IFERROR(Y543*1,"0")</f>
        <v>1365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094,70"/>
        <filter val="1 240,00"/>
        <filter val="1 300,00"/>
        <filter val="1 323,00"/>
        <filter val="1 500,00"/>
        <filter val="1 575,00"/>
        <filter val="1 725,00"/>
        <filter val="100,00"/>
        <filter val="110,00"/>
        <filter val="112,50"/>
        <filter val="118,33"/>
        <filter val="12,00"/>
        <filter val="12,50"/>
        <filter val="120,00"/>
        <filter val="140,00"/>
        <filter val="141,67"/>
        <filter val="143,75"/>
        <filter val="144,44"/>
        <filter val="15,00"/>
        <filter val="150,00"/>
        <filter val="16,67"/>
        <filter val="160,00"/>
        <filter val="168,00"/>
        <filter val="17 476,45"/>
        <filter val="170,00"/>
        <filter val="18 801,71"/>
        <filter val="19 651,71"/>
        <filter val="2,70"/>
        <filter val="200,00"/>
        <filter val="221,00"/>
        <filter val="229,63"/>
        <filter val="232,72"/>
        <filter val="240,00"/>
        <filter val="25,00"/>
        <filter val="250,00"/>
        <filter val="253,57"/>
        <filter val="280,00"/>
        <filter val="30,00"/>
        <filter val="300,00"/>
        <filter val="32,00"/>
        <filter val="33,00"/>
        <filter val="330,00"/>
        <filter val="338,19"/>
        <filter val="34"/>
        <filter val="340,00"/>
        <filter val="342,00"/>
        <filter val="350,74"/>
        <filter val="360,00"/>
        <filter val="4 215,54"/>
        <filter val="4,63"/>
        <filter val="40,00"/>
        <filter val="400,00"/>
        <filter val="41,67"/>
        <filter val="42,00"/>
        <filter val="436,33"/>
        <filter val="44,17"/>
        <filter val="45,00"/>
        <filter val="450,00"/>
        <filter val="460,00"/>
        <filter val="48,00"/>
        <filter val="48,75"/>
        <filter val="495,00"/>
        <filter val="5,00"/>
        <filter val="5,45"/>
        <filter val="5,56"/>
        <filter val="50,00"/>
        <filter val="500,00"/>
        <filter val="51,00"/>
        <filter val="525,00"/>
        <filter val="557,50"/>
        <filter val="6,41"/>
        <filter val="60,00"/>
        <filter val="600,00"/>
        <filter val="64,10"/>
        <filter val="640,00"/>
        <filter val="66,10"/>
        <filter val="675,00"/>
        <filter val="68,41"/>
        <filter val="68,75"/>
        <filter val="70,00"/>
        <filter val="72,00"/>
        <filter val="750,00"/>
        <filter val="770,00"/>
        <filter val="8,00"/>
        <filter val="80,00"/>
        <filter val="84,00"/>
        <filter val="86,67"/>
        <filter val="87,50"/>
        <filter val="895,00"/>
        <filter val="9,26"/>
        <filter val="90,00"/>
        <filter val="95,33"/>
        <filter val="99,2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