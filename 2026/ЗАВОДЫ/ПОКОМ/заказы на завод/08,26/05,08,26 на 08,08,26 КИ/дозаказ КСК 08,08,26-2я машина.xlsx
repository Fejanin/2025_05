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45C3241-38A4-4707-B8FC-BDBE99E5AC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464" i="2"/>
  <c r="Z150" i="2"/>
  <c r="Z411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<sst xmlns="http://schemas.openxmlformats.org/spreadsheetml/2006/main" count="4194" uniqueCount="891">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</sst>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46242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1100</v>
      </c>
      <c r="Y424" s="55">
        <f t="shared" si="52"/>
        <v>1110</v>
      </c>
      <c r="Z424" s="41">
        <f>IFERROR(IF(Y424=0,"",ROUNDUP(Y424/H424,0)*0.02175),"")</f>
        <v>1.6094999999999999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1134.4666666666667</v>
      </c>
      <c r="BN424" s="78">
        <f t="shared" si="54"/>
        <v>1144.78</v>
      </c>
      <c r="BO424" s="78">
        <f t="shared" si="55"/>
        <v>1.5277777777777777</v>
      </c>
      <c r="BP424" s="78">
        <f t="shared" si="56"/>
        <v>1.5416666666666665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1100</v>
      </c>
      <c r="Y426" s="55">
        <f t="shared" si="52"/>
        <v>1110</v>
      </c>
      <c r="Z426" s="41">
        <f>IFERROR(IF(Y426=0,"",ROUNDUP(Y426/H426,0)*0.02175),"")</f>
        <v>1.6094999999999999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1134.4666666666667</v>
      </c>
      <c r="BN426" s="78">
        <f t="shared" si="54"/>
        <v>1144.78</v>
      </c>
      <c r="BO426" s="78">
        <f t="shared" si="55"/>
        <v>1.5277777777777777</v>
      </c>
      <c r="BP426" s="78">
        <f t="shared" si="56"/>
        <v>1.5416666666666665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146.66666666666666</v>
      </c>
      <c r="Y431" s="43">
        <f>IFERROR(Y423/H423,"0")+IFERROR(Y424/H424,"0")+IFERROR(Y425/H425,"0")+IFERROR(Y426/H426,"0")+IFERROR(Y427/H427,"0")+IFERROR(Y428/H428,"0")+IFERROR(Y429/H429,"0")+IFERROR(Y430/H430,"0")</f>
        <v>148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3.2189999999999999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2200</v>
      </c>
      <c r="Y432" s="43">
        <f>IFERROR(SUM(Y423:Y430),"0")</f>
        <v>2220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2200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2220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2268.9333333333334</v>
      </c>
      <c r="Y552" s="43">
        <f>IFERROR(SUM(BN22:BN548),"0")</f>
        <v>2289.56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2368.9333333333334</v>
      </c>
      <c r="Y554" s="43">
        <f>GrossWeightTotalR+PalletQtyTotalR*25</f>
        <v>2389.56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146.66666666666666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148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3.2189999999999999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2220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46,67"/>
        <filter val="2 200,00"/>
        <filter val="2 268,93"/>
        <filter val="2 368,93"/>
        <filter val="4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