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AE000E4-6F49-4228-AC7A-71ED2BF43AB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P271" i="2"/>
  <c r="BO271" i="2"/>
  <c r="BM271" i="2"/>
  <c r="Y271" i="2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Z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N28" i="2" l="1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22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<sst xmlns="http://schemas.openxmlformats.org/spreadsheetml/2006/main" count="4194" uniqueCount="891">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</sst>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1100</v>
      </c>
      <c r="Y424" s="55">
        <f t="shared" si="52"/>
        <v>1110</v>
      </c>
      <c r="Z424" s="41">
        <f>IFERROR(IF(Y424=0,"",ROUNDUP(Y424/H424,0)*0.02175),"")</f>
        <v>1.6094999999999999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1134.4666666666667</v>
      </c>
      <c r="BN424" s="78">
        <f t="shared" si="54"/>
        <v>1144.78</v>
      </c>
      <c r="BO424" s="78">
        <f t="shared" si="55"/>
        <v>1.5277777777777777</v>
      </c>
      <c r="BP424" s="78">
        <f t="shared" si="56"/>
        <v>1.5416666666666665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1200</v>
      </c>
      <c r="Y426" s="55">
        <f t="shared" si="52"/>
        <v>1200</v>
      </c>
      <c r="Z426" s="41">
        <f>IFERROR(IF(Y426=0,"",ROUNDUP(Y426/H426,0)*0.02175),"")</f>
        <v>1.7399999999999998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1237.5999999999999</v>
      </c>
      <c r="BN426" s="78">
        <f t="shared" si="54"/>
        <v>1237.5999999999999</v>
      </c>
      <c r="BO426" s="78">
        <f t="shared" si="55"/>
        <v>1.6666666666666665</v>
      </c>
      <c r="BP426" s="78">
        <f t="shared" si="56"/>
        <v>1.6666666666666665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153.33333333333331</v>
      </c>
      <c r="Y431" s="43">
        <f>IFERROR(Y423/H423,"0")+IFERROR(Y424/H424,"0")+IFERROR(Y425/H425,"0")+IFERROR(Y426/H426,"0")+IFERROR(Y427/H427,"0")+IFERROR(Y428/H428,"0")+IFERROR(Y429/H429,"0")+IFERROR(Y430/H430,"0")</f>
        <v>154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3.3494999999999999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2300</v>
      </c>
      <c r="Y432" s="43">
        <f>IFERROR(SUM(Y423:Y430),"0")</f>
        <v>2310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2300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2310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2372.0666666666666</v>
      </c>
      <c r="Y552" s="43">
        <f>IFERROR(SUM(BN22:BN548),"0")</f>
        <v>2382.38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4</v>
      </c>
      <c r="Y553" s="44">
        <f>ROUNDUP(SUM(BP22:BP548),0)</f>
        <v>4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2472.0666666666666</v>
      </c>
      <c r="Y554" s="43">
        <f>GrossWeightTotalR+PalletQtyTotalR*25</f>
        <v>2482.38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153.33333333333331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154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3.3494999999999999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2310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200,00"/>
        <filter val="153,33"/>
        <filter val="2 300,00"/>
        <filter val="2 372,07"/>
        <filter val="2 472,07"/>
        <filter val="4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2026-08-07T13:25:54Z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