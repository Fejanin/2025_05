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s\Desktop\"/>
    </mc:Choice>
  </mc:AlternateContent>
  <bookViews>
    <workbookView xWindow="0" yWindow="0" windowWidth="19200" windowHeight="6760" tabRatio="420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BN402" i="2" l="1"/>
  <c r="Y412" i="2"/>
  <c r="BN214" i="2"/>
  <c r="BN284" i="2"/>
  <c r="Z428" i="2"/>
  <c r="BN472" i="2"/>
  <c r="BP202" i="2"/>
  <c r="BN28" i="2"/>
  <c r="BN373" i="2"/>
  <c r="BN498" i="2"/>
  <c r="Y55" i="2"/>
  <c r="Z134" i="2"/>
  <c r="Z373" i="2"/>
  <c r="BN30" i="2"/>
  <c r="Z90" i="2"/>
  <c r="Y262" i="2"/>
  <c r="BN446" i="2"/>
  <c r="BN288" i="2"/>
  <c r="Y151" i="2"/>
  <c r="BN155" i="2"/>
  <c r="Z167" i="2"/>
  <c r="BN231" i="2"/>
  <c r="BN304" i="2"/>
  <c r="BN115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Z79" i="2" s="1"/>
  <c r="Y84" i="2"/>
  <c r="Z89" i="2"/>
  <c r="G561" i="2"/>
  <c r="BN105" i="2"/>
  <c r="Y118" i="2"/>
  <c r="BP115" i="2"/>
  <c r="BN116" i="2"/>
  <c r="BN122" i="2"/>
  <c r="Z123" i="2"/>
  <c r="Z124" i="2" s="1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BP77" i="2"/>
  <c r="Z82" i="2"/>
  <c r="Z84" i="2" s="1"/>
  <c r="BP90" i="2"/>
  <c r="Y99" i="2"/>
  <c r="Z103" i="2"/>
  <c r="Y109" i="2"/>
  <c r="Z112" i="2"/>
  <c r="BN113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Z261" i="2" s="1"/>
  <c r="BP302" i="2"/>
  <c r="BP327" i="2"/>
  <c r="Z327" i="2"/>
  <c r="BP357" i="2"/>
  <c r="Y380" i="2"/>
  <c r="BP377" i="2"/>
  <c r="Z377" i="2"/>
  <c r="BP447" i="2"/>
  <c r="BN447" i="2"/>
  <c r="Z447" i="2"/>
  <c r="Z448" i="2" s="1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BP446" i="2"/>
  <c r="Z452" i="2"/>
  <c r="Z454" i="2" s="1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266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BP223" i="2"/>
  <c r="Y252" i="2"/>
  <c r="Y277" i="2"/>
  <c r="Y297" i="2"/>
  <c r="Y308" i="2"/>
  <c r="Z315" i="2"/>
  <c r="Z316" i="2" s="1"/>
  <c r="Y331" i="2"/>
  <c r="Z350" i="2"/>
  <c r="Z352" i="2" s="1"/>
  <c r="Z404" i="2"/>
  <c r="Z405" i="2" s="1"/>
  <c r="Z462" i="2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51" i="2" s="1"/>
  <c r="Z272" i="2"/>
  <c r="Z282" i="2"/>
  <c r="Y293" i="2"/>
  <c r="Z303" i="2"/>
  <c r="BN315" i="2"/>
  <c r="Z326" i="2"/>
  <c r="Z337" i="2"/>
  <c r="BN350" i="2"/>
  <c r="Z372" i="2"/>
  <c r="Z382" i="2"/>
  <c r="Z386" i="2" s="1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480" i="2" l="1"/>
  <c r="Z245" i="2"/>
  <c r="Z359" i="2"/>
  <c r="Z174" i="2"/>
  <c r="Z369" i="2"/>
  <c r="Z322" i="2"/>
  <c r="Z338" i="2"/>
  <c r="Z464" i="2"/>
  <c r="Z32" i="2"/>
  <c r="Z150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<sst xmlns="http://schemas.openxmlformats.org/spreadsheetml/2006/main" count="4194" uniqueCount="891">
  <si>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</si>
  <si>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</si>
  <si>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</si>
  <si>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</si>
  <si>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</si>
  <si>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</si>
  <si>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</si>
  <si>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</si>
  <si>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</si>
  <si>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</si>
  <si>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</si>
  <si>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</si>
  <si>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</si>
  <si>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</si>
  <si>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</si>
  <si>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</si>
  <si>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</si>
  <si>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</si>
  <si>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</si>
  <si>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</si>
  <si>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</si>
  <si>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</si>
  <si>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</si>
  <si>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</si>
  <si>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</si>
  <si>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</si>
  <si>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</si>
  <si>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</si>
  <si>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</si>
  <si>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</si>
  <si>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</si>
  <si>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</si>
  <si>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</si>
  <si>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</si>
  <si>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</si>
  <si>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</si>
  <si>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</si>
  <si>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</si>
  <si>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</si>
  <si>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</si>
  <si>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</si>
  <si>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</si>
  <si>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</si>
  <si>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</si>
  <si>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</si>
  <si>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</si>
  <si>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</si>
  <si>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</si>
  <si>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</si>
  <si>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</si>
  <si>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</si>
  <si>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</si>
  <si>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</si>
  <si>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</si>
  <si>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</si>
  <si>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</si>
  <si>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</si>
  <si>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</si>
  <si>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</si>
  <si>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</si>
  <si>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</si>
  <si>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</si>
  <si>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</si>
  <si>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</si>
  <si>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</si>
  <si>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</si>
  <si>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</si>
  <si>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</si>
  <si>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</si>
  <si>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</si>
  <si>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</si>
  <si>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</si>
  <si>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</si>
  <si>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</si>
  <si>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</si>
  <si>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</si>
  <si>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</si>
  <si>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</si>
  <si>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</si>
  <si>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</si>
  <si>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</si>
  <si>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</si>
  <si>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</si>
  <si>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</si>
  <si>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</si>
  <si>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</si>
  <si>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</si>
  <si>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</si>
  <si>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</si>
  <si>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</si>
  <si>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</si>
  <si>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</si>
  <si>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</si>
  <si>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</si>
  <si>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</si>
  <si>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</si>
  <si>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</si>
  <si>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</si>
  <si>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</si>
  <si>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</si>
  <si>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</si>
  <si>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</si>
  <si>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</si>
  <si>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</si>
  <si>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</si>
  <si>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</si>
  <si>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</si>
  <si>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</si>
  <si>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</si>
  <si>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</si>
  <si>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</si>
  <si>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</si>
  <si>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</si>
  <si>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</si>
  <si>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</si>
  <si>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</si>
  <si>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</si>
  <si>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</si>
  <si>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</si>
  <si>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</si>
  <si>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</si>
  <si>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</si>
  <si>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</si>
  <si>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</si>
  <si>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</si>
  <si>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</si>
  <si>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</si>
  <si>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</si>
  <si>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</si>
  <si>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</si>
  <si>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</si>
  <si>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</si>
  <si>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</si>
  <si>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</si>
  <si>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</si>
  <si>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</si>
  <si>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</si>
  <si>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</si>
  <si>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</si>
  <si>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</si>
  <si>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</si>
  <si>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</si>
  <si>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</si>
  <si>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</si>
  <si>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</si>
  <si>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</si>
  <si>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</si>
  <si>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</si>
  <si>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</si>
  <si>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</si>
  <si>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</si>
  <si>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</si>
  <si>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</si>
  <si>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</si>
  <si>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</si>
  <si>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</si>
  <si>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</si>
  <si>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</si>
  <si>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</si>
  <si>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</si>
  <si>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</si>
  <si>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</si>
  <si>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</si>
  <si>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</si>
  <si>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</si>
  <si>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</si>
  <si>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</si>
  <si>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</si>
  <si>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</si>
  <si>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</si>
  <si>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</si>
  <si>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</si>
  <si>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</si>
  <si>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</si>
  <si>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</si>
  <si>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</si>
  <si>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</si>
  <si>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</si>
  <si>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</si>
  <si>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</si>
  <si>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</si>
  <si>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</si>
  <si>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</si>
  <si>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</si>
  <si>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</si>
  <si>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</si>
  <si>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</si>
  <si>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</si>
  <si>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</si>
  <si>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</si>
  <si>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</si>
  <si>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</si>
  <si>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</si>
  <si>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</si>
  <si>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</si>
  <si>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</si>
  <si>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</si>
  <si>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</si>
  <si>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</si>
  <si>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</si>
  <si>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</si>
  <si>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</si>
  <si>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</si>
  <si>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</si>
  <si>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</si>
  <si>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</si>
  <si>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</si>
  <si>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</si>
  <si>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</si>
  <si>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</si>
  <si>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</si>
  <si>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</si>
  <si>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</si>
  <si>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</si>
  <si>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</si>
  <si>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</si>
  <si>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</si>
  <si>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</si>
  <si>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</si>
  <si>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</si>
  <si>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</si>
  <si>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</si>
  <si>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</si>
  <si>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</si>
  <si>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</si>
  <si>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</si>
  <si>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</si>
  <si>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</si>
  <si>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</si>
  <si>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</si>
  <si>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</si>
  <si>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</si>
  <si>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</si>
  <si>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</si>
  <si>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</si>
  <si>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</si>
  <si>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</si>
  <si>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</si>
  <si>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</si>
  <si>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</si>
  <si>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</si>
  <si>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</si>
  <si>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</si>
  <si>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</si>
  <si>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</si>
  <si>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</si>
  <si>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</si>
  <si>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</si>
  <si>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</si>
  <si>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</si>
  <si>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</si>
  <si>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</si>
  <si>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</si>
  <si>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</si>
  <si>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</si>
  <si>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</si>
  <si>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</si>
  <si>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</si>
  <si>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</si>
  <si>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</si>
  <si>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</si>
  <si>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</si>
  <si>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</si>
  <si>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</si>
  <si>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</si>
  <si>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</si>
  <si>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</si>
  <si>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</si>
  <si>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</si>
  <si>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</si>
  <si>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</si>
  <si>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</si>
  <si>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</si>
  <si>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</si>
  <si>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</si>
  <si>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</si>
  <si>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</si>
  <si>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</si>
  <si>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</si>
  <si>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</si>
  <si>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</si>
  <si>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</si>
  <si>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</si>
  <si>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</si>
  <si>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</si>
  <si>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</si>
  <si>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</si>
  <si>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</si>
  <si>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</si>
  <si>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</si>
  <si>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</si>
  <si>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</si>
  <si>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</si>
  <si>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</si>
  <si>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</si>
  <si>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</si>
  <si>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</si>
  <si>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</si>
  <si>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</si>
  <si>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</si>
  <si>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</si>
  <si>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</si>
  <si>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</si>
  <si>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</si>
  <si>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</si>
  <si>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</si>
  <si>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</si>
  <si>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</si>
  <si>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</si>
  <si>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</si>
  <si>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</si>
  <si>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</si>
  <si>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</si>
  <si>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</si>
  <si>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</si>
  <si>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</si>
  <si>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</si>
  <si>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</si>
  <si>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</si>
  <si>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</si>
  <si>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</si>
  <si>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</si>
  <si>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</si>
  <si>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</si>
  <si>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</si>
  <si>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</si>
  <si>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</si>
  <si>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</si>
  <si>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</si>
  <si>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</si>
  <si>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</si>
  <si>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</si>
  <si>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</si>
  <si>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</si>
  <si>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</si>
  <si>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</si>
  <si>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</si>
  <si>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</si>
  <si>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</si>
  <si>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</si>
  <si>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</si>
  <si>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</si>
  <si>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</si>
  <si>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</si>
  <si>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</si>
  <si>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</si>
  <si>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</si>
  <si>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</si>
  <si>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</si>
  <si>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</si>
  <si>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</si>
  <si>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</si>
  <si>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</si>
  <si>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</si>
  <si>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</si>
  <si>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</si>
  <si>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</si>
  <si>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</si>
  <si>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</si>
  <si>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</si>
  <si>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</si>
  <si>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</si>
  <si>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</si>
  <si>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</si>
  <si>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</si>
  <si>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</si>
  <si>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</si>
  <si>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</si>
  <si>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</si>
  <si>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</si>
  <si>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</si>
  <si>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</si>
  <si>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</si>
  <si>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</si>
  <si>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</si>
  <si>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</si>
  <si>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</si>
  <si>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</si>
  <si>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</si>
  <si>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</si>
  <si>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</si>
  <si>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</si>
  <si>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</si>
  <si>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</si>
  <si>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</si>
  <si>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</si>
  <si>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</si>
  <si>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</si>
  <si>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</si>
  <si>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</si>
  <si>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</si>
  <si>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</si>
  <si>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</si>
  <si>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</si>
  <si>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</si>
  <si>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</si>
  <si>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</si>
  <si>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</si>
  <si>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</si>
  <si>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</si>
  <si>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</si>
  <si>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</si>
  <si>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</si>
  <si>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</si>
  <si>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</si>
  <si>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</si>
  <si>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</si>
  <si>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</si>
  <si>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</si>
  <si>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</si>
  <si>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</si>
  <si>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</si>
  <si>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</si>
  <si>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</si>
  <si>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</si>
  <si>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</si>
  <si>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</si>
  <si>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</si>
  <si>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</si>
  <si>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</si>
  <si>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</si>
  <si>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</si>
  <si>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</si>
  <si>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</si>
  <si>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</si>
  <si>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</si>
  <si>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</si>
  <si>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</si>
  <si>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</si>
  <si>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</si>
  <si>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</si>
  <si>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</si>
  <si>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</si>
  <si>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</si>
  <si>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</si>
  <si>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</si>
  <si>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</si>
  <si>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</si>
  <si>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</si>
  <si>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</si>
  <si>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</si>
  <si>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</si>
  <si>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</si>
  <si>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</si>
  <si>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</si>
  <si>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</si>
  <si>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</si>
  <si>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</si>
  <si>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</si>
  <si>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</si>
  <si>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</si>
  <si>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</si>
  <si>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</si>
  <si>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</si>
  <si>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</si>
  <si>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</si>
  <si>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</si>
  <si>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</si>
  <si>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</si>
  <si>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</si>
  <si>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</si>
  <si>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</si>
  <si>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</si>
  <si>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</si>
  <si>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</si>
  <si>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</si>
  <si>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</si>
  <si>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</si>
  <si>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</si>
  <si>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</si>
  <si>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</si>
  <si>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</si>
  <si>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</si>
  <si>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</si>
  <si>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</si>
  <si>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</si>
  <si>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</si>
  <si>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</si>
  <si>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</si>
  <si>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</si>
  <si>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</si>
  <si>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</si>
  <si>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</si>
  <si>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</si>
  <si>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</si>
  <si>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</si>
  <si>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</si>
  <si>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</si>
  <si>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</si>
  <si>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</si>
  <si>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</si>
  <si>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</si>
  <si>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</si>
  <si>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</si>
  <si>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</si>
  <si>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</si>
  <si>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</si>
  <si>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</si>
  <si>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</si>
  <si>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</si>
  <si>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</si>
  <si>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</si>
  <si>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</si>
  <si>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</si>
  <si>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</si>
  <si>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</si>
  <si>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</si>
  <si>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</si>
  <si>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</si>
  <si>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</si>
  <si>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</si>
  <si>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</si>
  <si>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</si>
  <si>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</si>
  <si>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</si>
  <si>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</si>
  <si>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</si>
  <si>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</si>
  <si>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</si>
  <si>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</si>
  <si>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</si>
  <si>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</si>
  <si>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</si>
  <si>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</si>
  <si>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</si>
  <si>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</si>
  <si>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</si>
  <si>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</si>
  <si>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</si>
  <si>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</si>
  <si>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</si>
  <si>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</si>
  <si>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</si>
  <si>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</si>
  <si>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</si>
  <si>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</si>
  <si>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</si>
  <si>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</si>
  <si>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</si>
  <si>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</si>
  <si>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</si>
  <si>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</si>
  <si>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</si>
  <si>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</si>
  <si>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</si>
  <si>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</si>
  <si>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</si>
  <si>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</si>
  <si>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</si>
  <si>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</si>
  <si>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</si>
  <si>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</si>
  <si>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</si>
  <si>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</si>
  <si>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</si>
  <si>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</si>
  <si>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</si>
  <si>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</si>
  <si>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</si>
  <si>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</si>
  <si>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</si>
  <si>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</si>
  <si>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</si>
  <si>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</si>
  <si>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</si>
  <si>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</si>
  <si>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</si>
  <si>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</si>
  <si>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</si>
  <si>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</si>
  <si>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</si>
  <si>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</si>
  <si>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</si>
  <si>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</si>
  <si>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</si>
  <si>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</si>
  <si>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</si>
  <si>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</si>
  <si>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</si>
  <si>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</si>
  <si>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</si>
  <si>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</si>
  <si>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</si>
  <si>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</si>
  <si>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</si>
  <si>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</si>
  <si>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</si>
  <si>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</si>
  <si>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</si>
  <si>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</si>
  <si>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</si>
  <si>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</si>
  <si>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</si>
  <si>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</si>
  <si>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</si>
  <si>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</si>
  <si>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</si>
  <si>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</si>
  <si>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</si>
  <si>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</si>
  <si>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</si>
  <si>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</si>
  <si>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</si>
  <si>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</si>
  <si>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</si>
  <si>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</si>
  <si>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</si>
  <si>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</si>
  <si>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</si>
  <si>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</si>
  <si>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</si>
  <si>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</si>
  <si>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</si>
  <si>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</si>
  <si>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</si>
  <si>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</si>
  <si>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</si>
  <si>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</si>
  <si>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</si>
  <si>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</si>
  <si>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</si>
  <si>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</si>
  <si>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</si>
  <si>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</si>
  <si>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</si>
  <si>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</si>
  <si>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</si>
  <si>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</si>
  <si>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</si>
  <si>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</si>
  <si>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</si>
  <si>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</si>
  <si>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</si>
  <si>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</si>
  <si>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</si>
  <si>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</si>
  <si>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</si>
  <si>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</si>
  <si>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</si>
  <si>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</si>
  <si>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</si>
  <si>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</si>
  <si>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</si>
  <si>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</si>
  <si>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</si>
  <si>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</si>
  <si>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</si>
  <si>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</si>
  <si>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</si>
  <si>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</si>
  <si>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</si>
  <si>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</si>
  <si>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</si>
  <si>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</si>
  <si>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</si>
  <si>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</si>
  <si>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</si>
  <si>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</si>
  <si>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</si>
  <si>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</si>
  <si>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</si>
  <si>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</si>
  <si>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</si>
  <si>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</si>
  <si>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</si>
  <si>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</si>
  <si>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</si>
  <si>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</si>
  <si>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</si>
  <si>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</si>
  <si>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</si>
  <si>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</si>
  <si>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</si>
  <si>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</si>
  <si>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</si>
  <si>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</si>
  <si>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</si>
  <si>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</si>
  <si>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</si>
  <si>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</si>
  <si>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</si>
  <si>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</si>
  <si>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</si>
  <si>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</si>
  <si>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</si>
  <si>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</si>
  <si>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</si>
  <si>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</si>
  <si>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</si>
  <si>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</si>
  <si>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</si>
  <si>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</si>
  <si>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</si>
  <si>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</si>
  <si>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</si>
  <si>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</si>
  <si>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</si>
  <si>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</si>
  <si>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</si>
  <si>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</si>
  <si>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</si>
  <si>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</si>
  <si>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</si>
  <si>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</si>
  <si>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</si>
  <si>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</si>
  <si>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</si>
  <si>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</si>
  <si>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</si>
  <si>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</si>
  <si>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</si>
  <si>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</si>
  <si>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</si>
  <si>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</si>
  <si>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</si>
  <si>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</si>
  <si>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</si>
  <si>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</si>
  <si>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</si>
  <si>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</si>
  <si>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</si>
  <si>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</si>
  <si>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</si>
  <si>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</si>
  <si>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</si>
  <si>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</si>
  <si>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</si>
  <si>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</si>
  <si>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</si>
  <si>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</si>
  <si>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</si>
  <si>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</si>
  <si>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</si>
  <si>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</si>
  <si>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</si>
  <si>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</si>
  <si>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</si>
  <si>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</si>
  <si>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</si>
  <si>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</si>
  <si>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</si>
  <si>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</si>
  <si>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</si>
  <si>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</si>
  <si>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</si>
  <si>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</si>
  <si>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</si>
  <si>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</si>
  <si>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</si>
  <si>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</si>
  <si>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</si>
  <si>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</si>
  <si>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</si>
  <si>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</si>
  <si>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</si>
  <si>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</si>
  <si>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</si>
  <si>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</si>
  <si>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</si>
  <si>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</si>
  <si>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</si>
  <si>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</si>
  <si>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</si>
  <si>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</si>
  <si>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</si>
  <si>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</si>
  <si>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</si>
  <si>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</si>
  <si>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</si>
  <si>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</si>
  <si>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</si>
  <si>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</si>
  <si>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</si>
  <si>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</si>
  <si>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</si>
  <si>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</si>
  <si>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</si>
  <si>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</si>
  <si>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</si>
  <si>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</si>
  <si>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</si>
  <si>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</si>
  <si>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</si>
  <si>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</si>
  <si>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</si>
  <si>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</si>
  <si>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</si>
  <si>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</si>
  <si>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</si>
  <si>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</si>
  <si>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</si>
  <si>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</si>
  <si>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</si>
  <si>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</si>
  <si>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</si>
  <si>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</si>
  <si>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</si>
  <si>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</si>
  <si>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</si>
  <si>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</si>
  <si>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</si>
  <si>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</si>
  <si>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</si>
  <si>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</si>
  <si>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</si>
  <si>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</si>
  <si>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</si>
  <si>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</si>
  <si>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</si>
  <si>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</si>
  <si>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</si>
  <si>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</si>
  <si>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</si>
  <si>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</si>
  <si>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</si>
  <si>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</si>
  <si>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</si>
  <si>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</si>
  <si>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</si>
  <si>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</si>
  <si>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</si>
  <si>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</si>
  <si>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</si>
  <si>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</si>
  <si>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</si>
  <si>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</si>
  <si>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</si>
  <si>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</si>
  <si>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</si>
  <si>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</si>
  <si>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</si>
  <si>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</si>
  <si>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</si>
  <si>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</si>
  <si>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</si>
  <si>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</si>
  <si>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</si>
  <si>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</si>
  <si>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</si>
  <si>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</si>
  <si>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</si>
  <si>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</si>
  <si>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</si>
  <si>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</si>
  <si>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</si>
  <si>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</si>
  <si>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</si>
  <si>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</si>
  <si>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</si>
  <si>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</si>
  <si>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</si>
  <si>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</si>
  <si>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</si>
  <si>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</si>
  <si>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</si>
  <si>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</si>
  <si>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</si>
  <si>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</si>
  <si>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</si>
  <si>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</si>
  <si>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</si>
  <si>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</si>
  <si>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</si>
  <si>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</si>
  <si>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</si>
  <si>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</si>
  <si>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</si>
  <si>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</si>
  <si>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</si>
  <si>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</si>
  <si>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</si>
  <si>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</si>
  <si>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</si>
  <si>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</si>
  <si>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</si>
  <si>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</si>
  <si>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</si>
  <si>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</si>
  <si>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</si>
  <si>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</si>
  <si>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</si>
  <si>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</si>
  <si>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</si>
  <si>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</si>
  <si>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</si>
  <si>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</si>
  <si>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</si>
  <si>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</si>
  <si>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</si>
  <si>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</si>
  <si>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машине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</si>
</sst>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" xfId="0" builtinId="0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BP561"/>
  <sheetViews>
    <sheetView showGridLines="0" tabSelected="1" topLeftCell="B535" zoomScale="70" zoomScaleNormal="70" zoomScaleSheetLayoutView="100" workbookViewId="0">
      <selection activeCell="W424" sqref="W424"/>
    </sheetView>
  </sheetViews>
  <sheetFormatPr defaultColWidth="9.1796875" defaultRowHeight="13" x14ac:dyDescent="0.3"/>
  <cols>
    <col min="1" max="1" width="9.1796875" style="1"/>
    <col min="2" max="2" width="10.81640625" style="4" customWidth="1"/>
    <col min="3" max="3" width="12.54296875" style="4" customWidth="1"/>
    <col min="4" max="4" width="6.453125" style="4" customWidth="1"/>
    <col min="5" max="5" width="6.81640625" style="4" customWidth="1"/>
    <col min="6" max="6" width="8.453125" style="4" customWidth="1"/>
    <col min="7" max="7" width="9.453125" style="4" customWidth="1"/>
    <col min="8" max="8" width="11.81640625" style="4" customWidth="1"/>
    <col min="9" max="9" width="9.453125" style="4" customWidth="1"/>
    <col min="10" max="10" width="9.1796875" style="5" customWidth="1"/>
    <col min="11" max="12" width="13.81640625" style="5" customWidth="1"/>
    <col min="13" max="13" width="9.453125" style="5" customWidth="1"/>
    <col min="14" max="14" width="15.81640625" style="5" hidden="1" customWidth="1"/>
    <col min="15" max="15" width="10.453125" style="4" customWidth="1"/>
    <col min="16" max="16" width="7.453125" style="2" customWidth="1"/>
    <col min="17" max="17" width="15.54296875" style="2" customWidth="1"/>
    <col min="18" max="18" width="8.1796875" style="1" customWidth="1"/>
    <col min="19" max="19" width="6.1796875" style="1" customWidth="1"/>
    <col min="20" max="20" width="10.81640625" style="3" customWidth="1"/>
    <col min="21" max="21" width="10.453125" style="3" customWidth="1"/>
    <col min="22" max="22" width="9.453125" style="3" customWidth="1"/>
    <col min="23" max="23" width="8.453125" style="3" customWidth="1"/>
    <col min="24" max="24" width="10" style="1" customWidth="1"/>
    <col min="25" max="25" width="11" style="1" customWidth="1"/>
    <col min="26" max="26" width="10" style="1" customWidth="1"/>
    <col min="27" max="27" width="11.54296875" style="1" customWidth="1"/>
    <col min="28" max="28" width="10.453125" style="1" customWidth="1"/>
    <col min="29" max="29" width="30" style="1" customWidth="1"/>
    <col min="30" max="30" width="11.453125" style="60" bestFit="1" customWidth="1"/>
    <col min="31" max="31" width="9.1796875" style="60"/>
    <col min="32" max="32" width="8.81640625" style="60" customWidth="1"/>
    <col min="33" max="33" width="13.54296875" style="1" customWidth="1"/>
    <col min="34" max="16384" width="9.1796875" style="1"/>
  </cols>
  <sheetData>
    <row r="1" spans="1:32" s="17" customFormat="1" ht="45" customHeight="1" x14ac:dyDescent="0.25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5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5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5" customHeight="1" x14ac:dyDescent="0.25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46242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5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Суббота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5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5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40" customHeight="1" x14ac:dyDescent="0.25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5" customHeight="1" x14ac:dyDescent="0.25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6" customHeight="1" x14ac:dyDescent="0.3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49999999999999" customHeight="1" x14ac:dyDescent="0.25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5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49999999999999" customHeight="1" x14ac:dyDescent="0.25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5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3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5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5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customHeight="1" x14ac:dyDescent="0.25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customHeight="1" x14ac:dyDescent="0.3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customHeight="1" x14ac:dyDescent="0.3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customHeight="1" x14ac:dyDescent="0.3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customHeight="1" x14ac:dyDescent="0.3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t="12.5" x14ac:dyDescent="0.25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t="12.5" x14ac:dyDescent="0.25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customHeight="1" x14ac:dyDescent="0.3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customHeight="1" x14ac:dyDescent="0.3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3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3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3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customHeight="1" x14ac:dyDescent="0.3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t="12.5" x14ac:dyDescent="0.25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t="12.5" x14ac:dyDescent="0.25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customHeight="1" x14ac:dyDescent="0.3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customHeight="1" x14ac:dyDescent="0.3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t="12.5" x14ac:dyDescent="0.25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t="12.5" x14ac:dyDescent="0.25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customHeight="1" x14ac:dyDescent="0.25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customHeight="1" x14ac:dyDescent="0.3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customHeight="1" x14ac:dyDescent="0.3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customHeight="1" x14ac:dyDescent="0.3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3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customHeight="1" x14ac:dyDescent="0.3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customHeight="1" x14ac:dyDescent="0.3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customHeight="1" x14ac:dyDescent="0.3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t="12.5" x14ac:dyDescent="0.25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t="12.5" x14ac:dyDescent="0.25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customHeight="1" x14ac:dyDescent="0.25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customHeight="1" x14ac:dyDescent="0.3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customHeight="1" x14ac:dyDescent="0.3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3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customHeight="1" x14ac:dyDescent="0.3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3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customHeight="1" x14ac:dyDescent="0.3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t="12.5" x14ac:dyDescent="0.25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t="12.5" x14ac:dyDescent="0.25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customHeight="1" x14ac:dyDescent="0.3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customHeight="1" x14ac:dyDescent="0.3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customHeight="1" x14ac:dyDescent="0.3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customHeight="1" x14ac:dyDescent="0.3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3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customHeight="1" x14ac:dyDescent="0.3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customHeight="1" x14ac:dyDescent="0.3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customHeight="1" x14ac:dyDescent="0.3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customHeight="1" x14ac:dyDescent="0.3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3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t="12.5" x14ac:dyDescent="0.25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t="12.5" x14ac:dyDescent="0.25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customHeight="1" x14ac:dyDescent="0.3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3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customHeight="1" x14ac:dyDescent="0.3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customHeight="1" x14ac:dyDescent="0.3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3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12.5" x14ac:dyDescent="0.25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t="12.5" x14ac:dyDescent="0.25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customHeight="1" x14ac:dyDescent="0.3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customHeight="1" x14ac:dyDescent="0.3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customHeight="1" x14ac:dyDescent="0.3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12.5" x14ac:dyDescent="0.25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t="12.5" x14ac:dyDescent="0.25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customHeight="1" x14ac:dyDescent="0.3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customHeight="1" x14ac:dyDescent="0.3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customHeight="1" x14ac:dyDescent="0.3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12.5" x14ac:dyDescent="0.25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t="12.5" x14ac:dyDescent="0.25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customHeight="1" x14ac:dyDescent="0.3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customHeight="1" x14ac:dyDescent="0.3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3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customHeight="1" x14ac:dyDescent="0.3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customHeight="1" x14ac:dyDescent="0.3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3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12.5" x14ac:dyDescent="0.25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t="12.5" x14ac:dyDescent="0.25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customHeight="1" x14ac:dyDescent="0.3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customHeight="1" x14ac:dyDescent="0.3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customHeight="1" x14ac:dyDescent="0.3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3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customHeight="1" x14ac:dyDescent="0.3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t="12.5" x14ac:dyDescent="0.25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t="12.5" x14ac:dyDescent="0.25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customHeight="1" x14ac:dyDescent="0.3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customHeight="1" x14ac:dyDescent="0.3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customHeight="1" x14ac:dyDescent="0.3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customHeight="1" x14ac:dyDescent="0.3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customHeight="1" x14ac:dyDescent="0.3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3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customHeight="1" x14ac:dyDescent="0.3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customHeight="1" x14ac:dyDescent="0.3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t="12.5" x14ac:dyDescent="0.25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t="12.5" x14ac:dyDescent="0.25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customHeight="1" x14ac:dyDescent="0.3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customHeight="1" x14ac:dyDescent="0.3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3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3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customHeight="1" x14ac:dyDescent="0.3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customHeight="1" x14ac:dyDescent="0.3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t="12.5" x14ac:dyDescent="0.25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t="12.5" x14ac:dyDescent="0.25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customHeight="1" x14ac:dyDescent="0.3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3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customHeight="1" x14ac:dyDescent="0.3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3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customHeight="1" x14ac:dyDescent="0.3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12.5" x14ac:dyDescent="0.25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t="12.5" x14ac:dyDescent="0.25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customHeight="1" x14ac:dyDescent="0.3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customHeight="1" x14ac:dyDescent="0.3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t="12.5" x14ac:dyDescent="0.25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t="12.5" x14ac:dyDescent="0.25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customHeight="1" x14ac:dyDescent="0.3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customHeight="1" x14ac:dyDescent="0.3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customHeight="1" x14ac:dyDescent="0.3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customHeight="1" x14ac:dyDescent="0.3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3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customHeight="1" x14ac:dyDescent="0.3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12.5" x14ac:dyDescent="0.25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t="12.5" x14ac:dyDescent="0.25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customHeight="1" x14ac:dyDescent="0.3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customHeight="1" x14ac:dyDescent="0.3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customHeight="1" x14ac:dyDescent="0.3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3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customHeight="1" x14ac:dyDescent="0.3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2.5" x14ac:dyDescent="0.25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t="12.5" x14ac:dyDescent="0.25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customHeight="1" x14ac:dyDescent="0.3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customHeight="1" x14ac:dyDescent="0.3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customHeight="1" x14ac:dyDescent="0.3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customHeight="1" x14ac:dyDescent="0.3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customHeight="1" x14ac:dyDescent="0.3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12.5" x14ac:dyDescent="0.25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t="12.5" x14ac:dyDescent="0.25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customHeight="1" x14ac:dyDescent="0.3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customHeight="1" x14ac:dyDescent="0.3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customHeight="1" x14ac:dyDescent="0.3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customHeight="1" x14ac:dyDescent="0.3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customHeight="1" x14ac:dyDescent="0.3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customHeight="1" x14ac:dyDescent="0.3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t="12.5" x14ac:dyDescent="0.25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t="12.5" x14ac:dyDescent="0.25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customHeight="1" x14ac:dyDescent="0.3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customHeight="1" x14ac:dyDescent="0.3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2.5" x14ac:dyDescent="0.25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t="12.5" x14ac:dyDescent="0.25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customHeight="1" x14ac:dyDescent="0.3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customHeight="1" x14ac:dyDescent="0.3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customHeight="1" x14ac:dyDescent="0.3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customHeight="1" x14ac:dyDescent="0.3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customHeight="1" x14ac:dyDescent="0.3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t="12.5" x14ac:dyDescent="0.25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t="12.5" x14ac:dyDescent="0.25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customHeight="1" x14ac:dyDescent="0.3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customHeight="1" x14ac:dyDescent="0.3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customHeight="1" x14ac:dyDescent="0.3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t="12.5" x14ac:dyDescent="0.25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t="12.5" x14ac:dyDescent="0.25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customHeight="1" x14ac:dyDescent="0.3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customHeight="1" x14ac:dyDescent="0.3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3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customHeight="1" x14ac:dyDescent="0.3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customHeight="1" x14ac:dyDescent="0.3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customHeight="1" x14ac:dyDescent="0.3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customHeight="1" x14ac:dyDescent="0.3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customHeight="1" x14ac:dyDescent="0.3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customHeight="1" x14ac:dyDescent="0.3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customHeight="1" x14ac:dyDescent="0.3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customHeight="1" x14ac:dyDescent="0.3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customHeight="1" x14ac:dyDescent="0.3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t="12.5" x14ac:dyDescent="0.25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t="12.5" x14ac:dyDescent="0.25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customHeight="1" x14ac:dyDescent="0.3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customHeight="1" x14ac:dyDescent="0.3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customHeight="1" x14ac:dyDescent="0.3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customHeight="1" x14ac:dyDescent="0.3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t="12.5" x14ac:dyDescent="0.25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t="12.5" x14ac:dyDescent="0.25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customHeight="1" x14ac:dyDescent="0.3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customHeight="1" x14ac:dyDescent="0.3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customHeight="1" x14ac:dyDescent="0.3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t="12.5" x14ac:dyDescent="0.25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t="12.5" x14ac:dyDescent="0.25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customHeight="1" x14ac:dyDescent="0.3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customHeight="1" x14ac:dyDescent="0.3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t="12.5" x14ac:dyDescent="0.25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t="12.5" x14ac:dyDescent="0.25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customHeight="1" x14ac:dyDescent="0.25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customHeight="1" x14ac:dyDescent="0.3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customHeight="1" x14ac:dyDescent="0.3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customHeight="1" x14ac:dyDescent="0.3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customHeight="1" x14ac:dyDescent="0.3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customHeight="1" x14ac:dyDescent="0.3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customHeight="1" x14ac:dyDescent="0.3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customHeight="1" x14ac:dyDescent="0.3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customHeight="1" x14ac:dyDescent="0.3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customHeight="1" x14ac:dyDescent="0.3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t="12.5" x14ac:dyDescent="0.25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t="12.5" x14ac:dyDescent="0.25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customHeight="1" x14ac:dyDescent="0.3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customHeight="1" x14ac:dyDescent="0.3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customHeight="1" x14ac:dyDescent="0.3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t="12.5" x14ac:dyDescent="0.25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t="12.5" x14ac:dyDescent="0.25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customHeight="1" x14ac:dyDescent="0.3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customHeight="1" x14ac:dyDescent="0.3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customHeight="1" x14ac:dyDescent="0.3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customHeight="1" x14ac:dyDescent="0.3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customHeight="1" x14ac:dyDescent="0.3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3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3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3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3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3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3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3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customHeight="1" x14ac:dyDescent="0.3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customHeight="1" x14ac:dyDescent="0.3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customHeight="1" x14ac:dyDescent="0.3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t="12.5" x14ac:dyDescent="0.25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t="12.5" x14ac:dyDescent="0.25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customHeight="1" x14ac:dyDescent="0.3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customHeight="1" x14ac:dyDescent="0.3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customHeight="1" x14ac:dyDescent="0.3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customHeight="1" x14ac:dyDescent="0.3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customHeight="1" x14ac:dyDescent="0.3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customHeight="1" x14ac:dyDescent="0.3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12.5" x14ac:dyDescent="0.25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t="12.5" x14ac:dyDescent="0.25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customHeight="1" x14ac:dyDescent="0.3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customHeight="1" x14ac:dyDescent="0.3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3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customHeight="1" x14ac:dyDescent="0.3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t="12.5" x14ac:dyDescent="0.25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t="12.5" x14ac:dyDescent="0.25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customHeight="1" x14ac:dyDescent="0.3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customHeight="1" x14ac:dyDescent="0.3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2.5" x14ac:dyDescent="0.25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t="12.5" x14ac:dyDescent="0.25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customHeight="1" x14ac:dyDescent="0.3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customHeight="1" x14ac:dyDescent="0.3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customHeight="1" x14ac:dyDescent="0.3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customHeight="1" x14ac:dyDescent="0.3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2.5" x14ac:dyDescent="0.25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t="12.5" x14ac:dyDescent="0.25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customHeight="1" x14ac:dyDescent="0.3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customHeight="1" x14ac:dyDescent="0.3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customHeight="1" x14ac:dyDescent="0.3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12.5" x14ac:dyDescent="0.25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t="12.5" x14ac:dyDescent="0.25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customHeight="1" x14ac:dyDescent="0.3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customHeight="1" x14ac:dyDescent="0.3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customHeight="1" x14ac:dyDescent="0.3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customHeight="1" x14ac:dyDescent="0.3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customHeight="1" x14ac:dyDescent="0.3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customHeight="1" x14ac:dyDescent="0.3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customHeight="1" x14ac:dyDescent="0.3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customHeight="1" x14ac:dyDescent="0.3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customHeight="1" x14ac:dyDescent="0.3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t="12.5" x14ac:dyDescent="0.25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t="12.5" x14ac:dyDescent="0.25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customHeight="1" x14ac:dyDescent="0.3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customHeight="1" x14ac:dyDescent="0.3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customHeight="1" x14ac:dyDescent="0.3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customHeight="1" x14ac:dyDescent="0.3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3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customHeight="1" x14ac:dyDescent="0.3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customHeight="1" x14ac:dyDescent="0.3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customHeight="1" x14ac:dyDescent="0.3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customHeight="1" x14ac:dyDescent="0.3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customHeight="1" x14ac:dyDescent="0.3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customHeight="1" x14ac:dyDescent="0.3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customHeight="1" x14ac:dyDescent="0.3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customHeight="1" x14ac:dyDescent="0.3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t="12.5" x14ac:dyDescent="0.25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t="12.5" x14ac:dyDescent="0.25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customHeight="1" x14ac:dyDescent="0.3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customHeight="1" x14ac:dyDescent="0.3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customHeight="1" x14ac:dyDescent="0.3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t="12.5" x14ac:dyDescent="0.25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t="12.5" x14ac:dyDescent="0.25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customHeight="1" x14ac:dyDescent="0.3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customHeight="1" x14ac:dyDescent="0.3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customHeight="1" x14ac:dyDescent="0.3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customHeight="1" x14ac:dyDescent="0.3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customHeight="1" x14ac:dyDescent="0.3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customHeight="1" x14ac:dyDescent="0.3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customHeight="1" x14ac:dyDescent="0.3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customHeight="1" x14ac:dyDescent="0.3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customHeight="1" x14ac:dyDescent="0.3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t="12.5" x14ac:dyDescent="0.25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t="12.5" x14ac:dyDescent="0.25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customHeight="1" x14ac:dyDescent="0.3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customHeight="1" x14ac:dyDescent="0.3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t="12.5" x14ac:dyDescent="0.25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t="12.5" x14ac:dyDescent="0.25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customHeight="1" x14ac:dyDescent="0.3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customHeight="1" x14ac:dyDescent="0.3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2.5" x14ac:dyDescent="0.25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t="12.5" x14ac:dyDescent="0.25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customHeight="1" x14ac:dyDescent="0.3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customHeight="1" x14ac:dyDescent="0.3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customHeight="1" x14ac:dyDescent="0.3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3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12.5" x14ac:dyDescent="0.25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t="12.5" x14ac:dyDescent="0.25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customHeight="1" x14ac:dyDescent="0.3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customHeight="1" x14ac:dyDescent="0.3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3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customHeight="1" x14ac:dyDescent="0.3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3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3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customHeight="1" x14ac:dyDescent="0.3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t="12.5" x14ac:dyDescent="0.25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t="12.5" x14ac:dyDescent="0.25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customHeight="1" x14ac:dyDescent="0.3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customHeight="1" x14ac:dyDescent="0.3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customHeight="1" x14ac:dyDescent="0.3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3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customHeight="1" x14ac:dyDescent="0.3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t="12.5" x14ac:dyDescent="0.25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t="12.5" x14ac:dyDescent="0.25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customHeight="1" x14ac:dyDescent="0.3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customHeight="1" x14ac:dyDescent="0.3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customHeight="1" x14ac:dyDescent="0.3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customHeight="1" x14ac:dyDescent="0.3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customHeight="1" x14ac:dyDescent="0.3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customHeight="1" x14ac:dyDescent="0.3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customHeight="1" x14ac:dyDescent="0.3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12.5" x14ac:dyDescent="0.25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t="12.5" x14ac:dyDescent="0.25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customHeight="1" x14ac:dyDescent="0.3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customHeight="1" x14ac:dyDescent="0.3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customHeight="1" x14ac:dyDescent="0.3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t="12.5" x14ac:dyDescent="0.25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t="12.5" x14ac:dyDescent="0.25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customHeight="1" x14ac:dyDescent="0.3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customHeight="1" x14ac:dyDescent="0.3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customHeight="1" x14ac:dyDescent="0.3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customHeight="1" x14ac:dyDescent="0.3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3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t="12.5" x14ac:dyDescent="0.25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t="12.5" x14ac:dyDescent="0.25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customHeight="1" x14ac:dyDescent="0.3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customHeight="1" x14ac:dyDescent="0.3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customHeight="1" x14ac:dyDescent="0.3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3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customHeight="1" x14ac:dyDescent="0.3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customHeight="1" x14ac:dyDescent="0.3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customHeight="1" x14ac:dyDescent="0.3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3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t="12.5" x14ac:dyDescent="0.25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t="12.5" x14ac:dyDescent="0.25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customHeight="1" x14ac:dyDescent="0.3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3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customHeight="1" x14ac:dyDescent="0.3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customHeight="1" x14ac:dyDescent="0.3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3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customHeight="1" x14ac:dyDescent="0.3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customHeight="1" x14ac:dyDescent="0.3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customHeight="1" x14ac:dyDescent="0.3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t="12.5" x14ac:dyDescent="0.25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t="12.5" x14ac:dyDescent="0.25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customHeight="1" x14ac:dyDescent="0.3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3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customHeight="1" x14ac:dyDescent="0.3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customHeight="1" x14ac:dyDescent="0.3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3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12.5" x14ac:dyDescent="0.25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t="12.5" x14ac:dyDescent="0.25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customHeight="1" x14ac:dyDescent="0.3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customHeight="1" x14ac:dyDescent="0.3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3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customHeight="1" x14ac:dyDescent="0.3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12.5" x14ac:dyDescent="0.25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t="12.5" x14ac:dyDescent="0.25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customHeight="1" x14ac:dyDescent="0.3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customHeight="1" x14ac:dyDescent="0.3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customHeight="1" x14ac:dyDescent="0.3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customHeight="1" x14ac:dyDescent="0.3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3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12.5" x14ac:dyDescent="0.25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t="12.5" x14ac:dyDescent="0.25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customHeight="1" x14ac:dyDescent="0.3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customHeight="1" x14ac:dyDescent="0.3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customHeight="1" x14ac:dyDescent="0.3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customHeight="1" x14ac:dyDescent="0.3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12.5" x14ac:dyDescent="0.25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t="12.5" x14ac:dyDescent="0.25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customHeight="1" x14ac:dyDescent="0.3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customHeight="1" x14ac:dyDescent="0.3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3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3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t="12.5" x14ac:dyDescent="0.25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t="12.5" x14ac:dyDescent="0.25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customHeight="1" x14ac:dyDescent="0.3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customHeight="1" x14ac:dyDescent="0.3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3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customHeight="1" x14ac:dyDescent="0.3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customHeight="1" x14ac:dyDescent="0.3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12.5" x14ac:dyDescent="0.25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t="12.5" x14ac:dyDescent="0.25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customHeight="1" x14ac:dyDescent="0.25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customHeight="1" x14ac:dyDescent="0.3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customHeight="1" x14ac:dyDescent="0.3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customHeight="1" x14ac:dyDescent="0.3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3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450</v>
      </c>
      <c r="Y424" s="55">
        <f t="shared" si="52"/>
        <v>450</v>
      </c>
      <c r="Z424" s="41">
        <f>IFERROR(IF(Y424=0,"",ROUNDUP(Y424/H424,0)*0.02175),"")</f>
        <v>0.65249999999999997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464.1</v>
      </c>
      <c r="BN424" s="78">
        <f t="shared" si="54"/>
        <v>464.1</v>
      </c>
      <c r="BO424" s="78">
        <f t="shared" si="55"/>
        <v>0.625</v>
      </c>
      <c r="BP424" s="78">
        <f t="shared" si="56"/>
        <v>0.625</v>
      </c>
    </row>
    <row r="425" spans="1:68" ht="27" customHeight="1" x14ac:dyDescent="0.3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52"/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0</v>
      </c>
      <c r="BN425" s="78">
        <f t="shared" si="54"/>
        <v>0</v>
      </c>
      <c r="BO425" s="78">
        <f t="shared" si="55"/>
        <v>0</v>
      </c>
      <c r="BP425" s="78">
        <f t="shared" si="56"/>
        <v>0</v>
      </c>
    </row>
    <row r="426" spans="1:68" ht="27" customHeight="1" x14ac:dyDescent="0.3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500</v>
      </c>
      <c r="Y426" s="55">
        <f t="shared" si="52"/>
        <v>510</v>
      </c>
      <c r="Z426" s="41">
        <f>IFERROR(IF(Y426=0,"",ROUNDUP(Y426/H426,0)*0.02175),"")</f>
        <v>0.73949999999999994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515.66666666666663</v>
      </c>
      <c r="BN426" s="78">
        <f t="shared" si="54"/>
        <v>525.98</v>
      </c>
      <c r="BO426" s="78">
        <f t="shared" si="55"/>
        <v>0.69444444444444442</v>
      </c>
      <c r="BP426" s="78">
        <f t="shared" si="56"/>
        <v>0.70833333333333326</v>
      </c>
    </row>
    <row r="427" spans="1:68" ht="27" customHeight="1" x14ac:dyDescent="0.3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customHeight="1" x14ac:dyDescent="0.3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customHeight="1" x14ac:dyDescent="0.3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3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ht="12.5" x14ac:dyDescent="0.25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63.333333333333336</v>
      </c>
      <c r="Y431" s="43">
        <f>IFERROR(Y423/H423,"0")+IFERROR(Y424/H424,"0")+IFERROR(Y425/H425,"0")+IFERROR(Y426/H426,"0")+IFERROR(Y427/H427,"0")+IFERROR(Y428/H428,"0")+IFERROR(Y429/H429,"0")+IFERROR(Y430/H430,"0")</f>
        <v>64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1.3919999999999999</v>
      </c>
      <c r="AA431" s="67"/>
      <c r="AB431" s="67"/>
      <c r="AC431" s="67"/>
    </row>
    <row r="432" spans="1:68" ht="12.5" x14ac:dyDescent="0.25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950</v>
      </c>
      <c r="Y432" s="43">
        <f>IFERROR(SUM(Y423:Y430),"0")</f>
        <v>960</v>
      </c>
      <c r="Z432" s="42"/>
      <c r="AA432" s="67"/>
      <c r="AB432" s="67"/>
      <c r="AC432" s="67"/>
    </row>
    <row r="433" spans="1:68" ht="14.25" customHeight="1" x14ac:dyDescent="0.3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3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customHeight="1" x14ac:dyDescent="0.3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3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2.5" x14ac:dyDescent="0.25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t="12.5" x14ac:dyDescent="0.25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customHeight="1" x14ac:dyDescent="0.3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customHeight="1" x14ac:dyDescent="0.3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customHeight="1" x14ac:dyDescent="0.3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customHeight="1" x14ac:dyDescent="0.3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12.5" x14ac:dyDescent="0.25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t="12.5" x14ac:dyDescent="0.25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customHeight="1" x14ac:dyDescent="0.3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customHeight="1" x14ac:dyDescent="0.3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customHeight="1" x14ac:dyDescent="0.3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t="12.5" x14ac:dyDescent="0.25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t="12.5" x14ac:dyDescent="0.25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customHeight="1" x14ac:dyDescent="0.3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customHeight="1" x14ac:dyDescent="0.3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customHeight="1" x14ac:dyDescent="0.3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customHeight="1" x14ac:dyDescent="0.3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t="12.5" x14ac:dyDescent="0.25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t="12.5" x14ac:dyDescent="0.25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customHeight="1" x14ac:dyDescent="0.3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customHeight="1" x14ac:dyDescent="0.3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t="12.5" x14ac:dyDescent="0.25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t="12.5" x14ac:dyDescent="0.25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customHeight="1" x14ac:dyDescent="0.3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customHeight="1" x14ac:dyDescent="0.3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customHeight="1" x14ac:dyDescent="0.3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customHeight="1" x14ac:dyDescent="0.3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t="12.5" x14ac:dyDescent="0.25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t="12.5" x14ac:dyDescent="0.25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customHeight="1" x14ac:dyDescent="0.25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customHeight="1" x14ac:dyDescent="0.3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customHeight="1" x14ac:dyDescent="0.3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customHeight="1" x14ac:dyDescent="0.3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customHeight="1" x14ac:dyDescent="0.3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customHeight="1" x14ac:dyDescent="0.3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customHeight="1" x14ac:dyDescent="0.3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3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customHeight="1" x14ac:dyDescent="0.3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t="12.5" x14ac:dyDescent="0.25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t="12.5" x14ac:dyDescent="0.25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customHeight="1" x14ac:dyDescent="0.3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customHeight="1" x14ac:dyDescent="0.3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customHeight="1" x14ac:dyDescent="0.3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t="12.5" x14ac:dyDescent="0.25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t="12.5" x14ac:dyDescent="0.25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customHeight="1" x14ac:dyDescent="0.3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customHeight="1" x14ac:dyDescent="0.3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customHeight="1" x14ac:dyDescent="0.3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12.5" x14ac:dyDescent="0.25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t="12.5" x14ac:dyDescent="0.25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customHeight="1" x14ac:dyDescent="0.3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customHeight="1" x14ac:dyDescent="0.3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customHeight="1" x14ac:dyDescent="0.3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3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12.5" x14ac:dyDescent="0.25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t="12.5" x14ac:dyDescent="0.25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customHeight="1" x14ac:dyDescent="0.25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customHeight="1" x14ac:dyDescent="0.3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customHeight="1" x14ac:dyDescent="0.3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3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customHeight="1" x14ac:dyDescent="0.3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3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customHeight="1" x14ac:dyDescent="0.3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customHeight="1" x14ac:dyDescent="0.3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3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customHeight="1" x14ac:dyDescent="0.3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customHeight="1" x14ac:dyDescent="0.3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customHeight="1" x14ac:dyDescent="0.3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t="12.5" x14ac:dyDescent="0.25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t="12.5" x14ac:dyDescent="0.25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customHeight="1" x14ac:dyDescent="0.3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3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customHeight="1" x14ac:dyDescent="0.3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customHeight="1" x14ac:dyDescent="0.3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t="12.5" x14ac:dyDescent="0.25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t="12.5" x14ac:dyDescent="0.25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customHeight="1" x14ac:dyDescent="0.3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customHeight="1" x14ac:dyDescent="0.3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3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customHeight="1" x14ac:dyDescent="0.3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customHeight="1" x14ac:dyDescent="0.3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customHeight="1" x14ac:dyDescent="0.3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customHeight="1" x14ac:dyDescent="0.3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customHeight="1" x14ac:dyDescent="0.3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t="12.5" x14ac:dyDescent="0.25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t="12.5" x14ac:dyDescent="0.25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customHeight="1" x14ac:dyDescent="0.25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customHeight="1" x14ac:dyDescent="0.3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customHeight="1" x14ac:dyDescent="0.3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3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t="12.5" x14ac:dyDescent="0.25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t="12.5" x14ac:dyDescent="0.25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customHeight="1" x14ac:dyDescent="0.3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customHeight="1" x14ac:dyDescent="0.3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t="12.5" x14ac:dyDescent="0.25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t="12.5" x14ac:dyDescent="0.25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customHeight="1" x14ac:dyDescent="0.3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customHeight="1" x14ac:dyDescent="0.3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t="12.5" x14ac:dyDescent="0.25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t="12.5" x14ac:dyDescent="0.25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customHeight="1" x14ac:dyDescent="0.3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customHeight="1" x14ac:dyDescent="0.3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t="12.5" x14ac:dyDescent="0.25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t="12.5" x14ac:dyDescent="0.25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customHeight="1" x14ac:dyDescent="0.3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customHeight="1" x14ac:dyDescent="0.3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customHeight="1" x14ac:dyDescent="0.3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t="12.5" x14ac:dyDescent="0.25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t="12.5" x14ac:dyDescent="0.25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customHeight="1" x14ac:dyDescent="0.3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customHeight="1" x14ac:dyDescent="0.3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customHeight="1" x14ac:dyDescent="0.3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t="12.5" x14ac:dyDescent="0.25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t="12.5" x14ac:dyDescent="0.25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5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950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960</v>
      </c>
      <c r="Z551" s="42"/>
      <c r="AA551" s="67"/>
      <c r="AB551" s="67"/>
      <c r="AC551" s="67"/>
    </row>
    <row r="552" spans="1:68" ht="12.5" x14ac:dyDescent="0.25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979.76666666666665</v>
      </c>
      <c r="Y552" s="43">
        <f>IFERROR(SUM(BN22:BN548),"0")</f>
        <v>990.08</v>
      </c>
      <c r="Z552" s="42"/>
      <c r="AA552" s="67"/>
      <c r="AB552" s="67"/>
      <c r="AC552" s="67"/>
    </row>
    <row r="553" spans="1:68" ht="12.5" x14ac:dyDescent="0.25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2</v>
      </c>
      <c r="Y553" s="44">
        <f>ROUNDUP(SUM(BP22:BP548),0)</f>
        <v>2</v>
      </c>
      <c r="Z553" s="42"/>
      <c r="AA553" s="67"/>
      <c r="AB553" s="67"/>
      <c r="AC553" s="67"/>
    </row>
    <row r="554" spans="1:68" ht="12.5" x14ac:dyDescent="0.25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1029.7666666666667</v>
      </c>
      <c r="Y554" s="43">
        <f>GrossWeightTotalR+PalletQtyTotalR*25</f>
        <v>1040.08</v>
      </c>
      <c r="Z554" s="42"/>
      <c r="AA554" s="67"/>
      <c r="AB554" s="67"/>
      <c r="AC554" s="67"/>
    </row>
    <row r="555" spans="1:68" ht="12.5" x14ac:dyDescent="0.25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63.333333333333336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64</v>
      </c>
      <c r="Z555" s="42"/>
      <c r="AA555" s="67"/>
      <c r="AB555" s="67"/>
      <c r="AC555" s="67"/>
    </row>
    <row r="556" spans="1:68" ht="14.5" x14ac:dyDescent="0.25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1.3919999999999999</v>
      </c>
      <c r="AA556" s="67"/>
      <c r="AB556" s="67"/>
      <c r="AC556" s="67"/>
    </row>
    <row r="557" spans="1:68" ht="13.5" thickBot="1" x14ac:dyDescent="0.35"/>
    <row r="558" spans="1:68" ht="27" thickTop="1" thickBot="1" x14ac:dyDescent="0.3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5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thickBot="1" x14ac:dyDescent="0.3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5" thickTop="1" thickBot="1" x14ac:dyDescent="0.3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960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/>
    <dataValidation type="list" allowBlank="1" showInputMessage="1" showErrorMessage="1" sqref="X16:AC16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>
      <formula1>43831</formula1>
      <formula2>47484</formula2>
    </dataValidation>
    <dataValidation allowBlank="1" showInputMessage="1" showErrorMessage="1" prompt="Введите название вашей фирмы." sqref="V6:V7"/>
    <dataValidation allowBlank="1" showInputMessage="1" showErrorMessage="1" prompt="Введите код клиента в системе Axapta" sqref="V10"/>
    <dataValidation type="list" allowBlank="1" showInputMessage="1" showErrorMessage="1" prompt="Определите тип Вашего заказа" sqref="V11:W11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>
      <formula1>43831</formula1>
      <formula2>47484</formula2>
    </dataValidation>
    <dataValidation type="list" allowBlank="1" showInputMessage="1" showErrorMessage="1" sqref="D9:E9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/>
    <dataValidation type="list" allowBlank="1" showInputMessage="1" showErrorMessage="1" sqref="V12">
      <formula1>DeliveryConditionsList</formula1>
    </dataValidation>
    <dataValidation type="list" allowBlank="1" showInputMessage="1" showErrorMessage="1" sqref="D6:N6">
      <formula1>DeliveryAdressList</formula1>
    </dataValidation>
    <dataValidation type="list" allowBlank="1" showInputMessage="1" showErrorMessage="1" sqref="M8:N8">
      <formula1>CHOOSE($D$7,UnloadAdressList)</formula1>
    </dataValidation>
    <dataValidation type="list" allowBlank="1" showInputMessage="1" showErrorMessage="1" sqref="D8:L8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23"/>
  <sheetViews>
    <sheetView workbookViewId="0">
      <selection activeCell="B16" sqref="B16"/>
    </sheetView>
  </sheetViews>
  <sheetFormatPr defaultColWidth="8.81640625" defaultRowHeight="12.5" x14ac:dyDescent="0.25"/>
  <cols>
    <col min="1" max="1" width="6.453125" customWidth="1"/>
    <col min="2" max="2" width="29.54296875" customWidth="1"/>
    <col min="3" max="3" width="34.1796875" customWidth="1"/>
    <col min="4" max="4" width="37.453125" customWidth="1"/>
  </cols>
  <sheetData>
    <row r="1" spans="2:8" x14ac:dyDescent="0.25">
      <c r="G1" t="s">
        <v>868</v>
      </c>
      <c r="H1" s="9"/>
    </row>
    <row r="3" spans="2:8" x14ac:dyDescent="0.25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5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5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5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5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5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5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5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5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5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5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5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5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5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5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5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5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http://purl.org/dc/terms/"/>
    <ds:schemaRef ds:uri="bb0b2827-4eb3-461f-8866-28597c48f473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Users</cp:lastModifiedBy>
  <dcterms:created xsi:type="dcterms:W3CDTF">2021-11-12T12:13:19Z</dcterms:created>
  <dcterms:modified xsi:type="dcterms:W3CDTF">2026-08-07T18:47:07Z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