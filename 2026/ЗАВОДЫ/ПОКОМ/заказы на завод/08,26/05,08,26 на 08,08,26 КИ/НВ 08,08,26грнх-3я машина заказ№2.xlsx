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7EDED5-E49C-44AE-8E36-8E953B12426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<sst xmlns="http://schemas.openxmlformats.org/spreadsheetml/2006/main" count="3645" uniqueCount="788">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</sst>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5" t="s">
        <v>26</v>
      </c>
      <c r="E1" s="865"/>
      <c r="F1" s="865"/>
      <c r="G1" s="14" t="s">
        <v>66</v>
      </c>
      <c r="H1" s="865" t="s">
        <v>46</v>
      </c>
      <c r="I1" s="865"/>
      <c r="J1" s="865"/>
      <c r="K1" s="865"/>
      <c r="L1" s="865"/>
      <c r="M1" s="865"/>
      <c r="N1" s="865"/>
      <c r="O1" s="865"/>
      <c r="P1" s="865"/>
      <c r="Q1" s="865"/>
      <c r="R1" s="866" t="s">
        <v>67</v>
      </c>
      <c r="S1" s="867"/>
      <c r="T1" s="8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8"/>
      <c r="R2" s="868"/>
      <c r="S2" s="868"/>
      <c r="T2" s="868"/>
      <c r="U2" s="868"/>
      <c r="V2" s="868"/>
      <c r="W2" s="8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8"/>
      <c r="Q3" s="868"/>
      <c r="R3" s="868"/>
      <c r="S3" s="868"/>
      <c r="T3" s="868"/>
      <c r="U3" s="868"/>
      <c r="V3" s="868"/>
      <c r="W3" s="8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9"/>
      <c r="E5" s="869"/>
      <c r="F5" s="870" t="s">
        <v>14</v>
      </c>
      <c r="G5" s="870"/>
      <c r="H5" s="869" t="s">
        <v>787</v>
      </c>
      <c r="I5" s="869"/>
      <c r="J5" s="869"/>
      <c r="K5" s="869"/>
      <c r="L5" s="869"/>
      <c r="M5" s="869"/>
      <c r="N5" s="72"/>
      <c r="P5" s="27" t="s">
        <v>4</v>
      </c>
      <c r="Q5" s="871">
        <v>46242</v>
      </c>
      <c r="R5" s="872"/>
      <c r="T5" s="873" t="s">
        <v>3</v>
      </c>
      <c r="U5" s="874"/>
      <c r="V5" s="875" t="s">
        <v>751</v>
      </c>
      <c r="W5" s="876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 t="s">
        <v>767</v>
      </c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 t="str">
        <f>IFERROR(VLOOKUP(DeliveryAddress,Table,3,0),1)</f>
        <v>6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>
        <v>0.45833333333333331</v>
      </c>
      <c r="R8" s="862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3" t="str">
        <f>IF(AND($A$9="Тип доверенности/получателя при получении в адресе перегруза:",$D$9="Разовая доверенность"),"Введите ФИО","")</f>
        <v/>
      </c>
      <c r="I9" s="863"/>
      <c r="J9" s="8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3"/>
      <c r="L9" s="863"/>
      <c r="M9" s="863"/>
      <c r="N9" s="70"/>
      <c r="P9" s="31" t="s">
        <v>15</v>
      </c>
      <c r="Q9" s="864">
        <v>46245</v>
      </c>
      <c r="R9" s="864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hidden="1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hidden="1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hidden="1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hidden="1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hidden="1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86.4</v>
      </c>
      <c r="Y42" s="55">
        <f>IFERROR(IF(X42="",0,CEILING((X42/$H42),1)*$H42),"")</f>
        <v>86.4</v>
      </c>
      <c r="Z42" s="41">
        <f>IFERROR(IF(Y42=0,"",ROUNDUP(Y42/H42,0)*0.01898),"")</f>
        <v>0.15184</v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89.68</v>
      </c>
      <c r="BN42" s="78">
        <f>IFERROR(Y42*I42/H42,"0")</f>
        <v>89.68</v>
      </c>
      <c r="BO42" s="78">
        <f>IFERROR(1/J42*(X42/H42),"0")</f>
        <v>0.125</v>
      </c>
      <c r="BP42" s="78">
        <f>IFERROR(1/J42*(Y42/H42),"0")</f>
        <v>0.125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8</v>
      </c>
      <c r="Y45" s="43">
        <f>IFERROR(Y42/H42,"0")+IFERROR(Y43/H43,"0")+IFERROR(Y44/H44,"0")</f>
        <v>8</v>
      </c>
      <c r="Z45" s="43">
        <f>IFERROR(IF(Z42="",0,Z42),"0")+IFERROR(IF(Z43="",0,Z43),"0")+IFERROR(IF(Z44="",0,Z44),"0")</f>
        <v>0.15184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86.4</v>
      </c>
      <c r="Y46" s="43">
        <f>IFERROR(SUM(Y42:Y44),"0")</f>
        <v>86.4</v>
      </c>
      <c r="Z46" s="42"/>
      <c r="AA46" s="67"/>
      <c r="AB46" s="67"/>
      <c r="AC46" s="67"/>
    </row>
    <row r="47" spans="1:68" ht="14.25" hidden="1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hidden="1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hidden="1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idden="1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hidden="1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hidden="1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hidden="1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hidden="1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hidden="1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idden="1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hidden="1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hidden="1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hidden="1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hidden="1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hidden="1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hidden="1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hidden="1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hidden="1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hidden="1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hidden="1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hidden="1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124.8</v>
      </c>
      <c r="Y326" s="43">
        <f>IFERROR(SUM(Y322:Y324),"0")</f>
        <v>124.8</v>
      </c>
      <c r="Z326" s="42"/>
      <c r="AA326" s="67"/>
      <c r="AB326" s="67"/>
      <c r="AC326" s="67"/>
    </row>
    <row r="327" spans="1:68" ht="14.25" hidden="1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hidden="1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hidden="1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hidden="1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hidden="1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7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0</v>
      </c>
      <c r="BN352" s="78">
        <f t="shared" si="39"/>
        <v>0</v>
      </c>
      <c r="BO352" s="78">
        <f t="shared" si="40"/>
        <v>0</v>
      </c>
      <c r="BP352" s="78">
        <f t="shared" si="41"/>
        <v>0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8</v>
      </c>
      <c r="Y357" s="43">
        <f>IFERROR(Y350/H350,"0")+IFERROR(Y351/H351,"0")+IFERROR(Y352/H352,"0")+IFERROR(Y353/H353,"0")+IFERROR(Y354/H354,"0")+IFERROR(Y355/H355,"0")+IFERROR(Y356/H356,"0")</f>
        <v>8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0.17399999999999999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120</v>
      </c>
      <c r="Y358" s="43">
        <f>IFERROR(SUM(Y350:Y356),"0")</f>
        <v>120</v>
      </c>
      <c r="Z358" s="42"/>
      <c r="AA358" s="67"/>
      <c r="AB358" s="67"/>
      <c r="AC358" s="67"/>
    </row>
    <row r="359" spans="1:68" ht="14.25" hidden="1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hidden="1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hidden="1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hidden="1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hidden="1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hidden="1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16</v>
      </c>
      <c r="Y387" s="43">
        <f>IFERROR(Y384/H384,"0")+IFERROR(Y385/H385,"0")+IFERROR(Y386/H386,"0")</f>
        <v>16</v>
      </c>
      <c r="Z387" s="43">
        <f>IFERROR(IF(Z384="",0,Z384),"0")+IFERROR(IF(Z385="",0,Z385),"0")+IFERROR(IF(Z386="",0,Z386),"0")</f>
        <v>0.30368000000000001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144</v>
      </c>
      <c r="Y388" s="43">
        <f>IFERROR(SUM(Y384:Y386),"0")</f>
        <v>144</v>
      </c>
      <c r="Z388" s="42"/>
      <c r="AA388" s="67"/>
      <c r="AB388" s="67"/>
      <c r="AC388" s="67"/>
    </row>
    <row r="389" spans="1:68" ht="27.75" hidden="1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hidden="1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hidden="1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hidden="1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hidden="1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hidden="1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hidden="1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42.24</v>
      </c>
      <c r="Y433" s="55">
        <f t="shared" si="48"/>
        <v>42.24</v>
      </c>
      <c r="Z433" s="41">
        <f t="shared" si="49"/>
        <v>9.5680000000000001E-2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45.04</v>
      </c>
      <c r="BN433" s="78">
        <f t="shared" si="51"/>
        <v>45.04</v>
      </c>
      <c r="BO433" s="78">
        <f t="shared" si="52"/>
        <v>7.6923076923076927E-2</v>
      </c>
      <c r="BP433" s="78">
        <f t="shared" si="53"/>
        <v>7.6923076923076927E-2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9.5680000000000001E-2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42.24</v>
      </c>
      <c r="Y440" s="43">
        <f>IFERROR(SUM(Y427:Y438),"0")</f>
        <v>42.24</v>
      </c>
      <c r="Z440" s="42"/>
      <c r="AA440" s="67"/>
      <c r="AB440" s="67"/>
      <c r="AC440" s="67"/>
    </row>
    <row r="441" spans="1:68" ht="14.25" hidden="1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hidden="1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hidden="1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hidden="1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hidden="1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0</v>
      </c>
      <c r="Y455" s="43">
        <f>IFERROR(Y448/H448,"0")+IFERROR(Y449/H449,"0")+IFERROR(Y450/H450,"0")+IFERROR(Y451/H451,"0")+IFERROR(Y452/H452,"0")+IFERROR(Y453/H453,"0")+IFERROR(Y454/H454,"0")</f>
        <v>0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0</v>
      </c>
      <c r="Y456" s="43">
        <f>IFERROR(SUM(Y448:Y454),"0")</f>
        <v>0</v>
      </c>
      <c r="Z456" s="42"/>
      <c r="AA456" s="67"/>
      <c r="AB456" s="67"/>
      <c r="AC456" s="67"/>
    </row>
    <row r="457" spans="1:68" ht="27.75" hidden="1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hidden="1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hidden="1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hidden="1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517.43999999999994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517.43999999999994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543.08799999999997</v>
      </c>
      <c r="Y489" s="43">
        <f>IFERROR(SUM(BN22:BN485),"0")</f>
        <v>543.08799999999997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1</v>
      </c>
      <c r="Y490" s="44">
        <f>ROUNDUP(SUM(BP22:BP485),0)</f>
        <v>1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568.08799999999997</v>
      </c>
      <c r="Y491" s="43">
        <f>GrossWeightTotalR+PalletQtyTotalR*25</f>
        <v>568.08799999999997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56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56</v>
      </c>
      <c r="Z492" s="42"/>
      <c r="AA492" s="67"/>
      <c r="AB492" s="67"/>
      <c r="AC492" s="67"/>
    </row>
    <row r="493" spans="1:68" ht="14.25" hidden="1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1.02888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86.4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124.8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120</v>
      </c>
      <c r="T498" s="52">
        <f>IFERROR(Y375*1,"0")+IFERROR(Y376*1,"0")+IFERROR(Y380*1,"0")+IFERROR(Y384*1,"0")+IFERROR(Y385*1,"0")+IFERROR(Y386*1,"0")</f>
        <v>144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42.24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20,00"/>
        <filter val="124,80"/>
        <filter val="144,00"/>
        <filter val="16,00"/>
        <filter val="42,24"/>
        <filter val="517,44"/>
        <filter val="543,09"/>
        <filter val="56,00"/>
        <filter val="568,09"/>
        <filter val="8,00"/>
        <filter val="86,4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8" priority="16" stopIfTrue="1">
      <formula>IF($V$5="самовывоз",1,0)</formula>
    </cfRule>
  </conditionalFormatting>
  <conditionalFormatting sqref="H9:I9">
    <cfRule type="expression" dxfId="7" priority="9" stopIfTrue="1">
      <formula>IF($V$5="самовывоз",1,0)</formula>
    </cfRule>
  </conditionalFormatting>
  <conditionalFormatting sqref="F9:G9">
    <cfRule type="expression" dxfId="6" priority="8" stopIfTrue="1">
      <formula>IF($V$5="самовывоз",1,0)</formula>
    </cfRule>
  </conditionalFormatting>
  <conditionalFormatting sqref="F10:G10">
    <cfRule type="expression" dxfId="5" priority="7" stopIfTrue="1">
      <formula>IF($V$5="самовывоз",1,0)</formula>
    </cfRule>
  </conditionalFormatting>
  <conditionalFormatting sqref="D9:E9">
    <cfRule type="expression" dxfId="4" priority="6" stopIfTrue="1">
      <formula>IF($V$5="самовывоз",1,0)</formula>
    </cfRule>
  </conditionalFormatting>
  <conditionalFormatting sqref="D10:E10">
    <cfRule type="expression" dxfId="3" priority="5" stopIfTrue="1">
      <formula>IF($V$5="самовывоз",1,0)</formula>
    </cfRule>
  </conditionalFormatting>
  <conditionalFormatting sqref="P8 P6:R6 P5">
    <cfRule type="expression" dxfId="2" priority="4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2026-08-05T13:34:52Z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