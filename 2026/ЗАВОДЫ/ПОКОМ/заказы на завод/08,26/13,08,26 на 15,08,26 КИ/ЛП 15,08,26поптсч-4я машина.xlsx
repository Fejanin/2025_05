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9B3977-6D2C-4B1A-9CCF-B9D7D433CEE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Z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Z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Z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Z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P241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BP120" i="2" l="1"/>
  <c r="BP222" i="2"/>
  <c r="Z284" i="2"/>
  <c r="Z363" i="2"/>
  <c r="BN363" i="2"/>
  <c r="BP395" i="2"/>
  <c r="Z439" i="2"/>
  <c r="Z441" i="2" s="1"/>
  <c r="Z519" i="2"/>
  <c r="BN118" i="2"/>
  <c r="BN185" i="2"/>
  <c r="BN225" i="2"/>
  <c r="BN273" i="2"/>
  <c r="BN304" i="2"/>
  <c r="BN396" i="2"/>
  <c r="BN450" i="2"/>
  <c r="BN482" i="2"/>
  <c r="BN524" i="2"/>
  <c r="BN23" i="2"/>
  <c r="BN74" i="2"/>
  <c r="BN93" i="2"/>
  <c r="BN113" i="2"/>
  <c r="BN131" i="2"/>
  <c r="Z152" i="2"/>
  <c r="Z356" i="2"/>
  <c r="Z372" i="2"/>
  <c r="Y397" i="2"/>
  <c r="BP393" i="2"/>
  <c r="Z407" i="2"/>
  <c r="Z433" i="2"/>
  <c r="BN434" i="2"/>
  <c r="Y452" i="2"/>
  <c r="Z159" i="2"/>
  <c r="Z160" i="2" s="1"/>
  <c r="Y160" i="2"/>
  <c r="Z230" i="2"/>
  <c r="BP230" i="2"/>
  <c r="BP283" i="2"/>
  <c r="Z293" i="2"/>
  <c r="BP293" i="2"/>
  <c r="Z374" i="2"/>
  <c r="Z383" i="2"/>
  <c r="BP383" i="2"/>
  <c r="Z428" i="2"/>
  <c r="BN48" i="2"/>
  <c r="BN59" i="2"/>
  <c r="BP66" i="2"/>
  <c r="BP100" i="2"/>
  <c r="Y121" i="2"/>
  <c r="Z124" i="2"/>
  <c r="Z125" i="2" s="1"/>
  <c r="BN165" i="2"/>
  <c r="BN175" i="2"/>
  <c r="Z183" i="2"/>
  <c r="BN195" i="2"/>
  <c r="Z210" i="2"/>
  <c r="Z283" i="2"/>
  <c r="BN287" i="2"/>
  <c r="Z328" i="2"/>
  <c r="BN333" i="2"/>
  <c r="BP341" i="2"/>
  <c r="BN344" i="2"/>
  <c r="Z355" i="2"/>
  <c r="BP356" i="2"/>
  <c r="Y368" i="2"/>
  <c r="Z375" i="2"/>
  <c r="BN393" i="2"/>
  <c r="Y398" i="2"/>
  <c r="Z406" i="2"/>
  <c r="Z430" i="2"/>
  <c r="Z434" i="2"/>
  <c r="Z440" i="2"/>
  <c r="BN444" i="2"/>
  <c r="Z461" i="2"/>
  <c r="Z462" i="2" s="1"/>
  <c r="Y489" i="2"/>
  <c r="BN514" i="2"/>
  <c r="BP124" i="2"/>
  <c r="BN41" i="2"/>
  <c r="Z118" i="2"/>
  <c r="Y122" i="2"/>
  <c r="BN136" i="2"/>
  <c r="Z149" i="2"/>
  <c r="BP152" i="2"/>
  <c r="BN153" i="2"/>
  <c r="BN190" i="2"/>
  <c r="BN240" i="2"/>
  <c r="Y253" i="2"/>
  <c r="BN289" i="2"/>
  <c r="BN293" i="2"/>
  <c r="BN299" i="2"/>
  <c r="BP433" i="2"/>
  <c r="BP439" i="2"/>
  <c r="Y463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422" i="2" s="1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Z447" i="2" s="1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114" i="2" l="1"/>
  <c r="Z329" i="2"/>
  <c r="Z132" i="2"/>
  <c r="Z415" i="2"/>
  <c r="Z295" i="2"/>
  <c r="Z409" i="2"/>
  <c r="Z384" i="2"/>
  <c r="Z515" i="2"/>
  <c r="Z350" i="2"/>
  <c r="Z197" i="2"/>
  <c r="Z167" i="2"/>
  <c r="Z290" i="2"/>
  <c r="Z88" i="2"/>
  <c r="Z367" i="2"/>
  <c r="Z259" i="2"/>
  <c r="Z377" i="2"/>
  <c r="Z435" i="2"/>
  <c r="Z264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<sst xmlns="http://schemas.openxmlformats.org/spreadsheetml/2006/main" count="4245" uniqueCount="901">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</sst>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46249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Суббота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0.5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17500</v>
      </c>
      <c r="Y380" s="55">
        <f>IFERROR(IF(X380="",0,CEILING((X380/$H380),1)*$H380),"")</f>
        <v>17503.2</v>
      </c>
      <c r="Z380" s="41">
        <f>IFERROR(IF(Y380=0,"",ROUNDUP(Y380/H380,0)*0.01898),"")</f>
        <v>42.591120000000004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18594.871794871797</v>
      </c>
      <c r="BN380" s="78">
        <f>IFERROR(Y380*I380/H380,"0")</f>
        <v>18598.272000000001</v>
      </c>
      <c r="BO380" s="78">
        <f>IFERROR(1/J380*(X380/H380),"0")</f>
        <v>35.056089743589745</v>
      </c>
      <c r="BP380" s="78">
        <f>IFERROR(1/J380*(Y380/H380),"0")</f>
        <v>35.0625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2243.5897435897436</v>
      </c>
      <c r="Y384" s="43">
        <f>IFERROR(Y380/H380,"0")+IFERROR(Y381/H381,"0")+IFERROR(Y382/H382,"0")+IFERROR(Y383/H383,"0")</f>
        <v>2244</v>
      </c>
      <c r="Z384" s="43">
        <f>IFERROR(IF(Z380="",0,Z380),"0")+IFERROR(IF(Z381="",0,Z381),"0")+IFERROR(IF(Z382="",0,Z382),"0")+IFERROR(IF(Z383="",0,Z383),"0")</f>
        <v>42.591120000000004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17500</v>
      </c>
      <c r="Y385" s="43">
        <f>IFERROR(SUM(Y380:Y383),"0")</f>
        <v>17503.2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17500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17503.2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18594.871794871797</v>
      </c>
      <c r="Y556" s="43">
        <f>IFERROR(SUM(BN22:BN552),"0")</f>
        <v>18598.272000000001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36</v>
      </c>
      <c r="Y557" s="44">
        <f>ROUNDUP(SUM(BP22:BP552),0)</f>
        <v>36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19494.871794871797</v>
      </c>
      <c r="Y558" s="43">
        <f>GrossWeightTotalR+PalletQtyTotalR*25</f>
        <v>19498.272000000001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2243.5897435897436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2244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42.591120000000004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17503.2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500,00"/>
        <filter val="18 594,87"/>
        <filter val="19 494,87"/>
        <filter val="2 243,59"/>
        <filter val="36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2026-08-13T11:45:21Z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