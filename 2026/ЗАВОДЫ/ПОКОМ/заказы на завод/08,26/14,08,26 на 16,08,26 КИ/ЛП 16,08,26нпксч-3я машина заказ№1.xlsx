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347FFCC-2EA5-4E1F-839D-6EB9937FF0F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Y490" i="2" s="1"/>
  <c r="P489" i="2"/>
  <c r="X487" i="2"/>
  <c r="X486" i="2"/>
  <c r="BO485" i="2"/>
  <c r="BM485" i="2"/>
  <c r="Y485" i="2"/>
  <c r="Y486" i="2" s="1"/>
  <c r="P485" i="2"/>
  <c r="X483" i="2"/>
  <c r="X482" i="2"/>
  <c r="BO481" i="2"/>
  <c r="BN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P473" i="2"/>
  <c r="BO472" i="2"/>
  <c r="BM472" i="2"/>
  <c r="Y472" i="2"/>
  <c r="BP472" i="2" s="1"/>
  <c r="P472" i="2"/>
  <c r="BO471" i="2"/>
  <c r="BN471" i="2"/>
  <c r="BM471" i="2"/>
  <c r="Y471" i="2"/>
  <c r="BP471" i="2" s="1"/>
  <c r="P471" i="2"/>
  <c r="BO470" i="2"/>
  <c r="BM470" i="2"/>
  <c r="Y470" i="2"/>
  <c r="BP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BP462" i="2" s="1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O456" i="2"/>
  <c r="BN456" i="2"/>
  <c r="BM456" i="2"/>
  <c r="Y456" i="2"/>
  <c r="BP456" i="2" s="1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P423" i="2"/>
  <c r="X421" i="2"/>
  <c r="X420" i="2"/>
  <c r="BP419" i="2"/>
  <c r="BO419" i="2"/>
  <c r="BN419" i="2"/>
  <c r="BM419" i="2"/>
  <c r="Z419" i="2"/>
  <c r="Y419" i="2"/>
  <c r="P419" i="2"/>
  <c r="BO418" i="2"/>
  <c r="BM418" i="2"/>
  <c r="Y418" i="2"/>
  <c r="P418" i="2"/>
  <c r="BO417" i="2"/>
  <c r="BM417" i="2"/>
  <c r="Y417" i="2"/>
  <c r="P417" i="2"/>
  <c r="BO416" i="2"/>
  <c r="BM416" i="2"/>
  <c r="Y416" i="2"/>
  <c r="P416" i="2"/>
  <c r="BO415" i="2"/>
  <c r="BM415" i="2"/>
  <c r="Y415" i="2"/>
  <c r="BN415" i="2" s="1"/>
  <c r="P415" i="2"/>
  <c r="BO414" i="2"/>
  <c r="BM414" i="2"/>
  <c r="Y414" i="2"/>
  <c r="P414" i="2"/>
  <c r="BO413" i="2"/>
  <c r="BM413" i="2"/>
  <c r="Y413" i="2"/>
  <c r="P413" i="2"/>
  <c r="BO412" i="2"/>
  <c r="BM412" i="2"/>
  <c r="Y412" i="2"/>
  <c r="P412" i="2"/>
  <c r="BO411" i="2"/>
  <c r="BN411" i="2"/>
  <c r="BM411" i="2"/>
  <c r="Y411" i="2"/>
  <c r="BP411" i="2" s="1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P385" i="2"/>
  <c r="BO384" i="2"/>
  <c r="BM384" i="2"/>
  <c r="Y384" i="2"/>
  <c r="Y386" i="2" s="1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P361" i="2"/>
  <c r="BO361" i="2"/>
  <c r="BM361" i="2"/>
  <c r="Z361" i="2"/>
  <c r="Y361" i="2"/>
  <c r="BN361" i="2" s="1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X345" i="2"/>
  <c r="X344" i="2"/>
  <c r="BO343" i="2"/>
  <c r="BN343" i="2"/>
  <c r="BM343" i="2"/>
  <c r="Y343" i="2"/>
  <c r="BP343" i="2" s="1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N337" i="2"/>
  <c r="BM337" i="2"/>
  <c r="Z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Y338" i="2" s="1"/>
  <c r="P334" i="2"/>
  <c r="X332" i="2"/>
  <c r="X331" i="2"/>
  <c r="BO330" i="2"/>
  <c r="BM330" i="2"/>
  <c r="Y330" i="2"/>
  <c r="BP330" i="2" s="1"/>
  <c r="P330" i="2"/>
  <c r="BO329" i="2"/>
  <c r="BN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N325" i="2"/>
  <c r="BM325" i="2"/>
  <c r="Y325" i="2"/>
  <c r="BP325" i="2" s="1"/>
  <c r="P325" i="2"/>
  <c r="BO324" i="2"/>
  <c r="BM324" i="2"/>
  <c r="Y324" i="2"/>
  <c r="P324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P318" i="2" s="1"/>
  <c r="BO317" i="2"/>
  <c r="BM317" i="2"/>
  <c r="Y317" i="2"/>
  <c r="BP317" i="2" s="1"/>
  <c r="P317" i="2"/>
  <c r="BO316" i="2"/>
  <c r="BM316" i="2"/>
  <c r="Y316" i="2"/>
  <c r="BO315" i="2"/>
  <c r="BM315" i="2"/>
  <c r="Y315" i="2"/>
  <c r="P315" i="2"/>
  <c r="BO314" i="2"/>
  <c r="BM314" i="2"/>
  <c r="Y314" i="2"/>
  <c r="BP314" i="2" s="1"/>
  <c r="BO313" i="2"/>
  <c r="BM313" i="2"/>
  <c r="Y313" i="2"/>
  <c r="P313" i="2"/>
  <c r="X310" i="2"/>
  <c r="X309" i="2"/>
  <c r="BO308" i="2"/>
  <c r="BM308" i="2"/>
  <c r="Y308" i="2"/>
  <c r="P308" i="2"/>
  <c r="BO307" i="2"/>
  <c r="BM307" i="2"/>
  <c r="Y307" i="2"/>
  <c r="P307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X298" i="2"/>
  <c r="X297" i="2"/>
  <c r="BP296" i="2"/>
  <c r="BO296" i="2"/>
  <c r="BM296" i="2"/>
  <c r="Z296" i="2"/>
  <c r="Y296" i="2"/>
  <c r="BN296" i="2" s="1"/>
  <c r="P296" i="2"/>
  <c r="BO295" i="2"/>
  <c r="BM295" i="2"/>
  <c r="Y295" i="2"/>
  <c r="P295" i="2"/>
  <c r="BO294" i="2"/>
  <c r="BM294" i="2"/>
  <c r="Y294" i="2"/>
  <c r="P294" i="2"/>
  <c r="X291" i="2"/>
  <c r="X290" i="2"/>
  <c r="BO289" i="2"/>
  <c r="BN289" i="2"/>
  <c r="BM289" i="2"/>
  <c r="Z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O516" i="2" s="1"/>
  <c r="P286" i="2"/>
  <c r="X283" i="2"/>
  <c r="X282" i="2"/>
  <c r="BO281" i="2"/>
  <c r="BM281" i="2"/>
  <c r="Y281" i="2"/>
  <c r="BP281" i="2" s="1"/>
  <c r="P281" i="2"/>
  <c r="BO280" i="2"/>
  <c r="BN280" i="2"/>
  <c r="BM280" i="2"/>
  <c r="Y280" i="2"/>
  <c r="BP280" i="2" s="1"/>
  <c r="P280" i="2"/>
  <c r="BO279" i="2"/>
  <c r="BM279" i="2"/>
  <c r="Y279" i="2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N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P256" i="2"/>
  <c r="BO255" i="2"/>
  <c r="BM255" i="2"/>
  <c r="Y255" i="2"/>
  <c r="BN255" i="2" s="1"/>
  <c r="P255" i="2"/>
  <c r="BO254" i="2"/>
  <c r="BM254" i="2"/>
  <c r="Y254" i="2"/>
  <c r="P254" i="2"/>
  <c r="BO253" i="2"/>
  <c r="BM253" i="2"/>
  <c r="Y253" i="2"/>
  <c r="P253" i="2"/>
  <c r="BO252" i="2"/>
  <c r="BM252" i="2"/>
  <c r="Y252" i="2"/>
  <c r="P252" i="2"/>
  <c r="BO251" i="2"/>
  <c r="BN251" i="2"/>
  <c r="BM251" i="2"/>
  <c r="Y251" i="2"/>
  <c r="BP251" i="2" s="1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P216" i="2"/>
  <c r="BO216" i="2"/>
  <c r="BM216" i="2"/>
  <c r="Z216" i="2"/>
  <c r="Y216" i="2"/>
  <c r="BN216" i="2" s="1"/>
  <c r="P216" i="2"/>
  <c r="X214" i="2"/>
  <c r="Y213" i="2"/>
  <c r="X213" i="2"/>
  <c r="BO212" i="2"/>
  <c r="BN212" i="2"/>
  <c r="BM212" i="2"/>
  <c r="Y212" i="2"/>
  <c r="BP212" i="2" s="1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M202" i="2"/>
  <c r="Y202" i="2"/>
  <c r="P202" i="2"/>
  <c r="BO201" i="2"/>
  <c r="BM201" i="2"/>
  <c r="Y201" i="2"/>
  <c r="BP201" i="2" s="1"/>
  <c r="P201" i="2"/>
  <c r="BO200" i="2"/>
  <c r="BM200" i="2"/>
  <c r="Y200" i="2"/>
  <c r="Y204" i="2" s="1"/>
  <c r="P200" i="2"/>
  <c r="X198" i="2"/>
  <c r="X197" i="2"/>
  <c r="BO196" i="2"/>
  <c r="BM196" i="2"/>
  <c r="Y196" i="2"/>
  <c r="P196" i="2"/>
  <c r="BO195" i="2"/>
  <c r="BM195" i="2"/>
  <c r="Y195" i="2"/>
  <c r="BN195" i="2" s="1"/>
  <c r="P195" i="2"/>
  <c r="BO194" i="2"/>
  <c r="BM194" i="2"/>
  <c r="Y194" i="2"/>
  <c r="BP194" i="2" s="1"/>
  <c r="P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N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BP187" i="2"/>
  <c r="BO187" i="2"/>
  <c r="BN187" i="2"/>
  <c r="BM187" i="2"/>
  <c r="Z187" i="2"/>
  <c r="Y187" i="2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J516" i="2" s="1"/>
  <c r="P180" i="2"/>
  <c r="X176" i="2"/>
  <c r="X175" i="2"/>
  <c r="BO174" i="2"/>
  <c r="BM174" i="2"/>
  <c r="Y174" i="2"/>
  <c r="Y176" i="2" s="1"/>
  <c r="P174" i="2"/>
  <c r="X172" i="2"/>
  <c r="X171" i="2"/>
  <c r="BO170" i="2"/>
  <c r="BN170" i="2"/>
  <c r="BM170" i="2"/>
  <c r="Y170" i="2"/>
  <c r="BP170" i="2" s="1"/>
  <c r="P170" i="2"/>
  <c r="BO169" i="2"/>
  <c r="BM169" i="2"/>
  <c r="Y169" i="2"/>
  <c r="BP169" i="2" s="1"/>
  <c r="BO168" i="2"/>
  <c r="BM168" i="2"/>
  <c r="Y168" i="2"/>
  <c r="BP168" i="2" s="1"/>
  <c r="P168" i="2"/>
  <c r="BP167" i="2"/>
  <c r="BO167" i="2"/>
  <c r="BM167" i="2"/>
  <c r="Z167" i="2"/>
  <c r="Y167" i="2"/>
  <c r="BN167" i="2" s="1"/>
  <c r="P167" i="2"/>
  <c r="BO166" i="2"/>
  <c r="BM166" i="2"/>
  <c r="Y166" i="2"/>
  <c r="BP166" i="2" s="1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BP163" i="2" s="1"/>
  <c r="P163" i="2"/>
  <c r="BO162" i="2"/>
  <c r="BM162" i="2"/>
  <c r="Y162" i="2"/>
  <c r="Y171" i="2" s="1"/>
  <c r="P162" i="2"/>
  <c r="BO161" i="2"/>
  <c r="BN161" i="2"/>
  <c r="BM161" i="2"/>
  <c r="Y161" i="2"/>
  <c r="BP161" i="2" s="1"/>
  <c r="P161" i="2"/>
  <c r="X159" i="2"/>
  <c r="X158" i="2"/>
  <c r="BP157" i="2"/>
  <c r="BO157" i="2"/>
  <c r="BM157" i="2"/>
  <c r="Z157" i="2"/>
  <c r="Z158" i="2" s="1"/>
  <c r="Y157" i="2"/>
  <c r="Y159" i="2" s="1"/>
  <c r="X155" i="2"/>
  <c r="X154" i="2"/>
  <c r="BO153" i="2"/>
  <c r="BM153" i="2"/>
  <c r="Y153" i="2"/>
  <c r="P153" i="2"/>
  <c r="BP152" i="2"/>
  <c r="BO152" i="2"/>
  <c r="BM152" i="2"/>
  <c r="Z152" i="2"/>
  <c r="Y152" i="2"/>
  <c r="BN152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N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P113" i="2"/>
  <c r="BO113" i="2"/>
  <c r="BM113" i="2"/>
  <c r="Z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N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BP89" i="2" s="1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O83" i="2"/>
  <c r="BN83" i="2"/>
  <c r="BM83" i="2"/>
  <c r="Y83" i="2"/>
  <c r="BP83" i="2" s="1"/>
  <c r="P83" i="2"/>
  <c r="BO82" i="2"/>
  <c r="BM82" i="2"/>
  <c r="Y82" i="2"/>
  <c r="P82" i="2"/>
  <c r="BO81" i="2"/>
  <c r="BM81" i="2"/>
  <c r="Y81" i="2"/>
  <c r="P81" i="2"/>
  <c r="X79" i="2"/>
  <c r="X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P72" i="2"/>
  <c r="BO72" i="2"/>
  <c r="BM72" i="2"/>
  <c r="Z72" i="2"/>
  <c r="Y72" i="2"/>
  <c r="BN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N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O32" i="2"/>
  <c r="BM32" i="2"/>
  <c r="Y32" i="2"/>
  <c r="BP32" i="2" s="1"/>
  <c r="P32" i="2"/>
  <c r="BO31" i="2"/>
  <c r="BM31" i="2"/>
  <c r="Y31" i="2"/>
  <c r="BP31" i="2" s="1"/>
  <c r="P31" i="2"/>
  <c r="BO30" i="2"/>
  <c r="BN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X25" i="2"/>
  <c r="X24" i="2"/>
  <c r="BO23" i="2"/>
  <c r="BM23" i="2"/>
  <c r="Y23" i="2"/>
  <c r="BP23" i="2" s="1"/>
  <c r="P23" i="2"/>
  <c r="BO22" i="2"/>
  <c r="BM22" i="2"/>
  <c r="Y22" i="2"/>
  <c r="B516" i="2" s="1"/>
  <c r="P22" i="2"/>
  <c r="H10" i="2"/>
  <c r="A9" i="2"/>
  <c r="A10" i="2" s="1"/>
  <c r="D7" i="2"/>
  <c r="Q6" i="2"/>
  <c r="P2" i="2"/>
  <c r="Z56" i="2" l="1"/>
  <c r="Z57" i="2" s="1"/>
  <c r="BP56" i="2"/>
  <c r="Z195" i="2"/>
  <c r="BP195" i="2"/>
  <c r="Z228" i="2"/>
  <c r="BP228" i="2"/>
  <c r="Z255" i="2"/>
  <c r="BP255" i="2"/>
  <c r="Z303" i="2"/>
  <c r="BP303" i="2"/>
  <c r="Z415" i="2"/>
  <c r="BP415" i="2"/>
  <c r="Z434" i="2"/>
  <c r="BP434" i="2"/>
  <c r="Y35" i="2"/>
  <c r="Y85" i="2"/>
  <c r="Z95" i="2"/>
  <c r="Y155" i="2"/>
  <c r="BN157" i="2"/>
  <c r="Y158" i="2"/>
  <c r="Z161" i="2"/>
  <c r="Z170" i="2"/>
  <c r="Y197" i="2"/>
  <c r="Z191" i="2"/>
  <c r="Z212" i="2"/>
  <c r="Z251" i="2"/>
  <c r="Z271" i="2"/>
  <c r="Z280" i="2"/>
  <c r="Z329" i="2"/>
  <c r="S516" i="2"/>
  <c r="Z411" i="2"/>
  <c r="Z471" i="2"/>
  <c r="Z30" i="2"/>
  <c r="BN56" i="2"/>
  <c r="Y57" i="2"/>
  <c r="Z63" i="2"/>
  <c r="Z83" i="2"/>
  <c r="Z125" i="2"/>
  <c r="Z325" i="2"/>
  <c r="Z343" i="2"/>
  <c r="Z456" i="2"/>
  <c r="Z481" i="2"/>
  <c r="BP253" i="2"/>
  <c r="BN253" i="2"/>
  <c r="Z253" i="2"/>
  <c r="BP277" i="2"/>
  <c r="BN277" i="2"/>
  <c r="Z277" i="2"/>
  <c r="BP287" i="2"/>
  <c r="BN287" i="2"/>
  <c r="Z287" i="2"/>
  <c r="BP301" i="2"/>
  <c r="BN301" i="2"/>
  <c r="Z301" i="2"/>
  <c r="BP315" i="2"/>
  <c r="BN315" i="2"/>
  <c r="Z315" i="2"/>
  <c r="BP319" i="2"/>
  <c r="BN319" i="2"/>
  <c r="Z319" i="2"/>
  <c r="BP335" i="2"/>
  <c r="BN335" i="2"/>
  <c r="Z335" i="2"/>
  <c r="BP374" i="2"/>
  <c r="BN374" i="2"/>
  <c r="Z374" i="2"/>
  <c r="BP413" i="2"/>
  <c r="BN413" i="2"/>
  <c r="Z413" i="2"/>
  <c r="BP423" i="2"/>
  <c r="BN423" i="2"/>
  <c r="Z423" i="2"/>
  <c r="BP454" i="2"/>
  <c r="BN454" i="2"/>
  <c r="Z454" i="2"/>
  <c r="BP473" i="2"/>
  <c r="BN473" i="2"/>
  <c r="Z473" i="2"/>
  <c r="Z23" i="2"/>
  <c r="BN23" i="2"/>
  <c r="Z28" i="2"/>
  <c r="BN28" i="2"/>
  <c r="Z32" i="2"/>
  <c r="BN32" i="2"/>
  <c r="Z50" i="2"/>
  <c r="BN50" i="2"/>
  <c r="Z65" i="2"/>
  <c r="BN65" i="2"/>
  <c r="Y74" i="2"/>
  <c r="Z77" i="2"/>
  <c r="Z78" i="2" s="1"/>
  <c r="BN77" i="2"/>
  <c r="BP77" i="2"/>
  <c r="Y78" i="2"/>
  <c r="Z81" i="2"/>
  <c r="BN81" i="2"/>
  <c r="BP81" i="2"/>
  <c r="Y86" i="2"/>
  <c r="Z89" i="2"/>
  <c r="BN89" i="2"/>
  <c r="Z102" i="2"/>
  <c r="BN102" i="2"/>
  <c r="Z110" i="2"/>
  <c r="BN110" i="2"/>
  <c r="Z119" i="2"/>
  <c r="BN119" i="2"/>
  <c r="Z131" i="2"/>
  <c r="Z132" i="2" s="1"/>
  <c r="BN131" i="2"/>
  <c r="BP131" i="2"/>
  <c r="Y132" i="2"/>
  <c r="Z137" i="2"/>
  <c r="BN137" i="2"/>
  <c r="Y154" i="2"/>
  <c r="Z164" i="2"/>
  <c r="BN164" i="2"/>
  <c r="Z165" i="2"/>
  <c r="BN165" i="2"/>
  <c r="Z185" i="2"/>
  <c r="BN185" i="2"/>
  <c r="Z189" i="2"/>
  <c r="BN189" i="2"/>
  <c r="Z193" i="2"/>
  <c r="BN193" i="2"/>
  <c r="Z201" i="2"/>
  <c r="BN201" i="2"/>
  <c r="Z226" i="2"/>
  <c r="BN226" i="2"/>
  <c r="Z244" i="2"/>
  <c r="BN244" i="2"/>
  <c r="Y273" i="2"/>
  <c r="BP269" i="2"/>
  <c r="BN269" i="2"/>
  <c r="Z269" i="2"/>
  <c r="BP278" i="2"/>
  <c r="BN278" i="2"/>
  <c r="Z278" i="2"/>
  <c r="BP294" i="2"/>
  <c r="BN294" i="2"/>
  <c r="Z294" i="2"/>
  <c r="Y309" i="2"/>
  <c r="BP307" i="2"/>
  <c r="BN307" i="2"/>
  <c r="Z307" i="2"/>
  <c r="BP316" i="2"/>
  <c r="BN316" i="2"/>
  <c r="Z316" i="2"/>
  <c r="BP327" i="2"/>
  <c r="BN327" i="2"/>
  <c r="Z327" i="2"/>
  <c r="BP348" i="2"/>
  <c r="BN348" i="2"/>
  <c r="Z348" i="2"/>
  <c r="BP385" i="2"/>
  <c r="BN385" i="2"/>
  <c r="Z385" i="2"/>
  <c r="BP395" i="2"/>
  <c r="BN395" i="2"/>
  <c r="Z395" i="2"/>
  <c r="BP417" i="2"/>
  <c r="BN417" i="2"/>
  <c r="Z417" i="2"/>
  <c r="BP447" i="2"/>
  <c r="BN447" i="2"/>
  <c r="Z447" i="2"/>
  <c r="BP463" i="2"/>
  <c r="BN463" i="2"/>
  <c r="Z463" i="2"/>
  <c r="Y499" i="2"/>
  <c r="BP497" i="2"/>
  <c r="BN497" i="2"/>
  <c r="Z497" i="2"/>
  <c r="Y246" i="2"/>
  <c r="Y283" i="2"/>
  <c r="Y297" i="2"/>
  <c r="Y304" i="2"/>
  <c r="Y310" i="2"/>
  <c r="Y322" i="2"/>
  <c r="Y332" i="2"/>
  <c r="Y437" i="2"/>
  <c r="Y500" i="2"/>
  <c r="F9" i="2"/>
  <c r="J9" i="2"/>
  <c r="F10" i="2"/>
  <c r="Z22" i="2"/>
  <c r="Z24" i="2" s="1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BN82" i="2"/>
  <c r="BP82" i="2"/>
  <c r="Z84" i="2"/>
  <c r="BN84" i="2"/>
  <c r="Z88" i="2"/>
  <c r="Z90" i="2" s="1"/>
  <c r="BN88" i="2"/>
  <c r="BP88" i="2"/>
  <c r="Y91" i="2"/>
  <c r="Z96" i="2"/>
  <c r="BN96" i="2"/>
  <c r="Z112" i="2"/>
  <c r="BN112" i="2"/>
  <c r="Z118" i="2"/>
  <c r="BN118" i="2"/>
  <c r="Z120" i="2"/>
  <c r="BN120" i="2"/>
  <c r="Z127" i="2"/>
  <c r="BN127" i="2"/>
  <c r="Z147" i="2"/>
  <c r="BN147" i="2"/>
  <c r="Z153" i="2"/>
  <c r="Z154" i="2" s="1"/>
  <c r="BN153" i="2"/>
  <c r="BP153" i="2"/>
  <c r="Z163" i="2"/>
  <c r="BN163" i="2"/>
  <c r="Z166" i="2"/>
  <c r="BN166" i="2"/>
  <c r="Z168" i="2"/>
  <c r="BN168" i="2"/>
  <c r="Z169" i="2"/>
  <c r="BN169" i="2"/>
  <c r="Z174" i="2"/>
  <c r="Z175" i="2" s="1"/>
  <c r="BN174" i="2"/>
  <c r="BP174" i="2"/>
  <c r="Y175" i="2"/>
  <c r="Z180" i="2"/>
  <c r="Z181" i="2" s="1"/>
  <c r="BN180" i="2"/>
  <c r="BP180" i="2"/>
  <c r="Y181" i="2"/>
  <c r="Z184" i="2"/>
  <c r="BN184" i="2"/>
  <c r="BP184" i="2"/>
  <c r="Z186" i="2"/>
  <c r="BN186" i="2"/>
  <c r="Z188" i="2"/>
  <c r="BN188" i="2"/>
  <c r="Z190" i="2"/>
  <c r="BN190" i="2"/>
  <c r="Z192" i="2"/>
  <c r="BN192" i="2"/>
  <c r="Z194" i="2"/>
  <c r="BN194" i="2"/>
  <c r="BP202" i="2"/>
  <c r="BN202" i="2"/>
  <c r="Z202" i="2"/>
  <c r="Y207" i="2"/>
  <c r="BP206" i="2"/>
  <c r="BN206" i="2"/>
  <c r="Z206" i="2"/>
  <c r="Z207" i="2" s="1"/>
  <c r="Y208" i="2"/>
  <c r="Y214" i="2"/>
  <c r="BP211" i="2"/>
  <c r="BN211" i="2"/>
  <c r="Z211" i="2"/>
  <c r="Z213" i="2" s="1"/>
  <c r="Y218" i="2"/>
  <c r="BP227" i="2"/>
  <c r="BN227" i="2"/>
  <c r="Z227" i="2"/>
  <c r="L516" i="2"/>
  <c r="Y257" i="2"/>
  <c r="BP250" i="2"/>
  <c r="BN250" i="2"/>
  <c r="Z250" i="2"/>
  <c r="BP254" i="2"/>
  <c r="BN254" i="2"/>
  <c r="Z254" i="2"/>
  <c r="H9" i="2"/>
  <c r="Y24" i="2"/>
  <c r="Y45" i="2"/>
  <c r="Y182" i="2"/>
  <c r="BP196" i="2"/>
  <c r="BN196" i="2"/>
  <c r="Z196" i="2"/>
  <c r="Y198" i="2"/>
  <c r="Y203" i="2"/>
  <c r="BP200" i="2"/>
  <c r="BN200" i="2"/>
  <c r="Z200" i="2"/>
  <c r="BP217" i="2"/>
  <c r="BN217" i="2"/>
  <c r="Z217" i="2"/>
  <c r="Z218" i="2" s="1"/>
  <c r="Y219" i="2"/>
  <c r="BP225" i="2"/>
  <c r="BN225" i="2"/>
  <c r="Z225" i="2"/>
  <c r="BP236" i="2"/>
  <c r="BN236" i="2"/>
  <c r="Z236" i="2"/>
  <c r="BP252" i="2"/>
  <c r="BN252" i="2"/>
  <c r="Z252" i="2"/>
  <c r="BP256" i="2"/>
  <c r="BN256" i="2"/>
  <c r="Z256" i="2"/>
  <c r="Y258" i="2"/>
  <c r="Y261" i="2"/>
  <c r="BP260" i="2"/>
  <c r="BN260" i="2"/>
  <c r="Z260" i="2"/>
  <c r="Z261" i="2" s="1"/>
  <c r="Y262" i="2"/>
  <c r="Y265" i="2"/>
  <c r="BP264" i="2"/>
  <c r="BN264" i="2"/>
  <c r="Z264" i="2"/>
  <c r="Z265" i="2" s="1"/>
  <c r="Y266" i="2"/>
  <c r="Y274" i="2"/>
  <c r="M516" i="2"/>
  <c r="Z279" i="2"/>
  <c r="BN279" i="2"/>
  <c r="BP279" i="2"/>
  <c r="Z281" i="2"/>
  <c r="BN281" i="2"/>
  <c r="Y282" i="2"/>
  <c r="Z286" i="2"/>
  <c r="BN286" i="2"/>
  <c r="BP286" i="2"/>
  <c r="Z288" i="2"/>
  <c r="BN288" i="2"/>
  <c r="Y291" i="2"/>
  <c r="P516" i="2"/>
  <c r="Z295" i="2"/>
  <c r="BN295" i="2"/>
  <c r="BP295" i="2"/>
  <c r="Y298" i="2"/>
  <c r="Q516" i="2"/>
  <c r="Z302" i="2"/>
  <c r="BN302" i="2"/>
  <c r="BP302" i="2"/>
  <c r="Y305" i="2"/>
  <c r="Z308" i="2"/>
  <c r="BN308" i="2"/>
  <c r="BP308" i="2"/>
  <c r="Z313" i="2"/>
  <c r="BN313" i="2"/>
  <c r="BP313" i="2"/>
  <c r="Z314" i="2"/>
  <c r="BN314" i="2"/>
  <c r="Z317" i="2"/>
  <c r="BN317" i="2"/>
  <c r="Z318" i="2"/>
  <c r="BN318" i="2"/>
  <c r="Z320" i="2"/>
  <c r="BN320" i="2"/>
  <c r="Y321" i="2"/>
  <c r="Z324" i="2"/>
  <c r="BN324" i="2"/>
  <c r="BP324" i="2"/>
  <c r="Z326" i="2"/>
  <c r="BN326" i="2"/>
  <c r="Z328" i="2"/>
  <c r="BN328" i="2"/>
  <c r="Z330" i="2"/>
  <c r="BN330" i="2"/>
  <c r="Y331" i="2"/>
  <c r="Z334" i="2"/>
  <c r="BN334" i="2"/>
  <c r="BP334" i="2"/>
  <c r="Z336" i="2"/>
  <c r="BN336" i="2"/>
  <c r="Y339" i="2"/>
  <c r="BP341" i="2"/>
  <c r="BN341" i="2"/>
  <c r="Z341" i="2"/>
  <c r="BP349" i="2"/>
  <c r="BN349" i="2"/>
  <c r="Z349" i="2"/>
  <c r="BP375" i="2"/>
  <c r="BN375" i="2"/>
  <c r="Z375" i="2"/>
  <c r="Y400" i="2"/>
  <c r="BP399" i="2"/>
  <c r="BN399" i="2"/>
  <c r="Z399" i="2"/>
  <c r="Z400" i="2" s="1"/>
  <c r="Y401" i="2"/>
  <c r="BP405" i="2"/>
  <c r="BN405" i="2"/>
  <c r="Z405" i="2"/>
  <c r="V516" i="2"/>
  <c r="BP414" i="2"/>
  <c r="BN414" i="2"/>
  <c r="Z414" i="2"/>
  <c r="BP418" i="2"/>
  <c r="BN418" i="2"/>
  <c r="Z418" i="2"/>
  <c r="Y425" i="2"/>
  <c r="BP435" i="2"/>
  <c r="BN435" i="2"/>
  <c r="Z435" i="2"/>
  <c r="X516" i="2"/>
  <c r="Y441" i="2"/>
  <c r="BP440" i="2"/>
  <c r="BN440" i="2"/>
  <c r="Z440" i="2"/>
  <c r="Z441" i="2" s="1"/>
  <c r="Y442" i="2"/>
  <c r="BP446" i="2"/>
  <c r="BN446" i="2"/>
  <c r="Z446" i="2"/>
  <c r="Z268" i="2"/>
  <c r="BN268" i="2"/>
  <c r="BP268" i="2"/>
  <c r="Z270" i="2"/>
  <c r="BN270" i="2"/>
  <c r="Z272" i="2"/>
  <c r="BN272" i="2"/>
  <c r="Y290" i="2"/>
  <c r="BP347" i="2"/>
  <c r="BN347" i="2"/>
  <c r="Z347" i="2"/>
  <c r="BP373" i="2"/>
  <c r="BN373" i="2"/>
  <c r="Z373" i="2"/>
  <c r="Y387" i="2"/>
  <c r="BP384" i="2"/>
  <c r="BN384" i="2"/>
  <c r="Z384" i="2"/>
  <c r="BP412" i="2"/>
  <c r="BN412" i="2"/>
  <c r="Z412" i="2"/>
  <c r="BP416" i="2"/>
  <c r="BN416" i="2"/>
  <c r="Z416" i="2"/>
  <c r="Y420" i="2"/>
  <c r="BP424" i="2"/>
  <c r="BN424" i="2"/>
  <c r="Z424" i="2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Y344" i="2"/>
  <c r="Y352" i="2"/>
  <c r="Y421" i="2"/>
  <c r="Y487" i="2"/>
  <c r="Y491" i="2"/>
  <c r="Z498" i="2"/>
  <c r="BN498" i="2"/>
  <c r="BP498" i="2"/>
  <c r="Z503" i="2"/>
  <c r="Z504" i="2" s="1"/>
  <c r="BN503" i="2"/>
  <c r="BP503" i="2"/>
  <c r="Y504" i="2"/>
  <c r="Z453" i="2"/>
  <c r="BN453" i="2"/>
  <c r="Z455" i="2"/>
  <c r="BN455" i="2"/>
  <c r="Z462" i="2"/>
  <c r="BN462" i="2"/>
  <c r="Z470" i="2"/>
  <c r="BN470" i="2"/>
  <c r="Z472" i="2"/>
  <c r="BN472" i="2"/>
  <c r="Z479" i="2"/>
  <c r="BN479" i="2"/>
  <c r="Y482" i="2"/>
  <c r="Z485" i="2"/>
  <c r="Z486" i="2" s="1"/>
  <c r="BN485" i="2"/>
  <c r="BP485" i="2"/>
  <c r="Z489" i="2"/>
  <c r="Z490" i="2" s="1"/>
  <c r="BN489" i="2"/>
  <c r="BP489" i="2"/>
  <c r="Y50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282" i="2" l="1"/>
  <c r="Z297" i="2"/>
  <c r="Z364" i="2"/>
  <c r="Z499" i="2"/>
  <c r="Z273" i="2"/>
  <c r="Z309" i="2"/>
  <c r="Z304" i="2"/>
  <c r="Z290" i="2"/>
  <c r="Z128" i="2"/>
  <c r="Z351" i="2"/>
  <c r="Z425" i="2"/>
  <c r="Z420" i="2"/>
  <c r="Z386" i="2"/>
  <c r="Z85" i="2"/>
  <c r="Z257" i="2"/>
  <c r="Z436" i="2"/>
  <c r="Z338" i="2"/>
  <c r="Z331" i="2"/>
  <c r="Z321" i="2"/>
  <c r="Z203" i="2"/>
  <c r="Z197" i="2"/>
  <c r="Z34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<sst xmlns="http://schemas.openxmlformats.org/spreadsheetml/2006/main" count="3780" uniqueCount="819">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</sst>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49" sqref="AA49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 t="s">
        <v>818</v>
      </c>
      <c r="I5" s="89"/>
      <c r="J5" s="89"/>
      <c r="K5" s="89"/>
      <c r="L5" s="89"/>
      <c r="M5" s="89"/>
      <c r="N5" s="36"/>
      <c r="P5" s="37" t="s">
        <v>10</v>
      </c>
      <c r="Q5" s="91">
        <v>46250</v>
      </c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>Воскресенье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>
        <v>0.45833333333333331</v>
      </c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hidden="1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hidden="1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hidden="1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hidden="1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hidden="1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hidden="1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hidden="1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300</v>
      </c>
      <c r="Y49" s="69">
        <f>IFERROR(IF(X49="",0,CEILING((X49/$H49),1)*$H49),"")</f>
        <v>302.40000000000003</v>
      </c>
      <c r="Z49" s="70">
        <f>IFERROR(IF(Y49=0,"",ROUNDUP(Y49/H49,0)*0.01898),"")</f>
        <v>0.53144000000000002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311.38888888888891</v>
      </c>
      <c r="BN49" s="76">
        <f>IFERROR(Y49*I49/H49,"0")</f>
        <v>313.88</v>
      </c>
      <c r="BO49" s="76">
        <f>IFERROR(1/J49*(X49/H49),"0")</f>
        <v>0.43402777777777773</v>
      </c>
      <c r="BP49" s="76">
        <f>IFERROR(1/J49*(Y49/H49),"0")</f>
        <v>0.4375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50</v>
      </c>
      <c r="Y51" s="69">
        <f>IFERROR(IF(X51="",0,CEILING((X51/$H51),1)*$H51),"")</f>
        <v>52</v>
      </c>
      <c r="Z51" s="70">
        <f>IFERROR(IF(Y51=0,"",ROUNDUP(Y51/H51,0)*0.00902),"")</f>
        <v>0.11726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52.375000000000007</v>
      </c>
      <c r="BN51" s="76">
        <f>IFERROR(Y51*I51/H51,"0")</f>
        <v>54.470000000000006</v>
      </c>
      <c r="BO51" s="76">
        <f>IFERROR(1/J51*(X51/H51),"0")</f>
        <v>9.4696969696969696E-2</v>
      </c>
      <c r="BP51" s="76">
        <f>IFERROR(1/J51*(Y51/H51),"0")</f>
        <v>9.8484848484848481E-2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40.277777777777771</v>
      </c>
      <c r="Y53" s="65">
        <f>IFERROR(Y49/H49,"0")+IFERROR(Y50/H50,"0")+IFERROR(Y51/H51,"0")+IFERROR(Y52/H52,"0")</f>
        <v>41</v>
      </c>
      <c r="Z53" s="65">
        <f>IFERROR(IF(Z49="",0,Z49),"0")+IFERROR(IF(Z50="",0,Z50),"0")+IFERROR(IF(Z51="",0,Z51),"0")+IFERROR(IF(Z52="",0,Z52),"0")</f>
        <v>0.64870000000000005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350</v>
      </c>
      <c r="Y54" s="65">
        <f>IFERROR(SUM(Y49:Y52),"0")</f>
        <v>354.40000000000003</v>
      </c>
      <c r="Z54" s="64"/>
      <c r="AA54" s="74"/>
      <c r="AB54" s="74"/>
      <c r="AC54" s="74"/>
    </row>
    <row r="55" spans="1:68" ht="14.25" hidden="1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hidden="1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hidden="1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200</v>
      </c>
      <c r="Y62" s="69">
        <f t="shared" si="6"/>
        <v>205.20000000000002</v>
      </c>
      <c r="Z62" s="70">
        <f>IFERROR(IF(Y62=0,"",ROUNDUP(Y62/H62,0)*0.01898),"")</f>
        <v>0.36062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207.59259259259258</v>
      </c>
      <c r="BN62" s="76">
        <f t="shared" si="8"/>
        <v>212.99</v>
      </c>
      <c r="BO62" s="76">
        <f t="shared" si="9"/>
        <v>0.28935185185185186</v>
      </c>
      <c r="BP62" s="76">
        <f t="shared" si="10"/>
        <v>0.296875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40.74074074074074</v>
      </c>
      <c r="Y67" s="65">
        <f>IFERROR(Y61/H61,"0")+IFERROR(Y62/H62,"0")+IFERROR(Y63/H63,"0")+IFERROR(Y64/H64,"0")+IFERROR(Y65/H65,"0")+IFERROR(Y66/H66,"0")</f>
        <v>42</v>
      </c>
      <c r="Z67" s="65">
        <f>IFERROR(IF(Z61="",0,Z61),"0")+IFERROR(IF(Z62="",0,Z62),"0")+IFERROR(IF(Z63="",0,Z63),"0")+IFERROR(IF(Z64="",0,Z64),"0")+IFERROR(IF(Z65="",0,Z65),"0")+IFERROR(IF(Z66="",0,Z66),"0")</f>
        <v>0.56808000000000003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300</v>
      </c>
      <c r="Y68" s="65">
        <f>IFERROR(SUM(Y61:Y66),"0")</f>
        <v>308.70000000000005</v>
      </c>
      <c r="Z68" s="64"/>
      <c r="AA68" s="74"/>
      <c r="AB68" s="74"/>
      <c r="AC68" s="74"/>
    </row>
    <row r="69" spans="1:68" ht="14.25" hidden="1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hidden="1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idden="1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hidden="1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hidden="1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hidden="1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200</v>
      </c>
      <c r="Y94" s="69">
        <f>IFERROR(IF(X94="",0,CEILING((X94/$H94),1)*$H94),"")</f>
        <v>205.20000000000002</v>
      </c>
      <c r="Z94" s="70">
        <f>IFERROR(IF(Y94=0,"",ROUNDUP(Y94/H94,0)*0.01898),"")</f>
        <v>0.36062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207.59259259259258</v>
      </c>
      <c r="BN94" s="76">
        <f>IFERROR(Y94*I94/H94,"0")</f>
        <v>212.99</v>
      </c>
      <c r="BO94" s="76">
        <f>IFERROR(1/J94*(X94/H94),"0")</f>
        <v>0.28935185185185186</v>
      </c>
      <c r="BP94" s="76">
        <f>IFERROR(1/J94*(Y94/H94),"0")</f>
        <v>0.296875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18.518518518518519</v>
      </c>
      <c r="Y98" s="65">
        <f>IFERROR(Y94/H94,"0")+IFERROR(Y95/H95,"0")+IFERROR(Y96/H96,"0")+IFERROR(Y97/H97,"0")</f>
        <v>19</v>
      </c>
      <c r="Z98" s="65">
        <f>IFERROR(IF(Z94="",0,Z94),"0")+IFERROR(IF(Z95="",0,Z95),"0")+IFERROR(IF(Z96="",0,Z96),"0")+IFERROR(IF(Z97="",0,Z97),"0")</f>
        <v>0.36062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200</v>
      </c>
      <c r="Y99" s="65">
        <f>IFERROR(SUM(Y94:Y97),"0")</f>
        <v>205.20000000000002</v>
      </c>
      <c r="Z99" s="64"/>
      <c r="AA99" s="74"/>
      <c r="AB99" s="74"/>
      <c r="AC99" s="74"/>
    </row>
    <row r="100" spans="1:68" ht="14.25" hidden="1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100</v>
      </c>
      <c r="Y101" s="69">
        <f>IFERROR(IF(X101="",0,CEILING((X101/$H101),1)*$H101),"")</f>
        <v>105.3</v>
      </c>
      <c r="Z101" s="70">
        <f>IFERROR(IF(Y101=0,"",ROUNDUP(Y101/H101,0)*0.01898),"")</f>
        <v>0.24674000000000001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106.09876543209877</v>
      </c>
      <c r="BN101" s="76">
        <f>IFERROR(Y101*I101/H101,"0")</f>
        <v>111.72199999999999</v>
      </c>
      <c r="BO101" s="76">
        <f>IFERROR(1/J101*(X101/H101),"0")</f>
        <v>0.19290123456790123</v>
      </c>
      <c r="BP101" s="76">
        <f>IFERROR(1/J101*(Y101/H101),"0")</f>
        <v>0.203125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200</v>
      </c>
      <c r="Y103" s="69">
        <f>IFERROR(IF(X103="",0,CEILING((X103/$H103),1)*$H103),"")</f>
        <v>202.5</v>
      </c>
      <c r="Z103" s="70">
        <f>IFERROR(IF(Y103=0,"",ROUNDUP(Y103/H103,0)*0.00651),"")</f>
        <v>0.48825000000000002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218.66666666666666</v>
      </c>
      <c r="BN103" s="76">
        <f>IFERROR(Y103*I103/H103,"0")</f>
        <v>221.39999999999998</v>
      </c>
      <c r="BO103" s="76">
        <f>IFERROR(1/J103*(X103/H103),"0")</f>
        <v>0.40700040700040702</v>
      </c>
      <c r="BP103" s="76">
        <f>IFERROR(1/J103*(Y103/H103),"0")</f>
        <v>0.41208791208791212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50</v>
      </c>
      <c r="Y104" s="69">
        <f>IFERROR(IF(X104="",0,CEILING((X104/$H104),1)*$H104),"")</f>
        <v>51.48</v>
      </c>
      <c r="Z104" s="70">
        <f>IFERROR(IF(Y104=0,"",ROUNDUP(Y104/H104,0)*0.00651),"")</f>
        <v>0.16925999999999999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56.515151515151516</v>
      </c>
      <c r="BN104" s="76">
        <f>IFERROR(Y104*I104/H104,"0")</f>
        <v>58.187999999999995</v>
      </c>
      <c r="BO104" s="76">
        <f>IFERROR(1/J104*(X104/H104),"0")</f>
        <v>0.13875013875013875</v>
      </c>
      <c r="BP104" s="76">
        <f>IFERROR(1/J104*(Y104/H104),"0")</f>
        <v>0.14285714285714288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111.67227833894501</v>
      </c>
      <c r="Y105" s="65">
        <f>IFERROR(Y101/H101,"0")+IFERROR(Y102/H102,"0")+IFERROR(Y103/H103,"0")+IFERROR(Y104/H104,"0")</f>
        <v>114</v>
      </c>
      <c r="Z105" s="65">
        <f>IFERROR(IF(Z101="",0,Z101),"0")+IFERROR(IF(Z102="",0,Z102),"0")+IFERROR(IF(Z103="",0,Z103),"0")+IFERROR(IF(Z104="",0,Z104),"0")</f>
        <v>0.90425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350</v>
      </c>
      <c r="Y106" s="65">
        <f>IFERROR(SUM(Y101:Y104),"0")</f>
        <v>359.28000000000003</v>
      </c>
      <c r="Z106" s="64"/>
      <c r="AA106" s="74"/>
      <c r="AB106" s="74"/>
      <c r="AC106" s="74"/>
    </row>
    <row r="107" spans="1:68" ht="16.5" hidden="1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hidden="1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200</v>
      </c>
      <c r="Y109" s="69">
        <f>IFERROR(IF(X109="",0,CEILING((X109/$H109),1)*$H109),"")</f>
        <v>205.20000000000002</v>
      </c>
      <c r="Z109" s="70">
        <f>IFERROR(IF(Y109=0,"",ROUNDUP(Y109/H109,0)*0.01898),"")</f>
        <v>0.36062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207.59259259259258</v>
      </c>
      <c r="BN109" s="76">
        <f>IFERROR(Y109*I109/H109,"0")</f>
        <v>212.99</v>
      </c>
      <c r="BO109" s="76">
        <f>IFERROR(1/J109*(X109/H109),"0")</f>
        <v>0.28935185185185186</v>
      </c>
      <c r="BP109" s="76">
        <f>IFERROR(1/J109*(Y109/H109),"0")</f>
        <v>0.296875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100</v>
      </c>
      <c r="Y111" s="69">
        <f>IFERROR(IF(X111="",0,CEILING((X111/$H111),1)*$H111),"")</f>
        <v>101.25</v>
      </c>
      <c r="Z111" s="70">
        <f>IFERROR(IF(Y111=0,"",ROUNDUP(Y111/H111,0)*0.00902),"")</f>
        <v>0.24354000000000001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105.06666666666666</v>
      </c>
      <c r="BN111" s="76">
        <f>IFERROR(Y111*I111/H111,"0")</f>
        <v>106.38000000000001</v>
      </c>
      <c r="BO111" s="76">
        <f>IFERROR(1/J111*(X111/H111),"0")</f>
        <v>0.20202020202020204</v>
      </c>
      <c r="BP111" s="76">
        <f>IFERROR(1/J111*(Y111/H111),"0")</f>
        <v>0.20454545454545456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45.18518518518519</v>
      </c>
      <c r="Y114" s="65">
        <f>IFERROR(Y109/H109,"0")+IFERROR(Y110/H110,"0")+IFERROR(Y111/H111,"0")+IFERROR(Y112/H112,"0")+IFERROR(Y113/H113,"0")</f>
        <v>46</v>
      </c>
      <c r="Z114" s="65">
        <f>IFERROR(IF(Z109="",0,Z109),"0")+IFERROR(IF(Z110="",0,Z110),"0")+IFERROR(IF(Z111="",0,Z111),"0")+IFERROR(IF(Z112="",0,Z112),"0")+IFERROR(IF(Z113="",0,Z113),"0")</f>
        <v>0.60416000000000003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300</v>
      </c>
      <c r="Y115" s="65">
        <f>IFERROR(SUM(Y109:Y113),"0")</f>
        <v>306.45000000000005</v>
      </c>
      <c r="Z115" s="64"/>
      <c r="AA115" s="74"/>
      <c r="AB115" s="74"/>
      <c r="AC115" s="74"/>
    </row>
    <row r="116" spans="1:68" ht="14.25" hidden="1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hidden="1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hidden="1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hidden="1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hidden="1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250</v>
      </c>
      <c r="Y124" s="69">
        <f>IFERROR(IF(X124="",0,CEILING((X124/$H124),1)*$H124),"")</f>
        <v>251.1</v>
      </c>
      <c r="Z124" s="70">
        <f>IFERROR(IF(Y124=0,"",ROUNDUP(Y124/H124,0)*0.01898),"")</f>
        <v>0.58838000000000001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265.06172839506172</v>
      </c>
      <c r="BN124" s="76">
        <f>IFERROR(Y124*I124/H124,"0")</f>
        <v>266.22799999999995</v>
      </c>
      <c r="BO124" s="76">
        <f>IFERROR(1/J124*(X124/H124),"0")</f>
        <v>0.48225308641975312</v>
      </c>
      <c r="BP124" s="76">
        <f>IFERROR(1/J124*(Y124/H124),"0")</f>
        <v>0.484375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350</v>
      </c>
      <c r="Y126" s="69">
        <f>IFERROR(IF(X126="",0,CEILING((X126/$H126),1)*$H126),"")</f>
        <v>351</v>
      </c>
      <c r="Z126" s="70">
        <f>IFERROR(IF(Y126=0,"",ROUNDUP(Y126/H126,0)*0.00651),"")</f>
        <v>0.84630000000000005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382.66666666666669</v>
      </c>
      <c r="BN126" s="76">
        <f>IFERROR(Y126*I126/H126,"0")</f>
        <v>383.76</v>
      </c>
      <c r="BO126" s="76">
        <f>IFERROR(1/J126*(X126/H126),"0")</f>
        <v>0.71225071225071224</v>
      </c>
      <c r="BP126" s="76">
        <f>IFERROR(1/J126*(Y126/H126),"0")</f>
        <v>0.7142857142857143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160.49382716049382</v>
      </c>
      <c r="Y128" s="65">
        <f>IFERROR(Y124/H124,"0")+IFERROR(Y125/H125,"0")+IFERROR(Y126/H126,"0")+IFERROR(Y127/H127,"0")</f>
        <v>161</v>
      </c>
      <c r="Z128" s="65">
        <f>IFERROR(IF(Z124="",0,Z124),"0")+IFERROR(IF(Z125="",0,Z125),"0")+IFERROR(IF(Z126="",0,Z126),"0")+IFERROR(IF(Z127="",0,Z127),"0")</f>
        <v>1.4346800000000002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600</v>
      </c>
      <c r="Y129" s="65">
        <f>IFERROR(SUM(Y124:Y127),"0")</f>
        <v>602.1</v>
      </c>
      <c r="Z129" s="64"/>
      <c r="AA129" s="74"/>
      <c r="AB129" s="74"/>
      <c r="AC129" s="74"/>
    </row>
    <row r="130" spans="1:68" ht="14.25" hidden="1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hidden="1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20</v>
      </c>
      <c r="Y146" s="69">
        <f>IFERROR(IF(X146="",0,CEILING((X146/$H146),1)*$H146),"")</f>
        <v>21.12</v>
      </c>
      <c r="Z146" s="70">
        <f>IFERROR(IF(Y146=0,"",ROUNDUP(Y146/H146,0)*0.00651),"")</f>
        <v>5.2080000000000001E-2</v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22.030303030303028</v>
      </c>
      <c r="BN146" s="76">
        <f>IFERROR(Y146*I146/H146,"0")</f>
        <v>23.263999999999999</v>
      </c>
      <c r="BO146" s="76">
        <f>IFERROR(1/J146*(X146/H146),"0")</f>
        <v>4.1625041625041624E-2</v>
      </c>
      <c r="BP146" s="76">
        <f>IFERROR(1/J146*(Y146/H146),"0")</f>
        <v>4.3956043956043959E-2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7.5757575757575752</v>
      </c>
      <c r="Y148" s="65">
        <f>IFERROR(Y146/H146,"0")+IFERROR(Y147/H147,"0")</f>
        <v>8</v>
      </c>
      <c r="Z148" s="65">
        <f>IFERROR(IF(Z146="",0,Z146),"0")+IFERROR(IF(Z147="",0,Z147),"0")</f>
        <v>5.2080000000000001E-2</v>
      </c>
      <c r="AA148" s="74"/>
      <c r="AB148" s="74"/>
      <c r="AC148" s="74"/>
    </row>
    <row r="149" spans="1:68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20</v>
      </c>
      <c r="Y149" s="65">
        <f>IFERROR(SUM(Y146:Y147),"0")</f>
        <v>21.12</v>
      </c>
      <c r="Z149" s="64"/>
      <c r="AA149" s="74"/>
      <c r="AB149" s="74"/>
      <c r="AC149" s="74"/>
    </row>
    <row r="150" spans="1:68" ht="16.5" hidden="1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hidden="1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hidden="1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hidden="1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hidden="1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100</v>
      </c>
      <c r="Y221" s="69">
        <f t="shared" ref="Y221:Y228" si="21">IFERROR(IF(X221="",0,CEILING((X221/$H221),1)*$H221),"")</f>
        <v>102.60000000000001</v>
      </c>
      <c r="Z221" s="70">
        <f>IFERROR(IF(Y221=0,"",ROUNDUP(Y221/H221,0)*0.00902),"")</f>
        <v>0.17138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103.5185185185185</v>
      </c>
      <c r="BN221" s="76">
        <f t="shared" ref="BN221:BN228" si="23">IFERROR(Y221*I221/H221,"0")</f>
        <v>106.21</v>
      </c>
      <c r="BO221" s="76">
        <f t="shared" ref="BO221:BO228" si="24">IFERROR(1/J221*(X221/H221),"0")</f>
        <v>0.14029180695847362</v>
      </c>
      <c r="BP221" s="76">
        <f t="shared" ref="BP221:BP228" si="25">IFERROR(1/J221*(Y221/H221),"0")</f>
        <v>0.14393939393939395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100</v>
      </c>
      <c r="Y222" s="69">
        <f t="shared" si="21"/>
        <v>102.60000000000001</v>
      </c>
      <c r="Z222" s="70">
        <f>IFERROR(IF(Y222=0,"",ROUNDUP(Y222/H222,0)*0.00902),"")</f>
        <v>0.17138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103.5185185185185</v>
      </c>
      <c r="BN222" s="76">
        <f t="shared" si="23"/>
        <v>106.21</v>
      </c>
      <c r="BO222" s="76">
        <f t="shared" si="24"/>
        <v>0.14029180695847362</v>
      </c>
      <c r="BP222" s="76">
        <f t="shared" si="25"/>
        <v>0.14393939393939395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50</v>
      </c>
      <c r="Y223" s="69">
        <f t="shared" si="21"/>
        <v>54</v>
      </c>
      <c r="Z223" s="70">
        <f>IFERROR(IF(Y223=0,"",ROUNDUP(Y223/H223,0)*0.00902),"")</f>
        <v>9.0200000000000002E-2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51.759259259259252</v>
      </c>
      <c r="BN223" s="76">
        <f t="shared" si="23"/>
        <v>55.9</v>
      </c>
      <c r="BO223" s="76">
        <f t="shared" si="24"/>
        <v>7.0145903479236812E-2</v>
      </c>
      <c r="BP223" s="76">
        <f t="shared" si="25"/>
        <v>7.575757575757576E-2</v>
      </c>
    </row>
    <row r="224" spans="1:68" ht="27" hidden="1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0</v>
      </c>
      <c r="Y224" s="69">
        <f t="shared" si="21"/>
        <v>0</v>
      </c>
      <c r="Z224" s="70" t="str">
        <f>IFERROR(IF(Y224=0,"",ROUNDUP(Y224/H224,0)*0.00902),"")</f>
        <v/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0</v>
      </c>
      <c r="BN224" s="76">
        <f t="shared" si="23"/>
        <v>0</v>
      </c>
      <c r="BO224" s="76">
        <f t="shared" si="24"/>
        <v>0</v>
      </c>
      <c r="BP224" s="76">
        <f t="shared" si="25"/>
        <v>0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46.296296296296298</v>
      </c>
      <c r="Y229" s="65">
        <f>IFERROR(Y221/H221,"0")+IFERROR(Y222/H222,"0")+IFERROR(Y223/H223,"0")+IFERROR(Y224/H224,"0")+IFERROR(Y225/H225,"0")+IFERROR(Y226/H226,"0")+IFERROR(Y227/H227,"0")+IFERROR(Y228/H228,"0")</f>
        <v>48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0.43296000000000001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250</v>
      </c>
      <c r="Y230" s="65">
        <f>IFERROR(SUM(Y221:Y228),"0")</f>
        <v>259.20000000000005</v>
      </c>
      <c r="Z230" s="64"/>
      <c r="AA230" s="74"/>
      <c r="AB230" s="74"/>
      <c r="AC230" s="74"/>
    </row>
    <row r="231" spans="1:68" ht="14.25" hidden="1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50</v>
      </c>
      <c r="Y232" s="69">
        <f t="shared" ref="Y232:Y240" si="26">IFERROR(IF(X232="",0,CEILING((X232/$H232),1)*$H232),"")</f>
        <v>56.699999999999996</v>
      </c>
      <c r="Z232" s="70">
        <f>IFERROR(IF(Y232=0,"",ROUNDUP(Y232/H232,0)*0.01898),"")</f>
        <v>0.13286000000000001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53.049382716049386</v>
      </c>
      <c r="BN232" s="76">
        <f t="shared" ref="BN232:BN240" si="28">IFERROR(Y232*I232/H232,"0")</f>
        <v>60.157999999999994</v>
      </c>
      <c r="BO232" s="76">
        <f t="shared" ref="BO232:BO240" si="29">IFERROR(1/J232*(X232/H232),"0")</f>
        <v>9.6450617283950615E-2</v>
      </c>
      <c r="BP232" s="76">
        <f t="shared" ref="BP232:BP240" si="30">IFERROR(1/J232*(Y232/H232),"0")</f>
        <v>0.109375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50</v>
      </c>
      <c r="Y233" s="69">
        <f t="shared" si="26"/>
        <v>56.699999999999996</v>
      </c>
      <c r="Z233" s="70">
        <f>IFERROR(IF(Y233=0,"",ROUNDUP(Y233/H233,0)*0.01898),"")</f>
        <v>0.13286000000000001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52.938271604938272</v>
      </c>
      <c r="BN233" s="76">
        <f t="shared" si="28"/>
        <v>60.031999999999996</v>
      </c>
      <c r="BO233" s="76">
        <f t="shared" si="29"/>
        <v>9.6450617283950615E-2</v>
      </c>
      <c r="BP233" s="76">
        <f t="shared" si="30"/>
        <v>0.109375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200</v>
      </c>
      <c r="Y234" s="69">
        <f t="shared" si="26"/>
        <v>200.1</v>
      </c>
      <c r="Z234" s="70">
        <f>IFERROR(IF(Y234=0,"",ROUNDUP(Y234/H234,0)*0.01898),"")</f>
        <v>0.43653999999999998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211.35632183908049</v>
      </c>
      <c r="BN234" s="76">
        <f t="shared" si="28"/>
        <v>211.46200000000005</v>
      </c>
      <c r="BO234" s="76">
        <f t="shared" si="29"/>
        <v>0.35919540229885061</v>
      </c>
      <c r="BP234" s="76">
        <f t="shared" si="30"/>
        <v>0.359375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200</v>
      </c>
      <c r="Y235" s="69">
        <f t="shared" si="26"/>
        <v>201.6</v>
      </c>
      <c r="Z235" s="70">
        <f t="shared" ref="Z235:Z240" si="31">IFERROR(IF(Y235=0,"",ROUNDUP(Y235/H235,0)*0.00651),"")</f>
        <v>0.54683999999999999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222.5</v>
      </c>
      <c r="BN235" s="76">
        <f t="shared" si="28"/>
        <v>224.27999999999997</v>
      </c>
      <c r="BO235" s="76">
        <f t="shared" si="29"/>
        <v>0.45787545787545797</v>
      </c>
      <c r="BP235" s="76">
        <f t="shared" si="30"/>
        <v>0.46153846153846156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250</v>
      </c>
      <c r="Y237" s="69">
        <f t="shared" si="26"/>
        <v>252</v>
      </c>
      <c r="Z237" s="70">
        <f t="shared" si="31"/>
        <v>0.68354999999999999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276.25</v>
      </c>
      <c r="BN237" s="76">
        <f t="shared" si="28"/>
        <v>278.46000000000004</v>
      </c>
      <c r="BO237" s="76">
        <f t="shared" si="29"/>
        <v>0.57234432234432242</v>
      </c>
      <c r="BP237" s="76">
        <f t="shared" si="30"/>
        <v>0.57692307692307698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250</v>
      </c>
      <c r="Y238" s="69">
        <f t="shared" si="26"/>
        <v>252</v>
      </c>
      <c r="Z238" s="70">
        <f t="shared" si="31"/>
        <v>0.68354999999999999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276.25</v>
      </c>
      <c r="BN238" s="76">
        <f t="shared" si="28"/>
        <v>278.46000000000004</v>
      </c>
      <c r="BO238" s="76">
        <f t="shared" si="29"/>
        <v>0.57234432234432242</v>
      </c>
      <c r="BP238" s="76">
        <f t="shared" si="30"/>
        <v>0.57692307692307698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100</v>
      </c>
      <c r="Y239" s="69">
        <f t="shared" si="26"/>
        <v>100.8</v>
      </c>
      <c r="Z239" s="70">
        <f t="shared" si="31"/>
        <v>0.27342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110.5</v>
      </c>
      <c r="BN239" s="76">
        <f t="shared" si="28"/>
        <v>111.384</v>
      </c>
      <c r="BO239" s="76">
        <f t="shared" si="29"/>
        <v>0.22893772893772898</v>
      </c>
      <c r="BP239" s="76">
        <f t="shared" si="30"/>
        <v>0.23076923076923078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100</v>
      </c>
      <c r="Y240" s="69">
        <f t="shared" si="26"/>
        <v>100.8</v>
      </c>
      <c r="Z240" s="70">
        <f t="shared" si="31"/>
        <v>0.27342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110.75000000000001</v>
      </c>
      <c r="BN240" s="76">
        <f t="shared" si="28"/>
        <v>111.63600000000001</v>
      </c>
      <c r="BO240" s="76">
        <f t="shared" si="29"/>
        <v>0.22893772893772898</v>
      </c>
      <c r="BP240" s="76">
        <f t="shared" si="30"/>
        <v>0.23076923076923078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410.33418475947218</v>
      </c>
      <c r="Y241" s="65">
        <f>IFERROR(Y232/H232,"0")+IFERROR(Y233/H233,"0")+IFERROR(Y234/H234,"0")+IFERROR(Y235/H235,"0")+IFERROR(Y236/H236,"0")+IFERROR(Y237/H237,"0")+IFERROR(Y238/H238,"0")+IFERROR(Y239/H239,"0")+IFERROR(Y240/H240,"0")</f>
        <v>415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3.1630399999999996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1200</v>
      </c>
      <c r="Y242" s="65">
        <f>IFERROR(SUM(Y232:Y240),"0")</f>
        <v>1220.7</v>
      </c>
      <c r="Z242" s="64"/>
      <c r="AA242" s="74"/>
      <c r="AB242" s="74"/>
      <c r="AC242" s="74"/>
    </row>
    <row r="243" spans="1:68" ht="14.25" hidden="1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hidden="1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hidden="1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hidden="1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hidden="1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hidden="1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hidden="1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150</v>
      </c>
      <c r="Y342" s="69">
        <f>IFERROR(IF(X342="",0,CEILING((X342/$H342),1)*$H342),"")</f>
        <v>156</v>
      </c>
      <c r="Z342" s="70">
        <f>IFERROR(IF(Y342=0,"",ROUNDUP(Y342/H342,0)*0.01898),"")</f>
        <v>0.37959999999999999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159.50000000000003</v>
      </c>
      <c r="BN342" s="76">
        <f>IFERROR(Y342*I342/H342,"0")</f>
        <v>165.88</v>
      </c>
      <c r="BO342" s="76">
        <f>IFERROR(1/J342*(X342/H342),"0")</f>
        <v>0.30048076923076922</v>
      </c>
      <c r="BP342" s="76">
        <f>IFERROR(1/J342*(Y342/H342),"0")</f>
        <v>0.3125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19.23076923076923</v>
      </c>
      <c r="Y344" s="65">
        <f>IFERROR(Y341/H341,"0")+IFERROR(Y342/H342,"0")+IFERROR(Y343/H343,"0")</f>
        <v>20</v>
      </c>
      <c r="Z344" s="65">
        <f>IFERROR(IF(Z341="",0,Z341),"0")+IFERROR(IF(Z342="",0,Z342),"0")+IFERROR(IF(Z343="",0,Z343),"0")</f>
        <v>0.37959999999999999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150</v>
      </c>
      <c r="Y345" s="65">
        <f>IFERROR(SUM(Y341:Y343),"0")</f>
        <v>156</v>
      </c>
      <c r="Z345" s="64"/>
      <c r="AA345" s="74"/>
      <c r="AB345" s="74"/>
      <c r="AC345" s="74"/>
    </row>
    <row r="346" spans="1:68" ht="14.25" hidden="1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hidden="1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hidden="1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20</v>
      </c>
      <c r="Y356" s="69">
        <f>IFERROR(IF(X356="",0,CEILING((X356/$H356),1)*$H356),"")</f>
        <v>20</v>
      </c>
      <c r="Z356" s="70">
        <f>IFERROR(IF(Y356=0,"",ROUNDUP(Y356/H356,0)*0.00474),"")</f>
        <v>4.7400000000000005E-2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22.400000000000002</v>
      </c>
      <c r="BN356" s="76">
        <f>IFERROR(Y356*I356/H356,"0")</f>
        <v>22.400000000000002</v>
      </c>
      <c r="BO356" s="76">
        <f>IFERROR(1/J356*(X356/H356),"0")</f>
        <v>4.2016806722689072E-2</v>
      </c>
      <c r="BP356" s="76">
        <f>IFERROR(1/J356*(Y356/H356),"0")</f>
        <v>4.2016806722689072E-2</v>
      </c>
    </row>
    <row r="357" spans="1:68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10</v>
      </c>
      <c r="Y357" s="65">
        <f>IFERROR(Y354/H354,"0")+IFERROR(Y355/H355,"0")+IFERROR(Y356/H356,"0")</f>
        <v>10</v>
      </c>
      <c r="Z357" s="65">
        <f>IFERROR(IF(Z354="",0,Z354),"0")+IFERROR(IF(Z355="",0,Z355),"0")+IFERROR(IF(Z356="",0,Z356),"0")</f>
        <v>4.7400000000000005E-2</v>
      </c>
      <c r="AA357" s="74"/>
      <c r="AB357" s="74"/>
      <c r="AC357" s="74"/>
    </row>
    <row r="358" spans="1:68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20</v>
      </c>
      <c r="Y358" s="65">
        <f>IFERROR(SUM(Y354:Y356),"0")</f>
        <v>20</v>
      </c>
      <c r="Z358" s="64"/>
      <c r="AA358" s="74"/>
      <c r="AB358" s="74"/>
      <c r="AC358" s="74"/>
    </row>
    <row r="359" spans="1:68" ht="16.5" hidden="1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hidden="1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hidden="1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0</v>
      </c>
      <c r="Y363" s="69">
        <f>IFERROR(IF(X363="",0,CEILING((X363/$H363),1)*$H363),"")</f>
        <v>0</v>
      </c>
      <c r="Z363" s="70" t="str">
        <f>IFERROR(IF(Y363=0,"",ROUNDUP(Y363/H363,0)*0.00651),"")</f>
        <v/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0</v>
      </c>
      <c r="BN363" s="76">
        <f>IFERROR(Y363*I363/H363,"0")</f>
        <v>0</v>
      </c>
      <c r="BO363" s="76">
        <f>IFERROR(1/J363*(X363/H363),"0")</f>
        <v>0</v>
      </c>
      <c r="BP363" s="76">
        <f>IFERROR(1/J363*(Y363/H363),"0")</f>
        <v>0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23.80952380952381</v>
      </c>
      <c r="Y364" s="65">
        <f>IFERROR(Y361/H361,"0")+IFERROR(Y362/H362,"0")+IFERROR(Y363/H363,"0")</f>
        <v>24</v>
      </c>
      <c r="Z364" s="65">
        <f>IFERROR(IF(Z361="",0,Z361),"0")+IFERROR(IF(Z362="",0,Z362),"0")+IFERROR(IF(Z363="",0,Z363),"0")</f>
        <v>0.15623999999999999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50</v>
      </c>
      <c r="Y365" s="65">
        <f>IFERROR(SUM(Y361:Y363),"0")</f>
        <v>50.400000000000006</v>
      </c>
      <c r="Z365" s="64"/>
      <c r="AA365" s="74"/>
      <c r="AB365" s="74"/>
      <c r="AC365" s="74"/>
    </row>
    <row r="366" spans="1:68" ht="27.75" hidden="1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hidden="1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hidden="1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700</v>
      </c>
      <c r="Y369" s="69">
        <f t="shared" ref="Y369:Y375" si="47">IFERROR(IF(X369="",0,CEILING((X369/$H369),1)*$H369),"")</f>
        <v>705</v>
      </c>
      <c r="Z369" s="70">
        <f>IFERROR(IF(Y369=0,"",ROUNDUP(Y369/H369,0)*0.02175),"")</f>
        <v>1.0222499999999999</v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721.93333333333328</v>
      </c>
      <c r="BN369" s="76">
        <f t="shared" ref="BN369:BN375" si="49">IFERROR(Y369*I369/H369,"0")</f>
        <v>727.09</v>
      </c>
      <c r="BO369" s="76">
        <f t="shared" ref="BO369:BO375" si="50">IFERROR(1/J369*(X369/H369),"0")</f>
        <v>0.9722222222222221</v>
      </c>
      <c r="BP369" s="76">
        <f t="shared" ref="BP369:BP375" si="51">IFERROR(1/J369*(Y369/H369),"0")</f>
        <v>0.97916666666666663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100</v>
      </c>
      <c r="Y370" s="69">
        <f t="shared" si="47"/>
        <v>105</v>
      </c>
      <c r="Z370" s="70">
        <f>IFERROR(IF(Y370=0,"",ROUNDUP(Y370/H370,0)*0.02175),"")</f>
        <v>0.15225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103.13333333333334</v>
      </c>
      <c r="BN370" s="76">
        <f t="shared" si="49"/>
        <v>108.29</v>
      </c>
      <c r="BO370" s="76">
        <f t="shared" si="50"/>
        <v>0.1388888888888889</v>
      </c>
      <c r="BP370" s="76">
        <f t="shared" si="51"/>
        <v>0.14583333333333331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hidden="1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53.333333333333329</v>
      </c>
      <c r="Y376" s="65">
        <f>IFERROR(Y369/H369,"0")+IFERROR(Y370/H370,"0")+IFERROR(Y371/H371,"0")+IFERROR(Y372/H372,"0")+IFERROR(Y373/H373,"0")+IFERROR(Y374/H374,"0")+IFERROR(Y375/H375,"0")</f>
        <v>54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1.1744999999999999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800</v>
      </c>
      <c r="Y377" s="65">
        <f>IFERROR(SUM(Y369:Y375),"0")</f>
        <v>810</v>
      </c>
      <c r="Z377" s="64"/>
      <c r="AA377" s="74"/>
      <c r="AB377" s="74"/>
      <c r="AC377" s="74"/>
    </row>
    <row r="378" spans="1:68" ht="14.25" hidden="1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200</v>
      </c>
      <c r="Y379" s="69">
        <f>IFERROR(IF(X379="",0,CEILING((X379/$H379),1)*$H379),"")</f>
        <v>210</v>
      </c>
      <c r="Z379" s="70">
        <f>IFERROR(IF(Y379=0,"",ROUNDUP(Y379/H379,0)*0.02175),"")</f>
        <v>0.30449999999999999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206.26666666666668</v>
      </c>
      <c r="BN379" s="76">
        <f>IFERROR(Y379*I379/H379,"0")</f>
        <v>216.58</v>
      </c>
      <c r="BO379" s="76">
        <f>IFERROR(1/J379*(X379/H379),"0")</f>
        <v>0.27777777777777779</v>
      </c>
      <c r="BP379" s="76">
        <f>IFERROR(1/J379*(Y379/H379),"0")</f>
        <v>0.29166666666666663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13.333333333333334</v>
      </c>
      <c r="Y381" s="65">
        <f>IFERROR(Y379/H379,"0")+IFERROR(Y380/H380,"0")</f>
        <v>14</v>
      </c>
      <c r="Z381" s="65">
        <f>IFERROR(IF(Z379="",0,Z379),"0")+IFERROR(IF(Z380="",0,Z380),"0")</f>
        <v>0.30449999999999999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200</v>
      </c>
      <c r="Y382" s="65">
        <f>IFERROR(SUM(Y379:Y380),"0")</f>
        <v>210</v>
      </c>
      <c r="Z382" s="64"/>
      <c r="AA382" s="74"/>
      <c r="AB382" s="74"/>
      <c r="AC382" s="74"/>
    </row>
    <row r="383" spans="1:68" ht="14.25" hidden="1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hidden="1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hidden="1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hidden="1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hidden="1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hidden="1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50</v>
      </c>
      <c r="Y389" s="69">
        <f>IFERROR(IF(X389="",0,CEILING((X389/$H389),1)*$H389),"")</f>
        <v>54</v>
      </c>
      <c r="Z389" s="70">
        <f>IFERROR(IF(Y389=0,"",ROUNDUP(Y389/H389,0)*0.01898),"")</f>
        <v>0.11388000000000001</v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52.74444444444444</v>
      </c>
      <c r="BN389" s="76">
        <f>IFERROR(Y389*I389/H389,"0")</f>
        <v>56.963999999999992</v>
      </c>
      <c r="BO389" s="76">
        <f>IFERROR(1/J389*(X389/H389),"0")</f>
        <v>8.6805555555555552E-2</v>
      </c>
      <c r="BP389" s="76">
        <f>IFERROR(1/J389*(Y389/H389),"0")</f>
        <v>9.375E-2</v>
      </c>
    </row>
    <row r="390" spans="1:68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5.5555555555555554</v>
      </c>
      <c r="Y390" s="65">
        <f>IFERROR(Y389/H389,"0")</f>
        <v>6</v>
      </c>
      <c r="Z390" s="65">
        <f>IFERROR(IF(Z389="",0,Z389),"0")</f>
        <v>0.11388000000000001</v>
      </c>
      <c r="AA390" s="74"/>
      <c r="AB390" s="74"/>
      <c r="AC390" s="74"/>
    </row>
    <row r="391" spans="1:68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50</v>
      </c>
      <c r="Y391" s="65">
        <f>IFERROR(SUM(Y389:Y389),"0")</f>
        <v>54</v>
      </c>
      <c r="Z391" s="64"/>
      <c r="AA391" s="74"/>
      <c r="AB391" s="74"/>
      <c r="AC391" s="74"/>
    </row>
    <row r="392" spans="1:68" ht="16.5" hidden="1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hidden="1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200</v>
      </c>
      <c r="Y394" s="69">
        <f>IFERROR(IF(X394="",0,CEILING((X394/$H394),1)*$H394),"")</f>
        <v>204</v>
      </c>
      <c r="Z394" s="70">
        <f>IFERROR(IF(Y394=0,"",ROUNDUP(Y394/H394,0)*0.01898),"")</f>
        <v>0.32266</v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206.83333333333334</v>
      </c>
      <c r="BN394" s="76">
        <f>IFERROR(Y394*I394/H394,"0")</f>
        <v>210.97</v>
      </c>
      <c r="BO394" s="76">
        <f>IFERROR(1/J394*(X394/H394),"0")</f>
        <v>0.26041666666666669</v>
      </c>
      <c r="BP394" s="76">
        <f>IFERROR(1/J394*(Y394/H394),"0")</f>
        <v>0.265625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16.666666666666668</v>
      </c>
      <c r="Y396" s="65">
        <f>IFERROR(Y394/H394,"0")+IFERROR(Y395/H395,"0")</f>
        <v>17</v>
      </c>
      <c r="Z396" s="65">
        <f>IFERROR(IF(Z394="",0,Z394),"0")+IFERROR(IF(Z395="",0,Z395),"0")</f>
        <v>0.32266</v>
      </c>
      <c r="AA396" s="74"/>
      <c r="AB396" s="74"/>
      <c r="AC396" s="74"/>
    </row>
    <row r="397" spans="1:68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200</v>
      </c>
      <c r="Y397" s="65">
        <f>IFERROR(SUM(Y394:Y395),"0")</f>
        <v>204</v>
      </c>
      <c r="Z397" s="64"/>
      <c r="AA397" s="74"/>
      <c r="AB397" s="74"/>
      <c r="AC397" s="74"/>
    </row>
    <row r="398" spans="1:68" ht="14.25" hidden="1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600</v>
      </c>
      <c r="Y403" s="69">
        <f>IFERROR(IF(X403="",0,CEILING((X403/$H403),1)*$H403),"")</f>
        <v>603</v>
      </c>
      <c r="Z403" s="70">
        <f>IFERROR(IF(Y403=0,"",ROUNDUP(Y403/H403,0)*0.01898),"")</f>
        <v>1.27166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632.93333333333328</v>
      </c>
      <c r="BN403" s="76">
        <f>IFERROR(Y403*I403/H403,"0")</f>
        <v>636.09799999999996</v>
      </c>
      <c r="BO403" s="76">
        <f>IFERROR(1/J403*(X403/H403),"0")</f>
        <v>1.0416666666666667</v>
      </c>
      <c r="BP403" s="76">
        <f>IFERROR(1/J403*(Y403/H403),"0")</f>
        <v>1.046875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129.16666666666669</v>
      </c>
      <c r="Y406" s="65">
        <f>IFERROR(Y403/H403,"0")+IFERROR(Y404/H404,"0")+IFERROR(Y405/H405,"0")</f>
        <v>130</v>
      </c>
      <c r="Z406" s="65">
        <f>IFERROR(IF(Z403="",0,Z403),"0")+IFERROR(IF(Z404="",0,Z404),"0")+IFERROR(IF(Z405="",0,Z405),"0")</f>
        <v>1.6817899999999999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750</v>
      </c>
      <c r="Y407" s="65">
        <f>IFERROR(SUM(Y403:Y405),"0")</f>
        <v>754.2</v>
      </c>
      <c r="Z407" s="64"/>
      <c r="AA407" s="74"/>
      <c r="AB407" s="74"/>
      <c r="AC407" s="74"/>
    </row>
    <row r="408" spans="1:68" ht="27.75" hidden="1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hidden="1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hidden="1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hidden="1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hidden="1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hidden="1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hidden="1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700</v>
      </c>
      <c r="Y448" s="69">
        <f t="shared" si="58"/>
        <v>702.24</v>
      </c>
      <c r="Z448" s="70">
        <f t="shared" si="59"/>
        <v>1.5906800000000001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746.40151515151513</v>
      </c>
      <c r="BN448" s="76">
        <f t="shared" si="61"/>
        <v>748.79</v>
      </c>
      <c r="BO448" s="76">
        <f t="shared" si="62"/>
        <v>1.2747668997668997</v>
      </c>
      <c r="BP448" s="76">
        <f t="shared" si="63"/>
        <v>1.278846153846154</v>
      </c>
    </row>
    <row r="449" spans="1:68" ht="27" hidden="1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700</v>
      </c>
      <c r="Y452" s="69">
        <f t="shared" si="58"/>
        <v>702.24</v>
      </c>
      <c r="Z452" s="70">
        <f t="shared" si="59"/>
        <v>1.5906800000000001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746.40151515151513</v>
      </c>
      <c r="BN452" s="76">
        <f t="shared" si="61"/>
        <v>748.79</v>
      </c>
      <c r="BO452" s="76">
        <f t="shared" si="62"/>
        <v>1.2747668997668997</v>
      </c>
      <c r="BP452" s="76">
        <f t="shared" si="63"/>
        <v>1.278846153846154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306.81818181818181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308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3.5602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1600</v>
      </c>
      <c r="Y459" s="65">
        <f>IFERROR(SUM(Y446:Y457),"0")</f>
        <v>1606.08</v>
      </c>
      <c r="Z459" s="64"/>
      <c r="AA459" s="74"/>
      <c r="AB459" s="74"/>
      <c r="AC459" s="74"/>
    </row>
    <row r="460" spans="1:68" ht="14.25" hidden="1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200</v>
      </c>
      <c r="Y461" s="69">
        <f>IFERROR(IF(X461="",0,CEILING((X461/$H461),1)*$H461),"")</f>
        <v>200.64000000000001</v>
      </c>
      <c r="Z461" s="70">
        <f>IFERROR(IF(Y461=0,"",ROUNDUP(Y461/H461,0)*0.01196),"")</f>
        <v>0.45448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213.25757575757575</v>
      </c>
      <c r="BN461" s="76">
        <f>IFERROR(Y461*I461/H461,"0")</f>
        <v>213.94</v>
      </c>
      <c r="BO461" s="76">
        <f>IFERROR(1/J461*(X461/H461),"0")</f>
        <v>0.36421911421911418</v>
      </c>
      <c r="BP461" s="76">
        <f>IFERROR(1/J461*(Y461/H461),"0")</f>
        <v>0.36538461538461542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37.878787878787875</v>
      </c>
      <c r="Y464" s="65">
        <f>IFERROR(Y461/H461,"0")+IFERROR(Y462/H462,"0")+IFERROR(Y463/H463,"0")</f>
        <v>38</v>
      </c>
      <c r="Z464" s="65">
        <f>IFERROR(IF(Z461="",0,Z461),"0")+IFERROR(IF(Z462="",0,Z462),"0")+IFERROR(IF(Z463="",0,Z463),"0")</f>
        <v>0.45448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200</v>
      </c>
      <c r="Y465" s="65">
        <f>IFERROR(SUM(Y461:Y463),"0")</f>
        <v>200.64000000000001</v>
      </c>
      <c r="Z465" s="64"/>
      <c r="AA465" s="74"/>
      <c r="AB465" s="74"/>
      <c r="AC465" s="74"/>
    </row>
    <row r="466" spans="1:68" ht="14.25" hidden="1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300</v>
      </c>
      <c r="Y467" s="69">
        <f t="shared" ref="Y467:Y473" si="64">IFERROR(IF(X467="",0,CEILING((X467/$H467),1)*$H467),"")</f>
        <v>300.96000000000004</v>
      </c>
      <c r="Z467" s="70">
        <f>IFERROR(IF(Y467=0,"",ROUNDUP(Y467/H467,0)*0.01196),"")</f>
        <v>0.68171999999999999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319.88636363636363</v>
      </c>
      <c r="BN467" s="76">
        <f t="shared" ref="BN467:BN473" si="66">IFERROR(Y467*I467/H467,"0")</f>
        <v>320.91000000000003</v>
      </c>
      <c r="BO467" s="76">
        <f t="shared" ref="BO467:BO473" si="67">IFERROR(1/J467*(X467/H467),"0")</f>
        <v>0.54632867132867136</v>
      </c>
      <c r="BP467" s="76">
        <f t="shared" ref="BP467:BP473" si="68">IFERROR(1/J467*(Y467/H467),"0")</f>
        <v>0.54807692307692313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150</v>
      </c>
      <c r="Y468" s="69">
        <f t="shared" si="64"/>
        <v>153.12</v>
      </c>
      <c r="Z468" s="70">
        <f>IFERROR(IF(Y468=0,"",ROUNDUP(Y468/H468,0)*0.01196),"")</f>
        <v>0.34683999999999998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159.94318181818181</v>
      </c>
      <c r="BN468" s="76">
        <f t="shared" si="66"/>
        <v>163.26999999999998</v>
      </c>
      <c r="BO468" s="76">
        <f t="shared" si="67"/>
        <v>0.27316433566433568</v>
      </c>
      <c r="BP468" s="76">
        <f t="shared" si="68"/>
        <v>0.27884615384615385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500</v>
      </c>
      <c r="Y469" s="69">
        <f t="shared" si="64"/>
        <v>501.6</v>
      </c>
      <c r="Z469" s="70">
        <f>IFERROR(IF(Y469=0,"",ROUNDUP(Y469/H469,0)*0.01196),"")</f>
        <v>1.1362000000000001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533.14393939393938</v>
      </c>
      <c r="BN469" s="76">
        <f t="shared" si="66"/>
        <v>534.85</v>
      </c>
      <c r="BO469" s="76">
        <f t="shared" si="67"/>
        <v>0.91054778554778548</v>
      </c>
      <c r="BP469" s="76">
        <f t="shared" si="68"/>
        <v>0.91346153846153855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179.92424242424241</v>
      </c>
      <c r="Y474" s="65">
        <f>IFERROR(Y467/H467,"0")+IFERROR(Y468/H468,"0")+IFERROR(Y469/H469,"0")+IFERROR(Y470/H470,"0")+IFERROR(Y471/H471,"0")+IFERROR(Y472/H472,"0")+IFERROR(Y473/H473,"0")</f>
        <v>181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2.1647600000000002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950</v>
      </c>
      <c r="Y475" s="65">
        <f>IFERROR(SUM(Y467:Y473),"0")</f>
        <v>955.68000000000006</v>
      </c>
      <c r="Z475" s="64"/>
      <c r="AA475" s="74"/>
      <c r="AB475" s="74"/>
      <c r="AC475" s="74"/>
    </row>
    <row r="476" spans="1:68" ht="27.75" hidden="1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hidden="1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hidden="1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300</v>
      </c>
      <c r="Y493" s="69">
        <f>IFERROR(IF(X493="",0,CEILING((X493/$H493),1)*$H493),"")</f>
        <v>306</v>
      </c>
      <c r="Z493" s="70">
        <f>IFERROR(IF(Y493=0,"",ROUNDUP(Y493/H493,0)*0.01898),"")</f>
        <v>0.64532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316.46666666666664</v>
      </c>
      <c r="BN493" s="76">
        <f>IFERROR(Y493*I493/H493,"0")</f>
        <v>322.79599999999999</v>
      </c>
      <c r="BO493" s="76">
        <f>IFERROR(1/J493*(X493/H493),"0")</f>
        <v>0.52083333333333337</v>
      </c>
      <c r="BP493" s="76">
        <f>IFERROR(1/J493*(Y493/H493),"0")</f>
        <v>0.53125</v>
      </c>
    </row>
    <row r="494" spans="1:68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33.333333333333336</v>
      </c>
      <c r="Y494" s="65">
        <f>IFERROR(Y493/H493,"0")</f>
        <v>34</v>
      </c>
      <c r="Z494" s="65">
        <f>IFERROR(IF(Z493="",0,Z493),"0")</f>
        <v>0.64532</v>
      </c>
      <c r="AA494" s="74"/>
      <c r="AB494" s="74"/>
      <c r="AC494" s="74"/>
    </row>
    <row r="495" spans="1:68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300</v>
      </c>
      <c r="Y495" s="65">
        <f>IFERROR(SUM(Y493:Y493),"0")</f>
        <v>306</v>
      </c>
      <c r="Z495" s="64"/>
      <c r="AA495" s="74"/>
      <c r="AB495" s="74"/>
      <c r="AC495" s="74"/>
    </row>
    <row r="496" spans="1:68" ht="14.25" hidden="1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hidden="1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8840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8964.15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9470.9219784047382</v>
      </c>
      <c r="Y507" s="65">
        <f>IFERROR(SUM(BN22:BN503),"0")</f>
        <v>9602.4420000000027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16</v>
      </c>
      <c r="Y508" s="80">
        <f>ROUNDUP(SUM(BP22:BP503),0)</f>
        <v>16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9870.9219784047382</v>
      </c>
      <c r="Y509" s="65">
        <f>GrossWeightTotalR+PalletQtyTotalR*25</f>
        <v>10002.442000000003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1710.1449604035813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1730</v>
      </c>
      <c r="Z510" s="64"/>
      <c r="AA510" s="74"/>
      <c r="AB510" s="74"/>
      <c r="AC510" s="74"/>
    </row>
    <row r="511" spans="1:68" ht="14.25" hidden="1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19.1739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354.40000000000003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308.70000000000005</v>
      </c>
      <c r="F516" s="84">
        <f>IFERROR(Y94*1,"0")+IFERROR(Y95*1,"0")+IFERROR(Y96*1,"0")+IFERROR(Y97*1,"0")+IFERROR(Y101*1,"0")+IFERROR(Y102*1,"0")+IFERROR(Y103*1,"0")+IFERROR(Y104*1,"0")</f>
        <v>564.48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908.55000000000007</v>
      </c>
      <c r="H516" s="84">
        <f>IFERROR(Y136*1,"0")+IFERROR(Y137*1,"0")+IFERROR(Y141*1,"0")+IFERROR(Y142*1,"0")+IFERROR(Y146*1,"0")+IFERROR(Y147*1,"0")</f>
        <v>21.12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1479.9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176</v>
      </c>
      <c r="S516" s="84">
        <f>IFERROR(Y361*1,"0")+IFERROR(Y362*1,"0")+IFERROR(Y363*1,"0")</f>
        <v>50.400000000000006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1074</v>
      </c>
      <c r="U516" s="84">
        <f>IFERROR(Y394*1,"0")+IFERROR(Y395*1,"0")+IFERROR(Y399*1,"0")+IFERROR(Y403*1,"0")+IFERROR(Y404*1,"0")+IFERROR(Y405*1,"0")</f>
        <v>958.2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2762.4</v>
      </c>
      <c r="Z516" s="84">
        <f>IFERROR(Y479*1,"0")+IFERROR(Y480*1,"0")+IFERROR(Y481*1,"0")+IFERROR(Y485*1,"0")+IFERROR(Y489*1,"0")+IFERROR(Y493*1,"0")+IFERROR(Y497*1,"0")+IFERROR(Y498*1,"0")</f>
        <v>306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200,00"/>
        <filter val="1 600,00"/>
        <filter val="1 710,14"/>
        <filter val="10,00"/>
        <filter val="100,00"/>
        <filter val="111,67"/>
        <filter val="129,17"/>
        <filter val="13,33"/>
        <filter val="150,00"/>
        <filter val="16"/>
        <filter val="16,67"/>
        <filter val="160,49"/>
        <filter val="179,92"/>
        <filter val="18,52"/>
        <filter val="19,23"/>
        <filter val="20,00"/>
        <filter val="200,00"/>
        <filter val="23,81"/>
        <filter val="250,00"/>
        <filter val="300,00"/>
        <filter val="306,82"/>
        <filter val="33,33"/>
        <filter val="350,00"/>
        <filter val="37,88"/>
        <filter val="40,28"/>
        <filter val="40,74"/>
        <filter val="410,33"/>
        <filter val="45,19"/>
        <filter val="46,30"/>
        <filter val="5,56"/>
        <filter val="50,00"/>
        <filter val="500,00"/>
        <filter val="53,33"/>
        <filter val="600,00"/>
        <filter val="7,58"/>
        <filter val="700,00"/>
        <filter val="750,00"/>
        <filter val="8 840,00"/>
        <filter val="800,00"/>
        <filter val="9 470,92"/>
        <filter val="9 870,92"/>
        <filter val="950,00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bb0b2827-4eb3-461f-8866-28597c48f473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/>
</ds:datastoreItem>
</file>

<file path=customXml/itemProps4.xml><?xml version="1.0" encoding="utf-8"?>
<ds:datastoreItem xmlns:ds="http://schemas.openxmlformats.org/officeDocument/2006/customXml" ds:itemID="{36407DDB-7AD7-47BE-9510-621E920C3D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2026-08-14T10:45:03Z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