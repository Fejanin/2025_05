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E29C853-2337-4BE1-8E70-5969A0A11C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P535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Z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P329" i="2"/>
  <c r="BO329" i="2"/>
  <c r="BM329" i="2"/>
  <c r="Y329" i="2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Y315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P197" i="2"/>
  <c r="BO197" i="2"/>
  <c r="BM197" i="2"/>
  <c r="Y197" i="2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P184" i="2"/>
  <c r="BO184" i="2"/>
  <c r="BN184" i="2"/>
  <c r="BM184" i="2"/>
  <c r="Z184" i="2"/>
  <c r="Y184" i="2"/>
  <c r="BO183" i="2"/>
  <c r="BM183" i="2"/>
  <c r="Z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P95" i="2"/>
  <c r="BO95" i="2"/>
  <c r="BN95" i="2"/>
  <c r="BM95" i="2"/>
  <c r="Z95" i="2"/>
  <c r="Y95" i="2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Z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Z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40" i="2" l="1"/>
  <c r="BN115" i="2"/>
  <c r="BN246" i="2"/>
  <c r="BP291" i="2"/>
  <c r="BN293" i="2"/>
  <c r="BN513" i="2"/>
  <c r="BN525" i="2"/>
  <c r="Z67" i="2"/>
  <c r="BN125" i="2"/>
  <c r="BN157" i="2"/>
  <c r="BN257" i="2"/>
  <c r="BP262" i="2"/>
  <c r="BN289" i="2"/>
  <c r="Z291" i="2"/>
  <c r="BN306" i="2"/>
  <c r="Z310" i="2"/>
  <c r="BN314" i="2"/>
  <c r="Z324" i="2"/>
  <c r="BP349" i="2"/>
  <c r="BN360" i="2"/>
  <c r="BN411" i="2"/>
  <c r="BP418" i="2"/>
  <c r="BN462" i="2"/>
  <c r="BN480" i="2"/>
  <c r="Z56" i="2"/>
  <c r="Z551" i="2"/>
  <c r="BN527" i="2"/>
  <c r="Z519" i="2"/>
  <c r="BN517" i="2"/>
  <c r="BN511" i="2"/>
  <c r="BP510" i="2"/>
  <c r="BN506" i="2"/>
  <c r="BN482" i="2"/>
  <c r="BN461" i="2"/>
  <c r="BN456" i="2"/>
  <c r="BP450" i="2"/>
  <c r="BN438" i="2"/>
  <c r="BN437" i="2"/>
  <c r="BN426" i="2"/>
  <c r="BN425" i="2"/>
  <c r="BN401" i="2"/>
  <c r="BN393" i="2"/>
  <c r="BN392" i="2"/>
  <c r="Y396" i="2"/>
  <c r="BN387" i="2"/>
  <c r="BP385" i="2"/>
  <c r="Z379" i="2"/>
  <c r="BN375" i="2"/>
  <c r="BN371" i="2"/>
  <c r="BN367" i="2"/>
  <c r="BN347" i="2"/>
  <c r="Y341" i="2"/>
  <c r="BN331" i="2"/>
  <c r="BP324" i="2"/>
  <c r="Y326" i="2"/>
  <c r="BN310" i="2"/>
  <c r="BN299" i="2"/>
  <c r="Z299" i="2"/>
  <c r="Y300" i="2"/>
  <c r="BN285" i="2"/>
  <c r="BN283" i="2"/>
  <c r="Z283" i="2"/>
  <c r="BN279" i="2"/>
  <c r="Z279" i="2"/>
  <c r="BN277" i="2"/>
  <c r="BP275" i="2"/>
  <c r="Z272" i="2"/>
  <c r="BP272" i="2"/>
  <c r="Y280" i="2"/>
  <c r="BN263" i="2"/>
  <c r="BN252" i="2"/>
  <c r="Y249" i="2"/>
  <c r="BN244" i="2"/>
  <c r="BN238" i="2"/>
  <c r="BN236" i="2"/>
  <c r="Z236" i="2"/>
  <c r="BN232" i="2"/>
  <c r="BN229" i="2"/>
  <c r="Y241" i="2"/>
  <c r="Z215" i="2"/>
  <c r="BN211" i="2"/>
  <c r="BN195" i="2"/>
  <c r="Y198" i="2"/>
  <c r="Z195" i="2"/>
  <c r="BN187" i="2"/>
  <c r="BN181" i="2"/>
  <c r="Z169" i="2"/>
  <c r="BP169" i="2"/>
  <c r="BN143" i="2"/>
  <c r="BP139" i="2"/>
  <c r="Z139" i="2"/>
  <c r="BN133" i="2"/>
  <c r="Y135" i="2"/>
  <c r="BN128" i="2"/>
  <c r="Z126" i="2"/>
  <c r="G570" i="2"/>
  <c r="BN116" i="2"/>
  <c r="BN107" i="2"/>
  <c r="Z106" i="2"/>
  <c r="BP106" i="2"/>
  <c r="BN93" i="2"/>
  <c r="BN86" i="2"/>
  <c r="BP85" i="2"/>
  <c r="BN80" i="2"/>
  <c r="Y81" i="2"/>
  <c r="BN77" i="2"/>
  <c r="Z64" i="2"/>
  <c r="BP64" i="2"/>
  <c r="BN60" i="2"/>
  <c r="BN59" i="2"/>
  <c r="Z59" i="2"/>
  <c r="BP58" i="2"/>
  <c r="Z58" i="2"/>
  <c r="BN49" i="2"/>
  <c r="D570" i="2"/>
  <c r="BP48" i="2"/>
  <c r="Z48" i="2"/>
  <c r="BP39" i="2"/>
  <c r="BP37" i="2"/>
  <c r="Z31" i="2"/>
  <c r="BN30" i="2"/>
  <c r="BP27" i="2"/>
  <c r="X560" i="2"/>
  <c r="X562" i="2"/>
  <c r="BN23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0" i="2" s="1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68" i="2" l="1"/>
  <c r="Z520" i="2"/>
  <c r="Z489" i="2"/>
  <c r="Z484" i="2"/>
  <c r="Z463" i="2"/>
  <c r="Z452" i="2"/>
  <c r="Z446" i="2"/>
  <c r="Z440" i="2"/>
  <c r="Z420" i="2"/>
  <c r="Z414" i="2"/>
  <c r="Z402" i="2"/>
  <c r="Z395" i="2"/>
  <c r="Z382" i="2"/>
  <c r="Z341" i="2"/>
  <c r="Z325" i="2"/>
  <c r="Z269" i="2"/>
  <c r="Z264" i="2"/>
  <c r="Z218" i="2"/>
  <c r="Z161" i="2"/>
  <c r="Z145" i="2"/>
  <c r="Z119" i="2"/>
  <c r="Z99" i="2"/>
  <c r="Z81" i="2"/>
  <c r="Z61" i="2"/>
  <c r="Z32" i="2"/>
  <c r="X563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<sst xmlns="http://schemas.openxmlformats.org/spreadsheetml/2006/main" count="4310" uniqueCount="900">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</sst>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898</v>
      </c>
      <c r="I5" s="659"/>
      <c r="J5" s="659"/>
      <c r="K5" s="659"/>
      <c r="L5" s="659"/>
      <c r="M5" s="659"/>
      <c r="N5" s="72"/>
      <c r="P5" s="27" t="s">
        <v>4</v>
      </c>
      <c r="Q5" s="661">
        <v>46262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Пятница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0.625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899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300</v>
      </c>
      <c r="Y56" s="55">
        <f t="shared" si="0"/>
        <v>302.40000000000003</v>
      </c>
      <c r="Z56" s="41">
        <f>IFERROR(IF(Y56=0,"",ROUNDUP(Y56/H56,0)*0.01898),"")</f>
        <v>0.53144000000000002</v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311.38888888888891</v>
      </c>
      <c r="BN56" s="78">
        <f t="shared" si="2"/>
        <v>313.88</v>
      </c>
      <c r="BO56" s="78">
        <f t="shared" si="3"/>
        <v>0.43402777777777773</v>
      </c>
      <c r="BP56" s="78">
        <f t="shared" si="4"/>
        <v>0.4375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450</v>
      </c>
      <c r="Y60" s="55">
        <f t="shared" si="0"/>
        <v>450</v>
      </c>
      <c r="Z60" s="41">
        <f>IFERROR(IF(Y60=0,"",ROUNDUP(Y60/H60,0)*0.00902),"")</f>
        <v>0.90200000000000002</v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469</v>
      </c>
      <c r="BN60" s="78">
        <f t="shared" si="2"/>
        <v>469</v>
      </c>
      <c r="BO60" s="78">
        <f t="shared" si="3"/>
        <v>0.75757575757575757</v>
      </c>
      <c r="BP60" s="78">
        <f t="shared" si="4"/>
        <v>0.75757575757575757</v>
      </c>
    </row>
    <row r="61" spans="1:68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127.77777777777777</v>
      </c>
      <c r="Y61" s="43">
        <f>IFERROR(Y55/H55,"0")+IFERROR(Y56/H56,"0")+IFERROR(Y57/H57,"0")+IFERROR(Y58/H58,"0")+IFERROR(Y59/H59,"0")+IFERROR(Y60/H60,"0")</f>
        <v>128</v>
      </c>
      <c r="Z61" s="43">
        <f>IFERROR(IF(Z55="",0,Z55),"0")+IFERROR(IF(Z56="",0,Z56),"0")+IFERROR(IF(Z57="",0,Z57),"0")+IFERROR(IF(Z58="",0,Z58),"0")+IFERROR(IF(Z59="",0,Z59),"0")+IFERROR(IF(Z60="",0,Z60),"0")</f>
        <v>1.43344</v>
      </c>
      <c r="AA61" s="67"/>
      <c r="AB61" s="67"/>
      <c r="AC61" s="67"/>
    </row>
    <row r="62" spans="1:68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750</v>
      </c>
      <c r="Y62" s="43">
        <f>IFERROR(SUM(Y55:Y60),"0")</f>
        <v>752.40000000000009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300</v>
      </c>
      <c r="Y85" s="55">
        <f>IFERROR(IF(X85="",0,CEILING((X85/$H85),1)*$H85),"")</f>
        <v>302.40000000000003</v>
      </c>
      <c r="Z85" s="41">
        <f>IFERROR(IF(Y85=0,"",ROUNDUP(Y85/H85,0)*0.01898),"")</f>
        <v>0.53144000000000002</v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311.38888888888891</v>
      </c>
      <c r="BN85" s="78">
        <f>IFERROR(Y85*I85/H85,"0")</f>
        <v>313.88</v>
      </c>
      <c r="BO85" s="78">
        <f>IFERROR(1/J85*(X85/H85),"0")</f>
        <v>0.43402777777777773</v>
      </c>
      <c r="BP85" s="78">
        <f>IFERROR(1/J85*(Y85/H85),"0")</f>
        <v>0.4375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675</v>
      </c>
      <c r="Y89" s="55">
        <f>IFERROR(IF(X89="",0,CEILING((X89/$H89),1)*$H89),"")</f>
        <v>675</v>
      </c>
      <c r="Z89" s="41">
        <f>IFERROR(IF(Y89=0,"",ROUNDUP(Y89/H89,0)*0.00902),"")</f>
        <v>1.353</v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703.50000000000011</v>
      </c>
      <c r="BN89" s="78">
        <f>IFERROR(Y89*I89/H89,"0")</f>
        <v>703.50000000000011</v>
      </c>
      <c r="BO89" s="78">
        <f>IFERROR(1/J89*(X89/H89),"0")</f>
        <v>1.1363636363636365</v>
      </c>
      <c r="BP89" s="78">
        <f>IFERROR(1/J89*(Y89/H89),"0")</f>
        <v>1.1363636363636365</v>
      </c>
    </row>
    <row r="90" spans="1:68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177.77777777777777</v>
      </c>
      <c r="Y90" s="43">
        <f>IFERROR(Y85/H85,"0")+IFERROR(Y86/H86,"0")+IFERROR(Y87/H87,"0")+IFERROR(Y88/H88,"0")+IFERROR(Y89/H89,"0")</f>
        <v>178</v>
      </c>
      <c r="Z90" s="43">
        <f>IFERROR(IF(Z85="",0,Z85),"0")+IFERROR(IF(Z86="",0,Z86),"0")+IFERROR(IF(Z87="",0,Z87),"0")+IFERROR(IF(Z88="",0,Z88),"0")+IFERROR(IF(Z89="",0,Z89),"0")</f>
        <v>1.8844400000000001</v>
      </c>
      <c r="AA90" s="67"/>
      <c r="AB90" s="67"/>
      <c r="AC90" s="67"/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975</v>
      </c>
      <c r="Y91" s="43">
        <f>IFERROR(SUM(Y85:Y89),"0")</f>
        <v>977.40000000000009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340</v>
      </c>
      <c r="Y401" s="55">
        <f>IFERROR(IF(X401="",0,CEILING((X401/$H401),1)*$H401),"")</f>
        <v>341.7</v>
      </c>
      <c r="Z401" s="41">
        <f>IFERROR(IF(Y401=0,"",ROUNDUP(Y401/H401,0)*0.00651),"")</f>
        <v>0.87234</v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384</v>
      </c>
      <c r="BN401" s="78">
        <f>IFERROR(Y401*I401/H401,"0")</f>
        <v>385.91999999999996</v>
      </c>
      <c r="BO401" s="78">
        <f>IFERROR(1/J401*(X401/H401),"0")</f>
        <v>0.73260073260073266</v>
      </c>
      <c r="BP401" s="78">
        <f>IFERROR(1/J401*(Y401/H401),"0")</f>
        <v>0.73626373626373631</v>
      </c>
    </row>
    <row r="402" spans="1:68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133.33333333333334</v>
      </c>
      <c r="Y402" s="43">
        <f>IFERROR(Y398/H398,"0")+IFERROR(Y399/H399,"0")+IFERROR(Y400/H400,"0")+IFERROR(Y401/H401,"0")</f>
        <v>134</v>
      </c>
      <c r="Z402" s="43">
        <f>IFERROR(IF(Z398="",0,Z398),"0")+IFERROR(IF(Z399="",0,Z399),"0")+IFERROR(IF(Z400="",0,Z400),"0")+IFERROR(IF(Z401="",0,Z401),"0")</f>
        <v>0.87234</v>
      </c>
      <c r="AA402" s="67"/>
      <c r="AB402" s="67"/>
      <c r="AC402" s="67"/>
    </row>
    <row r="403" spans="1:68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340</v>
      </c>
      <c r="Y403" s="43">
        <f>IFERROR(SUM(Y398:Y401),"0")</f>
        <v>341.7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1000</v>
      </c>
      <c r="Y434" s="55">
        <f t="shared" si="68"/>
        <v>1005</v>
      </c>
      <c r="Z434" s="41">
        <f>IFERROR(IF(Y434=0,"",ROUNDUP(Y434/H434,0)*0.02175),"")</f>
        <v>1.4572499999999999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1031.3333333333333</v>
      </c>
      <c r="BN434" s="78">
        <f t="shared" si="70"/>
        <v>1036.49</v>
      </c>
      <c r="BO434" s="78">
        <f t="shared" si="71"/>
        <v>1.3888888888888888</v>
      </c>
      <c r="BP434" s="78">
        <f t="shared" si="72"/>
        <v>1.3958333333333333</v>
      </c>
    </row>
    <row r="435" spans="1:68" ht="27" hidden="1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1000</v>
      </c>
      <c r="Y436" s="55">
        <f t="shared" si="68"/>
        <v>1005</v>
      </c>
      <c r="Z436" s="41">
        <f>IFERROR(IF(Y436=0,"",ROUNDUP(Y436/H436,0)*0.02175),"")</f>
        <v>1.4572499999999999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1031.3333333333333</v>
      </c>
      <c r="BN436" s="78">
        <f t="shared" si="70"/>
        <v>1036.49</v>
      </c>
      <c r="BO436" s="78">
        <f t="shared" si="71"/>
        <v>1.3888888888888888</v>
      </c>
      <c r="BP436" s="78">
        <f t="shared" si="72"/>
        <v>1.3958333333333333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133.33333333333334</v>
      </c>
      <c r="Y440" s="43">
        <f>IFERROR(Y432/H432,"0")+IFERROR(Y433/H433,"0")+IFERROR(Y434/H434,"0")+IFERROR(Y435/H435,"0")+IFERROR(Y436/H436,"0")+IFERROR(Y437/H437,"0")+IFERROR(Y438/H438,"0")+IFERROR(Y439/H439,"0")</f>
        <v>134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2.9144999999999999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2000</v>
      </c>
      <c r="Y441" s="43">
        <f>IFERROR(SUM(Y432:Y439),"0")</f>
        <v>2010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4000</v>
      </c>
      <c r="Y443" s="55">
        <f>IFERROR(IF(X443="",0,CEILING((X443/$H443),1)*$H443),"")</f>
        <v>4005</v>
      </c>
      <c r="Z443" s="41">
        <f>IFERROR(IF(Y443=0,"",ROUNDUP(Y443/H443,0)*0.02175),"")</f>
        <v>5.8072499999999998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4125.333333333333</v>
      </c>
      <c r="BN443" s="78">
        <f>IFERROR(Y443*I443/H443,"0")</f>
        <v>4130.4900000000007</v>
      </c>
      <c r="BO443" s="78">
        <f>IFERROR(1/J443*(X443/H443),"0")</f>
        <v>5.5555555555555554</v>
      </c>
      <c r="BP443" s="78">
        <f>IFERROR(1/J443*(Y443/H443),"0")</f>
        <v>5.5625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266.66666666666669</v>
      </c>
      <c r="Y446" s="43">
        <f>IFERROR(Y443/H443,"0")+IFERROR(Y444/H444,"0")+IFERROR(Y445/H445,"0")</f>
        <v>267</v>
      </c>
      <c r="Z446" s="43">
        <f>IFERROR(IF(Z443="",0,Z443),"0")+IFERROR(IF(Z444="",0,Z444),"0")+IFERROR(IF(Z445="",0,Z445),"0")</f>
        <v>5.8072499999999998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4000</v>
      </c>
      <c r="Y447" s="43">
        <f>IFERROR(SUM(Y443:Y445),"0")</f>
        <v>4005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400</v>
      </c>
      <c r="Y517" s="55">
        <f>IFERROR(IF(X517="",0,CEILING((X517/$H517),1)*$H517),"")</f>
        <v>401.28000000000003</v>
      </c>
      <c r="Z517" s="41">
        <f>IFERROR(IF(Y517=0,"",ROUNDUP(Y517/H517,0)*0.01196),"")</f>
        <v>0.90895999999999999</v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426.5151515151515</v>
      </c>
      <c r="BN517" s="78">
        <f>IFERROR(Y517*I517/H517,"0")</f>
        <v>427.88</v>
      </c>
      <c r="BO517" s="78">
        <f>IFERROR(1/J517*(X517/H517),"0")</f>
        <v>0.72843822843822836</v>
      </c>
      <c r="BP517" s="78">
        <f>IFERROR(1/J517*(Y517/H517),"0")</f>
        <v>0.73076923076923084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75.757575757575751</v>
      </c>
      <c r="Y520" s="43">
        <f>IFERROR(Y517/H517,"0")+IFERROR(Y518/H518,"0")+IFERROR(Y519/H519,"0")</f>
        <v>76</v>
      </c>
      <c r="Z520" s="43">
        <f>IFERROR(IF(Z517="",0,Z517),"0")+IFERROR(IF(Z518="",0,Z518),"0")+IFERROR(IF(Z519="",0,Z519),"0")</f>
        <v>0.90895999999999999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400</v>
      </c>
      <c r="Y521" s="43">
        <f>IFERROR(SUM(Y517:Y519),"0")</f>
        <v>401.28000000000003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8465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8487.7800000000007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8793.7929292929293</v>
      </c>
      <c r="Y561" s="43">
        <f>IFERROR(SUM(BN22:BN557),"0")</f>
        <v>8817.5300000000007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13</v>
      </c>
      <c r="Y562" s="44">
        <f>ROUNDUP(SUM(BP22:BP557),0)</f>
        <v>13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9118.7929292929293</v>
      </c>
      <c r="Y563" s="43">
        <f>GrossWeightTotalR+PalletQtyTotalR*25</f>
        <v>9142.5300000000007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914.64646464646466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917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13.820930000000001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752.40000000000009</v>
      </c>
      <c r="F570" s="52">
        <f>IFERROR(Y85*1,"0")+IFERROR(Y86*1,"0")+IFERROR(Y87*1,"0")+IFERROR(Y88*1,"0")+IFERROR(Y89*1,"0")+IFERROR(Y93*1,"0")+IFERROR(Y94*1,"0")+IFERROR(Y95*1,"0")+IFERROR(Y96*1,"0")+IFERROR(Y97*1,"0")+IFERROR(Y98*1,"0")</f>
        <v>977.40000000000009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341.7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6015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401.28000000000003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27,78"/>
        <filter val="13"/>
        <filter val="133,33"/>
        <filter val="177,78"/>
        <filter val="2 000,00"/>
        <filter val="266,67"/>
        <filter val="300,00"/>
        <filter val="340,00"/>
        <filter val="4 000,00"/>
        <filter val="400,00"/>
        <filter val="450,00"/>
        <filter val="675,00"/>
        <filter val="75,76"/>
        <filter val="750,00"/>
        <filter val="8 465,00"/>
        <filter val="8 793,79"/>
        <filter val="9 118,79"/>
        <filter val="914,65"/>
        <filter val="975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