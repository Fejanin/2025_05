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8AFF3DA-6C78-48B5-8E39-90DC2E1D724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Z517" i="2" s="1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P512" i="2"/>
  <c r="BO511" i="2"/>
  <c r="BM511" i="2"/>
  <c r="Z511" i="2"/>
  <c r="Y511" i="2"/>
  <c r="BP511" i="2" s="1"/>
  <c r="P511" i="2"/>
  <c r="BO510" i="2"/>
  <c r="BM510" i="2"/>
  <c r="Y510" i="2"/>
  <c r="P510" i="2"/>
  <c r="X508" i="2"/>
  <c r="X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Z504" i="2"/>
  <c r="Y504" i="2"/>
  <c r="BP504" i="2" s="1"/>
  <c r="P504" i="2"/>
  <c r="BO503" i="2"/>
  <c r="BM503" i="2"/>
  <c r="Y503" i="2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N498" i="2" s="1"/>
  <c r="P498" i="2"/>
  <c r="X494" i="2"/>
  <c r="X493" i="2"/>
  <c r="BO492" i="2"/>
  <c r="BM492" i="2"/>
  <c r="Y492" i="2"/>
  <c r="P492" i="2"/>
  <c r="BP491" i="2"/>
  <c r="BO491" i="2"/>
  <c r="BM491" i="2"/>
  <c r="Y491" i="2"/>
  <c r="BN491" i="2" s="1"/>
  <c r="P491" i="2"/>
  <c r="BO490" i="2"/>
  <c r="BM490" i="2"/>
  <c r="Y490" i="2"/>
  <c r="Z490" i="2" s="1"/>
  <c r="P490" i="2"/>
  <c r="X488" i="2"/>
  <c r="X487" i="2"/>
  <c r="BO486" i="2"/>
  <c r="BM486" i="2"/>
  <c r="Y486" i="2"/>
  <c r="BN486" i="2" s="1"/>
  <c r="P486" i="2"/>
  <c r="X483" i="2"/>
  <c r="X482" i="2"/>
  <c r="BO481" i="2"/>
  <c r="BM481" i="2"/>
  <c r="Y481" i="2"/>
  <c r="P481" i="2"/>
  <c r="BO480" i="2"/>
  <c r="BM480" i="2"/>
  <c r="Y480" i="2"/>
  <c r="Z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BP473" i="2" s="1"/>
  <c r="P473" i="2"/>
  <c r="BO472" i="2"/>
  <c r="BM472" i="2"/>
  <c r="Y472" i="2"/>
  <c r="P472" i="2"/>
  <c r="BO471" i="2"/>
  <c r="BM471" i="2"/>
  <c r="Y471" i="2"/>
  <c r="BP471" i="2" s="1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N454" i="2" s="1"/>
  <c r="P454" i="2"/>
  <c r="X451" i="2"/>
  <c r="X450" i="2"/>
  <c r="BO449" i="2"/>
  <c r="BM449" i="2"/>
  <c r="Y449" i="2"/>
  <c r="BN449" i="2" s="1"/>
  <c r="P449" i="2"/>
  <c r="BO448" i="2"/>
  <c r="BM448" i="2"/>
  <c r="Y448" i="2"/>
  <c r="BP448" i="2" s="1"/>
  <c r="P448" i="2"/>
  <c r="X446" i="2"/>
  <c r="X445" i="2"/>
  <c r="BO444" i="2"/>
  <c r="BM444" i="2"/>
  <c r="Z444" i="2"/>
  <c r="Y444" i="2"/>
  <c r="BP444" i="2" s="1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Z417" i="2" s="1"/>
  <c r="P417" i="2"/>
  <c r="X414" i="2"/>
  <c r="X413" i="2"/>
  <c r="BO412" i="2"/>
  <c r="BM412" i="2"/>
  <c r="Y412" i="2"/>
  <c r="P412" i="2"/>
  <c r="BO411" i="2"/>
  <c r="BM411" i="2"/>
  <c r="Y411" i="2"/>
  <c r="BN411" i="2" s="1"/>
  <c r="P411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P360" i="2"/>
  <c r="BO360" i="2"/>
  <c r="BN360" i="2"/>
  <c r="BM360" i="2"/>
  <c r="Z360" i="2"/>
  <c r="Y360" i="2"/>
  <c r="P360" i="2"/>
  <c r="BO359" i="2"/>
  <c r="BM359" i="2"/>
  <c r="Y359" i="2"/>
  <c r="BN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O331" i="2"/>
  <c r="BM331" i="2"/>
  <c r="Y331" i="2"/>
  <c r="P331" i="2"/>
  <c r="X328" i="2"/>
  <c r="X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N323" i="2" s="1"/>
  <c r="P323" i="2"/>
  <c r="BO322" i="2"/>
  <c r="BM322" i="2"/>
  <c r="Y322" i="2"/>
  <c r="BN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Z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BP272" i="2" s="1"/>
  <c r="P272" i="2"/>
  <c r="BP271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BN265" i="2" s="1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N255" i="2" s="1"/>
  <c r="P255" i="2"/>
  <c r="X252" i="2"/>
  <c r="X251" i="2"/>
  <c r="BP250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N236" i="2" s="1"/>
  <c r="P236" i="2"/>
  <c r="X234" i="2"/>
  <c r="X233" i="2"/>
  <c r="BP232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Z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Y216" i="2" s="1"/>
  <c r="P215" i="2"/>
  <c r="X212" i="2"/>
  <c r="X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P206" i="2" s="1"/>
  <c r="P206" i="2"/>
  <c r="BO205" i="2"/>
  <c r="BM205" i="2"/>
  <c r="Y205" i="2"/>
  <c r="BN205" i="2" s="1"/>
  <c r="P205" i="2"/>
  <c r="BO204" i="2"/>
  <c r="BM204" i="2"/>
  <c r="Y204" i="2"/>
  <c r="BN204" i="2" s="1"/>
  <c r="P204" i="2"/>
  <c r="X200" i="2"/>
  <c r="X199" i="2"/>
  <c r="BO198" i="2"/>
  <c r="BM198" i="2"/>
  <c r="Y198" i="2"/>
  <c r="Z198" i="2" s="1"/>
  <c r="Z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Z190" i="2" s="1"/>
  <c r="P190" i="2"/>
  <c r="BO189" i="2"/>
  <c r="BM189" i="2"/>
  <c r="Y189" i="2"/>
  <c r="P189" i="2"/>
  <c r="BO188" i="2"/>
  <c r="BM188" i="2"/>
  <c r="Z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Z170" i="2" s="1"/>
  <c r="P170" i="2"/>
  <c r="BO169" i="2"/>
  <c r="BM169" i="2"/>
  <c r="Y169" i="2"/>
  <c r="P169" i="2"/>
  <c r="X167" i="2"/>
  <c r="X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P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Z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Y149" i="2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Y145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BN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P129" i="2"/>
  <c r="BO128" i="2"/>
  <c r="BM128" i="2"/>
  <c r="Y128" i="2"/>
  <c r="BN128" i="2" s="1"/>
  <c r="P128" i="2"/>
  <c r="X125" i="2"/>
  <c r="X124" i="2"/>
  <c r="BO123" i="2"/>
  <c r="BM123" i="2"/>
  <c r="Z123" i="2"/>
  <c r="Z124" i="2" s="1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BP98" i="2" s="1"/>
  <c r="P98" i="2"/>
  <c r="X95" i="2"/>
  <c r="X94" i="2"/>
  <c r="BO93" i="2"/>
  <c r="BM93" i="2"/>
  <c r="Y93" i="2"/>
  <c r="BN93" i="2" s="1"/>
  <c r="P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N90" i="2" s="1"/>
  <c r="P90" i="2"/>
  <c r="X88" i="2"/>
  <c r="X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BP84" i="2" s="1"/>
  <c r="P84" i="2"/>
  <c r="BO83" i="2"/>
  <c r="BM83" i="2"/>
  <c r="Y83" i="2"/>
  <c r="P83" i="2"/>
  <c r="X80" i="2"/>
  <c r="X79" i="2"/>
  <c r="BO78" i="2"/>
  <c r="BM78" i="2"/>
  <c r="Y78" i="2"/>
  <c r="BN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X53" i="2"/>
  <c r="X52" i="2"/>
  <c r="BP51" i="2"/>
  <c r="BO51" i="2"/>
  <c r="BM51" i="2"/>
  <c r="Y51" i="2"/>
  <c r="BN51" i="2" s="1"/>
  <c r="P51" i="2"/>
  <c r="BO50" i="2"/>
  <c r="BM50" i="2"/>
  <c r="Y50" i="2"/>
  <c r="BN50" i="2" s="1"/>
  <c r="P50" i="2"/>
  <c r="BO49" i="2"/>
  <c r="BM49" i="2"/>
  <c r="Y49" i="2"/>
  <c r="BP49" i="2" s="1"/>
  <c r="P49" i="2"/>
  <c r="BO48" i="2"/>
  <c r="BM48" i="2"/>
  <c r="Y48" i="2"/>
  <c r="BN48" i="2" s="1"/>
  <c r="P48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BP38" i="2" s="1"/>
  <c r="P38" i="2"/>
  <c r="BO37" i="2"/>
  <c r="BM37" i="2"/>
  <c r="Z37" i="2"/>
  <c r="Y37" i="2"/>
  <c r="BN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29" i="2" l="1"/>
  <c r="BN42" i="2"/>
  <c r="BP61" i="2"/>
  <c r="BN84" i="2"/>
  <c r="BN143" i="2"/>
  <c r="BN206" i="2"/>
  <c r="BN256" i="2"/>
  <c r="BN283" i="2"/>
  <c r="BP323" i="2"/>
  <c r="BN436" i="2"/>
  <c r="BN490" i="2"/>
  <c r="BP498" i="2"/>
  <c r="BN501" i="2"/>
  <c r="BN506" i="2"/>
  <c r="BN518" i="2"/>
  <c r="BP37" i="2"/>
  <c r="Z49" i="2"/>
  <c r="BN49" i="2"/>
  <c r="Z61" i="2"/>
  <c r="Z165" i="2"/>
  <c r="BN170" i="2"/>
  <c r="Z179" i="2"/>
  <c r="BP227" i="2"/>
  <c r="Z246" i="2"/>
  <c r="BN246" i="2"/>
  <c r="BN260" i="2"/>
  <c r="BN284" i="2"/>
  <c r="Z297" i="2"/>
  <c r="BN301" i="2"/>
  <c r="Z323" i="2"/>
  <c r="BP333" i="2"/>
  <c r="BP371" i="2"/>
  <c r="BN380" i="2"/>
  <c r="BN400" i="2"/>
  <c r="BN476" i="2"/>
  <c r="Z498" i="2"/>
  <c r="BN511" i="2"/>
  <c r="Z506" i="2"/>
  <c r="BN504" i="2"/>
  <c r="Z501" i="2"/>
  <c r="Z476" i="2"/>
  <c r="BN473" i="2"/>
  <c r="Z473" i="2"/>
  <c r="Y461" i="2"/>
  <c r="BP449" i="2"/>
  <c r="BN444" i="2"/>
  <c r="Z436" i="2"/>
  <c r="Z432" i="2"/>
  <c r="BN428" i="2"/>
  <c r="BP411" i="2"/>
  <c r="Z400" i="2"/>
  <c r="Z398" i="2"/>
  <c r="Y401" i="2"/>
  <c r="BN398" i="2"/>
  <c r="Y402" i="2"/>
  <c r="Z393" i="2"/>
  <c r="Z380" i="2"/>
  <c r="BP378" i="2"/>
  <c r="BN369" i="2"/>
  <c r="Z369" i="2"/>
  <c r="BN363" i="2"/>
  <c r="Z363" i="2"/>
  <c r="BN352" i="2"/>
  <c r="Y356" i="2"/>
  <c r="Z352" i="2"/>
  <c r="Z339" i="2"/>
  <c r="BN338" i="2"/>
  <c r="BP325" i="2"/>
  <c r="Y319" i="2"/>
  <c r="BN317" i="2"/>
  <c r="BN316" i="2"/>
  <c r="Z316" i="2"/>
  <c r="Z311" i="2"/>
  <c r="Z312" i="2" s="1"/>
  <c r="BP311" i="2"/>
  <c r="BN311" i="2"/>
  <c r="Y312" i="2"/>
  <c r="Z301" i="2"/>
  <c r="Z286" i="2"/>
  <c r="BN286" i="2"/>
  <c r="Z283" i="2"/>
  <c r="BN279" i="2"/>
  <c r="Z279" i="2"/>
  <c r="Z269" i="2"/>
  <c r="BP269" i="2"/>
  <c r="BN268" i="2"/>
  <c r="Z260" i="2"/>
  <c r="Z256" i="2"/>
  <c r="Z236" i="2"/>
  <c r="BP236" i="2"/>
  <c r="Z230" i="2"/>
  <c r="BN230" i="2"/>
  <c r="BP228" i="2"/>
  <c r="BP226" i="2"/>
  <c r="Z226" i="2"/>
  <c r="Z223" i="2"/>
  <c r="Z220" i="2"/>
  <c r="BN215" i="2"/>
  <c r="Z209" i="2"/>
  <c r="BN209" i="2"/>
  <c r="BP207" i="2"/>
  <c r="BP205" i="2"/>
  <c r="Z205" i="2"/>
  <c r="BP204" i="2"/>
  <c r="BN198" i="2"/>
  <c r="BN181" i="2"/>
  <c r="Z175" i="2"/>
  <c r="BN154" i="2"/>
  <c r="Y156" i="2"/>
  <c r="Z141" i="2"/>
  <c r="Z135" i="2"/>
  <c r="Z128" i="2"/>
  <c r="BP128" i="2"/>
  <c r="Y124" i="2"/>
  <c r="BN123" i="2"/>
  <c r="Y114" i="2"/>
  <c r="Z112" i="2"/>
  <c r="Z111" i="2"/>
  <c r="BN110" i="2"/>
  <c r="BP108" i="2"/>
  <c r="Z102" i="2"/>
  <c r="Z101" i="2"/>
  <c r="Z91" i="2"/>
  <c r="Z94" i="2" s="1"/>
  <c r="Z90" i="2"/>
  <c r="F563" i="2"/>
  <c r="Z84" i="2"/>
  <c r="Z58" i="2"/>
  <c r="E563" i="2"/>
  <c r="Z57" i="2"/>
  <c r="X557" i="2"/>
  <c r="BN30" i="2"/>
  <c r="Z29" i="2"/>
  <c r="Z22" i="2"/>
  <c r="BN22" i="2"/>
  <c r="BN56" i="2"/>
  <c r="Y80" i="2"/>
  <c r="BN92" i="2"/>
  <c r="BN100" i="2"/>
  <c r="BN103" i="2"/>
  <c r="BN129" i="2"/>
  <c r="BP129" i="2"/>
  <c r="BN237" i="2"/>
  <c r="BP237" i="2"/>
  <c r="Z237" i="2"/>
  <c r="BP240" i="2"/>
  <c r="BN240" i="2"/>
  <c r="Z240" i="2"/>
  <c r="BN266" i="2"/>
  <c r="Z266" i="2"/>
  <c r="Y289" i="2"/>
  <c r="Z277" i="2"/>
  <c r="BN307" i="2"/>
  <c r="Y308" i="2"/>
  <c r="Z307" i="2"/>
  <c r="Z308" i="2" s="1"/>
  <c r="Y334" i="2"/>
  <c r="Z331" i="2"/>
  <c r="BN412" i="2"/>
  <c r="BP412" i="2"/>
  <c r="Z412" i="2"/>
  <c r="BP438" i="2"/>
  <c r="BN438" i="2"/>
  <c r="BP492" i="2"/>
  <c r="BN492" i="2"/>
  <c r="Z492" i="2"/>
  <c r="X555" i="2"/>
  <c r="BN38" i="2"/>
  <c r="BN41" i="2"/>
  <c r="Z50" i="2"/>
  <c r="BP50" i="2"/>
  <c r="Z60" i="2"/>
  <c r="BP60" i="2"/>
  <c r="Y70" i="2"/>
  <c r="Z68" i="2"/>
  <c r="BP78" i="2"/>
  <c r="BN83" i="2"/>
  <c r="Z93" i="2"/>
  <c r="BP93" i="2"/>
  <c r="G563" i="2"/>
  <c r="Z104" i="2"/>
  <c r="BP104" i="2"/>
  <c r="H563" i="2"/>
  <c r="BP189" i="2"/>
  <c r="Z189" i="2"/>
  <c r="BN261" i="2"/>
  <c r="BP261" i="2"/>
  <c r="BN270" i="2"/>
  <c r="BP270" i="2"/>
  <c r="Z270" i="2"/>
  <c r="BN379" i="2"/>
  <c r="BP379" i="2"/>
  <c r="Z379" i="2"/>
  <c r="BP392" i="2"/>
  <c r="BN392" i="2"/>
  <c r="Z406" i="2"/>
  <c r="BN406" i="2"/>
  <c r="BN499" i="2"/>
  <c r="BP499" i="2"/>
  <c r="Y507" i="2"/>
  <c r="Y529" i="2"/>
  <c r="BP528" i="2"/>
  <c r="Y63" i="2"/>
  <c r="BP59" i="2"/>
  <c r="Y62" i="2"/>
  <c r="BP67" i="2"/>
  <c r="BP92" i="2"/>
  <c r="BP103" i="2"/>
  <c r="BN149" i="2"/>
  <c r="BP149" i="2"/>
  <c r="Z149" i="2"/>
  <c r="BN182" i="2"/>
  <c r="BP182" i="2"/>
  <c r="Z182" i="2"/>
  <c r="BP224" i="2"/>
  <c r="Z224" i="2"/>
  <c r="Z231" i="2"/>
  <c r="BN231" i="2"/>
  <c r="Y248" i="2"/>
  <c r="Z244" i="2"/>
  <c r="BN285" i="2"/>
  <c r="BP285" i="2"/>
  <c r="BN361" i="2"/>
  <c r="BP361" i="2"/>
  <c r="Z374" i="2"/>
  <c r="BN374" i="2"/>
  <c r="BP431" i="2"/>
  <c r="BN431" i="2"/>
  <c r="BN443" i="2"/>
  <c r="BP443" i="2"/>
  <c r="BN472" i="2"/>
  <c r="BP472" i="2"/>
  <c r="Z472" i="2"/>
  <c r="BN481" i="2"/>
  <c r="BP481" i="2"/>
  <c r="X554" i="2"/>
  <c r="X553" i="2"/>
  <c r="BP31" i="2"/>
  <c r="C563" i="2"/>
  <c r="Z38" i="2"/>
  <c r="Z41" i="2"/>
  <c r="D563" i="2"/>
  <c r="BP48" i="2"/>
  <c r="BP57" i="2"/>
  <c r="BN66" i="2"/>
  <c r="Z67" i="2"/>
  <c r="BN77" i="2"/>
  <c r="Z83" i="2"/>
  <c r="BP83" i="2"/>
  <c r="BP85" i="2"/>
  <c r="BP90" i="2"/>
  <c r="BP101" i="2"/>
  <c r="BP111" i="2"/>
  <c r="BP118" i="2"/>
  <c r="Y125" i="2"/>
  <c r="Z136" i="2"/>
  <c r="BN136" i="2"/>
  <c r="Y171" i="2"/>
  <c r="Z169" i="2"/>
  <c r="Z171" i="2" s="1"/>
  <c r="BN178" i="2"/>
  <c r="Z178" i="2"/>
  <c r="Z210" i="2"/>
  <c r="BN210" i="2"/>
  <c r="BN250" i="2"/>
  <c r="Y251" i="2"/>
  <c r="Z250" i="2"/>
  <c r="Z251" i="2" s="1"/>
  <c r="BP266" i="2"/>
  <c r="BN300" i="2"/>
  <c r="BP300" i="2"/>
  <c r="Z300" i="2"/>
  <c r="BP307" i="2"/>
  <c r="BP331" i="2"/>
  <c r="BP387" i="2"/>
  <c r="Z387" i="2"/>
  <c r="Z465" i="2"/>
  <c r="BN465" i="2"/>
  <c r="BN503" i="2"/>
  <c r="BP503" i="2"/>
  <c r="BP521" i="2"/>
  <c r="BN521" i="2"/>
  <c r="Z521" i="2"/>
  <c r="BP134" i="2"/>
  <c r="BN137" i="2"/>
  <c r="BP170" i="2"/>
  <c r="Y186" i="2"/>
  <c r="BP175" i="2"/>
  <c r="BN177" i="2"/>
  <c r="BN180" i="2"/>
  <c r="BP190" i="2"/>
  <c r="BP225" i="2"/>
  <c r="BP245" i="2"/>
  <c r="BP255" i="2"/>
  <c r="Y257" i="2"/>
  <c r="Y263" i="2"/>
  <c r="BP278" i="2"/>
  <c r="BN280" i="2"/>
  <c r="Y304" i="2"/>
  <c r="BP322" i="2"/>
  <c r="BN324" i="2"/>
  <c r="BN346" i="2"/>
  <c r="BP354" i="2"/>
  <c r="BN364" i="2"/>
  <c r="BP368" i="2"/>
  <c r="BN370" i="2"/>
  <c r="BN373" i="2"/>
  <c r="BP381" i="2"/>
  <c r="Y389" i="2"/>
  <c r="Y388" i="2"/>
  <c r="BP393" i="2"/>
  <c r="BN405" i="2"/>
  <c r="Y421" i="2"/>
  <c r="BP417" i="2"/>
  <c r="BN419" i="2"/>
  <c r="BN426" i="2"/>
  <c r="BP432" i="2"/>
  <c r="BN442" i="2"/>
  <c r="BN448" i="2"/>
  <c r="X563" i="2"/>
  <c r="BN459" i="2"/>
  <c r="Y460" i="2"/>
  <c r="BN464" i="2"/>
  <c r="BP474" i="2"/>
  <c r="AA563" i="2"/>
  <c r="BN502" i="2"/>
  <c r="Y514" i="2"/>
  <c r="BN512" i="2"/>
  <c r="BP516" i="2"/>
  <c r="BN517" i="2"/>
  <c r="BP518" i="2"/>
  <c r="BN519" i="2"/>
  <c r="Z134" i="2"/>
  <c r="Z138" i="2" s="1"/>
  <c r="J563" i="2"/>
  <c r="BN165" i="2"/>
  <c r="Y167" i="2"/>
  <c r="Z181" i="2"/>
  <c r="BP183" i="2"/>
  <c r="Y191" i="2"/>
  <c r="BP188" i="2"/>
  <c r="BP223" i="2"/>
  <c r="BP276" i="2"/>
  <c r="Y305" i="2"/>
  <c r="BP299" i="2"/>
  <c r="BP342" i="2"/>
  <c r="T563" i="2"/>
  <c r="BP386" i="2"/>
  <c r="Y408" i="2"/>
  <c r="W563" i="2"/>
  <c r="BP429" i="2"/>
  <c r="Y450" i="2"/>
  <c r="BP455" i="2"/>
  <c r="Y467" i="2"/>
  <c r="Y493" i="2"/>
  <c r="Z137" i="2"/>
  <c r="BP141" i="2"/>
  <c r="BP152" i="2"/>
  <c r="BP180" i="2"/>
  <c r="Z191" i="2"/>
  <c r="BN190" i="2"/>
  <c r="Z206" i="2"/>
  <c r="BP215" i="2"/>
  <c r="Y233" i="2"/>
  <c r="BP220" i="2"/>
  <c r="BN222" i="2"/>
  <c r="BN225" i="2"/>
  <c r="Y234" i="2"/>
  <c r="Y241" i="2"/>
  <c r="BN245" i="2"/>
  <c r="Y258" i="2"/>
  <c r="Y274" i="2"/>
  <c r="Z267" i="2"/>
  <c r="BP268" i="2"/>
  <c r="Z276" i="2"/>
  <c r="BN278" i="2"/>
  <c r="Z280" i="2"/>
  <c r="BP297" i="2"/>
  <c r="Z324" i="2"/>
  <c r="Z332" i="2"/>
  <c r="BP339" i="2"/>
  <c r="BN341" i="2"/>
  <c r="Z342" i="2"/>
  <c r="Z346" i="2"/>
  <c r="BN353" i="2"/>
  <c r="Z359" i="2"/>
  <c r="BP359" i="2"/>
  <c r="Z370" i="2"/>
  <c r="Z373" i="2"/>
  <c r="Z386" i="2"/>
  <c r="Z405" i="2"/>
  <c r="Z426" i="2"/>
  <c r="Z429" i="2"/>
  <c r="Y445" i="2"/>
  <c r="Z448" i="2"/>
  <c r="Z455" i="2"/>
  <c r="Z459" i="2"/>
  <c r="Z460" i="2" s="1"/>
  <c r="Z464" i="2"/>
  <c r="Y477" i="2"/>
  <c r="Y482" i="2"/>
  <c r="Z563" i="2"/>
  <c r="BP517" i="2"/>
  <c r="Z348" i="2"/>
  <c r="Z247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01" i="2" s="1"/>
  <c r="Z425" i="2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BP284" i="2"/>
  <c r="Z292" i="2"/>
  <c r="Z303" i="2"/>
  <c r="Z315" i="2"/>
  <c r="Z318" i="2" s="1"/>
  <c r="BP317" i="2"/>
  <c r="Z326" i="2"/>
  <c r="BN340" i="2"/>
  <c r="Y343" i="2"/>
  <c r="BP353" i="2"/>
  <c r="Z362" i="2"/>
  <c r="BP364" i="2"/>
  <c r="Z372" i="2"/>
  <c r="BP374" i="2"/>
  <c r="BN394" i="2"/>
  <c r="Z404" i="2"/>
  <c r="Z407" i="2" s="1"/>
  <c r="BP406" i="2"/>
  <c r="BN418" i="2"/>
  <c r="BN430" i="2"/>
  <c r="Y433" i="2"/>
  <c r="BP442" i="2"/>
  <c r="Y456" i="2"/>
  <c r="Z463" i="2"/>
  <c r="BP465" i="2"/>
  <c r="Z475" i="2"/>
  <c r="BP490" i="2"/>
  <c r="Z500" i="2"/>
  <c r="BP502" i="2"/>
  <c r="Z510" i="2"/>
  <c r="Z513" i="2" s="1"/>
  <c r="BP512" i="2"/>
  <c r="Z520" i="2"/>
  <c r="BP522" i="2"/>
  <c r="BP536" i="2"/>
  <c r="Y547" i="2"/>
  <c r="O563" i="2"/>
  <c r="Z119" i="2"/>
  <c r="Z23" i="2"/>
  <c r="Z24" i="2" s="1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BN40" i="2"/>
  <c r="Y53" i="2"/>
  <c r="BP65" i="2"/>
  <c r="Z73" i="2"/>
  <c r="Z74" i="2" s="1"/>
  <c r="BN86" i="2"/>
  <c r="BP99" i="2"/>
  <c r="BP109" i="2"/>
  <c r="Z117" i="2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BN404" i="2"/>
  <c r="Y407" i="2"/>
  <c r="Z428" i="2"/>
  <c r="Z438" i="2"/>
  <c r="Z439" i="2" s="1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Z79" i="2" s="1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Z257" i="2" s="1"/>
  <c r="BN267" i="2"/>
  <c r="BN277" i="2"/>
  <c r="Z285" i="2"/>
  <c r="BN298" i="2"/>
  <c r="Y309" i="2"/>
  <c r="BN332" i="2"/>
  <c r="Y344" i="2"/>
  <c r="Z354" i="2"/>
  <c r="Z355" i="2" s="1"/>
  <c r="BN387" i="2"/>
  <c r="Y413" i="2"/>
  <c r="BP425" i="2"/>
  <c r="Y434" i="2"/>
  <c r="Z443" i="2"/>
  <c r="Z445" i="2" s="1"/>
  <c r="Y457" i="2"/>
  <c r="BN480" i="2"/>
  <c r="Z491" i="2"/>
  <c r="Z493" i="2" s="1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6" i="2"/>
  <c r="Z100" i="2"/>
  <c r="Z110" i="2"/>
  <c r="Z143" i="2"/>
  <c r="Z144" i="2" s="1"/>
  <c r="Z154" i="2"/>
  <c r="Y159" i="2"/>
  <c r="BP169" i="2"/>
  <c r="Z177" i="2"/>
  <c r="Y200" i="2"/>
  <c r="Y212" i="2"/>
  <c r="Z222" i="2"/>
  <c r="BP244" i="2"/>
  <c r="Z265" i="2"/>
  <c r="BP277" i="2"/>
  <c r="Y288" i="2"/>
  <c r="BP298" i="2"/>
  <c r="Z341" i="2"/>
  <c r="Y366" i="2"/>
  <c r="Y376" i="2"/>
  <c r="Z385" i="2"/>
  <c r="Z419" i="2"/>
  <c r="Z431" i="2"/>
  <c r="Z454" i="2"/>
  <c r="Z456" i="2" s="1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9" i="2"/>
  <c r="Y74" i="2"/>
  <c r="Y195" i="2"/>
  <c r="Z204" i="2"/>
  <c r="Z215" i="2"/>
  <c r="Z216" i="2" s="1"/>
  <c r="Z299" i="2"/>
  <c r="Z304" i="2" s="1"/>
  <c r="Z322" i="2"/>
  <c r="Z333" i="2"/>
  <c r="Z334" i="2" s="1"/>
  <c r="Z368" i="2"/>
  <c r="Z378" i="2"/>
  <c r="Z382" i="2" s="1"/>
  <c r="Z411" i="2"/>
  <c r="Y439" i="2"/>
  <c r="Z471" i="2"/>
  <c r="Z481" i="2"/>
  <c r="Z482" i="2" s="1"/>
  <c r="Y487" i="2"/>
  <c r="Z516" i="2"/>
  <c r="Z523" i="2" s="1"/>
  <c r="Z528" i="2"/>
  <c r="Z529" i="2" s="1"/>
  <c r="Y533" i="2"/>
  <c r="Z540" i="2"/>
  <c r="Z541" i="2" s="1"/>
  <c r="Y32" i="2"/>
  <c r="BP56" i="2"/>
  <c r="Y79" i="2"/>
  <c r="Y88" i="2"/>
  <c r="Z98" i="2"/>
  <c r="Z105" i="2" s="1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51" i="2"/>
  <c r="Y75" i="2"/>
  <c r="Z85" i="2"/>
  <c r="BN98" i="2"/>
  <c r="Z129" i="2"/>
  <c r="BN141" i="2"/>
  <c r="Y144" i="2"/>
  <c r="Y155" i="2"/>
  <c r="Z163" i="2"/>
  <c r="Z183" i="2"/>
  <c r="Z207" i="2"/>
  <c r="Z228" i="2"/>
  <c r="Z238" i="2"/>
  <c r="Z261" i="2"/>
  <c r="Z271" i="2"/>
  <c r="Z281" i="2"/>
  <c r="Z291" i="2"/>
  <c r="Z302" i="2"/>
  <c r="Z325" i="2"/>
  <c r="Z361" i="2"/>
  <c r="Z371" i="2"/>
  <c r="Z381" i="2"/>
  <c r="BN417" i="2"/>
  <c r="Y420" i="2"/>
  <c r="Y440" i="2"/>
  <c r="Z449" i="2"/>
  <c r="Z474" i="2"/>
  <c r="Y488" i="2"/>
  <c r="Z499" i="2"/>
  <c r="BN545" i="2"/>
  <c r="Y33" i="2"/>
  <c r="BP540" i="2"/>
  <c r="Y552" i="2"/>
  <c r="BN163" i="2"/>
  <c r="Y166" i="2"/>
  <c r="BN238" i="2"/>
  <c r="I563" i="2"/>
  <c r="AB563" i="2"/>
  <c r="BN188" i="2"/>
  <c r="BN331" i="2"/>
  <c r="Z365" i="2" l="1"/>
  <c r="Z262" i="2"/>
  <c r="Z43" i="2"/>
  <c r="Z413" i="2"/>
  <c r="Z388" i="2"/>
  <c r="Z395" i="2"/>
  <c r="Z507" i="2"/>
  <c r="Z466" i="2"/>
  <c r="Z450" i="2"/>
  <c r="Z241" i="2"/>
  <c r="Z87" i="2"/>
  <c r="X556" i="2"/>
  <c r="Z273" i="2"/>
  <c r="Z288" i="2"/>
  <c r="Z62" i="2"/>
  <c r="Z433" i="2"/>
  <c r="Z420" i="2"/>
  <c r="Z52" i="2"/>
  <c r="Z120" i="2"/>
  <c r="Y554" i="2"/>
  <c r="Y555" i="2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343" i="2"/>
  <c r="Y556" i="2" l="1"/>
  <c r="Z558" i="2"/>
</calcChain>
</file>

<file path=xl/sharedStrings.xml><?xml version="1.0" encoding="utf-8"?>
<sst xmlns="http://schemas.openxmlformats.org/spreadsheetml/2006/main" count="4209" uniqueCount="889">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</sst>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223" sqref="AA2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888</v>
      </c>
      <c r="I5" s="997"/>
      <c r="J5" s="997"/>
      <c r="K5" s="997"/>
      <c r="L5" s="997"/>
      <c r="M5" s="997"/>
      <c r="N5" s="72"/>
      <c r="P5" s="27" t="s">
        <v>4</v>
      </c>
      <c r="Q5" s="999">
        <v>46262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870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Пятница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1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hidden="1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IFERROR(IF(Y48=0,"",ROUNDUP(Y48/H48,0)*0.01898),"")</f>
        <v/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idden="1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0</v>
      </c>
      <c r="Y52" s="43">
        <f>IFERROR(Y48/H48,"0")+IFERROR(Y49/H49,"0")+IFERROR(Y50/H50,"0")+IFERROR(Y51/H51,"0")</f>
        <v>0</v>
      </c>
      <c r="Z52" s="43">
        <f>IFERROR(IF(Z48="",0,Z48),"0")+IFERROR(IF(Z49="",0,Z49),"0")+IFERROR(IF(Z50="",0,Z50),"0")+IFERROR(IF(Z51="",0,Z51),"0")</f>
        <v>0</v>
      </c>
      <c r="AA52" s="67"/>
      <c r="AB52" s="67"/>
      <c r="AC52" s="67"/>
    </row>
    <row r="53" spans="1:68" hidden="1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0</v>
      </c>
      <c r="Y53" s="43">
        <f>IFERROR(SUM(Y48:Y51),"0")</f>
        <v>0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hidden="1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idden="1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0</v>
      </c>
      <c r="Y62" s="43">
        <f>IFERROR(Y56/H56,"0")+IFERROR(Y57/H57,"0")+IFERROR(Y58/H58,"0")+IFERROR(Y59/H59,"0")+IFERROR(Y60/H60,"0")+IFERROR(Y61/H61,"0")</f>
        <v>0</v>
      </c>
      <c r="Z62" s="43">
        <f>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0</v>
      </c>
      <c r="Y63" s="43">
        <f>IFERROR(SUM(Y56:Y61),"0")</f>
        <v>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idden="1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0</v>
      </c>
      <c r="Y87" s="43">
        <f>IFERROR(Y83/H83,"0")+IFERROR(Y84/H84,"0")+IFERROR(Y85/H85,"0")+IFERROR(Y86/H86,"0")</f>
        <v>0</v>
      </c>
      <c r="Z87" s="43">
        <f>IFERROR(IF(Z83="",0,Z83),"0")+IFERROR(IF(Z84="",0,Z84),"0")+IFERROR(IF(Z85="",0,Z85),"0")+IFERROR(IF(Z86="",0,Z86),"0")</f>
        <v>0</v>
      </c>
      <c r="AA87" s="67"/>
      <c r="AB87" s="67"/>
      <c r="AC87" s="67"/>
    </row>
    <row r="88" spans="1:68" hidden="1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0</v>
      </c>
      <c r="Y88" s="43">
        <f>IFERROR(SUM(Y83:Y86),"0")</f>
        <v>0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hidden="1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idden="1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0</v>
      </c>
      <c r="Y94" s="43">
        <f>IFERROR(Y90/H90,"0")+IFERROR(Y91/H91,"0")+IFERROR(Y92/H92,"0")+IFERROR(Y93/H93,"0")</f>
        <v>0</v>
      </c>
      <c r="Z94" s="43">
        <f>IFERROR(IF(Z90="",0,Z90),"0")+IFERROR(IF(Z91="",0,Z91),"0")+IFERROR(IF(Z92="",0,Z92),"0")+IFERROR(IF(Z93="",0,Z93),"0")</f>
        <v>0</v>
      </c>
      <c r="AA94" s="67"/>
      <c r="AB94" s="67"/>
      <c r="AC94" s="67"/>
    </row>
    <row r="95" spans="1:68" hidden="1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0</v>
      </c>
      <c r="Y95" s="43">
        <f>IFERROR(SUM(Y90:Y93),"0")</f>
        <v>0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idden="1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0</v>
      </c>
      <c r="Y105" s="43">
        <f>IFERROR(Y98/H98,"0")+IFERROR(Y99/H99,"0")+IFERROR(Y100/H100,"0")+IFERROR(Y101/H101,"0")+IFERROR(Y102/H102,"0")+IFERROR(Y103/H103,"0")+IFERROR(Y104/H104,"0")</f>
        <v>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hidden="1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0</v>
      </c>
      <c r="Y106" s="43">
        <f>IFERROR(SUM(Y98:Y104),"0")</f>
        <v>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hidden="1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0</v>
      </c>
      <c r="Y120" s="43">
        <f>IFERROR(Y116/H116,"0")+IFERROR(Y117/H117,"0")+IFERROR(Y118/H118,"0")+IFERROR(Y119/H119,"0")</f>
        <v>0</v>
      </c>
      <c r="Z120" s="43">
        <f>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0</v>
      </c>
      <c r="Y121" s="43">
        <f>IFERROR(SUM(Y116:Y119),"0")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175</v>
      </c>
      <c r="Y223" s="55">
        <f t="shared" si="33"/>
        <v>176.4</v>
      </c>
      <c r="Z223" s="41">
        <f t="shared" ref="Z223:Z228" si="38">IFERROR(IF(Y223=0,"",ROUNDUP(Y223/H223,0)*0.00502),"")</f>
        <v>0.42168</v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185.83333333333331</v>
      </c>
      <c r="BN223" s="78">
        <f t="shared" si="35"/>
        <v>187.32</v>
      </c>
      <c r="BO223" s="78">
        <f t="shared" si="36"/>
        <v>0.35612535612535612</v>
      </c>
      <c r="BP223" s="78">
        <f t="shared" si="37"/>
        <v>0.35897435897435903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525</v>
      </c>
      <c r="Y225" s="55">
        <f t="shared" si="33"/>
        <v>525</v>
      </c>
      <c r="Z225" s="41">
        <f t="shared" si="38"/>
        <v>1.2550000000000001</v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557.5</v>
      </c>
      <c r="BN225" s="78">
        <f t="shared" si="35"/>
        <v>557.5</v>
      </c>
      <c r="BO225" s="78">
        <f t="shared" si="36"/>
        <v>1.0683760683760686</v>
      </c>
      <c r="BP225" s="78">
        <f t="shared" si="37"/>
        <v>1.0683760683760686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1540</v>
      </c>
      <c r="Y230" s="55">
        <f t="shared" si="33"/>
        <v>1541.4</v>
      </c>
      <c r="Z230" s="41">
        <f>IFERROR(IF(Y230=0,"",ROUNDUP(Y230/H230,0)*0.00502),"")</f>
        <v>3.6846800000000002</v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1613.3333333333335</v>
      </c>
      <c r="BN230" s="78">
        <f t="shared" si="35"/>
        <v>1614.8000000000002</v>
      </c>
      <c r="BO230" s="78">
        <f t="shared" si="36"/>
        <v>3.133903133903134</v>
      </c>
      <c r="BP230" s="78">
        <f t="shared" si="37"/>
        <v>3.1367521367521372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1066.6666666666665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1068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5.3613600000000003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2240</v>
      </c>
      <c r="Y234" s="43">
        <f>IFERROR(SUM(Y219:Y232),"0")</f>
        <v>2242.8000000000002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4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0</v>
      </c>
      <c r="BN279" s="78">
        <f t="shared" si="46"/>
        <v>0</v>
      </c>
      <c r="BO279" s="78">
        <f t="shared" si="47"/>
        <v>0</v>
      </c>
      <c r="BP279" s="78">
        <f t="shared" si="48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hidden="1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1050</v>
      </c>
      <c r="Y372" s="55">
        <f t="shared" si="59"/>
        <v>1050</v>
      </c>
      <c r="Z372" s="41">
        <f>IFERROR(IF(Y372=0,"",ROUNDUP(Y372/H372,0)*0.00502),"")</f>
        <v>2.5100000000000002</v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1100</v>
      </c>
      <c r="BN372" s="78">
        <f t="shared" si="61"/>
        <v>1100</v>
      </c>
      <c r="BO372" s="78">
        <f t="shared" si="62"/>
        <v>2.1367521367521372</v>
      </c>
      <c r="BP372" s="78">
        <f t="shared" si="63"/>
        <v>2.1367521367521372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210</v>
      </c>
      <c r="Y374" s="55">
        <f t="shared" si="59"/>
        <v>210.6</v>
      </c>
      <c r="Z374" s="41">
        <f>IFERROR(IF(Y374=0,"",ROUNDUP(Y374/H374,0)*0.00651),"")</f>
        <v>0.76167000000000007</v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236.6</v>
      </c>
      <c r="BN374" s="78">
        <f t="shared" si="61"/>
        <v>237.27599999999998</v>
      </c>
      <c r="BO374" s="78">
        <f t="shared" si="62"/>
        <v>0.64102564102564097</v>
      </c>
      <c r="BP374" s="78">
        <f t="shared" si="63"/>
        <v>0.6428571428571429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616.66666666666663</v>
      </c>
      <c r="Y375" s="43">
        <f>IFERROR(Y368/H368,"0")+IFERROR(Y369/H369,"0")+IFERROR(Y370/H370,"0")+IFERROR(Y371/H371,"0")+IFERROR(Y372/H372,"0")+IFERROR(Y373/H373,"0")+IFERROR(Y374/H374,"0")</f>
        <v>617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3.2716700000000003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1260</v>
      </c>
      <c r="Y376" s="43">
        <f>IFERROR(SUM(Y368:Y374),"0")</f>
        <v>1260.5999999999999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7000</v>
      </c>
      <c r="Y418" s="55">
        <f>IFERROR(IF(X418="",0,CEILING((X418/$H418),1)*$H418),"")</f>
        <v>7001.4000000000005</v>
      </c>
      <c r="Z418" s="41">
        <f>IFERROR(IF(Y418=0,"",ROUNDUP(Y418/H418,0)*0.00651),"")</f>
        <v>21.704340000000002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7840</v>
      </c>
      <c r="BN418" s="78">
        <f>IFERROR(Y418*I418/H418,"0")</f>
        <v>7841.5679999999993</v>
      </c>
      <c r="BO418" s="78">
        <f>IFERROR(1/J418*(X418/H418),"0")</f>
        <v>18.315018315018314</v>
      </c>
      <c r="BP418" s="78">
        <f>IFERROR(1/J418*(Y418/H418),"0")</f>
        <v>18.318681318681321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7000</v>
      </c>
      <c r="Y419" s="55">
        <f>IFERROR(IF(X419="",0,CEILING((X419/$H419),1)*$H419),"")</f>
        <v>7001.4000000000005</v>
      </c>
      <c r="Z419" s="41">
        <f>IFERROR(IF(Y419=0,"",ROUNDUP(Y419/H419,0)*0.00651),"")</f>
        <v>21.704340000000002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7799.9999999999991</v>
      </c>
      <c r="BN419" s="78">
        <f>IFERROR(Y419*I419/H419,"0")</f>
        <v>7801.5599999999995</v>
      </c>
      <c r="BO419" s="78">
        <f>IFERROR(1/J419*(X419/H419),"0")</f>
        <v>18.315018315018314</v>
      </c>
      <c r="BP419" s="78">
        <f>IFERROR(1/J419*(Y419/H419),"0")</f>
        <v>18.318681318681321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6666.6666666666661</v>
      </c>
      <c r="Y420" s="43">
        <f>IFERROR(Y417/H417,"0")+IFERROR(Y418/H418,"0")+IFERROR(Y419/H419,"0")</f>
        <v>6668</v>
      </c>
      <c r="Z420" s="43">
        <f>IFERROR(IF(Z417="",0,Z417),"0")+IFERROR(IF(Z418="",0,Z418),"0")+IFERROR(IF(Z419="",0,Z419),"0")</f>
        <v>43.408680000000004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14000</v>
      </c>
      <c r="Y421" s="43">
        <f>IFERROR(SUM(Y417:Y419),"0")</f>
        <v>14002.800000000001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hidden="1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0</v>
      </c>
      <c r="Y433" s="43">
        <f>IFERROR(Y425/H425,"0")+IFERROR(Y426/H426,"0")+IFERROR(Y427/H427,"0")+IFERROR(Y428/H428,"0")+IFERROR(Y429/H429,"0")+IFERROR(Y430/H430,"0")+IFERROR(Y431/H431,"0")+IFERROR(Y432/H432,"0")</f>
        <v>0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0</v>
      </c>
      <c r="Y434" s="43">
        <f>IFERROR(SUM(Y425:Y432),"0")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hidden="1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4"/>
        <v>0</v>
      </c>
      <c r="Z503" s="41" t="str">
        <f t="shared" si="75"/>
        <v/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0</v>
      </c>
      <c r="BN503" s="78">
        <f t="shared" si="77"/>
        <v>0</v>
      </c>
      <c r="BO503" s="78">
        <f t="shared" si="78"/>
        <v>0</v>
      </c>
      <c r="BP503" s="78">
        <f t="shared" si="79"/>
        <v>0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0</v>
      </c>
      <c r="Y507" s="43">
        <f>IFERROR(Y498/H498,"0")+IFERROR(Y499/H499,"0")+IFERROR(Y500/H500,"0")+IFERROR(Y501/H501,"0")+IFERROR(Y502/H502,"0")+IFERROR(Y503/H503,"0")+IFERROR(Y504/H504,"0")+IFERROR(Y505/H505,"0")+IFERROR(Y506/H506,"0")</f>
        <v>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</v>
      </c>
      <c r="AA507" s="67"/>
      <c r="AB507" s="67"/>
      <c r="AC507" s="67"/>
    </row>
    <row r="508" spans="1:68" hidden="1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0</v>
      </c>
      <c r="Y508" s="43">
        <f>IFERROR(SUM(Y498:Y506),"0")</f>
        <v>0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hidden="1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0</v>
      </c>
      <c r="Y513" s="43">
        <f>IFERROR(Y510/H510,"0")+IFERROR(Y511/H511,"0")+IFERROR(Y512/H512,"0")</f>
        <v>0</v>
      </c>
      <c r="Z513" s="43">
        <f>IFERROR(IF(Z510="",0,Z510),"0")+IFERROR(IF(Z511="",0,Z511),"0")+IFERROR(IF(Z512="",0,Z512),"0")</f>
        <v>0</v>
      </c>
      <c r="AA513" s="67"/>
      <c r="AB513" s="67"/>
      <c r="AC513" s="67"/>
    </row>
    <row r="514" spans="1:68" hidden="1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0</v>
      </c>
      <c r="Y514" s="43">
        <f>IFERROR(SUM(Y510:Y512),"0")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hidden="1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0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0</v>
      </c>
      <c r="BN518" s="78">
        <f t="shared" si="82"/>
        <v>0</v>
      </c>
      <c r="BO518" s="78">
        <f t="shared" si="83"/>
        <v>0</v>
      </c>
      <c r="BP518" s="78">
        <f t="shared" si="84"/>
        <v>0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hidden="1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0</v>
      </c>
      <c r="Y523" s="43">
        <f>IFERROR(Y516/H516,"0")+IFERROR(Y517/H517,"0")+IFERROR(Y518/H518,"0")+IFERROR(Y519/H519,"0")+IFERROR(Y520/H520,"0")+IFERROR(Y521/H521,"0")+IFERROR(Y522/H522,"0")</f>
        <v>0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"/>
      <c r="AB523" s="67"/>
      <c r="AC523" s="67"/>
    </row>
    <row r="524" spans="1:68" hidden="1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0</v>
      </c>
      <c r="Y524" s="43">
        <f>IFERROR(SUM(Y516:Y522),"0")</f>
        <v>0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17500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17506.2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19333.266666666666</v>
      </c>
      <c r="Y554" s="43">
        <f>IFERROR(SUM(BN22:BN550),"0")</f>
        <v>19340.023999999998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44</v>
      </c>
      <c r="Y555" s="44">
        <f>ROUNDUP(SUM(BP22:BP550),0)</f>
        <v>44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20433.266666666666</v>
      </c>
      <c r="Y556" s="43">
        <f>GrossWeightTotalR+PalletQtyTotalR*25</f>
        <v>20440.023999999998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8350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8353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52.041710000000009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0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0</v>
      </c>
      <c r="F563" s="52">
        <f>IFERROR(Y83*1,"0")+IFERROR(Y84*1,"0")+IFERROR(Y85*1,"0")+IFERROR(Y86*1,"0")+IFERROR(Y90*1,"0")+IFERROR(Y91*1,"0")+IFERROR(Y92*1,"0")+IFERROR(Y93*1,"0")</f>
        <v>0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0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2242.8000000000002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1260.5999999999999</v>
      </c>
      <c r="U563" s="52">
        <f>IFERROR(Y411*1,"0")+IFERROR(Y412*1,"0")</f>
        <v>0</v>
      </c>
      <c r="V563" s="52">
        <f>IFERROR(Y417*1,"0")+IFERROR(Y418*1,"0")+IFERROR(Y419*1,"0")</f>
        <v>14002.800000000001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0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0</v>
      </c>
      <c r="AB563" s="52">
        <f>IFERROR(Y528*1,"0")+IFERROR(Y532*1,"0")+IFERROR(Y536*1,"0")+IFERROR(Y540*1,"0")+IFERROR(Y544*1,"0")+IFERROR(Y545*1,"0")</f>
        <v>0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066,67"/>
        <filter val="1 260,00"/>
        <filter val="1 540,00"/>
        <filter val="14 000,00"/>
        <filter val="17 500,00"/>
        <filter val="175,00"/>
        <filter val="19 333,27"/>
        <filter val="2 240,00"/>
        <filter val="20 433,27"/>
        <filter val="210,00"/>
        <filter val="44"/>
        <filter val="525,00"/>
        <filter val="6 666,67"/>
        <filter val="616,67"/>
        <filter val="7 000,00"/>
        <filter val="8 350,00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2026-08-26T09:42:53Z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