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95CA7CE-E2E0-4F69-918C-4CB2EB0FFAC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3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Y483" i="2"/>
  <c r="X483" i="2"/>
  <c r="Y482" i="2"/>
  <c r="X482" i="2"/>
  <c r="BP481" i="2"/>
  <c r="BO481" i="2"/>
  <c r="BN481" i="2"/>
  <c r="BM481" i="2"/>
  <c r="Z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N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N455" i="2"/>
  <c r="BM455" i="2"/>
  <c r="Y455" i="2"/>
  <c r="BP455" i="2" s="1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N430" i="2" s="1"/>
  <c r="P430" i="2"/>
  <c r="BO429" i="2"/>
  <c r="BM429" i="2"/>
  <c r="Z429" i="2"/>
  <c r="Y429" i="2"/>
  <c r="BN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N419" i="2" s="1"/>
  <c r="P419" i="2"/>
  <c r="BO418" i="2"/>
  <c r="BM418" i="2"/>
  <c r="Y418" i="2"/>
  <c r="BN418" i="2" s="1"/>
  <c r="P418" i="2"/>
  <c r="BO417" i="2"/>
  <c r="BM417" i="2"/>
  <c r="Z417" i="2"/>
  <c r="Y417" i="2"/>
  <c r="P417" i="2"/>
  <c r="X414" i="2"/>
  <c r="X413" i="2"/>
  <c r="BO412" i="2"/>
  <c r="BM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N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N392" i="2"/>
  <c r="BM392" i="2"/>
  <c r="Y392" i="2"/>
  <c r="BP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BO378" i="2"/>
  <c r="BN378" i="2"/>
  <c r="BM378" i="2"/>
  <c r="Y378" i="2"/>
  <c r="BP378" i="2" s="1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N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BN322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Y319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Y309" i="2" s="1"/>
  <c r="P307" i="2"/>
  <c r="X305" i="2"/>
  <c r="X304" i="2"/>
  <c r="BO303" i="2"/>
  <c r="BM303" i="2"/>
  <c r="Y303" i="2"/>
  <c r="BN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O563" i="2" s="1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N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Y248" i="2" s="1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P224" i="2"/>
  <c r="BO224" i="2"/>
  <c r="BN224" i="2"/>
  <c r="BM224" i="2"/>
  <c r="Z224" i="2"/>
  <c r="Y224" i="2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N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BN174" i="2" s="1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P152" i="2"/>
  <c r="BO151" i="2"/>
  <c r="BN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Z143" i="2"/>
  <c r="Y143" i="2"/>
  <c r="BN143" i="2" s="1"/>
  <c r="P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N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Y131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BN117" i="2" s="1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Z100" i="2"/>
  <c r="Y100" i="2"/>
  <c r="BN100" i="2" s="1"/>
  <c r="P100" i="2"/>
  <c r="BO99" i="2"/>
  <c r="BM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P92" i="2"/>
  <c r="BO92" i="2"/>
  <c r="BN92" i="2"/>
  <c r="BM92" i="2"/>
  <c r="Z92" i="2"/>
  <c r="Y92" i="2"/>
  <c r="P92" i="2"/>
  <c r="BO91" i="2"/>
  <c r="BM91" i="2"/>
  <c r="Y91" i="2"/>
  <c r="BP91" i="2" s="1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F563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P72" i="2"/>
  <c r="X70" i="2"/>
  <c r="X69" i="2"/>
  <c r="BP68" i="2"/>
  <c r="BO68" i="2"/>
  <c r="BN68" i="2"/>
  <c r="BM68" i="2"/>
  <c r="Z68" i="2"/>
  <c r="Y68" i="2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P48" i="2"/>
  <c r="BO48" i="2"/>
  <c r="BN48" i="2"/>
  <c r="BM48" i="2"/>
  <c r="Z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57" i="2" l="1"/>
  <c r="Z103" i="2"/>
  <c r="BP103" i="2"/>
  <c r="Z117" i="2"/>
  <c r="BP117" i="2"/>
  <c r="Z174" i="2"/>
  <c r="BP174" i="2"/>
  <c r="Y200" i="2"/>
  <c r="L563" i="2"/>
  <c r="Z322" i="2"/>
  <c r="BP322" i="2"/>
  <c r="Z544" i="2"/>
  <c r="Y95" i="2"/>
  <c r="Z110" i="2"/>
  <c r="Z135" i="2"/>
  <c r="Z151" i="2"/>
  <c r="Z188" i="2"/>
  <c r="Z278" i="2"/>
  <c r="BP282" i="2"/>
  <c r="Z331" i="2"/>
  <c r="Z392" i="2"/>
  <c r="Z455" i="2"/>
  <c r="Z57" i="2"/>
  <c r="Y186" i="2"/>
  <c r="Z339" i="2"/>
  <c r="Z378" i="2"/>
  <c r="Z399" i="2"/>
  <c r="BP419" i="2"/>
  <c r="BP431" i="2"/>
  <c r="Z473" i="2"/>
  <c r="BP23" i="2"/>
  <c r="Z56" i="2"/>
  <c r="Z59" i="2"/>
  <c r="BN59" i="2"/>
  <c r="Z90" i="2"/>
  <c r="BN90" i="2"/>
  <c r="BP90" i="2"/>
  <c r="Z99" i="2"/>
  <c r="Z101" i="2"/>
  <c r="BN101" i="2"/>
  <c r="Z109" i="2"/>
  <c r="Z111" i="2"/>
  <c r="BN111" i="2"/>
  <c r="Z119" i="2"/>
  <c r="Y139" i="2"/>
  <c r="Z142" i="2"/>
  <c r="Z144" i="2" s="1"/>
  <c r="Z148" i="2"/>
  <c r="BN148" i="2"/>
  <c r="Z169" i="2"/>
  <c r="BN169" i="2"/>
  <c r="BP169" i="2"/>
  <c r="Z179" i="2"/>
  <c r="BN179" i="2"/>
  <c r="Y192" i="2"/>
  <c r="Z190" i="2"/>
  <c r="BN190" i="2"/>
  <c r="Z219" i="2"/>
  <c r="BN219" i="2"/>
  <c r="Z232" i="2"/>
  <c r="BN232" i="2"/>
  <c r="Z266" i="2"/>
  <c r="BN266" i="2"/>
  <c r="Z276" i="2"/>
  <c r="BN276" i="2"/>
  <c r="BP292" i="2"/>
  <c r="P563" i="2"/>
  <c r="BP326" i="2"/>
  <c r="Z333" i="2"/>
  <c r="BN333" i="2"/>
  <c r="R563" i="2"/>
  <c r="Z340" i="2"/>
  <c r="T563" i="2"/>
  <c r="Z368" i="2"/>
  <c r="BN368" i="2"/>
  <c r="Y376" i="2"/>
  <c r="Z386" i="2"/>
  <c r="BN386" i="2"/>
  <c r="Z411" i="2"/>
  <c r="BN411" i="2"/>
  <c r="Y413" i="2"/>
  <c r="Y421" i="2"/>
  <c r="Z418" i="2"/>
  <c r="Z426" i="2"/>
  <c r="BN426" i="2"/>
  <c r="Z430" i="2"/>
  <c r="Z436" i="2"/>
  <c r="BN436" i="2"/>
  <c r="BP475" i="2"/>
  <c r="Z506" i="2"/>
  <c r="BN506" i="2"/>
  <c r="Z540" i="2"/>
  <c r="Z541" i="2" s="1"/>
  <c r="Y74" i="2"/>
  <c r="BN28" i="2"/>
  <c r="Y33" i="2"/>
  <c r="C563" i="2"/>
  <c r="BN37" i="2"/>
  <c r="BP37" i="2"/>
  <c r="BN39" i="2"/>
  <c r="Y44" i="2"/>
  <c r="D563" i="2"/>
  <c r="BN51" i="2"/>
  <c r="Y53" i="2"/>
  <c r="Z58" i="2"/>
  <c r="BN58" i="2"/>
  <c r="Z65" i="2"/>
  <c r="Z67" i="2"/>
  <c r="BN67" i="2"/>
  <c r="Z73" i="2"/>
  <c r="BN73" i="2"/>
  <c r="BN86" i="2"/>
  <c r="Z91" i="2"/>
  <c r="BN91" i="2"/>
  <c r="Y94" i="2"/>
  <c r="BP99" i="2"/>
  <c r="BP100" i="2"/>
  <c r="Z102" i="2"/>
  <c r="BN102" i="2"/>
  <c r="BP109" i="2"/>
  <c r="BP110" i="2"/>
  <c r="Z112" i="2"/>
  <c r="BN112" i="2"/>
  <c r="BP119" i="2"/>
  <c r="BN129" i="2"/>
  <c r="Z134" i="2"/>
  <c r="BN134" i="2"/>
  <c r="BP134" i="2"/>
  <c r="Z136" i="2"/>
  <c r="BN136" i="2"/>
  <c r="BN137" i="2"/>
  <c r="BP142" i="2"/>
  <c r="BP143" i="2"/>
  <c r="Z153" i="2"/>
  <c r="Z154" i="2"/>
  <c r="Z158" i="2"/>
  <c r="Z159" i="2" s="1"/>
  <c r="BN158" i="2"/>
  <c r="BP158" i="2"/>
  <c r="Y159" i="2"/>
  <c r="BN164" i="2"/>
  <c r="BP164" i="2"/>
  <c r="Z170" i="2"/>
  <c r="BN170" i="2"/>
  <c r="Y171" i="2"/>
  <c r="Z176" i="2"/>
  <c r="Z177" i="2"/>
  <c r="Z178" i="2"/>
  <c r="BN178" i="2"/>
  <c r="Z180" i="2"/>
  <c r="BN180" i="2"/>
  <c r="BN181" i="2"/>
  <c r="BN184" i="2"/>
  <c r="BP184" i="2"/>
  <c r="Z189" i="2"/>
  <c r="BN189" i="2"/>
  <c r="Z194" i="2"/>
  <c r="Z195" i="2" s="1"/>
  <c r="BN194" i="2"/>
  <c r="BP194" i="2"/>
  <c r="Y195" i="2"/>
  <c r="Z204" i="2"/>
  <c r="BN204" i="2"/>
  <c r="BN205" i="2"/>
  <c r="Y24" i="2"/>
  <c r="Y25" i="2"/>
  <c r="BN27" i="2"/>
  <c r="BN40" i="2"/>
  <c r="BN49" i="2"/>
  <c r="BP49" i="2"/>
  <c r="BN60" i="2"/>
  <c r="BP60" i="2"/>
  <c r="BP65" i="2"/>
  <c r="Y70" i="2"/>
  <c r="BP66" i="2"/>
  <c r="BN77" i="2"/>
  <c r="Y80" i="2"/>
  <c r="BN83" i="2"/>
  <c r="BP83" i="2"/>
  <c r="BN85" i="2"/>
  <c r="Y87" i="2"/>
  <c r="BN93" i="2"/>
  <c r="BN104" i="2"/>
  <c r="BN130" i="2"/>
  <c r="BP130" i="2"/>
  <c r="Y138" i="2"/>
  <c r="BP153" i="2"/>
  <c r="BP154" i="2"/>
  <c r="BP176" i="2"/>
  <c r="BP177" i="2"/>
  <c r="BN182" i="2"/>
  <c r="BP182" i="2"/>
  <c r="BN183" i="2"/>
  <c r="Y191" i="2"/>
  <c r="Y212" i="2"/>
  <c r="BP206" i="2"/>
  <c r="BN206" i="2"/>
  <c r="BN208" i="2"/>
  <c r="BP208" i="2"/>
  <c r="BN207" i="2"/>
  <c r="Z215" i="2"/>
  <c r="Z216" i="2" s="1"/>
  <c r="BN215" i="2"/>
  <c r="BP215" i="2"/>
  <c r="Y216" i="2"/>
  <c r="Y217" i="2"/>
  <c r="Z221" i="2"/>
  <c r="Z222" i="2"/>
  <c r="Z223" i="2"/>
  <c r="BN223" i="2"/>
  <c r="Z225" i="2"/>
  <c r="BN225" i="2"/>
  <c r="BN226" i="2"/>
  <c r="BN229" i="2"/>
  <c r="BP229" i="2"/>
  <c r="BN236" i="2"/>
  <c r="Z244" i="2"/>
  <c r="BN244" i="2"/>
  <c r="BP244" i="2"/>
  <c r="Y247" i="2"/>
  <c r="BN260" i="2"/>
  <c r="BP260" i="2"/>
  <c r="BN261" i="2"/>
  <c r="BP265" i="2"/>
  <c r="Z267" i="2"/>
  <c r="BN267" i="2"/>
  <c r="Y274" i="2"/>
  <c r="BN270" i="2"/>
  <c r="Z277" i="2"/>
  <c r="BN277" i="2"/>
  <c r="Y289" i="2"/>
  <c r="BN280" i="2"/>
  <c r="Z285" i="2"/>
  <c r="BN286" i="2"/>
  <c r="Z287" i="2"/>
  <c r="BN287" i="2"/>
  <c r="BN291" i="2"/>
  <c r="Y293" i="2"/>
  <c r="Y294" i="2"/>
  <c r="Z298" i="2"/>
  <c r="BN298" i="2"/>
  <c r="Y305" i="2"/>
  <c r="BN301" i="2"/>
  <c r="Z311" i="2"/>
  <c r="Z312" i="2" s="1"/>
  <c r="BN311" i="2"/>
  <c r="BP311" i="2"/>
  <c r="Y312" i="2"/>
  <c r="BP315" i="2"/>
  <c r="Y328" i="2"/>
  <c r="BN324" i="2"/>
  <c r="Q563" i="2"/>
  <c r="Z332" i="2"/>
  <c r="Z334" i="2" s="1"/>
  <c r="BN332" i="2"/>
  <c r="Z338" i="2"/>
  <c r="BN338" i="2"/>
  <c r="BP338" i="2"/>
  <c r="BP339" i="2"/>
  <c r="BP340" i="2"/>
  <c r="Z342" i="2"/>
  <c r="BN342" i="2"/>
  <c r="Y356" i="2"/>
  <c r="BP360" i="2"/>
  <c r="BN360" i="2"/>
  <c r="BP370" i="2"/>
  <c r="BN370" i="2"/>
  <c r="Z370" i="2"/>
  <c r="BN372" i="2"/>
  <c r="BP372" i="2"/>
  <c r="BP387" i="2"/>
  <c r="BN387" i="2"/>
  <c r="Z387" i="2"/>
  <c r="BN394" i="2"/>
  <c r="Z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BN474" i="2"/>
  <c r="Y477" i="2"/>
  <c r="BP480" i="2"/>
  <c r="BN480" i="2"/>
  <c r="Z480" i="2"/>
  <c r="Z482" i="2" s="1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P532" i="2"/>
  <c r="BP221" i="2"/>
  <c r="BP222" i="2"/>
  <c r="BN227" i="2"/>
  <c r="BP227" i="2"/>
  <c r="BN228" i="2"/>
  <c r="Y241" i="2"/>
  <c r="BN237" i="2"/>
  <c r="BP237" i="2"/>
  <c r="BN238" i="2"/>
  <c r="BP239" i="2"/>
  <c r="Z245" i="2"/>
  <c r="BN245" i="2"/>
  <c r="BN246" i="2"/>
  <c r="Z255" i="2"/>
  <c r="BN256" i="2"/>
  <c r="BN268" i="2"/>
  <c r="BN269" i="2"/>
  <c r="BN271" i="2"/>
  <c r="BP272" i="2"/>
  <c r="Y273" i="2"/>
  <c r="Y288" i="2"/>
  <c r="BN279" i="2"/>
  <c r="BN281" i="2"/>
  <c r="Z297" i="2"/>
  <c r="BN297" i="2"/>
  <c r="BP297" i="2"/>
  <c r="Z299" i="2"/>
  <c r="BN299" i="2"/>
  <c r="BN300" i="2"/>
  <c r="BN302" i="2"/>
  <c r="BP303" i="2"/>
  <c r="Y304" i="2"/>
  <c r="Z307" i="2"/>
  <c r="Z308" i="2" s="1"/>
  <c r="BN307" i="2"/>
  <c r="BP307" i="2"/>
  <c r="Y308" i="2"/>
  <c r="BN323" i="2"/>
  <c r="BN325" i="2"/>
  <c r="Y327" i="2"/>
  <c r="Y334" i="2"/>
  <c r="Y335" i="2"/>
  <c r="BP341" i="2"/>
  <c r="Z346" i="2"/>
  <c r="Z348" i="2" s="1"/>
  <c r="BN346" i="2"/>
  <c r="BN362" i="2"/>
  <c r="BP362" i="2"/>
  <c r="BP380" i="2"/>
  <c r="BN380" i="2"/>
  <c r="Z380" i="2"/>
  <c r="Y389" i="2"/>
  <c r="BP385" i="2"/>
  <c r="BN393" i="2"/>
  <c r="Z393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Z563" i="2"/>
  <c r="Y487" i="2"/>
  <c r="BP486" i="2"/>
  <c r="BN486" i="2"/>
  <c r="Z486" i="2"/>
  <c r="Z487" i="2" s="1"/>
  <c r="BP528" i="2"/>
  <c r="Y534" i="2"/>
  <c r="Z532" i="2"/>
  <c r="Z533" i="2" s="1"/>
  <c r="AC563" i="2"/>
  <c r="Y552" i="2"/>
  <c r="BN361" i="2"/>
  <c r="BN371" i="2"/>
  <c r="BN381" i="2"/>
  <c r="Z395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Z74" i="2" s="1"/>
  <c r="Y75" i="2"/>
  <c r="BP72" i="2"/>
  <c r="BN72" i="2"/>
  <c r="Y88" i="2"/>
  <c r="I563" i="2"/>
  <c r="BP240" i="2"/>
  <c r="BN240" i="2"/>
  <c r="Z240" i="2"/>
  <c r="BP209" i="2"/>
  <c r="BN209" i="2"/>
  <c r="Z209" i="2"/>
  <c r="J563" i="2"/>
  <c r="Z191" i="2"/>
  <c r="BN61" i="2"/>
  <c r="H563" i="2"/>
  <c r="Z128" i="2"/>
  <c r="Z131" i="2" s="1"/>
  <c r="Y62" i="2"/>
  <c r="Y132" i="2"/>
  <c r="Z78" i="2"/>
  <c r="Y105" i="2"/>
  <c r="BN128" i="2"/>
  <c r="BP175" i="2"/>
  <c r="BN175" i="2"/>
  <c r="BP84" i="2"/>
  <c r="Y63" i="2"/>
  <c r="Z61" i="2"/>
  <c r="BN38" i="2"/>
  <c r="Z31" i="2"/>
  <c r="BN84" i="2"/>
  <c r="Z62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Z52" i="2" s="1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13" i="2" s="1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94" i="2" s="1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Z382" i="2" s="1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388" i="2" s="1"/>
  <c r="Z419" i="2"/>
  <c r="Z420" i="2" s="1"/>
  <c r="Z431" i="2"/>
  <c r="Z433" i="2" s="1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Z546" i="2" s="1"/>
  <c r="Y551" i="2"/>
  <c r="E563" i="2"/>
  <c r="Z256" i="2"/>
  <c r="Z257" i="2" s="1"/>
  <c r="Z398" i="2"/>
  <c r="Z401" i="2" s="1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Z166" i="2" s="1"/>
  <c r="BN417" i="2"/>
  <c r="Y420" i="2"/>
  <c r="BP476" i="2"/>
  <c r="Y488" i="2"/>
  <c r="BN545" i="2"/>
  <c r="AB563" i="2"/>
  <c r="Z304" i="2" l="1"/>
  <c r="Z355" i="2"/>
  <c r="Z69" i="2"/>
  <c r="Z171" i="2"/>
  <c r="Z343" i="2"/>
  <c r="Z32" i="2"/>
  <c r="Z247" i="2"/>
  <c r="Z233" i="2"/>
  <c r="Z138" i="2"/>
  <c r="Z407" i="2"/>
  <c r="Z523" i="2"/>
  <c r="Z477" i="2"/>
  <c r="Z327" i="2"/>
  <c r="Z24" i="2"/>
  <c r="Y553" i="2"/>
  <c r="Y557" i="2"/>
  <c r="Z105" i="2"/>
  <c r="Z288" i="2"/>
  <c r="Z493" i="2"/>
  <c r="Z445" i="2"/>
  <c r="Z513" i="2"/>
  <c r="Z507" i="2"/>
  <c r="Z375" i="2"/>
  <c r="Z241" i="2"/>
  <c r="Z211" i="2"/>
  <c r="Y554" i="2"/>
  <c r="X556" i="2"/>
  <c r="Z185" i="2"/>
  <c r="Z365" i="2"/>
  <c r="Z79" i="2"/>
  <c r="Z273" i="2"/>
  <c r="Z155" i="2"/>
  <c r="Z466" i="2"/>
  <c r="Z87" i="2"/>
  <c r="Z318" i="2"/>
  <c r="Z43" i="2"/>
  <c r="Z558" i="2" s="1"/>
  <c r="Y555" i="2"/>
  <c r="Y556" i="2" l="1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<sst xmlns="http://schemas.openxmlformats.org/spreadsheetml/2006/main" count="4217" uniqueCount="894">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</sst>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378" sqref="AA37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893</v>
      </c>
      <c r="I5" s="645"/>
      <c r="J5" s="645"/>
      <c r="K5" s="645"/>
      <c r="L5" s="645"/>
      <c r="M5" s="645"/>
      <c r="N5" s="72"/>
      <c r="P5" s="27" t="s">
        <v>4</v>
      </c>
      <c r="Q5" s="647">
        <v>46262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876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Пятница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3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0.45833333333333331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2496</v>
      </c>
      <c r="Y378" s="55">
        <f>IFERROR(IF(X378="",0,CEILING((X378/$H378),1)*$H378),"")</f>
        <v>2496</v>
      </c>
      <c r="Z378" s="41">
        <f>IFERROR(IF(Y378=0,"",ROUNDUP(Y378/H378,0)*0.01898),"")</f>
        <v>6.0735999999999999</v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2652.1600000000003</v>
      </c>
      <c r="BN378" s="78">
        <f>IFERROR(Y378*I378/H378,"0")</f>
        <v>2652.1600000000003</v>
      </c>
      <c r="BO378" s="78">
        <f>IFERROR(1/J378*(X378/H378),"0")</f>
        <v>5</v>
      </c>
      <c r="BP378" s="78">
        <f>IFERROR(1/J378*(Y378/H378),"0")</f>
        <v>5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320</v>
      </c>
      <c r="Y382" s="43">
        <f>IFERROR(Y378/H378,"0")+IFERROR(Y379/H379,"0")+IFERROR(Y380/H380,"0")+IFERROR(Y381/H381,"0")</f>
        <v>320</v>
      </c>
      <c r="Z382" s="43">
        <f>IFERROR(IF(Z378="",0,Z378),"0")+IFERROR(IF(Z379="",0,Z379),"0")+IFERROR(IF(Z380="",0,Z380),"0")+IFERROR(IF(Z381="",0,Z381),"0")</f>
        <v>6.0735999999999999</v>
      </c>
      <c r="AA382" s="67"/>
      <c r="AB382" s="67"/>
      <c r="AC382" s="67"/>
    </row>
    <row r="383" spans="1:68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2496</v>
      </c>
      <c r="Y383" s="43">
        <f>IFERROR(SUM(Y378:Y381),"0")</f>
        <v>2496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2496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2496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2652.1600000000003</v>
      </c>
      <c r="Y554" s="43">
        <f>IFERROR(SUM(BN22:BN550),"0")</f>
        <v>2652.1600000000003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5</v>
      </c>
      <c r="Y555" s="44">
        <f>ROUNDUP(SUM(BP22:BP550),0)</f>
        <v>5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2777.1600000000003</v>
      </c>
      <c r="Y556" s="43">
        <f>GrossWeightTotalR+PalletQtyTotalR*25</f>
        <v>2777.1600000000003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320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320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6.0735999999999999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2496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496,00"/>
        <filter val="2 652,16"/>
        <filter val="2 777,16"/>
        <filter val="320,00"/>
        <filter val="5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