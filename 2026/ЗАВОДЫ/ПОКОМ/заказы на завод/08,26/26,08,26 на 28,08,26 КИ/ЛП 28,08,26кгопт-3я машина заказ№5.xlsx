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4539AE-CD8E-4560-B10F-2FD34A2CCD3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Y417" i="2"/>
  <c r="Y421" i="2" s="1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563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Y87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BP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Y514" i="2" l="1"/>
  <c r="Z142" i="2"/>
  <c r="Z426" i="2"/>
  <c r="BN426" i="2"/>
  <c r="Z298" i="2"/>
  <c r="BN298" i="2"/>
  <c r="Z225" i="2"/>
  <c r="BN225" i="2"/>
  <c r="Z386" i="2"/>
  <c r="BN386" i="2"/>
  <c r="BP475" i="2"/>
  <c r="Z101" i="2"/>
  <c r="BN101" i="2"/>
  <c r="Z111" i="2"/>
  <c r="BN111" i="2"/>
  <c r="Z179" i="2"/>
  <c r="BN179" i="2"/>
  <c r="Z277" i="2"/>
  <c r="BN277" i="2"/>
  <c r="Z342" i="2"/>
  <c r="BN342" i="2"/>
  <c r="Z411" i="2"/>
  <c r="BN411" i="2"/>
  <c r="Y413" i="2"/>
  <c r="Z436" i="2"/>
  <c r="BN436" i="2"/>
  <c r="Z540" i="2"/>
  <c r="Z541" i="2" s="1"/>
  <c r="Z90" i="2"/>
  <c r="BN90" i="2"/>
  <c r="Z215" i="2"/>
  <c r="Z216" i="2" s="1"/>
  <c r="BN215" i="2"/>
  <c r="BP215" i="2"/>
  <c r="Y216" i="2"/>
  <c r="Z68" i="2"/>
  <c r="BN68" i="2"/>
  <c r="Z99" i="2"/>
  <c r="Z109" i="2"/>
  <c r="Z119" i="2"/>
  <c r="Z148" i="2"/>
  <c r="BN148" i="2"/>
  <c r="Z174" i="2"/>
  <c r="BN174" i="2"/>
  <c r="Z190" i="2"/>
  <c r="BN190" i="2"/>
  <c r="Z222" i="2"/>
  <c r="BP265" i="2"/>
  <c r="Z287" i="2"/>
  <c r="BN287" i="2"/>
  <c r="Z332" i="2"/>
  <c r="BN332" i="2"/>
  <c r="Z368" i="2"/>
  <c r="BN368" i="2"/>
  <c r="Y376" i="2"/>
  <c r="Z418" i="2"/>
  <c r="Z430" i="2"/>
  <c r="Z506" i="2"/>
  <c r="BN506" i="2"/>
  <c r="BP532" i="2"/>
  <c r="D563" i="2"/>
  <c r="Z58" i="2"/>
  <c r="BN58" i="2"/>
  <c r="Z92" i="2"/>
  <c r="BN92" i="2"/>
  <c r="Z100" i="2"/>
  <c r="Z103" i="2"/>
  <c r="BN103" i="2"/>
  <c r="Z110" i="2"/>
  <c r="Z117" i="2"/>
  <c r="BN117" i="2"/>
  <c r="Z135" i="2"/>
  <c r="BN135" i="2"/>
  <c r="Z143" i="2"/>
  <c r="Z144" i="2" s="1"/>
  <c r="Z151" i="2"/>
  <c r="BN151" i="2"/>
  <c r="Z169" i="2"/>
  <c r="BN169" i="2"/>
  <c r="Z188" i="2"/>
  <c r="BN188" i="2"/>
  <c r="Y200" i="2"/>
  <c r="Z221" i="2"/>
  <c r="Z223" i="2"/>
  <c r="BN223" i="2"/>
  <c r="Z244" i="2"/>
  <c r="BN244" i="2"/>
  <c r="Z267" i="2"/>
  <c r="BN267" i="2"/>
  <c r="Z285" i="2"/>
  <c r="BP292" i="2"/>
  <c r="O563" i="2"/>
  <c r="Z311" i="2"/>
  <c r="Z312" i="2" s="1"/>
  <c r="BN311" i="2"/>
  <c r="BP311" i="2"/>
  <c r="Y312" i="2"/>
  <c r="Q563" i="2"/>
  <c r="Z338" i="2"/>
  <c r="BN338" i="2"/>
  <c r="Y356" i="2"/>
  <c r="T563" i="2"/>
  <c r="Z378" i="2"/>
  <c r="BN378" i="2"/>
  <c r="Y383" i="2"/>
  <c r="Z392" i="2"/>
  <c r="BN392" i="2"/>
  <c r="Z399" i="2"/>
  <c r="BN399" i="2"/>
  <c r="Z417" i="2"/>
  <c r="BP419" i="2"/>
  <c r="Z429" i="2"/>
  <c r="BP431" i="2"/>
  <c r="Z455" i="2"/>
  <c r="BN455" i="2"/>
  <c r="Z473" i="2"/>
  <c r="BN473" i="2"/>
  <c r="Z481" i="2"/>
  <c r="BN481" i="2"/>
  <c r="Z544" i="2"/>
  <c r="Y33" i="2"/>
  <c r="BN37" i="2"/>
  <c r="BP37" i="2"/>
  <c r="BN39" i="2"/>
  <c r="Y44" i="2"/>
  <c r="BN51" i="2"/>
  <c r="Y53" i="2"/>
  <c r="BP56" i="2"/>
  <c r="BP67" i="2"/>
  <c r="BN67" i="2"/>
  <c r="Z6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N28" i="2"/>
  <c r="BP23" i="2"/>
  <c r="Y24" i="2"/>
  <c r="Y25" i="2"/>
  <c r="BN27" i="2"/>
  <c r="BN40" i="2"/>
  <c r="Z48" i="2"/>
  <c r="BN48" i="2"/>
  <c r="BP48" i="2"/>
  <c r="BN49" i="2"/>
  <c r="BP49" i="2"/>
  <c r="Z57" i="2"/>
  <c r="BN57" i="2"/>
  <c r="Z59" i="2"/>
  <c r="BN59" i="2"/>
  <c r="BN60" i="2"/>
  <c r="BP60" i="2"/>
  <c r="Y69" i="2"/>
  <c r="BP65" i="2"/>
  <c r="Y70" i="2"/>
  <c r="Z66" i="2"/>
  <c r="BP73" i="2"/>
  <c r="BN73" i="2"/>
  <c r="Z73" i="2"/>
  <c r="BN77" i="2"/>
  <c r="Y80" i="2"/>
  <c r="F563" i="2"/>
  <c r="BN83" i="2"/>
  <c r="BP83" i="2"/>
  <c r="BN85" i="2"/>
  <c r="Y95" i="2"/>
  <c r="BN93" i="2"/>
  <c r="BP102" i="2"/>
  <c r="BN102" i="2"/>
  <c r="Z102" i="2"/>
  <c r="BP136" i="2"/>
  <c r="BN136" i="2"/>
  <c r="Z136" i="2"/>
  <c r="Y138" i="2"/>
  <c r="Y139" i="2"/>
  <c r="BP153" i="2"/>
  <c r="BN154" i="2"/>
  <c r="Z154" i="2"/>
  <c r="Y172" i="2"/>
  <c r="Y186" i="2"/>
  <c r="BN176" i="2"/>
  <c r="Z176" i="2"/>
  <c r="BP177" i="2"/>
  <c r="BP178" i="2"/>
  <c r="BN178" i="2"/>
  <c r="Z178" i="2"/>
  <c r="Y191" i="2"/>
  <c r="Y192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6" i="2"/>
  <c r="Y247" i="2"/>
  <c r="Y248" i="2"/>
  <c r="BN260" i="2"/>
  <c r="BP260" i="2"/>
  <c r="BN261" i="2"/>
  <c r="Y274" i="2"/>
  <c r="BN270" i="2"/>
  <c r="Y289" i="2"/>
  <c r="BN280" i="2"/>
  <c r="BN286" i="2"/>
  <c r="BN291" i="2"/>
  <c r="Y293" i="2"/>
  <c r="Y294" i="2"/>
  <c r="Y305" i="2"/>
  <c r="BN301" i="2"/>
  <c r="Y328" i="2"/>
  <c r="BN324" i="2"/>
  <c r="BP339" i="2"/>
  <c r="BP340" i="2"/>
  <c r="BP360" i="2"/>
  <c r="BN360" i="2"/>
  <c r="BP370" i="2"/>
  <c r="BN370" i="2"/>
  <c r="Z370" i="2"/>
  <c r="BN372" i="2"/>
  <c r="BP372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Z276" i="2"/>
  <c r="BN276" i="2"/>
  <c r="Z278" i="2"/>
  <c r="BN278" i="2"/>
  <c r="Y288" i="2"/>
  <c r="BN279" i="2"/>
  <c r="BN281" i="2"/>
  <c r="BP282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Y319" i="2"/>
  <c r="Z322" i="2"/>
  <c r="BN322" i="2"/>
  <c r="BP322" i="2"/>
  <c r="BN323" i="2"/>
  <c r="BN325" i="2"/>
  <c r="BP326" i="2"/>
  <c r="Y327" i="2"/>
  <c r="Z331" i="2"/>
  <c r="BN331" i="2"/>
  <c r="BP331" i="2"/>
  <c r="Z333" i="2"/>
  <c r="BN333" i="2"/>
  <c r="Y334" i="2"/>
  <c r="Y335" i="2"/>
  <c r="R563" i="2"/>
  <c r="Z339" i="2"/>
  <c r="Z340" i="2"/>
  <c r="BP341" i="2"/>
  <c r="Z346" i="2"/>
  <c r="Z348" i="2" s="1"/>
  <c r="BN346" i="2"/>
  <c r="Z360" i="2"/>
  <c r="BN362" i="2"/>
  <c r="BP362" i="2"/>
  <c r="BP380" i="2"/>
  <c r="BN380" i="2"/>
  <c r="Z380" i="2"/>
  <c r="Y389" i="2"/>
  <c r="BP385" i="2"/>
  <c r="BN393" i="2"/>
  <c r="Z393" i="2"/>
  <c r="BP394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Y482" i="2"/>
  <c r="Y483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355" i="2" l="1"/>
  <c r="Z395" i="2"/>
  <c r="Z257" i="2"/>
  <c r="Z343" i="2"/>
  <c r="Z493" i="2"/>
  <c r="Z513" i="2"/>
  <c r="Z32" i="2"/>
  <c r="Z382" i="2"/>
  <c r="Z247" i="2"/>
  <c r="Z233" i="2"/>
  <c r="Z211" i="2"/>
  <c r="Z138" i="2"/>
  <c r="X556" i="2"/>
  <c r="Z74" i="2"/>
  <c r="Z69" i="2"/>
  <c r="Z52" i="2"/>
  <c r="Z191" i="2"/>
  <c r="Z94" i="2"/>
  <c r="Z62" i="2"/>
  <c r="Z546" i="2"/>
  <c r="Z456" i="2"/>
  <c r="Z482" i="2"/>
  <c r="Z288" i="2"/>
  <c r="Z445" i="2"/>
  <c r="Z507" i="2"/>
  <c r="Z375" i="2"/>
  <c r="Z241" i="2"/>
  <c r="Y554" i="2"/>
  <c r="Z185" i="2"/>
  <c r="Z166" i="2"/>
  <c r="Z401" i="2"/>
  <c r="Z433" i="2"/>
  <c r="Z304" i="2"/>
  <c r="Z407" i="2"/>
  <c r="Z523" i="2"/>
  <c r="Z477" i="2"/>
  <c r="Z327" i="2"/>
  <c r="Z113" i="2"/>
  <c r="Z24" i="2"/>
  <c r="Y553" i="2"/>
  <c r="Y557" i="2"/>
  <c r="Z105" i="2"/>
  <c r="Z334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<sst xmlns="http://schemas.openxmlformats.org/spreadsheetml/2006/main" count="4217" uniqueCount="894">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</sst>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83" sqref="AA8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46262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Пятница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0.45833333333333331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20</v>
      </c>
      <c r="Y83" s="55">
        <f>IFERROR(IF(X83="",0,CEILING((X83/$H83),1)*$H83),"")</f>
        <v>21.6</v>
      </c>
      <c r="Z83" s="41">
        <f>IFERROR(IF(Y83=0,"",ROUNDUP(Y83/H83,0)*0.01898),"")</f>
        <v>3.7960000000000001E-2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20.75925925925926</v>
      </c>
      <c r="BN83" s="78">
        <f>IFERROR(Y83*I83/H83,"0")</f>
        <v>22.42</v>
      </c>
      <c r="BO83" s="78">
        <f>IFERROR(1/J83*(X83/H83),"0")</f>
        <v>2.8935185185185182E-2</v>
      </c>
      <c r="BP83" s="78">
        <f>IFERROR(1/J83*(Y83/H83),"0")</f>
        <v>3.125E-2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1.8518518518518516</v>
      </c>
      <c r="Y87" s="43">
        <f>IFERROR(Y83/H83,"0")+IFERROR(Y84/H84,"0")+IFERROR(Y85/H85,"0")+IFERROR(Y86/H86,"0")</f>
        <v>2</v>
      </c>
      <c r="Z87" s="43">
        <f>IFERROR(IF(Z83="",0,Z83),"0")+IFERROR(IF(Z84="",0,Z84),"0")+IFERROR(IF(Z85="",0,Z85),"0")+IFERROR(IF(Z86="",0,Z86),"0")</f>
        <v>3.7960000000000001E-2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20</v>
      </c>
      <c r="Y88" s="43">
        <f>IFERROR(SUM(Y83:Y86),"0")</f>
        <v>21.6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15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15.914814814814815</v>
      </c>
      <c r="BN90" s="78">
        <f>IFERROR(Y90*I90/H90,"0")</f>
        <v>17.187999999999999</v>
      </c>
      <c r="BO90" s="78">
        <f>IFERROR(1/J90*(X90/H90),"0")</f>
        <v>2.8935185185185185E-2</v>
      </c>
      <c r="BP90" s="78">
        <f>IFERROR(1/J90*(Y90/H90),"0")</f>
        <v>3.125E-2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1.8518518518518519</v>
      </c>
      <c r="Y94" s="43">
        <f>IFERROR(Y90/H90,"0")+IFERROR(Y91/H91,"0")+IFERROR(Y92/H92,"0")+IFERROR(Y93/H93,"0")</f>
        <v>2</v>
      </c>
      <c r="Z94" s="43">
        <f>IFERROR(IF(Z90="",0,Z90),"0")+IFERROR(IF(Z91="",0,Z91),"0")+IFERROR(IF(Z92="",0,Z92),"0")+IFERROR(IF(Z93="",0,Z93),"0")</f>
        <v>3.7960000000000001E-2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15</v>
      </c>
      <c r="Y95" s="43">
        <f>IFERROR(SUM(Y90:Y93),"0")</f>
        <v>16.2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si="33"/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52.261904761904752</v>
      </c>
      <c r="BN221" s="78">
        <f t="shared" si="35"/>
        <v>52.68</v>
      </c>
      <c r="BO221" s="78">
        <f t="shared" si="36"/>
        <v>9.0187590187590191E-2</v>
      </c>
      <c r="BP221" s="78">
        <f t="shared" si="37"/>
        <v>9.0909090909090912E-2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11.904761904761905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0.10824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50</v>
      </c>
      <c r="Y234" s="43">
        <f>IFERROR(SUM(Y219:Y232),"0")</f>
        <v>50.400000000000006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ref="Y265:Y272" si="39">IFERROR(IF(X265="",0,CEILING((X265/$H265),1)*$H265),"")</f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51.759259259259252</v>
      </c>
      <c r="BN265" s="78">
        <f t="shared" ref="BN265:BN272" si="41">IFERROR(Y265*I265/H265,"0")</f>
        <v>55.9</v>
      </c>
      <c r="BO265" s="78">
        <f t="shared" ref="BO265:BO272" si="42">IFERROR(1/J265*(X265/H265),"0")</f>
        <v>7.0145903479236812E-2</v>
      </c>
      <c r="BP265" s="78">
        <f t="shared" ref="BP265:BP272" si="43">IFERROR(1/J265*(Y265/H265),"0")</f>
        <v>7.575757575757576E-2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27.777777777777779</v>
      </c>
      <c r="Y273" s="43">
        <f>IFERROR(Y265/H265,"0")+IFERROR(Y266/H266,"0")+IFERROR(Y267/H267,"0")+IFERROR(Y268/H268,"0")+IFERROR(Y269/H269,"0")+IFERROR(Y270/H270,"0")+IFERROR(Y271/H271,"0")+IFERROR(Y272/H272,"0")</f>
        <v>29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0.26158000000000003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150</v>
      </c>
      <c r="Y274" s="43">
        <f>IFERROR(SUM(Y265:Y272),"0")</f>
        <v>156.60000000000002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400</v>
      </c>
      <c r="Y369" s="55">
        <f t="shared" si="59"/>
        <v>403.20000000000005</v>
      </c>
      <c r="Z369" s="41">
        <f>IFERROR(IF(Y369=0,"",ROUNDUP(Y369/H369,0)*0.00902),"")</f>
        <v>0.86592000000000002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423.8095238095238</v>
      </c>
      <c r="BN369" s="78">
        <f t="shared" si="61"/>
        <v>427.20000000000005</v>
      </c>
      <c r="BO369" s="78">
        <f t="shared" si="62"/>
        <v>0.72150072150072153</v>
      </c>
      <c r="BP369" s="78">
        <f t="shared" si="63"/>
        <v>0.72727272727272729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95.238095238095241</v>
      </c>
      <c r="Y375" s="43">
        <f>IFERROR(Y368/H368,"0")+IFERROR(Y369/H369,"0")+IFERROR(Y370/H370,"0")+IFERROR(Y371/H371,"0")+IFERROR(Y372/H372,"0")+IFERROR(Y373/H373,"0")+IFERROR(Y374/H374,"0")</f>
        <v>96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0.86592000000000002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400</v>
      </c>
      <c r="Y376" s="43">
        <f>IFERROR(SUM(Y368:Y374),"0")</f>
        <v>403.20000000000005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30</v>
      </c>
      <c r="Y386" s="55">
        <f>IFERROR(IF(X386="",0,CEILING((X386/$H386),1)*$H386),"")</f>
        <v>31.2</v>
      </c>
      <c r="Z386" s="41">
        <f>IFERROR(IF(Y386=0,"",ROUNDUP(Y386/H386,0)*0.01898),"")</f>
        <v>7.5920000000000001E-2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31.900000000000002</v>
      </c>
      <c r="BN386" s="78">
        <f>IFERROR(Y386*I386/H386,"0")</f>
        <v>33.176000000000002</v>
      </c>
      <c r="BO386" s="78">
        <f>IFERROR(1/J386*(X386/H386),"0")</f>
        <v>6.0096153846153848E-2</v>
      </c>
      <c r="BP386" s="78">
        <f>IFERROR(1/J386*(Y386/H386),"0")</f>
        <v>6.25E-2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3.8461538461538463</v>
      </c>
      <c r="Y388" s="43">
        <f>IFERROR(Y385/H385,"0")+IFERROR(Y386/H386,"0")+IFERROR(Y387/H387,"0")</f>
        <v>4</v>
      </c>
      <c r="Z388" s="43">
        <f>IFERROR(IF(Z385="",0,Z385),"0")+IFERROR(IF(Z386="",0,Z386),"0")+IFERROR(IF(Z387="",0,Z387),"0")</f>
        <v>7.5920000000000001E-2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30</v>
      </c>
      <c r="Y389" s="43">
        <f>IFERROR(SUM(Y385:Y387),"0")</f>
        <v>31.2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20</v>
      </c>
      <c r="Y417" s="55">
        <f>IFERROR(IF(X417="",0,CEILING((X417/$H417),1)*$H417),"")</f>
        <v>24.299999999999997</v>
      </c>
      <c r="Z417" s="41">
        <f>IFERROR(IF(Y417=0,"",ROUNDUP(Y417/H417,0)*0.01898),"")</f>
        <v>5.6940000000000004E-2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21.219753086419754</v>
      </c>
      <c r="BN417" s="78">
        <f>IFERROR(Y417*I417/H417,"0")</f>
        <v>25.781999999999996</v>
      </c>
      <c r="BO417" s="78">
        <f>IFERROR(1/J417*(X417/H417),"0")</f>
        <v>3.8580246913580252E-2</v>
      </c>
      <c r="BP417" s="78">
        <f>IFERROR(1/J417*(Y417/H417),"0")</f>
        <v>4.6875E-2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2.4691358024691361</v>
      </c>
      <c r="Y420" s="43">
        <f>IFERROR(Y417/H417,"0")+IFERROR(Y418/H418,"0")+IFERROR(Y419/H419,"0")</f>
        <v>3</v>
      </c>
      <c r="Z420" s="43">
        <f>IFERROR(IF(Z417="",0,Z417),"0")+IFERROR(IF(Z418="",0,Z418),"0")+IFERROR(IF(Z419="",0,Z419),"0")</f>
        <v>5.6940000000000004E-2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20</v>
      </c>
      <c r="Y421" s="43">
        <f>IFERROR(SUM(Y417:Y419),"0")</f>
        <v>24.299999999999997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700</v>
      </c>
      <c r="Y428" s="55">
        <f t="shared" si="64"/>
        <v>705</v>
      </c>
      <c r="Z428" s="41">
        <f>IFERROR(IF(Y428=0,"",ROUNDUP(Y428/H428,0)*0.02175),"")</f>
        <v>1.0222499999999999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721.93333333333328</v>
      </c>
      <c r="BN428" s="78">
        <f t="shared" si="66"/>
        <v>727.09</v>
      </c>
      <c r="BO428" s="78">
        <f t="shared" si="67"/>
        <v>0.9722222222222221</v>
      </c>
      <c r="BP428" s="78">
        <f t="shared" si="68"/>
        <v>0.97916666666666663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46.666666666666664</v>
      </c>
      <c r="Y433" s="43">
        <f>IFERROR(Y425/H425,"0")+IFERROR(Y426/H426,"0")+IFERROR(Y427/H427,"0")+IFERROR(Y428/H428,"0")+IFERROR(Y429/H429,"0")+IFERROR(Y430/H430,"0")+IFERROR(Y431/H431,"0")+IFERROR(Y432/H432,"0")</f>
        <v>47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1.0222499999999999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700</v>
      </c>
      <c r="Y434" s="43">
        <f>IFERROR(SUM(Y425:Y432),"0")</f>
        <v>705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15</v>
      </c>
      <c r="Y490" s="55">
        <f>IFERROR(IF(X490="",0,CEILING((X490/$H490),1)*$H490),"")</f>
        <v>16.200000000000003</v>
      </c>
      <c r="Z490" s="41">
        <f>IFERROR(IF(Y490=0,"",ROUNDUP(Y490/H490,0)*0.00902),"")</f>
        <v>2.7060000000000001E-2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15.527777777777775</v>
      </c>
      <c r="BN490" s="78">
        <f>IFERROR(Y490*I490/H490,"0")</f>
        <v>16.77</v>
      </c>
      <c r="BO490" s="78">
        <f>IFERROR(1/J490*(X490/H490),"0")</f>
        <v>2.1043771043771045E-2</v>
      </c>
      <c r="BP490" s="78">
        <f>IFERROR(1/J490*(Y490/H490),"0")</f>
        <v>2.2727272727272731E-2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2.7777777777777777</v>
      </c>
      <c r="Y493" s="43">
        <f>IFERROR(Y490/H490,"0")+IFERROR(Y491/H491,"0")+IFERROR(Y492/H492,"0")</f>
        <v>3.0000000000000004</v>
      </c>
      <c r="Z493" s="43">
        <f>IFERROR(IF(Z490="",0,Z490),"0")+IFERROR(IF(Z491="",0,Z491),"0")+IFERROR(IF(Z492="",0,Z492),"0")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15</v>
      </c>
      <c r="Y494" s="43">
        <f>IFERROR(SUM(Y490:Y492),"0")</f>
        <v>16.200000000000003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74"/>
        <v>31.68</v>
      </c>
      <c r="Z501" s="41">
        <f t="shared" si="75"/>
        <v>7.1760000000000004E-2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31.988636363636363</v>
      </c>
      <c r="BN501" s="78">
        <f t="shared" si="77"/>
        <v>33.779999999999994</v>
      </c>
      <c r="BO501" s="78">
        <f t="shared" si="78"/>
        <v>5.4632867132867136E-2</v>
      </c>
      <c r="BP501" s="78">
        <f t="shared" si="79"/>
        <v>5.7692307692307696E-2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74"/>
        <v>52.800000000000004</v>
      </c>
      <c r="Z503" s="41">
        <f t="shared" si="75"/>
        <v>0.1196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53.314393939393938</v>
      </c>
      <c r="BN503" s="78">
        <f t="shared" si="77"/>
        <v>56.3</v>
      </c>
      <c r="BO503" s="78">
        <f t="shared" si="78"/>
        <v>9.1054778554778545E-2</v>
      </c>
      <c r="BP503" s="78">
        <f t="shared" si="79"/>
        <v>9.6153846153846159E-2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15.15151515151515</v>
      </c>
      <c r="Y507" s="43">
        <f>IFERROR(Y498/H498,"0")+IFERROR(Y499/H499,"0")+IFERROR(Y500/H500,"0")+IFERROR(Y501/H501,"0")+IFERROR(Y502/H502,"0")+IFERROR(Y503/H503,"0")+IFERROR(Y504/H504,"0")+IFERROR(Y505/H505,"0")+IFERROR(Y506/H506,"0")</f>
        <v>16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0.19136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80</v>
      </c>
      <c r="Y508" s="43">
        <f>IFERROR(SUM(Y498:Y506),"0")</f>
        <v>84.48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100</v>
      </c>
      <c r="Y510" s="55">
        <f>IFERROR(IF(X510="",0,CEILING((X510/$H510),1)*$H510),"")</f>
        <v>100.32000000000001</v>
      </c>
      <c r="Z510" s="41">
        <f>IFERROR(IF(Y510=0,"",ROUNDUP(Y510/H510,0)*0.01196),"")</f>
        <v>0.22724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106.62878787878788</v>
      </c>
      <c r="BN510" s="78">
        <f>IFERROR(Y510*I510/H510,"0")</f>
        <v>106.97</v>
      </c>
      <c r="BO510" s="78">
        <f>IFERROR(1/J510*(X510/H510),"0")</f>
        <v>0.18210955710955709</v>
      </c>
      <c r="BP510" s="78">
        <f>IFERROR(1/J510*(Y510/H510),"0")</f>
        <v>0.18269230769230771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18.939393939393938</v>
      </c>
      <c r="Y513" s="43">
        <f>IFERROR(Y510/H510,"0")+IFERROR(Y511/H511,"0")+IFERROR(Y512/H512,"0")</f>
        <v>19</v>
      </c>
      <c r="Z513" s="43">
        <f>IFERROR(IF(Z510="",0,Z510),"0")+IFERROR(IF(Z511="",0,Z511),"0")+IFERROR(IF(Z512="",0,Z512),"0")</f>
        <v>0.22724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100</v>
      </c>
      <c r="Y514" s="43">
        <f>IFERROR(SUM(Y510:Y512),"0")</f>
        <v>100.32000000000001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15</v>
      </c>
      <c r="Y516" s="55">
        <f t="shared" ref="Y516:Y522" si="80">IFERROR(IF(X516="",0,CEILING((X516/$H516),1)*$H516),"")</f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15.994318181818182</v>
      </c>
      <c r="BN516" s="78">
        <f t="shared" ref="BN516:BN522" si="82">IFERROR(Y516*I516/H516,"0")</f>
        <v>16.889999999999997</v>
      </c>
      <c r="BO516" s="78">
        <f t="shared" ref="BO516:BO522" si="83">IFERROR(1/J516*(X516/H516),"0")</f>
        <v>2.7316433566433568E-2</v>
      </c>
      <c r="BP516" s="78">
        <f t="shared" ref="BP516:BP522" si="84">IFERROR(1/J516*(Y516/H516),"0")</f>
        <v>2.8846153846153848E-2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8.5227272727272734</v>
      </c>
      <c r="Y523" s="43">
        <f>IFERROR(Y516/H516,"0")+IFERROR(Y517/H517,"0")+IFERROR(Y518/H518,"0")+IFERROR(Y519/H519,"0")+IFERROR(Y520/H520,"0")+IFERROR(Y521/H521,"0")+IFERROR(Y522/H522,"0")</f>
        <v>9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0.10764000000000001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45</v>
      </c>
      <c r="Y524" s="43">
        <f>IFERROR(SUM(Y516:Y522),"0")</f>
        <v>47.519999999999996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50</v>
      </c>
      <c r="Y536" s="55">
        <f>IFERROR(IF(X536="",0,CEILING((X536/$H536),1)*$H536),"")</f>
        <v>50.400000000000006</v>
      </c>
      <c r="Z536" s="41">
        <f>IFERROR(IF(Y536=0,"",ROUNDUP(Y536/H536,0)*0.00902),"")</f>
        <v>0.10824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52.976190476190474</v>
      </c>
      <c r="BN536" s="78">
        <f>IFERROR(Y536*I536/H536,"0")</f>
        <v>53.400000000000006</v>
      </c>
      <c r="BO536" s="78">
        <f>IFERROR(1/J536*(X536/H536),"0")</f>
        <v>9.0187590187590191E-2</v>
      </c>
      <c r="BP536" s="78">
        <f>IFERROR(1/J536*(Y536/H536),"0")</f>
        <v>9.0909090909090912E-2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11.904761904761905</v>
      </c>
      <c r="Y537" s="43">
        <f>IFERROR(Y536/H536,"0")</f>
        <v>12</v>
      </c>
      <c r="Z537" s="43">
        <f>IFERROR(IF(Z536="",0,Z536),"0")</f>
        <v>0.10824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50</v>
      </c>
      <c r="Y538" s="43">
        <f>IFERROR(SUM(Y536:Y536),"0")</f>
        <v>50.400000000000006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1675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1707.42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1751.4951078242743</v>
      </c>
      <c r="Y554" s="43">
        <f>IFERROR(SUM(BN22:BN550),"0")</f>
        <v>1785.5360000000003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3</v>
      </c>
      <c r="Y555" s="44">
        <f>ROUNDUP(SUM(BP22:BP550),0)</f>
        <v>3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1826.4951078242743</v>
      </c>
      <c r="Y556" s="43">
        <f>GrossWeightTotalR+PalletQtyTotalR*25</f>
        <v>1860.5360000000003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248.90247098580431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254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3.1283099999999999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37.799999999999997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50.400000000000006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156.60000000000002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434.40000000000003</v>
      </c>
      <c r="U563" s="52">
        <f>IFERROR(Y411*1,"0")+IFERROR(Y412*1,"0")</f>
        <v>0</v>
      </c>
      <c r="V563" s="52">
        <f>IFERROR(Y417*1,"0")+IFERROR(Y418*1,"0")+IFERROR(Y419*1,"0")</f>
        <v>24.299999999999997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705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16.200000000000003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232.32000000000002</v>
      </c>
      <c r="AB563" s="52">
        <f>IFERROR(Y528*1,"0")+IFERROR(Y532*1,"0")+IFERROR(Y536*1,"0")+IFERROR(Y540*1,"0")+IFERROR(Y544*1,"0")+IFERROR(Y545*1,"0")</f>
        <v>50.400000000000006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75,00"/>
        <filter val="1 751,50"/>
        <filter val="1 826,50"/>
        <filter val="1,85"/>
        <filter val="100,00"/>
        <filter val="11,90"/>
        <filter val="15,00"/>
        <filter val="15,15"/>
        <filter val="150,00"/>
        <filter val="18,94"/>
        <filter val="2,47"/>
        <filter val="2,78"/>
        <filter val="20,00"/>
        <filter val="248,90"/>
        <filter val="27,78"/>
        <filter val="3"/>
        <filter val="3,85"/>
        <filter val="30,00"/>
        <filter val="400,00"/>
        <filter val="45,00"/>
        <filter val="46,67"/>
        <filter val="50,00"/>
        <filter val="700,00"/>
        <filter val="8,52"/>
        <filter val="80,00"/>
        <filter val="95,24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