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BEF7856-3723-4511-8E76-F03A7293B17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заказа'!$B$142:$B$142</definedName>
    <definedName name="ProductId55">'Бланк заказа'!$B$143:$B$143</definedName>
    <definedName name="ProductId56">'Бланк заказа'!$B$144:$B$144</definedName>
    <definedName name="ProductId57">'Бланк заказа'!$B$149:$B$149</definedName>
    <definedName name="ProductId58">'Бланк заказа'!$B$150:$B$150</definedName>
    <definedName name="ProductId59">'Бланк заказа'!$B$155:$B$155</definedName>
    <definedName name="ProductId6">'Бланк заказа'!$B$27:$B$27</definedName>
    <definedName name="ProductId60">'Бланк заказа'!$B$156:$B$156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заказа'!$B$172:$B$172</definedName>
    <definedName name="ProductId65">'Бланк заказа'!$B$177:$B$177</definedName>
    <definedName name="ProductId66">'Бланк заказа'!$B$183:$B$183</definedName>
    <definedName name="ProductId67">'Бланк заказа'!$B$184:$B$184</definedName>
    <definedName name="ProductId68">'Бланк заказа'!$B$189:$B$189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заказа'!$B$198:$B$198</definedName>
    <definedName name="ProductId73">'Бланк заказа'!$B$204:$B$204</definedName>
    <definedName name="ProductId74">'Бланк заказа'!$B$208:$B$208</definedName>
    <definedName name="ProductId75">'Бланк заказа'!$B$209:$B$209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заказа'!$B$29:$B$29</definedName>
    <definedName name="ProductId80">'Бланк заказа'!$B$226:$B$226</definedName>
    <definedName name="ProductId81">'Бланк заказа'!$B$232:$B$232</definedName>
    <definedName name="ProductId82">'Бланк заказа'!$B$238:$B$238</definedName>
    <definedName name="ProductId83">'Бланк заказа'!$B$242:$B$242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заказа'!$X$142:$X$142</definedName>
    <definedName name="SalesQty55">'Бланк заказа'!$X$143:$X$143</definedName>
    <definedName name="SalesQty56">'Бланк заказа'!$X$144:$X$144</definedName>
    <definedName name="SalesQty57">'Бланк заказа'!$X$149:$X$149</definedName>
    <definedName name="SalesQty58">'Бланк заказа'!$X$150:$X$150</definedName>
    <definedName name="SalesQty59">'Бланк заказа'!$X$155:$X$155</definedName>
    <definedName name="SalesQty6">'Бланк заказа'!$X$27:$X$27</definedName>
    <definedName name="SalesQty60">'Бланк заказа'!$X$156:$X$156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заказа'!$X$172:$X$172</definedName>
    <definedName name="SalesQty65">'Бланк заказа'!$X$177:$X$177</definedName>
    <definedName name="SalesQty66">'Бланк заказа'!$X$183:$X$183</definedName>
    <definedName name="SalesQty67">'Бланк заказа'!$X$184:$X$184</definedName>
    <definedName name="SalesQty68">'Бланк заказа'!$X$189:$X$189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заказа'!$X$198:$X$198</definedName>
    <definedName name="SalesQty73">'Бланк заказа'!$X$204:$X$204</definedName>
    <definedName name="SalesQty74">'Бланк заказа'!$X$208:$X$208</definedName>
    <definedName name="SalesQty75">'Бланк заказа'!$X$209:$X$209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заказа'!$X$29:$X$29</definedName>
    <definedName name="SalesQty80">'Бланк заказа'!$X$226:$X$226</definedName>
    <definedName name="SalesQty81">'Бланк заказа'!$X$232:$X$232</definedName>
    <definedName name="SalesQty82">'Бланк заказа'!$X$238:$X$238</definedName>
    <definedName name="SalesQty83">'Бланк заказа'!$X$242:$X$242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заказа'!$Y$142:$Y$142</definedName>
    <definedName name="SalesRoundBox55">'Бланк заказа'!$Y$143:$Y$143</definedName>
    <definedName name="SalesRoundBox56">'Бланк заказа'!$Y$144:$Y$144</definedName>
    <definedName name="SalesRoundBox57">'Бланк заказа'!$Y$149:$Y$149</definedName>
    <definedName name="SalesRoundBox58">'Бланк заказа'!$Y$150:$Y$150</definedName>
    <definedName name="SalesRoundBox59">'Бланк заказа'!$Y$155:$Y$155</definedName>
    <definedName name="SalesRoundBox6">'Бланк заказа'!$Y$27:$Y$27</definedName>
    <definedName name="SalesRoundBox60">'Бланк заказа'!$Y$156:$Y$156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заказа'!$Y$172:$Y$172</definedName>
    <definedName name="SalesRoundBox65">'Бланк заказа'!$Y$177:$Y$177</definedName>
    <definedName name="SalesRoundBox66">'Бланк заказа'!$Y$183:$Y$183</definedName>
    <definedName name="SalesRoundBox67">'Бланк заказа'!$Y$184:$Y$184</definedName>
    <definedName name="SalesRoundBox68">'Бланк заказа'!$Y$189:$Y$189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заказа'!$Y$198:$Y$198</definedName>
    <definedName name="SalesRoundBox73">'Бланк заказа'!$Y$204:$Y$204</definedName>
    <definedName name="SalesRoundBox74">'Бланк заказа'!$Y$208:$Y$208</definedName>
    <definedName name="SalesRoundBox75">'Бланк заказа'!$Y$209:$Y$209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заказа'!$Y$29:$Y$29</definedName>
    <definedName name="SalesRoundBox80">'Бланк заказа'!$Y$226:$Y$226</definedName>
    <definedName name="SalesRoundBox81">'Бланк заказа'!$Y$232:$Y$232</definedName>
    <definedName name="SalesRoundBox82">'Бланк заказа'!$Y$238:$Y$238</definedName>
    <definedName name="SalesRoundBox83">'Бланк заказа'!$Y$242:$Y$242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заказа'!$W$142:$W$142</definedName>
    <definedName name="UnitOfMeasure55">'Бланк заказа'!$W$143:$W$143</definedName>
    <definedName name="UnitOfMeasure56">'Бланк заказа'!$W$144:$W$144</definedName>
    <definedName name="UnitOfMeasure57">'Бланк заказа'!$W$149:$W$149</definedName>
    <definedName name="UnitOfMeasure58">'Бланк заказа'!$W$150:$W$150</definedName>
    <definedName name="UnitOfMeasure59">'Бланк заказа'!$W$155:$W$155</definedName>
    <definedName name="UnitOfMeasure6">'Бланк заказа'!$W$27:$W$27</definedName>
    <definedName name="UnitOfMeasure60">'Бланк заказа'!$W$156:$W$156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заказа'!$W$172:$W$172</definedName>
    <definedName name="UnitOfMeasure65">'Бланк заказа'!$W$177:$W$177</definedName>
    <definedName name="UnitOfMeasure66">'Бланк заказа'!$W$183:$W$183</definedName>
    <definedName name="UnitOfMeasure67">'Бланк заказа'!$W$184:$W$184</definedName>
    <definedName name="UnitOfMeasure68">'Бланк заказа'!$W$189:$W$189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заказа'!$W$198:$W$198</definedName>
    <definedName name="UnitOfMeasure73">'Бланк заказа'!$W$204:$W$204</definedName>
    <definedName name="UnitOfMeasure74">'Бланк заказа'!$W$208:$W$208</definedName>
    <definedName name="UnitOfMeasure75">'Бланк заказа'!$W$209:$W$209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заказа'!$W$29:$W$29</definedName>
    <definedName name="UnitOfMeasure80">'Бланк заказа'!$W$226:$W$226</definedName>
    <definedName name="UnitOfMeasure81">'Бланк заказа'!$W$232:$W$232</definedName>
    <definedName name="UnitOfMeasure82">'Бланк заказа'!$W$238:$W$238</definedName>
    <definedName name="UnitOfMeasure83">'Бланк заказа'!$W$242:$W$242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Y278" i="2"/>
  <c r="BP278" i="2" s="1"/>
  <c r="BO278" i="2"/>
  <c r="BM278" i="2"/>
  <c r="Z278" i="2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Y275" i="2"/>
  <c r="BP275" i="2" s="1"/>
  <c r="BO275" i="2"/>
  <c r="BM275" i="2"/>
  <c r="Z275" i="2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Z269" i="2"/>
  <c r="Z270" i="2"/>
  <c r="Z271" i="2"/>
  <c r="Y272" i="2"/>
  <c r="BP272" i="2" s="1"/>
  <c r="P272" i="2"/>
  <c r="Y271" i="2"/>
  <c r="BP271" i="2" s="1"/>
  <c r="BO271" i="2"/>
  <c r="BM271" i="2"/>
  <c r="P271" i="2"/>
  <c r="BO270" i="2"/>
  <c r="BM270" i="2"/>
  <c r="Y270" i="2"/>
  <c r="BP270" i="2" s="1"/>
  <c r="P270" i="2"/>
  <c r="BO269" i="2"/>
  <c r="BM269" i="2"/>
  <c r="Y269" i="2"/>
  <c r="P269" i="2"/>
  <c r="X267" i="2"/>
  <c r="Z263" i="2"/>
  <c r="Z264" i="2"/>
  <c r="Z265" i="2"/>
  <c r="Y263" i="2"/>
  <c r="Y264" i="2"/>
  <c r="BN264" i="2" s="1"/>
  <c r="Y265" i="2"/>
  <c r="BP265" i="2" s="1"/>
  <c r="X266" i="2"/>
  <c r="BO265" i="2"/>
  <c r="BM265" i="2"/>
  <c r="P265" i="2"/>
  <c r="BO264" i="2"/>
  <c r="BM264" i="2"/>
  <c r="BP264" i="2"/>
  <c r="P264" i="2"/>
  <c r="BO263" i="2"/>
  <c r="BM263" i="2"/>
  <c r="P263" i="2"/>
  <c r="Y259" i="2"/>
  <c r="Y261" i="2" s="1"/>
  <c r="X261" i="2"/>
  <c r="X260" i="2"/>
  <c r="BO259" i="2"/>
  <c r="BM259" i="2"/>
  <c r="Z259" i="2"/>
  <c r="Z260" i="2" s="1"/>
  <c r="Y260" i="2"/>
  <c r="P259" i="2"/>
  <c r="X257" i="2"/>
  <c r="X256" i="2"/>
  <c r="BO255" i="2"/>
  <c r="BM255" i="2"/>
  <c r="Z255" i="2"/>
  <c r="Z254" i="2"/>
  <c r="Y255" i="2"/>
  <c r="BP255" i="2" s="1"/>
  <c r="P255" i="2"/>
  <c r="Y254" i="2"/>
  <c r="BP254" i="2" s="1"/>
  <c r="BO254" i="2"/>
  <c r="BM254" i="2"/>
  <c r="P254" i="2"/>
  <c r="X250" i="2"/>
  <c r="X249" i="2"/>
  <c r="BO248" i="2"/>
  <c r="BM248" i="2"/>
  <c r="Z248" i="2"/>
  <c r="Z249" i="2" s="1"/>
  <c r="Y248" i="2"/>
  <c r="BP248" i="2" s="1"/>
  <c r="P248" i="2"/>
  <c r="Y242" i="2"/>
  <c r="Y244" i="2" s="1"/>
  <c r="X244" i="2"/>
  <c r="Z242" i="2"/>
  <c r="Z243" i="2" s="1"/>
  <c r="X243" i="2"/>
  <c r="BO242" i="2"/>
  <c r="BM242" i="2"/>
  <c r="P242" i="2"/>
  <c r="X240" i="2"/>
  <c r="X239" i="2"/>
  <c r="BO238" i="2"/>
  <c r="BM238" i="2"/>
  <c r="Z238" i="2"/>
  <c r="Z239" i="2" s="1"/>
  <c r="Y238" i="2"/>
  <c r="BP238" i="2" s="1"/>
  <c r="P238" i="2"/>
  <c r="Y232" i="2"/>
  <c r="Y234" i="2" s="1"/>
  <c r="X234" i="2"/>
  <c r="Z232" i="2"/>
  <c r="Z233" i="2" s="1"/>
  <c r="X233" i="2"/>
  <c r="BO232" i="2"/>
  <c r="BM232" i="2"/>
  <c r="P232" i="2"/>
  <c r="X228" i="2"/>
  <c r="X227" i="2"/>
  <c r="BO226" i="2"/>
  <c r="BM226" i="2"/>
  <c r="Z226" i="2"/>
  <c r="Z227" i="2" s="1"/>
  <c r="Y226" i="2"/>
  <c r="Y227" i="2" s="1"/>
  <c r="P226" i="2"/>
  <c r="Y221" i="2"/>
  <c r="Y223" i="2" s="1"/>
  <c r="X223" i="2"/>
  <c r="Z221" i="2"/>
  <c r="Z222" i="2" s="1"/>
  <c r="X222" i="2"/>
  <c r="BO221" i="2"/>
  <c r="BM221" i="2"/>
  <c r="P221" i="2"/>
  <c r="X218" i="2"/>
  <c r="X217" i="2"/>
  <c r="BO216" i="2"/>
  <c r="BM216" i="2"/>
  <c r="Z216" i="2"/>
  <c r="Y216" i="2"/>
  <c r="BP216" i="2" s="1"/>
  <c r="P216" i="2"/>
  <c r="BO215" i="2"/>
  <c r="BM215" i="2"/>
  <c r="Z215" i="2"/>
  <c r="Y215" i="2"/>
  <c r="BP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BN209" i="2" s="1"/>
  <c r="P209" i="2"/>
  <c r="Y208" i="2"/>
  <c r="BP208" i="2" s="1"/>
  <c r="BO208" i="2"/>
  <c r="BM208" i="2"/>
  <c r="Z208" i="2"/>
  <c r="P208" i="2"/>
  <c r="X206" i="2"/>
  <c r="X205" i="2"/>
  <c r="BO204" i="2"/>
  <c r="BM204" i="2"/>
  <c r="Z204" i="2"/>
  <c r="Z205" i="2" s="1"/>
  <c r="Y204" i="2"/>
  <c r="Y206" i="2" s="1"/>
  <c r="P204" i="2"/>
  <c r="X200" i="2"/>
  <c r="X199" i="2"/>
  <c r="Y198" i="2"/>
  <c r="BP198" i="2" s="1"/>
  <c r="BO198" i="2"/>
  <c r="BM198" i="2"/>
  <c r="Z198" i="2"/>
  <c r="P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P195" i="2"/>
  <c r="Y189" i="2"/>
  <c r="Y191" i="2" s="1"/>
  <c r="X191" i="2"/>
  <c r="X190" i="2"/>
  <c r="BO189" i="2"/>
  <c r="BM189" i="2"/>
  <c r="Z189" i="2"/>
  <c r="Z190" i="2" s="1"/>
  <c r="Y190" i="2"/>
  <c r="P189" i="2"/>
  <c r="X186" i="2"/>
  <c r="X185" i="2"/>
  <c r="BO184" i="2"/>
  <c r="BM184" i="2"/>
  <c r="Z184" i="2"/>
  <c r="Z183" i="2"/>
  <c r="Y184" i="2"/>
  <c r="BP184" i="2" s="1"/>
  <c r="P184" i="2"/>
  <c r="Y183" i="2"/>
  <c r="BP183" i="2" s="1"/>
  <c r="BO183" i="2"/>
  <c r="BM183" i="2"/>
  <c r="P183" i="2"/>
  <c r="X179" i="2"/>
  <c r="X178" i="2"/>
  <c r="BO177" i="2"/>
  <c r="BM177" i="2"/>
  <c r="Z177" i="2"/>
  <c r="Z178" i="2" s="1"/>
  <c r="Y177" i="2"/>
  <c r="BP177" i="2" s="1"/>
  <c r="P177" i="2"/>
  <c r="Y172" i="2"/>
  <c r="Y174" i="2" s="1"/>
  <c r="X174" i="2"/>
  <c r="Z172" i="2"/>
  <c r="Z173" i="2" s="1"/>
  <c r="X173" i="2"/>
  <c r="BO172" i="2"/>
  <c r="BM172" i="2"/>
  <c r="P172" i="2"/>
  <c r="X169" i="2"/>
  <c r="X168" i="2"/>
  <c r="BO167" i="2"/>
  <c r="BM167" i="2"/>
  <c r="Z167" i="2"/>
  <c r="Z168" i="2" s="1"/>
  <c r="Y167" i="2"/>
  <c r="Y168" i="2" s="1"/>
  <c r="P167" i="2"/>
  <c r="X164" i="2"/>
  <c r="Z161" i="2"/>
  <c r="Z162" i="2"/>
  <c r="Y161" i="2"/>
  <c r="BP161" i="2" s="1"/>
  <c r="Y162" i="2"/>
  <c r="X163" i="2"/>
  <c r="BO162" i="2"/>
  <c r="BM162" i="2"/>
  <c r="P162" i="2"/>
  <c r="BO161" i="2"/>
  <c r="BM161" i="2"/>
  <c r="P161" i="2"/>
  <c r="X158" i="2"/>
  <c r="X157" i="2"/>
  <c r="BO156" i="2"/>
  <c r="BM156" i="2"/>
  <c r="Z156" i="2"/>
  <c r="Z155" i="2"/>
  <c r="Y156" i="2"/>
  <c r="BN156" i="2" s="1"/>
  <c r="P156" i="2"/>
  <c r="BO155" i="2"/>
  <c r="BM155" i="2"/>
  <c r="Y155" i="2"/>
  <c r="BP155" i="2" s="1"/>
  <c r="P155" i="2"/>
  <c r="X152" i="2"/>
  <c r="X151" i="2"/>
  <c r="BO150" i="2"/>
  <c r="BM150" i="2"/>
  <c r="Z150" i="2"/>
  <c r="Z149" i="2"/>
  <c r="Y150" i="2"/>
  <c r="BN150" i="2" s="1"/>
  <c r="Y149" i="2"/>
  <c r="P150" i="2"/>
  <c r="BO149" i="2"/>
  <c r="BM149" i="2"/>
  <c r="P149" i="2"/>
  <c r="X146" i="2"/>
  <c r="X145" i="2"/>
  <c r="BO144" i="2"/>
  <c r="BM144" i="2"/>
  <c r="Z144" i="2"/>
  <c r="Y144" i="2"/>
  <c r="BN144" i="2" s="1"/>
  <c r="P144" i="2"/>
  <c r="BO143" i="2"/>
  <c r="BM143" i="2"/>
  <c r="Z143" i="2"/>
  <c r="Z142" i="2"/>
  <c r="Y143" i="2"/>
  <c r="BN143" i="2" s="1"/>
  <c r="Y142" i="2"/>
  <c r="P143" i="2"/>
  <c r="BO142" i="2"/>
  <c r="BM142" i="2"/>
  <c r="P142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N137" i="2" s="1"/>
  <c r="P137" i="2"/>
  <c r="Y136" i="2"/>
  <c r="BP136" i="2" s="1"/>
  <c r="BO136" i="2"/>
  <c r="BM136" i="2"/>
  <c r="Z136" i="2"/>
  <c r="P136" i="2"/>
  <c r="BO135" i="2"/>
  <c r="BM135" i="2"/>
  <c r="Z135" i="2"/>
  <c r="Y135" i="2"/>
  <c r="BN135" i="2" s="1"/>
  <c r="P135" i="2"/>
  <c r="Y130" i="2"/>
  <c r="Y132" i="2" s="1"/>
  <c r="X132" i="2"/>
  <c r="X131" i="2"/>
  <c r="BO130" i="2"/>
  <c r="BM130" i="2"/>
  <c r="Z130" i="2"/>
  <c r="Z131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Y122" i="2"/>
  <c r="BP122" i="2" s="1"/>
  <c r="BO122" i="2"/>
  <c r="BM122" i="2"/>
  <c r="Z122" i="2"/>
  <c r="P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Y118" i="2"/>
  <c r="BP118" i="2" s="1"/>
  <c r="BO118" i="2"/>
  <c r="BM118" i="2"/>
  <c r="Z118" i="2"/>
  <c r="P118" i="2"/>
  <c r="BO117" i="2"/>
  <c r="BM117" i="2"/>
  <c r="Z117" i="2"/>
  <c r="Y117" i="2"/>
  <c r="BP117" i="2" s="1"/>
  <c r="P117" i="2"/>
  <c r="BO116" i="2"/>
  <c r="BM116" i="2"/>
  <c r="Z116" i="2"/>
  <c r="Z115" i="2"/>
  <c r="Y116" i="2"/>
  <c r="BN116" i="2" s="1"/>
  <c r="P116" i="2"/>
  <c r="Y115" i="2"/>
  <c r="BP115" i="2" s="1"/>
  <c r="BO115" i="2"/>
  <c r="BM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Y101" i="2"/>
  <c r="BP101" i="2" s="1"/>
  <c r="BO101" i="2"/>
  <c r="BM101" i="2"/>
  <c r="Z101" i="2"/>
  <c r="P101" i="2"/>
  <c r="BO100" i="2"/>
  <c r="BM100" i="2"/>
  <c r="Z100" i="2"/>
  <c r="Y100" i="2"/>
  <c r="BP100" i="2" s="1"/>
  <c r="P100" i="2"/>
  <c r="BO99" i="2"/>
  <c r="BM99" i="2"/>
  <c r="Z99" i="2"/>
  <c r="Y99" i="2"/>
  <c r="BN99" i="2" s="1"/>
  <c r="P99" i="2"/>
  <c r="X96" i="2"/>
  <c r="Z93" i="2"/>
  <c r="Z94" i="2"/>
  <c r="X95" i="2"/>
  <c r="BO94" i="2"/>
  <c r="BM94" i="2"/>
  <c r="Y94" i="2"/>
  <c r="BP94" i="2" s="1"/>
  <c r="P94" i="2"/>
  <c r="BO93" i="2"/>
  <c r="BM93" i="2"/>
  <c r="Y93" i="2"/>
  <c r="Y95" i="2" s="1"/>
  <c r="P93" i="2"/>
  <c r="Y88" i="2"/>
  <c r="Y90" i="2" s="1"/>
  <c r="X90" i="2"/>
  <c r="Z88" i="2"/>
  <c r="Z89" i="2" s="1"/>
  <c r="X89" i="2"/>
  <c r="BO88" i="2"/>
  <c r="BM88" i="2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N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P70" i="2"/>
  <c r="Y66" i="2"/>
  <c r="Y68" i="2" s="1"/>
  <c r="X68" i="2"/>
  <c r="Z66" i="2"/>
  <c r="Z67" i="2" s="1"/>
  <c r="X67" i="2"/>
  <c r="BO66" i="2"/>
  <c r="BM66" i="2"/>
  <c r="P66" i="2"/>
  <c r="X64" i="2"/>
  <c r="X63" i="2"/>
  <c r="BO62" i="2"/>
  <c r="BM62" i="2"/>
  <c r="Z62" i="2"/>
  <c r="Z63" i="2" s="1"/>
  <c r="Y62" i="2"/>
  <c r="BN62" i="2" s="1"/>
  <c r="P62" i="2"/>
  <c r="X59" i="2"/>
  <c r="Z54" i="2"/>
  <c r="Z55" i="2"/>
  <c r="Z56" i="2"/>
  <c r="Z57" i="2"/>
  <c r="Y54" i="2"/>
  <c r="BP54" i="2" s="1"/>
  <c r="Y55" i="2"/>
  <c r="Y56" i="2"/>
  <c r="BN56" i="2" s="1"/>
  <c r="Y57" i="2"/>
  <c r="BP57" i="2" s="1"/>
  <c r="X58" i="2"/>
  <c r="BO57" i="2"/>
  <c r="BM57" i="2"/>
  <c r="P57" i="2"/>
  <c r="BO56" i="2"/>
  <c r="BM56" i="2"/>
  <c r="BP56" i="2"/>
  <c r="P56" i="2"/>
  <c r="BO55" i="2"/>
  <c r="BM55" i="2"/>
  <c r="P55" i="2"/>
  <c r="BO54" i="2"/>
  <c r="BM54" i="2"/>
  <c r="P54" i="2"/>
  <c r="X51" i="2"/>
  <c r="X50" i="2"/>
  <c r="BO49" i="2"/>
  <c r="BM49" i="2"/>
  <c r="Z49" i="2"/>
  <c r="Y49" i="2"/>
  <c r="BN49" i="2" s="1"/>
  <c r="P49" i="2"/>
  <c r="BO48" i="2"/>
  <c r="BM48" i="2"/>
  <c r="Z48" i="2"/>
  <c r="Z47" i="2"/>
  <c r="Y48" i="2"/>
  <c r="BP48" i="2" s="1"/>
  <c r="P48" i="2"/>
  <c r="Y47" i="2"/>
  <c r="BP47" i="2" s="1"/>
  <c r="BO47" i="2"/>
  <c r="BM47" i="2"/>
  <c r="P47" i="2"/>
  <c r="X44" i="2"/>
  <c r="X43" i="2"/>
  <c r="X30" i="2"/>
  <c r="X36" i="2"/>
  <c r="BO42" i="2"/>
  <c r="BM42" i="2"/>
  <c r="Z42" i="2"/>
  <c r="Y42" i="2"/>
  <c r="Y41" i="2"/>
  <c r="P42" i="2"/>
  <c r="BO41" i="2"/>
  <c r="BM41" i="2"/>
  <c r="Z41" i="2"/>
  <c r="Z43" i="2" s="1"/>
  <c r="P41" i="2"/>
  <c r="X37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Z22" i="2"/>
  <c r="Z23" i="2"/>
  <c r="Z24" i="2"/>
  <c r="Z25" i="2"/>
  <c r="Z29" i="2"/>
  <c r="Z28" i="2"/>
  <c r="Z27" i="2"/>
  <c r="Z26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Y26" i="2"/>
  <c r="BP26" i="2" s="1"/>
  <c r="BO26" i="2"/>
  <c r="BM26" i="2"/>
  <c r="P26" i="2"/>
  <c r="BO25" i="2"/>
  <c r="BM25" i="2"/>
  <c r="Y25" i="2"/>
  <c r="BN25" i="2" s="1"/>
  <c r="P25" i="2"/>
  <c r="BO24" i="2"/>
  <c r="BM24" i="2"/>
  <c r="Y24" i="2"/>
  <c r="BP24" i="2" s="1"/>
  <c r="P24" i="2"/>
  <c r="Y23" i="2"/>
  <c r="BP23" i="2" s="1"/>
  <c r="BO23" i="2"/>
  <c r="BO22" i="2"/>
  <c r="BM23" i="2"/>
  <c r="BM22" i="2"/>
  <c r="P23" i="2"/>
  <c r="Y22" i="2"/>
  <c r="P22" i="2"/>
  <c r="H10" i="2"/>
  <c r="A9" i="2"/>
  <c r="H9" i="2" s="1"/>
  <c r="D7" i="2"/>
  <c r="Q6" i="2"/>
  <c r="P2" i="2"/>
  <c r="BP137" i="2"/>
  <c r="BP195" i="2"/>
  <c r="BN204" i="2"/>
  <c r="BP135" i="2"/>
  <c r="BN184" i="2"/>
  <c r="BP109" i="2"/>
  <c r="BP103" i="2"/>
  <c r="BN270" i="2"/>
  <c r="Y127" i="2"/>
  <c r="BN94" i="2"/>
  <c r="BP143" i="2"/>
  <c r="BN265" i="2"/>
  <c r="BP22" i="2"/>
  <c r="BN255" i="2"/>
  <c r="BN196" i="2" l="1"/>
  <c r="J9" i="2"/>
  <c r="F10" i="2"/>
  <c r="Z185" i="2"/>
  <c r="Z199" i="2"/>
  <c r="Z256" i="2"/>
  <c r="A10" i="2"/>
  <c r="F9" i="2"/>
  <c r="Y169" i="2"/>
  <c r="Y112" i="2"/>
  <c r="Z266" i="2"/>
  <c r="Y96" i="2"/>
  <c r="BN226" i="2"/>
  <c r="BN177" i="2"/>
  <c r="BN109" i="2"/>
  <c r="Y228" i="2"/>
  <c r="Y111" i="2"/>
  <c r="BP93" i="2"/>
  <c r="Y249" i="2"/>
  <c r="BN216" i="2"/>
  <c r="BN210" i="2"/>
  <c r="Z111" i="2"/>
  <c r="Z123" i="2"/>
  <c r="Z145" i="2"/>
  <c r="Y163" i="2"/>
  <c r="BN172" i="2"/>
  <c r="BP172" i="2"/>
  <c r="Y173" i="2"/>
  <c r="Y200" i="2"/>
  <c r="Y266" i="2"/>
  <c r="Y280" i="2"/>
  <c r="Y267" i="2"/>
  <c r="BN34" i="2"/>
  <c r="BN110" i="2"/>
  <c r="Y211" i="2"/>
  <c r="Y178" i="2"/>
  <c r="BN93" i="2"/>
  <c r="BP116" i="2"/>
  <c r="BN121" i="2"/>
  <c r="Y250" i="2"/>
  <c r="Y205" i="2"/>
  <c r="Y179" i="2"/>
  <c r="BP71" i="2"/>
  <c r="Y239" i="2"/>
  <c r="BP226" i="2"/>
  <c r="BN119" i="2"/>
  <c r="BN117" i="2"/>
  <c r="BN248" i="2"/>
  <c r="BP99" i="2"/>
  <c r="BN277" i="2"/>
  <c r="BP204" i="2"/>
  <c r="BP144" i="2"/>
  <c r="BP269" i="2"/>
  <c r="BN269" i="2"/>
  <c r="BN263" i="2"/>
  <c r="BN195" i="2"/>
  <c r="Y73" i="2"/>
  <c r="Z84" i="2"/>
  <c r="BN118" i="2"/>
  <c r="BN130" i="2"/>
  <c r="BP130" i="2"/>
  <c r="Y131" i="2"/>
  <c r="Z139" i="2"/>
  <c r="BN136" i="2"/>
  <c r="Y145" i="2"/>
  <c r="BN162" i="2"/>
  <c r="BP162" i="2"/>
  <c r="BP221" i="2"/>
  <c r="Y222" i="2"/>
  <c r="BP242" i="2"/>
  <c r="Y243" i="2"/>
  <c r="BP263" i="2"/>
  <c r="BP62" i="2"/>
  <c r="BN274" i="2"/>
  <c r="BN189" i="2"/>
  <c r="BP77" i="2"/>
  <c r="BP49" i="2"/>
  <c r="BN24" i="2"/>
  <c r="BN48" i="2"/>
  <c r="BN276" i="2"/>
  <c r="Y64" i="2"/>
  <c r="BN83" i="2"/>
  <c r="Z30" i="2"/>
  <c r="Z50" i="2"/>
  <c r="Z279" i="2"/>
  <c r="BN57" i="2"/>
  <c r="BP70" i="2"/>
  <c r="BP189" i="2"/>
  <c r="BN29" i="2"/>
  <c r="Y152" i="2"/>
  <c r="BN120" i="2"/>
  <c r="BN215" i="2"/>
  <c r="BN100" i="2"/>
  <c r="Y63" i="2"/>
  <c r="Z36" i="2"/>
  <c r="Y43" i="2"/>
  <c r="BP66" i="2"/>
  <c r="Y67" i="2"/>
  <c r="Z72" i="2"/>
  <c r="Z78" i="2"/>
  <c r="Y31" i="2"/>
  <c r="Y106" i="2"/>
  <c r="Y79" i="2"/>
  <c r="Y105" i="2"/>
  <c r="BP259" i="2"/>
  <c r="BN66" i="2"/>
  <c r="Y51" i="2"/>
  <c r="BP76" i="2"/>
  <c r="BP75" i="2"/>
  <c r="BN197" i="2"/>
  <c r="Y85" i="2"/>
  <c r="Y72" i="2"/>
  <c r="BN259" i="2"/>
  <c r="Y240" i="2"/>
  <c r="Y218" i="2"/>
  <c r="Y217" i="2"/>
  <c r="BN238" i="2"/>
  <c r="BN70" i="2"/>
  <c r="BN102" i="2"/>
  <c r="Y84" i="2"/>
  <c r="Y257" i="2"/>
  <c r="BN273" i="2"/>
  <c r="BP209" i="2"/>
  <c r="Y185" i="2"/>
  <c r="Y199" i="2"/>
  <c r="Y279" i="2"/>
  <c r="Y186" i="2"/>
  <c r="BN138" i="2"/>
  <c r="Y256" i="2"/>
  <c r="BN272" i="2"/>
  <c r="BN82" i="2"/>
  <c r="X282" i="2"/>
  <c r="Z58" i="2"/>
  <c r="Z95" i="2"/>
  <c r="Z151" i="2"/>
  <c r="Z211" i="2"/>
  <c r="Z217" i="2"/>
  <c r="BN275" i="2"/>
  <c r="BN41" i="2"/>
  <c r="BP41" i="2"/>
  <c r="Y44" i="2"/>
  <c r="X285" i="2"/>
  <c r="Y164" i="2"/>
  <c r="BN167" i="2"/>
  <c r="Y78" i="2"/>
  <c r="BN155" i="2"/>
  <c r="BP126" i="2"/>
  <c r="BP150" i="2"/>
  <c r="Y123" i="2"/>
  <c r="Y140" i="2"/>
  <c r="BN104" i="2"/>
  <c r="BN126" i="2"/>
  <c r="BP167" i="2"/>
  <c r="BP35" i="2"/>
  <c r="BN161" i="2"/>
  <c r="Y50" i="2"/>
  <c r="BN28" i="2"/>
  <c r="Y158" i="2"/>
  <c r="BP156" i="2"/>
  <c r="Y124" i="2"/>
  <c r="Y157" i="2"/>
  <c r="BN27" i="2"/>
  <c r="Y30" i="2"/>
  <c r="BN47" i="2"/>
  <c r="BN54" i="2"/>
  <c r="Z105" i="2"/>
  <c r="BN101" i="2"/>
  <c r="Y139" i="2"/>
  <c r="Y151" i="2"/>
  <c r="Z157" i="2"/>
  <c r="Z163" i="2"/>
  <c r="BN221" i="2"/>
  <c r="BN232" i="2"/>
  <c r="BN242" i="2"/>
  <c r="BN254" i="2"/>
  <c r="BN271" i="2"/>
  <c r="X283" i="2"/>
  <c r="Y37" i="2"/>
  <c r="Y36" i="2"/>
  <c r="X281" i="2"/>
  <c r="Y58" i="2"/>
  <c r="BP55" i="2"/>
  <c r="Y59" i="2"/>
  <c r="BN22" i="2"/>
  <c r="BP25" i="2"/>
  <c r="BP42" i="2"/>
  <c r="BN42" i="2"/>
  <c r="BN55" i="2"/>
  <c r="BN23" i="2"/>
  <c r="BN26" i="2"/>
  <c r="BN88" i="2"/>
  <c r="BP88" i="2"/>
  <c r="Y89" i="2"/>
  <c r="BN115" i="2"/>
  <c r="BN122" i="2"/>
  <c r="Y146" i="2"/>
  <c r="BN142" i="2"/>
  <c r="BP142" i="2"/>
  <c r="BN149" i="2"/>
  <c r="BP149" i="2"/>
  <c r="BN183" i="2"/>
  <c r="BN198" i="2"/>
  <c r="Y212" i="2"/>
  <c r="BN208" i="2"/>
  <c r="BP232" i="2"/>
  <c r="Y233" i="2"/>
  <c r="BN278" i="2"/>
  <c r="Z286" i="2" l="1"/>
  <c r="X284" i="2"/>
  <c r="Y283" i="2"/>
  <c r="Y281" i="2"/>
  <c r="Y285" i="2"/>
  <c r="Y282" i="2"/>
  <c r="Y284" i="2" l="1"/>
  <c r="A294" i="2" s="1"/>
  <c r="B294" i="2"/>
  <c r="C294" i="2"/>
</calcChain>
</file>

<file path=xl/sharedStrings.xml><?xml version="1.0" encoding="utf-8"?>
<sst xmlns="http://schemas.openxmlformats.org/spreadsheetml/2006/main" count="1749" uniqueCount="406">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</sst>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4"/>
  <sheetViews>
    <sheetView showGridLines="0" tabSelected="1" zoomScaleNormal="100" zoomScaleSheetLayoutView="100" workbookViewId="0">
      <selection activeCell="AA34" sqref="AA34"/>
    </sheetView>
  </sheetViews>
  <sheetFormatPr defaultColWidth="9.140625" defaultRowHeight="12.75" x14ac:dyDescent="0.2"/>
  <cols>
    <col min="1" max="1" width="9.140625" style="1"/>
    <col min="2" max="2" width="10.71093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71093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9" t="s">
        <v>26</v>
      </c>
      <c r="E1" s="289"/>
      <c r="F1" s="289"/>
      <c r="G1" s="14" t="s">
        <v>70</v>
      </c>
      <c r="H1" s="289" t="s">
        <v>47</v>
      </c>
      <c r="I1" s="289"/>
      <c r="J1" s="289"/>
      <c r="K1" s="289"/>
      <c r="L1" s="289"/>
      <c r="M1" s="289"/>
      <c r="N1" s="289"/>
      <c r="O1" s="289"/>
      <c r="P1" s="289"/>
      <c r="Q1" s="289"/>
      <c r="R1" s="290" t="s">
        <v>71</v>
      </c>
      <c r="S1" s="291"/>
      <c r="T1" s="29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2"/>
      <c r="Q3" s="292"/>
      <c r="R3" s="292"/>
      <c r="S3" s="292"/>
      <c r="T3" s="292"/>
      <c r="U3" s="292"/>
      <c r="V3" s="292"/>
      <c r="W3" s="29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3" t="s">
        <v>8</v>
      </c>
      <c r="B5" s="293"/>
      <c r="C5" s="293"/>
      <c r="D5" s="294"/>
      <c r="E5" s="294"/>
      <c r="F5" s="295" t="s">
        <v>14</v>
      </c>
      <c r="G5" s="295"/>
      <c r="H5" s="294" t="s">
        <v>405</v>
      </c>
      <c r="I5" s="294"/>
      <c r="J5" s="294"/>
      <c r="K5" s="294"/>
      <c r="L5" s="294"/>
      <c r="M5" s="294"/>
      <c r="N5" s="75"/>
      <c r="P5" s="27" t="s">
        <v>4</v>
      </c>
      <c r="Q5" s="296">
        <v>46242</v>
      </c>
      <c r="R5" s="296"/>
      <c r="T5" s="297" t="s">
        <v>3</v>
      </c>
      <c r="U5" s="298"/>
      <c r="V5" s="299" t="s">
        <v>391</v>
      </c>
      <c r="W5" s="300"/>
      <c r="AB5" s="59"/>
      <c r="AC5" s="59"/>
      <c r="AD5" s="59"/>
      <c r="AE5" s="59"/>
    </row>
    <row r="6" spans="1:32" s="17" customFormat="1" ht="24" customHeight="1" x14ac:dyDescent="0.2">
      <c r="A6" s="293" t="s">
        <v>1</v>
      </c>
      <c r="B6" s="293"/>
      <c r="C6" s="293"/>
      <c r="D6" s="301" t="s">
        <v>79</v>
      </c>
      <c r="E6" s="301"/>
      <c r="F6" s="301"/>
      <c r="G6" s="301"/>
      <c r="H6" s="301"/>
      <c r="I6" s="301"/>
      <c r="J6" s="301"/>
      <c r="K6" s="301"/>
      <c r="L6" s="301"/>
      <c r="M6" s="301"/>
      <c r="N6" s="76"/>
      <c r="P6" s="27" t="s">
        <v>27</v>
      </c>
      <c r="Q6" s="302" t="str">
        <f>IF(Q5=0," ",CHOOSE(WEEKDAY(Q5,2),"Понедельник","Вторник","Среда","Четверг","Пятница","Суббота","Воскресенье"))</f>
        <v>Суббота</v>
      </c>
      <c r="R6" s="302"/>
      <c r="T6" s="303" t="s">
        <v>5</v>
      </c>
      <c r="U6" s="304"/>
      <c r="V6" s="305" t="s">
        <v>73</v>
      </c>
      <c r="W6" s="30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77"/>
      <c r="P7" s="29"/>
      <c r="Q7" s="48"/>
      <c r="R7" s="48"/>
      <c r="T7" s="303"/>
      <c r="U7" s="304"/>
      <c r="V7" s="307"/>
      <c r="W7" s="308"/>
      <c r="AB7" s="59"/>
      <c r="AC7" s="59"/>
      <c r="AD7" s="59"/>
      <c r="AE7" s="59"/>
    </row>
    <row r="8" spans="1:32" s="17" customFormat="1" ht="25.5" customHeight="1" x14ac:dyDescent="0.2">
      <c r="A8" s="314" t="s">
        <v>58</v>
      </c>
      <c r="B8" s="314"/>
      <c r="C8" s="314"/>
      <c r="D8" s="315" t="s">
        <v>80</v>
      </c>
      <c r="E8" s="315"/>
      <c r="F8" s="315"/>
      <c r="G8" s="315"/>
      <c r="H8" s="315"/>
      <c r="I8" s="315"/>
      <c r="J8" s="315"/>
      <c r="K8" s="315"/>
      <c r="L8" s="315"/>
      <c r="M8" s="315"/>
      <c r="N8" s="78"/>
      <c r="P8" s="27" t="s">
        <v>11</v>
      </c>
      <c r="Q8" s="316">
        <v>0.41666666666666669</v>
      </c>
      <c r="R8" s="316"/>
      <c r="T8" s="303"/>
      <c r="U8" s="304"/>
      <c r="V8" s="307"/>
      <c r="W8" s="308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/>
      <c r="R9" s="321"/>
      <c r="T9" s="303"/>
      <c r="U9" s="304"/>
      <c r="V9" s="309"/>
      <c r="W9" s="31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/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6"/>
      <c r="R12" s="316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hidden="1" customHeight="1" x14ac:dyDescent="0.2">
      <c r="A19" s="357" t="s">
        <v>81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hidden="1" customHeight="1" x14ac:dyDescent="0.25">
      <c r="A20" s="358" t="s">
        <v>81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hidden="1" customHeight="1" x14ac:dyDescent="0.25">
      <c r="A21" s="359" t="s">
        <v>82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8" t="s">
        <v>106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hidden="1" customHeight="1" x14ac:dyDescent="0.25">
      <c r="A33" s="359" t="s">
        <v>82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60</v>
      </c>
      <c r="Y34" s="55">
        <f>IFERROR(IF(X34="","",X34),"")</f>
        <v>60</v>
      </c>
      <c r="Z34" s="41">
        <f>IFERROR(IF(X34="","",X34*0.0155),"")</f>
        <v>0.92999999999999994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432.36</v>
      </c>
      <c r="BN34" s="81">
        <f>IFERROR(Y34*I34,"0")</f>
        <v>432.36</v>
      </c>
      <c r="BO34" s="81">
        <f>IFERROR(X34/J34,"0")</f>
        <v>0.7142857142857143</v>
      </c>
      <c r="BP34" s="81">
        <f>IFERROR(Y34/J34,"0")</f>
        <v>0.7142857142857143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60</v>
      </c>
      <c r="Y36" s="43">
        <f>IFERROR(SUM(Y34:Y35),"0")</f>
        <v>60</v>
      </c>
      <c r="Z36" s="43">
        <f>IFERROR(IF(Z34="",0,Z34),"0")+IFERROR(IF(Z35="",0,Z35),"0")</f>
        <v>0.92999999999999994</v>
      </c>
      <c r="AA36" s="67"/>
      <c r="AB36" s="67"/>
      <c r="AC36" s="67"/>
    </row>
    <row r="37" spans="1:68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412.8</v>
      </c>
      <c r="Y37" s="43">
        <f>IFERROR(SUMPRODUCT(Y34:Y35*H34:H35),"0")</f>
        <v>412.8</v>
      </c>
      <c r="Z37" s="42"/>
      <c r="AA37" s="67"/>
      <c r="AB37" s="67"/>
      <c r="AC37" s="67"/>
    </row>
    <row r="38" spans="1:68" ht="27.75" hidden="1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hidden="1" customHeight="1" x14ac:dyDescent="0.25">
      <c r="A39" s="358" t="s">
        <v>112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hidden="1" customHeight="1" x14ac:dyDescent="0.25">
      <c r="A40" s="359" t="s">
        <v>113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154</v>
      </c>
      <c r="Y42" s="55">
        <f>IFERROR(IF(X42="","",X42),"")</f>
        <v>154</v>
      </c>
      <c r="Z42" s="41">
        <f>IFERROR(IF(X42="","",X42*0.00941),"")</f>
        <v>1.4491400000000001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295.9572</v>
      </c>
      <c r="BN42" s="81">
        <f>IFERROR(Y42*I42,"0")</f>
        <v>295.9572</v>
      </c>
      <c r="BO42" s="81">
        <f>IFERROR(X42/J42,"0")</f>
        <v>1.1000000000000001</v>
      </c>
      <c r="BP42" s="81">
        <f>IFERROR(Y42/J42,"0")</f>
        <v>1.1000000000000001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252</v>
      </c>
      <c r="Y43" s="43">
        <f>IFERROR(SUM(Y41:Y42),"0")</f>
        <v>252</v>
      </c>
      <c r="Z43" s="43">
        <f>IFERROR(IF(Z41="",0,Z41),"0")+IFERROR(IF(Z42="",0,Z42),"0")</f>
        <v>2.3713199999999999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378</v>
      </c>
      <c r="Y44" s="43">
        <f>IFERROR(SUMPRODUCT(Y41:Y42*H41:H42),"0")</f>
        <v>378</v>
      </c>
      <c r="Z44" s="42"/>
      <c r="AA44" s="67"/>
      <c r="AB44" s="67"/>
      <c r="AC44" s="67"/>
    </row>
    <row r="45" spans="1:68" ht="16.5" hidden="1" customHeight="1" x14ac:dyDescent="0.25">
      <c r="A45" s="358" t="s">
        <v>123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hidden="1" customHeight="1" x14ac:dyDescent="0.25">
      <c r="A46" s="359" t="s">
        <v>82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156</v>
      </c>
      <c r="Y47" s="55">
        <f>IFERROR(IF(X47="","",X47),"")</f>
        <v>156</v>
      </c>
      <c r="Z47" s="41">
        <f>IFERROR(IF(X47="","",X47*0.0155),"")</f>
        <v>2.4180000000000001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915.72</v>
      </c>
      <c r="BN47" s="81">
        <f>IFERROR(Y47*I47,"0")</f>
        <v>915.72</v>
      </c>
      <c r="BO47" s="81">
        <f>IFERROR(X47/J47,"0")</f>
        <v>1.8571428571428572</v>
      </c>
      <c r="BP47" s="81">
        <f>IFERROR(Y47/J47,"0")</f>
        <v>1.8571428571428572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130</v>
      </c>
      <c r="B49" s="63" t="s">
        <v>131</v>
      </c>
      <c r="C49" s="36">
        <v>4301071091</v>
      </c>
      <c r="D49" s="360">
        <v>4620207490044</v>
      </c>
      <c r="E49" s="360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119</v>
      </c>
      <c r="M49" s="38" t="s">
        <v>86</v>
      </c>
      <c r="N49" s="38"/>
      <c r="O49" s="37">
        <v>180</v>
      </c>
      <c r="P49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2"/>
      <c r="R49" s="362"/>
      <c r="S49" s="362"/>
      <c r="T49" s="363"/>
      <c r="U49" s="39" t="s">
        <v>46</v>
      </c>
      <c r="V49" s="39" t="s">
        <v>46</v>
      </c>
      <c r="W49" s="40" t="s">
        <v>39</v>
      </c>
      <c r="X49" s="58">
        <v>168</v>
      </c>
      <c r="Y49" s="55">
        <f>IFERROR(IF(X49="","",X49),"")</f>
        <v>168</v>
      </c>
      <c r="Z49" s="41">
        <f>IFERROR(IF(X49="","",X49*0.0155),"")</f>
        <v>2.6040000000000001</v>
      </c>
      <c r="AA49" s="68" t="s">
        <v>46</v>
      </c>
      <c r="AB49" s="69" t="s">
        <v>46</v>
      </c>
      <c r="AC49" s="117" t="s">
        <v>132</v>
      </c>
      <c r="AG49" s="81"/>
      <c r="AJ49" s="87" t="s">
        <v>120</v>
      </c>
      <c r="AK49" s="87">
        <v>12</v>
      </c>
      <c r="BB49" s="118" t="s">
        <v>70</v>
      </c>
      <c r="BM49" s="81">
        <f>IFERROR(X49*I49,"0")</f>
        <v>986.16</v>
      </c>
      <c r="BN49" s="81">
        <f>IFERROR(Y49*I49,"0")</f>
        <v>986.16</v>
      </c>
      <c r="BO49" s="81">
        <f>IFERROR(X49/J49,"0")</f>
        <v>2</v>
      </c>
      <c r="BP49" s="81">
        <f>IFERROR(Y49/J49,"0")</f>
        <v>2</v>
      </c>
    </row>
    <row r="50" spans="1:68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39</v>
      </c>
      <c r="X50" s="43">
        <f>IFERROR(SUM(X47:X49),"0")</f>
        <v>324</v>
      </c>
      <c r="Y50" s="43">
        <f>IFERROR(SUM(Y47:Y49),"0")</f>
        <v>324</v>
      </c>
      <c r="Z50" s="43">
        <f>IFERROR(IF(Z47="",0,Z47),"0")+IFERROR(IF(Z48="",0,Z48),"0")+IFERROR(IF(Z49="",0,Z49),"0")</f>
        <v>5.0220000000000002</v>
      </c>
      <c r="AA50" s="67"/>
      <c r="AB50" s="67"/>
      <c r="AC50" s="67"/>
    </row>
    <row r="51" spans="1:68" x14ac:dyDescent="0.2">
      <c r="A51" s="374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5"/>
      <c r="P51" s="371" t="s">
        <v>40</v>
      </c>
      <c r="Q51" s="372"/>
      <c r="R51" s="372"/>
      <c r="S51" s="372"/>
      <c r="T51" s="372"/>
      <c r="U51" s="372"/>
      <c r="V51" s="373"/>
      <c r="W51" s="42" t="s">
        <v>0</v>
      </c>
      <c r="X51" s="43">
        <f>IFERROR(SUMPRODUCT(X47:X49*H47:H49),"0")</f>
        <v>1814.3999999999999</v>
      </c>
      <c r="Y51" s="43">
        <f>IFERROR(SUMPRODUCT(Y47:Y49*H47:H49),"0")</f>
        <v>1814.3999999999999</v>
      </c>
      <c r="Z51" s="42"/>
      <c r="AA51" s="67"/>
      <c r="AB51" s="67"/>
      <c r="AC51" s="67"/>
    </row>
    <row r="52" spans="1:68" ht="16.5" hidden="1" customHeight="1" x14ac:dyDescent="0.25">
      <c r="A52" s="358" t="s">
        <v>133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5"/>
      <c r="AB52" s="65"/>
      <c r="AC52" s="82"/>
    </row>
    <row r="53" spans="1:68" ht="14.25" hidden="1" customHeight="1" x14ac:dyDescent="0.25">
      <c r="A53" s="359" t="s">
        <v>82</v>
      </c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  <c r="AA53" s="66"/>
      <c r="AB53" s="66"/>
      <c r="AC53" s="83"/>
    </row>
    <row r="54" spans="1:68" ht="27" customHeight="1" x14ac:dyDescent="0.25">
      <c r="A54" s="63" t="s">
        <v>134</v>
      </c>
      <c r="B54" s="63" t="s">
        <v>135</v>
      </c>
      <c r="C54" s="36">
        <v>4301071044</v>
      </c>
      <c r="D54" s="360">
        <v>4607111039385</v>
      </c>
      <c r="E54" s="360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120</v>
      </c>
      <c r="Y54" s="55">
        <f>IFERROR(IF(X54="","",X54),"")</f>
        <v>120</v>
      </c>
      <c r="Z54" s="41">
        <f>IFERROR(IF(X54="","",X54*0.0155),"")</f>
        <v>1.8599999999999999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876</v>
      </c>
      <c r="BN54" s="81">
        <f>IFERROR(Y54*I54,"0")</f>
        <v>876</v>
      </c>
      <c r="BO54" s="81">
        <f>IFERROR(X54/J54,"0")</f>
        <v>1.4285714285714286</v>
      </c>
      <c r="BP54" s="81">
        <f>IFERROR(Y54/J54,"0")</f>
        <v>1.4285714285714286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4301071031</v>
      </c>
      <c r="D55" s="360">
        <v>4607111038982</v>
      </c>
      <c r="E55" s="360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139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4301071046</v>
      </c>
      <c r="D56" s="360">
        <v>4607111039354</v>
      </c>
      <c r="E56" s="360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139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4301071047</v>
      </c>
      <c r="D57" s="360">
        <v>4607111039330</v>
      </c>
      <c r="E57" s="36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119</v>
      </c>
      <c r="M57" s="38" t="s">
        <v>86</v>
      </c>
      <c r="N57" s="38"/>
      <c r="O57" s="37">
        <v>180</v>
      </c>
      <c r="P57" s="38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2"/>
      <c r="R57" s="362"/>
      <c r="S57" s="362"/>
      <c r="T57" s="363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139</v>
      </c>
      <c r="AG57" s="81"/>
      <c r="AJ57" s="87" t="s">
        <v>120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39</v>
      </c>
      <c r="X58" s="43">
        <f>IFERROR(SUM(X54:X57),"0")</f>
        <v>120</v>
      </c>
      <c r="Y58" s="43">
        <f>IFERROR(SUM(Y54:Y57),"0")</f>
        <v>120</v>
      </c>
      <c r="Z58" s="43">
        <f>IFERROR(IF(Z54="",0,Z54),"0")+IFERROR(IF(Z55="",0,Z55),"0")+IFERROR(IF(Z56="",0,Z56),"0")+IFERROR(IF(Z57="",0,Z57),"0")</f>
        <v>1.8599999999999999</v>
      </c>
      <c r="AA58" s="67"/>
      <c r="AB58" s="67"/>
      <c r="AC58" s="67"/>
    </row>
    <row r="59" spans="1:68" x14ac:dyDescent="0.2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5"/>
      <c r="P59" s="371" t="s">
        <v>40</v>
      </c>
      <c r="Q59" s="372"/>
      <c r="R59" s="372"/>
      <c r="S59" s="372"/>
      <c r="T59" s="372"/>
      <c r="U59" s="372"/>
      <c r="V59" s="373"/>
      <c r="W59" s="42" t="s">
        <v>0</v>
      </c>
      <c r="X59" s="43">
        <f>IFERROR(SUMPRODUCT(X54:X57*H54:H57),"0")</f>
        <v>840</v>
      </c>
      <c r="Y59" s="43">
        <f>IFERROR(SUMPRODUCT(Y54:Y57*H54:H57),"0")</f>
        <v>840</v>
      </c>
      <c r="Z59" s="42"/>
      <c r="AA59" s="67"/>
      <c r="AB59" s="67"/>
      <c r="AC59" s="67"/>
    </row>
    <row r="60" spans="1:68" ht="16.5" hidden="1" customHeight="1" x14ac:dyDescent="0.25">
      <c r="A60" s="358" t="s">
        <v>144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5"/>
      <c r="AB60" s="65"/>
      <c r="AC60" s="82"/>
    </row>
    <row r="61" spans="1:68" ht="14.25" hidden="1" customHeight="1" x14ac:dyDescent="0.25">
      <c r="A61" s="359" t="s">
        <v>82</v>
      </c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66"/>
      <c r="AB61" s="66"/>
      <c r="AC61" s="83"/>
    </row>
    <row r="62" spans="1:68" ht="16.5" hidden="1" customHeight="1" x14ac:dyDescent="0.25">
      <c r="A62" s="63" t="s">
        <v>145</v>
      </c>
      <c r="B62" s="63" t="s">
        <v>146</v>
      </c>
      <c r="C62" s="36">
        <v>4301071073</v>
      </c>
      <c r="D62" s="360">
        <v>4620207490822</v>
      </c>
      <c r="E62" s="360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2"/>
      <c r="R62" s="362"/>
      <c r="S62" s="362"/>
      <c r="T62" s="363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147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5"/>
      <c r="P64" s="371" t="s">
        <v>40</v>
      </c>
      <c r="Q64" s="372"/>
      <c r="R64" s="372"/>
      <c r="S64" s="372"/>
      <c r="T64" s="372"/>
      <c r="U64" s="372"/>
      <c r="V64" s="37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59" t="s">
        <v>113</v>
      </c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  <c r="AA65" s="66"/>
      <c r="AB65" s="66"/>
      <c r="AC65" s="83"/>
    </row>
    <row r="66" spans="1:68" ht="27" hidden="1" customHeight="1" x14ac:dyDescent="0.25">
      <c r="A66" s="63" t="s">
        <v>148</v>
      </c>
      <c r="B66" s="63" t="s">
        <v>149</v>
      </c>
      <c r="C66" s="36">
        <v>4301132194</v>
      </c>
      <c r="D66" s="360">
        <v>4607111039712</v>
      </c>
      <c r="E66" s="36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2"/>
      <c r="R66" s="362"/>
      <c r="S66" s="362"/>
      <c r="T66" s="36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5"/>
      <c r="P68" s="371" t="s">
        <v>40</v>
      </c>
      <c r="Q68" s="372"/>
      <c r="R68" s="372"/>
      <c r="S68" s="372"/>
      <c r="T68" s="372"/>
      <c r="U68" s="372"/>
      <c r="V68" s="37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59" t="s">
        <v>151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66"/>
      <c r="AB69" s="66"/>
      <c r="AC69" s="83"/>
    </row>
    <row r="70" spans="1:68" ht="16.5" hidden="1" customHeight="1" x14ac:dyDescent="0.25">
      <c r="A70" s="63" t="s">
        <v>152</v>
      </c>
      <c r="B70" s="63" t="s">
        <v>153</v>
      </c>
      <c r="C70" s="36">
        <v>4301136018</v>
      </c>
      <c r="D70" s="360">
        <v>4607111037008</v>
      </c>
      <c r="E70" s="360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155</v>
      </c>
      <c r="B71" s="63" t="s">
        <v>156</v>
      </c>
      <c r="C71" s="36">
        <v>4301136015</v>
      </c>
      <c r="D71" s="360">
        <v>4607111037398</v>
      </c>
      <c r="E71" s="360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5"/>
      <c r="P72" s="371" t="s">
        <v>40</v>
      </c>
      <c r="Q72" s="372"/>
      <c r="R72" s="372"/>
      <c r="S72" s="372"/>
      <c r="T72" s="372"/>
      <c r="U72" s="372"/>
      <c r="V72" s="37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59" t="s">
        <v>157</v>
      </c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66"/>
      <c r="AB74" s="66"/>
      <c r="AC74" s="83"/>
    </row>
    <row r="75" spans="1:68" ht="27" hidden="1" customHeight="1" x14ac:dyDescent="0.25">
      <c r="A75" s="63" t="s">
        <v>158</v>
      </c>
      <c r="B75" s="63" t="s">
        <v>159</v>
      </c>
      <c r="C75" s="36">
        <v>4301135664</v>
      </c>
      <c r="D75" s="360">
        <v>4607111039705</v>
      </c>
      <c r="E75" s="36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118</v>
      </c>
      <c r="L75" s="37" t="s">
        <v>88</v>
      </c>
      <c r="M75" s="38" t="s">
        <v>86</v>
      </c>
      <c r="N75" s="38"/>
      <c r="O75" s="37">
        <v>365</v>
      </c>
      <c r="P75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2"/>
      <c r="R75" s="362"/>
      <c r="S75" s="362"/>
      <c r="T75" s="36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89</v>
      </c>
      <c r="AK75" s="87">
        <v>1</v>
      </c>
      <c r="BB75" s="136" t="s">
        <v>117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hidden="1" customHeight="1" x14ac:dyDescent="0.25">
      <c r="A76" s="63" t="s">
        <v>160</v>
      </c>
      <c r="B76" s="63" t="s">
        <v>161</v>
      </c>
      <c r="C76" s="36">
        <v>4301135665</v>
      </c>
      <c r="D76" s="360">
        <v>4607111039729</v>
      </c>
      <c r="E76" s="360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118</v>
      </c>
      <c r="L76" s="37" t="s">
        <v>88</v>
      </c>
      <c r="M76" s="38" t="s">
        <v>86</v>
      </c>
      <c r="N76" s="38"/>
      <c r="O76" s="37">
        <v>365</v>
      </c>
      <c r="P76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2"/>
      <c r="R76" s="362"/>
      <c r="S76" s="362"/>
      <c r="T76" s="36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162</v>
      </c>
      <c r="AG76" s="81"/>
      <c r="AJ76" s="87" t="s">
        <v>89</v>
      </c>
      <c r="AK76" s="87">
        <v>1</v>
      </c>
      <c r="BB76" s="138" t="s">
        <v>117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163</v>
      </c>
      <c r="B77" s="63" t="s">
        <v>164</v>
      </c>
      <c r="C77" s="36">
        <v>4301135702</v>
      </c>
      <c r="D77" s="360">
        <v>4620207490228</v>
      </c>
      <c r="E77" s="360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118</v>
      </c>
      <c r="L77" s="37" t="s">
        <v>88</v>
      </c>
      <c r="M77" s="38" t="s">
        <v>86</v>
      </c>
      <c r="N77" s="38"/>
      <c r="O77" s="37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162</v>
      </c>
      <c r="AG77" s="81"/>
      <c r="AJ77" s="87" t="s">
        <v>89</v>
      </c>
      <c r="AK77" s="87">
        <v>1</v>
      </c>
      <c r="BB77" s="140" t="s">
        <v>117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idden="1" x14ac:dyDescent="0.2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5"/>
      <c r="P78" s="371" t="s">
        <v>40</v>
      </c>
      <c r="Q78" s="372"/>
      <c r="R78" s="372"/>
      <c r="S78" s="372"/>
      <c r="T78" s="372"/>
      <c r="U78" s="372"/>
      <c r="V78" s="37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idden="1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hidden="1" customHeight="1" x14ac:dyDescent="0.25">
      <c r="A80" s="358" t="s">
        <v>165</v>
      </c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65"/>
      <c r="AB80" s="65"/>
      <c r="AC80" s="82"/>
    </row>
    <row r="81" spans="1:68" ht="14.25" hidden="1" customHeight="1" x14ac:dyDescent="0.25">
      <c r="A81" s="359" t="s">
        <v>82</v>
      </c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66"/>
      <c r="AB81" s="66"/>
      <c r="AC81" s="83"/>
    </row>
    <row r="82" spans="1:68" ht="27" hidden="1" customHeight="1" x14ac:dyDescent="0.25">
      <c r="A82" s="63" t="s">
        <v>166</v>
      </c>
      <c r="B82" s="63" t="s">
        <v>167</v>
      </c>
      <c r="C82" s="36">
        <v>4301070977</v>
      </c>
      <c r="D82" s="360">
        <v>4607111037411</v>
      </c>
      <c r="E82" s="360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169</v>
      </c>
      <c r="L82" s="37" t="s">
        <v>119</v>
      </c>
      <c r="M82" s="38" t="s">
        <v>86</v>
      </c>
      <c r="N82" s="38"/>
      <c r="O82" s="37">
        <v>180</v>
      </c>
      <c r="P82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2"/>
      <c r="R82" s="362"/>
      <c r="S82" s="362"/>
      <c r="T82" s="363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168</v>
      </c>
      <c r="AG82" s="81"/>
      <c r="AJ82" s="87" t="s">
        <v>120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hidden="1" customHeight="1" x14ac:dyDescent="0.25">
      <c r="A83" s="63" t="s">
        <v>170</v>
      </c>
      <c r="B83" s="63" t="s">
        <v>171</v>
      </c>
      <c r="C83" s="36">
        <v>4301070981</v>
      </c>
      <c r="D83" s="360">
        <v>4607111036728</v>
      </c>
      <c r="E83" s="360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119</v>
      </c>
      <c r="M83" s="38" t="s">
        <v>86</v>
      </c>
      <c r="N83" s="38"/>
      <c r="O83" s="37">
        <v>180</v>
      </c>
      <c r="P83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2"/>
      <c r="R83" s="362"/>
      <c r="S83" s="362"/>
      <c r="T83" s="363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168</v>
      </c>
      <c r="AG83" s="81"/>
      <c r="AJ83" s="87" t="s">
        <v>120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5"/>
      <c r="P85" s="371" t="s">
        <v>40</v>
      </c>
      <c r="Q85" s="372"/>
      <c r="R85" s="372"/>
      <c r="S85" s="372"/>
      <c r="T85" s="372"/>
      <c r="U85" s="372"/>
      <c r="V85" s="373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58" t="s">
        <v>172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5"/>
      <c r="AB86" s="65"/>
      <c r="AC86" s="82"/>
    </row>
    <row r="87" spans="1:68" ht="14.25" hidden="1" customHeight="1" x14ac:dyDescent="0.25">
      <c r="A87" s="359" t="s">
        <v>157</v>
      </c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66"/>
      <c r="AB87" s="66"/>
      <c r="AC87" s="83"/>
    </row>
    <row r="88" spans="1:68" ht="27" customHeight="1" x14ac:dyDescent="0.25">
      <c r="A88" s="63" t="s">
        <v>173</v>
      </c>
      <c r="B88" s="63" t="s">
        <v>174</v>
      </c>
      <c r="C88" s="36">
        <v>4301135574</v>
      </c>
      <c r="D88" s="360">
        <v>4607111033659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56</v>
      </c>
      <c r="Y88" s="55">
        <f>IFERROR(IF(X88="","",X88),"")</f>
        <v>56</v>
      </c>
      <c r="Z88" s="41">
        <f>IFERROR(IF(X88="","",X88*0.01788),"")</f>
        <v>1.0012799999999999</v>
      </c>
      <c r="AA88" s="68" t="s">
        <v>46</v>
      </c>
      <c r="AB88" s="69" t="s">
        <v>46</v>
      </c>
      <c r="AC88" s="145" t="s">
        <v>175</v>
      </c>
      <c r="AG88" s="81"/>
      <c r="AJ88" s="87" t="s">
        <v>120</v>
      </c>
      <c r="AK88" s="87">
        <v>14</v>
      </c>
      <c r="BB88" s="146" t="s">
        <v>117</v>
      </c>
      <c r="BM88" s="81">
        <f>IFERROR(X88*I88,"0")</f>
        <v>241.00160000000002</v>
      </c>
      <c r="BN88" s="81">
        <f>IFERROR(Y88*I88,"0")</f>
        <v>241.00160000000002</v>
      </c>
      <c r="BO88" s="81">
        <f>IFERROR(X88/J88,"0")</f>
        <v>0.8</v>
      </c>
      <c r="BP88" s="81">
        <f>IFERROR(Y88/J88,"0")</f>
        <v>0.8</v>
      </c>
    </row>
    <row r="89" spans="1:68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5"/>
      <c r="P89" s="371" t="s">
        <v>40</v>
      </c>
      <c r="Q89" s="372"/>
      <c r="R89" s="372"/>
      <c r="S89" s="372"/>
      <c r="T89" s="372"/>
      <c r="U89" s="372"/>
      <c r="V89" s="373"/>
      <c r="W89" s="42" t="s">
        <v>39</v>
      </c>
      <c r="X89" s="43">
        <f>IFERROR(SUM(X88:X88),"0")</f>
        <v>56</v>
      </c>
      <c r="Y89" s="43">
        <f>IFERROR(SUM(Y88:Y88),"0")</f>
        <v>56</v>
      </c>
      <c r="Z89" s="43">
        <f>IFERROR(IF(Z88="",0,Z88),"0")</f>
        <v>1.0012799999999999</v>
      </c>
      <c r="AA89" s="67"/>
      <c r="AB89" s="67"/>
      <c r="AC89" s="67"/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0</v>
      </c>
      <c r="X90" s="43">
        <f>IFERROR(SUMPRODUCT(X88:X88*H88:H88),"0")</f>
        <v>201.6</v>
      </c>
      <c r="Y90" s="43">
        <f>IFERROR(SUMPRODUCT(Y88:Y88*H88:H88),"0")</f>
        <v>201.6</v>
      </c>
      <c r="Z90" s="42"/>
      <c r="AA90" s="67"/>
      <c r="AB90" s="67"/>
      <c r="AC90" s="67"/>
    </row>
    <row r="91" spans="1:68" ht="16.5" hidden="1" customHeight="1" x14ac:dyDescent="0.25">
      <c r="A91" s="358" t="s">
        <v>176</v>
      </c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65"/>
      <c r="AB91" s="65"/>
      <c r="AC91" s="82"/>
    </row>
    <row r="92" spans="1:68" ht="14.25" hidden="1" customHeight="1" x14ac:dyDescent="0.25">
      <c r="A92" s="359" t="s">
        <v>177</v>
      </c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66"/>
      <c r="AB92" s="66"/>
      <c r="AC92" s="83"/>
    </row>
    <row r="93" spans="1:68" ht="27" customHeight="1" x14ac:dyDescent="0.25">
      <c r="A93" s="63" t="s">
        <v>178</v>
      </c>
      <c r="B93" s="63" t="s">
        <v>179</v>
      </c>
      <c r="C93" s="36">
        <v>4301131047</v>
      </c>
      <c r="D93" s="360">
        <v>4607111034120</v>
      </c>
      <c r="E93" s="360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2"/>
      <c r="R93" s="362"/>
      <c r="S93" s="362"/>
      <c r="T93" s="363"/>
      <c r="U93" s="39" t="s">
        <v>46</v>
      </c>
      <c r="V93" s="39" t="s">
        <v>46</v>
      </c>
      <c r="W93" s="40" t="s">
        <v>39</v>
      </c>
      <c r="X93" s="58">
        <v>98</v>
      </c>
      <c r="Y93" s="55">
        <f>IFERROR(IF(X93="","",X93),"")</f>
        <v>98</v>
      </c>
      <c r="Z93" s="41">
        <f>IFERROR(IF(X93="","",X93*0.01788),"")</f>
        <v>1.75224</v>
      </c>
      <c r="AA93" s="68" t="s">
        <v>46</v>
      </c>
      <c r="AB93" s="69" t="s">
        <v>46</v>
      </c>
      <c r="AC93" s="147" t="s">
        <v>180</v>
      </c>
      <c r="AG93" s="81"/>
      <c r="AJ93" s="87" t="s">
        <v>120</v>
      </c>
      <c r="AK93" s="87">
        <v>14</v>
      </c>
      <c r="BB93" s="148" t="s">
        <v>117</v>
      </c>
      <c r="BM93" s="81">
        <f>IFERROR(X93*I93,"0")</f>
        <v>421.75280000000004</v>
      </c>
      <c r="BN93" s="81">
        <f>IFERROR(Y93*I93,"0")</f>
        <v>421.75280000000004</v>
      </c>
      <c r="BO93" s="81">
        <f>IFERROR(X93/J93,"0")</f>
        <v>1.4</v>
      </c>
      <c r="BP93" s="81">
        <f>IFERROR(Y93/J93,"0")</f>
        <v>1.4</v>
      </c>
    </row>
    <row r="94" spans="1:68" ht="27" customHeight="1" x14ac:dyDescent="0.25">
      <c r="A94" s="63" t="s">
        <v>181</v>
      </c>
      <c r="B94" s="63" t="s">
        <v>182</v>
      </c>
      <c r="C94" s="36">
        <v>4301131046</v>
      </c>
      <c r="D94" s="360">
        <v>4607111034137</v>
      </c>
      <c r="E94" s="360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84</v>
      </c>
      <c r="Y94" s="55">
        <f>IFERROR(IF(X94="","",X94),"")</f>
        <v>84</v>
      </c>
      <c r="Z94" s="41">
        <f>IFERROR(IF(X94="","",X94*0.01788),"")</f>
        <v>1.5019199999999999</v>
      </c>
      <c r="AA94" s="68" t="s">
        <v>46</v>
      </c>
      <c r="AB94" s="69" t="s">
        <v>46</v>
      </c>
      <c r="AC94" s="149" t="s">
        <v>183</v>
      </c>
      <c r="AG94" s="81"/>
      <c r="AJ94" s="87" t="s">
        <v>120</v>
      </c>
      <c r="AK94" s="87">
        <v>14</v>
      </c>
      <c r="BB94" s="150" t="s">
        <v>117</v>
      </c>
      <c r="BM94" s="81">
        <f>IFERROR(X94*I94,"0")</f>
        <v>361.50240000000002</v>
      </c>
      <c r="BN94" s="81">
        <f>IFERROR(Y94*I94,"0")</f>
        <v>361.50240000000002</v>
      </c>
      <c r="BO94" s="81">
        <f>IFERROR(X94/J94,"0")</f>
        <v>1.2</v>
      </c>
      <c r="BP94" s="81">
        <f>IFERROR(Y94/J94,"0")</f>
        <v>1.2</v>
      </c>
    </row>
    <row r="95" spans="1:68" x14ac:dyDescent="0.2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5"/>
      <c r="P95" s="371" t="s">
        <v>40</v>
      </c>
      <c r="Q95" s="372"/>
      <c r="R95" s="372"/>
      <c r="S95" s="372"/>
      <c r="T95" s="372"/>
      <c r="U95" s="372"/>
      <c r="V95" s="373"/>
      <c r="W95" s="42" t="s">
        <v>39</v>
      </c>
      <c r="X95" s="43">
        <f>IFERROR(SUM(X93:X94),"0")</f>
        <v>182</v>
      </c>
      <c r="Y95" s="43">
        <f>IFERROR(SUM(Y93:Y94),"0")</f>
        <v>182</v>
      </c>
      <c r="Z95" s="43">
        <f>IFERROR(IF(Z93="",0,Z93),"0")+IFERROR(IF(Z94="",0,Z94),"0")</f>
        <v>3.2541599999999997</v>
      </c>
      <c r="AA95" s="67"/>
      <c r="AB95" s="67"/>
      <c r="AC95" s="67"/>
    </row>
    <row r="96" spans="1:68" x14ac:dyDescent="0.2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5"/>
      <c r="P96" s="371" t="s">
        <v>40</v>
      </c>
      <c r="Q96" s="372"/>
      <c r="R96" s="372"/>
      <c r="S96" s="372"/>
      <c r="T96" s="372"/>
      <c r="U96" s="372"/>
      <c r="V96" s="373"/>
      <c r="W96" s="42" t="s">
        <v>0</v>
      </c>
      <c r="X96" s="43">
        <f>IFERROR(SUMPRODUCT(X93:X94*H93:H94),"0")</f>
        <v>655.20000000000005</v>
      </c>
      <c r="Y96" s="43">
        <f>IFERROR(SUMPRODUCT(Y93:Y94*H93:H94),"0")</f>
        <v>655.20000000000005</v>
      </c>
      <c r="Z96" s="42"/>
      <c r="AA96" s="67"/>
      <c r="AB96" s="67"/>
      <c r="AC96" s="67"/>
    </row>
    <row r="97" spans="1:68" ht="16.5" hidden="1" customHeight="1" x14ac:dyDescent="0.25">
      <c r="A97" s="358" t="s">
        <v>184</v>
      </c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65"/>
      <c r="AB97" s="65"/>
      <c r="AC97" s="82"/>
    </row>
    <row r="98" spans="1:68" ht="14.25" hidden="1" customHeight="1" x14ac:dyDescent="0.25">
      <c r="A98" s="359" t="s">
        <v>157</v>
      </c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66"/>
      <c r="AB98" s="66"/>
      <c r="AC98" s="83"/>
    </row>
    <row r="99" spans="1:68" ht="27" hidden="1" customHeight="1" x14ac:dyDescent="0.25">
      <c r="A99" s="63" t="s">
        <v>185</v>
      </c>
      <c r="B99" s="63" t="s">
        <v>186</v>
      </c>
      <c r="C99" s="36">
        <v>4301135763</v>
      </c>
      <c r="D99" s="360">
        <v>4620207491027</v>
      </c>
      <c r="E99" s="36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118</v>
      </c>
      <c r="L99" s="37" t="s">
        <v>88</v>
      </c>
      <c r="M99" s="38" t="s">
        <v>86</v>
      </c>
      <c r="N99" s="38"/>
      <c r="O99" s="37">
        <v>180</v>
      </c>
      <c r="P99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2"/>
      <c r="R99" s="362"/>
      <c r="S99" s="362"/>
      <c r="T99" s="36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175</v>
      </c>
      <c r="AG99" s="81"/>
      <c r="AJ99" s="87" t="s">
        <v>89</v>
      </c>
      <c r="AK99" s="87">
        <v>1</v>
      </c>
      <c r="BB99" s="152" t="s">
        <v>117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4301135793</v>
      </c>
      <c r="D100" s="360">
        <v>4620207491003</v>
      </c>
      <c r="E100" s="36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118</v>
      </c>
      <c r="L100" s="37" t="s">
        <v>119</v>
      </c>
      <c r="M100" s="38" t="s">
        <v>86</v>
      </c>
      <c r="N100" s="38"/>
      <c r="O100" s="37">
        <v>180</v>
      </c>
      <c r="P100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2"/>
      <c r="R100" s="362"/>
      <c r="S100" s="362"/>
      <c r="T100" s="363"/>
      <c r="U100" s="39" t="s">
        <v>46</v>
      </c>
      <c r="V100" s="39" t="s">
        <v>46</v>
      </c>
      <c r="W100" s="40" t="s">
        <v>39</v>
      </c>
      <c r="X100" s="58">
        <v>112</v>
      </c>
      <c r="Y100" s="55">
        <f t="shared" si="6"/>
        <v>112</v>
      </c>
      <c r="Z100" s="41">
        <f t="shared" si="7"/>
        <v>2.0025599999999999</v>
      </c>
      <c r="AA100" s="68" t="s">
        <v>46</v>
      </c>
      <c r="AB100" s="69" t="s">
        <v>46</v>
      </c>
      <c r="AC100" s="153" t="s">
        <v>175</v>
      </c>
      <c r="AG100" s="81"/>
      <c r="AJ100" s="87" t="s">
        <v>120</v>
      </c>
      <c r="AK100" s="87">
        <v>14</v>
      </c>
      <c r="BB100" s="154" t="s">
        <v>117</v>
      </c>
      <c r="BM100" s="81">
        <f t="shared" si="8"/>
        <v>401.36320000000001</v>
      </c>
      <c r="BN100" s="81">
        <f t="shared" si="9"/>
        <v>401.36320000000001</v>
      </c>
      <c r="BO100" s="81">
        <f t="shared" si="10"/>
        <v>1.6</v>
      </c>
      <c r="BP100" s="81">
        <f t="shared" si="11"/>
        <v>1.6</v>
      </c>
    </row>
    <row r="101" spans="1:68" ht="27" hidden="1" customHeight="1" x14ac:dyDescent="0.25">
      <c r="A101" s="63" t="s">
        <v>189</v>
      </c>
      <c r="B101" s="63" t="s">
        <v>190</v>
      </c>
      <c r="C101" s="36">
        <v>4301135768</v>
      </c>
      <c r="D101" s="360">
        <v>4620207491034</v>
      </c>
      <c r="E101" s="360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118</v>
      </c>
      <c r="L101" s="37" t="s">
        <v>88</v>
      </c>
      <c r="M101" s="38" t="s">
        <v>86</v>
      </c>
      <c r="N101" s="38"/>
      <c r="O101" s="37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2"/>
      <c r="R101" s="362"/>
      <c r="S101" s="362"/>
      <c r="T101" s="36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191</v>
      </c>
      <c r="AG101" s="81"/>
      <c r="AJ101" s="87" t="s">
        <v>89</v>
      </c>
      <c r="AK101" s="87">
        <v>1</v>
      </c>
      <c r="BB101" s="156" t="s">
        <v>117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4301135760</v>
      </c>
      <c r="D102" s="360">
        <v>4620207491010</v>
      </c>
      <c r="E102" s="360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118</v>
      </c>
      <c r="L102" s="37" t="s">
        <v>119</v>
      </c>
      <c r="M102" s="38" t="s">
        <v>86</v>
      </c>
      <c r="N102" s="38"/>
      <c r="O102" s="37">
        <v>180</v>
      </c>
      <c r="P102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2"/>
      <c r="R102" s="362"/>
      <c r="S102" s="362"/>
      <c r="T102" s="363"/>
      <c r="U102" s="39" t="s">
        <v>46</v>
      </c>
      <c r="V102" s="39" t="s">
        <v>46</v>
      </c>
      <c r="W102" s="40" t="s">
        <v>39</v>
      </c>
      <c r="X102" s="58">
        <v>112</v>
      </c>
      <c r="Y102" s="55">
        <f t="shared" si="6"/>
        <v>112</v>
      </c>
      <c r="Z102" s="41">
        <f t="shared" si="7"/>
        <v>2.0025599999999999</v>
      </c>
      <c r="AA102" s="68" t="s">
        <v>46</v>
      </c>
      <c r="AB102" s="69" t="s">
        <v>46</v>
      </c>
      <c r="AC102" s="157" t="s">
        <v>175</v>
      </c>
      <c r="AG102" s="81"/>
      <c r="AJ102" s="87" t="s">
        <v>120</v>
      </c>
      <c r="AK102" s="87">
        <v>14</v>
      </c>
      <c r="BB102" s="158" t="s">
        <v>117</v>
      </c>
      <c r="BM102" s="81">
        <f t="shared" si="8"/>
        <v>401.36320000000001</v>
      </c>
      <c r="BN102" s="81">
        <f t="shared" si="9"/>
        <v>401.36320000000001</v>
      </c>
      <c r="BO102" s="81">
        <f t="shared" si="10"/>
        <v>1.6</v>
      </c>
      <c r="BP102" s="81">
        <f t="shared" si="11"/>
        <v>1.6</v>
      </c>
    </row>
    <row r="103" spans="1:68" ht="27" hidden="1" customHeight="1" x14ac:dyDescent="0.25">
      <c r="A103" s="63" t="s">
        <v>194</v>
      </c>
      <c r="B103" s="63" t="s">
        <v>195</v>
      </c>
      <c r="C103" s="36">
        <v>4301135571</v>
      </c>
      <c r="D103" s="360">
        <v>4607111035028</v>
      </c>
      <c r="E103" s="360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118</v>
      </c>
      <c r="L103" s="37" t="s">
        <v>119</v>
      </c>
      <c r="M103" s="38" t="s">
        <v>86</v>
      </c>
      <c r="N103" s="38"/>
      <c r="O103" s="37">
        <v>180</v>
      </c>
      <c r="P103" s="40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2"/>
      <c r="R103" s="362"/>
      <c r="S103" s="362"/>
      <c r="T103" s="36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175</v>
      </c>
      <c r="AG103" s="81"/>
      <c r="AJ103" s="87" t="s">
        <v>120</v>
      </c>
      <c r="AK103" s="87">
        <v>14</v>
      </c>
      <c r="BB103" s="160" t="s">
        <v>117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196</v>
      </c>
      <c r="B104" s="63" t="s">
        <v>197</v>
      </c>
      <c r="C104" s="36">
        <v>4301135285</v>
      </c>
      <c r="D104" s="360">
        <v>4607111036407</v>
      </c>
      <c r="E104" s="360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84</v>
      </c>
      <c r="Y104" s="55">
        <f t="shared" si="6"/>
        <v>84</v>
      </c>
      <c r="Z104" s="41">
        <f t="shared" si="7"/>
        <v>1.5019199999999999</v>
      </c>
      <c r="AA104" s="68" t="s">
        <v>46</v>
      </c>
      <c r="AB104" s="69" t="s">
        <v>46</v>
      </c>
      <c r="AC104" s="161" t="s">
        <v>198</v>
      </c>
      <c r="AG104" s="81"/>
      <c r="AJ104" s="87" t="s">
        <v>120</v>
      </c>
      <c r="AK104" s="87">
        <v>14</v>
      </c>
      <c r="BB104" s="162" t="s">
        <v>117</v>
      </c>
      <c r="BM104" s="81">
        <f t="shared" si="8"/>
        <v>380.45280000000002</v>
      </c>
      <c r="BN104" s="81">
        <f t="shared" si="9"/>
        <v>380.45280000000002</v>
      </c>
      <c r="BO104" s="81">
        <f t="shared" si="10"/>
        <v>1.2</v>
      </c>
      <c r="BP104" s="81">
        <f t="shared" si="11"/>
        <v>1.2</v>
      </c>
    </row>
    <row r="105" spans="1:68" x14ac:dyDescent="0.2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5"/>
      <c r="P105" s="371" t="s">
        <v>40</v>
      </c>
      <c r="Q105" s="372"/>
      <c r="R105" s="372"/>
      <c r="S105" s="372"/>
      <c r="T105" s="372"/>
      <c r="U105" s="372"/>
      <c r="V105" s="373"/>
      <c r="W105" s="42" t="s">
        <v>39</v>
      </c>
      <c r="X105" s="43">
        <f>IFERROR(SUM(X99:X104),"0")</f>
        <v>308</v>
      </c>
      <c r="Y105" s="43">
        <f>IFERROR(SUM(Y99:Y104),"0")</f>
        <v>308</v>
      </c>
      <c r="Z105" s="43">
        <f>IFERROR(IF(Z99="",0,Z99),"0")+IFERROR(IF(Z100="",0,Z100),"0")+IFERROR(IF(Z101="",0,Z101),"0")+IFERROR(IF(Z102="",0,Z102),"0")+IFERROR(IF(Z103="",0,Z103),"0")+IFERROR(IF(Z104="",0,Z104),"0")</f>
        <v>5.5070399999999999</v>
      </c>
      <c r="AA105" s="67"/>
      <c r="AB105" s="67"/>
      <c r="AC105" s="67"/>
    </row>
    <row r="106" spans="1:68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0</v>
      </c>
      <c r="X106" s="43">
        <f>IFERROR(SUMPRODUCT(X99:X104*H99:H104),"0")</f>
        <v>997.92000000000007</v>
      </c>
      <c r="Y106" s="43">
        <f>IFERROR(SUMPRODUCT(Y99:Y104*H99:H104),"0")</f>
        <v>997.92000000000007</v>
      </c>
      <c r="Z106" s="42"/>
      <c r="AA106" s="67"/>
      <c r="AB106" s="67"/>
      <c r="AC106" s="67"/>
    </row>
    <row r="107" spans="1:68" ht="16.5" hidden="1" customHeight="1" x14ac:dyDescent="0.25">
      <c r="A107" s="358" t="s">
        <v>199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65"/>
      <c r="AB107" s="65"/>
      <c r="AC107" s="82"/>
    </row>
    <row r="108" spans="1:68" ht="14.25" hidden="1" customHeight="1" x14ac:dyDescent="0.25">
      <c r="A108" s="359" t="s">
        <v>151</v>
      </c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66"/>
      <c r="AB108" s="66"/>
      <c r="AC108" s="83"/>
    </row>
    <row r="109" spans="1:68" ht="27" customHeight="1" x14ac:dyDescent="0.25">
      <c r="A109" s="63" t="s">
        <v>200</v>
      </c>
      <c r="B109" s="63" t="s">
        <v>201</v>
      </c>
      <c r="C109" s="36">
        <v>4301136070</v>
      </c>
      <c r="D109" s="360">
        <v>4607025784012</v>
      </c>
      <c r="E109" s="360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118</v>
      </c>
      <c r="L109" s="37" t="s">
        <v>119</v>
      </c>
      <c r="M109" s="38" t="s">
        <v>86</v>
      </c>
      <c r="N109" s="38"/>
      <c r="O109" s="37">
        <v>180</v>
      </c>
      <c r="P109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2"/>
      <c r="R109" s="362"/>
      <c r="S109" s="362"/>
      <c r="T109" s="363"/>
      <c r="U109" s="39" t="s">
        <v>46</v>
      </c>
      <c r="V109" s="39" t="s">
        <v>46</v>
      </c>
      <c r="W109" s="40" t="s">
        <v>39</v>
      </c>
      <c r="X109" s="58">
        <v>84</v>
      </c>
      <c r="Y109" s="55">
        <f>IFERROR(IF(X109="","",X109),"")</f>
        <v>84</v>
      </c>
      <c r="Z109" s="41">
        <f>IFERROR(IF(X109="","",X109*0.00936),"")</f>
        <v>0.78624000000000005</v>
      </c>
      <c r="AA109" s="68" t="s">
        <v>46</v>
      </c>
      <c r="AB109" s="69" t="s">
        <v>46</v>
      </c>
      <c r="AC109" s="163" t="s">
        <v>202</v>
      </c>
      <c r="AG109" s="81"/>
      <c r="AJ109" s="87" t="s">
        <v>120</v>
      </c>
      <c r="AK109" s="87">
        <v>14</v>
      </c>
      <c r="BB109" s="164" t="s">
        <v>117</v>
      </c>
      <c r="BM109" s="81">
        <f>IFERROR(X109*I109,"0")</f>
        <v>209.26080000000002</v>
      </c>
      <c r="BN109" s="81">
        <f>IFERROR(Y109*I109,"0")</f>
        <v>209.26080000000002</v>
      </c>
      <c r="BO109" s="81">
        <f>IFERROR(X109/J109,"0")</f>
        <v>0.66666666666666663</v>
      </c>
      <c r="BP109" s="81">
        <f>IFERROR(Y109/J109,"0")</f>
        <v>0.66666666666666663</v>
      </c>
    </row>
    <row r="110" spans="1:68" ht="27" hidden="1" customHeight="1" x14ac:dyDescent="0.25">
      <c r="A110" s="63" t="s">
        <v>203</v>
      </c>
      <c r="B110" s="63" t="s">
        <v>204</v>
      </c>
      <c r="C110" s="36">
        <v>4301136079</v>
      </c>
      <c r="D110" s="360">
        <v>4607025784319</v>
      </c>
      <c r="E110" s="360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118</v>
      </c>
      <c r="L110" s="37" t="s">
        <v>119</v>
      </c>
      <c r="M110" s="38" t="s">
        <v>86</v>
      </c>
      <c r="N110" s="38"/>
      <c r="O110" s="37">
        <v>180</v>
      </c>
      <c r="P110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175</v>
      </c>
      <c r="AG110" s="81"/>
      <c r="AJ110" s="87" t="s">
        <v>120</v>
      </c>
      <c r="AK110" s="87">
        <v>14</v>
      </c>
      <c r="BB110" s="166" t="s">
        <v>117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5"/>
      <c r="P111" s="371" t="s">
        <v>40</v>
      </c>
      <c r="Q111" s="372"/>
      <c r="R111" s="372"/>
      <c r="S111" s="372"/>
      <c r="T111" s="372"/>
      <c r="U111" s="372"/>
      <c r="V111" s="373"/>
      <c r="W111" s="42" t="s">
        <v>39</v>
      </c>
      <c r="X111" s="43">
        <f>IFERROR(SUM(X109:X110),"0")</f>
        <v>84</v>
      </c>
      <c r="Y111" s="43">
        <f>IFERROR(SUM(Y109:Y110),"0")</f>
        <v>84</v>
      </c>
      <c r="Z111" s="43">
        <f>IFERROR(IF(Z109="",0,Z109),"0")+IFERROR(IF(Z110="",0,Z110),"0")</f>
        <v>0.78624000000000005</v>
      </c>
      <c r="AA111" s="67"/>
      <c r="AB111" s="67"/>
      <c r="AC111" s="67"/>
    </row>
    <row r="112" spans="1:68" x14ac:dyDescent="0.2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5"/>
      <c r="P112" s="371" t="s">
        <v>40</v>
      </c>
      <c r="Q112" s="372"/>
      <c r="R112" s="372"/>
      <c r="S112" s="372"/>
      <c r="T112" s="372"/>
      <c r="U112" s="372"/>
      <c r="V112" s="373"/>
      <c r="W112" s="42" t="s">
        <v>0</v>
      </c>
      <c r="X112" s="43">
        <f>IFERROR(SUMPRODUCT(X109:X110*H109:H110),"0")</f>
        <v>181.44</v>
      </c>
      <c r="Y112" s="43">
        <f>IFERROR(SUMPRODUCT(Y109:Y110*H109:H110),"0")</f>
        <v>181.44</v>
      </c>
      <c r="Z112" s="42"/>
      <c r="AA112" s="67"/>
      <c r="AB112" s="67"/>
      <c r="AC112" s="67"/>
    </row>
    <row r="113" spans="1:68" ht="16.5" hidden="1" customHeight="1" x14ac:dyDescent="0.25">
      <c r="A113" s="358" t="s">
        <v>205</v>
      </c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65"/>
      <c r="AB113" s="65"/>
      <c r="AC113" s="82"/>
    </row>
    <row r="114" spans="1:68" ht="14.25" hidden="1" customHeight="1" x14ac:dyDescent="0.25">
      <c r="A114" s="359" t="s">
        <v>82</v>
      </c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66"/>
      <c r="AB114" s="66"/>
      <c r="AC114" s="83"/>
    </row>
    <row r="115" spans="1:68" ht="27" hidden="1" customHeight="1" x14ac:dyDescent="0.25">
      <c r="A115" s="63" t="s">
        <v>206</v>
      </c>
      <c r="B115" s="63" t="s">
        <v>207</v>
      </c>
      <c r="C115" s="36">
        <v>4301071074</v>
      </c>
      <c r="D115" s="360">
        <v>4620207491157</v>
      </c>
      <c r="E115" s="360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2" si="12">IFERROR(IF(X115="","",X115),"")</f>
        <v>0</v>
      </c>
      <c r="Z115" s="41">
        <f t="shared" ref="Z115:Z122" si="13">IFERROR(IF(X115="","",X115*0.0155),"")</f>
        <v>0</v>
      </c>
      <c r="AA115" s="68" t="s">
        <v>46</v>
      </c>
      <c r="AB115" s="69" t="s">
        <v>46</v>
      </c>
      <c r="AC115" s="167" t="s">
        <v>208</v>
      </c>
      <c r="AG115" s="81"/>
      <c r="AJ115" s="87" t="s">
        <v>120</v>
      </c>
      <c r="AK115" s="87">
        <v>12</v>
      </c>
      <c r="BB115" s="168" t="s">
        <v>70</v>
      </c>
      <c r="BM115" s="81">
        <f t="shared" ref="BM115:BM122" si="14">IFERROR(X115*I115,"0")</f>
        <v>0</v>
      </c>
      <c r="BN115" s="81">
        <f t="shared" ref="BN115:BN122" si="15">IFERROR(Y115*I115,"0")</f>
        <v>0</v>
      </c>
      <c r="BO115" s="81">
        <f t="shared" ref="BO115:BO122" si="16">IFERROR(X115/J115,"0")</f>
        <v>0</v>
      </c>
      <c r="BP115" s="81">
        <f t="shared" ref="BP115:BP122" si="17">IFERROR(Y115/J115,"0")</f>
        <v>0</v>
      </c>
    </row>
    <row r="116" spans="1:68" ht="27" hidden="1" customHeight="1" x14ac:dyDescent="0.25">
      <c r="A116" s="63" t="s">
        <v>209</v>
      </c>
      <c r="B116" s="63" t="s">
        <v>210</v>
      </c>
      <c r="C116" s="36">
        <v>4301071121</v>
      </c>
      <c r="D116" s="360">
        <v>4620207491393</v>
      </c>
      <c r="E116" s="360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2"/>
      <c r="R116" s="362"/>
      <c r="S116" s="362"/>
      <c r="T116" s="36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211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4301071051</v>
      </c>
      <c r="D117" s="360">
        <v>4607111039262</v>
      </c>
      <c r="E117" s="360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2"/>
      <c r="R117" s="362"/>
      <c r="S117" s="362"/>
      <c r="T117" s="363"/>
      <c r="U117" s="39" t="s">
        <v>46</v>
      </c>
      <c r="V117" s="39" t="s">
        <v>46</v>
      </c>
      <c r="W117" s="40" t="s">
        <v>39</v>
      </c>
      <c r="X117" s="58">
        <v>72</v>
      </c>
      <c r="Y117" s="55">
        <f t="shared" si="12"/>
        <v>72</v>
      </c>
      <c r="Z117" s="41">
        <f t="shared" si="13"/>
        <v>1.1160000000000001</v>
      </c>
      <c r="AA117" s="68" t="s">
        <v>46</v>
      </c>
      <c r="AB117" s="69" t="s">
        <v>46</v>
      </c>
      <c r="AC117" s="171" t="s">
        <v>168</v>
      </c>
      <c r="AG117" s="81"/>
      <c r="AJ117" s="87" t="s">
        <v>120</v>
      </c>
      <c r="AK117" s="87">
        <v>12</v>
      </c>
      <c r="BB117" s="172" t="s">
        <v>70</v>
      </c>
      <c r="BM117" s="81">
        <f t="shared" si="14"/>
        <v>483.81119999999999</v>
      </c>
      <c r="BN117" s="81">
        <f t="shared" si="15"/>
        <v>483.81119999999999</v>
      </c>
      <c r="BO117" s="81">
        <f t="shared" si="16"/>
        <v>0.8571428571428571</v>
      </c>
      <c r="BP117" s="81">
        <f t="shared" si="17"/>
        <v>0.8571428571428571</v>
      </c>
    </row>
    <row r="118" spans="1:68" ht="27" customHeight="1" x14ac:dyDescent="0.25">
      <c r="A118" s="63" t="s">
        <v>214</v>
      </c>
      <c r="B118" s="63" t="s">
        <v>215</v>
      </c>
      <c r="C118" s="36">
        <v>4301071038</v>
      </c>
      <c r="D118" s="360">
        <v>4607111039248</v>
      </c>
      <c r="E118" s="360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2"/>
      <c r="R118" s="362"/>
      <c r="S118" s="362"/>
      <c r="T118" s="363"/>
      <c r="U118" s="39" t="s">
        <v>46</v>
      </c>
      <c r="V118" s="39" t="s">
        <v>46</v>
      </c>
      <c r="W118" s="40" t="s">
        <v>39</v>
      </c>
      <c r="X118" s="58">
        <v>144</v>
      </c>
      <c r="Y118" s="55">
        <f t="shared" si="12"/>
        <v>144</v>
      </c>
      <c r="Z118" s="41">
        <f t="shared" si="13"/>
        <v>2.2320000000000002</v>
      </c>
      <c r="AA118" s="68" t="s">
        <v>46</v>
      </c>
      <c r="AB118" s="69" t="s">
        <v>46</v>
      </c>
      <c r="AC118" s="173" t="s">
        <v>168</v>
      </c>
      <c r="AG118" s="81"/>
      <c r="AJ118" s="87" t="s">
        <v>120</v>
      </c>
      <c r="AK118" s="87">
        <v>12</v>
      </c>
      <c r="BB118" s="174" t="s">
        <v>70</v>
      </c>
      <c r="BM118" s="81">
        <f t="shared" si="14"/>
        <v>1051.2</v>
      </c>
      <c r="BN118" s="81">
        <f t="shared" si="15"/>
        <v>1051.2</v>
      </c>
      <c r="BO118" s="81">
        <f t="shared" si="16"/>
        <v>1.7142857142857142</v>
      </c>
      <c r="BP118" s="81">
        <f t="shared" si="17"/>
        <v>1.7142857142857142</v>
      </c>
    </row>
    <row r="119" spans="1:68" ht="27" hidden="1" customHeight="1" x14ac:dyDescent="0.25">
      <c r="A119" s="63" t="s">
        <v>216</v>
      </c>
      <c r="B119" s="63" t="s">
        <v>217</v>
      </c>
      <c r="C119" s="36">
        <v>4301070979</v>
      </c>
      <c r="D119" s="360">
        <v>4607111037145</v>
      </c>
      <c r="E119" s="360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2"/>
      <c r="R119" s="362"/>
      <c r="S119" s="362"/>
      <c r="T119" s="36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218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219</v>
      </c>
      <c r="B120" s="63" t="s">
        <v>220</v>
      </c>
      <c r="C120" s="36">
        <v>4301071075</v>
      </c>
      <c r="D120" s="360">
        <v>4620207491102</v>
      </c>
      <c r="E120" s="360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1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62"/>
      <c r="R120" s="362"/>
      <c r="S120" s="362"/>
      <c r="T120" s="36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4301071049</v>
      </c>
      <c r="D121" s="360">
        <v>4607111039293</v>
      </c>
      <c r="E121" s="360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87</v>
      </c>
      <c r="L121" s="37" t="s">
        <v>119</v>
      </c>
      <c r="M121" s="38" t="s">
        <v>86</v>
      </c>
      <c r="N121" s="38"/>
      <c r="O121" s="37">
        <v>180</v>
      </c>
      <c r="P121" s="41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62"/>
      <c r="R121" s="362"/>
      <c r="S121" s="362"/>
      <c r="T121" s="363"/>
      <c r="U121" s="39" t="s">
        <v>46</v>
      </c>
      <c r="V121" s="39" t="s">
        <v>46</v>
      </c>
      <c r="W121" s="40" t="s">
        <v>39</v>
      </c>
      <c r="X121" s="58">
        <v>72</v>
      </c>
      <c r="Y121" s="55">
        <f t="shared" si="12"/>
        <v>72</v>
      </c>
      <c r="Z121" s="41">
        <f t="shared" si="13"/>
        <v>1.1160000000000001</v>
      </c>
      <c r="AA121" s="68" t="s">
        <v>46</v>
      </c>
      <c r="AB121" s="69" t="s">
        <v>46</v>
      </c>
      <c r="AC121" s="179" t="s">
        <v>168</v>
      </c>
      <c r="AG121" s="81"/>
      <c r="AJ121" s="87" t="s">
        <v>120</v>
      </c>
      <c r="AK121" s="87">
        <v>12</v>
      </c>
      <c r="BB121" s="180" t="s">
        <v>70</v>
      </c>
      <c r="BM121" s="81">
        <f t="shared" si="14"/>
        <v>483.81119999999999</v>
      </c>
      <c r="BN121" s="81">
        <f t="shared" si="15"/>
        <v>483.81119999999999</v>
      </c>
      <c r="BO121" s="81">
        <f t="shared" si="16"/>
        <v>0.8571428571428571</v>
      </c>
      <c r="BP121" s="81">
        <f t="shared" si="17"/>
        <v>0.8571428571428571</v>
      </c>
    </row>
    <row r="122" spans="1:68" ht="27" customHeight="1" x14ac:dyDescent="0.25">
      <c r="A122" s="63" t="s">
        <v>224</v>
      </c>
      <c r="B122" s="63" t="s">
        <v>225</v>
      </c>
      <c r="C122" s="36">
        <v>4301071039</v>
      </c>
      <c r="D122" s="360">
        <v>4607111039279</v>
      </c>
      <c r="E122" s="360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87</v>
      </c>
      <c r="L122" s="37" t="s">
        <v>119</v>
      </c>
      <c r="M122" s="38" t="s">
        <v>86</v>
      </c>
      <c r="N122" s="38"/>
      <c r="O122" s="37">
        <v>180</v>
      </c>
      <c r="P122" s="41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62"/>
      <c r="R122" s="362"/>
      <c r="S122" s="362"/>
      <c r="T122" s="363"/>
      <c r="U122" s="39" t="s">
        <v>46</v>
      </c>
      <c r="V122" s="39" t="s">
        <v>46</v>
      </c>
      <c r="W122" s="40" t="s">
        <v>39</v>
      </c>
      <c r="X122" s="58">
        <v>120</v>
      </c>
      <c r="Y122" s="55">
        <f t="shared" si="12"/>
        <v>120</v>
      </c>
      <c r="Z122" s="41">
        <f t="shared" si="13"/>
        <v>1.8599999999999999</v>
      </c>
      <c r="AA122" s="68" t="s">
        <v>46</v>
      </c>
      <c r="AB122" s="69" t="s">
        <v>46</v>
      </c>
      <c r="AC122" s="181" t="s">
        <v>168</v>
      </c>
      <c r="AG122" s="81"/>
      <c r="AJ122" s="87" t="s">
        <v>120</v>
      </c>
      <c r="AK122" s="87">
        <v>12</v>
      </c>
      <c r="BB122" s="182" t="s">
        <v>70</v>
      </c>
      <c r="BM122" s="81">
        <f t="shared" si="14"/>
        <v>876</v>
      </c>
      <c r="BN122" s="81">
        <f t="shared" si="15"/>
        <v>876</v>
      </c>
      <c r="BO122" s="81">
        <f t="shared" si="16"/>
        <v>1.4285714285714286</v>
      </c>
      <c r="BP122" s="81">
        <f t="shared" si="17"/>
        <v>1.4285714285714286</v>
      </c>
    </row>
    <row r="123" spans="1:68" x14ac:dyDescent="0.2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5"/>
      <c r="P123" s="371" t="s">
        <v>40</v>
      </c>
      <c r="Q123" s="372"/>
      <c r="R123" s="372"/>
      <c r="S123" s="372"/>
      <c r="T123" s="372"/>
      <c r="U123" s="372"/>
      <c r="V123" s="373"/>
      <c r="W123" s="42" t="s">
        <v>39</v>
      </c>
      <c r="X123" s="43">
        <f>IFERROR(SUM(X115:X122),"0")</f>
        <v>408</v>
      </c>
      <c r="Y123" s="43">
        <f>IFERROR(SUM(Y115:Y122),"0")</f>
        <v>408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6.3239999999999998</v>
      </c>
      <c r="AA123" s="67"/>
      <c r="AB123" s="67"/>
      <c r="AC123" s="67"/>
    </row>
    <row r="124" spans="1:68" x14ac:dyDescent="0.2">
      <c r="A124" s="374"/>
      <c r="B124" s="374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5"/>
      <c r="P124" s="371" t="s">
        <v>40</v>
      </c>
      <c r="Q124" s="372"/>
      <c r="R124" s="372"/>
      <c r="S124" s="372"/>
      <c r="T124" s="372"/>
      <c r="U124" s="372"/>
      <c r="V124" s="373"/>
      <c r="W124" s="42" t="s">
        <v>0</v>
      </c>
      <c r="X124" s="43">
        <f>IFERROR(SUMPRODUCT(X115:X122*H115:H122),"0")</f>
        <v>2769.6</v>
      </c>
      <c r="Y124" s="43">
        <f>IFERROR(SUMPRODUCT(Y115:Y122*H115:H122),"0")</f>
        <v>2769.6</v>
      </c>
      <c r="Z124" s="42"/>
      <c r="AA124" s="67"/>
      <c r="AB124" s="67"/>
      <c r="AC124" s="67"/>
    </row>
    <row r="125" spans="1:68" ht="14.25" hidden="1" customHeight="1" x14ac:dyDescent="0.25">
      <c r="A125" s="359" t="s">
        <v>157</v>
      </c>
      <c r="B125" s="359"/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A125" s="66"/>
      <c r="AB125" s="66"/>
      <c r="AC125" s="83"/>
    </row>
    <row r="126" spans="1:68" ht="27" hidden="1" customHeight="1" x14ac:dyDescent="0.25">
      <c r="A126" s="63" t="s">
        <v>226</v>
      </c>
      <c r="B126" s="63" t="s">
        <v>227</v>
      </c>
      <c r="C126" s="36">
        <v>4301135826</v>
      </c>
      <c r="D126" s="360">
        <v>4620207490983</v>
      </c>
      <c r="E126" s="360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118</v>
      </c>
      <c r="L126" s="37" t="s">
        <v>88</v>
      </c>
      <c r="M126" s="38" t="s">
        <v>86</v>
      </c>
      <c r="N126" s="38"/>
      <c r="O126" s="37">
        <v>180</v>
      </c>
      <c r="P126" s="41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62"/>
      <c r="R126" s="362"/>
      <c r="S126" s="362"/>
      <c r="T126" s="363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5"/>
      <c r="P127" s="371" t="s">
        <v>40</v>
      </c>
      <c r="Q127" s="372"/>
      <c r="R127" s="372"/>
      <c r="S127" s="372"/>
      <c r="T127" s="372"/>
      <c r="U127" s="372"/>
      <c r="V127" s="373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4"/>
      <c r="B128" s="374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5"/>
      <c r="P128" s="371" t="s">
        <v>40</v>
      </c>
      <c r="Q128" s="372"/>
      <c r="R128" s="372"/>
      <c r="S128" s="372"/>
      <c r="T128" s="372"/>
      <c r="U128" s="372"/>
      <c r="V128" s="373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hidden="1" customHeight="1" x14ac:dyDescent="0.25">
      <c r="A129" s="359" t="s">
        <v>229</v>
      </c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  <c r="AA129" s="66"/>
      <c r="AB129" s="66"/>
      <c r="AC129" s="83"/>
    </row>
    <row r="130" spans="1:68" ht="27" hidden="1" customHeight="1" x14ac:dyDescent="0.25">
      <c r="A130" s="63" t="s">
        <v>230</v>
      </c>
      <c r="B130" s="63" t="s">
        <v>231</v>
      </c>
      <c r="C130" s="36">
        <v>4301071094</v>
      </c>
      <c r="D130" s="360">
        <v>4620207491140</v>
      </c>
      <c r="E130" s="360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1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62"/>
      <c r="R130" s="362"/>
      <c r="S130" s="362"/>
      <c r="T130" s="363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232</v>
      </c>
      <c r="AG130" s="81"/>
      <c r="AJ130" s="87" t="s">
        <v>89</v>
      </c>
      <c r="AK130" s="87">
        <v>1</v>
      </c>
      <c r="BB130" s="186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idden="1" x14ac:dyDescent="0.2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5"/>
      <c r="P131" s="371" t="s">
        <v>40</v>
      </c>
      <c r="Q131" s="372"/>
      <c r="R131" s="372"/>
      <c r="S131" s="372"/>
      <c r="T131" s="372"/>
      <c r="U131" s="372"/>
      <c r="V131" s="373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374"/>
      <c r="B132" s="374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5"/>
      <c r="P132" s="371" t="s">
        <v>40</v>
      </c>
      <c r="Q132" s="372"/>
      <c r="R132" s="372"/>
      <c r="S132" s="372"/>
      <c r="T132" s="372"/>
      <c r="U132" s="372"/>
      <c r="V132" s="373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hidden="1" customHeight="1" x14ac:dyDescent="0.25">
      <c r="A133" s="358" t="s">
        <v>233</v>
      </c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  <c r="AA133" s="65"/>
      <c r="AB133" s="65"/>
      <c r="AC133" s="82"/>
    </row>
    <row r="134" spans="1:68" ht="14.25" hidden="1" customHeight="1" x14ac:dyDescent="0.25">
      <c r="A134" s="359" t="s">
        <v>157</v>
      </c>
      <c r="B134" s="359"/>
      <c r="C134" s="359"/>
      <c r="D134" s="359"/>
      <c r="E134" s="359"/>
      <c r="F134" s="359"/>
      <c r="G134" s="359"/>
      <c r="H134" s="359"/>
      <c r="I134" s="359"/>
      <c r="J134" s="359"/>
      <c r="K134" s="359"/>
      <c r="L134" s="359"/>
      <c r="M134" s="359"/>
      <c r="N134" s="359"/>
      <c r="O134" s="359"/>
      <c r="P134" s="359"/>
      <c r="Q134" s="359"/>
      <c r="R134" s="359"/>
      <c r="S134" s="359"/>
      <c r="T134" s="359"/>
      <c r="U134" s="359"/>
      <c r="V134" s="359"/>
      <c r="W134" s="359"/>
      <c r="X134" s="359"/>
      <c r="Y134" s="359"/>
      <c r="Z134" s="359"/>
      <c r="AA134" s="66"/>
      <c r="AB134" s="66"/>
      <c r="AC134" s="83"/>
    </row>
    <row r="135" spans="1:68" ht="27" hidden="1" customHeight="1" x14ac:dyDescent="0.25">
      <c r="A135" s="63" t="s">
        <v>234</v>
      </c>
      <c r="B135" s="63" t="s">
        <v>235</v>
      </c>
      <c r="C135" s="36">
        <v>4301135848</v>
      </c>
      <c r="D135" s="360">
        <v>4620207491799</v>
      </c>
      <c r="E135" s="36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41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5" s="362"/>
      <c r="R135" s="362"/>
      <c r="S135" s="362"/>
      <c r="T135" s="36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hidden="1" customHeight="1" x14ac:dyDescent="0.25">
      <c r="A136" s="63" t="s">
        <v>237</v>
      </c>
      <c r="B136" s="63" t="s">
        <v>238</v>
      </c>
      <c r="C136" s="36">
        <v>4301135850</v>
      </c>
      <c r="D136" s="360">
        <v>4620207491492</v>
      </c>
      <c r="E136" s="360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1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6" s="362"/>
      <c r="R136" s="362"/>
      <c r="S136" s="362"/>
      <c r="T136" s="363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239</v>
      </c>
      <c r="B137" s="63" t="s">
        <v>240</v>
      </c>
      <c r="C137" s="36">
        <v>4301190118</v>
      </c>
      <c r="D137" s="360">
        <v>4620207491461</v>
      </c>
      <c r="E137" s="360"/>
      <c r="F137" s="62">
        <v>0.22</v>
      </c>
      <c r="G137" s="37">
        <v>6</v>
      </c>
      <c r="H137" s="62">
        <v>1.32</v>
      </c>
      <c r="I137" s="62">
        <v>1.74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1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7" s="362"/>
      <c r="R137" s="362"/>
      <c r="S137" s="362"/>
      <c r="T137" s="363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241</v>
      </c>
      <c r="B138" s="63" t="s">
        <v>242</v>
      </c>
      <c r="C138" s="36">
        <v>4301135865</v>
      </c>
      <c r="D138" s="360">
        <v>4620207491485</v>
      </c>
      <c r="E138" s="360"/>
      <c r="F138" s="62">
        <v>0.23</v>
      </c>
      <c r="G138" s="37">
        <v>6</v>
      </c>
      <c r="H138" s="62">
        <v>1.38</v>
      </c>
      <c r="I138" s="62">
        <v>1.8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8" s="362"/>
      <c r="R138" s="362"/>
      <c r="S138" s="362"/>
      <c r="T138" s="363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236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idden="1" x14ac:dyDescent="0.2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5"/>
      <c r="P139" s="371" t="s">
        <v>40</v>
      </c>
      <c r="Q139" s="372"/>
      <c r="R139" s="372"/>
      <c r="S139" s="372"/>
      <c r="T139" s="372"/>
      <c r="U139" s="372"/>
      <c r="V139" s="373"/>
      <c r="W139" s="42" t="s">
        <v>39</v>
      </c>
      <c r="X139" s="43">
        <f>IFERROR(SUM(X135:X138),"0")</f>
        <v>0</v>
      </c>
      <c r="Y139" s="43">
        <f>IFERROR(SUM(Y135:Y138),"0")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374"/>
      <c r="B140" s="374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5"/>
      <c r="P140" s="371" t="s">
        <v>40</v>
      </c>
      <c r="Q140" s="372"/>
      <c r="R140" s="372"/>
      <c r="S140" s="372"/>
      <c r="T140" s="372"/>
      <c r="U140" s="372"/>
      <c r="V140" s="373"/>
      <c r="W140" s="42" t="s">
        <v>0</v>
      </c>
      <c r="X140" s="43">
        <f>IFERROR(SUMPRODUCT(X135:X138*H135:H138),"0")</f>
        <v>0</v>
      </c>
      <c r="Y140" s="43">
        <f>IFERROR(SUMPRODUCT(Y135:Y138*H135:H138),"0")</f>
        <v>0</v>
      </c>
      <c r="Z140" s="42"/>
      <c r="AA140" s="67"/>
      <c r="AB140" s="67"/>
      <c r="AC140" s="67"/>
    </row>
    <row r="141" spans="1:68" ht="14.25" hidden="1" customHeight="1" x14ac:dyDescent="0.25">
      <c r="A141" s="359" t="s">
        <v>243</v>
      </c>
      <c r="B141" s="359"/>
      <c r="C141" s="359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59"/>
      <c r="P141" s="359"/>
      <c r="Q141" s="359"/>
      <c r="R141" s="359"/>
      <c r="S141" s="359"/>
      <c r="T141" s="359"/>
      <c r="U141" s="359"/>
      <c r="V141" s="359"/>
      <c r="W141" s="359"/>
      <c r="X141" s="359"/>
      <c r="Y141" s="359"/>
      <c r="Z141" s="359"/>
      <c r="AA141" s="66"/>
      <c r="AB141" s="66"/>
      <c r="AC141" s="83"/>
    </row>
    <row r="142" spans="1:68" ht="27" hidden="1" customHeight="1" x14ac:dyDescent="0.25">
      <c r="A142" s="63" t="s">
        <v>244</v>
      </c>
      <c r="B142" s="63" t="s">
        <v>245</v>
      </c>
      <c r="C142" s="36">
        <v>4301190117</v>
      </c>
      <c r="D142" s="360">
        <v>4620207491386</v>
      </c>
      <c r="E142" s="36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42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2" s="362"/>
      <c r="R142" s="362"/>
      <c r="S142" s="362"/>
      <c r="T142" s="36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247</v>
      </c>
      <c r="B143" s="63" t="s">
        <v>248</v>
      </c>
      <c r="C143" s="36">
        <v>4301190115</v>
      </c>
      <c r="D143" s="360">
        <v>4620207491362</v>
      </c>
      <c r="E143" s="36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42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3" s="362"/>
      <c r="R143" s="362"/>
      <c r="S143" s="362"/>
      <c r="T143" s="36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hidden="1" customHeight="1" x14ac:dyDescent="0.25">
      <c r="A144" s="63" t="s">
        <v>249</v>
      </c>
      <c r="B144" s="63" t="s">
        <v>250</v>
      </c>
      <c r="C144" s="36">
        <v>4301190116</v>
      </c>
      <c r="D144" s="360">
        <v>4620207491379</v>
      </c>
      <c r="E144" s="360"/>
      <c r="F144" s="62">
        <v>0.18</v>
      </c>
      <c r="G144" s="37">
        <v>6</v>
      </c>
      <c r="H144" s="62">
        <v>1.08</v>
      </c>
      <c r="I144" s="62">
        <v>1.3979999999999999</v>
      </c>
      <c r="J144" s="37">
        <v>140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42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4" s="362"/>
      <c r="R144" s="362"/>
      <c r="S144" s="362"/>
      <c r="T144" s="363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IFERROR(IF(X144="","",X144*0.00941),"")</f>
        <v>0</v>
      </c>
      <c r="AA144" s="68" t="s">
        <v>46</v>
      </c>
      <c r="AB144" s="69" t="s">
        <v>46</v>
      </c>
      <c r="AC144" s="199" t="s">
        <v>246</v>
      </c>
      <c r="AG144" s="81"/>
      <c r="AJ144" s="87" t="s">
        <v>89</v>
      </c>
      <c r="AK144" s="87">
        <v>1</v>
      </c>
      <c r="BB144" s="200" t="s">
        <v>117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idden="1" x14ac:dyDescent="0.2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5"/>
      <c r="P145" s="371" t="s">
        <v>40</v>
      </c>
      <c r="Q145" s="372"/>
      <c r="R145" s="372"/>
      <c r="S145" s="372"/>
      <c r="T145" s="372"/>
      <c r="U145" s="372"/>
      <c r="V145" s="373"/>
      <c r="W145" s="42" t="s">
        <v>39</v>
      </c>
      <c r="X145" s="43">
        <f>IFERROR(SUM(X142:X144),"0")</f>
        <v>0</v>
      </c>
      <c r="Y145" s="43">
        <f>IFERROR(SUM(Y142:Y144),"0")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374"/>
      <c r="B146" s="374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5"/>
      <c r="P146" s="371" t="s">
        <v>40</v>
      </c>
      <c r="Q146" s="372"/>
      <c r="R146" s="372"/>
      <c r="S146" s="372"/>
      <c r="T146" s="372"/>
      <c r="U146" s="372"/>
      <c r="V146" s="373"/>
      <c r="W146" s="42" t="s">
        <v>0</v>
      </c>
      <c r="X146" s="43">
        <f>IFERROR(SUMPRODUCT(X142:X144*H142:H144),"0")</f>
        <v>0</v>
      </c>
      <c r="Y146" s="43">
        <f>IFERROR(SUMPRODUCT(Y142:Y144*H142:H144),"0")</f>
        <v>0</v>
      </c>
      <c r="Z146" s="42"/>
      <c r="AA146" s="67"/>
      <c r="AB146" s="67"/>
      <c r="AC146" s="67"/>
    </row>
    <row r="147" spans="1:68" ht="16.5" hidden="1" customHeight="1" x14ac:dyDescent="0.25">
      <c r="A147" s="358" t="s">
        <v>251</v>
      </c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65"/>
      <c r="AB147" s="65"/>
      <c r="AC147" s="82"/>
    </row>
    <row r="148" spans="1:68" ht="14.25" hidden="1" customHeight="1" x14ac:dyDescent="0.25">
      <c r="A148" s="359" t="s">
        <v>157</v>
      </c>
      <c r="B148" s="359"/>
      <c r="C148" s="359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59"/>
      <c r="P148" s="359"/>
      <c r="Q148" s="359"/>
      <c r="R148" s="359"/>
      <c r="S148" s="359"/>
      <c r="T148" s="359"/>
      <c r="U148" s="359"/>
      <c r="V148" s="359"/>
      <c r="W148" s="359"/>
      <c r="X148" s="359"/>
      <c r="Y148" s="359"/>
      <c r="Z148" s="359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4301135555</v>
      </c>
      <c r="D149" s="360">
        <v>4607111034014</v>
      </c>
      <c r="E149" s="36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119</v>
      </c>
      <c r="M149" s="38" t="s">
        <v>86</v>
      </c>
      <c r="N149" s="38"/>
      <c r="O149" s="37">
        <v>180</v>
      </c>
      <c r="P149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9" s="362"/>
      <c r="R149" s="362"/>
      <c r="S149" s="362"/>
      <c r="T149" s="363"/>
      <c r="U149" s="39" t="s">
        <v>46</v>
      </c>
      <c r="V149" s="39" t="s">
        <v>46</v>
      </c>
      <c r="W149" s="40" t="s">
        <v>39</v>
      </c>
      <c r="X149" s="58">
        <v>154</v>
      </c>
      <c r="Y149" s="55">
        <f>IFERROR(IF(X149="","",X149),"")</f>
        <v>154</v>
      </c>
      <c r="Z149" s="41">
        <f>IFERROR(IF(X149="","",X149*0.01788),"")</f>
        <v>2.75352</v>
      </c>
      <c r="AA149" s="68" t="s">
        <v>46</v>
      </c>
      <c r="AB149" s="69" t="s">
        <v>46</v>
      </c>
      <c r="AC149" s="201" t="s">
        <v>254</v>
      </c>
      <c r="AG149" s="81"/>
      <c r="AJ149" s="87" t="s">
        <v>120</v>
      </c>
      <c r="AK149" s="87">
        <v>14</v>
      </c>
      <c r="BB149" s="202" t="s">
        <v>117</v>
      </c>
      <c r="BM149" s="81">
        <f>IFERROR(X149*I149,"0")</f>
        <v>570.35439999999994</v>
      </c>
      <c r="BN149" s="81">
        <f>IFERROR(Y149*I149,"0")</f>
        <v>570.35439999999994</v>
      </c>
      <c r="BO149" s="81">
        <f>IFERROR(X149/J149,"0")</f>
        <v>2.2000000000000002</v>
      </c>
      <c r="BP149" s="81">
        <f>IFERROR(Y149/J149,"0")</f>
        <v>2.2000000000000002</v>
      </c>
    </row>
    <row r="150" spans="1:68" ht="27" customHeight="1" x14ac:dyDescent="0.25">
      <c r="A150" s="63" t="s">
        <v>255</v>
      </c>
      <c r="B150" s="63" t="s">
        <v>256</v>
      </c>
      <c r="C150" s="36">
        <v>4301135532</v>
      </c>
      <c r="D150" s="360">
        <v>4607111033994</v>
      </c>
      <c r="E150" s="360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118</v>
      </c>
      <c r="L150" s="37" t="s">
        <v>119</v>
      </c>
      <c r="M150" s="38" t="s">
        <v>86</v>
      </c>
      <c r="N150" s="38"/>
      <c r="O150" s="37">
        <v>180</v>
      </c>
      <c r="P150" s="42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50" s="362"/>
      <c r="R150" s="362"/>
      <c r="S150" s="362"/>
      <c r="T150" s="363"/>
      <c r="U150" s="39" t="s">
        <v>46</v>
      </c>
      <c r="V150" s="39" t="s">
        <v>46</v>
      </c>
      <c r="W150" s="40" t="s">
        <v>39</v>
      </c>
      <c r="X150" s="58">
        <v>154</v>
      </c>
      <c r="Y150" s="55">
        <f>IFERROR(IF(X150="","",X150),"")</f>
        <v>154</v>
      </c>
      <c r="Z150" s="41">
        <f>IFERROR(IF(X150="","",X150*0.01788),"")</f>
        <v>2.75352</v>
      </c>
      <c r="AA150" s="68" t="s">
        <v>46</v>
      </c>
      <c r="AB150" s="69" t="s">
        <v>46</v>
      </c>
      <c r="AC150" s="203" t="s">
        <v>175</v>
      </c>
      <c r="AG150" s="81"/>
      <c r="AJ150" s="87" t="s">
        <v>120</v>
      </c>
      <c r="AK150" s="87">
        <v>14</v>
      </c>
      <c r="BB150" s="204" t="s">
        <v>117</v>
      </c>
      <c r="BM150" s="81">
        <f>IFERROR(X150*I150,"0")</f>
        <v>570.35439999999994</v>
      </c>
      <c r="BN150" s="81">
        <f>IFERROR(Y150*I150,"0")</f>
        <v>570.35439999999994</v>
      </c>
      <c r="BO150" s="81">
        <f>IFERROR(X150/J150,"0")</f>
        <v>2.2000000000000002</v>
      </c>
      <c r="BP150" s="81">
        <f>IFERROR(Y150/J150,"0")</f>
        <v>2.2000000000000002</v>
      </c>
    </row>
    <row r="151" spans="1:68" x14ac:dyDescent="0.2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5"/>
      <c r="P151" s="371" t="s">
        <v>40</v>
      </c>
      <c r="Q151" s="372"/>
      <c r="R151" s="372"/>
      <c r="S151" s="372"/>
      <c r="T151" s="372"/>
      <c r="U151" s="372"/>
      <c r="V151" s="373"/>
      <c r="W151" s="42" t="s">
        <v>39</v>
      </c>
      <c r="X151" s="43">
        <f>IFERROR(SUM(X149:X150),"0")</f>
        <v>308</v>
      </c>
      <c r="Y151" s="43">
        <f>IFERROR(SUM(Y149:Y150),"0")</f>
        <v>308</v>
      </c>
      <c r="Z151" s="43">
        <f>IFERROR(IF(Z149="",0,Z149),"0")+IFERROR(IF(Z150="",0,Z150),"0")</f>
        <v>5.5070399999999999</v>
      </c>
      <c r="AA151" s="67"/>
      <c r="AB151" s="67"/>
      <c r="AC151" s="67"/>
    </row>
    <row r="152" spans="1:68" x14ac:dyDescent="0.2">
      <c r="A152" s="374"/>
      <c r="B152" s="374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5"/>
      <c r="P152" s="371" t="s">
        <v>40</v>
      </c>
      <c r="Q152" s="372"/>
      <c r="R152" s="372"/>
      <c r="S152" s="372"/>
      <c r="T152" s="372"/>
      <c r="U152" s="372"/>
      <c r="V152" s="373"/>
      <c r="W152" s="42" t="s">
        <v>0</v>
      </c>
      <c r="X152" s="43">
        <f>IFERROR(SUMPRODUCT(X149:X150*H149:H150),"0")</f>
        <v>924</v>
      </c>
      <c r="Y152" s="43">
        <f>IFERROR(SUMPRODUCT(Y149:Y150*H149:H150),"0")</f>
        <v>924</v>
      </c>
      <c r="Z152" s="42"/>
      <c r="AA152" s="67"/>
      <c r="AB152" s="67"/>
      <c r="AC152" s="67"/>
    </row>
    <row r="153" spans="1:68" ht="16.5" hidden="1" customHeight="1" x14ac:dyDescent="0.25">
      <c r="A153" s="358" t="s">
        <v>257</v>
      </c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  <c r="AA153" s="65"/>
      <c r="AB153" s="65"/>
      <c r="AC153" s="82"/>
    </row>
    <row r="154" spans="1:68" ht="14.25" hidden="1" customHeight="1" x14ac:dyDescent="0.25">
      <c r="A154" s="359" t="s">
        <v>157</v>
      </c>
      <c r="B154" s="359"/>
      <c r="C154" s="359"/>
      <c r="D154" s="359"/>
      <c r="E154" s="359"/>
      <c r="F154" s="359"/>
      <c r="G154" s="359"/>
      <c r="H154" s="359"/>
      <c r="I154" s="359"/>
      <c r="J154" s="359"/>
      <c r="K154" s="359"/>
      <c r="L154" s="359"/>
      <c r="M154" s="359"/>
      <c r="N154" s="359"/>
      <c r="O154" s="359"/>
      <c r="P154" s="359"/>
      <c r="Q154" s="359"/>
      <c r="R154" s="359"/>
      <c r="S154" s="359"/>
      <c r="T154" s="359"/>
      <c r="U154" s="359"/>
      <c r="V154" s="359"/>
      <c r="W154" s="359"/>
      <c r="X154" s="359"/>
      <c r="Y154" s="359"/>
      <c r="Z154" s="359"/>
      <c r="AA154" s="66"/>
      <c r="AB154" s="66"/>
      <c r="AC154" s="83"/>
    </row>
    <row r="155" spans="1:68" ht="27" hidden="1" customHeight="1" x14ac:dyDescent="0.25">
      <c r="A155" s="63" t="s">
        <v>258</v>
      </c>
      <c r="B155" s="63" t="s">
        <v>259</v>
      </c>
      <c r="C155" s="36">
        <v>4301135824</v>
      </c>
      <c r="D155" s="360">
        <v>4607111039095</v>
      </c>
      <c r="E155" s="360"/>
      <c r="F155" s="62">
        <v>0.25</v>
      </c>
      <c r="G155" s="37">
        <v>12</v>
      </c>
      <c r="H155" s="62">
        <v>3</v>
      </c>
      <c r="I155" s="62">
        <v>3.7480000000000002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42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5" s="362"/>
      <c r="R155" s="362"/>
      <c r="S155" s="362"/>
      <c r="T155" s="363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16.5" customHeight="1" x14ac:dyDescent="0.25">
      <c r="A156" s="63" t="s">
        <v>261</v>
      </c>
      <c r="B156" s="63" t="s">
        <v>262</v>
      </c>
      <c r="C156" s="36">
        <v>4301135550</v>
      </c>
      <c r="D156" s="360">
        <v>4607111034199</v>
      </c>
      <c r="E156" s="360"/>
      <c r="F156" s="62">
        <v>0.25</v>
      </c>
      <c r="G156" s="37">
        <v>12</v>
      </c>
      <c r="H156" s="62">
        <v>3</v>
      </c>
      <c r="I156" s="62">
        <v>3.7035999999999998</v>
      </c>
      <c r="J156" s="37">
        <v>70</v>
      </c>
      <c r="K156" s="37" t="s">
        <v>118</v>
      </c>
      <c r="L156" s="37" t="s">
        <v>119</v>
      </c>
      <c r="M156" s="38" t="s">
        <v>86</v>
      </c>
      <c r="N156" s="38"/>
      <c r="O156" s="37">
        <v>180</v>
      </c>
      <c r="P156" s="42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6" s="362"/>
      <c r="R156" s="362"/>
      <c r="S156" s="362"/>
      <c r="T156" s="363"/>
      <c r="U156" s="39" t="s">
        <v>46</v>
      </c>
      <c r="V156" s="39" t="s">
        <v>46</v>
      </c>
      <c r="W156" s="40" t="s">
        <v>39</v>
      </c>
      <c r="X156" s="58">
        <v>126</v>
      </c>
      <c r="Y156" s="55">
        <f>IFERROR(IF(X156="","",X156),"")</f>
        <v>126</v>
      </c>
      <c r="Z156" s="41">
        <f>IFERROR(IF(X156="","",X156*0.01788),"")</f>
        <v>2.2528800000000002</v>
      </c>
      <c r="AA156" s="68" t="s">
        <v>46</v>
      </c>
      <c r="AB156" s="69" t="s">
        <v>46</v>
      </c>
      <c r="AC156" s="207" t="s">
        <v>263</v>
      </c>
      <c r="AG156" s="81"/>
      <c r="AJ156" s="87" t="s">
        <v>120</v>
      </c>
      <c r="AK156" s="87">
        <v>14</v>
      </c>
      <c r="BB156" s="208" t="s">
        <v>117</v>
      </c>
      <c r="BM156" s="81">
        <f>IFERROR(X156*I156,"0")</f>
        <v>466.65359999999998</v>
      </c>
      <c r="BN156" s="81">
        <f>IFERROR(Y156*I156,"0")</f>
        <v>466.65359999999998</v>
      </c>
      <c r="BO156" s="81">
        <f>IFERROR(X156/J156,"0")</f>
        <v>1.8</v>
      </c>
      <c r="BP156" s="81">
        <f>IFERROR(Y156/J156,"0")</f>
        <v>1.8</v>
      </c>
    </row>
    <row r="157" spans="1:68" x14ac:dyDescent="0.2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5"/>
      <c r="P157" s="371" t="s">
        <v>40</v>
      </c>
      <c r="Q157" s="372"/>
      <c r="R157" s="372"/>
      <c r="S157" s="372"/>
      <c r="T157" s="372"/>
      <c r="U157" s="372"/>
      <c r="V157" s="373"/>
      <c r="W157" s="42" t="s">
        <v>39</v>
      </c>
      <c r="X157" s="43">
        <f>IFERROR(SUM(X155:X156),"0")</f>
        <v>126</v>
      </c>
      <c r="Y157" s="43">
        <f>IFERROR(SUM(Y155:Y156),"0")</f>
        <v>126</v>
      </c>
      <c r="Z157" s="43">
        <f>IFERROR(IF(Z155="",0,Z155),"0")+IFERROR(IF(Z156="",0,Z156),"0")</f>
        <v>2.2528800000000002</v>
      </c>
      <c r="AA157" s="67"/>
      <c r="AB157" s="67"/>
      <c r="AC157" s="67"/>
    </row>
    <row r="158" spans="1:68" x14ac:dyDescent="0.2">
      <c r="A158" s="374"/>
      <c r="B158" s="374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5"/>
      <c r="P158" s="371" t="s">
        <v>40</v>
      </c>
      <c r="Q158" s="372"/>
      <c r="R158" s="372"/>
      <c r="S158" s="372"/>
      <c r="T158" s="372"/>
      <c r="U158" s="372"/>
      <c r="V158" s="373"/>
      <c r="W158" s="42" t="s">
        <v>0</v>
      </c>
      <c r="X158" s="43">
        <f>IFERROR(SUMPRODUCT(X155:X156*H155:H156),"0")</f>
        <v>378</v>
      </c>
      <c r="Y158" s="43">
        <f>IFERROR(SUMPRODUCT(Y155:Y156*H155:H156),"0")</f>
        <v>378</v>
      </c>
      <c r="Z158" s="42"/>
      <c r="AA158" s="67"/>
      <c r="AB158" s="67"/>
      <c r="AC158" s="67"/>
    </row>
    <row r="159" spans="1:68" ht="16.5" hidden="1" customHeight="1" x14ac:dyDescent="0.25">
      <c r="A159" s="358" t="s">
        <v>264</v>
      </c>
      <c r="B159" s="358"/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  <c r="AA159" s="65"/>
      <c r="AB159" s="65"/>
      <c r="AC159" s="82"/>
    </row>
    <row r="160" spans="1:68" ht="14.25" hidden="1" customHeight="1" x14ac:dyDescent="0.25">
      <c r="A160" s="359" t="s">
        <v>157</v>
      </c>
      <c r="B160" s="359"/>
      <c r="C160" s="359"/>
      <c r="D160" s="359"/>
      <c r="E160" s="359"/>
      <c r="F160" s="359"/>
      <c r="G160" s="359"/>
      <c r="H160" s="359"/>
      <c r="I160" s="359"/>
      <c r="J160" s="359"/>
      <c r="K160" s="359"/>
      <c r="L160" s="359"/>
      <c r="M160" s="359"/>
      <c r="N160" s="359"/>
      <c r="O160" s="359"/>
      <c r="P160" s="359"/>
      <c r="Q160" s="359"/>
      <c r="R160" s="359"/>
      <c r="S160" s="359"/>
      <c r="T160" s="359"/>
      <c r="U160" s="359"/>
      <c r="V160" s="359"/>
      <c r="W160" s="359"/>
      <c r="X160" s="359"/>
      <c r="Y160" s="359"/>
      <c r="Z160" s="359"/>
      <c r="AA160" s="66"/>
      <c r="AB160" s="66"/>
      <c r="AC160" s="83"/>
    </row>
    <row r="161" spans="1:68" ht="27" customHeight="1" x14ac:dyDescent="0.25">
      <c r="A161" s="63" t="s">
        <v>265</v>
      </c>
      <c r="B161" s="63" t="s">
        <v>266</v>
      </c>
      <c r="C161" s="36">
        <v>4301135753</v>
      </c>
      <c r="D161" s="360">
        <v>4620207490914</v>
      </c>
      <c r="E161" s="36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119</v>
      </c>
      <c r="M161" s="38" t="s">
        <v>86</v>
      </c>
      <c r="N161" s="38"/>
      <c r="O161" s="37">
        <v>180</v>
      </c>
      <c r="P161" s="42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62"/>
      <c r="R161" s="362"/>
      <c r="S161" s="362"/>
      <c r="T161" s="363"/>
      <c r="U161" s="39" t="s">
        <v>46</v>
      </c>
      <c r="V161" s="39" t="s">
        <v>46</v>
      </c>
      <c r="W161" s="40" t="s">
        <v>39</v>
      </c>
      <c r="X161" s="58">
        <v>84</v>
      </c>
      <c r="Y161" s="55">
        <f>IFERROR(IF(X161="","",X161),"")</f>
        <v>84</v>
      </c>
      <c r="Z161" s="41">
        <f>IFERROR(IF(X161="","",X161*0.01788),"")</f>
        <v>1.5019199999999999</v>
      </c>
      <c r="AA161" s="68" t="s">
        <v>46</v>
      </c>
      <c r="AB161" s="69" t="s">
        <v>46</v>
      </c>
      <c r="AC161" s="209" t="s">
        <v>254</v>
      </c>
      <c r="AG161" s="81"/>
      <c r="AJ161" s="87" t="s">
        <v>120</v>
      </c>
      <c r="AK161" s="87">
        <v>14</v>
      </c>
      <c r="BB161" s="210" t="s">
        <v>117</v>
      </c>
      <c r="BM161" s="81">
        <f>IFERROR(X161*I161,"0")</f>
        <v>225.12</v>
      </c>
      <c r="BN161" s="81">
        <f>IFERROR(Y161*I161,"0")</f>
        <v>225.12</v>
      </c>
      <c r="BO161" s="81">
        <f>IFERROR(X161/J161,"0")</f>
        <v>1.2</v>
      </c>
      <c r="BP161" s="81">
        <f>IFERROR(Y161/J161,"0")</f>
        <v>1.2</v>
      </c>
    </row>
    <row r="162" spans="1:68" ht="27" hidden="1" customHeight="1" x14ac:dyDescent="0.25">
      <c r="A162" s="63" t="s">
        <v>267</v>
      </c>
      <c r="B162" s="63" t="s">
        <v>268</v>
      </c>
      <c r="C162" s="36">
        <v>4301135778</v>
      </c>
      <c r="D162" s="360">
        <v>4620207490853</v>
      </c>
      <c r="E162" s="360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119</v>
      </c>
      <c r="M162" s="38" t="s">
        <v>86</v>
      </c>
      <c r="N162" s="38"/>
      <c r="O162" s="37">
        <v>180</v>
      </c>
      <c r="P162" s="42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2" s="362"/>
      <c r="R162" s="362"/>
      <c r="S162" s="362"/>
      <c r="T162" s="363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11" t="s">
        <v>254</v>
      </c>
      <c r="AG162" s="81"/>
      <c r="AJ162" s="87" t="s">
        <v>120</v>
      </c>
      <c r="AK162" s="87">
        <v>14</v>
      </c>
      <c r="BB162" s="212" t="s">
        <v>117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5"/>
      <c r="P163" s="371" t="s">
        <v>40</v>
      </c>
      <c r="Q163" s="372"/>
      <c r="R163" s="372"/>
      <c r="S163" s="372"/>
      <c r="T163" s="372"/>
      <c r="U163" s="372"/>
      <c r="V163" s="373"/>
      <c r="W163" s="42" t="s">
        <v>39</v>
      </c>
      <c r="X163" s="43">
        <f>IFERROR(SUM(X161:X162),"0")</f>
        <v>84</v>
      </c>
      <c r="Y163" s="43">
        <f>IFERROR(SUM(Y161:Y162),"0")</f>
        <v>84</v>
      </c>
      <c r="Z163" s="43">
        <f>IFERROR(IF(Z161="",0,Z161),"0")+IFERROR(IF(Z162="",0,Z162),"0")</f>
        <v>1.5019199999999999</v>
      </c>
      <c r="AA163" s="67"/>
      <c r="AB163" s="67"/>
      <c r="AC163" s="67"/>
    </row>
    <row r="164" spans="1:68" x14ac:dyDescent="0.2">
      <c r="A164" s="374"/>
      <c r="B164" s="374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5"/>
      <c r="P164" s="371" t="s">
        <v>40</v>
      </c>
      <c r="Q164" s="372"/>
      <c r="R164" s="372"/>
      <c r="S164" s="372"/>
      <c r="T164" s="372"/>
      <c r="U164" s="372"/>
      <c r="V164" s="373"/>
      <c r="W164" s="42" t="s">
        <v>0</v>
      </c>
      <c r="X164" s="43">
        <f>IFERROR(SUMPRODUCT(X161:X162*H161:H162),"0")</f>
        <v>201.6</v>
      </c>
      <c r="Y164" s="43">
        <f>IFERROR(SUMPRODUCT(Y161:Y162*H161:H162),"0")</f>
        <v>201.6</v>
      </c>
      <c r="Z164" s="42"/>
      <c r="AA164" s="67"/>
      <c r="AB164" s="67"/>
      <c r="AC164" s="67"/>
    </row>
    <row r="165" spans="1:68" ht="16.5" hidden="1" customHeight="1" x14ac:dyDescent="0.25">
      <c r="A165" s="358" t="s">
        <v>269</v>
      </c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  <c r="AA165" s="65"/>
      <c r="AB165" s="65"/>
      <c r="AC165" s="82"/>
    </row>
    <row r="166" spans="1:68" ht="14.25" hidden="1" customHeight="1" x14ac:dyDescent="0.25">
      <c r="A166" s="359" t="s">
        <v>157</v>
      </c>
      <c r="B166" s="359"/>
      <c r="C166" s="359"/>
      <c r="D166" s="359"/>
      <c r="E166" s="359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59"/>
      <c r="V166" s="359"/>
      <c r="W166" s="359"/>
      <c r="X166" s="359"/>
      <c r="Y166" s="359"/>
      <c r="Z166" s="359"/>
      <c r="AA166" s="66"/>
      <c r="AB166" s="66"/>
      <c r="AC166" s="83"/>
    </row>
    <row r="167" spans="1:68" ht="27" customHeight="1" x14ac:dyDescent="0.25">
      <c r="A167" s="63" t="s">
        <v>270</v>
      </c>
      <c r="B167" s="63" t="s">
        <v>271</v>
      </c>
      <c r="C167" s="36">
        <v>4301135570</v>
      </c>
      <c r="D167" s="360">
        <v>4607111035806</v>
      </c>
      <c r="E167" s="360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3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62"/>
      <c r="R167" s="362"/>
      <c r="S167" s="362"/>
      <c r="T167" s="363"/>
      <c r="U167" s="39" t="s">
        <v>46</v>
      </c>
      <c r="V167" s="39" t="s">
        <v>46</v>
      </c>
      <c r="W167" s="40" t="s">
        <v>39</v>
      </c>
      <c r="X167" s="58">
        <v>84</v>
      </c>
      <c r="Y167" s="55">
        <f>IFERROR(IF(X167="","",X167),"")</f>
        <v>84</v>
      </c>
      <c r="Z167" s="41">
        <f>IFERROR(IF(X167="","",X167*0.01788),"")</f>
        <v>1.5019199999999999</v>
      </c>
      <c r="AA167" s="68" t="s">
        <v>46</v>
      </c>
      <c r="AB167" s="69" t="s">
        <v>46</v>
      </c>
      <c r="AC167" s="213" t="s">
        <v>272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311.10239999999999</v>
      </c>
      <c r="BN167" s="81">
        <f>IFERROR(Y167*I167,"0")</f>
        <v>311.10239999999999</v>
      </c>
      <c r="BO167" s="81">
        <f>IFERROR(X167/J167,"0")</f>
        <v>1.2</v>
      </c>
      <c r="BP167" s="81">
        <f>IFERROR(Y167/J167,"0")</f>
        <v>1.2</v>
      </c>
    </row>
    <row r="168" spans="1:68" x14ac:dyDescent="0.2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5"/>
      <c r="P168" s="371" t="s">
        <v>40</v>
      </c>
      <c r="Q168" s="372"/>
      <c r="R168" s="372"/>
      <c r="S168" s="372"/>
      <c r="T168" s="372"/>
      <c r="U168" s="372"/>
      <c r="V168" s="373"/>
      <c r="W168" s="42" t="s">
        <v>39</v>
      </c>
      <c r="X168" s="43">
        <f>IFERROR(SUM(X167:X167),"0")</f>
        <v>84</v>
      </c>
      <c r="Y168" s="43">
        <f>IFERROR(SUM(Y167:Y167),"0")</f>
        <v>84</v>
      </c>
      <c r="Z168" s="43">
        <f>IFERROR(IF(Z167="",0,Z167),"0")</f>
        <v>1.5019199999999999</v>
      </c>
      <c r="AA168" s="67"/>
      <c r="AB168" s="67"/>
      <c r="AC168" s="67"/>
    </row>
    <row r="169" spans="1:68" x14ac:dyDescent="0.2">
      <c r="A169" s="374"/>
      <c r="B169" s="374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5"/>
      <c r="P169" s="371" t="s">
        <v>40</v>
      </c>
      <c r="Q169" s="372"/>
      <c r="R169" s="372"/>
      <c r="S169" s="372"/>
      <c r="T169" s="372"/>
      <c r="U169" s="372"/>
      <c r="V169" s="373"/>
      <c r="W169" s="42" t="s">
        <v>0</v>
      </c>
      <c r="X169" s="43">
        <f>IFERROR(SUMPRODUCT(X167:X167*H167:H167),"0")</f>
        <v>252</v>
      </c>
      <c r="Y169" s="43">
        <f>IFERROR(SUMPRODUCT(Y167:Y167*H167:H167),"0")</f>
        <v>252</v>
      </c>
      <c r="Z169" s="42"/>
      <c r="AA169" s="67"/>
      <c r="AB169" s="67"/>
      <c r="AC169" s="67"/>
    </row>
    <row r="170" spans="1:68" ht="16.5" hidden="1" customHeight="1" x14ac:dyDescent="0.25">
      <c r="A170" s="358" t="s">
        <v>273</v>
      </c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  <c r="AA170" s="65"/>
      <c r="AB170" s="65"/>
      <c r="AC170" s="82"/>
    </row>
    <row r="171" spans="1:68" ht="14.25" hidden="1" customHeight="1" x14ac:dyDescent="0.25">
      <c r="A171" s="359" t="s">
        <v>157</v>
      </c>
      <c r="B171" s="359"/>
      <c r="C171" s="359"/>
      <c r="D171" s="359"/>
      <c r="E171" s="359"/>
      <c r="F171" s="359"/>
      <c r="G171" s="359"/>
      <c r="H171" s="359"/>
      <c r="I171" s="359"/>
      <c r="J171" s="359"/>
      <c r="K171" s="359"/>
      <c r="L171" s="359"/>
      <c r="M171" s="359"/>
      <c r="N171" s="359"/>
      <c r="O171" s="359"/>
      <c r="P171" s="359"/>
      <c r="Q171" s="359"/>
      <c r="R171" s="359"/>
      <c r="S171" s="359"/>
      <c r="T171" s="359"/>
      <c r="U171" s="359"/>
      <c r="V171" s="359"/>
      <c r="W171" s="359"/>
      <c r="X171" s="359"/>
      <c r="Y171" s="359"/>
      <c r="Z171" s="359"/>
      <c r="AA171" s="66"/>
      <c r="AB171" s="66"/>
      <c r="AC171" s="83"/>
    </row>
    <row r="172" spans="1:68" ht="16.5" hidden="1" customHeight="1" x14ac:dyDescent="0.25">
      <c r="A172" s="63" t="s">
        <v>274</v>
      </c>
      <c r="B172" s="63" t="s">
        <v>275</v>
      </c>
      <c r="C172" s="36">
        <v>4301135607</v>
      </c>
      <c r="D172" s="360">
        <v>4607111039613</v>
      </c>
      <c r="E172" s="360"/>
      <c r="F172" s="62">
        <v>0.09</v>
      </c>
      <c r="G172" s="37">
        <v>30</v>
      </c>
      <c r="H172" s="62">
        <v>2.7</v>
      </c>
      <c r="I172" s="62">
        <v>3.09</v>
      </c>
      <c r="J172" s="37">
        <v>126</v>
      </c>
      <c r="K172" s="37" t="s">
        <v>118</v>
      </c>
      <c r="L172" s="37" t="s">
        <v>119</v>
      </c>
      <c r="M172" s="38" t="s">
        <v>86</v>
      </c>
      <c r="N172" s="38"/>
      <c r="O172" s="37">
        <v>180</v>
      </c>
      <c r="P172" s="43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2" s="362"/>
      <c r="R172" s="362"/>
      <c r="S172" s="362"/>
      <c r="T172" s="363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IFERROR(IF(X172="","",X172*0.00936),"")</f>
        <v>0</v>
      </c>
      <c r="AA172" s="68" t="s">
        <v>46</v>
      </c>
      <c r="AB172" s="69" t="s">
        <v>46</v>
      </c>
      <c r="AC172" s="215" t="s">
        <v>260</v>
      </c>
      <c r="AG172" s="81"/>
      <c r="AJ172" s="87" t="s">
        <v>120</v>
      </c>
      <c r="AK172" s="87">
        <v>14</v>
      </c>
      <c r="BB172" s="216" t="s">
        <v>117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5"/>
      <c r="P173" s="371" t="s">
        <v>40</v>
      </c>
      <c r="Q173" s="372"/>
      <c r="R173" s="372"/>
      <c r="S173" s="372"/>
      <c r="T173" s="372"/>
      <c r="U173" s="372"/>
      <c r="V173" s="373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374"/>
      <c r="B174" s="374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5"/>
      <c r="P174" s="371" t="s">
        <v>40</v>
      </c>
      <c r="Q174" s="372"/>
      <c r="R174" s="372"/>
      <c r="S174" s="372"/>
      <c r="T174" s="372"/>
      <c r="U174" s="372"/>
      <c r="V174" s="373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16.5" hidden="1" customHeight="1" x14ac:dyDescent="0.25">
      <c r="A175" s="358" t="s">
        <v>276</v>
      </c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  <c r="AA175" s="65"/>
      <c r="AB175" s="65"/>
      <c r="AC175" s="82"/>
    </row>
    <row r="176" spans="1:68" ht="14.25" hidden="1" customHeight="1" x14ac:dyDescent="0.25">
      <c r="A176" s="359" t="s">
        <v>157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66"/>
      <c r="AB176" s="66"/>
      <c r="AC176" s="83"/>
    </row>
    <row r="177" spans="1:68" ht="27" hidden="1" customHeight="1" x14ac:dyDescent="0.25">
      <c r="A177" s="63" t="s">
        <v>277</v>
      </c>
      <c r="B177" s="63" t="s">
        <v>278</v>
      </c>
      <c r="C177" s="36">
        <v>4301135591</v>
      </c>
      <c r="D177" s="360">
        <v>4607111036568</v>
      </c>
      <c r="E177" s="360"/>
      <c r="F177" s="62">
        <v>0.28000000000000003</v>
      </c>
      <c r="G177" s="37">
        <v>6</v>
      </c>
      <c r="H177" s="62">
        <v>1.68</v>
      </c>
      <c r="I177" s="62">
        <v>2.1017999999999999</v>
      </c>
      <c r="J177" s="37">
        <v>140</v>
      </c>
      <c r="K177" s="37" t="s">
        <v>118</v>
      </c>
      <c r="L177" s="37" t="s">
        <v>88</v>
      </c>
      <c r="M177" s="38" t="s">
        <v>86</v>
      </c>
      <c r="N177" s="38"/>
      <c r="O177" s="37">
        <v>180</v>
      </c>
      <c r="P177" s="43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7" s="362"/>
      <c r="R177" s="362"/>
      <c r="S177" s="362"/>
      <c r="T177" s="363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IFERROR(IF(X177="","",X177*0.00941),"")</f>
        <v>0</v>
      </c>
      <c r="AA177" s="68" t="s">
        <v>46</v>
      </c>
      <c r="AB177" s="69" t="s">
        <v>46</v>
      </c>
      <c r="AC177" s="217" t="s">
        <v>279</v>
      </c>
      <c r="AG177" s="81"/>
      <c r="AJ177" s="87" t="s">
        <v>89</v>
      </c>
      <c r="AK177" s="87">
        <v>1</v>
      </c>
      <c r="BB177" s="218" t="s">
        <v>117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idden="1" x14ac:dyDescent="0.2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5"/>
      <c r="P178" s="371" t="s">
        <v>40</v>
      </c>
      <c r="Q178" s="372"/>
      <c r="R178" s="372"/>
      <c r="S178" s="372"/>
      <c r="T178" s="372"/>
      <c r="U178" s="372"/>
      <c r="V178" s="373"/>
      <c r="W178" s="42" t="s">
        <v>39</v>
      </c>
      <c r="X178" s="43">
        <f>IFERROR(SUM(X177:X177),"0")</f>
        <v>0</v>
      </c>
      <c r="Y178" s="43">
        <f>IFERROR(SUM(Y177:Y177),"0")</f>
        <v>0</v>
      </c>
      <c r="Z178" s="43">
        <f>IFERROR(IF(Z177="",0,Z177),"0")</f>
        <v>0</v>
      </c>
      <c r="AA178" s="67"/>
      <c r="AB178" s="67"/>
      <c r="AC178" s="67"/>
    </row>
    <row r="179" spans="1:68" hidden="1" x14ac:dyDescent="0.2">
      <c r="A179" s="374"/>
      <c r="B179" s="374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5"/>
      <c r="P179" s="371" t="s">
        <v>40</v>
      </c>
      <c r="Q179" s="372"/>
      <c r="R179" s="372"/>
      <c r="S179" s="372"/>
      <c r="T179" s="372"/>
      <c r="U179" s="372"/>
      <c r="V179" s="373"/>
      <c r="W179" s="42" t="s">
        <v>0</v>
      </c>
      <c r="X179" s="43">
        <f>IFERROR(SUMPRODUCT(X177:X177*H177:H177),"0")</f>
        <v>0</v>
      </c>
      <c r="Y179" s="43">
        <f>IFERROR(SUMPRODUCT(Y177:Y177*H177:H177),"0")</f>
        <v>0</v>
      </c>
      <c r="Z179" s="42"/>
      <c r="AA179" s="67"/>
      <c r="AB179" s="67"/>
      <c r="AC179" s="67"/>
    </row>
    <row r="180" spans="1:68" ht="27.75" hidden="1" customHeight="1" x14ac:dyDescent="0.2">
      <c r="A180" s="357" t="s">
        <v>280</v>
      </c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54"/>
      <c r="AB180" s="54"/>
      <c r="AC180" s="54"/>
    </row>
    <row r="181" spans="1:68" ht="16.5" hidden="1" customHeight="1" x14ac:dyDescent="0.25">
      <c r="A181" s="358" t="s">
        <v>281</v>
      </c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  <c r="AA181" s="65"/>
      <c r="AB181" s="65"/>
      <c r="AC181" s="82"/>
    </row>
    <row r="182" spans="1:68" ht="14.25" hidden="1" customHeight="1" x14ac:dyDescent="0.25">
      <c r="A182" s="359" t="s">
        <v>82</v>
      </c>
      <c r="B182" s="359"/>
      <c r="C182" s="359"/>
      <c r="D182" s="359"/>
      <c r="E182" s="359"/>
      <c r="F182" s="359"/>
      <c r="G182" s="359"/>
      <c r="H182" s="359"/>
      <c r="I182" s="359"/>
      <c r="J182" s="359"/>
      <c r="K182" s="359"/>
      <c r="L182" s="359"/>
      <c r="M182" s="359"/>
      <c r="N182" s="359"/>
      <c r="O182" s="359"/>
      <c r="P182" s="359"/>
      <c r="Q182" s="359"/>
      <c r="R182" s="359"/>
      <c r="S182" s="359"/>
      <c r="T182" s="359"/>
      <c r="U182" s="359"/>
      <c r="V182" s="359"/>
      <c r="W182" s="359"/>
      <c r="X182" s="359"/>
      <c r="Y182" s="359"/>
      <c r="Z182" s="359"/>
      <c r="AA182" s="66"/>
      <c r="AB182" s="66"/>
      <c r="AC182" s="83"/>
    </row>
    <row r="183" spans="1:68" ht="16.5" hidden="1" customHeight="1" x14ac:dyDescent="0.25">
      <c r="A183" s="63" t="s">
        <v>282</v>
      </c>
      <c r="B183" s="63" t="s">
        <v>283</v>
      </c>
      <c r="C183" s="36">
        <v>4301071062</v>
      </c>
      <c r="D183" s="360">
        <v>4607111036384</v>
      </c>
      <c r="E183" s="360"/>
      <c r="F183" s="62">
        <v>5</v>
      </c>
      <c r="G183" s="37">
        <v>1</v>
      </c>
      <c r="H183" s="62">
        <v>5</v>
      </c>
      <c r="I183" s="62">
        <v>5.2106000000000003</v>
      </c>
      <c r="J183" s="37">
        <v>144</v>
      </c>
      <c r="K183" s="37" t="s">
        <v>87</v>
      </c>
      <c r="L183" s="37" t="s">
        <v>88</v>
      </c>
      <c r="M183" s="38" t="s">
        <v>86</v>
      </c>
      <c r="N183" s="38"/>
      <c r="O183" s="37">
        <v>180</v>
      </c>
      <c r="P183" s="4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362"/>
      <c r="R183" s="362"/>
      <c r="S183" s="362"/>
      <c r="T183" s="363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284</v>
      </c>
      <c r="AG183" s="81"/>
      <c r="AJ183" s="87" t="s">
        <v>89</v>
      </c>
      <c r="AK183" s="87">
        <v>1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hidden="1" customHeight="1" x14ac:dyDescent="0.25">
      <c r="A184" s="63" t="s">
        <v>285</v>
      </c>
      <c r="B184" s="63" t="s">
        <v>286</v>
      </c>
      <c r="C184" s="36">
        <v>4301071050</v>
      </c>
      <c r="D184" s="360">
        <v>4607111036216</v>
      </c>
      <c r="E184" s="360"/>
      <c r="F184" s="62">
        <v>5</v>
      </c>
      <c r="G184" s="37">
        <v>1</v>
      </c>
      <c r="H184" s="62">
        <v>5</v>
      </c>
      <c r="I184" s="62">
        <v>5.2131999999999996</v>
      </c>
      <c r="J184" s="37">
        <v>144</v>
      </c>
      <c r="K184" s="37" t="s">
        <v>87</v>
      </c>
      <c r="L184" s="37" t="s">
        <v>119</v>
      </c>
      <c r="M184" s="38" t="s">
        <v>86</v>
      </c>
      <c r="N184" s="38"/>
      <c r="O184" s="37">
        <v>180</v>
      </c>
      <c r="P184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62"/>
      <c r="R184" s="362"/>
      <c r="S184" s="362"/>
      <c r="T184" s="36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IFERROR(IF(X184="","",X184*0.00866),"")</f>
        <v>0</v>
      </c>
      <c r="AA184" s="68" t="s">
        <v>46</v>
      </c>
      <c r="AB184" s="69" t="s">
        <v>46</v>
      </c>
      <c r="AC184" s="221" t="s">
        <v>287</v>
      </c>
      <c r="AG184" s="81"/>
      <c r="AJ184" s="87" t="s">
        <v>120</v>
      </c>
      <c r="AK184" s="87">
        <v>12</v>
      </c>
      <c r="BB184" s="222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39</v>
      </c>
      <c r="X185" s="43">
        <f>IFERROR(SUM(X183:X184),"0")</f>
        <v>0</v>
      </c>
      <c r="Y185" s="43">
        <f>IFERROR(SUM(Y183:Y184),"0")</f>
        <v>0</v>
      </c>
      <c r="Z185" s="43">
        <f>IFERROR(IF(Z183="",0,Z183),"0")+IFERROR(IF(Z184="",0,Z184),"0")</f>
        <v>0</v>
      </c>
      <c r="AA185" s="67"/>
      <c r="AB185" s="67"/>
      <c r="AC185" s="67"/>
    </row>
    <row r="186" spans="1:68" hidden="1" x14ac:dyDescent="0.2">
      <c r="A186" s="374"/>
      <c r="B186" s="374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5"/>
      <c r="P186" s="371" t="s">
        <v>40</v>
      </c>
      <c r="Q186" s="372"/>
      <c r="R186" s="372"/>
      <c r="S186" s="372"/>
      <c r="T186" s="372"/>
      <c r="U186" s="372"/>
      <c r="V186" s="373"/>
      <c r="W186" s="42" t="s">
        <v>0</v>
      </c>
      <c r="X186" s="43">
        <f>IFERROR(SUMPRODUCT(X183:X184*H183:H184),"0")</f>
        <v>0</v>
      </c>
      <c r="Y186" s="43">
        <f>IFERROR(SUMPRODUCT(Y183:Y184*H183:H184),"0")</f>
        <v>0</v>
      </c>
      <c r="Z186" s="42"/>
      <c r="AA186" s="67"/>
      <c r="AB186" s="67"/>
      <c r="AC186" s="67"/>
    </row>
    <row r="187" spans="1:68" ht="16.5" hidden="1" customHeight="1" x14ac:dyDescent="0.25">
      <c r="A187" s="358" t="s">
        <v>288</v>
      </c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65"/>
      <c r="AB187" s="65"/>
      <c r="AC187" s="82"/>
    </row>
    <row r="188" spans="1:68" ht="14.25" hidden="1" customHeight="1" x14ac:dyDescent="0.25">
      <c r="A188" s="359" t="s">
        <v>82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66"/>
      <c r="AB188" s="66"/>
      <c r="AC188" s="83"/>
    </row>
    <row r="189" spans="1:68" ht="27" hidden="1" customHeight="1" x14ac:dyDescent="0.25">
      <c r="A189" s="63" t="s">
        <v>289</v>
      </c>
      <c r="B189" s="63" t="s">
        <v>290</v>
      </c>
      <c r="C189" s="36">
        <v>4301071117</v>
      </c>
      <c r="D189" s="360">
        <v>4620207491737</v>
      </c>
      <c r="E189" s="360"/>
      <c r="F189" s="62">
        <v>1</v>
      </c>
      <c r="G189" s="37">
        <v>5</v>
      </c>
      <c r="H189" s="62">
        <v>5</v>
      </c>
      <c r="I189" s="62">
        <v>5.2619999999999996</v>
      </c>
      <c r="J189" s="37">
        <v>84</v>
      </c>
      <c r="K189" s="37" t="s">
        <v>87</v>
      </c>
      <c r="L189" s="37" t="s">
        <v>88</v>
      </c>
      <c r="M189" s="38" t="s">
        <v>86</v>
      </c>
      <c r="N189" s="38"/>
      <c r="O189" s="37">
        <v>180</v>
      </c>
      <c r="P189" s="43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362"/>
      <c r="R189" s="362"/>
      <c r="S189" s="362"/>
      <c r="T189" s="363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IFERROR(IF(X189="","",X189*0.0155),"")</f>
        <v>0</v>
      </c>
      <c r="AA189" s="68" t="s">
        <v>46</v>
      </c>
      <c r="AB189" s="69" t="s">
        <v>46</v>
      </c>
      <c r="AC189" s="223" t="s">
        <v>287</v>
      </c>
      <c r="AG189" s="81"/>
      <c r="AJ189" s="87" t="s">
        <v>89</v>
      </c>
      <c r="AK189" s="87">
        <v>1</v>
      </c>
      <c r="BB189" s="224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idden="1" x14ac:dyDescent="0.2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5"/>
      <c r="P190" s="371" t="s">
        <v>40</v>
      </c>
      <c r="Q190" s="372"/>
      <c r="R190" s="372"/>
      <c r="S190" s="372"/>
      <c r="T190" s="372"/>
      <c r="U190" s="372"/>
      <c r="V190" s="373"/>
      <c r="W190" s="42" t="s">
        <v>39</v>
      </c>
      <c r="X190" s="43">
        <f>IFERROR(SUM(X189:X189),"0")</f>
        <v>0</v>
      </c>
      <c r="Y190" s="43">
        <f>IFERROR(SUM(Y189:Y189),"0")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374"/>
      <c r="B191" s="374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5"/>
      <c r="P191" s="371" t="s">
        <v>40</v>
      </c>
      <c r="Q191" s="372"/>
      <c r="R191" s="372"/>
      <c r="S191" s="372"/>
      <c r="T191" s="372"/>
      <c r="U191" s="372"/>
      <c r="V191" s="373"/>
      <c r="W191" s="42" t="s">
        <v>0</v>
      </c>
      <c r="X191" s="43">
        <f>IFERROR(SUMPRODUCT(X189:X189*H189:H189),"0")</f>
        <v>0</v>
      </c>
      <c r="Y191" s="43">
        <f>IFERROR(SUMPRODUCT(Y189:Y189*H189:H189),"0")</f>
        <v>0</v>
      </c>
      <c r="Z191" s="42"/>
      <c r="AA191" s="67"/>
      <c r="AB191" s="67"/>
      <c r="AC191" s="67"/>
    </row>
    <row r="192" spans="1:68" ht="27.75" hidden="1" customHeight="1" x14ac:dyDescent="0.2">
      <c r="A192" s="357" t="s">
        <v>291</v>
      </c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  <c r="AA192" s="54"/>
      <c r="AB192" s="54"/>
      <c r="AC192" s="54"/>
    </row>
    <row r="193" spans="1:68" ht="16.5" hidden="1" customHeight="1" x14ac:dyDescent="0.25">
      <c r="A193" s="358" t="s">
        <v>292</v>
      </c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65"/>
      <c r="AB193" s="65"/>
      <c r="AC193" s="82"/>
    </row>
    <row r="194" spans="1:68" ht="14.25" hidden="1" customHeight="1" x14ac:dyDescent="0.25">
      <c r="A194" s="359" t="s">
        <v>113</v>
      </c>
      <c r="B194" s="359"/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59"/>
      <c r="V194" s="359"/>
      <c r="W194" s="359"/>
      <c r="X194" s="359"/>
      <c r="Y194" s="359"/>
      <c r="Z194" s="359"/>
      <c r="AA194" s="66"/>
      <c r="AB194" s="66"/>
      <c r="AC194" s="83"/>
    </row>
    <row r="195" spans="1:68" ht="16.5" customHeight="1" x14ac:dyDescent="0.25">
      <c r="A195" s="63" t="s">
        <v>293</v>
      </c>
      <c r="B195" s="63" t="s">
        <v>294</v>
      </c>
      <c r="C195" s="36">
        <v>4301132179</v>
      </c>
      <c r="D195" s="360">
        <v>4607111035691</v>
      </c>
      <c r="E195" s="360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118</v>
      </c>
      <c r="L195" s="37" t="s">
        <v>119</v>
      </c>
      <c r="M195" s="38" t="s">
        <v>86</v>
      </c>
      <c r="N195" s="38"/>
      <c r="O195" s="37">
        <v>365</v>
      </c>
      <c r="P195" s="43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362"/>
      <c r="R195" s="362"/>
      <c r="S195" s="362"/>
      <c r="T195" s="363"/>
      <c r="U195" s="39" t="s">
        <v>46</v>
      </c>
      <c r="V195" s="39" t="s">
        <v>46</v>
      </c>
      <c r="W195" s="40" t="s">
        <v>39</v>
      </c>
      <c r="X195" s="58">
        <v>238</v>
      </c>
      <c r="Y195" s="55">
        <f>IFERROR(IF(X195="","",X195),"")</f>
        <v>238</v>
      </c>
      <c r="Z195" s="41">
        <f>IFERROR(IF(X195="","",X195*0.01788),"")</f>
        <v>4.2554400000000001</v>
      </c>
      <c r="AA195" s="68" t="s">
        <v>46</v>
      </c>
      <c r="AB195" s="69" t="s">
        <v>46</v>
      </c>
      <c r="AC195" s="225" t="s">
        <v>295</v>
      </c>
      <c r="AG195" s="81"/>
      <c r="AJ195" s="87" t="s">
        <v>120</v>
      </c>
      <c r="AK195" s="87">
        <v>14</v>
      </c>
      <c r="BB195" s="226" t="s">
        <v>117</v>
      </c>
      <c r="BM195" s="81">
        <f>IFERROR(X195*I195,"0")</f>
        <v>806.34399999999994</v>
      </c>
      <c r="BN195" s="81">
        <f>IFERROR(Y195*I195,"0")</f>
        <v>806.34399999999994</v>
      </c>
      <c r="BO195" s="81">
        <f>IFERROR(X195/J195,"0")</f>
        <v>3.4</v>
      </c>
      <c r="BP195" s="81">
        <f>IFERROR(Y195/J195,"0")</f>
        <v>3.4</v>
      </c>
    </row>
    <row r="196" spans="1:68" ht="27" hidden="1" customHeight="1" x14ac:dyDescent="0.25">
      <c r="A196" s="63" t="s">
        <v>296</v>
      </c>
      <c r="B196" s="63" t="s">
        <v>297</v>
      </c>
      <c r="C196" s="36">
        <v>4301132182</v>
      </c>
      <c r="D196" s="360">
        <v>4607111035721</v>
      </c>
      <c r="E196" s="360"/>
      <c r="F196" s="62">
        <v>0.25</v>
      </c>
      <c r="G196" s="37">
        <v>12</v>
      </c>
      <c r="H196" s="62">
        <v>3</v>
      </c>
      <c r="I196" s="62">
        <v>3.3879999999999999</v>
      </c>
      <c r="J196" s="37">
        <v>70</v>
      </c>
      <c r="K196" s="37" t="s">
        <v>118</v>
      </c>
      <c r="L196" s="37" t="s">
        <v>119</v>
      </c>
      <c r="M196" s="38" t="s">
        <v>86</v>
      </c>
      <c r="N196" s="38"/>
      <c r="O196" s="37">
        <v>365</v>
      </c>
      <c r="P196" s="43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62"/>
      <c r="R196" s="362"/>
      <c r="S196" s="362"/>
      <c r="T196" s="36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298</v>
      </c>
      <c r="AG196" s="81"/>
      <c r="AJ196" s="87" t="s">
        <v>120</v>
      </c>
      <c r="AK196" s="87">
        <v>14</v>
      </c>
      <c r="BB196" s="228" t="s">
        <v>117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hidden="1" customHeight="1" x14ac:dyDescent="0.25">
      <c r="A197" s="63" t="s">
        <v>299</v>
      </c>
      <c r="B197" s="63" t="s">
        <v>300</v>
      </c>
      <c r="C197" s="36">
        <v>4301132170</v>
      </c>
      <c r="D197" s="360">
        <v>4607111038487</v>
      </c>
      <c r="E197" s="360"/>
      <c r="F197" s="62">
        <v>0.25</v>
      </c>
      <c r="G197" s="37">
        <v>12</v>
      </c>
      <c r="H197" s="62">
        <v>3</v>
      </c>
      <c r="I197" s="62">
        <v>3.7360000000000002</v>
      </c>
      <c r="J197" s="37">
        <v>70</v>
      </c>
      <c r="K197" s="37" t="s">
        <v>118</v>
      </c>
      <c r="L197" s="37" t="s">
        <v>119</v>
      </c>
      <c r="M197" s="38" t="s">
        <v>86</v>
      </c>
      <c r="N197" s="38"/>
      <c r="O197" s="37">
        <v>180</v>
      </c>
      <c r="P197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362"/>
      <c r="R197" s="362"/>
      <c r="S197" s="362"/>
      <c r="T197" s="36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301</v>
      </c>
      <c r="AG197" s="81"/>
      <c r="AJ197" s="87" t="s">
        <v>120</v>
      </c>
      <c r="AK197" s="87">
        <v>14</v>
      </c>
      <c r="BB197" s="230" t="s">
        <v>117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hidden="1" customHeight="1" x14ac:dyDescent="0.25">
      <c r="A198" s="63" t="s">
        <v>302</v>
      </c>
      <c r="B198" s="63" t="s">
        <v>303</v>
      </c>
      <c r="C198" s="36">
        <v>4301132243</v>
      </c>
      <c r="D198" s="360">
        <v>4620207491195</v>
      </c>
      <c r="E198" s="360"/>
      <c r="F198" s="62">
        <v>0.23</v>
      </c>
      <c r="G198" s="37">
        <v>12</v>
      </c>
      <c r="H198" s="62">
        <v>2.76</v>
      </c>
      <c r="I198" s="62">
        <v>3.1480000000000001</v>
      </c>
      <c r="J198" s="37">
        <v>70</v>
      </c>
      <c r="K198" s="37" t="s">
        <v>118</v>
      </c>
      <c r="L198" s="37" t="s">
        <v>88</v>
      </c>
      <c r="M198" s="38" t="s">
        <v>86</v>
      </c>
      <c r="N198" s="38"/>
      <c r="O198" s="37">
        <v>180</v>
      </c>
      <c r="P198" s="43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362"/>
      <c r="R198" s="362"/>
      <c r="S198" s="362"/>
      <c r="T198" s="363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31" t="s">
        <v>304</v>
      </c>
      <c r="AG198" s="81"/>
      <c r="AJ198" s="87" t="s">
        <v>89</v>
      </c>
      <c r="AK198" s="87">
        <v>1</v>
      </c>
      <c r="BB198" s="232" t="s">
        <v>117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5"/>
      <c r="P199" s="371" t="s">
        <v>40</v>
      </c>
      <c r="Q199" s="372"/>
      <c r="R199" s="372"/>
      <c r="S199" s="372"/>
      <c r="T199" s="372"/>
      <c r="U199" s="372"/>
      <c r="V199" s="373"/>
      <c r="W199" s="42" t="s">
        <v>39</v>
      </c>
      <c r="X199" s="43">
        <f>IFERROR(SUM(X195:X198),"0")</f>
        <v>238</v>
      </c>
      <c r="Y199" s="43">
        <f>IFERROR(SUM(Y195:Y198),"0")</f>
        <v>238</v>
      </c>
      <c r="Z199" s="43">
        <f>IFERROR(IF(Z195="",0,Z195),"0")+IFERROR(IF(Z196="",0,Z196),"0")+IFERROR(IF(Z197="",0,Z197),"0")+IFERROR(IF(Z198="",0,Z198),"0")</f>
        <v>4.2554400000000001</v>
      </c>
      <c r="AA199" s="67"/>
      <c r="AB199" s="67"/>
      <c r="AC199" s="67"/>
    </row>
    <row r="200" spans="1:68" x14ac:dyDescent="0.2">
      <c r="A200" s="374"/>
      <c r="B200" s="374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5"/>
      <c r="P200" s="371" t="s">
        <v>40</v>
      </c>
      <c r="Q200" s="372"/>
      <c r="R200" s="372"/>
      <c r="S200" s="372"/>
      <c r="T200" s="372"/>
      <c r="U200" s="372"/>
      <c r="V200" s="373"/>
      <c r="W200" s="42" t="s">
        <v>0</v>
      </c>
      <c r="X200" s="43">
        <f>IFERROR(SUMPRODUCT(X195:X198*H195:H198),"0")</f>
        <v>714</v>
      </c>
      <c r="Y200" s="43">
        <f>IFERROR(SUMPRODUCT(Y195:Y198*H195:H198),"0")</f>
        <v>714</v>
      </c>
      <c r="Z200" s="42"/>
      <c r="AA200" s="67"/>
      <c r="AB200" s="67"/>
      <c r="AC200" s="67"/>
    </row>
    <row r="201" spans="1:68" ht="27.75" hidden="1" customHeight="1" x14ac:dyDescent="0.2">
      <c r="A201" s="357" t="s">
        <v>305</v>
      </c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54"/>
      <c r="AB201" s="54"/>
      <c r="AC201" s="54"/>
    </row>
    <row r="202" spans="1:68" ht="16.5" hidden="1" customHeight="1" x14ac:dyDescent="0.25">
      <c r="A202" s="358" t="s">
        <v>306</v>
      </c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65"/>
      <c r="AB202" s="65"/>
      <c r="AC202" s="82"/>
    </row>
    <row r="203" spans="1:68" ht="14.25" hidden="1" customHeight="1" x14ac:dyDescent="0.25">
      <c r="A203" s="359" t="s">
        <v>113</v>
      </c>
      <c r="B203" s="359"/>
      <c r="C203" s="359"/>
      <c r="D203" s="359"/>
      <c r="E203" s="359"/>
      <c r="F203" s="359"/>
      <c r="G203" s="359"/>
      <c r="H203" s="359"/>
      <c r="I203" s="359"/>
      <c r="J203" s="359"/>
      <c r="K203" s="359"/>
      <c r="L203" s="359"/>
      <c r="M203" s="359"/>
      <c r="N203" s="359"/>
      <c r="O203" s="359"/>
      <c r="P203" s="359"/>
      <c r="Q203" s="359"/>
      <c r="R203" s="359"/>
      <c r="S203" s="359"/>
      <c r="T203" s="359"/>
      <c r="U203" s="359"/>
      <c r="V203" s="359"/>
      <c r="W203" s="359"/>
      <c r="X203" s="359"/>
      <c r="Y203" s="359"/>
      <c r="Z203" s="359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4301132227</v>
      </c>
      <c r="D204" s="360">
        <v>4620207491133</v>
      </c>
      <c r="E204" s="360"/>
      <c r="F204" s="62">
        <v>0.23</v>
      </c>
      <c r="G204" s="37">
        <v>12</v>
      </c>
      <c r="H204" s="62">
        <v>2.76</v>
      </c>
      <c r="I204" s="62">
        <v>2.98</v>
      </c>
      <c r="J204" s="37">
        <v>70</v>
      </c>
      <c r="K204" s="37" t="s">
        <v>118</v>
      </c>
      <c r="L204" s="37" t="s">
        <v>119</v>
      </c>
      <c r="M204" s="38" t="s">
        <v>86</v>
      </c>
      <c r="N204" s="38"/>
      <c r="O204" s="37">
        <v>180</v>
      </c>
      <c r="P204" s="4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362"/>
      <c r="R204" s="362"/>
      <c r="S204" s="362"/>
      <c r="T204" s="363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120</v>
      </c>
      <c r="AK204" s="87">
        <v>14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5"/>
      <c r="P205" s="371" t="s">
        <v>40</v>
      </c>
      <c r="Q205" s="372"/>
      <c r="R205" s="372"/>
      <c r="S205" s="372"/>
      <c r="T205" s="372"/>
      <c r="U205" s="372"/>
      <c r="V205" s="373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hidden="1" x14ac:dyDescent="0.2">
      <c r="A206" s="374"/>
      <c r="B206" s="374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5"/>
      <c r="P206" s="371" t="s">
        <v>40</v>
      </c>
      <c r="Q206" s="372"/>
      <c r="R206" s="372"/>
      <c r="S206" s="372"/>
      <c r="T206" s="372"/>
      <c r="U206" s="372"/>
      <c r="V206" s="373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4.25" hidden="1" customHeight="1" x14ac:dyDescent="0.25">
      <c r="A207" s="359" t="s">
        <v>157</v>
      </c>
      <c r="B207" s="359"/>
      <c r="C207" s="359"/>
      <c r="D207" s="359"/>
      <c r="E207" s="359"/>
      <c r="F207" s="359"/>
      <c r="G207" s="359"/>
      <c r="H207" s="359"/>
      <c r="I207" s="359"/>
      <c r="J207" s="359"/>
      <c r="K207" s="359"/>
      <c r="L207" s="359"/>
      <c r="M207" s="359"/>
      <c r="N207" s="359"/>
      <c r="O207" s="359"/>
      <c r="P207" s="359"/>
      <c r="Q207" s="359"/>
      <c r="R207" s="359"/>
      <c r="S207" s="359"/>
      <c r="T207" s="359"/>
      <c r="U207" s="359"/>
      <c r="V207" s="359"/>
      <c r="W207" s="359"/>
      <c r="X207" s="359"/>
      <c r="Y207" s="359"/>
      <c r="Z207" s="359"/>
      <c r="AA207" s="66"/>
      <c r="AB207" s="66"/>
      <c r="AC207" s="83"/>
    </row>
    <row r="208" spans="1:68" ht="27" hidden="1" customHeight="1" x14ac:dyDescent="0.25">
      <c r="A208" s="63" t="s">
        <v>310</v>
      </c>
      <c r="B208" s="63" t="s">
        <v>311</v>
      </c>
      <c r="C208" s="36">
        <v>4301135834</v>
      </c>
      <c r="D208" s="360">
        <v>4620207491188</v>
      </c>
      <c r="E208" s="360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44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362"/>
      <c r="R208" s="362"/>
      <c r="S208" s="362"/>
      <c r="T208" s="363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312</v>
      </c>
      <c r="AG208" s="81"/>
      <c r="AJ208" s="87" t="s">
        <v>89</v>
      </c>
      <c r="AK208" s="87">
        <v>1</v>
      </c>
      <c r="BB208" s="236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hidden="1" customHeight="1" x14ac:dyDescent="0.25">
      <c r="A209" s="63" t="s">
        <v>313</v>
      </c>
      <c r="B209" s="63" t="s">
        <v>314</v>
      </c>
      <c r="C209" s="36">
        <v>4301135829</v>
      </c>
      <c r="D209" s="360">
        <v>4620207490235</v>
      </c>
      <c r="E209" s="360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118</v>
      </c>
      <c r="L209" s="37" t="s">
        <v>88</v>
      </c>
      <c r="M209" s="38" t="s">
        <v>86</v>
      </c>
      <c r="N209" s="38"/>
      <c r="O209" s="37">
        <v>180</v>
      </c>
      <c r="P209" s="44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9" s="362"/>
      <c r="R209" s="362"/>
      <c r="S209" s="362"/>
      <c r="T209" s="36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315</v>
      </c>
      <c r="AG209" s="81"/>
      <c r="AJ209" s="87" t="s">
        <v>89</v>
      </c>
      <c r="AK209" s="87">
        <v>1</v>
      </c>
      <c r="BB209" s="238" t="s">
        <v>117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316</v>
      </c>
      <c r="B210" s="63" t="s">
        <v>317</v>
      </c>
      <c r="C210" s="36">
        <v>4301135697</v>
      </c>
      <c r="D210" s="360">
        <v>4620207490259</v>
      </c>
      <c r="E210" s="360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118</v>
      </c>
      <c r="L210" s="37" t="s">
        <v>88</v>
      </c>
      <c r="M210" s="38" t="s">
        <v>86</v>
      </c>
      <c r="N210" s="38"/>
      <c r="O210" s="37">
        <v>180</v>
      </c>
      <c r="P210" s="44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62"/>
      <c r="R210" s="362"/>
      <c r="S210" s="362"/>
      <c r="T210" s="36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9" t="s">
        <v>318</v>
      </c>
      <c r="AG210" s="81"/>
      <c r="AJ210" s="87" t="s">
        <v>89</v>
      </c>
      <c r="AK210" s="87">
        <v>1</v>
      </c>
      <c r="BB210" s="240" t="s">
        <v>117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5"/>
      <c r="P211" s="371" t="s">
        <v>40</v>
      </c>
      <c r="Q211" s="372"/>
      <c r="R211" s="372"/>
      <c r="S211" s="372"/>
      <c r="T211" s="372"/>
      <c r="U211" s="372"/>
      <c r="V211" s="373"/>
      <c r="W211" s="42" t="s">
        <v>39</v>
      </c>
      <c r="X211" s="43">
        <f>IFERROR(SUM(X208:X210),"0")</f>
        <v>0</v>
      </c>
      <c r="Y211" s="43">
        <f>IFERROR(SUM(Y208:Y210),"0")</f>
        <v>0</v>
      </c>
      <c r="Z211" s="43">
        <f>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374"/>
      <c r="B212" s="374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5"/>
      <c r="P212" s="371" t="s">
        <v>40</v>
      </c>
      <c r="Q212" s="372"/>
      <c r="R212" s="372"/>
      <c r="S212" s="372"/>
      <c r="T212" s="372"/>
      <c r="U212" s="372"/>
      <c r="V212" s="373"/>
      <c r="W212" s="42" t="s">
        <v>0</v>
      </c>
      <c r="X212" s="43">
        <f>IFERROR(SUMPRODUCT(X208:X210*H208:H210),"0")</f>
        <v>0</v>
      </c>
      <c r="Y212" s="43">
        <f>IFERROR(SUMPRODUCT(Y208:Y210*H208:H210),"0")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58" t="s">
        <v>319</v>
      </c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65"/>
      <c r="AB213" s="65"/>
      <c r="AC213" s="82"/>
    </row>
    <row r="214" spans="1:68" ht="14.25" hidden="1" customHeight="1" x14ac:dyDescent="0.25">
      <c r="A214" s="359" t="s">
        <v>157</v>
      </c>
      <c r="B214" s="359"/>
      <c r="C214" s="359"/>
      <c r="D214" s="359"/>
      <c r="E214" s="359"/>
      <c r="F214" s="359"/>
      <c r="G214" s="359"/>
      <c r="H214" s="359"/>
      <c r="I214" s="359"/>
      <c r="J214" s="359"/>
      <c r="K214" s="359"/>
      <c r="L214" s="359"/>
      <c r="M214" s="359"/>
      <c r="N214" s="359"/>
      <c r="O214" s="359"/>
      <c r="P214" s="359"/>
      <c r="Q214" s="359"/>
      <c r="R214" s="359"/>
      <c r="S214" s="359"/>
      <c r="T214" s="359"/>
      <c r="U214" s="359"/>
      <c r="V214" s="359"/>
      <c r="W214" s="359"/>
      <c r="X214" s="359"/>
      <c r="Y214" s="359"/>
      <c r="Z214" s="359"/>
      <c r="AA214" s="66"/>
      <c r="AB214" s="66"/>
      <c r="AC214" s="83"/>
    </row>
    <row r="215" spans="1:68" ht="27" hidden="1" customHeight="1" x14ac:dyDescent="0.25">
      <c r="A215" s="63" t="s">
        <v>320</v>
      </c>
      <c r="B215" s="63" t="s">
        <v>321</v>
      </c>
      <c r="C215" s="36">
        <v>4301135854</v>
      </c>
      <c r="D215" s="360">
        <v>4620207491706</v>
      </c>
      <c r="E215" s="36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118</v>
      </c>
      <c r="L215" s="37" t="s">
        <v>88</v>
      </c>
      <c r="M215" s="38" t="s">
        <v>86</v>
      </c>
      <c r="N215" s="38"/>
      <c r="O215" s="37">
        <v>180</v>
      </c>
      <c r="P215" s="44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362"/>
      <c r="R215" s="362"/>
      <c r="S215" s="362"/>
      <c r="T215" s="36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322</v>
      </c>
      <c r="AG215" s="81"/>
      <c r="AJ215" s="87" t="s">
        <v>89</v>
      </c>
      <c r="AK215" s="87">
        <v>1</v>
      </c>
      <c r="BB215" s="242" t="s">
        <v>117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hidden="1" customHeight="1" x14ac:dyDescent="0.25">
      <c r="A216" s="63" t="s">
        <v>323</v>
      </c>
      <c r="B216" s="63" t="s">
        <v>324</v>
      </c>
      <c r="C216" s="36">
        <v>4301135895</v>
      </c>
      <c r="D216" s="360">
        <v>4620207491522</v>
      </c>
      <c r="E216" s="360"/>
      <c r="F216" s="62">
        <v>0.28000000000000003</v>
      </c>
      <c r="G216" s="37">
        <v>12</v>
      </c>
      <c r="H216" s="62">
        <v>3.36</v>
      </c>
      <c r="I216" s="62">
        <v>4.0636000000000001</v>
      </c>
      <c r="J216" s="37">
        <v>70</v>
      </c>
      <c r="K216" s="37" t="s">
        <v>118</v>
      </c>
      <c r="L216" s="37" t="s">
        <v>88</v>
      </c>
      <c r="M216" s="38" t="s">
        <v>86</v>
      </c>
      <c r="N216" s="38"/>
      <c r="O216" s="37">
        <v>180</v>
      </c>
      <c r="P216" s="44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362"/>
      <c r="R216" s="362"/>
      <c r="S216" s="362"/>
      <c r="T216" s="36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3" t="s">
        <v>325</v>
      </c>
      <c r="AG216" s="81"/>
      <c r="AJ216" s="87" t="s">
        <v>89</v>
      </c>
      <c r="AK216" s="87">
        <v>1</v>
      </c>
      <c r="BB216" s="244" t="s">
        <v>117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hidden="1" x14ac:dyDescent="0.2">
      <c r="A218" s="374"/>
      <c r="B218" s="374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5"/>
      <c r="P218" s="371" t="s">
        <v>40</v>
      </c>
      <c r="Q218" s="372"/>
      <c r="R218" s="372"/>
      <c r="S218" s="372"/>
      <c r="T218" s="372"/>
      <c r="U218" s="372"/>
      <c r="V218" s="373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8" t="s">
        <v>326</v>
      </c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65"/>
      <c r="AB219" s="65"/>
      <c r="AC219" s="82"/>
    </row>
    <row r="220" spans="1:68" ht="14.25" hidden="1" customHeight="1" x14ac:dyDescent="0.25">
      <c r="A220" s="359" t="s">
        <v>82</v>
      </c>
      <c r="B220" s="359"/>
      <c r="C220" s="359"/>
      <c r="D220" s="359"/>
      <c r="E220" s="359"/>
      <c r="F220" s="359"/>
      <c r="G220" s="359"/>
      <c r="H220" s="359"/>
      <c r="I220" s="359"/>
      <c r="J220" s="359"/>
      <c r="K220" s="359"/>
      <c r="L220" s="359"/>
      <c r="M220" s="359"/>
      <c r="N220" s="359"/>
      <c r="O220" s="359"/>
      <c r="P220" s="359"/>
      <c r="Q220" s="359"/>
      <c r="R220" s="359"/>
      <c r="S220" s="359"/>
      <c r="T220" s="359"/>
      <c r="U220" s="359"/>
      <c r="V220" s="359"/>
      <c r="W220" s="359"/>
      <c r="X220" s="359"/>
      <c r="Y220" s="359"/>
      <c r="Z220" s="359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4301071097</v>
      </c>
      <c r="D221" s="360">
        <v>4620207491096</v>
      </c>
      <c r="E221" s="360"/>
      <c r="F221" s="62">
        <v>1</v>
      </c>
      <c r="G221" s="37">
        <v>5</v>
      </c>
      <c r="H221" s="62">
        <v>5</v>
      </c>
      <c r="I221" s="62">
        <v>5.23</v>
      </c>
      <c r="J221" s="37">
        <v>84</v>
      </c>
      <c r="K221" s="37" t="s">
        <v>87</v>
      </c>
      <c r="L221" s="37" t="s">
        <v>119</v>
      </c>
      <c r="M221" s="38" t="s">
        <v>86</v>
      </c>
      <c r="N221" s="38"/>
      <c r="O221" s="37">
        <v>180</v>
      </c>
      <c r="P221" s="44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362"/>
      <c r="R221" s="362"/>
      <c r="S221" s="362"/>
      <c r="T221" s="363"/>
      <c r="U221" s="39" t="s">
        <v>46</v>
      </c>
      <c r="V221" s="39" t="s">
        <v>46</v>
      </c>
      <c r="W221" s="40" t="s">
        <v>39</v>
      </c>
      <c r="X221" s="58">
        <v>192</v>
      </c>
      <c r="Y221" s="55">
        <f>IFERROR(IF(X221="","",X221),"")</f>
        <v>192</v>
      </c>
      <c r="Z221" s="41">
        <f>IFERROR(IF(X221="","",X221*0.0155),"")</f>
        <v>2.976</v>
      </c>
      <c r="AA221" s="68" t="s">
        <v>46</v>
      </c>
      <c r="AB221" s="69" t="s">
        <v>46</v>
      </c>
      <c r="AC221" s="245" t="s">
        <v>329</v>
      </c>
      <c r="AG221" s="81"/>
      <c r="AJ221" s="87" t="s">
        <v>120</v>
      </c>
      <c r="AK221" s="87">
        <v>12</v>
      </c>
      <c r="BB221" s="246" t="s">
        <v>70</v>
      </c>
      <c r="BM221" s="81">
        <f>IFERROR(X221*I221,"0")</f>
        <v>1004.1600000000001</v>
      </c>
      <c r="BN221" s="81">
        <f>IFERROR(Y221*I221,"0")</f>
        <v>1004.1600000000001</v>
      </c>
      <c r="BO221" s="81">
        <f>IFERROR(X221/J221,"0")</f>
        <v>2.2857142857142856</v>
      </c>
      <c r="BP221" s="81">
        <f>IFERROR(Y221/J221,"0")</f>
        <v>2.2857142857142856</v>
      </c>
    </row>
    <row r="222" spans="1:68" x14ac:dyDescent="0.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5"/>
      <c r="P222" s="371" t="s">
        <v>40</v>
      </c>
      <c r="Q222" s="372"/>
      <c r="R222" s="372"/>
      <c r="S222" s="372"/>
      <c r="T222" s="372"/>
      <c r="U222" s="372"/>
      <c r="V222" s="373"/>
      <c r="W222" s="42" t="s">
        <v>39</v>
      </c>
      <c r="X222" s="43">
        <f>IFERROR(SUM(X221:X221),"0")</f>
        <v>192</v>
      </c>
      <c r="Y222" s="43">
        <f>IFERROR(SUM(Y221:Y221),"0")</f>
        <v>192</v>
      </c>
      <c r="Z222" s="43">
        <f>IFERROR(IF(Z221="",0,Z221),"0")</f>
        <v>2.976</v>
      </c>
      <c r="AA222" s="67"/>
      <c r="AB222" s="67"/>
      <c r="AC222" s="67"/>
    </row>
    <row r="223" spans="1:68" x14ac:dyDescent="0.2">
      <c r="A223" s="374"/>
      <c r="B223" s="374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5"/>
      <c r="P223" s="371" t="s">
        <v>40</v>
      </c>
      <c r="Q223" s="372"/>
      <c r="R223" s="372"/>
      <c r="S223" s="372"/>
      <c r="T223" s="372"/>
      <c r="U223" s="372"/>
      <c r="V223" s="373"/>
      <c r="W223" s="42" t="s">
        <v>0</v>
      </c>
      <c r="X223" s="43">
        <f>IFERROR(SUMPRODUCT(X221:X221*H221:H221),"0")</f>
        <v>960</v>
      </c>
      <c r="Y223" s="43">
        <f>IFERROR(SUMPRODUCT(Y221:Y221*H221:H221),"0")</f>
        <v>960</v>
      </c>
      <c r="Z223" s="42"/>
      <c r="AA223" s="67"/>
      <c r="AB223" s="67"/>
      <c r="AC223" s="67"/>
    </row>
    <row r="224" spans="1:68" ht="16.5" hidden="1" customHeight="1" x14ac:dyDescent="0.25">
      <c r="A224" s="358" t="s">
        <v>330</v>
      </c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  <c r="AA224" s="65"/>
      <c r="AB224" s="65"/>
      <c r="AC224" s="82"/>
    </row>
    <row r="225" spans="1:68" ht="14.25" hidden="1" customHeight="1" x14ac:dyDescent="0.25">
      <c r="A225" s="359" t="s">
        <v>157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66"/>
      <c r="AB225" s="66"/>
      <c r="AC225" s="83"/>
    </row>
    <row r="226" spans="1:68" ht="27" hidden="1" customHeight="1" x14ac:dyDescent="0.25">
      <c r="A226" s="63" t="s">
        <v>331</v>
      </c>
      <c r="B226" s="63" t="s">
        <v>332</v>
      </c>
      <c r="C226" s="36">
        <v>4301135694</v>
      </c>
      <c r="D226" s="360">
        <v>4620207490501</v>
      </c>
      <c r="E226" s="360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88</v>
      </c>
      <c r="M226" s="38" t="s">
        <v>86</v>
      </c>
      <c r="N226" s="38"/>
      <c r="O226" s="37">
        <v>180</v>
      </c>
      <c r="P226" s="44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6" s="362"/>
      <c r="R226" s="362"/>
      <c r="S226" s="362"/>
      <c r="T226" s="363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47" t="s">
        <v>333</v>
      </c>
      <c r="AG226" s="81"/>
      <c r="AJ226" s="87" t="s">
        <v>89</v>
      </c>
      <c r="AK226" s="87">
        <v>1</v>
      </c>
      <c r="BB226" s="248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5"/>
      <c r="P227" s="371" t="s">
        <v>40</v>
      </c>
      <c r="Q227" s="372"/>
      <c r="R227" s="372"/>
      <c r="S227" s="372"/>
      <c r="T227" s="372"/>
      <c r="U227" s="372"/>
      <c r="V227" s="373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374"/>
      <c r="B228" s="374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5"/>
      <c r="P228" s="371" t="s">
        <v>40</v>
      </c>
      <c r="Q228" s="372"/>
      <c r="R228" s="372"/>
      <c r="S228" s="372"/>
      <c r="T228" s="372"/>
      <c r="U228" s="372"/>
      <c r="V228" s="373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57" t="s">
        <v>334</v>
      </c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54"/>
      <c r="AB229" s="54"/>
      <c r="AC229" s="54"/>
    </row>
    <row r="230" spans="1:68" ht="16.5" hidden="1" customHeight="1" x14ac:dyDescent="0.25">
      <c r="A230" s="358" t="s">
        <v>335</v>
      </c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65"/>
      <c r="AB230" s="65"/>
      <c r="AC230" s="82"/>
    </row>
    <row r="231" spans="1:68" ht="14.25" hidden="1" customHeight="1" x14ac:dyDescent="0.25">
      <c r="A231" s="359" t="s">
        <v>82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66"/>
      <c r="AB231" s="66"/>
      <c r="AC231" s="83"/>
    </row>
    <row r="232" spans="1:68" ht="27" hidden="1" customHeight="1" x14ac:dyDescent="0.25">
      <c r="A232" s="63" t="s">
        <v>336</v>
      </c>
      <c r="B232" s="63" t="s">
        <v>337</v>
      </c>
      <c r="C232" s="36">
        <v>4301071036</v>
      </c>
      <c r="D232" s="360">
        <v>4607111036162</v>
      </c>
      <c r="E232" s="360"/>
      <c r="F232" s="62">
        <v>0.8</v>
      </c>
      <c r="G232" s="37">
        <v>8</v>
      </c>
      <c r="H232" s="62">
        <v>6.4</v>
      </c>
      <c r="I232" s="62">
        <v>6.6811999999999996</v>
      </c>
      <c r="J232" s="37">
        <v>84</v>
      </c>
      <c r="K232" s="37" t="s">
        <v>87</v>
      </c>
      <c r="L232" s="37" t="s">
        <v>88</v>
      </c>
      <c r="M232" s="38" t="s">
        <v>86</v>
      </c>
      <c r="N232" s="38"/>
      <c r="O232" s="37">
        <v>90</v>
      </c>
      <c r="P232" s="44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2" s="362"/>
      <c r="R232" s="362"/>
      <c r="S232" s="362"/>
      <c r="T232" s="363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IFERROR(IF(X232="","",X232*0.0155),"")</f>
        <v>0</v>
      </c>
      <c r="AA232" s="68" t="s">
        <v>46</v>
      </c>
      <c r="AB232" s="69" t="s">
        <v>46</v>
      </c>
      <c r="AC232" s="249" t="s">
        <v>338</v>
      </c>
      <c r="AG232" s="81"/>
      <c r="AJ232" s="87" t="s">
        <v>89</v>
      </c>
      <c r="AK232" s="87">
        <v>1</v>
      </c>
      <c r="BB232" s="250" t="s">
        <v>70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5"/>
      <c r="P233" s="371" t="s">
        <v>40</v>
      </c>
      <c r="Q233" s="372"/>
      <c r="R233" s="372"/>
      <c r="S233" s="372"/>
      <c r="T233" s="372"/>
      <c r="U233" s="372"/>
      <c r="V233" s="373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374"/>
      <c r="B234" s="374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5"/>
      <c r="P234" s="371" t="s">
        <v>40</v>
      </c>
      <c r="Q234" s="372"/>
      <c r="R234" s="372"/>
      <c r="S234" s="372"/>
      <c r="T234" s="372"/>
      <c r="U234" s="372"/>
      <c r="V234" s="373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27.75" hidden="1" customHeight="1" x14ac:dyDescent="0.2">
      <c r="A235" s="357" t="s">
        <v>339</v>
      </c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54"/>
      <c r="AB235" s="54"/>
      <c r="AC235" s="54"/>
    </row>
    <row r="236" spans="1:68" ht="16.5" hidden="1" customHeight="1" x14ac:dyDescent="0.25">
      <c r="A236" s="358" t="s">
        <v>340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5"/>
      <c r="AB236" s="65"/>
      <c r="AC236" s="82"/>
    </row>
    <row r="237" spans="1:68" ht="14.25" hidden="1" customHeight="1" x14ac:dyDescent="0.25">
      <c r="A237" s="359" t="s">
        <v>341</v>
      </c>
      <c r="B237" s="359"/>
      <c r="C237" s="359"/>
      <c r="D237" s="359"/>
      <c r="E237" s="359"/>
      <c r="F237" s="359"/>
      <c r="G237" s="359"/>
      <c r="H237" s="359"/>
      <c r="I237" s="359"/>
      <c r="J237" s="359"/>
      <c r="K237" s="359"/>
      <c r="L237" s="359"/>
      <c r="M237" s="359"/>
      <c r="N237" s="359"/>
      <c r="O237" s="359"/>
      <c r="P237" s="359"/>
      <c r="Q237" s="359"/>
      <c r="R237" s="359"/>
      <c r="S237" s="359"/>
      <c r="T237" s="359"/>
      <c r="U237" s="359"/>
      <c r="V237" s="359"/>
      <c r="W237" s="359"/>
      <c r="X237" s="359"/>
      <c r="Y237" s="359"/>
      <c r="Z237" s="359"/>
      <c r="AA237" s="66"/>
      <c r="AB237" s="66"/>
      <c r="AC237" s="83"/>
    </row>
    <row r="238" spans="1:68" ht="27" hidden="1" customHeight="1" x14ac:dyDescent="0.25">
      <c r="A238" s="63" t="s">
        <v>342</v>
      </c>
      <c r="B238" s="63" t="s">
        <v>343</v>
      </c>
      <c r="C238" s="36">
        <v>4301133004</v>
      </c>
      <c r="D238" s="360">
        <v>4607111039774</v>
      </c>
      <c r="E238" s="360"/>
      <c r="F238" s="62">
        <v>0.25</v>
      </c>
      <c r="G238" s="37">
        <v>12</v>
      </c>
      <c r="H238" s="62">
        <v>3</v>
      </c>
      <c r="I238" s="62">
        <v>3.22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4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362"/>
      <c r="R238" s="362"/>
      <c r="S238" s="362"/>
      <c r="T238" s="363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344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5"/>
      <c r="P239" s="371" t="s">
        <v>40</v>
      </c>
      <c r="Q239" s="372"/>
      <c r="R239" s="372"/>
      <c r="S239" s="372"/>
      <c r="T239" s="372"/>
      <c r="U239" s="372"/>
      <c r="V239" s="373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4"/>
      <c r="B240" s="374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5"/>
      <c r="P240" s="371" t="s">
        <v>40</v>
      </c>
      <c r="Q240" s="372"/>
      <c r="R240" s="372"/>
      <c r="S240" s="372"/>
      <c r="T240" s="372"/>
      <c r="U240" s="372"/>
      <c r="V240" s="373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14.25" hidden="1" customHeight="1" x14ac:dyDescent="0.25">
      <c r="A241" s="359" t="s">
        <v>157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66"/>
      <c r="AB241" s="66"/>
      <c r="AC241" s="83"/>
    </row>
    <row r="242" spans="1:68" ht="37.5" hidden="1" customHeight="1" x14ac:dyDescent="0.25">
      <c r="A242" s="63" t="s">
        <v>345</v>
      </c>
      <c r="B242" s="63" t="s">
        <v>346</v>
      </c>
      <c r="C242" s="36">
        <v>4301135400</v>
      </c>
      <c r="D242" s="360">
        <v>4607111039361</v>
      </c>
      <c r="E242" s="360"/>
      <c r="F242" s="62">
        <v>0.25</v>
      </c>
      <c r="G242" s="37">
        <v>12</v>
      </c>
      <c r="H242" s="62">
        <v>3</v>
      </c>
      <c r="I242" s="62">
        <v>3.7035999999999998</v>
      </c>
      <c r="J242" s="37">
        <v>70</v>
      </c>
      <c r="K242" s="37" t="s">
        <v>118</v>
      </c>
      <c r="L242" s="37" t="s">
        <v>88</v>
      </c>
      <c r="M242" s="38" t="s">
        <v>86</v>
      </c>
      <c r="N242" s="38"/>
      <c r="O242" s="37">
        <v>180</v>
      </c>
      <c r="P242" s="45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362"/>
      <c r="R242" s="362"/>
      <c r="S242" s="362"/>
      <c r="T242" s="363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53" t="s">
        <v>344</v>
      </c>
      <c r="AG242" s="81"/>
      <c r="AJ242" s="87" t="s">
        <v>89</v>
      </c>
      <c r="AK242" s="87">
        <v>1</v>
      </c>
      <c r="BB242" s="254" t="s">
        <v>117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4"/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5"/>
      <c r="P243" s="371" t="s">
        <v>40</v>
      </c>
      <c r="Q243" s="372"/>
      <c r="R243" s="372"/>
      <c r="S243" s="372"/>
      <c r="T243" s="372"/>
      <c r="U243" s="372"/>
      <c r="V243" s="373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4"/>
      <c r="B244" s="374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5"/>
      <c r="P244" s="371" t="s">
        <v>40</v>
      </c>
      <c r="Q244" s="372"/>
      <c r="R244" s="372"/>
      <c r="S244" s="372"/>
      <c r="T244" s="372"/>
      <c r="U244" s="372"/>
      <c r="V244" s="373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27.75" hidden="1" customHeight="1" x14ac:dyDescent="0.2">
      <c r="A245" s="357" t="s">
        <v>347</v>
      </c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  <c r="AA245" s="54"/>
      <c r="AB245" s="54"/>
      <c r="AC245" s="54"/>
    </row>
    <row r="246" spans="1:68" ht="16.5" hidden="1" customHeight="1" x14ac:dyDescent="0.25">
      <c r="A246" s="358" t="s">
        <v>347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5"/>
      <c r="AB246" s="65"/>
      <c r="AC246" s="82"/>
    </row>
    <row r="247" spans="1:68" ht="14.25" hidden="1" customHeight="1" x14ac:dyDescent="0.25">
      <c r="A247" s="359" t="s">
        <v>151</v>
      </c>
      <c r="B247" s="359"/>
      <c r="C247" s="359"/>
      <c r="D247" s="359"/>
      <c r="E247" s="359"/>
      <c r="F247" s="359"/>
      <c r="G247" s="359"/>
      <c r="H247" s="359"/>
      <c r="I247" s="359"/>
      <c r="J247" s="359"/>
      <c r="K247" s="359"/>
      <c r="L247" s="359"/>
      <c r="M247" s="359"/>
      <c r="N247" s="359"/>
      <c r="O247" s="359"/>
      <c r="P247" s="359"/>
      <c r="Q247" s="359"/>
      <c r="R247" s="359"/>
      <c r="S247" s="359"/>
      <c r="T247" s="359"/>
      <c r="U247" s="359"/>
      <c r="V247" s="359"/>
      <c r="W247" s="359"/>
      <c r="X247" s="359"/>
      <c r="Y247" s="359"/>
      <c r="Z247" s="359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360">
        <v>4640242181943</v>
      </c>
      <c r="E248" s="360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2"/>
      <c r="R248" s="362"/>
      <c r="S248" s="362"/>
      <c r="T248" s="363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5"/>
      <c r="P249" s="371" t="s">
        <v>40</v>
      </c>
      <c r="Q249" s="372"/>
      <c r="R249" s="372"/>
      <c r="S249" s="372"/>
      <c r="T249" s="372"/>
      <c r="U249" s="372"/>
      <c r="V249" s="373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4"/>
      <c r="B250" s="374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5"/>
      <c r="P250" s="371" t="s">
        <v>40</v>
      </c>
      <c r="Q250" s="372"/>
      <c r="R250" s="372"/>
      <c r="S250" s="372"/>
      <c r="T250" s="372"/>
      <c r="U250" s="372"/>
      <c r="V250" s="373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7" t="s">
        <v>351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54"/>
      <c r="AB251" s="54"/>
      <c r="AC251" s="54"/>
    </row>
    <row r="252" spans="1:68" ht="16.5" hidden="1" customHeight="1" x14ac:dyDescent="0.25">
      <c r="A252" s="358" t="s">
        <v>351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5"/>
      <c r="AB252" s="65"/>
      <c r="AC252" s="82"/>
    </row>
    <row r="253" spans="1:68" ht="14.25" hidden="1" customHeight="1" x14ac:dyDescent="0.25">
      <c r="A253" s="359" t="s">
        <v>82</v>
      </c>
      <c r="B253" s="359"/>
      <c r="C253" s="359"/>
      <c r="D253" s="359"/>
      <c r="E253" s="359"/>
      <c r="F253" s="359"/>
      <c r="G253" s="359"/>
      <c r="H253" s="359"/>
      <c r="I253" s="359"/>
      <c r="J253" s="359"/>
      <c r="K253" s="359"/>
      <c r="L253" s="359"/>
      <c r="M253" s="359"/>
      <c r="N253" s="359"/>
      <c r="O253" s="359"/>
      <c r="P253" s="359"/>
      <c r="Q253" s="359"/>
      <c r="R253" s="359"/>
      <c r="S253" s="359"/>
      <c r="T253" s="359"/>
      <c r="U253" s="359"/>
      <c r="V253" s="359"/>
      <c r="W253" s="359"/>
      <c r="X253" s="359"/>
      <c r="Y253" s="359"/>
      <c r="Z253" s="359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360">
        <v>4640242181264</v>
      </c>
      <c r="E254" s="360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2"/>
      <c r="R254" s="362"/>
      <c r="S254" s="362"/>
      <c r="T254" s="36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360">
        <v>4640242181325</v>
      </c>
      <c r="E255" s="360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2"/>
      <c r="R255" s="362"/>
      <c r="S255" s="362"/>
      <c r="T255" s="36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idden="1" x14ac:dyDescent="0.2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5"/>
      <c r="P256" s="371" t="s">
        <v>40</v>
      </c>
      <c r="Q256" s="372"/>
      <c r="R256" s="372"/>
      <c r="S256" s="372"/>
      <c r="T256" s="372"/>
      <c r="U256" s="372"/>
      <c r="V256" s="373"/>
      <c r="W256" s="42" t="s">
        <v>39</v>
      </c>
      <c r="X256" s="43">
        <f>IFERROR(SUM(X254:X255),"0")</f>
        <v>0</v>
      </c>
      <c r="Y256" s="43">
        <f>IFERROR(SUM(Y254:Y255),"0")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374"/>
      <c r="B257" s="374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5"/>
      <c r="P257" s="371" t="s">
        <v>40</v>
      </c>
      <c r="Q257" s="372"/>
      <c r="R257" s="372"/>
      <c r="S257" s="372"/>
      <c r="T257" s="372"/>
      <c r="U257" s="372"/>
      <c r="V257" s="373"/>
      <c r="W257" s="42" t="s">
        <v>0</v>
      </c>
      <c r="X257" s="43">
        <f>IFERROR(SUMPRODUCT(X254:X255*H254:H255),"0")</f>
        <v>0</v>
      </c>
      <c r="Y257" s="43">
        <f>IFERROR(SUMPRODUCT(Y254:Y255*H254:H255),"0")</f>
        <v>0</v>
      </c>
      <c r="Z257" s="42"/>
      <c r="AA257" s="67"/>
      <c r="AB257" s="67"/>
      <c r="AC257" s="67"/>
    </row>
    <row r="258" spans="1:68" ht="14.25" hidden="1" customHeight="1" x14ac:dyDescent="0.25">
      <c r="A258" s="359" t="s">
        <v>113</v>
      </c>
      <c r="B258" s="359"/>
      <c r="C258" s="359"/>
      <c r="D258" s="359"/>
      <c r="E258" s="359"/>
      <c r="F258" s="359"/>
      <c r="G258" s="359"/>
      <c r="H258" s="359"/>
      <c r="I258" s="359"/>
      <c r="J258" s="359"/>
      <c r="K258" s="359"/>
      <c r="L258" s="359"/>
      <c r="M258" s="359"/>
      <c r="N258" s="359"/>
      <c r="O258" s="359"/>
      <c r="P258" s="359"/>
      <c r="Q258" s="359"/>
      <c r="R258" s="359"/>
      <c r="S258" s="359"/>
      <c r="T258" s="359"/>
      <c r="U258" s="359"/>
      <c r="V258" s="359"/>
      <c r="W258" s="359"/>
      <c r="X258" s="359"/>
      <c r="Y258" s="359"/>
      <c r="Z258" s="359"/>
      <c r="AA258" s="66"/>
      <c r="AB258" s="66"/>
      <c r="AC258" s="83"/>
    </row>
    <row r="259" spans="1:68" ht="27" hidden="1" customHeight="1" x14ac:dyDescent="0.25">
      <c r="A259" s="63" t="s">
        <v>357</v>
      </c>
      <c r="B259" s="63" t="s">
        <v>358</v>
      </c>
      <c r="C259" s="36">
        <v>4301132080</v>
      </c>
      <c r="D259" s="360">
        <v>4640242180397</v>
      </c>
      <c r="E259" s="360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87</v>
      </c>
      <c r="L259" s="37" t="s">
        <v>119</v>
      </c>
      <c r="M259" s="38" t="s">
        <v>86</v>
      </c>
      <c r="N259" s="38"/>
      <c r="O259" s="37">
        <v>180</v>
      </c>
      <c r="P259" s="4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362"/>
      <c r="R259" s="362"/>
      <c r="S259" s="362"/>
      <c r="T259" s="36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359</v>
      </c>
      <c r="AG259" s="81"/>
      <c r="AJ259" s="87" t="s">
        <v>120</v>
      </c>
      <c r="AK259" s="87">
        <v>12</v>
      </c>
      <c r="BB259" s="262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idden="1" x14ac:dyDescent="0.2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5"/>
      <c r="P260" s="371" t="s">
        <v>40</v>
      </c>
      <c r="Q260" s="372"/>
      <c r="R260" s="372"/>
      <c r="S260" s="372"/>
      <c r="T260" s="372"/>
      <c r="U260" s="372"/>
      <c r="V260" s="373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hidden="1" x14ac:dyDescent="0.2">
      <c r="A261" s="374"/>
      <c r="B261" s="374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5"/>
      <c r="P261" s="371" t="s">
        <v>40</v>
      </c>
      <c r="Q261" s="372"/>
      <c r="R261" s="372"/>
      <c r="S261" s="372"/>
      <c r="T261" s="372"/>
      <c r="U261" s="372"/>
      <c r="V261" s="373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hidden="1" customHeight="1" x14ac:dyDescent="0.25">
      <c r="A262" s="359" t="s">
        <v>151</v>
      </c>
      <c r="B262" s="359"/>
      <c r="C262" s="359"/>
      <c r="D262" s="359"/>
      <c r="E262" s="359"/>
      <c r="F262" s="359"/>
      <c r="G262" s="359"/>
      <c r="H262" s="359"/>
      <c r="I262" s="359"/>
      <c r="J262" s="359"/>
      <c r="K262" s="359"/>
      <c r="L262" s="359"/>
      <c r="M262" s="359"/>
      <c r="N262" s="359"/>
      <c r="O262" s="359"/>
      <c r="P262" s="359"/>
      <c r="Q262" s="359"/>
      <c r="R262" s="359"/>
      <c r="S262" s="359"/>
      <c r="T262" s="359"/>
      <c r="U262" s="359"/>
      <c r="V262" s="359"/>
      <c r="W262" s="359"/>
      <c r="X262" s="359"/>
      <c r="Y262" s="359"/>
      <c r="Z262" s="359"/>
      <c r="AA262" s="66"/>
      <c r="AB262" s="66"/>
      <c r="AC262" s="83"/>
    </row>
    <row r="263" spans="1:68" ht="27" hidden="1" customHeight="1" x14ac:dyDescent="0.25">
      <c r="A263" s="63" t="s">
        <v>360</v>
      </c>
      <c r="B263" s="63" t="s">
        <v>361</v>
      </c>
      <c r="C263" s="36">
        <v>4301136051</v>
      </c>
      <c r="D263" s="360">
        <v>4640242180304</v>
      </c>
      <c r="E263" s="360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118</v>
      </c>
      <c r="L263" s="37" t="s">
        <v>119</v>
      </c>
      <c r="M263" s="38" t="s">
        <v>86</v>
      </c>
      <c r="N263" s="38"/>
      <c r="O263" s="37">
        <v>180</v>
      </c>
      <c r="P263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362"/>
      <c r="R263" s="362"/>
      <c r="S263" s="362"/>
      <c r="T263" s="36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362</v>
      </c>
      <c r="AG263" s="81"/>
      <c r="AJ263" s="87" t="s">
        <v>120</v>
      </c>
      <c r="AK263" s="87">
        <v>14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363</v>
      </c>
      <c r="B264" s="63" t="s">
        <v>364</v>
      </c>
      <c r="C264" s="36">
        <v>4301136053</v>
      </c>
      <c r="D264" s="360">
        <v>4640242180236</v>
      </c>
      <c r="E264" s="360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45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362</v>
      </c>
      <c r="AG264" s="81"/>
      <c r="AJ264" s="87" t="s">
        <v>120</v>
      </c>
      <c r="AK264" s="87">
        <v>12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4301136052</v>
      </c>
      <c r="D265" s="360">
        <v>4640242180410</v>
      </c>
      <c r="E265" s="360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118</v>
      </c>
      <c r="L265" s="37" t="s">
        <v>119</v>
      </c>
      <c r="M265" s="38" t="s">
        <v>86</v>
      </c>
      <c r="N265" s="38"/>
      <c r="O265" s="37">
        <v>180</v>
      </c>
      <c r="P265" s="45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362"/>
      <c r="R265" s="362"/>
      <c r="S265" s="362"/>
      <c r="T265" s="363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362</v>
      </c>
      <c r="AG265" s="81"/>
      <c r="AJ265" s="87" t="s">
        <v>120</v>
      </c>
      <c r="AK265" s="87">
        <v>14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idden="1" x14ac:dyDescent="0.2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5"/>
      <c r="P266" s="371" t="s">
        <v>40</v>
      </c>
      <c r="Q266" s="372"/>
      <c r="R266" s="372"/>
      <c r="S266" s="372"/>
      <c r="T266" s="372"/>
      <c r="U266" s="372"/>
      <c r="V266" s="373"/>
      <c r="W266" s="42" t="s">
        <v>39</v>
      </c>
      <c r="X266" s="43">
        <f>IFERROR(SUM(X263:X265),"0")</f>
        <v>0</v>
      </c>
      <c r="Y266" s="43">
        <f>IFERROR(SUM(Y263:Y265),"0")</f>
        <v>0</v>
      </c>
      <c r="Z266" s="43">
        <f>IFERROR(IF(Z263="",0,Z263),"0")+IFERROR(IF(Z264="",0,Z264),"0")+IFERROR(IF(Z265="",0,Z265),"0")</f>
        <v>0</v>
      </c>
      <c r="AA266" s="67"/>
      <c r="AB266" s="67"/>
      <c r="AC266" s="67"/>
    </row>
    <row r="267" spans="1:68" hidden="1" x14ac:dyDescent="0.2">
      <c r="A267" s="374"/>
      <c r="B267" s="374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5"/>
      <c r="P267" s="371" t="s">
        <v>40</v>
      </c>
      <c r="Q267" s="372"/>
      <c r="R267" s="372"/>
      <c r="S267" s="372"/>
      <c r="T267" s="372"/>
      <c r="U267" s="372"/>
      <c r="V267" s="373"/>
      <c r="W267" s="42" t="s">
        <v>0</v>
      </c>
      <c r="X267" s="43">
        <f>IFERROR(SUMPRODUCT(X263:X265*H263:H265),"0")</f>
        <v>0</v>
      </c>
      <c r="Y267" s="43">
        <f>IFERROR(SUMPRODUCT(Y263:Y265*H263:H265),"0")</f>
        <v>0</v>
      </c>
      <c r="Z267" s="42"/>
      <c r="AA267" s="67"/>
      <c r="AB267" s="67"/>
      <c r="AC267" s="67"/>
    </row>
    <row r="268" spans="1:68" ht="14.25" hidden="1" customHeight="1" x14ac:dyDescent="0.25">
      <c r="A268" s="359" t="s">
        <v>157</v>
      </c>
      <c r="B268" s="359"/>
      <c r="C268" s="359"/>
      <c r="D268" s="359"/>
      <c r="E268" s="359"/>
      <c r="F268" s="359"/>
      <c r="G268" s="359"/>
      <c r="H268" s="359"/>
      <c r="I268" s="359"/>
      <c r="J268" s="359"/>
      <c r="K268" s="359"/>
      <c r="L268" s="359"/>
      <c r="M268" s="359"/>
      <c r="N268" s="359"/>
      <c r="O268" s="359"/>
      <c r="P268" s="359"/>
      <c r="Q268" s="359"/>
      <c r="R268" s="359"/>
      <c r="S268" s="359"/>
      <c r="T268" s="359"/>
      <c r="U268" s="359"/>
      <c r="V268" s="359"/>
      <c r="W268" s="359"/>
      <c r="X268" s="359"/>
      <c r="Y268" s="359"/>
      <c r="Z268" s="359"/>
      <c r="AA268" s="66"/>
      <c r="AB268" s="66"/>
      <c r="AC268" s="83"/>
    </row>
    <row r="269" spans="1:68" ht="37.5" hidden="1" customHeight="1" x14ac:dyDescent="0.25">
      <c r="A269" s="63" t="s">
        <v>367</v>
      </c>
      <c r="B269" s="63" t="s">
        <v>368</v>
      </c>
      <c r="C269" s="36">
        <v>4301135504</v>
      </c>
      <c r="D269" s="360">
        <v>4640242181554</v>
      </c>
      <c r="E269" s="360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118</v>
      </c>
      <c r="L269" s="37" t="s">
        <v>88</v>
      </c>
      <c r="M269" s="38" t="s">
        <v>86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362"/>
      <c r="R269" s="362"/>
      <c r="S269" s="362"/>
      <c r="T269" s="363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ref="Y269:Y278" si="18"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369</v>
      </c>
      <c r="AG269" s="81"/>
      <c r="AJ269" s="87" t="s">
        <v>89</v>
      </c>
      <c r="AK269" s="87">
        <v>1</v>
      </c>
      <c r="BB269" s="270" t="s">
        <v>117</v>
      </c>
      <c r="BM269" s="81">
        <f t="shared" ref="BM269:BM278" si="19">IFERROR(X269*I269,"0")</f>
        <v>0</v>
      </c>
      <c r="BN269" s="81">
        <f t="shared" ref="BN269:BN278" si="20">IFERROR(Y269*I269,"0")</f>
        <v>0</v>
      </c>
      <c r="BO269" s="81">
        <f t="shared" ref="BO269:BO278" si="21">IFERROR(X269/J269,"0")</f>
        <v>0</v>
      </c>
      <c r="BP269" s="81">
        <f t="shared" ref="BP269:BP278" si="22">IFERROR(Y269/J269,"0")</f>
        <v>0</v>
      </c>
    </row>
    <row r="270" spans="1:68" ht="27" hidden="1" customHeight="1" x14ac:dyDescent="0.25">
      <c r="A270" s="63" t="s">
        <v>370</v>
      </c>
      <c r="B270" s="63" t="s">
        <v>371</v>
      </c>
      <c r="C270" s="36">
        <v>4301135518</v>
      </c>
      <c r="D270" s="360">
        <v>4640242181561</v>
      </c>
      <c r="E270" s="360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45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120</v>
      </c>
      <c r="AK270" s="87">
        <v>14</v>
      </c>
      <c r="BB270" s="272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373</v>
      </c>
      <c r="B271" s="63" t="s">
        <v>374</v>
      </c>
      <c r="C271" s="36">
        <v>4301135374</v>
      </c>
      <c r="D271" s="360">
        <v>4640242181424</v>
      </c>
      <c r="E271" s="360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87</v>
      </c>
      <c r="L271" s="37" t="s">
        <v>119</v>
      </c>
      <c r="M271" s="38" t="s">
        <v>86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362"/>
      <c r="R271" s="362"/>
      <c r="S271" s="362"/>
      <c r="T271" s="36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73" t="s">
        <v>369</v>
      </c>
      <c r="AG271" s="81"/>
      <c r="AJ271" s="87" t="s">
        <v>120</v>
      </c>
      <c r="AK271" s="87">
        <v>12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4301135405</v>
      </c>
      <c r="D272" s="360">
        <v>4640242181523</v>
      </c>
      <c r="E272" s="360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46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362"/>
      <c r="R272" s="362"/>
      <c r="S272" s="362"/>
      <c r="T272" s="36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ref="Z272:Z277" si="23">IFERROR(IF(X272="","",X272*0.00936),"")</f>
        <v>0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4301135375</v>
      </c>
      <c r="D273" s="360">
        <v>4640242181486</v>
      </c>
      <c r="E273" s="36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362"/>
      <c r="R273" s="362"/>
      <c r="S273" s="362"/>
      <c r="T273" s="363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369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379</v>
      </c>
      <c r="B274" s="63" t="s">
        <v>380</v>
      </c>
      <c r="C274" s="36">
        <v>4301135402</v>
      </c>
      <c r="D274" s="360">
        <v>4640242181493</v>
      </c>
      <c r="E274" s="360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369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4301135403</v>
      </c>
      <c r="D275" s="360">
        <v>4640242181509</v>
      </c>
      <c r="E275" s="360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369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4301135304</v>
      </c>
      <c r="D276" s="360">
        <v>4640242181240</v>
      </c>
      <c r="E276" s="360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6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369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4301135610</v>
      </c>
      <c r="D277" s="360">
        <v>4640242181318</v>
      </c>
      <c r="E277" s="360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4301135306</v>
      </c>
      <c r="D278" s="360">
        <v>4640242181387</v>
      </c>
      <c r="E278" s="360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169</v>
      </c>
      <c r="L278" s="37" t="s">
        <v>88</v>
      </c>
      <c r="M278" s="38" t="s">
        <v>86</v>
      </c>
      <c r="N278" s="38"/>
      <c r="O278" s="37">
        <v>180</v>
      </c>
      <c r="P278" s="4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362"/>
      <c r="R278" s="362"/>
      <c r="S278" s="362"/>
      <c r="T278" s="363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369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idden="1" x14ac:dyDescent="0.2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5"/>
      <c r="P279" s="371" t="s">
        <v>40</v>
      </c>
      <c r="Q279" s="372"/>
      <c r="R279" s="372"/>
      <c r="S279" s="372"/>
      <c r="T279" s="372"/>
      <c r="U279" s="372"/>
      <c r="V279" s="373"/>
      <c r="W279" s="42" t="s">
        <v>39</v>
      </c>
      <c r="X279" s="43">
        <f>IFERROR(SUM(X269:X278),"0")</f>
        <v>0</v>
      </c>
      <c r="Y279" s="43">
        <f>IFERROR(SUM(Y269:Y278),"0")</f>
        <v>0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5"/>
      <c r="P280" s="371" t="s">
        <v>40</v>
      </c>
      <c r="Q280" s="372"/>
      <c r="R280" s="372"/>
      <c r="S280" s="372"/>
      <c r="T280" s="372"/>
      <c r="U280" s="372"/>
      <c r="V280" s="373"/>
      <c r="W280" s="42" t="s">
        <v>0</v>
      </c>
      <c r="X280" s="43">
        <f>IFERROR(SUMPRODUCT(X269:X278*H269:H278),"0")</f>
        <v>0</v>
      </c>
      <c r="Y280" s="43">
        <f>IFERROR(SUMPRODUCT(Y269:Y278*H269:H278),"0")</f>
        <v>0</v>
      </c>
      <c r="Z280" s="42"/>
      <c r="AA280" s="67"/>
      <c r="AB280" s="67"/>
      <c r="AC280" s="67"/>
    </row>
    <row r="281" spans="1:68" ht="15" customHeight="1" x14ac:dyDescent="0.2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471"/>
      <c r="P281" s="468" t="s">
        <v>33</v>
      </c>
      <c r="Q281" s="469"/>
      <c r="R281" s="469"/>
      <c r="S281" s="469"/>
      <c r="T281" s="469"/>
      <c r="U281" s="469"/>
      <c r="V281" s="470"/>
      <c r="W281" s="42" t="s">
        <v>0</v>
      </c>
      <c r="X281" s="43">
        <f>IFERROR(X31+X37+X44+X51+X59+X64+X68+X73+X79+X85+X90+X96+X106+X112+X124+X128+X132+X140+X146+X152+X158+X164+X169+X174+X179+X186+X191+X200+X206+X212+X218+X223+X228+X234+X240+X244+X250+X257+X261+X267+X280,"0")</f>
        <v>11680.56</v>
      </c>
      <c r="Y281" s="43">
        <f>IFERROR(Y31+Y37+Y44+Y51+Y59+Y64+Y68+Y73+Y79+Y85+Y90+Y96+Y106+Y112+Y124+Y128+Y132+Y140+Y146+Y152+Y158+Y164+Y169+Y174+Y179+Y186+Y191+Y200+Y206+Y212+Y218+Y223+Y228+Y234+Y240+Y244+Y250+Y257+Y261+Y267+Y280,"0")</f>
        <v>11680.56</v>
      </c>
      <c r="Z281" s="42"/>
      <c r="AA281" s="67"/>
      <c r="AB281" s="67"/>
      <c r="AC281" s="67"/>
    </row>
    <row r="282" spans="1:68" x14ac:dyDescent="0.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471"/>
      <c r="P282" s="468" t="s">
        <v>34</v>
      </c>
      <c r="Q282" s="469"/>
      <c r="R282" s="469"/>
      <c r="S282" s="469"/>
      <c r="T282" s="469"/>
      <c r="U282" s="469"/>
      <c r="V282" s="470"/>
      <c r="W282" s="42" t="s">
        <v>0</v>
      </c>
      <c r="X282" s="43">
        <f>IFERROR(SUM(BM22:BM278),"0")</f>
        <v>12960.141600000001</v>
      </c>
      <c r="Y282" s="43">
        <f>IFERROR(SUM(BN22:BN278),"0")</f>
        <v>12960.141600000001</v>
      </c>
      <c r="Z282" s="42"/>
      <c r="AA282" s="67"/>
      <c r="AB282" s="67"/>
      <c r="AC282" s="67"/>
    </row>
    <row r="283" spans="1:68" x14ac:dyDescent="0.2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471"/>
      <c r="P283" s="468" t="s">
        <v>35</v>
      </c>
      <c r="Q283" s="469"/>
      <c r="R283" s="469"/>
      <c r="S283" s="469"/>
      <c r="T283" s="469"/>
      <c r="U283" s="469"/>
      <c r="V283" s="470"/>
      <c r="W283" s="42" t="s">
        <v>20</v>
      </c>
      <c r="X283" s="44">
        <f>ROUNDUP(SUM(BO22:BO278),0)</f>
        <v>36</v>
      </c>
      <c r="Y283" s="44">
        <f>ROUNDUP(SUM(BP22:BP278),0)</f>
        <v>36</v>
      </c>
      <c r="Z283" s="42"/>
      <c r="AA283" s="67"/>
      <c r="AB283" s="67"/>
      <c r="AC283" s="67"/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471"/>
      <c r="P284" s="468" t="s">
        <v>36</v>
      </c>
      <c r="Q284" s="469"/>
      <c r="R284" s="469"/>
      <c r="S284" s="469"/>
      <c r="T284" s="469"/>
      <c r="U284" s="469"/>
      <c r="V284" s="470"/>
      <c r="W284" s="42" t="s">
        <v>0</v>
      </c>
      <c r="X284" s="43">
        <f>GrossWeightTotal+PalletQtyTotal*25</f>
        <v>13860.141600000001</v>
      </c>
      <c r="Y284" s="43">
        <f>GrossWeightTotalR+PalletQtyTotalR*25</f>
        <v>13860.141600000001</v>
      </c>
      <c r="Z284" s="42"/>
      <c r="AA284" s="67"/>
      <c r="AB284" s="67"/>
      <c r="AC284" s="67"/>
    </row>
    <row r="285" spans="1:68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471"/>
      <c r="P285" s="468" t="s">
        <v>37</v>
      </c>
      <c r="Q285" s="469"/>
      <c r="R285" s="469"/>
      <c r="S285" s="469"/>
      <c r="T285" s="469"/>
      <c r="U285" s="469"/>
      <c r="V285" s="470"/>
      <c r="W285" s="42" t="s">
        <v>20</v>
      </c>
      <c r="X285" s="43">
        <f>IFERROR(X30+X36+X43+X50+X58+X63+X67+X72+X78+X84+X89+X95+X105+X111+X123+X127+X131+X139+X145+X151+X157+X163+X168+X173+X178+X185+X190+X199+X205+X211+X217+X222+X227+X233+X239+X243+X249+X256+X260+X266+X279,"0")</f>
        <v>2826</v>
      </c>
      <c r="Y285" s="43">
        <f>IFERROR(Y30+Y36+Y43+Y50+Y58+Y63+Y67+Y72+Y78+Y84+Y89+Y95+Y105+Y111+Y123+Y127+Y131+Y139+Y145+Y151+Y157+Y163+Y168+Y173+Y178+Y185+Y190+Y199+Y205+Y211+Y217+Y222+Y227+Y233+Y239+Y243+Y249+Y256+Y260+Y266+Y279,"0")</f>
        <v>2826</v>
      </c>
      <c r="Z285" s="42"/>
      <c r="AA285" s="67"/>
      <c r="AB285" s="67"/>
      <c r="AC285" s="67"/>
    </row>
    <row r="286" spans="1:68" ht="14.25" hidden="1" x14ac:dyDescent="0.2">
      <c r="A286" s="374"/>
      <c r="B286" s="374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471"/>
      <c r="P286" s="468" t="s">
        <v>38</v>
      </c>
      <c r="Q286" s="469"/>
      <c r="R286" s="469"/>
      <c r="S286" s="469"/>
      <c r="T286" s="469"/>
      <c r="U286" s="469"/>
      <c r="V286" s="470"/>
      <c r="W286" s="45" t="s">
        <v>52</v>
      </c>
      <c r="X286" s="42"/>
      <c r="Y286" s="42"/>
      <c r="Z286" s="42">
        <f>IFERROR(Z30+Z36+Z43+Z50+Z58+Z63+Z67+Z72+Z78+Z84+Z89+Z95+Z105+Z111+Z123+Z127+Z131+Z139+Z145+Z151+Z157+Z163+Z168+Z173+Z178+Z185+Z190+Z199+Z205+Z211+Z217+Z222+Z227+Z233+Z239+Z243+Z249+Z256+Z260+Z266+Z279,"0")</f>
        <v>45.051239999999993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472" t="s">
        <v>81</v>
      </c>
      <c r="C288" s="472" t="s">
        <v>81</v>
      </c>
      <c r="D288" s="472" t="s">
        <v>45</v>
      </c>
      <c r="E288" s="472" t="s">
        <v>45</v>
      </c>
      <c r="F288" s="472" t="s">
        <v>45</v>
      </c>
      <c r="G288" s="472" t="s">
        <v>45</v>
      </c>
      <c r="H288" s="472" t="s">
        <v>45</v>
      </c>
      <c r="I288" s="472" t="s">
        <v>45</v>
      </c>
      <c r="J288" s="472" t="s">
        <v>45</v>
      </c>
      <c r="K288" s="472" t="s">
        <v>45</v>
      </c>
      <c r="L288" s="472" t="s">
        <v>45</v>
      </c>
      <c r="M288" s="472" t="s">
        <v>45</v>
      </c>
      <c r="N288" s="473"/>
      <c r="O288" s="472" t="s">
        <v>45</v>
      </c>
      <c r="P288" s="472" t="s">
        <v>45</v>
      </c>
      <c r="Q288" s="472" t="s">
        <v>45</v>
      </c>
      <c r="R288" s="472" t="s">
        <v>45</v>
      </c>
      <c r="S288" s="472" t="s">
        <v>45</v>
      </c>
      <c r="T288" s="472" t="s">
        <v>45</v>
      </c>
      <c r="U288" s="472" t="s">
        <v>45</v>
      </c>
      <c r="V288" s="472" t="s">
        <v>280</v>
      </c>
      <c r="W288" s="472" t="s">
        <v>280</v>
      </c>
      <c r="X288" s="88" t="s">
        <v>291</v>
      </c>
      <c r="Y288" s="472" t="s">
        <v>305</v>
      </c>
      <c r="Z288" s="472" t="s">
        <v>305</v>
      </c>
      <c r="AA288" s="472" t="s">
        <v>305</v>
      </c>
      <c r="AB288" s="472" t="s">
        <v>305</v>
      </c>
      <c r="AC288" s="88" t="s">
        <v>334</v>
      </c>
      <c r="AD288" s="88" t="s">
        <v>339</v>
      </c>
      <c r="AE288" s="88" t="s">
        <v>347</v>
      </c>
      <c r="AF288" s="88" t="s">
        <v>351</v>
      </c>
    </row>
    <row r="289" spans="1:32" ht="14.25" customHeight="1" thickTop="1" x14ac:dyDescent="0.2">
      <c r="A289" s="474" t="s">
        <v>10</v>
      </c>
      <c r="B289" s="472" t="s">
        <v>81</v>
      </c>
      <c r="C289" s="472" t="s">
        <v>106</v>
      </c>
      <c r="D289" s="472" t="s">
        <v>112</v>
      </c>
      <c r="E289" s="472" t="s">
        <v>123</v>
      </c>
      <c r="F289" s="472" t="s">
        <v>133</v>
      </c>
      <c r="G289" s="472" t="s">
        <v>144</v>
      </c>
      <c r="H289" s="472" t="s">
        <v>165</v>
      </c>
      <c r="I289" s="472" t="s">
        <v>172</v>
      </c>
      <c r="J289" s="472" t="s">
        <v>176</v>
      </c>
      <c r="K289" s="472" t="s">
        <v>184</v>
      </c>
      <c r="L289" s="472" t="s">
        <v>199</v>
      </c>
      <c r="M289" s="472" t="s">
        <v>205</v>
      </c>
      <c r="N289" s="1"/>
      <c r="O289" s="472" t="s">
        <v>233</v>
      </c>
      <c r="P289" s="472" t="s">
        <v>251</v>
      </c>
      <c r="Q289" s="472" t="s">
        <v>257</v>
      </c>
      <c r="R289" s="472" t="s">
        <v>264</v>
      </c>
      <c r="S289" s="472" t="s">
        <v>269</v>
      </c>
      <c r="T289" s="472" t="s">
        <v>273</v>
      </c>
      <c r="U289" s="472" t="s">
        <v>276</v>
      </c>
      <c r="V289" s="472" t="s">
        <v>281</v>
      </c>
      <c r="W289" s="472" t="s">
        <v>288</v>
      </c>
      <c r="X289" s="472" t="s">
        <v>292</v>
      </c>
      <c r="Y289" s="472" t="s">
        <v>306</v>
      </c>
      <c r="Z289" s="472" t="s">
        <v>319</v>
      </c>
      <c r="AA289" s="472" t="s">
        <v>326</v>
      </c>
      <c r="AB289" s="472" t="s">
        <v>330</v>
      </c>
      <c r="AC289" s="472" t="s">
        <v>335</v>
      </c>
      <c r="AD289" s="472" t="s">
        <v>340</v>
      </c>
      <c r="AE289" s="472" t="s">
        <v>347</v>
      </c>
      <c r="AF289" s="472" t="s">
        <v>351</v>
      </c>
    </row>
    <row r="290" spans="1:32" ht="13.5" thickBot="1" x14ac:dyDescent="0.25">
      <c r="A290" s="475"/>
      <c r="B290" s="472"/>
      <c r="C290" s="472"/>
      <c r="D290" s="472"/>
      <c r="E290" s="472"/>
      <c r="F290" s="472"/>
      <c r="G290" s="472"/>
      <c r="H290" s="472"/>
      <c r="I290" s="472"/>
      <c r="J290" s="472"/>
      <c r="K290" s="472"/>
      <c r="L290" s="472"/>
      <c r="M290" s="472"/>
      <c r="N290" s="1"/>
      <c r="O290" s="472"/>
      <c r="P290" s="472"/>
      <c r="Q290" s="472"/>
      <c r="R290" s="472"/>
      <c r="S290" s="472"/>
      <c r="T290" s="472"/>
      <c r="U290" s="472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0</v>
      </c>
      <c r="C291" s="52">
        <f>IFERROR(X34*H34,"0")+IFERROR(X35*H35,"0")</f>
        <v>412.8</v>
      </c>
      <c r="D291" s="52">
        <f>IFERROR(X41*H41,"0")+IFERROR(X42*H42,"0")</f>
        <v>378</v>
      </c>
      <c r="E291" s="52">
        <f>IFERROR(X47*H47,"0")+IFERROR(X48*H48,"0")+IFERROR(X49*H49,"0")</f>
        <v>1814.3999999999999</v>
      </c>
      <c r="F291" s="52">
        <f>IFERROR(X54*H54,"0")+IFERROR(X55*H55,"0")+IFERROR(X56*H56,"0")+IFERROR(X57*H57,"0")</f>
        <v>840</v>
      </c>
      <c r="G291" s="52">
        <f>IFERROR(X62*H62,"0")+IFERROR(X66*H66,"0")+IFERROR(X70*H70,"0")+IFERROR(X71*H71,"0")+IFERROR(X75*H75,"0")+IFERROR(X76*H76,"0")+IFERROR(X77*H77,"0")</f>
        <v>0</v>
      </c>
      <c r="H291" s="52">
        <f>IFERROR(X82*H82,"0")+IFERROR(X83*H83,"0")</f>
        <v>0</v>
      </c>
      <c r="I291" s="52">
        <f>IFERROR(X88*H88,"0")</f>
        <v>201.6</v>
      </c>
      <c r="J291" s="52">
        <f>IFERROR(X93*H93,"0")+IFERROR(X94*H94,"0")</f>
        <v>655.20000000000005</v>
      </c>
      <c r="K291" s="52">
        <f>IFERROR(X99*H99,"0")+IFERROR(X100*H100,"0")+IFERROR(X101*H101,"0")+IFERROR(X102*H102,"0")+IFERROR(X103*H103,"0")+IFERROR(X104*H104,"0")</f>
        <v>997.92000000000007</v>
      </c>
      <c r="L291" s="52">
        <f>IFERROR(X109*H109,"0")+IFERROR(X110*H110,"0")</f>
        <v>181.44</v>
      </c>
      <c r="M291" s="52">
        <f>IFERROR(X115*H115,"0")+IFERROR(X116*H116,"0")+IFERROR(X117*H117,"0")+IFERROR(X118*H118,"0")+IFERROR(X119*H119,"0")+IFERROR(X120*H120,"0")+IFERROR(X121*H121,"0")+IFERROR(X122*H122,"0")+IFERROR(X126*H126,"0")+IFERROR(X130*H130,"0")</f>
        <v>2769.6</v>
      </c>
      <c r="N291" s="1"/>
      <c r="O291" s="52">
        <f>IFERROR(X135*H135,"0")+IFERROR(X136*H136,"0")+IFERROR(X137*H137,"0")+IFERROR(X138*H138,"0")+IFERROR(X142*H142,"0")+IFERROR(X143*H143,"0")+IFERROR(X144*H144,"0")</f>
        <v>0</v>
      </c>
      <c r="P291" s="52">
        <f>IFERROR(X149*H149,"0")+IFERROR(X150*H150,"0")</f>
        <v>924</v>
      </c>
      <c r="Q291" s="52">
        <f>IFERROR(X155*H155,"0")+IFERROR(X156*H156,"0")</f>
        <v>378</v>
      </c>
      <c r="R291" s="52">
        <f>IFERROR(X161*H161,"0")+IFERROR(X162*H162,"0")</f>
        <v>201.6</v>
      </c>
      <c r="S291" s="52">
        <f>IFERROR(X167*H167,"0")</f>
        <v>252</v>
      </c>
      <c r="T291" s="52">
        <f>IFERROR(X172*H172,"0")</f>
        <v>0</v>
      </c>
      <c r="U291" s="52">
        <f>IFERROR(X177*H177,"0")</f>
        <v>0</v>
      </c>
      <c r="V291" s="52">
        <f>IFERROR(X183*H183,"0")+IFERROR(X184*H184,"0")</f>
        <v>0</v>
      </c>
      <c r="W291" s="52">
        <f>IFERROR(X189*H189,"0")</f>
        <v>0</v>
      </c>
      <c r="X291" s="52">
        <f>IFERROR(X195*H195,"0")+IFERROR(X196*H196,"0")+IFERROR(X197*H197,"0")+IFERROR(X198*H198,"0")</f>
        <v>714</v>
      </c>
      <c r="Y291" s="52">
        <f>IFERROR(X204*H204,"0")+IFERROR(X208*H208,"0")+IFERROR(X209*H209,"0")+IFERROR(X210*H210,"0")</f>
        <v>0</v>
      </c>
      <c r="Z291" s="52">
        <f>IFERROR(X215*H215,"0")+IFERROR(X216*H216,"0")</f>
        <v>0</v>
      </c>
      <c r="AA291" s="52">
        <f>IFERROR(X221*H221,"0")</f>
        <v>960</v>
      </c>
      <c r="AB291" s="52">
        <f>IFERROR(X226*H226,"0")</f>
        <v>0</v>
      </c>
      <c r="AC291" s="52">
        <f>IFERROR(X232*H232,"0")</f>
        <v>0</v>
      </c>
      <c r="AD291" s="52">
        <f>IFERROR(X238*H238,"0")+IFERROR(X242*H242,"0")</f>
        <v>0</v>
      </c>
      <c r="AE291" s="52">
        <f>IFERROR(X248*H248,"0")</f>
        <v>0</v>
      </c>
      <c r="AF291" s="52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0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6796.8</v>
      </c>
      <c r="B294" s="72">
        <f>SUMPRODUCT(--(BB:BB="ПГП"),--(W:W="кор"),H:H,Y:Y)+SUMPRODUCT(--(BB:BB="ПГП"),--(W:W="кг"),Y:Y)</f>
        <v>4883.76</v>
      </c>
      <c r="C294" s="72">
        <f>SUMPRODUCT(--(BB:BB="КИЗ"),--(W:W="кор"),H:H,Y:Y)+SUMPRODUCT(--(BB:BB="КИЗ"),--(W:W="кг"),Y:Y)</f>
        <v>0</v>
      </c>
    </row>
  </sheetData>
  <sheetProtection algorithmName="SHA-512" hashValue="gTN/D2WUcDAefocoPMxLA66L35/zeL1o0Ji+811AZWzwHQBCrPp/saCADttPdTZK6UyBi9JkES4b/9K6SXESCw==" saltValue="Rtrvm/5sIuIjqxCANa91sQ==" spinCount="100000" sheet="1" objects="1" scenarios="1" sort="0" autoFilter="0" pivotTables="0"/>
  <autoFilter ref="A18:AF28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14,40"/>
        <filter val="11 680,56"/>
        <filter val="112,00"/>
        <filter val="12 960,14"/>
        <filter val="120,00"/>
        <filter val="126,00"/>
        <filter val="13 860,14"/>
        <filter val="144,00"/>
        <filter val="154,00"/>
        <filter val="156,00"/>
        <filter val="168,00"/>
        <filter val="181,44"/>
        <filter val="182,00"/>
        <filter val="192,00"/>
        <filter val="2 769,60"/>
        <filter val="2 826,00"/>
        <filter val="201,60"/>
        <filter val="238,00"/>
        <filter val="252,00"/>
        <filter val="308,00"/>
        <filter val="324,00"/>
        <filter val="36"/>
        <filter val="378,00"/>
        <filter val="408,00"/>
        <filter val="412,80"/>
        <filter val="56,00"/>
        <filter val="60,00"/>
        <filter val="655,20"/>
        <filter val="714,00"/>
        <filter val="72,00"/>
        <filter val="84,00"/>
        <filter val="840,00"/>
        <filter val="924,00"/>
        <filter val="960,00"/>
        <filter val="98,00"/>
        <filter val="997,92"/>
      </filters>
    </filterColumn>
    <filterColumn colId="29" showButton="0"/>
    <filterColumn colId="30" showButton="0"/>
  </autoFilter>
  <dataConsolidate/>
  <mergeCells count="511">
    <mergeCell ref="AE289:AE290"/>
    <mergeCell ref="AF289:AF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  <mergeCell ref="B288:C288"/>
    <mergeCell ref="D288:U288"/>
    <mergeCell ref="V288:W288"/>
    <mergeCell ref="Y288:AB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T289:T290"/>
    <mergeCell ref="U289:U290"/>
    <mergeCell ref="D278:E278"/>
    <mergeCell ref="P278:T278"/>
    <mergeCell ref="P279:V279"/>
    <mergeCell ref="A279:O280"/>
    <mergeCell ref="P280:V280"/>
    <mergeCell ref="P281:V281"/>
    <mergeCell ref="A281:O286"/>
    <mergeCell ref="P282:V282"/>
    <mergeCell ref="P283:V283"/>
    <mergeCell ref="P284:V284"/>
    <mergeCell ref="P285:V285"/>
    <mergeCell ref="P286:V286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A241:Z241"/>
    <mergeCell ref="D242:E242"/>
    <mergeCell ref="P242:T242"/>
    <mergeCell ref="P243:V243"/>
    <mergeCell ref="A243:O244"/>
    <mergeCell ref="P244:V244"/>
    <mergeCell ref="A245:Z245"/>
    <mergeCell ref="A246:Z246"/>
    <mergeCell ref="A247:Z247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P239:V239"/>
    <mergeCell ref="A239:O240"/>
    <mergeCell ref="P240:V240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P205:V205"/>
    <mergeCell ref="A205:O206"/>
    <mergeCell ref="P206:V206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A180:Z180"/>
    <mergeCell ref="A181:Z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D177:E177"/>
    <mergeCell ref="P177:T177"/>
    <mergeCell ref="P178:V178"/>
    <mergeCell ref="A178:O179"/>
    <mergeCell ref="P179:V179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6:R6 P8:R8 P5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:X278 X269 X254:X255 X248 X242 X238 X232 X226 X215:X216 X208:X210 X198 X189 X183 X177 X155 X142:X144 X135:X138 X130 X126 X119:X120 X116 X101 X99 X75:X77 X70:X71 X66 X62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0:X275 X263:X265 X259 X221 X204 X195:X197 X184 X172 X167 X161:X162 X156 X149:X150 X121:X122 X117:X118 X115 X109:X110 X102:X104 X100 X93:X94 X88 X82:X83 X54:X57 X49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389</v>
      </c>
      <c r="H1" s="9"/>
    </row>
    <row r="3" spans="2:8" x14ac:dyDescent="0.2">
      <c r="B3" s="53" t="s">
        <v>390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392</v>
      </c>
      <c r="D6" s="53" t="s">
        <v>393</v>
      </c>
      <c r="E6" s="53" t="s">
        <v>46</v>
      </c>
    </row>
    <row r="8" spans="2:8" x14ac:dyDescent="0.2">
      <c r="B8" s="53" t="s">
        <v>80</v>
      </c>
      <c r="C8" s="53" t="s">
        <v>392</v>
      </c>
      <c r="D8" s="53" t="s">
        <v>46</v>
      </c>
      <c r="E8" s="53" t="s">
        <v>46</v>
      </c>
    </row>
    <row r="10" spans="2:8" x14ac:dyDescent="0.2">
      <c r="B10" s="53" t="s">
        <v>394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404</v>
      </c>
      <c r="C20" s="53" t="s">
        <v>46</v>
      </c>
      <c r="D20" s="53" t="s">
        <v>46</v>
      </c>
      <c r="E20" s="53" t="s">
        <v>46</v>
      </c>
    </row>
  </sheetData>
  <sheetProtection algorithmName="SHA-512" hashValue="gZSnI7dZFDZ6AAjZEW4VGSoSkjc3Y+nCGofTBck6rec69Ru/m+NPC20js4xeJzOAf6+6Wxk9nHQof6HkynoV4g==" saltValue="+tSVzHxiF7AI4XzfrxlLb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b0b2827-4eb3-461f-8866-28597c48f47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