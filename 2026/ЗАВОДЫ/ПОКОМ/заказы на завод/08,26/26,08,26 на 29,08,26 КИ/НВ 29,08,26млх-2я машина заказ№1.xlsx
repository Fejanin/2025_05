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DF67CDD-AEA3-4EDA-A69C-074F2FDA9CC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1" i="1" l="1"/>
  <c r="X550" i="1"/>
  <c r="BP549" i="1"/>
  <c r="BO549" i="1"/>
  <c r="BM549" i="1"/>
  <c r="Z549" i="1"/>
  <c r="Z550" i="1" s="1"/>
  <c r="Y549" i="1"/>
  <c r="AC562" i="1" s="1"/>
  <c r="P549" i="1"/>
  <c r="X546" i="1"/>
  <c r="X545" i="1"/>
  <c r="BO544" i="1"/>
  <c r="BM544" i="1"/>
  <c r="Y544" i="1"/>
  <c r="P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3" i="1"/>
  <c r="X532" i="1"/>
  <c r="BO531" i="1"/>
  <c r="BM531" i="1"/>
  <c r="Y531" i="1"/>
  <c r="P531" i="1"/>
  <c r="X529" i="1"/>
  <c r="X528" i="1"/>
  <c r="BO527" i="1"/>
  <c r="BM527" i="1"/>
  <c r="Y527" i="1"/>
  <c r="P527" i="1"/>
  <c r="X523" i="1"/>
  <c r="X522" i="1"/>
  <c r="BO521" i="1"/>
  <c r="BM521" i="1"/>
  <c r="Y521" i="1"/>
  <c r="P521" i="1"/>
  <c r="BO520" i="1"/>
  <c r="BM520" i="1"/>
  <c r="Y520" i="1"/>
  <c r="BN520" i="1" s="1"/>
  <c r="P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BO516" i="1"/>
  <c r="BN516" i="1"/>
  <c r="BM516" i="1"/>
  <c r="Y516" i="1"/>
  <c r="BP516" i="1" s="1"/>
  <c r="P516" i="1"/>
  <c r="BO515" i="1"/>
  <c r="BM515" i="1"/>
  <c r="Y515" i="1"/>
  <c r="P515" i="1"/>
  <c r="X513" i="1"/>
  <c r="X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O502" i="1"/>
  <c r="BM502" i="1"/>
  <c r="Y502" i="1"/>
  <c r="P502" i="1"/>
  <c r="BO501" i="1"/>
  <c r="BM501" i="1"/>
  <c r="Y501" i="1"/>
  <c r="P501" i="1"/>
  <c r="BP500" i="1"/>
  <c r="BO500" i="1"/>
  <c r="BM500" i="1"/>
  <c r="Z500" i="1"/>
  <c r="Y500" i="1"/>
  <c r="BN500" i="1" s="1"/>
  <c r="P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X487" i="1"/>
  <c r="X486" i="1"/>
  <c r="BO485" i="1"/>
  <c r="BM485" i="1"/>
  <c r="Y485" i="1"/>
  <c r="Y487" i="1" s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BO474" i="1"/>
  <c r="BN474" i="1"/>
  <c r="BM474" i="1"/>
  <c r="Y474" i="1"/>
  <c r="BP474" i="1" s="1"/>
  <c r="P474" i="1"/>
  <c r="BO473" i="1"/>
  <c r="BM473" i="1"/>
  <c r="Y473" i="1"/>
  <c r="P473" i="1"/>
  <c r="BO472" i="1"/>
  <c r="BM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X466" i="1"/>
  <c r="X465" i="1"/>
  <c r="BO464" i="1"/>
  <c r="BM464" i="1"/>
  <c r="Y464" i="1"/>
  <c r="BN464" i="1" s="1"/>
  <c r="P464" i="1"/>
  <c r="BO463" i="1"/>
  <c r="BM463" i="1"/>
  <c r="Y463" i="1"/>
  <c r="P463" i="1"/>
  <c r="BO462" i="1"/>
  <c r="BM462" i="1"/>
  <c r="Y462" i="1"/>
  <c r="Y465" i="1" s="1"/>
  <c r="P462" i="1"/>
  <c r="X460" i="1"/>
  <c r="X459" i="1"/>
  <c r="BO458" i="1"/>
  <c r="BM458" i="1"/>
  <c r="Y458" i="1"/>
  <c r="P458" i="1"/>
  <c r="X456" i="1"/>
  <c r="X455" i="1"/>
  <c r="BO454" i="1"/>
  <c r="BN454" i="1"/>
  <c r="BM454" i="1"/>
  <c r="Y454" i="1"/>
  <c r="BP454" i="1" s="1"/>
  <c r="P454" i="1"/>
  <c r="BO453" i="1"/>
  <c r="BM453" i="1"/>
  <c r="Y453" i="1"/>
  <c r="P453" i="1"/>
  <c r="X450" i="1"/>
  <c r="X449" i="1"/>
  <c r="BO448" i="1"/>
  <c r="BM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N435" i="1"/>
  <c r="BM435" i="1"/>
  <c r="Y435" i="1"/>
  <c r="BP435" i="1" s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BN429" i="1" s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N425" i="1"/>
  <c r="BM425" i="1"/>
  <c r="Y425" i="1"/>
  <c r="BP425" i="1" s="1"/>
  <c r="P425" i="1"/>
  <c r="BO424" i="1"/>
  <c r="BM424" i="1"/>
  <c r="Y424" i="1"/>
  <c r="P424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BO403" i="1"/>
  <c r="BN403" i="1"/>
  <c r="BM403" i="1"/>
  <c r="Y403" i="1"/>
  <c r="BP403" i="1" s="1"/>
  <c r="P403" i="1"/>
  <c r="X401" i="1"/>
  <c r="X400" i="1"/>
  <c r="BO399" i="1"/>
  <c r="BM399" i="1"/>
  <c r="Y399" i="1"/>
  <c r="BN399" i="1" s="1"/>
  <c r="P399" i="1"/>
  <c r="BO398" i="1"/>
  <c r="BM398" i="1"/>
  <c r="Y398" i="1"/>
  <c r="P398" i="1"/>
  <c r="BO397" i="1"/>
  <c r="BM397" i="1"/>
  <c r="Y397" i="1"/>
  <c r="Y400" i="1" s="1"/>
  <c r="P397" i="1"/>
  <c r="X395" i="1"/>
  <c r="X394" i="1"/>
  <c r="BP393" i="1"/>
  <c r="BO393" i="1"/>
  <c r="BM393" i="1"/>
  <c r="Z393" i="1"/>
  <c r="Y393" i="1"/>
  <c r="BN393" i="1" s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X388" i="1"/>
  <c r="X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N377" i="1"/>
  <c r="BM377" i="1"/>
  <c r="Y377" i="1"/>
  <c r="BP377" i="1" s="1"/>
  <c r="P377" i="1"/>
  <c r="X375" i="1"/>
  <c r="X374" i="1"/>
  <c r="BO373" i="1"/>
  <c r="BM373" i="1"/>
  <c r="Y373" i="1"/>
  <c r="P373" i="1"/>
  <c r="BO372" i="1"/>
  <c r="BM372" i="1"/>
  <c r="Y372" i="1"/>
  <c r="P372" i="1"/>
  <c r="BO371" i="1"/>
  <c r="BM371" i="1"/>
  <c r="Y371" i="1"/>
  <c r="BN371" i="1" s="1"/>
  <c r="P371" i="1"/>
  <c r="BO370" i="1"/>
  <c r="BM370" i="1"/>
  <c r="Y370" i="1"/>
  <c r="P370" i="1"/>
  <c r="BO369" i="1"/>
  <c r="BM369" i="1"/>
  <c r="Y369" i="1"/>
  <c r="P369" i="1"/>
  <c r="BO368" i="1"/>
  <c r="BM368" i="1"/>
  <c r="Y368" i="1"/>
  <c r="P368" i="1"/>
  <c r="BO367" i="1"/>
  <c r="BN367" i="1"/>
  <c r="BM367" i="1"/>
  <c r="Y367" i="1"/>
  <c r="BP367" i="1" s="1"/>
  <c r="P367" i="1"/>
  <c r="X365" i="1"/>
  <c r="X364" i="1"/>
  <c r="BO363" i="1"/>
  <c r="BM363" i="1"/>
  <c r="Y363" i="1"/>
  <c r="P363" i="1"/>
  <c r="BO362" i="1"/>
  <c r="BM362" i="1"/>
  <c r="Y362" i="1"/>
  <c r="P362" i="1"/>
  <c r="BO361" i="1"/>
  <c r="BM361" i="1"/>
  <c r="Y361" i="1"/>
  <c r="BN361" i="1" s="1"/>
  <c r="P361" i="1"/>
  <c r="BO360" i="1"/>
  <c r="BM360" i="1"/>
  <c r="Y360" i="1"/>
  <c r="P360" i="1"/>
  <c r="BO359" i="1"/>
  <c r="BM359" i="1"/>
  <c r="Y359" i="1"/>
  <c r="P359" i="1"/>
  <c r="X356" i="1"/>
  <c r="X355" i="1"/>
  <c r="BO354" i="1"/>
  <c r="BM354" i="1"/>
  <c r="Y354" i="1"/>
  <c r="P354" i="1"/>
  <c r="BO353" i="1"/>
  <c r="BM353" i="1"/>
  <c r="Y353" i="1"/>
  <c r="P353" i="1"/>
  <c r="BP352" i="1"/>
  <c r="BO352" i="1"/>
  <c r="BM352" i="1"/>
  <c r="Z352" i="1"/>
  <c r="Y352" i="1"/>
  <c r="BN352" i="1" s="1"/>
  <c r="P352" i="1"/>
  <c r="X349" i="1"/>
  <c r="X348" i="1"/>
  <c r="BO347" i="1"/>
  <c r="BM347" i="1"/>
  <c r="Y347" i="1"/>
  <c r="P347" i="1"/>
  <c r="BO346" i="1"/>
  <c r="BM346" i="1"/>
  <c r="Y346" i="1"/>
  <c r="P346" i="1"/>
  <c r="X344" i="1"/>
  <c r="X343" i="1"/>
  <c r="BO342" i="1"/>
  <c r="BM342" i="1"/>
  <c r="Y342" i="1"/>
  <c r="P342" i="1"/>
  <c r="BO341" i="1"/>
  <c r="BM341" i="1"/>
  <c r="Y341" i="1"/>
  <c r="BN341" i="1" s="1"/>
  <c r="P341" i="1"/>
  <c r="BO340" i="1"/>
  <c r="BM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P332" i="1"/>
  <c r="BO332" i="1"/>
  <c r="BM332" i="1"/>
  <c r="Z332" i="1"/>
  <c r="Y332" i="1"/>
  <c r="BN332" i="1" s="1"/>
  <c r="P332" i="1"/>
  <c r="BO331" i="1"/>
  <c r="BM331" i="1"/>
  <c r="Y331" i="1"/>
  <c r="P331" i="1"/>
  <c r="X328" i="1"/>
  <c r="X327" i="1"/>
  <c r="BO326" i="1"/>
  <c r="BM326" i="1"/>
  <c r="Y326" i="1"/>
  <c r="P326" i="1"/>
  <c r="BO325" i="1"/>
  <c r="BM325" i="1"/>
  <c r="Y325" i="1"/>
  <c r="Z325" i="1" s="1"/>
  <c r="P325" i="1"/>
  <c r="BO324" i="1"/>
  <c r="BM324" i="1"/>
  <c r="Y324" i="1"/>
  <c r="Z324" i="1" s="1"/>
  <c r="P324" i="1"/>
  <c r="BO323" i="1"/>
  <c r="BM323" i="1"/>
  <c r="Y323" i="1"/>
  <c r="P323" i="1"/>
  <c r="BO322" i="1"/>
  <c r="BM322" i="1"/>
  <c r="Y322" i="1"/>
  <c r="BP322" i="1" s="1"/>
  <c r="P322" i="1"/>
  <c r="X319" i="1"/>
  <c r="X318" i="1"/>
  <c r="BP317" i="1"/>
  <c r="BO317" i="1"/>
  <c r="BM317" i="1"/>
  <c r="Z317" i="1"/>
  <c r="Y317" i="1"/>
  <c r="BN317" i="1" s="1"/>
  <c r="P317" i="1"/>
  <c r="BO316" i="1"/>
  <c r="BM316" i="1"/>
  <c r="Y316" i="1"/>
  <c r="P316" i="1"/>
  <c r="BO315" i="1"/>
  <c r="BM315" i="1"/>
  <c r="Y315" i="1"/>
  <c r="BP315" i="1" s="1"/>
  <c r="P315" i="1"/>
  <c r="X313" i="1"/>
  <c r="X312" i="1"/>
  <c r="BO311" i="1"/>
  <c r="BM311" i="1"/>
  <c r="Y311" i="1"/>
  <c r="Y313" i="1" s="1"/>
  <c r="P311" i="1"/>
  <c r="X309" i="1"/>
  <c r="X308" i="1"/>
  <c r="BO307" i="1"/>
  <c r="BM307" i="1"/>
  <c r="Y307" i="1"/>
  <c r="Y309" i="1" s="1"/>
  <c r="P307" i="1"/>
  <c r="X305" i="1"/>
  <c r="X304" i="1"/>
  <c r="BP303" i="1"/>
  <c r="BO303" i="1"/>
  <c r="BM303" i="1"/>
  <c r="Z303" i="1"/>
  <c r="Y303" i="1"/>
  <c r="BN303" i="1" s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P299" i="1"/>
  <c r="BO299" i="1"/>
  <c r="BM299" i="1"/>
  <c r="Z299" i="1"/>
  <c r="Y299" i="1"/>
  <c r="BN299" i="1" s="1"/>
  <c r="P299" i="1"/>
  <c r="BO298" i="1"/>
  <c r="BM298" i="1"/>
  <c r="Y298" i="1"/>
  <c r="P298" i="1"/>
  <c r="BO297" i="1"/>
  <c r="BM297" i="1"/>
  <c r="Y297" i="1"/>
  <c r="BP297" i="1" s="1"/>
  <c r="P297" i="1"/>
  <c r="X294" i="1"/>
  <c r="X293" i="1"/>
  <c r="BO292" i="1"/>
  <c r="BM292" i="1"/>
  <c r="Y292" i="1"/>
  <c r="BP292" i="1" s="1"/>
  <c r="P292" i="1"/>
  <c r="BO291" i="1"/>
  <c r="BM291" i="1"/>
  <c r="Y291" i="1"/>
  <c r="P291" i="1"/>
  <c r="X289" i="1"/>
  <c r="X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BO284" i="1"/>
  <c r="BN284" i="1"/>
  <c r="BM284" i="1"/>
  <c r="Y284" i="1"/>
  <c r="BP284" i="1" s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M276" i="1"/>
  <c r="Z276" i="1"/>
  <c r="Y276" i="1"/>
  <c r="BN276" i="1" s="1"/>
  <c r="P276" i="1"/>
  <c r="X274" i="1"/>
  <c r="X273" i="1"/>
  <c r="BO272" i="1"/>
  <c r="BM272" i="1"/>
  <c r="Y272" i="1"/>
  <c r="BP272" i="1" s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O268" i="1"/>
  <c r="BM268" i="1"/>
  <c r="Y268" i="1"/>
  <c r="BP268" i="1" s="1"/>
  <c r="P268" i="1"/>
  <c r="BO267" i="1"/>
  <c r="BM267" i="1"/>
  <c r="Y267" i="1"/>
  <c r="P267" i="1"/>
  <c r="BP266" i="1"/>
  <c r="BO266" i="1"/>
  <c r="BM266" i="1"/>
  <c r="Z266" i="1"/>
  <c r="Y266" i="1"/>
  <c r="BN266" i="1" s="1"/>
  <c r="P266" i="1"/>
  <c r="BO265" i="1"/>
  <c r="BM265" i="1"/>
  <c r="Y265" i="1"/>
  <c r="P265" i="1"/>
  <c r="X263" i="1"/>
  <c r="X262" i="1"/>
  <c r="BO261" i="1"/>
  <c r="BM261" i="1"/>
  <c r="Y261" i="1"/>
  <c r="P261" i="1"/>
  <c r="BO260" i="1"/>
  <c r="BM260" i="1"/>
  <c r="Y260" i="1"/>
  <c r="Y262" i="1" s="1"/>
  <c r="P260" i="1"/>
  <c r="X258" i="1"/>
  <c r="X257" i="1"/>
  <c r="BO256" i="1"/>
  <c r="BM256" i="1"/>
  <c r="Y256" i="1"/>
  <c r="BN256" i="1" s="1"/>
  <c r="P256" i="1"/>
  <c r="BO255" i="1"/>
  <c r="BM255" i="1"/>
  <c r="Y255" i="1"/>
  <c r="P255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P246" i="1"/>
  <c r="BO245" i="1"/>
  <c r="BM245" i="1"/>
  <c r="Y245" i="1"/>
  <c r="BP245" i="1" s="1"/>
  <c r="P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M239" i="1"/>
  <c r="Z239" i="1"/>
  <c r="Y239" i="1"/>
  <c r="BN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X234" i="1"/>
  <c r="X233" i="1"/>
  <c r="BO232" i="1"/>
  <c r="BM232" i="1"/>
  <c r="Y232" i="1"/>
  <c r="P232" i="1"/>
  <c r="BP231" i="1"/>
  <c r="BO231" i="1"/>
  <c r="BM231" i="1"/>
  <c r="Z231" i="1"/>
  <c r="Y231" i="1"/>
  <c r="BN231" i="1" s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P227" i="1"/>
  <c r="BO227" i="1"/>
  <c r="BM227" i="1"/>
  <c r="Z227" i="1"/>
  <c r="Y227" i="1"/>
  <c r="BN227" i="1" s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O223" i="1"/>
  <c r="BM223" i="1"/>
  <c r="Y223" i="1"/>
  <c r="BN223" i="1" s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N219" i="1"/>
  <c r="BM219" i="1"/>
  <c r="Y219" i="1"/>
  <c r="BP219" i="1" s="1"/>
  <c r="P219" i="1"/>
  <c r="X217" i="1"/>
  <c r="X216" i="1"/>
  <c r="BP215" i="1"/>
  <c r="BO215" i="1"/>
  <c r="BM215" i="1"/>
  <c r="Z215" i="1"/>
  <c r="Z216" i="1" s="1"/>
  <c r="Y215" i="1"/>
  <c r="Y216" i="1" s="1"/>
  <c r="P215" i="1"/>
  <c r="X212" i="1"/>
  <c r="X211" i="1"/>
  <c r="BO210" i="1"/>
  <c r="BM210" i="1"/>
  <c r="Y210" i="1"/>
  <c r="BP210" i="1" s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P204" i="1"/>
  <c r="BO204" i="1"/>
  <c r="BM204" i="1"/>
  <c r="Z204" i="1"/>
  <c r="Y204" i="1"/>
  <c r="BN204" i="1" s="1"/>
  <c r="P204" i="1"/>
  <c r="X200" i="1"/>
  <c r="Y199" i="1"/>
  <c r="X199" i="1"/>
  <c r="BO198" i="1"/>
  <c r="BN198" i="1"/>
  <c r="BM198" i="1"/>
  <c r="Y198" i="1"/>
  <c r="Y200" i="1" s="1"/>
  <c r="P198" i="1"/>
  <c r="X196" i="1"/>
  <c r="X195" i="1"/>
  <c r="BP194" i="1"/>
  <c r="BO194" i="1"/>
  <c r="BM194" i="1"/>
  <c r="Z194" i="1"/>
  <c r="Z195" i="1" s="1"/>
  <c r="Y194" i="1"/>
  <c r="Y196" i="1" s="1"/>
  <c r="P194" i="1"/>
  <c r="X192" i="1"/>
  <c r="X191" i="1"/>
  <c r="BP190" i="1"/>
  <c r="BO190" i="1"/>
  <c r="BM190" i="1"/>
  <c r="Z190" i="1"/>
  <c r="Y190" i="1"/>
  <c r="BN190" i="1" s="1"/>
  <c r="P190" i="1"/>
  <c r="BO189" i="1"/>
  <c r="BM189" i="1"/>
  <c r="Y189" i="1"/>
  <c r="P189" i="1"/>
  <c r="BO188" i="1"/>
  <c r="BM188" i="1"/>
  <c r="Y188" i="1"/>
  <c r="Y192" i="1" s="1"/>
  <c r="P188" i="1"/>
  <c r="X186" i="1"/>
  <c r="X185" i="1"/>
  <c r="BO184" i="1"/>
  <c r="BN184" i="1"/>
  <c r="BM184" i="1"/>
  <c r="Y184" i="1"/>
  <c r="BP184" i="1" s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M176" i="1"/>
  <c r="Z176" i="1"/>
  <c r="Y176" i="1"/>
  <c r="BN176" i="1" s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O170" i="1"/>
  <c r="BM170" i="1"/>
  <c r="Y170" i="1"/>
  <c r="BP170" i="1" s="1"/>
  <c r="P170" i="1"/>
  <c r="BO169" i="1"/>
  <c r="BM169" i="1"/>
  <c r="Y169" i="1"/>
  <c r="Y171" i="1" s="1"/>
  <c r="P169" i="1"/>
  <c r="X167" i="1"/>
  <c r="X166" i="1"/>
  <c r="BO165" i="1"/>
  <c r="BM165" i="1"/>
  <c r="Y165" i="1"/>
  <c r="P165" i="1"/>
  <c r="BO164" i="1"/>
  <c r="BM164" i="1"/>
  <c r="Y164" i="1"/>
  <c r="BN164" i="1" s="1"/>
  <c r="P164" i="1"/>
  <c r="BO163" i="1"/>
  <c r="BM163" i="1"/>
  <c r="Y163" i="1"/>
  <c r="P163" i="1"/>
  <c r="X160" i="1"/>
  <c r="X159" i="1"/>
  <c r="BO158" i="1"/>
  <c r="BM158" i="1"/>
  <c r="Y158" i="1"/>
  <c r="Y160" i="1" s="1"/>
  <c r="P158" i="1"/>
  <c r="X156" i="1"/>
  <c r="X155" i="1"/>
  <c r="BO154" i="1"/>
  <c r="BM154" i="1"/>
  <c r="Y154" i="1"/>
  <c r="P154" i="1"/>
  <c r="BO153" i="1"/>
  <c r="BN153" i="1"/>
  <c r="BM153" i="1"/>
  <c r="Z153" i="1"/>
  <c r="Y153" i="1"/>
  <c r="BP153" i="1" s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P149" i="1"/>
  <c r="BO149" i="1"/>
  <c r="BM149" i="1"/>
  <c r="Z149" i="1"/>
  <c r="Y149" i="1"/>
  <c r="BN149" i="1" s="1"/>
  <c r="P149" i="1"/>
  <c r="BO148" i="1"/>
  <c r="BM148" i="1"/>
  <c r="Y148" i="1"/>
  <c r="P148" i="1"/>
  <c r="X145" i="1"/>
  <c r="X144" i="1"/>
  <c r="BO143" i="1"/>
  <c r="BM143" i="1"/>
  <c r="Y143" i="1"/>
  <c r="P143" i="1"/>
  <c r="BO142" i="1"/>
  <c r="BM142" i="1"/>
  <c r="Y142" i="1"/>
  <c r="BP142" i="1" s="1"/>
  <c r="P142" i="1"/>
  <c r="BO141" i="1"/>
  <c r="BM141" i="1"/>
  <c r="Y141" i="1"/>
  <c r="P141" i="1"/>
  <c r="X139" i="1"/>
  <c r="X138" i="1"/>
  <c r="BO137" i="1"/>
  <c r="BM137" i="1"/>
  <c r="Y137" i="1"/>
  <c r="P137" i="1"/>
  <c r="BO136" i="1"/>
  <c r="BM136" i="1"/>
  <c r="Y136" i="1"/>
  <c r="BN136" i="1" s="1"/>
  <c r="P136" i="1"/>
  <c r="BO135" i="1"/>
  <c r="BM135" i="1"/>
  <c r="Y135" i="1"/>
  <c r="P135" i="1"/>
  <c r="BO134" i="1"/>
  <c r="BM134" i="1"/>
  <c r="Y134" i="1"/>
  <c r="Y138" i="1" s="1"/>
  <c r="P134" i="1"/>
  <c r="X132" i="1"/>
  <c r="X131" i="1"/>
  <c r="BP130" i="1"/>
  <c r="BO130" i="1"/>
  <c r="BM130" i="1"/>
  <c r="Z130" i="1"/>
  <c r="Y130" i="1"/>
  <c r="BN130" i="1" s="1"/>
  <c r="P130" i="1"/>
  <c r="BO129" i="1"/>
  <c r="BM129" i="1"/>
  <c r="Y129" i="1"/>
  <c r="P129" i="1"/>
  <c r="BO128" i="1"/>
  <c r="BM128" i="1"/>
  <c r="Y128" i="1"/>
  <c r="BP128" i="1" s="1"/>
  <c r="P128" i="1"/>
  <c r="X125" i="1"/>
  <c r="X124" i="1"/>
  <c r="BO123" i="1"/>
  <c r="BM123" i="1"/>
  <c r="Y123" i="1"/>
  <c r="Y125" i="1" s="1"/>
  <c r="P123" i="1"/>
  <c r="X121" i="1"/>
  <c r="X120" i="1"/>
  <c r="BO119" i="1"/>
  <c r="BM119" i="1"/>
  <c r="Y119" i="1"/>
  <c r="BN119" i="1" s="1"/>
  <c r="P119" i="1"/>
  <c r="BO118" i="1"/>
  <c r="BM118" i="1"/>
  <c r="Y118" i="1"/>
  <c r="P118" i="1"/>
  <c r="BO117" i="1"/>
  <c r="BM117" i="1"/>
  <c r="Y117" i="1"/>
  <c r="BP117" i="1" s="1"/>
  <c r="P117" i="1"/>
  <c r="BO116" i="1"/>
  <c r="BM116" i="1"/>
  <c r="Y116" i="1"/>
  <c r="Y120" i="1" s="1"/>
  <c r="P116" i="1"/>
  <c r="X114" i="1"/>
  <c r="X113" i="1"/>
  <c r="BO112" i="1"/>
  <c r="BM112" i="1"/>
  <c r="Y112" i="1"/>
  <c r="P112" i="1"/>
  <c r="BP111" i="1"/>
  <c r="BO111" i="1"/>
  <c r="BM111" i="1"/>
  <c r="Z111" i="1"/>
  <c r="Y111" i="1"/>
  <c r="BN111" i="1" s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Y114" i="1" s="1"/>
  <c r="P108" i="1"/>
  <c r="X106" i="1"/>
  <c r="X105" i="1"/>
  <c r="BO104" i="1"/>
  <c r="BM104" i="1"/>
  <c r="Y104" i="1"/>
  <c r="P104" i="1"/>
  <c r="BO103" i="1"/>
  <c r="BM103" i="1"/>
  <c r="Z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N99" i="1" s="1"/>
  <c r="P99" i="1"/>
  <c r="BO98" i="1"/>
  <c r="BM98" i="1"/>
  <c r="Y98" i="1"/>
  <c r="P98" i="1"/>
  <c r="X95" i="1"/>
  <c r="X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BO90" i="1"/>
  <c r="BM90" i="1"/>
  <c r="Y90" i="1"/>
  <c r="BP90" i="1" s="1"/>
  <c r="P90" i="1"/>
  <c r="X88" i="1"/>
  <c r="X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BN84" i="1" s="1"/>
  <c r="P84" i="1"/>
  <c r="BO83" i="1"/>
  <c r="BM83" i="1"/>
  <c r="Y83" i="1"/>
  <c r="P83" i="1"/>
  <c r="X80" i="1"/>
  <c r="X79" i="1"/>
  <c r="BO78" i="1"/>
  <c r="BM78" i="1"/>
  <c r="Y78" i="1"/>
  <c r="P78" i="1"/>
  <c r="BO77" i="1"/>
  <c r="BM77" i="1"/>
  <c r="Y77" i="1"/>
  <c r="BP77" i="1" s="1"/>
  <c r="P77" i="1"/>
  <c r="X75" i="1"/>
  <c r="X74" i="1"/>
  <c r="BO73" i="1"/>
  <c r="BM73" i="1"/>
  <c r="Y73" i="1"/>
  <c r="BP73" i="1" s="1"/>
  <c r="P73" i="1"/>
  <c r="BO72" i="1"/>
  <c r="BM72" i="1"/>
  <c r="Y72" i="1"/>
  <c r="Y74" i="1" s="1"/>
  <c r="P72" i="1"/>
  <c r="X70" i="1"/>
  <c r="X69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P66" i="1"/>
  <c r="BP65" i="1"/>
  <c r="BO65" i="1"/>
  <c r="BN65" i="1"/>
  <c r="BM65" i="1"/>
  <c r="Z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P60" i="1"/>
  <c r="BO59" i="1"/>
  <c r="BN59" i="1"/>
  <c r="BM59" i="1"/>
  <c r="Y59" i="1"/>
  <c r="BP59" i="1" s="1"/>
  <c r="P59" i="1"/>
  <c r="BO58" i="1"/>
  <c r="BM58" i="1"/>
  <c r="Y58" i="1"/>
  <c r="P58" i="1"/>
  <c r="BO57" i="1"/>
  <c r="BM57" i="1"/>
  <c r="Y57" i="1"/>
  <c r="BP57" i="1" s="1"/>
  <c r="P57" i="1"/>
  <c r="BO56" i="1"/>
  <c r="BM56" i="1"/>
  <c r="Y56" i="1"/>
  <c r="P56" i="1"/>
  <c r="X53" i="1"/>
  <c r="X52" i="1"/>
  <c r="BO51" i="1"/>
  <c r="BM51" i="1"/>
  <c r="Y51" i="1"/>
  <c r="P51" i="1"/>
  <c r="BO50" i="1"/>
  <c r="BM50" i="1"/>
  <c r="Y50" i="1"/>
  <c r="BN50" i="1" s="1"/>
  <c r="P50" i="1"/>
  <c r="BO49" i="1"/>
  <c r="BM49" i="1"/>
  <c r="Y49" i="1"/>
  <c r="P49" i="1"/>
  <c r="BO48" i="1"/>
  <c r="BM48" i="1"/>
  <c r="Y48" i="1"/>
  <c r="BP48" i="1" s="1"/>
  <c r="P48" i="1"/>
  <c r="X44" i="1"/>
  <c r="X43" i="1"/>
  <c r="BP42" i="1"/>
  <c r="BO42" i="1"/>
  <c r="BM42" i="1"/>
  <c r="Z42" i="1"/>
  <c r="Y42" i="1"/>
  <c r="BN42" i="1" s="1"/>
  <c r="P42" i="1"/>
  <c r="BO41" i="1"/>
  <c r="BN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N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N23" i="1" s="1"/>
  <c r="P23" i="1"/>
  <c r="BO22" i="1"/>
  <c r="BM22" i="1"/>
  <c r="Y22" i="1"/>
  <c r="P22" i="1"/>
  <c r="H10" i="1"/>
  <c r="A9" i="1"/>
  <c r="F10" i="1" s="1"/>
  <c r="D7" i="1"/>
  <c r="Q6" i="1"/>
  <c r="P2" i="1"/>
  <c r="X553" i="1" l="1"/>
  <c r="Z23" i="1"/>
  <c r="BP23" i="1"/>
  <c r="Y33" i="1"/>
  <c r="Z50" i="1"/>
  <c r="BP50" i="1"/>
  <c r="Z84" i="1"/>
  <c r="BP84" i="1"/>
  <c r="Z99" i="1"/>
  <c r="BP99" i="1"/>
  <c r="Z119" i="1"/>
  <c r="BP119" i="1"/>
  <c r="Z136" i="1"/>
  <c r="BP136" i="1"/>
  <c r="Z164" i="1"/>
  <c r="BP164" i="1"/>
  <c r="Z223" i="1"/>
  <c r="BP223" i="1"/>
  <c r="Z256" i="1"/>
  <c r="BP256" i="1"/>
  <c r="BN292" i="1"/>
  <c r="Z341" i="1"/>
  <c r="BP341" i="1"/>
  <c r="Z361" i="1"/>
  <c r="BP361" i="1"/>
  <c r="Z371" i="1"/>
  <c r="BP371" i="1"/>
  <c r="Z399" i="1"/>
  <c r="BP399" i="1"/>
  <c r="Z429" i="1"/>
  <c r="BP429" i="1"/>
  <c r="Z464" i="1"/>
  <c r="BP464" i="1"/>
  <c r="Z485" i="1"/>
  <c r="Z486" i="1" s="1"/>
  <c r="BP485" i="1"/>
  <c r="Z520" i="1"/>
  <c r="BP520" i="1"/>
  <c r="Z29" i="1"/>
  <c r="Z41" i="1"/>
  <c r="Z59" i="1"/>
  <c r="Z77" i="1"/>
  <c r="Z90" i="1"/>
  <c r="BN103" i="1"/>
  <c r="Z184" i="1"/>
  <c r="BN194" i="1"/>
  <c r="Y195" i="1"/>
  <c r="Z198" i="1"/>
  <c r="Z199" i="1" s="1"/>
  <c r="BP198" i="1"/>
  <c r="BN215" i="1"/>
  <c r="Z219" i="1"/>
  <c r="Z284" i="1"/>
  <c r="Z367" i="1"/>
  <c r="Z377" i="1"/>
  <c r="Z403" i="1"/>
  <c r="Z425" i="1"/>
  <c r="Z435" i="1"/>
  <c r="Z454" i="1"/>
  <c r="Z474" i="1"/>
  <c r="Z516" i="1"/>
  <c r="BN549" i="1"/>
  <c r="Y550" i="1"/>
  <c r="X552" i="1"/>
  <c r="Z292" i="1"/>
  <c r="BN485" i="1"/>
  <c r="Y486" i="1"/>
  <c r="Z73" i="1"/>
  <c r="BN73" i="1"/>
  <c r="BN77" i="1"/>
  <c r="Z86" i="1"/>
  <c r="BN86" i="1"/>
  <c r="Z92" i="1"/>
  <c r="BN92" i="1"/>
  <c r="Z101" i="1"/>
  <c r="BN101" i="1"/>
  <c r="Z109" i="1"/>
  <c r="BN109" i="1"/>
  <c r="Z117" i="1"/>
  <c r="BN117" i="1"/>
  <c r="Z123" i="1"/>
  <c r="Z124" i="1" s="1"/>
  <c r="BN123" i="1"/>
  <c r="BP123" i="1"/>
  <c r="Y124" i="1"/>
  <c r="Z128" i="1"/>
  <c r="BN128" i="1"/>
  <c r="Z134" i="1"/>
  <c r="BN134" i="1"/>
  <c r="BP134" i="1"/>
  <c r="Z142" i="1"/>
  <c r="BN142" i="1"/>
  <c r="Z151" i="1"/>
  <c r="BN151" i="1"/>
  <c r="B562" i="1"/>
  <c r="X554" i="1"/>
  <c r="X555" i="1" s="1"/>
  <c r="Z27" i="1"/>
  <c r="BN27" i="1"/>
  <c r="BP27" i="1"/>
  <c r="Z31" i="1"/>
  <c r="BN31" i="1"/>
  <c r="Z39" i="1"/>
  <c r="BN39" i="1"/>
  <c r="Z48" i="1"/>
  <c r="BN48" i="1"/>
  <c r="Z57" i="1"/>
  <c r="BN57" i="1"/>
  <c r="Z61" i="1"/>
  <c r="BN61" i="1"/>
  <c r="Z67" i="1"/>
  <c r="BN67" i="1"/>
  <c r="BN90" i="1"/>
  <c r="Y106" i="1"/>
  <c r="Z170" i="1"/>
  <c r="BN170" i="1"/>
  <c r="Z174" i="1"/>
  <c r="BN174" i="1"/>
  <c r="Z178" i="1"/>
  <c r="BN178" i="1"/>
  <c r="Z182" i="1"/>
  <c r="BN182" i="1"/>
  <c r="Z188" i="1"/>
  <c r="BN188" i="1"/>
  <c r="BP188" i="1"/>
  <c r="Z206" i="1"/>
  <c r="BN206" i="1"/>
  <c r="Z210" i="1"/>
  <c r="BN210" i="1"/>
  <c r="Y233" i="1"/>
  <c r="Z221" i="1"/>
  <c r="BN221" i="1"/>
  <c r="Z225" i="1"/>
  <c r="BN225" i="1"/>
  <c r="Z229" i="1"/>
  <c r="BN229" i="1"/>
  <c r="Z237" i="1"/>
  <c r="BN237" i="1"/>
  <c r="Z245" i="1"/>
  <c r="BN245" i="1"/>
  <c r="Z260" i="1"/>
  <c r="BN260" i="1"/>
  <c r="BP260" i="1"/>
  <c r="Z268" i="1"/>
  <c r="BN268" i="1"/>
  <c r="Z272" i="1"/>
  <c r="BN272" i="1"/>
  <c r="Y288" i="1"/>
  <c r="Z278" i="1"/>
  <c r="BN278" i="1"/>
  <c r="Z282" i="1"/>
  <c r="BN282" i="1"/>
  <c r="Z286" i="1"/>
  <c r="BN286" i="1"/>
  <c r="Z297" i="1"/>
  <c r="BN297" i="1"/>
  <c r="Z301" i="1"/>
  <c r="BN301" i="1"/>
  <c r="Z307" i="1"/>
  <c r="Z308" i="1" s="1"/>
  <c r="BN307" i="1"/>
  <c r="BP307" i="1"/>
  <c r="Y308" i="1"/>
  <c r="Z311" i="1"/>
  <c r="Z312" i="1" s="1"/>
  <c r="BN311" i="1"/>
  <c r="BP311" i="1"/>
  <c r="Y312" i="1"/>
  <c r="Z315" i="1"/>
  <c r="BN315" i="1"/>
  <c r="Z322" i="1"/>
  <c r="BN322" i="1"/>
  <c r="BP347" i="1"/>
  <c r="BN347" i="1"/>
  <c r="Z347" i="1"/>
  <c r="Y355" i="1"/>
  <c r="BP363" i="1"/>
  <c r="BN363" i="1"/>
  <c r="Z363" i="1"/>
  <c r="BP373" i="1"/>
  <c r="BN373" i="1"/>
  <c r="Z373" i="1"/>
  <c r="BP391" i="1"/>
  <c r="BN391" i="1"/>
  <c r="Z391" i="1"/>
  <c r="BP405" i="1"/>
  <c r="BN405" i="1"/>
  <c r="Z405" i="1"/>
  <c r="BP427" i="1"/>
  <c r="BN427" i="1"/>
  <c r="Z427" i="1"/>
  <c r="BP437" i="1"/>
  <c r="BN437" i="1"/>
  <c r="Z437" i="1"/>
  <c r="Y460" i="1"/>
  <c r="Y459" i="1"/>
  <c r="BP458" i="1"/>
  <c r="BN458" i="1"/>
  <c r="Z458" i="1"/>
  <c r="Z459" i="1" s="1"/>
  <c r="Y466" i="1"/>
  <c r="BP462" i="1"/>
  <c r="BN462" i="1"/>
  <c r="Z462" i="1"/>
  <c r="BP480" i="1"/>
  <c r="BN480" i="1"/>
  <c r="Z480" i="1"/>
  <c r="BP502" i="1"/>
  <c r="BN502" i="1"/>
  <c r="Z502" i="1"/>
  <c r="BP518" i="1"/>
  <c r="BN518" i="1"/>
  <c r="Z518" i="1"/>
  <c r="Y191" i="1"/>
  <c r="BP325" i="1"/>
  <c r="BN325" i="1"/>
  <c r="BP339" i="1"/>
  <c r="BN339" i="1"/>
  <c r="Z339" i="1"/>
  <c r="BP354" i="1"/>
  <c r="BN354" i="1"/>
  <c r="Z354" i="1"/>
  <c r="BP359" i="1"/>
  <c r="BN359" i="1"/>
  <c r="Z359" i="1"/>
  <c r="BP369" i="1"/>
  <c r="BN369" i="1"/>
  <c r="Z369" i="1"/>
  <c r="BP379" i="1"/>
  <c r="BN379" i="1"/>
  <c r="Z379" i="1"/>
  <c r="Y401" i="1"/>
  <c r="BP397" i="1"/>
  <c r="BN397" i="1"/>
  <c r="Z397" i="1"/>
  <c r="BP417" i="1"/>
  <c r="BN417" i="1"/>
  <c r="Z417" i="1"/>
  <c r="BP431" i="1"/>
  <c r="BN431" i="1"/>
  <c r="Z431" i="1"/>
  <c r="BP443" i="1"/>
  <c r="BN443" i="1"/>
  <c r="Z443" i="1"/>
  <c r="BP447" i="1"/>
  <c r="BN447" i="1"/>
  <c r="Z447" i="1"/>
  <c r="BP472" i="1"/>
  <c r="BN472" i="1"/>
  <c r="Z472" i="1"/>
  <c r="BP498" i="1"/>
  <c r="BN498" i="1"/>
  <c r="Z498" i="1"/>
  <c r="BP510" i="1"/>
  <c r="BN510" i="1"/>
  <c r="Z510" i="1"/>
  <c r="BP544" i="1"/>
  <c r="BN544" i="1"/>
  <c r="Z544" i="1"/>
  <c r="Y381" i="1"/>
  <c r="Y445" i="1"/>
  <c r="Y444" i="1"/>
  <c r="BP49" i="1"/>
  <c r="BN49" i="1"/>
  <c r="Z49" i="1"/>
  <c r="F562" i="1"/>
  <c r="Y88" i="1"/>
  <c r="BP83" i="1"/>
  <c r="BN83" i="1"/>
  <c r="Z83" i="1"/>
  <c r="Y87" i="1"/>
  <c r="BP112" i="1"/>
  <c r="BN112" i="1"/>
  <c r="Z112" i="1"/>
  <c r="BP137" i="1"/>
  <c r="BN137" i="1"/>
  <c r="Z137" i="1"/>
  <c r="Y144" i="1"/>
  <c r="BP141" i="1"/>
  <c r="BN141" i="1"/>
  <c r="Z141" i="1"/>
  <c r="BP150" i="1"/>
  <c r="BN150" i="1"/>
  <c r="Z150" i="1"/>
  <c r="BP154" i="1"/>
  <c r="BN154" i="1"/>
  <c r="Z154" i="1"/>
  <c r="Y156" i="1"/>
  <c r="BP175" i="1"/>
  <c r="BN175" i="1"/>
  <c r="Z175" i="1"/>
  <c r="BP205" i="1"/>
  <c r="BN205" i="1"/>
  <c r="Z205" i="1"/>
  <c r="BP226" i="1"/>
  <c r="BN226" i="1"/>
  <c r="Z226" i="1"/>
  <c r="BP246" i="1"/>
  <c r="BN246" i="1"/>
  <c r="Z246" i="1"/>
  <c r="Y248" i="1"/>
  <c r="BP283" i="1"/>
  <c r="BN283" i="1"/>
  <c r="Z283" i="1"/>
  <c r="Y294" i="1"/>
  <c r="BP291" i="1"/>
  <c r="BN291" i="1"/>
  <c r="Z291" i="1"/>
  <c r="Z293" i="1" s="1"/>
  <c r="H9" i="1"/>
  <c r="A10" i="1"/>
  <c r="Y24" i="1"/>
  <c r="Y32" i="1"/>
  <c r="Y43" i="1"/>
  <c r="BP58" i="1"/>
  <c r="BN58" i="1"/>
  <c r="Z58" i="1"/>
  <c r="Y62" i="1"/>
  <c r="BP66" i="1"/>
  <c r="BN66" i="1"/>
  <c r="Z66" i="1"/>
  <c r="BP78" i="1"/>
  <c r="BN78" i="1"/>
  <c r="Z78" i="1"/>
  <c r="Z79" i="1" s="1"/>
  <c r="Y80" i="1"/>
  <c r="BP91" i="1"/>
  <c r="BN91" i="1"/>
  <c r="Z91" i="1"/>
  <c r="BP100" i="1"/>
  <c r="BN100" i="1"/>
  <c r="Z100" i="1"/>
  <c r="BP104" i="1"/>
  <c r="BN104" i="1"/>
  <c r="Z104" i="1"/>
  <c r="Y113" i="1"/>
  <c r="BP108" i="1"/>
  <c r="BN108" i="1"/>
  <c r="Z108" i="1"/>
  <c r="Y121" i="1"/>
  <c r="BP116" i="1"/>
  <c r="BN116" i="1"/>
  <c r="Z116" i="1"/>
  <c r="BP129" i="1"/>
  <c r="BN129" i="1"/>
  <c r="Z129" i="1"/>
  <c r="Z131" i="1" s="1"/>
  <c r="Y139" i="1"/>
  <c r="Y159" i="1"/>
  <c r="BP158" i="1"/>
  <c r="BN158" i="1"/>
  <c r="Z158" i="1"/>
  <c r="Z159" i="1" s="1"/>
  <c r="J562" i="1"/>
  <c r="Y166" i="1"/>
  <c r="BP163" i="1"/>
  <c r="BN163" i="1"/>
  <c r="Z163" i="1"/>
  <c r="BP179" i="1"/>
  <c r="BN179" i="1"/>
  <c r="Z179" i="1"/>
  <c r="BP183" i="1"/>
  <c r="BN183" i="1"/>
  <c r="Z183" i="1"/>
  <c r="BP209" i="1"/>
  <c r="BN209" i="1"/>
  <c r="Z209" i="1"/>
  <c r="BP222" i="1"/>
  <c r="BN222" i="1"/>
  <c r="Z222" i="1"/>
  <c r="BP230" i="1"/>
  <c r="BN230" i="1"/>
  <c r="Z230" i="1"/>
  <c r="BP238" i="1"/>
  <c r="BN238" i="1"/>
  <c r="Z238" i="1"/>
  <c r="Y251" i="1"/>
  <c r="BP250" i="1"/>
  <c r="BN250" i="1"/>
  <c r="Z250" i="1"/>
  <c r="Z251" i="1" s="1"/>
  <c r="Y258" i="1"/>
  <c r="BP255" i="1"/>
  <c r="BN255" i="1"/>
  <c r="Z255" i="1"/>
  <c r="Z257" i="1" s="1"/>
  <c r="BP267" i="1"/>
  <c r="BN267" i="1"/>
  <c r="Z267" i="1"/>
  <c r="BP271" i="1"/>
  <c r="BN271" i="1"/>
  <c r="Z271" i="1"/>
  <c r="BP279" i="1"/>
  <c r="BN279" i="1"/>
  <c r="Z279" i="1"/>
  <c r="BP287" i="1"/>
  <c r="BN287" i="1"/>
  <c r="Z287" i="1"/>
  <c r="Y289" i="1"/>
  <c r="BP300" i="1"/>
  <c r="BN300" i="1"/>
  <c r="Z300" i="1"/>
  <c r="Y304" i="1"/>
  <c r="BP316" i="1"/>
  <c r="BN316" i="1"/>
  <c r="Z316" i="1"/>
  <c r="Z318" i="1" s="1"/>
  <c r="BP333" i="1"/>
  <c r="BN333" i="1"/>
  <c r="Z333" i="1"/>
  <c r="Y335" i="1"/>
  <c r="Y343" i="1"/>
  <c r="BP338" i="1"/>
  <c r="BN338" i="1"/>
  <c r="Z338" i="1"/>
  <c r="R562" i="1"/>
  <c r="BP342" i="1"/>
  <c r="BN342" i="1"/>
  <c r="Z342" i="1"/>
  <c r="Y344" i="1"/>
  <c r="Y349" i="1"/>
  <c r="BP346" i="1"/>
  <c r="BN346" i="1"/>
  <c r="Z346" i="1"/>
  <c r="Z348" i="1" s="1"/>
  <c r="Y348" i="1"/>
  <c r="BP380" i="1"/>
  <c r="BN380" i="1"/>
  <c r="Z380" i="1"/>
  <c r="Y382" i="1"/>
  <c r="Y387" i="1"/>
  <c r="BP384" i="1"/>
  <c r="BN384" i="1"/>
  <c r="Z384" i="1"/>
  <c r="Y388" i="1"/>
  <c r="BP392" i="1"/>
  <c r="BN392" i="1"/>
  <c r="Z392" i="1"/>
  <c r="BP418" i="1"/>
  <c r="BN418" i="1"/>
  <c r="Z418" i="1"/>
  <c r="Y420" i="1"/>
  <c r="W562" i="1"/>
  <c r="Y433" i="1"/>
  <c r="BP424" i="1"/>
  <c r="BN424" i="1"/>
  <c r="Z424" i="1"/>
  <c r="BP428" i="1"/>
  <c r="BN428" i="1"/>
  <c r="Z428" i="1"/>
  <c r="Y432" i="1"/>
  <c r="BP436" i="1"/>
  <c r="BN436" i="1"/>
  <c r="Z436" i="1"/>
  <c r="Z438" i="1" s="1"/>
  <c r="Y438" i="1"/>
  <c r="BP471" i="1"/>
  <c r="BN471" i="1"/>
  <c r="Z471" i="1"/>
  <c r="BP475" i="1"/>
  <c r="BN475" i="1"/>
  <c r="Z475" i="1"/>
  <c r="Y477" i="1"/>
  <c r="Y482" i="1"/>
  <c r="BP479" i="1"/>
  <c r="BN479" i="1"/>
  <c r="Z479" i="1"/>
  <c r="Z481" i="1" s="1"/>
  <c r="Y481" i="1"/>
  <c r="M562" i="1"/>
  <c r="F9" i="1"/>
  <c r="J9" i="1"/>
  <c r="Z22" i="1"/>
  <c r="Z24" i="1" s="1"/>
  <c r="BN22" i="1"/>
  <c r="BP22" i="1"/>
  <c r="X556" i="1"/>
  <c r="Y25" i="1"/>
  <c r="Z28" i="1"/>
  <c r="BN28" i="1"/>
  <c r="Z30" i="1"/>
  <c r="BN30" i="1"/>
  <c r="C562" i="1"/>
  <c r="Y44" i="1"/>
  <c r="Z38" i="1"/>
  <c r="BN38" i="1"/>
  <c r="Z40" i="1"/>
  <c r="BN40" i="1"/>
  <c r="BP51" i="1"/>
  <c r="BN51" i="1"/>
  <c r="Z51" i="1"/>
  <c r="Y53" i="1"/>
  <c r="Y63" i="1"/>
  <c r="BP56" i="1"/>
  <c r="BN56" i="1"/>
  <c r="Z56" i="1"/>
  <c r="BP60" i="1"/>
  <c r="BN60" i="1"/>
  <c r="Z60" i="1"/>
  <c r="Y69" i="1"/>
  <c r="BP68" i="1"/>
  <c r="BN68" i="1"/>
  <c r="Z68" i="1"/>
  <c r="Y70" i="1"/>
  <c r="Y75" i="1"/>
  <c r="BP72" i="1"/>
  <c r="BN72" i="1"/>
  <c r="Z72" i="1"/>
  <c r="Z74" i="1" s="1"/>
  <c r="Y79" i="1"/>
  <c r="BP85" i="1"/>
  <c r="BN85" i="1"/>
  <c r="Z85" i="1"/>
  <c r="Y94" i="1"/>
  <c r="BP93" i="1"/>
  <c r="BN93" i="1"/>
  <c r="Z93" i="1"/>
  <c r="Y95" i="1"/>
  <c r="G562" i="1"/>
  <c r="Y105" i="1"/>
  <c r="BP98" i="1"/>
  <c r="BN98" i="1"/>
  <c r="Z98" i="1"/>
  <c r="BP102" i="1"/>
  <c r="BN102" i="1"/>
  <c r="Z102" i="1"/>
  <c r="BP110" i="1"/>
  <c r="BN110" i="1"/>
  <c r="Z110" i="1"/>
  <c r="BP118" i="1"/>
  <c r="BN118" i="1"/>
  <c r="Z118" i="1"/>
  <c r="Y131" i="1"/>
  <c r="BP135" i="1"/>
  <c r="BN135" i="1"/>
  <c r="Z135" i="1"/>
  <c r="Z138" i="1" s="1"/>
  <c r="BP143" i="1"/>
  <c r="BN143" i="1"/>
  <c r="Z143" i="1"/>
  <c r="Y145" i="1"/>
  <c r="I562" i="1"/>
  <c r="Y155" i="1"/>
  <c r="BP148" i="1"/>
  <c r="BN148" i="1"/>
  <c r="Z148" i="1"/>
  <c r="BP152" i="1"/>
  <c r="BN152" i="1"/>
  <c r="Z152" i="1"/>
  <c r="BP165" i="1"/>
  <c r="BN165" i="1"/>
  <c r="Z165" i="1"/>
  <c r="Y167" i="1"/>
  <c r="Y172" i="1"/>
  <c r="BP169" i="1"/>
  <c r="BN169" i="1"/>
  <c r="Z169" i="1"/>
  <c r="Z171" i="1" s="1"/>
  <c r="Y186" i="1"/>
  <c r="BP177" i="1"/>
  <c r="BN177" i="1"/>
  <c r="Z177" i="1"/>
  <c r="Z185" i="1" s="1"/>
  <c r="BP181" i="1"/>
  <c r="BN181" i="1"/>
  <c r="Z181" i="1"/>
  <c r="Y185" i="1"/>
  <c r="BP189" i="1"/>
  <c r="BN189" i="1"/>
  <c r="Z189" i="1"/>
  <c r="Z191" i="1" s="1"/>
  <c r="BP207" i="1"/>
  <c r="BN207" i="1"/>
  <c r="Z207" i="1"/>
  <c r="Z211" i="1" s="1"/>
  <c r="Y211" i="1"/>
  <c r="BP220" i="1"/>
  <c r="BN220" i="1"/>
  <c r="Z220" i="1"/>
  <c r="BP224" i="1"/>
  <c r="BN224" i="1"/>
  <c r="Z224" i="1"/>
  <c r="BP228" i="1"/>
  <c r="BN228" i="1"/>
  <c r="Z228" i="1"/>
  <c r="BP232" i="1"/>
  <c r="BN232" i="1"/>
  <c r="Z232" i="1"/>
  <c r="Y234" i="1"/>
  <c r="Y241" i="1"/>
  <c r="BP236" i="1"/>
  <c r="BN236" i="1"/>
  <c r="Z236" i="1"/>
  <c r="BP240" i="1"/>
  <c r="BN240" i="1"/>
  <c r="Z240" i="1"/>
  <c r="Y242" i="1"/>
  <c r="Y247" i="1"/>
  <c r="BP244" i="1"/>
  <c r="BN244" i="1"/>
  <c r="Z244" i="1"/>
  <c r="Z247" i="1" s="1"/>
  <c r="Y257" i="1"/>
  <c r="BP261" i="1"/>
  <c r="BN261" i="1"/>
  <c r="Z261" i="1"/>
  <c r="Z262" i="1" s="1"/>
  <c r="Y263" i="1"/>
  <c r="Y274" i="1"/>
  <c r="BP265" i="1"/>
  <c r="BN265" i="1"/>
  <c r="Z265" i="1"/>
  <c r="BP269" i="1"/>
  <c r="BN269" i="1"/>
  <c r="Z269" i="1"/>
  <c r="Y273" i="1"/>
  <c r="BP277" i="1"/>
  <c r="BN277" i="1"/>
  <c r="Z277" i="1"/>
  <c r="BP281" i="1"/>
  <c r="BN281" i="1"/>
  <c r="Z281" i="1"/>
  <c r="BP285" i="1"/>
  <c r="BN285" i="1"/>
  <c r="Z285" i="1"/>
  <c r="Y293" i="1"/>
  <c r="BP298" i="1"/>
  <c r="BN298" i="1"/>
  <c r="Z298" i="1"/>
  <c r="Z304" i="1" s="1"/>
  <c r="BP302" i="1"/>
  <c r="BN302" i="1"/>
  <c r="Z302" i="1"/>
  <c r="Y319" i="1"/>
  <c r="Y318" i="1"/>
  <c r="BP323" i="1"/>
  <c r="BN323" i="1"/>
  <c r="Z323" i="1"/>
  <c r="BP360" i="1"/>
  <c r="BN360" i="1"/>
  <c r="Z360" i="1"/>
  <c r="Y364" i="1"/>
  <c r="BP368" i="1"/>
  <c r="BN368" i="1"/>
  <c r="Z368" i="1"/>
  <c r="Y374" i="1"/>
  <c r="BP372" i="1"/>
  <c r="BN372" i="1"/>
  <c r="Z372" i="1"/>
  <c r="BP404" i="1"/>
  <c r="BN404" i="1"/>
  <c r="Z404" i="1"/>
  <c r="Z406" i="1" s="1"/>
  <c r="Y406" i="1"/>
  <c r="BP448" i="1"/>
  <c r="BN448" i="1"/>
  <c r="Z448" i="1"/>
  <c r="Z449" i="1" s="1"/>
  <c r="Y450" i="1"/>
  <c r="X562" i="1"/>
  <c r="Y456" i="1"/>
  <c r="BP453" i="1"/>
  <c r="BN453" i="1"/>
  <c r="Z453" i="1"/>
  <c r="Z455" i="1" s="1"/>
  <c r="Y455" i="1"/>
  <c r="E562" i="1"/>
  <c r="V562" i="1"/>
  <c r="D562" i="1"/>
  <c r="Y52" i="1"/>
  <c r="H562" i="1"/>
  <c r="Y132" i="1"/>
  <c r="K562" i="1"/>
  <c r="Y212" i="1"/>
  <c r="L562" i="1"/>
  <c r="Y217" i="1"/>
  <c r="O562" i="1"/>
  <c r="Y305" i="1"/>
  <c r="P562" i="1"/>
  <c r="Y327" i="1"/>
  <c r="BP324" i="1"/>
  <c r="BN324" i="1"/>
  <c r="BP326" i="1"/>
  <c r="BN326" i="1"/>
  <c r="Z326" i="1"/>
  <c r="Z327" i="1" s="1"/>
  <c r="Y328" i="1"/>
  <c r="Q562" i="1"/>
  <c r="Y334" i="1"/>
  <c r="BP331" i="1"/>
  <c r="BN331" i="1"/>
  <c r="Z331" i="1"/>
  <c r="Z334" i="1" s="1"/>
  <c r="BP340" i="1"/>
  <c r="BN340" i="1"/>
  <c r="Z340" i="1"/>
  <c r="BP353" i="1"/>
  <c r="BN353" i="1"/>
  <c r="Z353" i="1"/>
  <c r="Z355" i="1" s="1"/>
  <c r="T562" i="1"/>
  <c r="BP362" i="1"/>
  <c r="BN362" i="1"/>
  <c r="Z362" i="1"/>
  <c r="Z364" i="1" s="1"/>
  <c r="Y375" i="1"/>
  <c r="BP370" i="1"/>
  <c r="BN370" i="1"/>
  <c r="Z370" i="1"/>
  <c r="BP378" i="1"/>
  <c r="BN378" i="1"/>
  <c r="Z378" i="1"/>
  <c r="Z381" i="1" s="1"/>
  <c r="BP386" i="1"/>
  <c r="BN386" i="1"/>
  <c r="Z386" i="1"/>
  <c r="Y395" i="1"/>
  <c r="BP390" i="1"/>
  <c r="BN390" i="1"/>
  <c r="Z390" i="1"/>
  <c r="Z394" i="1" s="1"/>
  <c r="Y394" i="1"/>
  <c r="BP398" i="1"/>
  <c r="BN398" i="1"/>
  <c r="Z398" i="1"/>
  <c r="Z400" i="1" s="1"/>
  <c r="Y407" i="1"/>
  <c r="BP411" i="1"/>
  <c r="BN411" i="1"/>
  <c r="Z411" i="1"/>
  <c r="Z412" i="1" s="1"/>
  <c r="Y413" i="1"/>
  <c r="Y419" i="1"/>
  <c r="BP416" i="1"/>
  <c r="BN416" i="1"/>
  <c r="Z416" i="1"/>
  <c r="Z419" i="1" s="1"/>
  <c r="BP426" i="1"/>
  <c r="BN426" i="1"/>
  <c r="Z426" i="1"/>
  <c r="BP430" i="1"/>
  <c r="BN430" i="1"/>
  <c r="Z430" i="1"/>
  <c r="Y439" i="1"/>
  <c r="BP442" i="1"/>
  <c r="BN442" i="1"/>
  <c r="Z442" i="1"/>
  <c r="Z444" i="1" s="1"/>
  <c r="Y449" i="1"/>
  <c r="BP463" i="1"/>
  <c r="BN463" i="1"/>
  <c r="Z463" i="1"/>
  <c r="Z465" i="1" s="1"/>
  <c r="BP473" i="1"/>
  <c r="BN473" i="1"/>
  <c r="Z473" i="1"/>
  <c r="BP491" i="1"/>
  <c r="BN491" i="1"/>
  <c r="Z491" i="1"/>
  <c r="Y493" i="1"/>
  <c r="AA562" i="1"/>
  <c r="Y506" i="1"/>
  <c r="BP497" i="1"/>
  <c r="BN497" i="1"/>
  <c r="Z497" i="1"/>
  <c r="BP501" i="1"/>
  <c r="BN501" i="1"/>
  <c r="Z501" i="1"/>
  <c r="BP505" i="1"/>
  <c r="BN505" i="1"/>
  <c r="Z505" i="1"/>
  <c r="Y507" i="1"/>
  <c r="Y512" i="1"/>
  <c r="BP509" i="1"/>
  <c r="BN509" i="1"/>
  <c r="Z509" i="1"/>
  <c r="Y513" i="1"/>
  <c r="BP517" i="1"/>
  <c r="BN517" i="1"/>
  <c r="Z517" i="1"/>
  <c r="BP521" i="1"/>
  <c r="BN521" i="1"/>
  <c r="Z521" i="1"/>
  <c r="Y523" i="1"/>
  <c r="Y528" i="1"/>
  <c r="BP527" i="1"/>
  <c r="BN527" i="1"/>
  <c r="Z527" i="1"/>
  <c r="Z528" i="1" s="1"/>
  <c r="AB562" i="1"/>
  <c r="Y529" i="1"/>
  <c r="Y532" i="1"/>
  <c r="BP531" i="1"/>
  <c r="BN531" i="1"/>
  <c r="Z531" i="1"/>
  <c r="Z532" i="1" s="1"/>
  <c r="Y533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6" i="1"/>
  <c r="BP543" i="1"/>
  <c r="BN543" i="1"/>
  <c r="Z543" i="1"/>
  <c r="Z545" i="1" s="1"/>
  <c r="Y545" i="1"/>
  <c r="Z562" i="1"/>
  <c r="S562" i="1"/>
  <c r="Y356" i="1"/>
  <c r="Y365" i="1"/>
  <c r="U562" i="1"/>
  <c r="Y412" i="1"/>
  <c r="Y562" i="1"/>
  <c r="Y476" i="1"/>
  <c r="Y492" i="1"/>
  <c r="BP489" i="1"/>
  <c r="BN489" i="1"/>
  <c r="Z489" i="1"/>
  <c r="BP499" i="1"/>
  <c r="BN499" i="1"/>
  <c r="Z499" i="1"/>
  <c r="BP503" i="1"/>
  <c r="BN503" i="1"/>
  <c r="Z503" i="1"/>
  <c r="BP511" i="1"/>
  <c r="BN511" i="1"/>
  <c r="Z511" i="1"/>
  <c r="Y522" i="1"/>
  <c r="BP515" i="1"/>
  <c r="BN515" i="1"/>
  <c r="Z515" i="1"/>
  <c r="BP519" i="1"/>
  <c r="BN519" i="1"/>
  <c r="Z519" i="1"/>
  <c r="Y551" i="1"/>
  <c r="Z492" i="1" l="1"/>
  <c r="Z374" i="1"/>
  <c r="Z273" i="1"/>
  <c r="Z94" i="1"/>
  <c r="Z52" i="1"/>
  <c r="Z233" i="1"/>
  <c r="Z43" i="1"/>
  <c r="Z32" i="1"/>
  <c r="Z476" i="1"/>
  <c r="Z69" i="1"/>
  <c r="Z512" i="1"/>
  <c r="Z288" i="1"/>
  <c r="Z241" i="1"/>
  <c r="Z155" i="1"/>
  <c r="Z105" i="1"/>
  <c r="Z62" i="1"/>
  <c r="Y552" i="1"/>
  <c r="Y554" i="1"/>
  <c r="Z387" i="1"/>
  <c r="Z343" i="1"/>
  <c r="Z120" i="1"/>
  <c r="Z113" i="1"/>
  <c r="Y556" i="1"/>
  <c r="Z144" i="1"/>
  <c r="Z87" i="1"/>
  <c r="Z522" i="1"/>
  <c r="Z506" i="1"/>
  <c r="Y553" i="1"/>
  <c r="Y555" i="1" s="1"/>
  <c r="Z432" i="1"/>
  <c r="Z166" i="1"/>
  <c r="Z557" i="1" l="1"/>
</calcChain>
</file>

<file path=xl/sharedStrings.xml><?xml version="1.0" encoding="utf-8"?>
<sst xmlns="http://schemas.openxmlformats.org/spreadsheetml/2006/main" count="2499" uniqueCount="906">
  <si>
    <t xml:space="preserve">  БЛАНК ЗАКАЗА </t>
  </si>
  <si>
    <t>КИ</t>
  </si>
  <si>
    <t>на отгрузку продукции с ООО Трейд-Сервис с</t>
  </si>
  <si>
    <t>20.08.2026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</si>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</sst>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00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5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6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0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0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2"/>
  <sheetViews>
    <sheetView showGridLines="0" tabSelected="1" zoomScaleNormal="100" zoomScaleSheetLayoutView="100" workbookViewId="0">
      <selection activeCell="AA48" sqref="AA48"/>
    </sheetView>
  </sheetViews>
  <sheetFormatPr defaultColWidth="9.140625" defaultRowHeight="12.75" x14ac:dyDescent="0.2"/>
  <cols>
    <col min="1" max="1" width="9.140625" style="62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7" customWidth="1"/>
    <col min="19" max="19" width="6.140625" style="62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7" customWidth="1"/>
    <col min="25" max="25" width="11" style="627" customWidth="1"/>
    <col min="26" max="26" width="10" style="627" customWidth="1"/>
    <col min="27" max="27" width="11.5703125" style="627" customWidth="1"/>
    <col min="28" max="28" width="10.42578125" style="627" customWidth="1"/>
    <col min="29" max="29" width="30" style="62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7" customWidth="1"/>
    <col min="34" max="34" width="9.140625" style="627" customWidth="1"/>
    <col min="35" max="16384" width="9.140625" style="627"/>
  </cols>
  <sheetData>
    <row r="1" spans="1:32" s="623" customFormat="1" ht="45" customHeight="1" x14ac:dyDescent="0.2">
      <c r="A1" s="41"/>
      <c r="B1" s="41"/>
      <c r="C1" s="41"/>
      <c r="D1" s="684" t="s">
        <v>0</v>
      </c>
      <c r="E1" s="675"/>
      <c r="F1" s="675"/>
      <c r="G1" s="12" t="s">
        <v>1</v>
      </c>
      <c r="H1" s="684" t="s">
        <v>2</v>
      </c>
      <c r="I1" s="675"/>
      <c r="J1" s="675"/>
      <c r="K1" s="675"/>
      <c r="L1" s="675"/>
      <c r="M1" s="675"/>
      <c r="N1" s="675"/>
      <c r="O1" s="675"/>
      <c r="P1" s="675"/>
      <c r="Q1" s="675"/>
      <c r="R1" s="674" t="s">
        <v>3</v>
      </c>
      <c r="S1" s="675"/>
      <c r="T1" s="6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3" customFormat="1" ht="23.45" customHeight="1" x14ac:dyDescent="0.2">
      <c r="A5" s="775" t="s">
        <v>7</v>
      </c>
      <c r="B5" s="738"/>
      <c r="C5" s="739"/>
      <c r="D5" s="685"/>
      <c r="E5" s="686"/>
      <c r="F5" s="957" t="s">
        <v>8</v>
      </c>
      <c r="G5" s="739"/>
      <c r="H5" s="685" t="s">
        <v>905</v>
      </c>
      <c r="I5" s="897"/>
      <c r="J5" s="897"/>
      <c r="K5" s="897"/>
      <c r="L5" s="897"/>
      <c r="M5" s="686"/>
      <c r="N5" s="58"/>
      <c r="P5" s="24" t="s">
        <v>9</v>
      </c>
      <c r="Q5" s="967">
        <v>46263</v>
      </c>
      <c r="R5" s="769"/>
      <c r="T5" s="819" t="s">
        <v>10</v>
      </c>
      <c r="U5" s="795"/>
      <c r="V5" s="820" t="s">
        <v>11</v>
      </c>
      <c r="W5" s="769"/>
      <c r="AB5" s="51"/>
      <c r="AC5" s="51"/>
      <c r="AD5" s="51"/>
      <c r="AE5" s="51"/>
    </row>
    <row r="6" spans="1:32" s="623" customFormat="1" ht="24" customHeight="1" x14ac:dyDescent="0.2">
      <c r="A6" s="775" t="s">
        <v>12</v>
      </c>
      <c r="B6" s="738"/>
      <c r="C6" s="739"/>
      <c r="D6" s="900" t="s">
        <v>884</v>
      </c>
      <c r="E6" s="901"/>
      <c r="F6" s="901"/>
      <c r="G6" s="901"/>
      <c r="H6" s="901"/>
      <c r="I6" s="901"/>
      <c r="J6" s="901"/>
      <c r="K6" s="901"/>
      <c r="L6" s="901"/>
      <c r="M6" s="769"/>
      <c r="N6" s="59"/>
      <c r="P6" s="24" t="s">
        <v>13</v>
      </c>
      <c r="Q6" s="976" t="str">
        <f>IF(Q5=0," ",CHOOSE(WEEKDAY(Q5,2),"Понедельник","Вторник","Среда","Четверг","Пятница","Суббота","Воскресенье"))</f>
        <v>Суббота</v>
      </c>
      <c r="R6" s="634"/>
      <c r="T6" s="825" t="s">
        <v>14</v>
      </c>
      <c r="U6" s="795"/>
      <c r="V6" s="885" t="s">
        <v>15</v>
      </c>
      <c r="W6" s="659"/>
      <c r="AB6" s="51"/>
      <c r="AC6" s="51"/>
      <c r="AD6" s="51"/>
      <c r="AE6" s="51"/>
    </row>
    <row r="7" spans="1:32" s="623" customFormat="1" ht="21.75" hidden="1" customHeight="1" x14ac:dyDescent="0.2">
      <c r="A7" s="55"/>
      <c r="B7" s="55"/>
      <c r="C7" s="55"/>
      <c r="D7" s="703" t="str">
        <f>IFERROR(VLOOKUP(DeliveryAddress,Table,3,0),1)</f>
        <v>7</v>
      </c>
      <c r="E7" s="704"/>
      <c r="F7" s="704"/>
      <c r="G7" s="704"/>
      <c r="H7" s="704"/>
      <c r="I7" s="704"/>
      <c r="J7" s="704"/>
      <c r="K7" s="704"/>
      <c r="L7" s="704"/>
      <c r="M7" s="705"/>
      <c r="N7" s="60"/>
      <c r="P7" s="24"/>
      <c r="Q7" s="42"/>
      <c r="R7" s="42"/>
      <c r="T7" s="643"/>
      <c r="U7" s="795"/>
      <c r="V7" s="886"/>
      <c r="W7" s="887"/>
      <c r="AB7" s="51"/>
      <c r="AC7" s="51"/>
      <c r="AD7" s="51"/>
      <c r="AE7" s="51"/>
    </row>
    <row r="8" spans="1:32" s="623" customFormat="1" ht="25.5" customHeight="1" x14ac:dyDescent="0.2">
      <c r="A8" s="991" t="s">
        <v>16</v>
      </c>
      <c r="B8" s="647"/>
      <c r="C8" s="648"/>
      <c r="D8" s="710"/>
      <c r="E8" s="711"/>
      <c r="F8" s="711"/>
      <c r="G8" s="711"/>
      <c r="H8" s="711"/>
      <c r="I8" s="711"/>
      <c r="J8" s="711"/>
      <c r="K8" s="711"/>
      <c r="L8" s="711"/>
      <c r="M8" s="712"/>
      <c r="N8" s="61"/>
      <c r="P8" s="24" t="s">
        <v>17</v>
      </c>
      <c r="Q8" s="784">
        <v>0.41666666666666669</v>
      </c>
      <c r="R8" s="705"/>
      <c r="T8" s="643"/>
      <c r="U8" s="795"/>
      <c r="V8" s="886"/>
      <c r="W8" s="887"/>
      <c r="AB8" s="51"/>
      <c r="AC8" s="51"/>
      <c r="AD8" s="51"/>
      <c r="AE8" s="51"/>
    </row>
    <row r="9" spans="1:32" s="623" customFormat="1" ht="39.950000000000003" customHeight="1" x14ac:dyDescent="0.2">
      <c r="A9" s="7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96"/>
      <c r="E9" s="656"/>
      <c r="F9" s="7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1"/>
      <c r="P9" s="26" t="s">
        <v>18</v>
      </c>
      <c r="Q9" s="765"/>
      <c r="R9" s="766"/>
      <c r="T9" s="643"/>
      <c r="U9" s="795"/>
      <c r="V9" s="888"/>
      <c r="W9" s="889"/>
      <c r="X9" s="43"/>
      <c r="Y9" s="43"/>
      <c r="Z9" s="43"/>
      <c r="AA9" s="43"/>
      <c r="AB9" s="51"/>
      <c r="AC9" s="51"/>
      <c r="AD9" s="51"/>
      <c r="AE9" s="51"/>
    </row>
    <row r="10" spans="1:32" s="623" customFormat="1" ht="26.45" customHeight="1" x14ac:dyDescent="0.2">
      <c r="A10" s="7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96"/>
      <c r="E10" s="656"/>
      <c r="F10" s="7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7" t="str">
        <f>IFERROR(VLOOKUP($D$10,Proxy,2,FALSE),"")</f>
        <v/>
      </c>
      <c r="I10" s="643"/>
      <c r="J10" s="643"/>
      <c r="K10" s="643"/>
      <c r="L10" s="643"/>
      <c r="M10" s="643"/>
      <c r="N10" s="622"/>
      <c r="P10" s="26" t="s">
        <v>19</v>
      </c>
      <c r="Q10" s="826"/>
      <c r="R10" s="827"/>
      <c r="U10" s="24" t="s">
        <v>20</v>
      </c>
      <c r="V10" s="658" t="s">
        <v>21</v>
      </c>
      <c r="W10" s="659"/>
      <c r="X10" s="44"/>
      <c r="Y10" s="44"/>
      <c r="Z10" s="44"/>
      <c r="AA10" s="44"/>
      <c r="AB10" s="51"/>
      <c r="AC10" s="51"/>
      <c r="AD10" s="51"/>
      <c r="AE10" s="51"/>
    </row>
    <row r="11" spans="1:32" s="623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8"/>
      <c r="R11" s="769"/>
      <c r="U11" s="24" t="s">
        <v>24</v>
      </c>
      <c r="V11" s="925" t="s">
        <v>25</v>
      </c>
      <c r="W11" s="766"/>
      <c r="X11" s="45"/>
      <c r="Y11" s="45"/>
      <c r="Z11" s="45"/>
      <c r="AA11" s="45"/>
      <c r="AB11" s="51"/>
      <c r="AC11" s="51"/>
      <c r="AD11" s="51"/>
      <c r="AE11" s="51"/>
    </row>
    <row r="12" spans="1:32" s="623" customFormat="1" ht="18.600000000000001" customHeight="1" x14ac:dyDescent="0.2">
      <c r="A12" s="809" t="s">
        <v>26</v>
      </c>
      <c r="B12" s="738"/>
      <c r="C12" s="738"/>
      <c r="D12" s="738"/>
      <c r="E12" s="738"/>
      <c r="F12" s="738"/>
      <c r="G12" s="738"/>
      <c r="H12" s="738"/>
      <c r="I12" s="738"/>
      <c r="J12" s="738"/>
      <c r="K12" s="738"/>
      <c r="L12" s="738"/>
      <c r="M12" s="739"/>
      <c r="N12" s="62"/>
      <c r="P12" s="24" t="s">
        <v>27</v>
      </c>
      <c r="Q12" s="784"/>
      <c r="R12" s="705"/>
      <c r="S12" s="23"/>
      <c r="U12" s="24"/>
      <c r="V12" s="675"/>
      <c r="W12" s="643"/>
      <c r="AB12" s="51"/>
      <c r="AC12" s="51"/>
      <c r="AD12" s="51"/>
      <c r="AE12" s="51"/>
    </row>
    <row r="13" spans="1:32" s="623" customFormat="1" ht="23.25" customHeight="1" x14ac:dyDescent="0.2">
      <c r="A13" s="809" t="s">
        <v>28</v>
      </c>
      <c r="B13" s="738"/>
      <c r="C13" s="738"/>
      <c r="D13" s="738"/>
      <c r="E13" s="738"/>
      <c r="F13" s="738"/>
      <c r="G13" s="738"/>
      <c r="H13" s="738"/>
      <c r="I13" s="738"/>
      <c r="J13" s="738"/>
      <c r="K13" s="738"/>
      <c r="L13" s="738"/>
      <c r="M13" s="739"/>
      <c r="N13" s="62"/>
      <c r="O13" s="26"/>
      <c r="P13" s="26" t="s">
        <v>29</v>
      </c>
      <c r="Q13" s="925"/>
      <c r="R13" s="7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3" customFormat="1" ht="18.600000000000001" customHeight="1" x14ac:dyDescent="0.2">
      <c r="A14" s="809" t="s">
        <v>30</v>
      </c>
      <c r="B14" s="738"/>
      <c r="C14" s="738"/>
      <c r="D14" s="738"/>
      <c r="E14" s="738"/>
      <c r="F14" s="738"/>
      <c r="G14" s="738"/>
      <c r="H14" s="738"/>
      <c r="I14" s="738"/>
      <c r="J14" s="738"/>
      <c r="K14" s="738"/>
      <c r="L14" s="738"/>
      <c r="M14" s="73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3" customFormat="1" ht="22.5" customHeight="1" x14ac:dyDescent="0.2">
      <c r="A15" s="839" t="s">
        <v>31</v>
      </c>
      <c r="B15" s="738"/>
      <c r="C15" s="738"/>
      <c r="D15" s="738"/>
      <c r="E15" s="738"/>
      <c r="F15" s="738"/>
      <c r="G15" s="738"/>
      <c r="H15" s="738"/>
      <c r="I15" s="738"/>
      <c r="J15" s="738"/>
      <c r="K15" s="738"/>
      <c r="L15" s="738"/>
      <c r="M15" s="739"/>
      <c r="N15" s="63"/>
      <c r="P15" s="816" t="s">
        <v>32</v>
      </c>
      <c r="Q15" s="675"/>
      <c r="R15" s="675"/>
      <c r="S15" s="675"/>
      <c r="T15" s="6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7"/>
      <c r="Q16" s="817"/>
      <c r="R16" s="817"/>
      <c r="S16" s="817"/>
      <c r="T16" s="81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0" t="s">
        <v>33</v>
      </c>
      <c r="B17" s="660" t="s">
        <v>34</v>
      </c>
      <c r="C17" s="792" t="s">
        <v>35</v>
      </c>
      <c r="D17" s="660" t="s">
        <v>36</v>
      </c>
      <c r="E17" s="743"/>
      <c r="F17" s="660" t="s">
        <v>37</v>
      </c>
      <c r="G17" s="660" t="s">
        <v>38</v>
      </c>
      <c r="H17" s="660" t="s">
        <v>39</v>
      </c>
      <c r="I17" s="660" t="s">
        <v>40</v>
      </c>
      <c r="J17" s="660" t="s">
        <v>41</v>
      </c>
      <c r="K17" s="660" t="s">
        <v>42</v>
      </c>
      <c r="L17" s="660" t="s">
        <v>43</v>
      </c>
      <c r="M17" s="660" t="s">
        <v>44</v>
      </c>
      <c r="N17" s="660" t="s">
        <v>45</v>
      </c>
      <c r="O17" s="660" t="s">
        <v>46</v>
      </c>
      <c r="P17" s="660" t="s">
        <v>47</v>
      </c>
      <c r="Q17" s="742"/>
      <c r="R17" s="742"/>
      <c r="S17" s="742"/>
      <c r="T17" s="743"/>
      <c r="U17" s="990" t="s">
        <v>48</v>
      </c>
      <c r="V17" s="739"/>
      <c r="W17" s="660" t="s">
        <v>49</v>
      </c>
      <c r="X17" s="660" t="s">
        <v>50</v>
      </c>
      <c r="Y17" s="988" t="s">
        <v>51</v>
      </c>
      <c r="Z17" s="883" t="s">
        <v>52</v>
      </c>
      <c r="AA17" s="875" t="s">
        <v>53</v>
      </c>
      <c r="AB17" s="875" t="s">
        <v>54</v>
      </c>
      <c r="AC17" s="875" t="s">
        <v>55</v>
      </c>
      <c r="AD17" s="875" t="s">
        <v>56</v>
      </c>
      <c r="AE17" s="952"/>
      <c r="AF17" s="953"/>
      <c r="AG17" s="66"/>
      <c r="BD17" s="65" t="s">
        <v>57</v>
      </c>
    </row>
    <row r="18" spans="1:68" ht="14.25" customHeight="1" x14ac:dyDescent="0.2">
      <c r="A18" s="661"/>
      <c r="B18" s="661"/>
      <c r="C18" s="661"/>
      <c r="D18" s="744"/>
      <c r="E18" s="746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744"/>
      <c r="Q18" s="745"/>
      <c r="R18" s="745"/>
      <c r="S18" s="745"/>
      <c r="T18" s="746"/>
      <c r="U18" s="67" t="s">
        <v>58</v>
      </c>
      <c r="V18" s="67" t="s">
        <v>59</v>
      </c>
      <c r="W18" s="661"/>
      <c r="X18" s="661"/>
      <c r="Y18" s="989"/>
      <c r="Z18" s="884"/>
      <c r="AA18" s="876"/>
      <c r="AB18" s="876"/>
      <c r="AC18" s="876"/>
      <c r="AD18" s="954"/>
      <c r="AE18" s="955"/>
      <c r="AF18" s="956"/>
      <c r="AG18" s="66"/>
      <c r="BD18" s="65"/>
    </row>
    <row r="19" spans="1:68" ht="27.75" hidden="1" customHeight="1" x14ac:dyDescent="0.2">
      <c r="A19" s="653" t="s">
        <v>60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hidden="1" customHeight="1" x14ac:dyDescent="0.25">
      <c r="A20" s="650" t="s">
        <v>60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4"/>
      <c r="AB20" s="624"/>
      <c r="AC20" s="624"/>
    </row>
    <row r="21" spans="1:68" ht="14.25" hidden="1" customHeight="1" x14ac:dyDescent="0.25">
      <c r="A21" s="652" t="s">
        <v>61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5"/>
      <c r="AB21" s="625"/>
      <c r="AC21" s="625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33">
        <v>4680115886643</v>
      </c>
      <c r="E22" s="634"/>
      <c r="F22" s="628">
        <v>0.19</v>
      </c>
      <c r="G22" s="32">
        <v>10</v>
      </c>
      <c r="H22" s="628">
        <v>1.9</v>
      </c>
      <c r="I22" s="628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9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66</v>
      </c>
      <c r="X22" s="629">
        <v>0</v>
      </c>
      <c r="Y22" s="63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33">
        <v>4680115889071</v>
      </c>
      <c r="E23" s="634"/>
      <c r="F23" s="628">
        <v>0.3</v>
      </c>
      <c r="G23" s="32">
        <v>6</v>
      </c>
      <c r="H23" s="628">
        <v>1.8</v>
      </c>
      <c r="I23" s="628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66</v>
      </c>
      <c r="X23" s="629">
        <v>0</v>
      </c>
      <c r="Y23" s="63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42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6" t="s">
        <v>71</v>
      </c>
      <c r="Q24" s="647"/>
      <c r="R24" s="647"/>
      <c r="S24" s="647"/>
      <c r="T24" s="647"/>
      <c r="U24" s="647"/>
      <c r="V24" s="648"/>
      <c r="W24" s="37" t="s">
        <v>72</v>
      </c>
      <c r="X24" s="631">
        <f>IFERROR(X22/H22,"0")+IFERROR(X23/H23,"0")</f>
        <v>0</v>
      </c>
      <c r="Y24" s="631">
        <f>IFERROR(Y22/H22,"0")+IFERROR(Y23/H23,"0")</f>
        <v>0</v>
      </c>
      <c r="Z24" s="631">
        <f>IFERROR(IF(Z22="",0,Z22),"0")+IFERROR(IF(Z23="",0,Z23),"0")</f>
        <v>0</v>
      </c>
      <c r="AA24" s="632"/>
      <c r="AB24" s="632"/>
      <c r="AC24" s="632"/>
    </row>
    <row r="25" spans="1:68" hidden="1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6" t="s">
        <v>71</v>
      </c>
      <c r="Q25" s="647"/>
      <c r="R25" s="647"/>
      <c r="S25" s="647"/>
      <c r="T25" s="647"/>
      <c r="U25" s="647"/>
      <c r="V25" s="648"/>
      <c r="W25" s="37" t="s">
        <v>66</v>
      </c>
      <c r="X25" s="631">
        <f>IFERROR(SUM(X22:X23),"0")</f>
        <v>0</v>
      </c>
      <c r="Y25" s="631">
        <f>IFERROR(SUM(Y22:Y23),"0")</f>
        <v>0</v>
      </c>
      <c r="Z25" s="37"/>
      <c r="AA25" s="632"/>
      <c r="AB25" s="632"/>
      <c r="AC25" s="632"/>
    </row>
    <row r="26" spans="1:68" ht="14.25" hidden="1" customHeight="1" x14ac:dyDescent="0.25">
      <c r="A26" s="652" t="s">
        <v>73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5"/>
      <c r="AB26" s="625"/>
      <c r="AC26" s="625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33">
        <v>4680115885912</v>
      </c>
      <c r="E27" s="634"/>
      <c r="F27" s="628">
        <v>0.3</v>
      </c>
      <c r="G27" s="32">
        <v>6</v>
      </c>
      <c r="H27" s="628">
        <v>1.8</v>
      </c>
      <c r="I27" s="628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66</v>
      </c>
      <c r="X27" s="629">
        <v>0</v>
      </c>
      <c r="Y27" s="63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33">
        <v>4607091388237</v>
      </c>
      <c r="E28" s="634"/>
      <c r="F28" s="628">
        <v>0.42</v>
      </c>
      <c r="G28" s="32">
        <v>6</v>
      </c>
      <c r="H28" s="628">
        <v>2.52</v>
      </c>
      <c r="I28" s="628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7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66</v>
      </c>
      <c r="X28" s="629">
        <v>0</v>
      </c>
      <c r="Y28" s="63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33">
        <v>4680115887350</v>
      </c>
      <c r="E29" s="634"/>
      <c r="F29" s="628">
        <v>0.3</v>
      </c>
      <c r="G29" s="32">
        <v>6</v>
      </c>
      <c r="H29" s="628">
        <v>1.8</v>
      </c>
      <c r="I29" s="628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66</v>
      </c>
      <c r="X29" s="629">
        <v>0</v>
      </c>
      <c r="Y29" s="63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33">
        <v>4680115885905</v>
      </c>
      <c r="E30" s="634"/>
      <c r="F30" s="628">
        <v>0.3</v>
      </c>
      <c r="G30" s="32">
        <v>6</v>
      </c>
      <c r="H30" s="628">
        <v>1.8</v>
      </c>
      <c r="I30" s="628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9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66</v>
      </c>
      <c r="X30" s="629">
        <v>0</v>
      </c>
      <c r="Y30" s="63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33">
        <v>4680115887619</v>
      </c>
      <c r="E31" s="634"/>
      <c r="F31" s="628">
        <v>0.33</v>
      </c>
      <c r="G31" s="32">
        <v>6</v>
      </c>
      <c r="H31" s="628">
        <v>1.98</v>
      </c>
      <c r="I31" s="628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66</v>
      </c>
      <c r="X31" s="629">
        <v>0</v>
      </c>
      <c r="Y31" s="63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42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6" t="s">
        <v>71</v>
      </c>
      <c r="Q32" s="647"/>
      <c r="R32" s="647"/>
      <c r="S32" s="647"/>
      <c r="T32" s="647"/>
      <c r="U32" s="647"/>
      <c r="V32" s="648"/>
      <c r="W32" s="37" t="s">
        <v>72</v>
      </c>
      <c r="X32" s="631">
        <f>IFERROR(X27/H27,"0")+IFERROR(X28/H28,"0")+IFERROR(X29/H29,"0")+IFERROR(X30/H30,"0")+IFERROR(X31/H31,"0")</f>
        <v>0</v>
      </c>
      <c r="Y32" s="631">
        <f>IFERROR(Y27/H27,"0")+IFERROR(Y28/H28,"0")+IFERROR(Y29/H29,"0")+IFERROR(Y30/H30,"0")+IFERROR(Y31/H31,"0")</f>
        <v>0</v>
      </c>
      <c r="Z32" s="631">
        <f>IFERROR(IF(Z27="",0,Z27),"0")+IFERROR(IF(Z28="",0,Z28),"0")+IFERROR(IF(Z29="",0,Z29),"0")+IFERROR(IF(Z30="",0,Z30),"0")+IFERROR(IF(Z31="",0,Z31),"0")</f>
        <v>0</v>
      </c>
      <c r="AA32" s="632"/>
      <c r="AB32" s="632"/>
      <c r="AC32" s="632"/>
    </row>
    <row r="33" spans="1:68" hidden="1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6" t="s">
        <v>71</v>
      </c>
      <c r="Q33" s="647"/>
      <c r="R33" s="647"/>
      <c r="S33" s="647"/>
      <c r="T33" s="647"/>
      <c r="U33" s="647"/>
      <c r="V33" s="648"/>
      <c r="W33" s="37" t="s">
        <v>66</v>
      </c>
      <c r="X33" s="631">
        <f>IFERROR(SUM(X27:X31),"0")</f>
        <v>0</v>
      </c>
      <c r="Y33" s="631">
        <f>IFERROR(SUM(Y27:Y31),"0")</f>
        <v>0</v>
      </c>
      <c r="Z33" s="37"/>
      <c r="AA33" s="632"/>
      <c r="AB33" s="632"/>
      <c r="AC33" s="632"/>
    </row>
    <row r="34" spans="1:68" ht="27.75" hidden="1" customHeight="1" x14ac:dyDescent="0.2">
      <c r="A34" s="653" t="s">
        <v>91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hidden="1" customHeight="1" x14ac:dyDescent="0.25">
      <c r="A35" s="650" t="s">
        <v>92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V35" s="643"/>
      <c r="W35" s="643"/>
      <c r="X35" s="643"/>
      <c r="Y35" s="643"/>
      <c r="Z35" s="643"/>
      <c r="AA35" s="624"/>
      <c r="AB35" s="624"/>
      <c r="AC35" s="624"/>
    </row>
    <row r="36" spans="1:68" ht="14.25" hidden="1" customHeight="1" x14ac:dyDescent="0.25">
      <c r="A36" s="652" t="s">
        <v>73</v>
      </c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25"/>
      <c r="AB36" s="625"/>
      <c r="AC36" s="625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33">
        <v>4680115889354</v>
      </c>
      <c r="E37" s="634"/>
      <c r="F37" s="628">
        <v>0.32</v>
      </c>
      <c r="G37" s="32">
        <v>6</v>
      </c>
      <c r="H37" s="628">
        <v>1.92</v>
      </c>
      <c r="I37" s="628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6"/>
      <c r="R37" s="636"/>
      <c r="S37" s="636"/>
      <c r="T37" s="637"/>
      <c r="U37" s="34"/>
      <c r="V37" s="34"/>
      <c r="W37" s="35" t="s">
        <v>66</v>
      </c>
      <c r="X37" s="629">
        <v>0</v>
      </c>
      <c r="Y37" s="630">
        <f t="shared" ref="Y37:Y42" si="0">IFERROR(IF(X37="",0,CEILING((X37/$H37),1)*$H37),"")</f>
        <v>0</v>
      </c>
      <c r="Z37" s="36" t="str">
        <f t="shared" ref="Z37:Z42" si="1"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 t="shared" ref="BM37:BM42" si="2">IFERROR(X37*I37/H37,"0")</f>
        <v>0</v>
      </c>
      <c r="BN37" s="64">
        <f t="shared" ref="BN37:BN42" si="3">IFERROR(Y37*I37/H37,"0")</f>
        <v>0</v>
      </c>
      <c r="BO37" s="64">
        <f t="shared" ref="BO37:BO42" si="4">IFERROR(1/J37*(X37/H37),"0")</f>
        <v>0</v>
      </c>
      <c r="BP37" s="64">
        <f t="shared" ref="BP37:BP42" si="5"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33">
        <v>4680115888463</v>
      </c>
      <c r="E38" s="634"/>
      <c r="F38" s="628">
        <v>0.32</v>
      </c>
      <c r="G38" s="32">
        <v>6</v>
      </c>
      <c r="H38" s="628">
        <v>1.92</v>
      </c>
      <c r="I38" s="628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6"/>
      <c r="R38" s="636"/>
      <c r="S38" s="636"/>
      <c r="T38" s="637"/>
      <c r="U38" s="34"/>
      <c r="V38" s="34"/>
      <c r="W38" s="35" t="s">
        <v>66</v>
      </c>
      <c r="X38" s="629">
        <v>0</v>
      </c>
      <c r="Y38" s="630">
        <f t="shared" si="0"/>
        <v>0</v>
      </c>
      <c r="Z38" s="36" t="str">
        <f t="shared" si="1"/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 t="shared" si="2"/>
        <v>0</v>
      </c>
      <c r="BN38" s="64">
        <f t="shared" si="3"/>
        <v>0</v>
      </c>
      <c r="BO38" s="64">
        <f t="shared" si="4"/>
        <v>0</v>
      </c>
      <c r="BP38" s="64">
        <f t="shared" si="5"/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33">
        <v>4680115889590</v>
      </c>
      <c r="E39" s="634"/>
      <c r="F39" s="628">
        <v>0.3</v>
      </c>
      <c r="G39" s="32">
        <v>4</v>
      </c>
      <c r="H39" s="628">
        <v>1.2</v>
      </c>
      <c r="I39" s="628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66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36"/>
      <c r="R39" s="636"/>
      <c r="S39" s="636"/>
      <c r="T39" s="637"/>
      <c r="U39" s="34"/>
      <c r="V39" s="34"/>
      <c r="W39" s="35" t="s">
        <v>66</v>
      </c>
      <c r="X39" s="629">
        <v>0</v>
      </c>
      <c r="Y39" s="630">
        <f t="shared" si="0"/>
        <v>0</v>
      </c>
      <c r="Z39" s="36" t="str">
        <f t="shared" si="1"/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 t="shared" si="2"/>
        <v>0</v>
      </c>
      <c r="BN39" s="64">
        <f t="shared" si="3"/>
        <v>0</v>
      </c>
      <c r="BO39" s="64">
        <f t="shared" si="4"/>
        <v>0</v>
      </c>
      <c r="BP39" s="64">
        <f t="shared" si="5"/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4301052202</v>
      </c>
      <c r="D40" s="633">
        <v>4680115888494</v>
      </c>
      <c r="E40" s="634"/>
      <c r="F40" s="628">
        <v>0.32</v>
      </c>
      <c r="G40" s="32">
        <v>6</v>
      </c>
      <c r="H40" s="628">
        <v>1.92</v>
      </c>
      <c r="I40" s="628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9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36"/>
      <c r="R40" s="636"/>
      <c r="S40" s="636"/>
      <c r="T40" s="637"/>
      <c r="U40" s="34"/>
      <c r="V40" s="34"/>
      <c r="W40" s="35" t="s">
        <v>66</v>
      </c>
      <c r="X40" s="629">
        <v>0</v>
      </c>
      <c r="Y40" s="630">
        <f t="shared" si="0"/>
        <v>0</v>
      </c>
      <c r="Z40" s="36" t="str">
        <f t="shared" si="1"/>
        <v/>
      </c>
      <c r="AA40" s="56"/>
      <c r="AB40" s="57"/>
      <c r="AC40" s="89" t="s">
        <v>101</v>
      </c>
      <c r="AG40" s="64"/>
      <c r="AJ40" s="68"/>
      <c r="AK40" s="68">
        <v>0</v>
      </c>
      <c r="BB40" s="90" t="s">
        <v>1</v>
      </c>
      <c r="BM40" s="64">
        <f t="shared" si="2"/>
        <v>0</v>
      </c>
      <c r="BN40" s="64">
        <f t="shared" si="3"/>
        <v>0</v>
      </c>
      <c r="BO40" s="64">
        <f t="shared" si="4"/>
        <v>0</v>
      </c>
      <c r="BP40" s="64">
        <f t="shared" si="5"/>
        <v>0</v>
      </c>
    </row>
    <row r="41" spans="1:68" ht="27" hidden="1" customHeight="1" x14ac:dyDescent="0.25">
      <c r="A41" s="54" t="s">
        <v>104</v>
      </c>
      <c r="B41" s="54" t="s">
        <v>105</v>
      </c>
      <c r="C41" s="31">
        <v>4301052184</v>
      </c>
      <c r="D41" s="633">
        <v>4680115888272</v>
      </c>
      <c r="E41" s="634"/>
      <c r="F41" s="628">
        <v>0.32</v>
      </c>
      <c r="G41" s="32">
        <v>6</v>
      </c>
      <c r="H41" s="628">
        <v>1.92</v>
      </c>
      <c r="I41" s="628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2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66</v>
      </c>
      <c r="X41" s="629">
        <v>0</v>
      </c>
      <c r="Y41" s="630">
        <f t="shared" si="0"/>
        <v>0</v>
      </c>
      <c r="Z41" s="36" t="str">
        <f t="shared" si="1"/>
        <v/>
      </c>
      <c r="AA41" s="56"/>
      <c r="AB41" s="57"/>
      <c r="AC41" s="91" t="s">
        <v>106</v>
      </c>
      <c r="AG41" s="64"/>
      <c r="AJ41" s="68"/>
      <c r="AK41" s="68">
        <v>0</v>
      </c>
      <c r="BB41" s="92" t="s">
        <v>1</v>
      </c>
      <c r="BM41" s="64">
        <f t="shared" si="2"/>
        <v>0</v>
      </c>
      <c r="BN41" s="64">
        <f t="shared" si="3"/>
        <v>0</v>
      </c>
      <c r="BO41" s="64">
        <f t="shared" si="4"/>
        <v>0</v>
      </c>
      <c r="BP41" s="64">
        <f t="shared" si="5"/>
        <v>0</v>
      </c>
    </row>
    <row r="42" spans="1:68" ht="27" hidden="1" customHeight="1" x14ac:dyDescent="0.25">
      <c r="A42" s="54" t="s">
        <v>107</v>
      </c>
      <c r="B42" s="54" t="s">
        <v>108</v>
      </c>
      <c r="C42" s="31">
        <v>4301052188</v>
      </c>
      <c r="D42" s="633">
        <v>4680115888364</v>
      </c>
      <c r="E42" s="634"/>
      <c r="F42" s="628">
        <v>0.32</v>
      </c>
      <c r="G42" s="32">
        <v>6</v>
      </c>
      <c r="H42" s="628">
        <v>1.92</v>
      </c>
      <c r="I42" s="628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7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66</v>
      </c>
      <c r="X42" s="629">
        <v>0</v>
      </c>
      <c r="Y42" s="630">
        <f t="shared" si="0"/>
        <v>0</v>
      </c>
      <c r="Z42" s="36" t="str">
        <f t="shared" si="1"/>
        <v/>
      </c>
      <c r="AA42" s="56"/>
      <c r="AB42" s="57"/>
      <c r="AC42" s="93" t="s">
        <v>109</v>
      </c>
      <c r="AG42" s="64"/>
      <c r="AJ42" s="68"/>
      <c r="AK42" s="68">
        <v>0</v>
      </c>
      <c r="BB42" s="94" t="s">
        <v>1</v>
      </c>
      <c r="BM42" s="64">
        <f t="shared" si="2"/>
        <v>0</v>
      </c>
      <c r="BN42" s="64">
        <f t="shared" si="3"/>
        <v>0</v>
      </c>
      <c r="BO42" s="64">
        <f t="shared" si="4"/>
        <v>0</v>
      </c>
      <c r="BP42" s="64">
        <f t="shared" si="5"/>
        <v>0</v>
      </c>
    </row>
    <row r="43" spans="1:68" hidden="1" x14ac:dyDescent="0.2">
      <c r="A43" s="642"/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4"/>
      <c r="P43" s="646" t="s">
        <v>71</v>
      </c>
      <c r="Q43" s="647"/>
      <c r="R43" s="647"/>
      <c r="S43" s="647"/>
      <c r="T43" s="647"/>
      <c r="U43" s="647"/>
      <c r="V43" s="648"/>
      <c r="W43" s="37" t="s">
        <v>72</v>
      </c>
      <c r="X43" s="631">
        <f>IFERROR(X37/H37,"0")+IFERROR(X38/H38,"0")+IFERROR(X39/H39,"0")+IFERROR(X40/H40,"0")+IFERROR(X41/H41,"0")+IFERROR(X42/H42,"0")</f>
        <v>0</v>
      </c>
      <c r="Y43" s="631">
        <f>IFERROR(Y37/H37,"0")+IFERROR(Y38/H38,"0")+IFERROR(Y39/H39,"0")+IFERROR(Y40/H40,"0")+IFERROR(Y41/H41,"0")+IFERROR(Y42/H42,"0")</f>
        <v>0</v>
      </c>
      <c r="Z43" s="631">
        <f>IFERROR(IF(Z37="",0,Z37),"0")+IFERROR(IF(Z38="",0,Z38),"0")+IFERROR(IF(Z39="",0,Z39),"0")+IFERROR(IF(Z40="",0,Z40),"0")+IFERROR(IF(Z41="",0,Z41),"0")+IFERROR(IF(Z42="",0,Z42),"0")</f>
        <v>0</v>
      </c>
      <c r="AA43" s="632"/>
      <c r="AB43" s="632"/>
      <c r="AC43" s="632"/>
    </row>
    <row r="44" spans="1:68" hidden="1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6" t="s">
        <v>71</v>
      </c>
      <c r="Q44" s="647"/>
      <c r="R44" s="647"/>
      <c r="S44" s="647"/>
      <c r="T44" s="647"/>
      <c r="U44" s="647"/>
      <c r="V44" s="648"/>
      <c r="W44" s="37" t="s">
        <v>66</v>
      </c>
      <c r="X44" s="631">
        <f>IFERROR(SUM(X37:X42),"0")</f>
        <v>0</v>
      </c>
      <c r="Y44" s="631">
        <f>IFERROR(SUM(Y37:Y42),"0")</f>
        <v>0</v>
      </c>
      <c r="Z44" s="37"/>
      <c r="AA44" s="632"/>
      <c r="AB44" s="632"/>
      <c r="AC44" s="632"/>
    </row>
    <row r="45" spans="1:68" ht="27.75" hidden="1" customHeight="1" x14ac:dyDescent="0.2">
      <c r="A45" s="653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48"/>
      <c r="AB45" s="48"/>
      <c r="AC45" s="48"/>
    </row>
    <row r="46" spans="1:68" ht="16.5" hidden="1" customHeight="1" x14ac:dyDescent="0.25">
      <c r="A46" s="650" t="s">
        <v>111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V46" s="643"/>
      <c r="W46" s="643"/>
      <c r="X46" s="643"/>
      <c r="Y46" s="643"/>
      <c r="Z46" s="643"/>
      <c r="AA46" s="624"/>
      <c r="AB46" s="624"/>
      <c r="AC46" s="624"/>
    </row>
    <row r="47" spans="1:68" ht="14.25" hidden="1" customHeight="1" x14ac:dyDescent="0.25">
      <c r="A47" s="652" t="s">
        <v>112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25"/>
      <c r="AB47" s="625"/>
      <c r="AC47" s="625"/>
    </row>
    <row r="48" spans="1:68" ht="16.5" customHeight="1" x14ac:dyDescent="0.25">
      <c r="A48" s="54" t="s">
        <v>113</v>
      </c>
      <c r="B48" s="54" t="s">
        <v>114</v>
      </c>
      <c r="C48" s="31">
        <v>4301011380</v>
      </c>
      <c r="D48" s="633">
        <v>4607091385670</v>
      </c>
      <c r="E48" s="634"/>
      <c r="F48" s="628">
        <v>1.35</v>
      </c>
      <c r="G48" s="32">
        <v>8</v>
      </c>
      <c r="H48" s="628">
        <v>10.8</v>
      </c>
      <c r="I48" s="628">
        <v>11.21</v>
      </c>
      <c r="J48" s="32">
        <v>64</v>
      </c>
      <c r="K48" s="32" t="s">
        <v>115</v>
      </c>
      <c r="L48" s="32"/>
      <c r="M48" s="33" t="s">
        <v>116</v>
      </c>
      <c r="N48" s="33"/>
      <c r="O48" s="32">
        <v>50</v>
      </c>
      <c r="P48" s="8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36"/>
      <c r="R48" s="636"/>
      <c r="S48" s="636"/>
      <c r="T48" s="637"/>
      <c r="U48" s="34"/>
      <c r="V48" s="34"/>
      <c r="W48" s="35" t="s">
        <v>66</v>
      </c>
      <c r="X48" s="629">
        <v>325</v>
      </c>
      <c r="Y48" s="630">
        <f>IFERROR(IF(X48="",0,CEILING((X48/$H48),1)*$H48),"")</f>
        <v>334.8</v>
      </c>
      <c r="Z48" s="36">
        <f>IFERROR(IF(Y48=0,"",ROUNDUP(Y48/H48,0)*0.01898),"")</f>
        <v>0.58838000000000001</v>
      </c>
      <c r="AA48" s="56"/>
      <c r="AB48" s="57"/>
      <c r="AC48" s="95" t="s">
        <v>117</v>
      </c>
      <c r="AG48" s="64"/>
      <c r="AJ48" s="68"/>
      <c r="AK48" s="68">
        <v>0</v>
      </c>
      <c r="BB48" s="96" t="s">
        <v>1</v>
      </c>
      <c r="BM48" s="64">
        <f>IFERROR(X48*I48/H48,"0")</f>
        <v>337.33796296296299</v>
      </c>
      <c r="BN48" s="64">
        <f>IFERROR(Y48*I48/H48,"0")</f>
        <v>347.51000000000005</v>
      </c>
      <c r="BO48" s="64">
        <f>IFERROR(1/J48*(X48/H48),"0")</f>
        <v>0.47019675925925924</v>
      </c>
      <c r="BP48" s="64">
        <f>IFERROR(1/J48*(Y48/H48),"0")</f>
        <v>0.484375</v>
      </c>
    </row>
    <row r="49" spans="1:68" ht="27" hidden="1" customHeight="1" x14ac:dyDescent="0.25">
      <c r="A49" s="54" t="s">
        <v>118</v>
      </c>
      <c r="B49" s="54" t="s">
        <v>119</v>
      </c>
      <c r="C49" s="31">
        <v>4301012053</v>
      </c>
      <c r="D49" s="633">
        <v>4680115887725</v>
      </c>
      <c r="E49" s="634"/>
      <c r="F49" s="628">
        <v>0.11</v>
      </c>
      <c r="G49" s="32">
        <v>10</v>
      </c>
      <c r="H49" s="628">
        <v>1.1000000000000001</v>
      </c>
      <c r="I49" s="628">
        <v>1.31</v>
      </c>
      <c r="J49" s="32">
        <v>192</v>
      </c>
      <c r="K49" s="32" t="s">
        <v>120</v>
      </c>
      <c r="L49" s="32"/>
      <c r="M49" s="33" t="s">
        <v>65</v>
      </c>
      <c r="N49" s="33"/>
      <c r="O49" s="32">
        <v>30</v>
      </c>
      <c r="P49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36"/>
      <c r="R49" s="636"/>
      <c r="S49" s="636"/>
      <c r="T49" s="637"/>
      <c r="U49" s="34"/>
      <c r="V49" s="34"/>
      <c r="W49" s="35" t="s">
        <v>66</v>
      </c>
      <c r="X49" s="629">
        <v>0</v>
      </c>
      <c r="Y49" s="630">
        <f>IFERROR(IF(X49="",0,CEILING((X49/$H49),1)*$H49),"")</f>
        <v>0</v>
      </c>
      <c r="Z49" s="36" t="str">
        <f>IFERROR(IF(Y49=0,"",ROUNDUP(Y49/H49,0)*0.00726),"")</f>
        <v/>
      </c>
      <c r="AA49" s="56"/>
      <c r="AB49" s="57"/>
      <c r="AC49" s="97" t="s">
        <v>121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4301011382</v>
      </c>
      <c r="D50" s="633">
        <v>4607091385687</v>
      </c>
      <c r="E50" s="634"/>
      <c r="F50" s="628">
        <v>0.4</v>
      </c>
      <c r="G50" s="32">
        <v>10</v>
      </c>
      <c r="H50" s="628">
        <v>4</v>
      </c>
      <c r="I50" s="628">
        <v>4.1900000000000004</v>
      </c>
      <c r="J50" s="32">
        <v>132</v>
      </c>
      <c r="K50" s="32" t="s">
        <v>124</v>
      </c>
      <c r="L50" s="32"/>
      <c r="M50" s="33" t="s">
        <v>77</v>
      </c>
      <c r="N50" s="33"/>
      <c r="O50" s="32">
        <v>50</v>
      </c>
      <c r="P50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36"/>
      <c r="R50" s="636"/>
      <c r="S50" s="636"/>
      <c r="T50" s="637"/>
      <c r="U50" s="34"/>
      <c r="V50" s="34"/>
      <c r="W50" s="35" t="s">
        <v>66</v>
      </c>
      <c r="X50" s="629">
        <v>0</v>
      </c>
      <c r="Y50" s="630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t="27" customHeight="1" x14ac:dyDescent="0.25">
      <c r="A51" s="54" t="s">
        <v>125</v>
      </c>
      <c r="B51" s="54" t="s">
        <v>126</v>
      </c>
      <c r="C51" s="31">
        <v>4301011565</v>
      </c>
      <c r="D51" s="633">
        <v>4680115882539</v>
      </c>
      <c r="E51" s="634"/>
      <c r="F51" s="628">
        <v>0.37</v>
      </c>
      <c r="G51" s="32">
        <v>10</v>
      </c>
      <c r="H51" s="628">
        <v>3.7</v>
      </c>
      <c r="I51" s="628">
        <v>3.89</v>
      </c>
      <c r="J51" s="32">
        <v>132</v>
      </c>
      <c r="K51" s="32" t="s">
        <v>124</v>
      </c>
      <c r="L51" s="32"/>
      <c r="M51" s="33" t="s">
        <v>77</v>
      </c>
      <c r="N51" s="33"/>
      <c r="O51" s="32">
        <v>50</v>
      </c>
      <c r="P51" s="87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36"/>
      <c r="R51" s="636"/>
      <c r="S51" s="636"/>
      <c r="T51" s="637"/>
      <c r="U51" s="34"/>
      <c r="V51" s="34"/>
      <c r="W51" s="35" t="s">
        <v>66</v>
      </c>
      <c r="X51" s="629">
        <v>85</v>
      </c>
      <c r="Y51" s="630">
        <f>IFERROR(IF(X51="",0,CEILING((X51/$H51),1)*$H51),"")</f>
        <v>85.100000000000009</v>
      </c>
      <c r="Z51" s="36">
        <f>IFERROR(IF(Y51=0,"",ROUNDUP(Y51/H51,0)*0.00902),"")</f>
        <v>0.20746000000000001</v>
      </c>
      <c r="AA51" s="56"/>
      <c r="AB51" s="57"/>
      <c r="AC51" s="101" t="s">
        <v>117</v>
      </c>
      <c r="AG51" s="64"/>
      <c r="AJ51" s="68"/>
      <c r="AK51" s="68">
        <v>0</v>
      </c>
      <c r="BB51" s="102" t="s">
        <v>1</v>
      </c>
      <c r="BM51" s="64">
        <f>IFERROR(X51*I51/H51,"0")</f>
        <v>89.36486486486487</v>
      </c>
      <c r="BN51" s="64">
        <f>IFERROR(Y51*I51/H51,"0")</f>
        <v>89.470000000000013</v>
      </c>
      <c r="BO51" s="64">
        <f>IFERROR(1/J51*(X51/H51),"0")</f>
        <v>0.17403767403767403</v>
      </c>
      <c r="BP51" s="64">
        <f>IFERROR(1/J51*(Y51/H51),"0")</f>
        <v>0.17424242424242425</v>
      </c>
    </row>
    <row r="52" spans="1:68" x14ac:dyDescent="0.2">
      <c r="A52" s="642"/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4"/>
      <c r="P52" s="646" t="s">
        <v>71</v>
      </c>
      <c r="Q52" s="647"/>
      <c r="R52" s="647"/>
      <c r="S52" s="647"/>
      <c r="T52" s="647"/>
      <c r="U52" s="647"/>
      <c r="V52" s="648"/>
      <c r="W52" s="37" t="s">
        <v>72</v>
      </c>
      <c r="X52" s="631">
        <f>IFERROR(X48/H48,"0")+IFERROR(X49/H49,"0")+IFERROR(X50/H50,"0")+IFERROR(X51/H51,"0")</f>
        <v>53.065565565565564</v>
      </c>
      <c r="Y52" s="631">
        <f>IFERROR(Y48/H48,"0")+IFERROR(Y49/H49,"0")+IFERROR(Y50/H50,"0")+IFERROR(Y51/H51,"0")</f>
        <v>54</v>
      </c>
      <c r="Z52" s="631">
        <f>IFERROR(IF(Z48="",0,Z48),"0")+IFERROR(IF(Z49="",0,Z49),"0")+IFERROR(IF(Z50="",0,Z50),"0")+IFERROR(IF(Z51="",0,Z51),"0")</f>
        <v>0.79583999999999999</v>
      </c>
      <c r="AA52" s="632"/>
      <c r="AB52" s="632"/>
      <c r="AC52" s="632"/>
    </row>
    <row r="53" spans="1:68" x14ac:dyDescent="0.2">
      <c r="A53" s="643"/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4"/>
      <c r="P53" s="646" t="s">
        <v>71</v>
      </c>
      <c r="Q53" s="647"/>
      <c r="R53" s="647"/>
      <c r="S53" s="647"/>
      <c r="T53" s="647"/>
      <c r="U53" s="647"/>
      <c r="V53" s="648"/>
      <c r="W53" s="37" t="s">
        <v>66</v>
      </c>
      <c r="X53" s="631">
        <f>IFERROR(SUM(X48:X51),"0")</f>
        <v>410</v>
      </c>
      <c r="Y53" s="631">
        <f>IFERROR(SUM(Y48:Y51),"0")</f>
        <v>419.90000000000003</v>
      </c>
      <c r="Z53" s="37"/>
      <c r="AA53" s="632"/>
      <c r="AB53" s="632"/>
      <c r="AC53" s="632"/>
    </row>
    <row r="54" spans="1:68" ht="16.5" hidden="1" customHeight="1" x14ac:dyDescent="0.25">
      <c r="A54" s="650" t="s">
        <v>127</v>
      </c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  <c r="R54" s="643"/>
      <c r="S54" s="643"/>
      <c r="T54" s="643"/>
      <c r="U54" s="643"/>
      <c r="V54" s="643"/>
      <c r="W54" s="643"/>
      <c r="X54" s="643"/>
      <c r="Y54" s="643"/>
      <c r="Z54" s="643"/>
      <c r="AA54" s="624"/>
      <c r="AB54" s="624"/>
      <c r="AC54" s="624"/>
    </row>
    <row r="55" spans="1:68" ht="14.25" hidden="1" customHeight="1" x14ac:dyDescent="0.25">
      <c r="A55" s="652" t="s">
        <v>112</v>
      </c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  <c r="R55" s="643"/>
      <c r="S55" s="643"/>
      <c r="T55" s="643"/>
      <c r="U55" s="643"/>
      <c r="V55" s="643"/>
      <c r="W55" s="643"/>
      <c r="X55" s="643"/>
      <c r="Y55" s="643"/>
      <c r="Z55" s="643"/>
      <c r="AA55" s="625"/>
      <c r="AB55" s="625"/>
      <c r="AC55" s="625"/>
    </row>
    <row r="56" spans="1:68" ht="27" customHeight="1" x14ac:dyDescent="0.25">
      <c r="A56" s="54" t="s">
        <v>128</v>
      </c>
      <c r="B56" s="54" t="s">
        <v>129</v>
      </c>
      <c r="C56" s="31">
        <v>4301012161</v>
      </c>
      <c r="D56" s="633">
        <v>4680115885882</v>
      </c>
      <c r="E56" s="634"/>
      <c r="F56" s="628">
        <v>1.4</v>
      </c>
      <c r="G56" s="32">
        <v>8</v>
      </c>
      <c r="H56" s="628">
        <v>11.2</v>
      </c>
      <c r="I56" s="628">
        <v>11.61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70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6"/>
      <c r="R56" s="636"/>
      <c r="S56" s="636"/>
      <c r="T56" s="637"/>
      <c r="U56" s="34"/>
      <c r="V56" s="34"/>
      <c r="W56" s="35" t="s">
        <v>66</v>
      </c>
      <c r="X56" s="629">
        <v>32</v>
      </c>
      <c r="Y56" s="630">
        <f t="shared" ref="Y56:Y61" si="6">IFERROR(IF(X56="",0,CEILING((X56/$H56),1)*$H56),"")</f>
        <v>33.599999999999994</v>
      </c>
      <c r="Z56" s="36">
        <f>IFERROR(IF(Y56=0,"",ROUNDUP(Y56/H56,0)*0.01898),"")</f>
        <v>5.6940000000000004E-2</v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ref="BM56:BM61" si="7">IFERROR(X56*I56/H56,"0")</f>
        <v>33.171428571428571</v>
      </c>
      <c r="BN56" s="64">
        <f t="shared" ref="BN56:BN61" si="8">IFERROR(Y56*I56/H56,"0")</f>
        <v>34.829999999999991</v>
      </c>
      <c r="BO56" s="64">
        <f t="shared" ref="BO56:BO61" si="9">IFERROR(1/J56*(X56/H56),"0")</f>
        <v>4.4642857142857144E-2</v>
      </c>
      <c r="BP56" s="64">
        <f t="shared" ref="BP56:BP61" si="10">IFERROR(1/J56*(Y56/H56),"0")</f>
        <v>4.6874999999999993E-2</v>
      </c>
    </row>
    <row r="57" spans="1:68" ht="27" customHeight="1" x14ac:dyDescent="0.25">
      <c r="A57" s="54" t="s">
        <v>131</v>
      </c>
      <c r="B57" s="54" t="s">
        <v>132</v>
      </c>
      <c r="C57" s="31">
        <v>4301011816</v>
      </c>
      <c r="D57" s="633">
        <v>4680115881426</v>
      </c>
      <c r="E57" s="634"/>
      <c r="F57" s="628">
        <v>1.35</v>
      </c>
      <c r="G57" s="32">
        <v>8</v>
      </c>
      <c r="H57" s="628">
        <v>10.8</v>
      </c>
      <c r="I57" s="628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9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6"/>
      <c r="R57" s="636"/>
      <c r="S57" s="636"/>
      <c r="T57" s="637"/>
      <c r="U57" s="34"/>
      <c r="V57" s="34"/>
      <c r="W57" s="35" t="s">
        <v>66</v>
      </c>
      <c r="X57" s="629">
        <v>158</v>
      </c>
      <c r="Y57" s="630">
        <f t="shared" si="6"/>
        <v>162</v>
      </c>
      <c r="Z57" s="36">
        <f>IFERROR(IF(Y57=0,"",ROUNDUP(Y57/H57,0)*0.01898),"")</f>
        <v>0.28470000000000001</v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7"/>
        <v>163.99814814814815</v>
      </c>
      <c r="BN57" s="64">
        <f t="shared" si="8"/>
        <v>168.15</v>
      </c>
      <c r="BO57" s="64">
        <f t="shared" si="9"/>
        <v>0.22858796296296294</v>
      </c>
      <c r="BP57" s="64">
        <f t="shared" si="10"/>
        <v>0.23437499999999997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33">
        <v>4680115880283</v>
      </c>
      <c r="E58" s="634"/>
      <c r="F58" s="628">
        <v>0.6</v>
      </c>
      <c r="G58" s="32">
        <v>8</v>
      </c>
      <c r="H58" s="628">
        <v>4.8</v>
      </c>
      <c r="I58" s="628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98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36"/>
      <c r="R58" s="636"/>
      <c r="S58" s="636"/>
      <c r="T58" s="637"/>
      <c r="U58" s="34"/>
      <c r="V58" s="34"/>
      <c r="W58" s="35" t="s">
        <v>66</v>
      </c>
      <c r="X58" s="629">
        <v>0</v>
      </c>
      <c r="Y58" s="630">
        <f t="shared" si="6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7"/>
        <v>0</v>
      </c>
      <c r="BN58" s="64">
        <f t="shared" si="8"/>
        <v>0</v>
      </c>
      <c r="BO58" s="64">
        <f t="shared" si="9"/>
        <v>0</v>
      </c>
      <c r="BP58" s="64">
        <f t="shared" si="10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33">
        <v>4680115881525</v>
      </c>
      <c r="E59" s="634"/>
      <c r="F59" s="628">
        <v>0.4</v>
      </c>
      <c r="G59" s="32">
        <v>10</v>
      </c>
      <c r="H59" s="628">
        <v>4</v>
      </c>
      <c r="I59" s="628">
        <v>4.1900000000000004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50</v>
      </c>
      <c r="P59" s="89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36"/>
      <c r="R59" s="636"/>
      <c r="S59" s="636"/>
      <c r="T59" s="637"/>
      <c r="U59" s="34"/>
      <c r="V59" s="34"/>
      <c r="W59" s="35" t="s">
        <v>66</v>
      </c>
      <c r="X59" s="629">
        <v>20</v>
      </c>
      <c r="Y59" s="630">
        <f t="shared" si="6"/>
        <v>20</v>
      </c>
      <c r="Z59" s="36">
        <f>IFERROR(IF(Y59=0,"",ROUNDUP(Y59/H59,0)*0.00902),"")</f>
        <v>4.5100000000000001E-2</v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7"/>
        <v>20.950000000000003</v>
      </c>
      <c r="BN59" s="64">
        <f t="shared" si="8"/>
        <v>20.950000000000003</v>
      </c>
      <c r="BO59" s="64">
        <f t="shared" si="9"/>
        <v>3.787878787878788E-2</v>
      </c>
      <c r="BP59" s="64">
        <f t="shared" si="10"/>
        <v>3.787878787878788E-2</v>
      </c>
    </row>
    <row r="60" spans="1:68" ht="27" hidden="1" customHeight="1" x14ac:dyDescent="0.25">
      <c r="A60" s="54" t="s">
        <v>140</v>
      </c>
      <c r="B60" s="54" t="s">
        <v>141</v>
      </c>
      <c r="C60" s="31">
        <v>4301012165</v>
      </c>
      <c r="D60" s="633">
        <v>4680115885899</v>
      </c>
      <c r="E60" s="634"/>
      <c r="F60" s="628">
        <v>0.35</v>
      </c>
      <c r="G60" s="32">
        <v>6</v>
      </c>
      <c r="H60" s="628">
        <v>2.1</v>
      </c>
      <c r="I60" s="628">
        <v>2.2799999999999998</v>
      </c>
      <c r="J60" s="32">
        <v>182</v>
      </c>
      <c r="K60" s="32" t="s">
        <v>76</v>
      </c>
      <c r="L60" s="32"/>
      <c r="M60" s="33" t="s">
        <v>116</v>
      </c>
      <c r="N60" s="33"/>
      <c r="O60" s="32">
        <v>50</v>
      </c>
      <c r="P60" s="98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4"/>
      <c r="V60" s="34"/>
      <c r="W60" s="35" t="s">
        <v>66</v>
      </c>
      <c r="X60" s="629">
        <v>0</v>
      </c>
      <c r="Y60" s="630">
        <f t="shared" si="6"/>
        <v>0</v>
      </c>
      <c r="Z60" s="36" t="str">
        <f>IFERROR(IF(Y60=0,"",ROUNDUP(Y60/H60,0)*0.00651),"")</f>
        <v/>
      </c>
      <c r="AA60" s="56"/>
      <c r="AB60" s="57"/>
      <c r="AC60" s="111" t="s">
        <v>130</v>
      </c>
      <c r="AG60" s="64"/>
      <c r="AJ60" s="68"/>
      <c r="AK60" s="68">
        <v>0</v>
      </c>
      <c r="BB60" s="112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37.5" customHeight="1" x14ac:dyDescent="0.25">
      <c r="A61" s="54" t="s">
        <v>142</v>
      </c>
      <c r="B61" s="54" t="s">
        <v>143</v>
      </c>
      <c r="C61" s="31">
        <v>4301011801</v>
      </c>
      <c r="D61" s="633">
        <v>4680115881419</v>
      </c>
      <c r="E61" s="634"/>
      <c r="F61" s="628">
        <v>0.45</v>
      </c>
      <c r="G61" s="32">
        <v>10</v>
      </c>
      <c r="H61" s="628">
        <v>4.5</v>
      </c>
      <c r="I61" s="628">
        <v>4.6900000000000004</v>
      </c>
      <c r="J61" s="32">
        <v>132</v>
      </c>
      <c r="K61" s="32" t="s">
        <v>124</v>
      </c>
      <c r="L61" s="32"/>
      <c r="M61" s="33" t="s">
        <v>116</v>
      </c>
      <c r="N61" s="33"/>
      <c r="O61" s="32">
        <v>50</v>
      </c>
      <c r="P61" s="86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36"/>
      <c r="R61" s="636"/>
      <c r="S61" s="636"/>
      <c r="T61" s="637"/>
      <c r="U61" s="34"/>
      <c r="V61" s="34"/>
      <c r="W61" s="35" t="s">
        <v>66</v>
      </c>
      <c r="X61" s="629">
        <v>34</v>
      </c>
      <c r="Y61" s="630">
        <f t="shared" si="6"/>
        <v>36</v>
      </c>
      <c r="Z61" s="36">
        <f>IFERROR(IF(Y61=0,"",ROUNDUP(Y61/H61,0)*0.00902),"")</f>
        <v>7.2160000000000002E-2</v>
      </c>
      <c r="AA61" s="56"/>
      <c r="AB61" s="57"/>
      <c r="AC61" s="113" t="s">
        <v>144</v>
      </c>
      <c r="AG61" s="64"/>
      <c r="AJ61" s="68"/>
      <c r="AK61" s="68">
        <v>0</v>
      </c>
      <c r="BB61" s="114" t="s">
        <v>1</v>
      </c>
      <c r="BM61" s="64">
        <f t="shared" si="7"/>
        <v>35.43555555555556</v>
      </c>
      <c r="BN61" s="64">
        <f t="shared" si="8"/>
        <v>37.520000000000003</v>
      </c>
      <c r="BO61" s="64">
        <f t="shared" si="9"/>
        <v>5.7239057239057242E-2</v>
      </c>
      <c r="BP61" s="64">
        <f t="shared" si="10"/>
        <v>6.0606060606060608E-2</v>
      </c>
    </row>
    <row r="62" spans="1:68" x14ac:dyDescent="0.2">
      <c r="A62" s="642"/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4"/>
      <c r="P62" s="646" t="s">
        <v>71</v>
      </c>
      <c r="Q62" s="647"/>
      <c r="R62" s="647"/>
      <c r="S62" s="647"/>
      <c r="T62" s="647"/>
      <c r="U62" s="647"/>
      <c r="V62" s="648"/>
      <c r="W62" s="37" t="s">
        <v>72</v>
      </c>
      <c r="X62" s="631">
        <f>IFERROR(X56/H56,"0")+IFERROR(X57/H57,"0")+IFERROR(X58/H58,"0")+IFERROR(X59/H59,"0")+IFERROR(X60/H60,"0")+IFERROR(X61/H61,"0")</f>
        <v>30.042328042328037</v>
      </c>
      <c r="Y62" s="631">
        <f>IFERROR(Y56/H56,"0")+IFERROR(Y57/H57,"0")+IFERROR(Y58/H58,"0")+IFERROR(Y59/H59,"0")+IFERROR(Y60/H60,"0")+IFERROR(Y61/H61,"0")</f>
        <v>30.999999999999996</v>
      </c>
      <c r="Z62" s="631">
        <f>IFERROR(IF(Z56="",0,Z56),"0")+IFERROR(IF(Z57="",0,Z57),"0")+IFERROR(IF(Z58="",0,Z58),"0")+IFERROR(IF(Z59="",0,Z59),"0")+IFERROR(IF(Z60="",0,Z60),"0")+IFERROR(IF(Z61="",0,Z61),"0")</f>
        <v>0.45889999999999997</v>
      </c>
      <c r="AA62" s="632"/>
      <c r="AB62" s="632"/>
      <c r="AC62" s="632"/>
    </row>
    <row r="63" spans="1:68" x14ac:dyDescent="0.2">
      <c r="A63" s="643"/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4"/>
      <c r="P63" s="646" t="s">
        <v>71</v>
      </c>
      <c r="Q63" s="647"/>
      <c r="R63" s="647"/>
      <c r="S63" s="647"/>
      <c r="T63" s="647"/>
      <c r="U63" s="647"/>
      <c r="V63" s="648"/>
      <c r="W63" s="37" t="s">
        <v>66</v>
      </c>
      <c r="X63" s="631">
        <f>IFERROR(SUM(X56:X61),"0")</f>
        <v>244</v>
      </c>
      <c r="Y63" s="631">
        <f>IFERROR(SUM(Y56:Y61),"0")</f>
        <v>251.6</v>
      </c>
      <c r="Z63" s="37"/>
      <c r="AA63" s="632"/>
      <c r="AB63" s="632"/>
      <c r="AC63" s="632"/>
    </row>
    <row r="64" spans="1:68" ht="14.25" hidden="1" customHeight="1" x14ac:dyDescent="0.25">
      <c r="A64" s="652" t="s">
        <v>145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V64" s="643"/>
      <c r="W64" s="643"/>
      <c r="X64" s="643"/>
      <c r="Y64" s="643"/>
      <c r="Z64" s="643"/>
      <c r="AA64" s="625"/>
      <c r="AB64" s="625"/>
      <c r="AC64" s="625"/>
    </row>
    <row r="65" spans="1:68" ht="16.5" customHeight="1" x14ac:dyDescent="0.25">
      <c r="A65" s="54" t="s">
        <v>146</v>
      </c>
      <c r="B65" s="54" t="s">
        <v>147</v>
      </c>
      <c r="C65" s="31">
        <v>4301020298</v>
      </c>
      <c r="D65" s="633">
        <v>4680115881440</v>
      </c>
      <c r="E65" s="634"/>
      <c r="F65" s="628">
        <v>1.35</v>
      </c>
      <c r="G65" s="32">
        <v>8</v>
      </c>
      <c r="H65" s="628">
        <v>10.8</v>
      </c>
      <c r="I65" s="628">
        <v>11.21</v>
      </c>
      <c r="J65" s="32">
        <v>64</v>
      </c>
      <c r="K65" s="32" t="s">
        <v>115</v>
      </c>
      <c r="L65" s="32"/>
      <c r="M65" s="33" t="s">
        <v>116</v>
      </c>
      <c r="N65" s="33"/>
      <c r="O65" s="32">
        <v>50</v>
      </c>
      <c r="P65" s="97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36"/>
      <c r="R65" s="636"/>
      <c r="S65" s="636"/>
      <c r="T65" s="637"/>
      <c r="U65" s="34"/>
      <c r="V65" s="34"/>
      <c r="W65" s="35" t="s">
        <v>66</v>
      </c>
      <c r="X65" s="629">
        <v>76</v>
      </c>
      <c r="Y65" s="630">
        <f>IFERROR(IF(X65="",0,CEILING((X65/$H65),1)*$H65),"")</f>
        <v>86.4</v>
      </c>
      <c r="Z65" s="36">
        <f>IFERROR(IF(Y65=0,"",ROUNDUP(Y65/H65,0)*0.01898),"")</f>
        <v>0.15184</v>
      </c>
      <c r="AA65" s="56"/>
      <c r="AB65" s="57"/>
      <c r="AC65" s="115" t="s">
        <v>148</v>
      </c>
      <c r="AG65" s="64"/>
      <c r="AJ65" s="68"/>
      <c r="AK65" s="68">
        <v>0</v>
      </c>
      <c r="BB65" s="116" t="s">
        <v>1</v>
      </c>
      <c r="BM65" s="64">
        <f>IFERROR(X65*I65/H65,"0")</f>
        <v>78.885185185185179</v>
      </c>
      <c r="BN65" s="64">
        <f>IFERROR(Y65*I65/H65,"0")</f>
        <v>89.68</v>
      </c>
      <c r="BO65" s="64">
        <f>IFERROR(1/J65*(X65/H65),"0")</f>
        <v>0.10995370370370369</v>
      </c>
      <c r="BP65" s="64">
        <f>IFERROR(1/J65*(Y65/H65),"0")</f>
        <v>0.125</v>
      </c>
    </row>
    <row r="66" spans="1:68" ht="16.5" hidden="1" customHeight="1" x14ac:dyDescent="0.25">
      <c r="A66" s="54" t="s">
        <v>149</v>
      </c>
      <c r="B66" s="54" t="s">
        <v>150</v>
      </c>
      <c r="C66" s="31">
        <v>4301020358</v>
      </c>
      <c r="D66" s="633">
        <v>4680115885950</v>
      </c>
      <c r="E66" s="634"/>
      <c r="F66" s="628">
        <v>0.37</v>
      </c>
      <c r="G66" s="32">
        <v>6</v>
      </c>
      <c r="H66" s="628">
        <v>2.2200000000000002</v>
      </c>
      <c r="I66" s="628">
        <v>2.4</v>
      </c>
      <c r="J66" s="32">
        <v>182</v>
      </c>
      <c r="K66" s="32" t="s">
        <v>76</v>
      </c>
      <c r="L66" s="32"/>
      <c r="M66" s="33" t="s">
        <v>77</v>
      </c>
      <c r="N66" s="33"/>
      <c r="O66" s="32">
        <v>50</v>
      </c>
      <c r="P66" s="77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4"/>
      <c r="V66" s="34"/>
      <c r="W66" s="35" t="s">
        <v>66</v>
      </c>
      <c r="X66" s="629">
        <v>0</v>
      </c>
      <c r="Y66" s="63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148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4301020371</v>
      </c>
      <c r="D67" s="633">
        <v>4680115887688</v>
      </c>
      <c r="E67" s="634"/>
      <c r="F67" s="628">
        <v>0.1</v>
      </c>
      <c r="G67" s="32">
        <v>10</v>
      </c>
      <c r="H67" s="628">
        <v>1</v>
      </c>
      <c r="I67" s="628">
        <v>1.21</v>
      </c>
      <c r="J67" s="32">
        <v>192</v>
      </c>
      <c r="K67" s="32" t="s">
        <v>120</v>
      </c>
      <c r="L67" s="32"/>
      <c r="M67" s="33" t="s">
        <v>65</v>
      </c>
      <c r="N67" s="33"/>
      <c r="O67" s="32">
        <v>30</v>
      </c>
      <c r="P67" s="95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4"/>
      <c r="V67" s="34"/>
      <c r="W67" s="35" t="s">
        <v>66</v>
      </c>
      <c r="X67" s="629">
        <v>0</v>
      </c>
      <c r="Y67" s="63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153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154</v>
      </c>
      <c r="B68" s="54" t="s">
        <v>155</v>
      </c>
      <c r="C68" s="31">
        <v>4301020296</v>
      </c>
      <c r="D68" s="633">
        <v>4680115881433</v>
      </c>
      <c r="E68" s="634"/>
      <c r="F68" s="628">
        <v>0.45</v>
      </c>
      <c r="G68" s="32">
        <v>6</v>
      </c>
      <c r="H68" s="628">
        <v>2.7</v>
      </c>
      <c r="I68" s="628">
        <v>2.88</v>
      </c>
      <c r="J68" s="32">
        <v>182</v>
      </c>
      <c r="K68" s="32" t="s">
        <v>76</v>
      </c>
      <c r="L68" s="32"/>
      <c r="M68" s="33" t="s">
        <v>116</v>
      </c>
      <c r="N68" s="33"/>
      <c r="O68" s="32">
        <v>50</v>
      </c>
      <c r="P68" s="7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36"/>
      <c r="R68" s="636"/>
      <c r="S68" s="636"/>
      <c r="T68" s="637"/>
      <c r="U68" s="34"/>
      <c r="V68" s="34"/>
      <c r="W68" s="35" t="s">
        <v>66</v>
      </c>
      <c r="X68" s="629">
        <v>0</v>
      </c>
      <c r="Y68" s="63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148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42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6" t="s">
        <v>71</v>
      </c>
      <c r="Q69" s="647"/>
      <c r="R69" s="647"/>
      <c r="S69" s="647"/>
      <c r="T69" s="647"/>
      <c r="U69" s="647"/>
      <c r="V69" s="648"/>
      <c r="W69" s="37" t="s">
        <v>72</v>
      </c>
      <c r="X69" s="631">
        <f>IFERROR(X65/H65,"0")+IFERROR(X66/H66,"0")+IFERROR(X67/H67,"0")+IFERROR(X68/H68,"0")</f>
        <v>7.0370370370370363</v>
      </c>
      <c r="Y69" s="631">
        <f>IFERROR(Y65/H65,"0")+IFERROR(Y66/H66,"0")+IFERROR(Y67/H67,"0")+IFERROR(Y68/H68,"0")</f>
        <v>8</v>
      </c>
      <c r="Z69" s="631">
        <f>IFERROR(IF(Z65="",0,Z65),"0")+IFERROR(IF(Z66="",0,Z66),"0")+IFERROR(IF(Z67="",0,Z67),"0")+IFERROR(IF(Z68="",0,Z68),"0")</f>
        <v>0.15184</v>
      </c>
      <c r="AA69" s="632"/>
      <c r="AB69" s="632"/>
      <c r="AC69" s="632"/>
    </row>
    <row r="70" spans="1:68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6" t="s">
        <v>71</v>
      </c>
      <c r="Q70" s="647"/>
      <c r="R70" s="647"/>
      <c r="S70" s="647"/>
      <c r="T70" s="647"/>
      <c r="U70" s="647"/>
      <c r="V70" s="648"/>
      <c r="W70" s="37" t="s">
        <v>66</v>
      </c>
      <c r="X70" s="631">
        <f>IFERROR(SUM(X65:X68),"0")</f>
        <v>76</v>
      </c>
      <c r="Y70" s="631">
        <f>IFERROR(SUM(Y65:Y68),"0")</f>
        <v>86.4</v>
      </c>
      <c r="Z70" s="37"/>
      <c r="AA70" s="632"/>
      <c r="AB70" s="632"/>
      <c r="AC70" s="632"/>
    </row>
    <row r="71" spans="1:68" ht="14.25" hidden="1" customHeight="1" x14ac:dyDescent="0.25">
      <c r="A71" s="652" t="s">
        <v>73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V71" s="643"/>
      <c r="W71" s="643"/>
      <c r="X71" s="643"/>
      <c r="Y71" s="643"/>
      <c r="Z71" s="643"/>
      <c r="AA71" s="625"/>
      <c r="AB71" s="625"/>
      <c r="AC71" s="625"/>
    </row>
    <row r="72" spans="1:68" ht="16.5" hidden="1" customHeight="1" x14ac:dyDescent="0.25">
      <c r="A72" s="54" t="s">
        <v>156</v>
      </c>
      <c r="B72" s="54" t="s">
        <v>157</v>
      </c>
      <c r="C72" s="31">
        <v>4301051837</v>
      </c>
      <c r="D72" s="633">
        <v>4680115884311</v>
      </c>
      <c r="E72" s="634"/>
      <c r="F72" s="628">
        <v>0.3</v>
      </c>
      <c r="G72" s="32">
        <v>6</v>
      </c>
      <c r="H72" s="628">
        <v>1.8</v>
      </c>
      <c r="I72" s="628">
        <v>2.0459999999999998</v>
      </c>
      <c r="J72" s="32">
        <v>182</v>
      </c>
      <c r="K72" s="32" t="s">
        <v>76</v>
      </c>
      <c r="L72" s="32"/>
      <c r="M72" s="33" t="s">
        <v>77</v>
      </c>
      <c r="N72" s="33"/>
      <c r="O72" s="32">
        <v>40</v>
      </c>
      <c r="P72" s="10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4"/>
      <c r="V72" s="34"/>
      <c r="W72" s="35" t="s">
        <v>66</v>
      </c>
      <c r="X72" s="629">
        <v>0</v>
      </c>
      <c r="Y72" s="63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158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159</v>
      </c>
      <c r="B73" s="54" t="s">
        <v>160</v>
      </c>
      <c r="C73" s="31">
        <v>4301051929</v>
      </c>
      <c r="D73" s="633">
        <v>4680115884403</v>
      </c>
      <c r="E73" s="634"/>
      <c r="F73" s="628">
        <v>0.3</v>
      </c>
      <c r="G73" s="32">
        <v>6</v>
      </c>
      <c r="H73" s="628">
        <v>1.8</v>
      </c>
      <c r="I73" s="628">
        <v>1.98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6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36"/>
      <c r="R73" s="636"/>
      <c r="S73" s="636"/>
      <c r="T73" s="637"/>
      <c r="U73" s="34"/>
      <c r="V73" s="34"/>
      <c r="W73" s="35" t="s">
        <v>66</v>
      </c>
      <c r="X73" s="629">
        <v>0</v>
      </c>
      <c r="Y73" s="63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161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2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6" t="s">
        <v>71</v>
      </c>
      <c r="Q74" s="647"/>
      <c r="R74" s="647"/>
      <c r="S74" s="647"/>
      <c r="T74" s="647"/>
      <c r="U74" s="647"/>
      <c r="V74" s="648"/>
      <c r="W74" s="37" t="s">
        <v>72</v>
      </c>
      <c r="X74" s="631">
        <f>IFERROR(X72/H72,"0")+IFERROR(X73/H73,"0")</f>
        <v>0</v>
      </c>
      <c r="Y74" s="631">
        <f>IFERROR(Y72/H72,"0")+IFERROR(Y73/H73,"0")</f>
        <v>0</v>
      </c>
      <c r="Z74" s="631">
        <f>IFERROR(IF(Z72="",0,Z72),"0")+IFERROR(IF(Z73="",0,Z73),"0")</f>
        <v>0</v>
      </c>
      <c r="AA74" s="632"/>
      <c r="AB74" s="632"/>
      <c r="AC74" s="632"/>
    </row>
    <row r="75" spans="1:68" hidden="1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6" t="s">
        <v>71</v>
      </c>
      <c r="Q75" s="647"/>
      <c r="R75" s="647"/>
      <c r="S75" s="647"/>
      <c r="T75" s="647"/>
      <c r="U75" s="647"/>
      <c r="V75" s="648"/>
      <c r="W75" s="37" t="s">
        <v>66</v>
      </c>
      <c r="X75" s="631">
        <f>IFERROR(SUM(X72:X73),"0")</f>
        <v>0</v>
      </c>
      <c r="Y75" s="631">
        <f>IFERROR(SUM(Y72:Y73),"0")</f>
        <v>0</v>
      </c>
      <c r="Z75" s="37"/>
      <c r="AA75" s="632"/>
      <c r="AB75" s="632"/>
      <c r="AC75" s="632"/>
    </row>
    <row r="76" spans="1:68" ht="14.25" hidden="1" customHeight="1" x14ac:dyDescent="0.25">
      <c r="A76" s="652" t="s">
        <v>162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5"/>
      <c r="AB76" s="625"/>
      <c r="AC76" s="625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33">
        <v>4680115881532</v>
      </c>
      <c r="E77" s="634"/>
      <c r="F77" s="628">
        <v>1.3</v>
      </c>
      <c r="G77" s="32">
        <v>6</v>
      </c>
      <c r="H77" s="628">
        <v>7.8</v>
      </c>
      <c r="I77" s="628">
        <v>8.2100000000000009</v>
      </c>
      <c r="J77" s="32">
        <v>64</v>
      </c>
      <c r="K77" s="32" t="s">
        <v>115</v>
      </c>
      <c r="L77" s="32"/>
      <c r="M77" s="33" t="s">
        <v>83</v>
      </c>
      <c r="N77" s="33"/>
      <c r="O77" s="32">
        <v>30</v>
      </c>
      <c r="P77" s="84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4"/>
      <c r="V77" s="34"/>
      <c r="W77" s="35" t="s">
        <v>66</v>
      </c>
      <c r="X77" s="629">
        <v>477</v>
      </c>
      <c r="Y77" s="630">
        <f>IFERROR(IF(X77="",0,CEILING((X77/$H77),1)*$H77),"")</f>
        <v>483.59999999999997</v>
      </c>
      <c r="Z77" s="36">
        <f>IFERROR(IF(Y77=0,"",ROUNDUP(Y77/H77,0)*0.01898),"")</f>
        <v>1.17676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502.073076923077</v>
      </c>
      <c r="BN77" s="64">
        <f>IFERROR(Y77*I77/H77,"0")</f>
        <v>509.02000000000004</v>
      </c>
      <c r="BO77" s="64">
        <f>IFERROR(1/J77*(X77/H77),"0")</f>
        <v>0.95552884615384615</v>
      </c>
      <c r="BP77" s="64">
        <f>IFERROR(1/J77*(Y77/H77),"0")</f>
        <v>0.96875</v>
      </c>
    </row>
    <row r="78" spans="1:68" ht="27" hidden="1" customHeight="1" x14ac:dyDescent="0.25">
      <c r="A78" s="54" t="s">
        <v>166</v>
      </c>
      <c r="B78" s="54" t="s">
        <v>167</v>
      </c>
      <c r="C78" s="31">
        <v>4301060351</v>
      </c>
      <c r="D78" s="633">
        <v>4680115881464</v>
      </c>
      <c r="E78" s="634"/>
      <c r="F78" s="628">
        <v>0.4</v>
      </c>
      <c r="G78" s="32">
        <v>6</v>
      </c>
      <c r="H78" s="628">
        <v>2.4</v>
      </c>
      <c r="I78" s="628">
        <v>2.59</v>
      </c>
      <c r="J78" s="32">
        <v>132</v>
      </c>
      <c r="K78" s="32" t="s">
        <v>124</v>
      </c>
      <c r="L78" s="32"/>
      <c r="M78" s="33" t="s">
        <v>77</v>
      </c>
      <c r="N78" s="33"/>
      <c r="O78" s="32">
        <v>30</v>
      </c>
      <c r="P78" s="76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36"/>
      <c r="R78" s="636"/>
      <c r="S78" s="636"/>
      <c r="T78" s="637"/>
      <c r="U78" s="34"/>
      <c r="V78" s="34"/>
      <c r="W78" s="35" t="s">
        <v>66</v>
      </c>
      <c r="X78" s="629">
        <v>0</v>
      </c>
      <c r="Y78" s="630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42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6" t="s">
        <v>71</v>
      </c>
      <c r="Q79" s="647"/>
      <c r="R79" s="647"/>
      <c r="S79" s="647"/>
      <c r="T79" s="647"/>
      <c r="U79" s="647"/>
      <c r="V79" s="648"/>
      <c r="W79" s="37" t="s">
        <v>72</v>
      </c>
      <c r="X79" s="631">
        <f>IFERROR(X77/H77,"0")+IFERROR(X78/H78,"0")</f>
        <v>61.153846153846153</v>
      </c>
      <c r="Y79" s="631">
        <f>IFERROR(Y77/H77,"0")+IFERROR(Y78/H78,"0")</f>
        <v>62</v>
      </c>
      <c r="Z79" s="631">
        <f>IFERROR(IF(Z77="",0,Z77),"0")+IFERROR(IF(Z78="",0,Z78),"0")</f>
        <v>1.17676</v>
      </c>
      <c r="AA79" s="632"/>
      <c r="AB79" s="632"/>
      <c r="AC79" s="632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6" t="s">
        <v>71</v>
      </c>
      <c r="Q80" s="647"/>
      <c r="R80" s="647"/>
      <c r="S80" s="647"/>
      <c r="T80" s="647"/>
      <c r="U80" s="647"/>
      <c r="V80" s="648"/>
      <c r="W80" s="37" t="s">
        <v>66</v>
      </c>
      <c r="X80" s="631">
        <f>IFERROR(SUM(X77:X78),"0")</f>
        <v>477</v>
      </c>
      <c r="Y80" s="631">
        <f>IFERROR(SUM(Y77:Y78),"0")</f>
        <v>483.59999999999997</v>
      </c>
      <c r="Z80" s="37"/>
      <c r="AA80" s="632"/>
      <c r="AB80" s="632"/>
      <c r="AC80" s="632"/>
    </row>
    <row r="81" spans="1:68" ht="16.5" hidden="1" customHeight="1" x14ac:dyDescent="0.25">
      <c r="A81" s="650" t="s">
        <v>169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4"/>
      <c r="AB81" s="624"/>
      <c r="AC81" s="624"/>
    </row>
    <row r="82" spans="1:68" ht="14.25" hidden="1" customHeight="1" x14ac:dyDescent="0.25">
      <c r="A82" s="652" t="s">
        <v>112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25"/>
      <c r="AB82" s="625"/>
      <c r="AC82" s="625"/>
    </row>
    <row r="83" spans="1:68" ht="27" customHeight="1" x14ac:dyDescent="0.25">
      <c r="A83" s="54" t="s">
        <v>170</v>
      </c>
      <c r="B83" s="54" t="s">
        <v>171</v>
      </c>
      <c r="C83" s="31">
        <v>4301011468</v>
      </c>
      <c r="D83" s="633">
        <v>4680115881327</v>
      </c>
      <c r="E83" s="634"/>
      <c r="F83" s="628">
        <v>1.35</v>
      </c>
      <c r="G83" s="32">
        <v>8</v>
      </c>
      <c r="H83" s="628">
        <v>10.8</v>
      </c>
      <c r="I83" s="628">
        <v>11.21</v>
      </c>
      <c r="J83" s="32">
        <v>64</v>
      </c>
      <c r="K83" s="32" t="s">
        <v>115</v>
      </c>
      <c r="L83" s="32"/>
      <c r="M83" s="33" t="s">
        <v>83</v>
      </c>
      <c r="N83" s="33"/>
      <c r="O83" s="32">
        <v>50</v>
      </c>
      <c r="P83" s="97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36"/>
      <c r="R83" s="636"/>
      <c r="S83" s="636"/>
      <c r="T83" s="637"/>
      <c r="U83" s="34"/>
      <c r="V83" s="34"/>
      <c r="W83" s="35" t="s">
        <v>66</v>
      </c>
      <c r="X83" s="629">
        <v>183</v>
      </c>
      <c r="Y83" s="630">
        <f>IFERROR(IF(X83="",0,CEILING((X83/$H83),1)*$H83),"")</f>
        <v>183.60000000000002</v>
      </c>
      <c r="Z83" s="36">
        <f>IFERROR(IF(Y83=0,"",ROUNDUP(Y83/H83,0)*0.01898),"")</f>
        <v>0.32266</v>
      </c>
      <c r="AA83" s="56"/>
      <c r="AB83" s="57"/>
      <c r="AC83" s="131" t="s">
        <v>172</v>
      </c>
      <c r="AG83" s="64"/>
      <c r="AJ83" s="68"/>
      <c r="AK83" s="68">
        <v>0</v>
      </c>
      <c r="BB83" s="132" t="s">
        <v>1</v>
      </c>
      <c r="BM83" s="64">
        <f>IFERROR(X83*I83/H83,"0")</f>
        <v>189.94722222222222</v>
      </c>
      <c r="BN83" s="64">
        <f>IFERROR(Y83*I83/H83,"0")</f>
        <v>190.57000000000002</v>
      </c>
      <c r="BO83" s="64">
        <f>IFERROR(1/J83*(X83/H83),"0")</f>
        <v>0.26475694444444442</v>
      </c>
      <c r="BP83" s="64">
        <f>IFERROR(1/J83*(Y83/H83),"0")</f>
        <v>0.265625</v>
      </c>
    </row>
    <row r="84" spans="1:68" ht="27" hidden="1" customHeight="1" x14ac:dyDescent="0.25">
      <c r="A84" s="54" t="s">
        <v>173</v>
      </c>
      <c r="B84" s="54" t="s">
        <v>174</v>
      </c>
      <c r="C84" s="31">
        <v>4301011261</v>
      </c>
      <c r="D84" s="633">
        <v>4680115887732</v>
      </c>
      <c r="E84" s="634"/>
      <c r="F84" s="628">
        <v>0.17</v>
      </c>
      <c r="G84" s="32">
        <v>10</v>
      </c>
      <c r="H84" s="628">
        <v>1.7</v>
      </c>
      <c r="I84" s="628">
        <v>1.8</v>
      </c>
      <c r="J84" s="32">
        <v>192</v>
      </c>
      <c r="K84" s="32" t="s">
        <v>120</v>
      </c>
      <c r="L84" s="32"/>
      <c r="M84" s="33" t="s">
        <v>65</v>
      </c>
      <c r="N84" s="33"/>
      <c r="O84" s="32">
        <v>30</v>
      </c>
      <c r="P84" s="89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36"/>
      <c r="R84" s="636"/>
      <c r="S84" s="636"/>
      <c r="T84" s="637"/>
      <c r="U84" s="34"/>
      <c r="V84" s="34"/>
      <c r="W84" s="35" t="s">
        <v>66</v>
      </c>
      <c r="X84" s="629">
        <v>0</v>
      </c>
      <c r="Y84" s="630">
        <f>IFERROR(IF(X84="",0,CEILING((X84/$H84),1)*$H84),"")</f>
        <v>0</v>
      </c>
      <c r="Z84" s="36" t="str">
        <f>IFERROR(IF(Y84=0,"",ROUNDUP(Y84/H84,0)*0.00726),"")</f>
        <v/>
      </c>
      <c r="AA84" s="56"/>
      <c r="AB84" s="57"/>
      <c r="AC84" s="133" t="s">
        <v>175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176</v>
      </c>
      <c r="B85" s="54" t="s">
        <v>177</v>
      </c>
      <c r="C85" s="31">
        <v>4301011476</v>
      </c>
      <c r="D85" s="633">
        <v>4680115881518</v>
      </c>
      <c r="E85" s="634"/>
      <c r="F85" s="628">
        <v>0.4</v>
      </c>
      <c r="G85" s="32">
        <v>10</v>
      </c>
      <c r="H85" s="628">
        <v>4</v>
      </c>
      <c r="I85" s="628">
        <v>4.1900000000000004</v>
      </c>
      <c r="J85" s="32">
        <v>132</v>
      </c>
      <c r="K85" s="32" t="s">
        <v>124</v>
      </c>
      <c r="L85" s="32"/>
      <c r="M85" s="33" t="s">
        <v>77</v>
      </c>
      <c r="N85" s="33"/>
      <c r="O85" s="32">
        <v>50</v>
      </c>
      <c r="P85" s="98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36"/>
      <c r="R85" s="636"/>
      <c r="S85" s="636"/>
      <c r="T85" s="637"/>
      <c r="U85" s="34"/>
      <c r="V85" s="34"/>
      <c r="W85" s="35" t="s">
        <v>66</v>
      </c>
      <c r="X85" s="629">
        <v>0</v>
      </c>
      <c r="Y85" s="630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4301011443</v>
      </c>
      <c r="D86" s="633">
        <v>4680115881303</v>
      </c>
      <c r="E86" s="634"/>
      <c r="F86" s="628">
        <v>0.45</v>
      </c>
      <c r="G86" s="32">
        <v>10</v>
      </c>
      <c r="H86" s="628">
        <v>4.5</v>
      </c>
      <c r="I86" s="628">
        <v>4.6900000000000004</v>
      </c>
      <c r="J86" s="32">
        <v>132</v>
      </c>
      <c r="K86" s="32" t="s">
        <v>124</v>
      </c>
      <c r="L86" s="32"/>
      <c r="M86" s="33" t="s">
        <v>83</v>
      </c>
      <c r="N86" s="33"/>
      <c r="O86" s="32">
        <v>50</v>
      </c>
      <c r="P86" s="6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36"/>
      <c r="R86" s="636"/>
      <c r="S86" s="636"/>
      <c r="T86" s="637"/>
      <c r="U86" s="34"/>
      <c r="V86" s="34"/>
      <c r="W86" s="35" t="s">
        <v>66</v>
      </c>
      <c r="X86" s="629">
        <v>96</v>
      </c>
      <c r="Y86" s="630">
        <f>IFERROR(IF(X86="",0,CEILING((X86/$H86),1)*$H86),"")</f>
        <v>99</v>
      </c>
      <c r="Z86" s="36">
        <f>IFERROR(IF(Y86=0,"",ROUNDUP(Y86/H86,0)*0.00902),"")</f>
        <v>0.19844000000000001</v>
      </c>
      <c r="AA86" s="56"/>
      <c r="AB86" s="57"/>
      <c r="AC86" s="137" t="s">
        <v>172</v>
      </c>
      <c r="AG86" s="64"/>
      <c r="AJ86" s="68"/>
      <c r="AK86" s="68">
        <v>0</v>
      </c>
      <c r="BB86" s="138" t="s">
        <v>1</v>
      </c>
      <c r="BM86" s="64">
        <f>IFERROR(X86*I86/H86,"0")</f>
        <v>100.05333333333334</v>
      </c>
      <c r="BN86" s="64">
        <f>IFERROR(Y86*I86/H86,"0")</f>
        <v>103.18</v>
      </c>
      <c r="BO86" s="64">
        <f>IFERROR(1/J86*(X86/H86),"0")</f>
        <v>0.1616161616161616</v>
      </c>
      <c r="BP86" s="64">
        <f>IFERROR(1/J86*(Y86/H86),"0")</f>
        <v>0.16666666666666669</v>
      </c>
    </row>
    <row r="87" spans="1:68" x14ac:dyDescent="0.2">
      <c r="A87" s="642"/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4"/>
      <c r="P87" s="646" t="s">
        <v>71</v>
      </c>
      <c r="Q87" s="647"/>
      <c r="R87" s="647"/>
      <c r="S87" s="647"/>
      <c r="T87" s="647"/>
      <c r="U87" s="647"/>
      <c r="V87" s="648"/>
      <c r="W87" s="37" t="s">
        <v>72</v>
      </c>
      <c r="X87" s="631">
        <f>IFERROR(X83/H83,"0")+IFERROR(X84/H84,"0")+IFERROR(X85/H85,"0")+IFERROR(X86/H86,"0")</f>
        <v>38.277777777777771</v>
      </c>
      <c r="Y87" s="631">
        <f>IFERROR(Y83/H83,"0")+IFERROR(Y84/H84,"0")+IFERROR(Y85/H85,"0")+IFERROR(Y86/H86,"0")</f>
        <v>39</v>
      </c>
      <c r="Z87" s="631">
        <f>IFERROR(IF(Z83="",0,Z83),"0")+IFERROR(IF(Z84="",0,Z84),"0")+IFERROR(IF(Z85="",0,Z85),"0")+IFERROR(IF(Z86="",0,Z86),"0")</f>
        <v>0.52110000000000001</v>
      </c>
      <c r="AA87" s="632"/>
      <c r="AB87" s="632"/>
      <c r="AC87" s="632"/>
    </row>
    <row r="88" spans="1:68" x14ac:dyDescent="0.2">
      <c r="A88" s="643"/>
      <c r="B88" s="643"/>
      <c r="C88" s="643"/>
      <c r="D88" s="643"/>
      <c r="E88" s="643"/>
      <c r="F88" s="643"/>
      <c r="G88" s="643"/>
      <c r="H88" s="643"/>
      <c r="I88" s="643"/>
      <c r="J88" s="643"/>
      <c r="K88" s="643"/>
      <c r="L88" s="643"/>
      <c r="M88" s="643"/>
      <c r="N88" s="643"/>
      <c r="O88" s="644"/>
      <c r="P88" s="646" t="s">
        <v>71</v>
      </c>
      <c r="Q88" s="647"/>
      <c r="R88" s="647"/>
      <c r="S88" s="647"/>
      <c r="T88" s="647"/>
      <c r="U88" s="647"/>
      <c r="V88" s="648"/>
      <c r="W88" s="37" t="s">
        <v>66</v>
      </c>
      <c r="X88" s="631">
        <f>IFERROR(SUM(X83:X86),"0")</f>
        <v>279</v>
      </c>
      <c r="Y88" s="631">
        <f>IFERROR(SUM(Y83:Y86),"0")</f>
        <v>282.60000000000002</v>
      </c>
      <c r="Z88" s="37"/>
      <c r="AA88" s="632"/>
      <c r="AB88" s="632"/>
      <c r="AC88" s="632"/>
    </row>
    <row r="89" spans="1:68" ht="14.25" hidden="1" customHeight="1" x14ac:dyDescent="0.25">
      <c r="A89" s="652" t="s">
        <v>73</v>
      </c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643"/>
      <c r="Z89" s="643"/>
      <c r="AA89" s="625"/>
      <c r="AB89" s="625"/>
      <c r="AC89" s="625"/>
    </row>
    <row r="90" spans="1:68" ht="27" customHeight="1" x14ac:dyDescent="0.25">
      <c r="A90" s="54" t="s">
        <v>180</v>
      </c>
      <c r="B90" s="54" t="s">
        <v>181</v>
      </c>
      <c r="C90" s="31">
        <v>4301051712</v>
      </c>
      <c r="D90" s="633">
        <v>4607091386967</v>
      </c>
      <c r="E90" s="634"/>
      <c r="F90" s="628">
        <v>1.35</v>
      </c>
      <c r="G90" s="32">
        <v>6</v>
      </c>
      <c r="H90" s="628">
        <v>8.1</v>
      </c>
      <c r="I90" s="628">
        <v>8.5939999999999994</v>
      </c>
      <c r="J90" s="32">
        <v>64</v>
      </c>
      <c r="K90" s="32" t="s">
        <v>115</v>
      </c>
      <c r="L90" s="32"/>
      <c r="M90" s="33" t="s">
        <v>83</v>
      </c>
      <c r="N90" s="33"/>
      <c r="O90" s="32">
        <v>45</v>
      </c>
      <c r="P90" s="8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36"/>
      <c r="R90" s="636"/>
      <c r="S90" s="636"/>
      <c r="T90" s="637"/>
      <c r="U90" s="34"/>
      <c r="V90" s="34"/>
      <c r="W90" s="35" t="s">
        <v>66</v>
      </c>
      <c r="X90" s="629">
        <v>415</v>
      </c>
      <c r="Y90" s="630">
        <f>IFERROR(IF(X90="",0,CEILING((X90/$H90),1)*$H90),"")</f>
        <v>421.2</v>
      </c>
      <c r="Z90" s="36">
        <f>IFERROR(IF(Y90=0,"",ROUNDUP(Y90/H90,0)*0.01898),"")</f>
        <v>0.98696000000000006</v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440.30987654320984</v>
      </c>
      <c r="BN90" s="64">
        <f>IFERROR(Y90*I90/H90,"0")</f>
        <v>446.88799999999998</v>
      </c>
      <c r="BO90" s="64">
        <f>IFERROR(1/J90*(X90/H90),"0")</f>
        <v>0.80054012345679015</v>
      </c>
      <c r="BP90" s="64">
        <f>IFERROR(1/J90*(Y90/H90),"0")</f>
        <v>0.8125</v>
      </c>
    </row>
    <row r="91" spans="1:68" ht="27" hidden="1" customHeight="1" x14ac:dyDescent="0.25">
      <c r="A91" s="54" t="s">
        <v>183</v>
      </c>
      <c r="B91" s="54" t="s">
        <v>184</v>
      </c>
      <c r="C91" s="31">
        <v>4301051788</v>
      </c>
      <c r="D91" s="633">
        <v>4680115884953</v>
      </c>
      <c r="E91" s="634"/>
      <c r="F91" s="628">
        <v>0.37</v>
      </c>
      <c r="G91" s="32">
        <v>6</v>
      </c>
      <c r="H91" s="628">
        <v>2.2200000000000002</v>
      </c>
      <c r="I91" s="628">
        <v>2.472</v>
      </c>
      <c r="J91" s="32">
        <v>182</v>
      </c>
      <c r="K91" s="32" t="s">
        <v>76</v>
      </c>
      <c r="L91" s="32"/>
      <c r="M91" s="33" t="s">
        <v>77</v>
      </c>
      <c r="N91" s="33"/>
      <c r="O91" s="32">
        <v>45</v>
      </c>
      <c r="P91" s="93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36"/>
      <c r="R91" s="636"/>
      <c r="S91" s="636"/>
      <c r="T91" s="637"/>
      <c r="U91" s="34"/>
      <c r="V91" s="34"/>
      <c r="W91" s="35" t="s">
        <v>66</v>
      </c>
      <c r="X91" s="629">
        <v>0</v>
      </c>
      <c r="Y91" s="630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185</v>
      </c>
      <c r="B92" s="54" t="s">
        <v>186</v>
      </c>
      <c r="C92" s="31">
        <v>4301051718</v>
      </c>
      <c r="D92" s="633">
        <v>4607091385731</v>
      </c>
      <c r="E92" s="634"/>
      <c r="F92" s="628">
        <v>0.45</v>
      </c>
      <c r="G92" s="32">
        <v>6</v>
      </c>
      <c r="H92" s="628">
        <v>2.7</v>
      </c>
      <c r="I92" s="628">
        <v>2.952</v>
      </c>
      <c r="J92" s="32">
        <v>182</v>
      </c>
      <c r="K92" s="32" t="s">
        <v>76</v>
      </c>
      <c r="L92" s="32"/>
      <c r="M92" s="33" t="s">
        <v>83</v>
      </c>
      <c r="N92" s="33"/>
      <c r="O92" s="32">
        <v>45</v>
      </c>
      <c r="P92" s="70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36"/>
      <c r="R92" s="636"/>
      <c r="S92" s="636"/>
      <c r="T92" s="637"/>
      <c r="U92" s="34"/>
      <c r="V92" s="34"/>
      <c r="W92" s="35" t="s">
        <v>66</v>
      </c>
      <c r="X92" s="629">
        <v>0</v>
      </c>
      <c r="Y92" s="63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182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16.5" hidden="1" customHeight="1" x14ac:dyDescent="0.25">
      <c r="A93" s="54" t="s">
        <v>187</v>
      </c>
      <c r="B93" s="54" t="s">
        <v>188</v>
      </c>
      <c r="C93" s="31">
        <v>4301052092</v>
      </c>
      <c r="D93" s="633">
        <v>4680115880894</v>
      </c>
      <c r="E93" s="634"/>
      <c r="F93" s="628">
        <v>0.33</v>
      </c>
      <c r="G93" s="32">
        <v>6</v>
      </c>
      <c r="H93" s="628">
        <v>1.98</v>
      </c>
      <c r="I93" s="628">
        <v>2.238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9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36"/>
      <c r="R93" s="636"/>
      <c r="S93" s="636"/>
      <c r="T93" s="637"/>
      <c r="U93" s="34"/>
      <c r="V93" s="34"/>
      <c r="W93" s="35" t="s">
        <v>66</v>
      </c>
      <c r="X93" s="629">
        <v>0</v>
      </c>
      <c r="Y93" s="63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189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642"/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4"/>
      <c r="P94" s="646" t="s">
        <v>71</v>
      </c>
      <c r="Q94" s="647"/>
      <c r="R94" s="647"/>
      <c r="S94" s="647"/>
      <c r="T94" s="647"/>
      <c r="U94" s="647"/>
      <c r="V94" s="648"/>
      <c r="W94" s="37" t="s">
        <v>72</v>
      </c>
      <c r="X94" s="631">
        <f>IFERROR(X90/H90,"0")+IFERROR(X91/H91,"0")+IFERROR(X92/H92,"0")+IFERROR(X93/H93,"0")</f>
        <v>51.23456790123457</v>
      </c>
      <c r="Y94" s="631">
        <f>IFERROR(Y90/H90,"0")+IFERROR(Y91/H91,"0")+IFERROR(Y92/H92,"0")+IFERROR(Y93/H93,"0")</f>
        <v>52</v>
      </c>
      <c r="Z94" s="631">
        <f>IFERROR(IF(Z90="",0,Z90),"0")+IFERROR(IF(Z91="",0,Z91),"0")+IFERROR(IF(Z92="",0,Z92),"0")+IFERROR(IF(Z93="",0,Z93),"0")</f>
        <v>0.98696000000000006</v>
      </c>
      <c r="AA94" s="632"/>
      <c r="AB94" s="632"/>
      <c r="AC94" s="632"/>
    </row>
    <row r="95" spans="1:68" x14ac:dyDescent="0.2">
      <c r="A95" s="643"/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4"/>
      <c r="P95" s="646" t="s">
        <v>71</v>
      </c>
      <c r="Q95" s="647"/>
      <c r="R95" s="647"/>
      <c r="S95" s="647"/>
      <c r="T95" s="647"/>
      <c r="U95" s="647"/>
      <c r="V95" s="648"/>
      <c r="W95" s="37" t="s">
        <v>66</v>
      </c>
      <c r="X95" s="631">
        <f>IFERROR(SUM(X90:X93),"0")</f>
        <v>415</v>
      </c>
      <c r="Y95" s="631">
        <f>IFERROR(SUM(Y90:Y93),"0")</f>
        <v>421.2</v>
      </c>
      <c r="Z95" s="37"/>
      <c r="AA95" s="632"/>
      <c r="AB95" s="632"/>
      <c r="AC95" s="632"/>
    </row>
    <row r="96" spans="1:68" ht="16.5" hidden="1" customHeight="1" x14ac:dyDescent="0.25">
      <c r="A96" s="650" t="s">
        <v>190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24"/>
      <c r="AB96" s="624"/>
      <c r="AC96" s="624"/>
    </row>
    <row r="97" spans="1:68" ht="14.25" hidden="1" customHeight="1" x14ac:dyDescent="0.25">
      <c r="A97" s="652" t="s">
        <v>112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25"/>
      <c r="AB97" s="625"/>
      <c r="AC97" s="625"/>
    </row>
    <row r="98" spans="1:68" ht="37.5" customHeight="1" x14ac:dyDescent="0.25">
      <c r="A98" s="54" t="s">
        <v>191</v>
      </c>
      <c r="B98" s="54" t="s">
        <v>192</v>
      </c>
      <c r="C98" s="31">
        <v>4301011514</v>
      </c>
      <c r="D98" s="633">
        <v>4680115882133</v>
      </c>
      <c r="E98" s="634"/>
      <c r="F98" s="628">
        <v>1.35</v>
      </c>
      <c r="G98" s="32">
        <v>8</v>
      </c>
      <c r="H98" s="628">
        <v>10.8</v>
      </c>
      <c r="I98" s="628">
        <v>11.21</v>
      </c>
      <c r="J98" s="32">
        <v>64</v>
      </c>
      <c r="K98" s="32" t="s">
        <v>115</v>
      </c>
      <c r="L98" s="32"/>
      <c r="M98" s="33" t="s">
        <v>116</v>
      </c>
      <c r="N98" s="33"/>
      <c r="O98" s="32">
        <v>50</v>
      </c>
      <c r="P98" s="8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36"/>
      <c r="R98" s="636"/>
      <c r="S98" s="636"/>
      <c r="T98" s="637"/>
      <c r="U98" s="34"/>
      <c r="V98" s="34"/>
      <c r="W98" s="35" t="s">
        <v>66</v>
      </c>
      <c r="X98" s="629">
        <v>94</v>
      </c>
      <c r="Y98" s="630">
        <f t="shared" ref="Y98:Y104" si="11">IFERROR(IF(X98="",0,CEILING((X98/$H98),1)*$H98),"")</f>
        <v>97.2</v>
      </c>
      <c r="Z98" s="36">
        <f>IFERROR(IF(Y98=0,"",ROUNDUP(Y98/H98,0)*0.01898),"")</f>
        <v>0.17082</v>
      </c>
      <c r="AA98" s="56"/>
      <c r="AB98" s="57"/>
      <c r="AC98" s="147" t="s">
        <v>193</v>
      </c>
      <c r="AG98" s="64"/>
      <c r="AJ98" s="68"/>
      <c r="AK98" s="68">
        <v>0</v>
      </c>
      <c r="BB98" s="148" t="s">
        <v>1</v>
      </c>
      <c r="BM98" s="64">
        <f t="shared" ref="BM98:BM104" si="12">IFERROR(X98*I98/H98,"0")</f>
        <v>97.568518518518516</v>
      </c>
      <c r="BN98" s="64">
        <f t="shared" ref="BN98:BN104" si="13">IFERROR(Y98*I98/H98,"0")</f>
        <v>100.89</v>
      </c>
      <c r="BO98" s="64">
        <f t="shared" ref="BO98:BO104" si="14">IFERROR(1/J98*(X98/H98),"0")</f>
        <v>0.13599537037037035</v>
      </c>
      <c r="BP98" s="64">
        <f t="shared" ref="BP98:BP104" si="15">IFERROR(1/J98*(Y98/H98),"0")</f>
        <v>0.140625</v>
      </c>
    </row>
    <row r="99" spans="1:68" ht="27" hidden="1" customHeight="1" x14ac:dyDescent="0.25">
      <c r="A99" s="54" t="s">
        <v>194</v>
      </c>
      <c r="B99" s="54" t="s">
        <v>195</v>
      </c>
      <c r="C99" s="31">
        <v>4301012051</v>
      </c>
      <c r="D99" s="633">
        <v>4680115887718</v>
      </c>
      <c r="E99" s="634"/>
      <c r="F99" s="628">
        <v>0.11</v>
      </c>
      <c r="G99" s="32">
        <v>10</v>
      </c>
      <c r="H99" s="628">
        <v>1.1000000000000001</v>
      </c>
      <c r="I99" s="628">
        <v>1.31</v>
      </c>
      <c r="J99" s="32">
        <v>192</v>
      </c>
      <c r="K99" s="32" t="s">
        <v>120</v>
      </c>
      <c r="L99" s="32"/>
      <c r="M99" s="33" t="s">
        <v>65</v>
      </c>
      <c r="N99" s="33"/>
      <c r="O99" s="32">
        <v>30</v>
      </c>
      <c r="P99" s="69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36"/>
      <c r="R99" s="636"/>
      <c r="S99" s="636"/>
      <c r="T99" s="637"/>
      <c r="U99" s="34"/>
      <c r="V99" s="34"/>
      <c r="W99" s="35" t="s">
        <v>66</v>
      </c>
      <c r="X99" s="629">
        <v>0</v>
      </c>
      <c r="Y99" s="630">
        <f t="shared" si="11"/>
        <v>0</v>
      </c>
      <c r="Z99" s="36" t="str">
        <f>IFERROR(IF(Y99=0,"",ROUNDUP(Y99/H99,0)*0.00726),"")</f>
        <v/>
      </c>
      <c r="AA99" s="56"/>
      <c r="AB99" s="57"/>
      <c r="AC99" s="149" t="s">
        <v>196</v>
      </c>
      <c r="AG99" s="64"/>
      <c r="AJ99" s="68"/>
      <c r="AK99" s="68">
        <v>0</v>
      </c>
      <c r="BB99" s="150" t="s">
        <v>1</v>
      </c>
      <c r="BM99" s="64">
        <f t="shared" si="12"/>
        <v>0</v>
      </c>
      <c r="BN99" s="64">
        <f t="shared" si="13"/>
        <v>0</v>
      </c>
      <c r="BO99" s="64">
        <f t="shared" si="14"/>
        <v>0</v>
      </c>
      <c r="BP99" s="64">
        <f t="shared" si="15"/>
        <v>0</v>
      </c>
    </row>
    <row r="100" spans="1:68" ht="27" hidden="1" customHeight="1" x14ac:dyDescent="0.25">
      <c r="A100" s="54" t="s">
        <v>194</v>
      </c>
      <c r="B100" s="54" t="s">
        <v>197</v>
      </c>
      <c r="C100" s="31">
        <v>4301012334</v>
      </c>
      <c r="D100" s="633">
        <v>4680115887718</v>
      </c>
      <c r="E100" s="634"/>
      <c r="F100" s="628">
        <v>0.11</v>
      </c>
      <c r="G100" s="32">
        <v>8</v>
      </c>
      <c r="H100" s="628">
        <v>0.88</v>
      </c>
      <c r="I100" s="628">
        <v>1.0680000000000001</v>
      </c>
      <c r="J100" s="32">
        <v>192</v>
      </c>
      <c r="K100" s="32" t="s">
        <v>120</v>
      </c>
      <c r="L100" s="32"/>
      <c r="M100" s="33" t="s">
        <v>65</v>
      </c>
      <c r="N100" s="33"/>
      <c r="O100" s="32">
        <v>30</v>
      </c>
      <c r="P100" s="71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6"/>
      <c r="R100" s="636"/>
      <c r="S100" s="636"/>
      <c r="T100" s="637"/>
      <c r="U100" s="34"/>
      <c r="V100" s="34"/>
      <c r="W100" s="35" t="s">
        <v>66</v>
      </c>
      <c r="X100" s="629">
        <v>0</v>
      </c>
      <c r="Y100" s="630">
        <f t="shared" si="11"/>
        <v>0</v>
      </c>
      <c r="Z100" s="36" t="str">
        <f>IFERROR(IF(Y100=0,"",ROUNDUP(Y100/H100,0)*0.00726),"")</f>
        <v/>
      </c>
      <c r="AA100" s="56"/>
      <c r="AB100" s="57"/>
      <c r="AC100" s="151" t="s">
        <v>196</v>
      </c>
      <c r="AG100" s="64"/>
      <c r="AJ100" s="68"/>
      <c r="AK100" s="68">
        <v>0</v>
      </c>
      <c r="BB100" s="152" t="s">
        <v>1</v>
      </c>
      <c r="BM100" s="64">
        <f t="shared" si="12"/>
        <v>0</v>
      </c>
      <c r="BN100" s="64">
        <f t="shared" si="13"/>
        <v>0</v>
      </c>
      <c r="BO100" s="64">
        <f t="shared" si="14"/>
        <v>0</v>
      </c>
      <c r="BP100" s="64">
        <f t="shared" si="15"/>
        <v>0</v>
      </c>
    </row>
    <row r="101" spans="1:68" ht="27" hidden="1" customHeight="1" x14ac:dyDescent="0.25">
      <c r="A101" s="54" t="s">
        <v>194</v>
      </c>
      <c r="B101" s="54" t="s">
        <v>198</v>
      </c>
      <c r="C101" s="31">
        <v>4301012379</v>
      </c>
      <c r="D101" s="633">
        <v>4680115887718</v>
      </c>
      <c r="E101" s="634"/>
      <c r="F101" s="628">
        <v>0.11</v>
      </c>
      <c r="G101" s="32">
        <v>6</v>
      </c>
      <c r="H101" s="628">
        <v>0.66</v>
      </c>
      <c r="I101" s="628">
        <v>0.82599999999999996</v>
      </c>
      <c r="J101" s="32">
        <v>192</v>
      </c>
      <c r="K101" s="32" t="s">
        <v>120</v>
      </c>
      <c r="L101" s="32"/>
      <c r="M101" s="33" t="s">
        <v>65</v>
      </c>
      <c r="N101" s="33"/>
      <c r="O101" s="32">
        <v>30</v>
      </c>
      <c r="P101" s="93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6"/>
      <c r="R101" s="636"/>
      <c r="S101" s="636"/>
      <c r="T101" s="637"/>
      <c r="U101" s="34"/>
      <c r="V101" s="34"/>
      <c r="W101" s="35" t="s">
        <v>66</v>
      </c>
      <c r="X101" s="629">
        <v>0</v>
      </c>
      <c r="Y101" s="630">
        <f t="shared" si="11"/>
        <v>0</v>
      </c>
      <c r="Z101" s="36" t="str">
        <f>IFERROR(IF(Y101=0,"",ROUNDUP(Y101/H101,0)*0.00726),"")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si="12"/>
        <v>0</v>
      </c>
      <c r="BN101" s="64">
        <f t="shared" si="13"/>
        <v>0</v>
      </c>
      <c r="BO101" s="64">
        <f t="shared" si="14"/>
        <v>0</v>
      </c>
      <c r="BP101" s="64">
        <f t="shared" si="15"/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633">
        <v>4680115880269</v>
      </c>
      <c r="E102" s="634"/>
      <c r="F102" s="628">
        <v>0.375</v>
      </c>
      <c r="G102" s="32">
        <v>10</v>
      </c>
      <c r="H102" s="628">
        <v>3.75</v>
      </c>
      <c r="I102" s="628">
        <v>3.94</v>
      </c>
      <c r="J102" s="32">
        <v>132</v>
      </c>
      <c r="K102" s="32" t="s">
        <v>124</v>
      </c>
      <c r="L102" s="32"/>
      <c r="M102" s="33" t="s">
        <v>77</v>
      </c>
      <c r="N102" s="33"/>
      <c r="O102" s="32">
        <v>50</v>
      </c>
      <c r="P102" s="93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6"/>
      <c r="R102" s="636"/>
      <c r="S102" s="636"/>
      <c r="T102" s="637"/>
      <c r="U102" s="34"/>
      <c r="V102" s="34"/>
      <c r="W102" s="35" t="s">
        <v>66</v>
      </c>
      <c r="X102" s="629">
        <v>0</v>
      </c>
      <c r="Y102" s="630">
        <f t="shared" si="11"/>
        <v>0</v>
      </c>
      <c r="Z102" s="36" t="str">
        <f>IFERROR(IF(Y102=0,"",ROUNDUP(Y102/H102,0)*0.00902),"")</f>
        <v/>
      </c>
      <c r="AA102" s="56"/>
      <c r="AB102" s="57"/>
      <c r="AC102" s="155" t="s">
        <v>193</v>
      </c>
      <c r="AG102" s="64"/>
      <c r="AJ102" s="68"/>
      <c r="AK102" s="68">
        <v>0</v>
      </c>
      <c r="BB102" s="156" t="s">
        <v>1</v>
      </c>
      <c r="BM102" s="64">
        <f t="shared" si="12"/>
        <v>0</v>
      </c>
      <c r="BN102" s="64">
        <f t="shared" si="13"/>
        <v>0</v>
      </c>
      <c r="BO102" s="64">
        <f t="shared" si="14"/>
        <v>0</v>
      </c>
      <c r="BP102" s="64">
        <f t="shared" si="15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633">
        <v>4680115880429</v>
      </c>
      <c r="E103" s="634"/>
      <c r="F103" s="628">
        <v>0.45</v>
      </c>
      <c r="G103" s="32">
        <v>10</v>
      </c>
      <c r="H103" s="628">
        <v>4.5</v>
      </c>
      <c r="I103" s="628">
        <v>4.6900000000000004</v>
      </c>
      <c r="J103" s="32">
        <v>132</v>
      </c>
      <c r="K103" s="32" t="s">
        <v>124</v>
      </c>
      <c r="L103" s="32"/>
      <c r="M103" s="33" t="s">
        <v>77</v>
      </c>
      <c r="N103" s="33"/>
      <c r="O103" s="32">
        <v>50</v>
      </c>
      <c r="P103" s="6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6"/>
      <c r="R103" s="636"/>
      <c r="S103" s="636"/>
      <c r="T103" s="637"/>
      <c r="U103" s="34"/>
      <c r="V103" s="34"/>
      <c r="W103" s="35" t="s">
        <v>66</v>
      </c>
      <c r="X103" s="629">
        <v>117</v>
      </c>
      <c r="Y103" s="630">
        <f t="shared" si="11"/>
        <v>117</v>
      </c>
      <c r="Z103" s="36">
        <f>IFERROR(IF(Y103=0,"",ROUNDUP(Y103/H103,0)*0.00902),"")</f>
        <v>0.23452000000000001</v>
      </c>
      <c r="AA103" s="56"/>
      <c r="AB103" s="57"/>
      <c r="AC103" s="157" t="s">
        <v>193</v>
      </c>
      <c r="AG103" s="64"/>
      <c r="AJ103" s="68"/>
      <c r="AK103" s="68">
        <v>0</v>
      </c>
      <c r="BB103" s="158" t="s">
        <v>1</v>
      </c>
      <c r="BM103" s="64">
        <f t="shared" si="12"/>
        <v>121.94</v>
      </c>
      <c r="BN103" s="64">
        <f t="shared" si="13"/>
        <v>121.94</v>
      </c>
      <c r="BO103" s="64">
        <f t="shared" si="14"/>
        <v>0.19696969696969696</v>
      </c>
      <c r="BP103" s="64">
        <f t="shared" si="15"/>
        <v>0.19696969696969696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633">
        <v>4680115881457</v>
      </c>
      <c r="E104" s="634"/>
      <c r="F104" s="628">
        <v>0.75</v>
      </c>
      <c r="G104" s="32">
        <v>6</v>
      </c>
      <c r="H104" s="628">
        <v>4.5</v>
      </c>
      <c r="I104" s="628">
        <v>4.6900000000000004</v>
      </c>
      <c r="J104" s="32">
        <v>132</v>
      </c>
      <c r="K104" s="32" t="s">
        <v>124</v>
      </c>
      <c r="L104" s="32"/>
      <c r="M104" s="33" t="s">
        <v>77</v>
      </c>
      <c r="N104" s="33"/>
      <c r="O104" s="32">
        <v>50</v>
      </c>
      <c r="P104" s="6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6"/>
      <c r="R104" s="636"/>
      <c r="S104" s="636"/>
      <c r="T104" s="637"/>
      <c r="U104" s="34"/>
      <c r="V104" s="34"/>
      <c r="W104" s="35" t="s">
        <v>66</v>
      </c>
      <c r="X104" s="629">
        <v>0</v>
      </c>
      <c r="Y104" s="630">
        <f t="shared" si="11"/>
        <v>0</v>
      </c>
      <c r="Z104" s="36" t="str">
        <f>IFERROR(IF(Y104=0,"",ROUNDUP(Y104/H104,0)*0.00902),"")</f>
        <v/>
      </c>
      <c r="AA104" s="56"/>
      <c r="AB104" s="57"/>
      <c r="AC104" s="159" t="s">
        <v>193</v>
      </c>
      <c r="AG104" s="64"/>
      <c r="AJ104" s="68"/>
      <c r="AK104" s="68">
        <v>0</v>
      </c>
      <c r="BB104" s="160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x14ac:dyDescent="0.2">
      <c r="A105" s="642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6" t="s">
        <v>71</v>
      </c>
      <c r="Q105" s="647"/>
      <c r="R105" s="647"/>
      <c r="S105" s="647"/>
      <c r="T105" s="647"/>
      <c r="U105" s="647"/>
      <c r="V105" s="648"/>
      <c r="W105" s="37" t="s">
        <v>72</v>
      </c>
      <c r="X105" s="631">
        <f>IFERROR(X98/H98,"0")+IFERROR(X99/H99,"0")+IFERROR(X100/H100,"0")+IFERROR(X101/H101,"0")+IFERROR(X102/H102,"0")+IFERROR(X103/H103,"0")+IFERROR(X104/H104,"0")</f>
        <v>34.703703703703702</v>
      </c>
      <c r="Y105" s="631">
        <f>IFERROR(Y98/H98,"0")+IFERROR(Y99/H99,"0")+IFERROR(Y100/H100,"0")+IFERROR(Y101/H101,"0")+IFERROR(Y102/H102,"0")+IFERROR(Y103/H103,"0")+IFERROR(Y104/H104,"0")</f>
        <v>35</v>
      </c>
      <c r="Z105" s="631">
        <f>IFERROR(IF(Z98="",0,Z98),"0")+IFERROR(IF(Z99="",0,Z99),"0")+IFERROR(IF(Z100="",0,Z100),"0")+IFERROR(IF(Z101="",0,Z101),"0")+IFERROR(IF(Z102="",0,Z102),"0")+IFERROR(IF(Z103="",0,Z103),"0")+IFERROR(IF(Z104="",0,Z104),"0")</f>
        <v>0.40534000000000003</v>
      </c>
      <c r="AA105" s="632"/>
      <c r="AB105" s="632"/>
      <c r="AC105" s="632"/>
    </row>
    <row r="106" spans="1:68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6" t="s">
        <v>71</v>
      </c>
      <c r="Q106" s="647"/>
      <c r="R106" s="647"/>
      <c r="S106" s="647"/>
      <c r="T106" s="647"/>
      <c r="U106" s="647"/>
      <c r="V106" s="648"/>
      <c r="W106" s="37" t="s">
        <v>66</v>
      </c>
      <c r="X106" s="631">
        <f>IFERROR(SUM(X98:X104),"0")</f>
        <v>211</v>
      </c>
      <c r="Y106" s="631">
        <f>IFERROR(SUM(Y98:Y104),"0")</f>
        <v>214.2</v>
      </c>
      <c r="Z106" s="37"/>
      <c r="AA106" s="632"/>
      <c r="AB106" s="632"/>
      <c r="AC106" s="632"/>
    </row>
    <row r="107" spans="1:68" ht="14.25" hidden="1" customHeight="1" x14ac:dyDescent="0.25">
      <c r="A107" s="652" t="s">
        <v>145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  <c r="AA107" s="625"/>
      <c r="AB107" s="625"/>
      <c r="AC107" s="625"/>
    </row>
    <row r="108" spans="1:68" ht="27" customHeight="1" x14ac:dyDescent="0.25">
      <c r="A108" s="54" t="s">
        <v>205</v>
      </c>
      <c r="B108" s="54" t="s">
        <v>206</v>
      </c>
      <c r="C108" s="31">
        <v>4301020391</v>
      </c>
      <c r="D108" s="633">
        <v>4680115881488</v>
      </c>
      <c r="E108" s="634"/>
      <c r="F108" s="628">
        <v>1.35</v>
      </c>
      <c r="G108" s="32">
        <v>8</v>
      </c>
      <c r="H108" s="628">
        <v>10.8</v>
      </c>
      <c r="I108" s="628">
        <v>11.21</v>
      </c>
      <c r="J108" s="32">
        <v>64</v>
      </c>
      <c r="K108" s="32" t="s">
        <v>115</v>
      </c>
      <c r="L108" s="32"/>
      <c r="M108" s="33" t="s">
        <v>116</v>
      </c>
      <c r="N108" s="33"/>
      <c r="O108" s="32">
        <v>55</v>
      </c>
      <c r="P108" s="88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36"/>
      <c r="R108" s="636"/>
      <c r="S108" s="636"/>
      <c r="T108" s="637"/>
      <c r="U108" s="34"/>
      <c r="V108" s="34"/>
      <c r="W108" s="35" t="s">
        <v>66</v>
      </c>
      <c r="X108" s="629">
        <v>45</v>
      </c>
      <c r="Y108" s="630">
        <f>IFERROR(IF(X108="",0,CEILING((X108/$H108),1)*$H108),"")</f>
        <v>54</v>
      </c>
      <c r="Z108" s="36">
        <f>IFERROR(IF(Y108=0,"",ROUNDUP(Y108/H108,0)*0.01898),"")</f>
        <v>9.4899999999999998E-2</v>
      </c>
      <c r="AA108" s="56"/>
      <c r="AB108" s="57"/>
      <c r="AC108" s="161" t="s">
        <v>207</v>
      </c>
      <c r="AG108" s="64"/>
      <c r="AJ108" s="68"/>
      <c r="AK108" s="68">
        <v>0</v>
      </c>
      <c r="BB108" s="162" t="s">
        <v>1</v>
      </c>
      <c r="BM108" s="64">
        <f>IFERROR(X108*I108/H108,"0")</f>
        <v>46.708333333333336</v>
      </c>
      <c r="BN108" s="64">
        <f>IFERROR(Y108*I108/H108,"0")</f>
        <v>56.05</v>
      </c>
      <c r="BO108" s="64">
        <f>IFERROR(1/J108*(X108/H108),"0")</f>
        <v>6.5104166666666657E-2</v>
      </c>
      <c r="BP108" s="64">
        <f>IFERROR(1/J108*(Y108/H108),"0")</f>
        <v>7.8125E-2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633">
        <v>4680115887664</v>
      </c>
      <c r="E109" s="634"/>
      <c r="F109" s="628">
        <v>0.1</v>
      </c>
      <c r="G109" s="32">
        <v>10</v>
      </c>
      <c r="H109" s="628">
        <v>1</v>
      </c>
      <c r="I109" s="628">
        <v>1.21</v>
      </c>
      <c r="J109" s="32">
        <v>392</v>
      </c>
      <c r="K109" s="32" t="s">
        <v>210</v>
      </c>
      <c r="L109" s="32"/>
      <c r="M109" s="33" t="s">
        <v>65</v>
      </c>
      <c r="N109" s="33"/>
      <c r="O109" s="32">
        <v>30</v>
      </c>
      <c r="P109" s="8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6"/>
      <c r="R109" s="636"/>
      <c r="S109" s="636"/>
      <c r="T109" s="637"/>
      <c r="U109" s="34"/>
      <c r="V109" s="34"/>
      <c r="W109" s="35" t="s">
        <v>66</v>
      </c>
      <c r="X109" s="629">
        <v>0</v>
      </c>
      <c r="Y109" s="63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63" t="s">
        <v>211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208</v>
      </c>
      <c r="B110" s="54" t="s">
        <v>212</v>
      </c>
      <c r="C110" s="31">
        <v>4301020430</v>
      </c>
      <c r="D110" s="633">
        <v>4680115887664</v>
      </c>
      <c r="E110" s="634"/>
      <c r="F110" s="628">
        <v>0.1</v>
      </c>
      <c r="G110" s="32">
        <v>8</v>
      </c>
      <c r="H110" s="628">
        <v>0.8</v>
      </c>
      <c r="I110" s="628">
        <v>0.98799999999999999</v>
      </c>
      <c r="J110" s="32">
        <v>392</v>
      </c>
      <c r="K110" s="32" t="s">
        <v>210</v>
      </c>
      <c r="L110" s="32"/>
      <c r="M110" s="33" t="s">
        <v>65</v>
      </c>
      <c r="N110" s="33"/>
      <c r="O110" s="32">
        <v>30</v>
      </c>
      <c r="P110" s="95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6"/>
      <c r="R110" s="636"/>
      <c r="S110" s="636"/>
      <c r="T110" s="637"/>
      <c r="U110" s="34"/>
      <c r="V110" s="34"/>
      <c r="W110" s="35" t="s">
        <v>66</v>
      </c>
      <c r="X110" s="629">
        <v>0</v>
      </c>
      <c r="Y110" s="630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211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213</v>
      </c>
      <c r="B111" s="54" t="s">
        <v>214</v>
      </c>
      <c r="C111" s="31">
        <v>4301020393</v>
      </c>
      <c r="D111" s="633">
        <v>4680115882775</v>
      </c>
      <c r="E111" s="634"/>
      <c r="F111" s="628">
        <v>0.3</v>
      </c>
      <c r="G111" s="32">
        <v>8</v>
      </c>
      <c r="H111" s="628">
        <v>2.4</v>
      </c>
      <c r="I111" s="628">
        <v>2.5</v>
      </c>
      <c r="J111" s="32">
        <v>234</v>
      </c>
      <c r="K111" s="32" t="s">
        <v>64</v>
      </c>
      <c r="L111" s="32"/>
      <c r="M111" s="33" t="s">
        <v>116</v>
      </c>
      <c r="N111" s="33"/>
      <c r="O111" s="32">
        <v>55</v>
      </c>
      <c r="P111" s="9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36"/>
      <c r="R111" s="636"/>
      <c r="S111" s="636"/>
      <c r="T111" s="637"/>
      <c r="U111" s="34"/>
      <c r="V111" s="34"/>
      <c r="W111" s="35" t="s">
        <v>66</v>
      </c>
      <c r="X111" s="629">
        <v>0</v>
      </c>
      <c r="Y111" s="630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67" t="s">
        <v>207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4301020392</v>
      </c>
      <c r="D112" s="633">
        <v>4680115880658</v>
      </c>
      <c r="E112" s="634"/>
      <c r="F112" s="628">
        <v>0.4</v>
      </c>
      <c r="G112" s="32">
        <v>6</v>
      </c>
      <c r="H112" s="628">
        <v>2.4</v>
      </c>
      <c r="I112" s="628">
        <v>2.58</v>
      </c>
      <c r="J112" s="32">
        <v>182</v>
      </c>
      <c r="K112" s="32" t="s">
        <v>76</v>
      </c>
      <c r="L112" s="32"/>
      <c r="M112" s="33" t="s">
        <v>116</v>
      </c>
      <c r="N112" s="33"/>
      <c r="O112" s="32">
        <v>55</v>
      </c>
      <c r="P112" s="92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36"/>
      <c r="R112" s="636"/>
      <c r="S112" s="636"/>
      <c r="T112" s="637"/>
      <c r="U112" s="34"/>
      <c r="V112" s="34"/>
      <c r="W112" s="35" t="s">
        <v>66</v>
      </c>
      <c r="X112" s="629">
        <v>0</v>
      </c>
      <c r="Y112" s="630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9" t="s">
        <v>207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642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6" t="s">
        <v>71</v>
      </c>
      <c r="Q113" s="647"/>
      <c r="R113" s="647"/>
      <c r="S113" s="647"/>
      <c r="T113" s="647"/>
      <c r="U113" s="647"/>
      <c r="V113" s="648"/>
      <c r="W113" s="37" t="s">
        <v>72</v>
      </c>
      <c r="X113" s="631">
        <f>IFERROR(X108/H108,"0")+IFERROR(X109/H109,"0")+IFERROR(X110/H110,"0")+IFERROR(X111/H111,"0")+IFERROR(X112/H112,"0")</f>
        <v>4.1666666666666661</v>
      </c>
      <c r="Y113" s="631">
        <f>IFERROR(Y108/H108,"0")+IFERROR(Y109/H109,"0")+IFERROR(Y110/H110,"0")+IFERROR(Y111/H111,"0")+IFERROR(Y112/H112,"0")</f>
        <v>5</v>
      </c>
      <c r="Z113" s="631">
        <f>IFERROR(IF(Z108="",0,Z108),"0")+IFERROR(IF(Z109="",0,Z109),"0")+IFERROR(IF(Z110="",0,Z110),"0")+IFERROR(IF(Z111="",0,Z111),"0")+IFERROR(IF(Z112="",0,Z112),"0")</f>
        <v>9.4899999999999998E-2</v>
      </c>
      <c r="AA113" s="632"/>
      <c r="AB113" s="632"/>
      <c r="AC113" s="632"/>
    </row>
    <row r="114" spans="1:68" x14ac:dyDescent="0.2">
      <c r="A114" s="643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4"/>
      <c r="P114" s="646" t="s">
        <v>71</v>
      </c>
      <c r="Q114" s="647"/>
      <c r="R114" s="647"/>
      <c r="S114" s="647"/>
      <c r="T114" s="647"/>
      <c r="U114" s="647"/>
      <c r="V114" s="648"/>
      <c r="W114" s="37" t="s">
        <v>66</v>
      </c>
      <c r="X114" s="631">
        <f>IFERROR(SUM(X108:X112),"0")</f>
        <v>45</v>
      </c>
      <c r="Y114" s="631">
        <f>IFERROR(SUM(Y108:Y112),"0")</f>
        <v>54</v>
      </c>
      <c r="Z114" s="37"/>
      <c r="AA114" s="632"/>
      <c r="AB114" s="632"/>
      <c r="AC114" s="632"/>
    </row>
    <row r="115" spans="1:68" ht="14.25" hidden="1" customHeight="1" x14ac:dyDescent="0.25">
      <c r="A115" s="652" t="s">
        <v>73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25"/>
      <c r="AB115" s="625"/>
      <c r="AC115" s="625"/>
    </row>
    <row r="116" spans="1:68" ht="27" customHeight="1" x14ac:dyDescent="0.25">
      <c r="A116" s="54" t="s">
        <v>217</v>
      </c>
      <c r="B116" s="54" t="s">
        <v>218</v>
      </c>
      <c r="C116" s="31">
        <v>4301051724</v>
      </c>
      <c r="D116" s="633">
        <v>4607091385168</v>
      </c>
      <c r="E116" s="634"/>
      <c r="F116" s="628">
        <v>1.35</v>
      </c>
      <c r="G116" s="32">
        <v>6</v>
      </c>
      <c r="H116" s="628">
        <v>8.1</v>
      </c>
      <c r="I116" s="628">
        <v>8.5879999999999992</v>
      </c>
      <c r="J116" s="32">
        <v>64</v>
      </c>
      <c r="K116" s="32" t="s">
        <v>115</v>
      </c>
      <c r="L116" s="32"/>
      <c r="M116" s="33" t="s">
        <v>83</v>
      </c>
      <c r="N116" s="33"/>
      <c r="O116" s="32">
        <v>45</v>
      </c>
      <c r="P116" s="73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36"/>
      <c r="R116" s="636"/>
      <c r="S116" s="636"/>
      <c r="T116" s="637"/>
      <c r="U116" s="34"/>
      <c r="V116" s="34"/>
      <c r="W116" s="35" t="s">
        <v>66</v>
      </c>
      <c r="X116" s="629">
        <v>291</v>
      </c>
      <c r="Y116" s="630">
        <f>IFERROR(IF(X116="",0,CEILING((X116/$H116),1)*$H116),"")</f>
        <v>291.59999999999997</v>
      </c>
      <c r="Z116" s="36">
        <f>IFERROR(IF(Y116=0,"",ROUNDUP(Y116/H116,0)*0.01898),"")</f>
        <v>0.68328</v>
      </c>
      <c r="AA116" s="56"/>
      <c r="AB116" s="57"/>
      <c r="AC116" s="171" t="s">
        <v>219</v>
      </c>
      <c r="AG116" s="64"/>
      <c r="AJ116" s="68"/>
      <c r="AK116" s="68">
        <v>0</v>
      </c>
      <c r="BB116" s="172" t="s">
        <v>1</v>
      </c>
      <c r="BM116" s="64">
        <f>IFERROR(X116*I116/H116,"0")</f>
        <v>308.53185185185185</v>
      </c>
      <c r="BN116" s="64">
        <f>IFERROR(Y116*I116/H116,"0")</f>
        <v>309.16799999999995</v>
      </c>
      <c r="BO116" s="64">
        <f>IFERROR(1/J116*(X116/H116),"0")</f>
        <v>0.56134259259259267</v>
      </c>
      <c r="BP116" s="64">
        <f>IFERROR(1/J116*(Y116/H116),"0")</f>
        <v>0.5625</v>
      </c>
    </row>
    <row r="117" spans="1:68" ht="27" hidden="1" customHeight="1" x14ac:dyDescent="0.25">
      <c r="A117" s="54" t="s">
        <v>220</v>
      </c>
      <c r="B117" s="54" t="s">
        <v>221</v>
      </c>
      <c r="C117" s="31">
        <v>4301051730</v>
      </c>
      <c r="D117" s="633">
        <v>4607091383256</v>
      </c>
      <c r="E117" s="634"/>
      <c r="F117" s="628">
        <v>0.33</v>
      </c>
      <c r="G117" s="32">
        <v>6</v>
      </c>
      <c r="H117" s="628">
        <v>1.98</v>
      </c>
      <c r="I117" s="628">
        <v>2.226</v>
      </c>
      <c r="J117" s="32">
        <v>182</v>
      </c>
      <c r="K117" s="32" t="s">
        <v>76</v>
      </c>
      <c r="L117" s="32"/>
      <c r="M117" s="33" t="s">
        <v>83</v>
      </c>
      <c r="N117" s="33"/>
      <c r="O117" s="32">
        <v>45</v>
      </c>
      <c r="P117" s="7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36"/>
      <c r="R117" s="636"/>
      <c r="S117" s="636"/>
      <c r="T117" s="637"/>
      <c r="U117" s="34"/>
      <c r="V117" s="34"/>
      <c r="W117" s="35" t="s">
        <v>66</v>
      </c>
      <c r="X117" s="629">
        <v>0</v>
      </c>
      <c r="Y117" s="63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3" t="s">
        <v>219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222</v>
      </c>
      <c r="B118" s="54" t="s">
        <v>223</v>
      </c>
      <c r="C118" s="31">
        <v>4301051721</v>
      </c>
      <c r="D118" s="633">
        <v>4607091385748</v>
      </c>
      <c r="E118" s="634"/>
      <c r="F118" s="628">
        <v>0.45</v>
      </c>
      <c r="G118" s="32">
        <v>6</v>
      </c>
      <c r="H118" s="628">
        <v>2.7</v>
      </c>
      <c r="I118" s="628">
        <v>2.952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77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36"/>
      <c r="R118" s="636"/>
      <c r="S118" s="636"/>
      <c r="T118" s="637"/>
      <c r="U118" s="34"/>
      <c r="V118" s="34"/>
      <c r="W118" s="35" t="s">
        <v>66</v>
      </c>
      <c r="X118" s="629">
        <v>0</v>
      </c>
      <c r="Y118" s="63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224</v>
      </c>
      <c r="B119" s="54" t="s">
        <v>225</v>
      </c>
      <c r="C119" s="31">
        <v>4301051740</v>
      </c>
      <c r="D119" s="633">
        <v>4680115884533</v>
      </c>
      <c r="E119" s="634"/>
      <c r="F119" s="628">
        <v>0.3</v>
      </c>
      <c r="G119" s="32">
        <v>6</v>
      </c>
      <c r="H119" s="628">
        <v>1.8</v>
      </c>
      <c r="I119" s="628">
        <v>1.98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45</v>
      </c>
      <c r="P119" s="7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36"/>
      <c r="R119" s="636"/>
      <c r="S119" s="636"/>
      <c r="T119" s="637"/>
      <c r="U119" s="34"/>
      <c r="V119" s="34"/>
      <c r="W119" s="35" t="s">
        <v>66</v>
      </c>
      <c r="X119" s="629">
        <v>0</v>
      </c>
      <c r="Y119" s="63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42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6" t="s">
        <v>71</v>
      </c>
      <c r="Q120" s="647"/>
      <c r="R120" s="647"/>
      <c r="S120" s="647"/>
      <c r="T120" s="647"/>
      <c r="U120" s="647"/>
      <c r="V120" s="648"/>
      <c r="W120" s="37" t="s">
        <v>72</v>
      </c>
      <c r="X120" s="631">
        <f>IFERROR(X116/H116,"0")+IFERROR(X117/H117,"0")+IFERROR(X118/H118,"0")+IFERROR(X119/H119,"0")</f>
        <v>35.925925925925931</v>
      </c>
      <c r="Y120" s="631">
        <f>IFERROR(Y116/H116,"0")+IFERROR(Y117/H117,"0")+IFERROR(Y118/H118,"0")+IFERROR(Y119/H119,"0")</f>
        <v>36</v>
      </c>
      <c r="Z120" s="631">
        <f>IFERROR(IF(Z116="",0,Z116),"0")+IFERROR(IF(Z117="",0,Z117),"0")+IFERROR(IF(Z118="",0,Z118),"0")+IFERROR(IF(Z119="",0,Z119),"0")</f>
        <v>0.68328</v>
      </c>
      <c r="AA120" s="632"/>
      <c r="AB120" s="632"/>
      <c r="AC120" s="632"/>
    </row>
    <row r="121" spans="1:68" x14ac:dyDescent="0.2">
      <c r="A121" s="643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4"/>
      <c r="P121" s="646" t="s">
        <v>71</v>
      </c>
      <c r="Q121" s="647"/>
      <c r="R121" s="647"/>
      <c r="S121" s="647"/>
      <c r="T121" s="647"/>
      <c r="U121" s="647"/>
      <c r="V121" s="648"/>
      <c r="W121" s="37" t="s">
        <v>66</v>
      </c>
      <c r="X121" s="631">
        <f>IFERROR(SUM(X116:X119),"0")</f>
        <v>291</v>
      </c>
      <c r="Y121" s="631">
        <f>IFERROR(SUM(Y116:Y119),"0")</f>
        <v>291.59999999999997</v>
      </c>
      <c r="Z121" s="37"/>
      <c r="AA121" s="632"/>
      <c r="AB121" s="632"/>
      <c r="AC121" s="632"/>
    </row>
    <row r="122" spans="1:68" ht="14.25" hidden="1" customHeight="1" x14ac:dyDescent="0.25">
      <c r="A122" s="652" t="s">
        <v>162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25"/>
      <c r="AB122" s="625"/>
      <c r="AC122" s="625"/>
    </row>
    <row r="123" spans="1:68" ht="16.5" customHeight="1" x14ac:dyDescent="0.25">
      <c r="A123" s="54" t="s">
        <v>227</v>
      </c>
      <c r="B123" s="54" t="s">
        <v>228</v>
      </c>
      <c r="C123" s="31">
        <v>4301060317</v>
      </c>
      <c r="D123" s="633">
        <v>4680115880238</v>
      </c>
      <c r="E123" s="634"/>
      <c r="F123" s="628">
        <v>0.33</v>
      </c>
      <c r="G123" s="32">
        <v>6</v>
      </c>
      <c r="H123" s="628">
        <v>1.98</v>
      </c>
      <c r="I123" s="628">
        <v>2.238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40</v>
      </c>
      <c r="P123" s="95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36"/>
      <c r="R123" s="636"/>
      <c r="S123" s="636"/>
      <c r="T123" s="637"/>
      <c r="U123" s="34"/>
      <c r="V123" s="34"/>
      <c r="W123" s="35" t="s">
        <v>66</v>
      </c>
      <c r="X123" s="629">
        <v>30</v>
      </c>
      <c r="Y123" s="630">
        <f>IFERROR(IF(X123="",0,CEILING((X123/$H123),1)*$H123),"")</f>
        <v>31.68</v>
      </c>
      <c r="Z123" s="36">
        <f>IFERROR(IF(Y123=0,"",ROUNDUP(Y123/H123,0)*0.00651),"")</f>
        <v>0.10416</v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33.909090909090907</v>
      </c>
      <c r="BN123" s="64">
        <f>IFERROR(Y123*I123/H123,"0")</f>
        <v>35.808</v>
      </c>
      <c r="BO123" s="64">
        <f>IFERROR(1/J123*(X123/H123),"0")</f>
        <v>8.3250083250083262E-2</v>
      </c>
      <c r="BP123" s="64">
        <f>IFERROR(1/J123*(Y123/H123),"0")</f>
        <v>8.7912087912087919E-2</v>
      </c>
    </row>
    <row r="124" spans="1:68" x14ac:dyDescent="0.2">
      <c r="A124" s="642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6" t="s">
        <v>71</v>
      </c>
      <c r="Q124" s="647"/>
      <c r="R124" s="647"/>
      <c r="S124" s="647"/>
      <c r="T124" s="647"/>
      <c r="U124" s="647"/>
      <c r="V124" s="648"/>
      <c r="W124" s="37" t="s">
        <v>72</v>
      </c>
      <c r="X124" s="631">
        <f>IFERROR(X123/H123,"0")</f>
        <v>15.151515151515152</v>
      </c>
      <c r="Y124" s="631">
        <f>IFERROR(Y123/H123,"0")</f>
        <v>16</v>
      </c>
      <c r="Z124" s="631">
        <f>IFERROR(IF(Z123="",0,Z123),"0")</f>
        <v>0.10416</v>
      </c>
      <c r="AA124" s="632"/>
      <c r="AB124" s="632"/>
      <c r="AC124" s="632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6" t="s">
        <v>71</v>
      </c>
      <c r="Q125" s="647"/>
      <c r="R125" s="647"/>
      <c r="S125" s="647"/>
      <c r="T125" s="647"/>
      <c r="U125" s="647"/>
      <c r="V125" s="648"/>
      <c r="W125" s="37" t="s">
        <v>66</v>
      </c>
      <c r="X125" s="631">
        <f>IFERROR(SUM(X123:X123),"0")</f>
        <v>30</v>
      </c>
      <c r="Y125" s="631">
        <f>IFERROR(SUM(Y123:Y123),"0")</f>
        <v>31.68</v>
      </c>
      <c r="Z125" s="37"/>
      <c r="AA125" s="632"/>
      <c r="AB125" s="632"/>
      <c r="AC125" s="632"/>
    </row>
    <row r="126" spans="1:68" ht="16.5" hidden="1" customHeight="1" x14ac:dyDescent="0.25">
      <c r="A126" s="650" t="s">
        <v>230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4"/>
      <c r="AB126" s="624"/>
      <c r="AC126" s="624"/>
    </row>
    <row r="127" spans="1:68" ht="14.25" hidden="1" customHeight="1" x14ac:dyDescent="0.25">
      <c r="A127" s="652" t="s">
        <v>112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25"/>
      <c r="AB127" s="625"/>
      <c r="AC127" s="625"/>
    </row>
    <row r="128" spans="1:68" ht="27" hidden="1" customHeight="1" x14ac:dyDescent="0.25">
      <c r="A128" s="54" t="s">
        <v>231</v>
      </c>
      <c r="B128" s="54" t="s">
        <v>232</v>
      </c>
      <c r="C128" s="31">
        <v>4301012347</v>
      </c>
      <c r="D128" s="633">
        <v>4680115888784</v>
      </c>
      <c r="E128" s="634"/>
      <c r="F128" s="628">
        <v>1</v>
      </c>
      <c r="G128" s="32">
        <v>6</v>
      </c>
      <c r="H128" s="628">
        <v>6</v>
      </c>
      <c r="I128" s="628">
        <v>6.38</v>
      </c>
      <c r="J128" s="32">
        <v>104</v>
      </c>
      <c r="K128" s="32" t="s">
        <v>115</v>
      </c>
      <c r="L128" s="32"/>
      <c r="M128" s="33" t="s">
        <v>233</v>
      </c>
      <c r="N128" s="33"/>
      <c r="O128" s="32">
        <v>90</v>
      </c>
      <c r="P128" s="94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36"/>
      <c r="R128" s="636"/>
      <c r="S128" s="636"/>
      <c r="T128" s="637"/>
      <c r="U128" s="34"/>
      <c r="V128" s="34"/>
      <c r="W128" s="35" t="s">
        <v>66</v>
      </c>
      <c r="X128" s="629">
        <v>0</v>
      </c>
      <c r="Y128" s="630">
        <f>IFERROR(IF(X128="",0,CEILING((X128/$H128),1)*$H128),"")</f>
        <v>0</v>
      </c>
      <c r="Z128" s="36" t="str">
        <f>IFERROR(IF(Y128=0,"",ROUNDUP(Y128/H128,0)*0.01196),"")</f>
        <v/>
      </c>
      <c r="AA128" s="56"/>
      <c r="AB128" s="57"/>
      <c r="AC128" s="181" t="s">
        <v>234</v>
      </c>
      <c r="AG128" s="64"/>
      <c r="AJ128" s="68"/>
      <c r="AK128" s="68">
        <v>0</v>
      </c>
      <c r="BB128" s="182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235</v>
      </c>
      <c r="B129" s="54" t="s">
        <v>236</v>
      </c>
      <c r="C129" s="31">
        <v>4301011562</v>
      </c>
      <c r="D129" s="633">
        <v>4680115882577</v>
      </c>
      <c r="E129" s="634"/>
      <c r="F129" s="628">
        <v>0.4</v>
      </c>
      <c r="G129" s="32">
        <v>8</v>
      </c>
      <c r="H129" s="628">
        <v>3.2</v>
      </c>
      <c r="I129" s="628">
        <v>3.38</v>
      </c>
      <c r="J129" s="32">
        <v>182</v>
      </c>
      <c r="K129" s="32" t="s">
        <v>76</v>
      </c>
      <c r="L129" s="32"/>
      <c r="M129" s="33" t="s">
        <v>237</v>
      </c>
      <c r="N129" s="33"/>
      <c r="O129" s="32">
        <v>90</v>
      </c>
      <c r="P129" s="75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36"/>
      <c r="R129" s="636"/>
      <c r="S129" s="636"/>
      <c r="T129" s="637"/>
      <c r="U129" s="34"/>
      <c r="V129" s="34"/>
      <c r="W129" s="35" t="s">
        <v>66</v>
      </c>
      <c r="X129" s="629">
        <v>32</v>
      </c>
      <c r="Y129" s="630">
        <f>IFERROR(IF(X129="",0,CEILING((X129/$H129),1)*$H129),"")</f>
        <v>32</v>
      </c>
      <c r="Z129" s="36">
        <f>IFERROR(IF(Y129=0,"",ROUNDUP(Y129/H129,0)*0.00651),"")</f>
        <v>6.5100000000000005E-2</v>
      </c>
      <c r="AA129" s="56"/>
      <c r="AB129" s="57"/>
      <c r="AC129" s="183" t="s">
        <v>238</v>
      </c>
      <c r="AG129" s="64"/>
      <c r="AJ129" s="68"/>
      <c r="AK129" s="68">
        <v>0</v>
      </c>
      <c r="BB129" s="184" t="s">
        <v>1</v>
      </c>
      <c r="BM129" s="64">
        <f>IFERROR(X129*I129/H129,"0")</f>
        <v>33.799999999999997</v>
      </c>
      <c r="BN129" s="64">
        <f>IFERROR(Y129*I129/H129,"0")</f>
        <v>33.799999999999997</v>
      </c>
      <c r="BO129" s="64">
        <f>IFERROR(1/J129*(X129/H129),"0")</f>
        <v>5.4945054945054951E-2</v>
      </c>
      <c r="BP129" s="64">
        <f>IFERROR(1/J129*(Y129/H129),"0")</f>
        <v>5.4945054945054951E-2</v>
      </c>
    </row>
    <row r="130" spans="1:68" ht="27" hidden="1" customHeight="1" x14ac:dyDescent="0.25">
      <c r="A130" s="54" t="s">
        <v>235</v>
      </c>
      <c r="B130" s="54" t="s">
        <v>239</v>
      </c>
      <c r="C130" s="31">
        <v>4301011564</v>
      </c>
      <c r="D130" s="633">
        <v>4680115882577</v>
      </c>
      <c r="E130" s="634"/>
      <c r="F130" s="628">
        <v>0.4</v>
      </c>
      <c r="G130" s="32">
        <v>8</v>
      </c>
      <c r="H130" s="628">
        <v>3.2</v>
      </c>
      <c r="I130" s="628">
        <v>3.38</v>
      </c>
      <c r="J130" s="32">
        <v>182</v>
      </c>
      <c r="K130" s="32" t="s">
        <v>76</v>
      </c>
      <c r="L130" s="32"/>
      <c r="M130" s="33" t="s">
        <v>237</v>
      </c>
      <c r="N130" s="33"/>
      <c r="O130" s="32">
        <v>90</v>
      </c>
      <c r="P130" s="8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36"/>
      <c r="R130" s="636"/>
      <c r="S130" s="636"/>
      <c r="T130" s="637"/>
      <c r="U130" s="34"/>
      <c r="V130" s="34"/>
      <c r="W130" s="35" t="s">
        <v>66</v>
      </c>
      <c r="X130" s="629">
        <v>0</v>
      </c>
      <c r="Y130" s="63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238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42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4"/>
      <c r="P131" s="646" t="s">
        <v>71</v>
      </c>
      <c r="Q131" s="647"/>
      <c r="R131" s="647"/>
      <c r="S131" s="647"/>
      <c r="T131" s="647"/>
      <c r="U131" s="647"/>
      <c r="V131" s="648"/>
      <c r="W131" s="37" t="s">
        <v>72</v>
      </c>
      <c r="X131" s="631">
        <f>IFERROR(X128/H128,"0")+IFERROR(X129/H129,"0")+IFERROR(X130/H130,"0")</f>
        <v>10</v>
      </c>
      <c r="Y131" s="631">
        <f>IFERROR(Y128/H128,"0")+IFERROR(Y129/H129,"0")+IFERROR(Y130/H130,"0")</f>
        <v>10</v>
      </c>
      <c r="Z131" s="631">
        <f>IFERROR(IF(Z128="",0,Z128),"0")+IFERROR(IF(Z129="",0,Z129),"0")+IFERROR(IF(Z130="",0,Z130),"0")</f>
        <v>6.5100000000000005E-2</v>
      </c>
      <c r="AA131" s="632"/>
      <c r="AB131" s="632"/>
      <c r="AC131" s="632"/>
    </row>
    <row r="132" spans="1:68" x14ac:dyDescent="0.2">
      <c r="A132" s="643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4"/>
      <c r="P132" s="646" t="s">
        <v>71</v>
      </c>
      <c r="Q132" s="647"/>
      <c r="R132" s="647"/>
      <c r="S132" s="647"/>
      <c r="T132" s="647"/>
      <c r="U132" s="647"/>
      <c r="V132" s="648"/>
      <c r="W132" s="37" t="s">
        <v>66</v>
      </c>
      <c r="X132" s="631">
        <f>IFERROR(SUM(X128:X130),"0")</f>
        <v>32</v>
      </c>
      <c r="Y132" s="631">
        <f>IFERROR(SUM(Y128:Y130),"0")</f>
        <v>32</v>
      </c>
      <c r="Z132" s="37"/>
      <c r="AA132" s="632"/>
      <c r="AB132" s="632"/>
      <c r="AC132" s="632"/>
    </row>
    <row r="133" spans="1:68" ht="14.25" hidden="1" customHeight="1" x14ac:dyDescent="0.25">
      <c r="A133" s="652" t="s">
        <v>61</v>
      </c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25"/>
      <c r="AB133" s="625"/>
      <c r="AC133" s="625"/>
    </row>
    <row r="134" spans="1:68" ht="16.5" hidden="1" customHeight="1" x14ac:dyDescent="0.25">
      <c r="A134" s="54" t="s">
        <v>240</v>
      </c>
      <c r="B134" s="54" t="s">
        <v>241</v>
      </c>
      <c r="C134" s="31">
        <v>4301031506</v>
      </c>
      <c r="D134" s="633">
        <v>4680115888913</v>
      </c>
      <c r="E134" s="634"/>
      <c r="F134" s="628">
        <v>0.7</v>
      </c>
      <c r="G134" s="32">
        <v>6</v>
      </c>
      <c r="H134" s="628">
        <v>4.2</v>
      </c>
      <c r="I134" s="628">
        <v>4.58</v>
      </c>
      <c r="J134" s="32">
        <v>104</v>
      </c>
      <c r="K134" s="32" t="s">
        <v>115</v>
      </c>
      <c r="L134" s="32"/>
      <c r="M134" s="33" t="s">
        <v>233</v>
      </c>
      <c r="N134" s="33"/>
      <c r="O134" s="32">
        <v>90</v>
      </c>
      <c r="P134" s="97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36"/>
      <c r="R134" s="636"/>
      <c r="S134" s="636"/>
      <c r="T134" s="637"/>
      <c r="U134" s="34"/>
      <c r="V134" s="34"/>
      <c r="W134" s="35" t="s">
        <v>66</v>
      </c>
      <c r="X134" s="629">
        <v>0</v>
      </c>
      <c r="Y134" s="630">
        <f>IFERROR(IF(X134="",0,CEILING((X134/$H134),1)*$H134),"")</f>
        <v>0</v>
      </c>
      <c r="Z134" s="36" t="str">
        <f>IFERROR(IF(Y134=0,"",ROUNDUP(Y134/H134,0)*0.01196),"")</f>
        <v/>
      </c>
      <c r="AA134" s="56"/>
      <c r="AB134" s="57"/>
      <c r="AC134" s="187" t="s">
        <v>242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243</v>
      </c>
      <c r="B135" s="54" t="s">
        <v>244</v>
      </c>
      <c r="C135" s="31">
        <v>4301031234</v>
      </c>
      <c r="D135" s="633">
        <v>4680115883444</v>
      </c>
      <c r="E135" s="634"/>
      <c r="F135" s="628">
        <v>0.35</v>
      </c>
      <c r="G135" s="32">
        <v>8</v>
      </c>
      <c r="H135" s="628">
        <v>2.8</v>
      </c>
      <c r="I135" s="628">
        <v>3.0680000000000001</v>
      </c>
      <c r="J135" s="32">
        <v>182</v>
      </c>
      <c r="K135" s="32" t="s">
        <v>76</v>
      </c>
      <c r="L135" s="32"/>
      <c r="M135" s="33" t="s">
        <v>237</v>
      </c>
      <c r="N135" s="33"/>
      <c r="O135" s="32">
        <v>90</v>
      </c>
      <c r="P135" s="9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36"/>
      <c r="R135" s="636"/>
      <c r="S135" s="636"/>
      <c r="T135" s="637"/>
      <c r="U135" s="34"/>
      <c r="V135" s="34"/>
      <c r="W135" s="35" t="s">
        <v>66</v>
      </c>
      <c r="X135" s="629">
        <v>0</v>
      </c>
      <c r="Y135" s="63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243</v>
      </c>
      <c r="B136" s="54" t="s">
        <v>246</v>
      </c>
      <c r="C136" s="31">
        <v>4301031235</v>
      </c>
      <c r="D136" s="633">
        <v>4680115883444</v>
      </c>
      <c r="E136" s="634"/>
      <c r="F136" s="628">
        <v>0.35</v>
      </c>
      <c r="G136" s="32">
        <v>8</v>
      </c>
      <c r="H136" s="628">
        <v>2.8</v>
      </c>
      <c r="I136" s="628">
        <v>3.0680000000000001</v>
      </c>
      <c r="J136" s="32">
        <v>182</v>
      </c>
      <c r="K136" s="32" t="s">
        <v>76</v>
      </c>
      <c r="L136" s="32"/>
      <c r="M136" s="33" t="s">
        <v>237</v>
      </c>
      <c r="N136" s="33"/>
      <c r="O136" s="32">
        <v>90</v>
      </c>
      <c r="P136" s="97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4"/>
      <c r="V136" s="34"/>
      <c r="W136" s="35" t="s">
        <v>66</v>
      </c>
      <c r="X136" s="629">
        <v>0</v>
      </c>
      <c r="Y136" s="63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247</v>
      </c>
      <c r="B137" s="54" t="s">
        <v>248</v>
      </c>
      <c r="C137" s="31">
        <v>4301031504</v>
      </c>
      <c r="D137" s="633">
        <v>4680115888920</v>
      </c>
      <c r="E137" s="634"/>
      <c r="F137" s="628">
        <v>0.35</v>
      </c>
      <c r="G137" s="32">
        <v>8</v>
      </c>
      <c r="H137" s="628">
        <v>2.8</v>
      </c>
      <c r="I137" s="628">
        <v>2.94</v>
      </c>
      <c r="J137" s="32">
        <v>234</v>
      </c>
      <c r="K137" s="32" t="s">
        <v>64</v>
      </c>
      <c r="L137" s="32"/>
      <c r="M137" s="33" t="s">
        <v>233</v>
      </c>
      <c r="N137" s="33"/>
      <c r="O137" s="32">
        <v>90</v>
      </c>
      <c r="P137" s="76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36"/>
      <c r="R137" s="636"/>
      <c r="S137" s="636"/>
      <c r="T137" s="637"/>
      <c r="U137" s="34"/>
      <c r="V137" s="34"/>
      <c r="W137" s="35" t="s">
        <v>66</v>
      </c>
      <c r="X137" s="629">
        <v>0</v>
      </c>
      <c r="Y137" s="630">
        <f>IFERROR(IF(X137="",0,CEILING((X137/$H137),1)*$H137),"")</f>
        <v>0</v>
      </c>
      <c r="Z137" s="36" t="str">
        <f>IFERROR(IF(Y137=0,"",ROUNDUP(Y137/H137,0)*0.00502),"")</f>
        <v/>
      </c>
      <c r="AA137" s="56"/>
      <c r="AB137" s="57"/>
      <c r="AC137" s="193" t="s">
        <v>242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42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4"/>
      <c r="P138" s="646" t="s">
        <v>71</v>
      </c>
      <c r="Q138" s="647"/>
      <c r="R138" s="647"/>
      <c r="S138" s="647"/>
      <c r="T138" s="647"/>
      <c r="U138" s="647"/>
      <c r="V138" s="648"/>
      <c r="W138" s="37" t="s">
        <v>72</v>
      </c>
      <c r="X138" s="631">
        <f>IFERROR(X134/H134,"0")+IFERROR(X135/H135,"0")+IFERROR(X136/H136,"0")+IFERROR(X137/H137,"0")</f>
        <v>0</v>
      </c>
      <c r="Y138" s="631">
        <f>IFERROR(Y134/H134,"0")+IFERROR(Y135/H135,"0")+IFERROR(Y136/H136,"0")+IFERROR(Y137/H137,"0")</f>
        <v>0</v>
      </c>
      <c r="Z138" s="631">
        <f>IFERROR(IF(Z134="",0,Z134),"0")+IFERROR(IF(Z135="",0,Z135),"0")+IFERROR(IF(Z136="",0,Z136),"0")+IFERROR(IF(Z137="",0,Z137),"0")</f>
        <v>0</v>
      </c>
      <c r="AA138" s="632"/>
      <c r="AB138" s="632"/>
      <c r="AC138" s="632"/>
    </row>
    <row r="139" spans="1:68" hidden="1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6" t="s">
        <v>71</v>
      </c>
      <c r="Q139" s="647"/>
      <c r="R139" s="647"/>
      <c r="S139" s="647"/>
      <c r="T139" s="647"/>
      <c r="U139" s="647"/>
      <c r="V139" s="648"/>
      <c r="W139" s="37" t="s">
        <v>66</v>
      </c>
      <c r="X139" s="631">
        <f>IFERROR(SUM(X134:X137),"0")</f>
        <v>0</v>
      </c>
      <c r="Y139" s="631">
        <f>IFERROR(SUM(Y134:Y137),"0")</f>
        <v>0</v>
      </c>
      <c r="Z139" s="37"/>
      <c r="AA139" s="632"/>
      <c r="AB139" s="632"/>
      <c r="AC139" s="632"/>
    </row>
    <row r="140" spans="1:68" ht="14.25" hidden="1" customHeight="1" x14ac:dyDescent="0.25">
      <c r="A140" s="652" t="s">
        <v>73</v>
      </c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25"/>
      <c r="AB140" s="625"/>
      <c r="AC140" s="625"/>
    </row>
    <row r="141" spans="1:68" ht="16.5" hidden="1" customHeight="1" x14ac:dyDescent="0.25">
      <c r="A141" s="54" t="s">
        <v>249</v>
      </c>
      <c r="B141" s="54" t="s">
        <v>250</v>
      </c>
      <c r="C141" s="31">
        <v>4301052219</v>
      </c>
      <c r="D141" s="633">
        <v>4680115888944</v>
      </c>
      <c r="E141" s="634"/>
      <c r="F141" s="628">
        <v>0.33</v>
      </c>
      <c r="G141" s="32">
        <v>8</v>
      </c>
      <c r="H141" s="628">
        <v>2.64</v>
      </c>
      <c r="I141" s="628">
        <v>2.86</v>
      </c>
      <c r="J141" s="32">
        <v>182</v>
      </c>
      <c r="K141" s="32" t="s">
        <v>76</v>
      </c>
      <c r="L141" s="32"/>
      <c r="M141" s="33" t="s">
        <v>233</v>
      </c>
      <c r="N141" s="33"/>
      <c r="O141" s="32">
        <v>90</v>
      </c>
      <c r="P141" s="84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36"/>
      <c r="R141" s="636"/>
      <c r="S141" s="636"/>
      <c r="T141" s="637"/>
      <c r="U141" s="34"/>
      <c r="V141" s="34"/>
      <c r="W141" s="35" t="s">
        <v>66</v>
      </c>
      <c r="X141" s="629">
        <v>0</v>
      </c>
      <c r="Y141" s="63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234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251</v>
      </c>
      <c r="B142" s="54" t="s">
        <v>252</v>
      </c>
      <c r="C142" s="31">
        <v>4301051476</v>
      </c>
      <c r="D142" s="633">
        <v>4680115882584</v>
      </c>
      <c r="E142" s="634"/>
      <c r="F142" s="628">
        <v>0.33</v>
      </c>
      <c r="G142" s="32">
        <v>8</v>
      </c>
      <c r="H142" s="628">
        <v>2.64</v>
      </c>
      <c r="I142" s="628">
        <v>2.9079999999999999</v>
      </c>
      <c r="J142" s="32">
        <v>182</v>
      </c>
      <c r="K142" s="32" t="s">
        <v>76</v>
      </c>
      <c r="L142" s="32"/>
      <c r="M142" s="33" t="s">
        <v>237</v>
      </c>
      <c r="N142" s="33"/>
      <c r="O142" s="32">
        <v>60</v>
      </c>
      <c r="P142" s="77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6"/>
      <c r="R142" s="636"/>
      <c r="S142" s="636"/>
      <c r="T142" s="637"/>
      <c r="U142" s="34"/>
      <c r="V142" s="34"/>
      <c r="W142" s="35" t="s">
        <v>66</v>
      </c>
      <c r="X142" s="629">
        <v>49</v>
      </c>
      <c r="Y142" s="630">
        <f>IFERROR(IF(X142="",0,CEILING((X142/$H142),1)*$H142),"")</f>
        <v>50.160000000000004</v>
      </c>
      <c r="Z142" s="36">
        <f>IFERROR(IF(Y142=0,"",ROUNDUP(Y142/H142,0)*0.00651),"")</f>
        <v>0.12369000000000001</v>
      </c>
      <c r="AA142" s="56"/>
      <c r="AB142" s="57"/>
      <c r="AC142" s="197" t="s">
        <v>238</v>
      </c>
      <c r="AG142" s="64"/>
      <c r="AJ142" s="68"/>
      <c r="AK142" s="68">
        <v>0</v>
      </c>
      <c r="BB142" s="198" t="s">
        <v>1</v>
      </c>
      <c r="BM142" s="64">
        <f>IFERROR(X142*I142/H142,"0")</f>
        <v>53.974242424242419</v>
      </c>
      <c r="BN142" s="64">
        <f>IFERROR(Y142*I142/H142,"0")</f>
        <v>55.252000000000002</v>
      </c>
      <c r="BO142" s="64">
        <f>IFERROR(1/J142*(X142/H142),"0")</f>
        <v>0.10198135198135198</v>
      </c>
      <c r="BP142" s="64">
        <f>IFERROR(1/J142*(Y142/H142),"0")</f>
        <v>0.1043956043956044</v>
      </c>
    </row>
    <row r="143" spans="1:68" ht="16.5" hidden="1" customHeight="1" x14ac:dyDescent="0.25">
      <c r="A143" s="54" t="s">
        <v>251</v>
      </c>
      <c r="B143" s="54" t="s">
        <v>253</v>
      </c>
      <c r="C143" s="31">
        <v>4301051477</v>
      </c>
      <c r="D143" s="633">
        <v>4680115882584</v>
      </c>
      <c r="E143" s="634"/>
      <c r="F143" s="628">
        <v>0.33</v>
      </c>
      <c r="G143" s="32">
        <v>8</v>
      </c>
      <c r="H143" s="628">
        <v>2.64</v>
      </c>
      <c r="I143" s="628">
        <v>2.9079999999999999</v>
      </c>
      <c r="J143" s="32">
        <v>182</v>
      </c>
      <c r="K143" s="32" t="s">
        <v>76</v>
      </c>
      <c r="L143" s="32"/>
      <c r="M143" s="33" t="s">
        <v>237</v>
      </c>
      <c r="N143" s="33"/>
      <c r="O143" s="32">
        <v>60</v>
      </c>
      <c r="P143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6"/>
      <c r="R143" s="636"/>
      <c r="S143" s="636"/>
      <c r="T143" s="637"/>
      <c r="U143" s="34"/>
      <c r="V143" s="34"/>
      <c r="W143" s="35" t="s">
        <v>66</v>
      </c>
      <c r="X143" s="629">
        <v>0</v>
      </c>
      <c r="Y143" s="63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238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42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6" t="s">
        <v>71</v>
      </c>
      <c r="Q144" s="647"/>
      <c r="R144" s="647"/>
      <c r="S144" s="647"/>
      <c r="T144" s="647"/>
      <c r="U144" s="647"/>
      <c r="V144" s="648"/>
      <c r="W144" s="37" t="s">
        <v>72</v>
      </c>
      <c r="X144" s="631">
        <f>IFERROR(X141/H141,"0")+IFERROR(X142/H142,"0")+IFERROR(X143/H143,"0")</f>
        <v>18.560606060606059</v>
      </c>
      <c r="Y144" s="631">
        <f>IFERROR(Y141/H141,"0")+IFERROR(Y142/H142,"0")+IFERROR(Y143/H143,"0")</f>
        <v>19</v>
      </c>
      <c r="Z144" s="631">
        <f>IFERROR(IF(Z141="",0,Z141),"0")+IFERROR(IF(Z142="",0,Z142),"0")+IFERROR(IF(Z143="",0,Z143),"0")</f>
        <v>0.12369000000000001</v>
      </c>
      <c r="AA144" s="632"/>
      <c r="AB144" s="632"/>
      <c r="AC144" s="632"/>
    </row>
    <row r="145" spans="1:68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6" t="s">
        <v>71</v>
      </c>
      <c r="Q145" s="647"/>
      <c r="R145" s="647"/>
      <c r="S145" s="647"/>
      <c r="T145" s="647"/>
      <c r="U145" s="647"/>
      <c r="V145" s="648"/>
      <c r="W145" s="37" t="s">
        <v>66</v>
      </c>
      <c r="X145" s="631">
        <f>IFERROR(SUM(X141:X143),"0")</f>
        <v>49</v>
      </c>
      <c r="Y145" s="631">
        <f>IFERROR(SUM(Y141:Y143),"0")</f>
        <v>50.160000000000004</v>
      </c>
      <c r="Z145" s="37"/>
      <c r="AA145" s="632"/>
      <c r="AB145" s="632"/>
      <c r="AC145" s="632"/>
    </row>
    <row r="146" spans="1:68" ht="16.5" hidden="1" customHeight="1" x14ac:dyDescent="0.25">
      <c r="A146" s="650" t="s">
        <v>254</v>
      </c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24"/>
      <c r="AB146" s="624"/>
      <c r="AC146" s="624"/>
    </row>
    <row r="147" spans="1:68" ht="14.25" hidden="1" customHeight="1" x14ac:dyDescent="0.25">
      <c r="A147" s="652" t="s">
        <v>73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25"/>
      <c r="AB147" s="625"/>
      <c r="AC147" s="625"/>
    </row>
    <row r="148" spans="1:68" ht="27" hidden="1" customHeight="1" x14ac:dyDescent="0.25">
      <c r="A148" s="54" t="s">
        <v>255</v>
      </c>
      <c r="B148" s="54" t="s">
        <v>256</v>
      </c>
      <c r="C148" s="31">
        <v>4301052254</v>
      </c>
      <c r="D148" s="633">
        <v>4680115888203</v>
      </c>
      <c r="E148" s="634"/>
      <c r="F148" s="628">
        <v>0.22</v>
      </c>
      <c r="G148" s="32">
        <v>6</v>
      </c>
      <c r="H148" s="628">
        <v>1.32</v>
      </c>
      <c r="I148" s="628">
        <v>1.5660000000000001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73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6"/>
      <c r="R148" s="636"/>
      <c r="S148" s="636"/>
      <c r="T148" s="637"/>
      <c r="U148" s="34"/>
      <c r="V148" s="34"/>
      <c r="W148" s="35" t="s">
        <v>66</v>
      </c>
      <c r="X148" s="629">
        <v>0</v>
      </c>
      <c r="Y148" s="630">
        <f t="shared" ref="Y148:Y154" si="16">IFERROR(IF(X148="",0,CEILING((X148/$H148),1)*$H148),"")</f>
        <v>0</v>
      </c>
      <c r="Z148" s="36" t="str">
        <f t="shared" ref="Z148:Z154" si="17">IFERROR(IF(Y148=0,"",ROUNDUP(Y148/H148,0)*0.00651),"")</f>
        <v/>
      </c>
      <c r="AA148" s="56"/>
      <c r="AB148" s="57"/>
      <c r="AC148" s="201" t="s">
        <v>257</v>
      </c>
      <c r="AG148" s="64"/>
      <c r="AJ148" s="68"/>
      <c r="AK148" s="68">
        <v>0</v>
      </c>
      <c r="BB148" s="202" t="s">
        <v>1</v>
      </c>
      <c r="BM148" s="64">
        <f t="shared" ref="BM148:BM154" si="18">IFERROR(X148*I148/H148,"0")</f>
        <v>0</v>
      </c>
      <c r="BN148" s="64">
        <f t="shared" ref="BN148:BN154" si="19">IFERROR(Y148*I148/H148,"0")</f>
        <v>0</v>
      </c>
      <c r="BO148" s="64">
        <f t="shared" ref="BO148:BO154" si="20">IFERROR(1/J148*(X148/H148),"0")</f>
        <v>0</v>
      </c>
      <c r="BP148" s="64">
        <f t="shared" ref="BP148:BP154" si="21">IFERROR(1/J148*(Y148/H148),"0")</f>
        <v>0</v>
      </c>
    </row>
    <row r="149" spans="1:68" ht="27" hidden="1" customHeight="1" x14ac:dyDescent="0.25">
      <c r="A149" s="54" t="s">
        <v>258</v>
      </c>
      <c r="B149" s="54" t="s">
        <v>259</v>
      </c>
      <c r="C149" s="31">
        <v>4301052172</v>
      </c>
      <c r="D149" s="633">
        <v>4680115888180</v>
      </c>
      <c r="E149" s="634"/>
      <c r="F149" s="628">
        <v>0.22</v>
      </c>
      <c r="G149" s="32">
        <v>9</v>
      </c>
      <c r="H149" s="628">
        <v>1.98</v>
      </c>
      <c r="I149" s="628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6"/>
      <c r="R149" s="636"/>
      <c r="S149" s="636"/>
      <c r="T149" s="637"/>
      <c r="U149" s="34"/>
      <c r="V149" s="34"/>
      <c r="W149" s="35" t="s">
        <v>66</v>
      </c>
      <c r="X149" s="629">
        <v>0</v>
      </c>
      <c r="Y149" s="630">
        <f t="shared" si="16"/>
        <v>0</v>
      </c>
      <c r="Z149" s="36" t="str">
        <f t="shared" si="17"/>
        <v/>
      </c>
      <c r="AA149" s="56"/>
      <c r="AB149" s="57"/>
      <c r="AC149" s="203" t="s">
        <v>260</v>
      </c>
      <c r="AG149" s="64"/>
      <c r="AJ149" s="68"/>
      <c r="AK149" s="68">
        <v>0</v>
      </c>
      <c r="BB149" s="204" t="s">
        <v>1</v>
      </c>
      <c r="BM149" s="64">
        <f t="shared" si="18"/>
        <v>0</v>
      </c>
      <c r="BN149" s="64">
        <f t="shared" si="19"/>
        <v>0</v>
      </c>
      <c r="BO149" s="64">
        <f t="shared" si="20"/>
        <v>0</v>
      </c>
      <c r="BP149" s="64">
        <f t="shared" si="21"/>
        <v>0</v>
      </c>
    </row>
    <row r="150" spans="1:68" ht="27" hidden="1" customHeight="1" x14ac:dyDescent="0.25">
      <c r="A150" s="54" t="s">
        <v>258</v>
      </c>
      <c r="B150" s="54" t="s">
        <v>261</v>
      </c>
      <c r="C150" s="31">
        <v>4301052252</v>
      </c>
      <c r="D150" s="633">
        <v>4680115888180</v>
      </c>
      <c r="E150" s="634"/>
      <c r="F150" s="628">
        <v>0.22</v>
      </c>
      <c r="G150" s="32">
        <v>6</v>
      </c>
      <c r="H150" s="628">
        <v>1.32</v>
      </c>
      <c r="I150" s="628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7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6"/>
      <c r="R150" s="636"/>
      <c r="S150" s="636"/>
      <c r="T150" s="637"/>
      <c r="U150" s="34"/>
      <c r="V150" s="34"/>
      <c r="W150" s="35" t="s">
        <v>66</v>
      </c>
      <c r="X150" s="629">
        <v>0</v>
      </c>
      <c r="Y150" s="630">
        <f t="shared" si="16"/>
        <v>0</v>
      </c>
      <c r="Z150" s="36" t="str">
        <f t="shared" si="17"/>
        <v/>
      </c>
      <c r="AA150" s="56"/>
      <c r="AB150" s="57"/>
      <c r="AC150" s="205" t="s">
        <v>260</v>
      </c>
      <c r="AG150" s="64"/>
      <c r="AJ150" s="68"/>
      <c r="AK150" s="68">
        <v>0</v>
      </c>
      <c r="BB150" s="206" t="s">
        <v>1</v>
      </c>
      <c r="BM150" s="64">
        <f t="shared" si="18"/>
        <v>0</v>
      </c>
      <c r="BN150" s="64">
        <f t="shared" si="19"/>
        <v>0</v>
      </c>
      <c r="BO150" s="64">
        <f t="shared" si="20"/>
        <v>0</v>
      </c>
      <c r="BP150" s="64">
        <f t="shared" si="21"/>
        <v>0</v>
      </c>
    </row>
    <row r="151" spans="1:68" ht="27" hidden="1" customHeight="1" x14ac:dyDescent="0.25">
      <c r="A151" s="54" t="s">
        <v>262</v>
      </c>
      <c r="B151" s="54" t="s">
        <v>263</v>
      </c>
      <c r="C151" s="31">
        <v>4301052173</v>
      </c>
      <c r="D151" s="633">
        <v>4680115888197</v>
      </c>
      <c r="E151" s="634"/>
      <c r="F151" s="628">
        <v>0.22</v>
      </c>
      <c r="G151" s="32">
        <v>9</v>
      </c>
      <c r="H151" s="628">
        <v>1.98</v>
      </c>
      <c r="I151" s="628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36"/>
      <c r="R151" s="636"/>
      <c r="S151" s="636"/>
      <c r="T151" s="637"/>
      <c r="U151" s="34"/>
      <c r="V151" s="34"/>
      <c r="W151" s="35" t="s">
        <v>66</v>
      </c>
      <c r="X151" s="629">
        <v>0</v>
      </c>
      <c r="Y151" s="630">
        <f t="shared" si="16"/>
        <v>0</v>
      </c>
      <c r="Z151" s="36" t="str">
        <f t="shared" si="17"/>
        <v/>
      </c>
      <c r="AA151" s="56"/>
      <c r="AB151" s="57"/>
      <c r="AC151" s="207" t="s">
        <v>264</v>
      </c>
      <c r="AG151" s="64"/>
      <c r="AJ151" s="68"/>
      <c r="AK151" s="68">
        <v>0</v>
      </c>
      <c r="BB151" s="208" t="s">
        <v>1</v>
      </c>
      <c r="BM151" s="64">
        <f t="shared" si="18"/>
        <v>0</v>
      </c>
      <c r="BN151" s="64">
        <f t="shared" si="19"/>
        <v>0</v>
      </c>
      <c r="BO151" s="64">
        <f t="shared" si="20"/>
        <v>0</v>
      </c>
      <c r="BP151" s="64">
        <f t="shared" si="21"/>
        <v>0</v>
      </c>
    </row>
    <row r="152" spans="1:68" ht="27" hidden="1" customHeight="1" x14ac:dyDescent="0.25">
      <c r="A152" s="54" t="s">
        <v>262</v>
      </c>
      <c r="B152" s="54" t="s">
        <v>265</v>
      </c>
      <c r="C152" s="31">
        <v>4301052253</v>
      </c>
      <c r="D152" s="633">
        <v>4680115888197</v>
      </c>
      <c r="E152" s="634"/>
      <c r="F152" s="628">
        <v>0.22</v>
      </c>
      <c r="G152" s="32">
        <v>6</v>
      </c>
      <c r="H152" s="628">
        <v>1.32</v>
      </c>
      <c r="I152" s="628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9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6"/>
      <c r="R152" s="636"/>
      <c r="S152" s="636"/>
      <c r="T152" s="637"/>
      <c r="U152" s="34"/>
      <c r="V152" s="34"/>
      <c r="W152" s="35" t="s">
        <v>66</v>
      </c>
      <c r="X152" s="629">
        <v>0</v>
      </c>
      <c r="Y152" s="630">
        <f t="shared" si="16"/>
        <v>0</v>
      </c>
      <c r="Z152" s="36" t="str">
        <f t="shared" si="17"/>
        <v/>
      </c>
      <c r="AA152" s="56"/>
      <c r="AB152" s="57"/>
      <c r="AC152" s="209" t="s">
        <v>264</v>
      </c>
      <c r="AG152" s="64"/>
      <c r="AJ152" s="68"/>
      <c r="AK152" s="68">
        <v>0</v>
      </c>
      <c r="BB152" s="210" t="s">
        <v>1</v>
      </c>
      <c r="BM152" s="64">
        <f t="shared" si="18"/>
        <v>0</v>
      </c>
      <c r="BN152" s="64">
        <f t="shared" si="19"/>
        <v>0</v>
      </c>
      <c r="BO152" s="64">
        <f t="shared" si="20"/>
        <v>0</v>
      </c>
      <c r="BP152" s="64">
        <f t="shared" si="21"/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4301052175</v>
      </c>
      <c r="D153" s="633">
        <v>4680115888210</v>
      </c>
      <c r="E153" s="634"/>
      <c r="F153" s="628">
        <v>0.22</v>
      </c>
      <c r="G153" s="32">
        <v>9</v>
      </c>
      <c r="H153" s="628">
        <v>1.98</v>
      </c>
      <c r="I153" s="628">
        <v>2.2589999999999999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36"/>
      <c r="R153" s="636"/>
      <c r="S153" s="636"/>
      <c r="T153" s="637"/>
      <c r="U153" s="34"/>
      <c r="V153" s="34"/>
      <c r="W153" s="35" t="s">
        <v>66</v>
      </c>
      <c r="X153" s="629">
        <v>0</v>
      </c>
      <c r="Y153" s="630">
        <f t="shared" si="16"/>
        <v>0</v>
      </c>
      <c r="Z153" s="36" t="str">
        <f t="shared" si="17"/>
        <v/>
      </c>
      <c r="AA153" s="56"/>
      <c r="AB153" s="57"/>
      <c r="AC153" s="211" t="s">
        <v>268</v>
      </c>
      <c r="AG153" s="64"/>
      <c r="AJ153" s="68"/>
      <c r="AK153" s="68">
        <v>0</v>
      </c>
      <c r="BB153" s="212" t="s">
        <v>1</v>
      </c>
      <c r="BM153" s="64">
        <f t="shared" si="18"/>
        <v>0</v>
      </c>
      <c r="BN153" s="64">
        <f t="shared" si="19"/>
        <v>0</v>
      </c>
      <c r="BO153" s="64">
        <f t="shared" si="20"/>
        <v>0</v>
      </c>
      <c r="BP153" s="64">
        <f t="shared" si="21"/>
        <v>0</v>
      </c>
    </row>
    <row r="154" spans="1:68" ht="27" hidden="1" customHeight="1" x14ac:dyDescent="0.25">
      <c r="A154" s="54" t="s">
        <v>266</v>
      </c>
      <c r="B154" s="54" t="s">
        <v>269</v>
      </c>
      <c r="C154" s="31">
        <v>4301052255</v>
      </c>
      <c r="D154" s="633">
        <v>4680115888210</v>
      </c>
      <c r="E154" s="634"/>
      <c r="F154" s="628">
        <v>0.22</v>
      </c>
      <c r="G154" s="32">
        <v>6</v>
      </c>
      <c r="H154" s="628">
        <v>1.32</v>
      </c>
      <c r="I154" s="628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6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6"/>
      <c r="R154" s="636"/>
      <c r="S154" s="636"/>
      <c r="T154" s="637"/>
      <c r="U154" s="34"/>
      <c r="V154" s="34"/>
      <c r="W154" s="35" t="s">
        <v>66</v>
      </c>
      <c r="X154" s="629">
        <v>0</v>
      </c>
      <c r="Y154" s="630">
        <f t="shared" si="16"/>
        <v>0</v>
      </c>
      <c r="Z154" s="36" t="str">
        <f t="shared" si="17"/>
        <v/>
      </c>
      <c r="AA154" s="56"/>
      <c r="AB154" s="57"/>
      <c r="AC154" s="213" t="s">
        <v>268</v>
      </c>
      <c r="AG154" s="64"/>
      <c r="AJ154" s="68"/>
      <c r="AK154" s="68">
        <v>0</v>
      </c>
      <c r="BB154" s="214" t="s">
        <v>1</v>
      </c>
      <c r="BM154" s="64">
        <f t="shared" si="18"/>
        <v>0</v>
      </c>
      <c r="BN154" s="64">
        <f t="shared" si="19"/>
        <v>0</v>
      </c>
      <c r="BO154" s="64">
        <f t="shared" si="20"/>
        <v>0</v>
      </c>
      <c r="BP154" s="64">
        <f t="shared" si="21"/>
        <v>0</v>
      </c>
    </row>
    <row r="155" spans="1:68" hidden="1" x14ac:dyDescent="0.2">
      <c r="A155" s="642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6" t="s">
        <v>71</v>
      </c>
      <c r="Q155" s="647"/>
      <c r="R155" s="647"/>
      <c r="S155" s="647"/>
      <c r="T155" s="647"/>
      <c r="U155" s="647"/>
      <c r="V155" s="648"/>
      <c r="W155" s="37" t="s">
        <v>72</v>
      </c>
      <c r="X155" s="631">
        <f>IFERROR(X148/H148,"0")+IFERROR(X149/H149,"0")+IFERROR(X150/H150,"0")+IFERROR(X151/H151,"0")+IFERROR(X152/H152,"0")+IFERROR(X153/H153,"0")+IFERROR(X154/H154,"0")</f>
        <v>0</v>
      </c>
      <c r="Y155" s="631">
        <f>IFERROR(Y148/H148,"0")+IFERROR(Y149/H149,"0")+IFERROR(Y150/H150,"0")+IFERROR(Y151/H151,"0")+IFERROR(Y152/H152,"0")+IFERROR(Y153/H153,"0")+IFERROR(Y154/H154,"0")</f>
        <v>0</v>
      </c>
      <c r="Z155" s="63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32"/>
      <c r="AB155" s="632"/>
      <c r="AC155" s="632"/>
    </row>
    <row r="156" spans="1:68" hidden="1" x14ac:dyDescent="0.2">
      <c r="A156" s="643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4"/>
      <c r="P156" s="646" t="s">
        <v>71</v>
      </c>
      <c r="Q156" s="647"/>
      <c r="R156" s="647"/>
      <c r="S156" s="647"/>
      <c r="T156" s="647"/>
      <c r="U156" s="647"/>
      <c r="V156" s="648"/>
      <c r="W156" s="37" t="s">
        <v>66</v>
      </c>
      <c r="X156" s="631">
        <f>IFERROR(SUM(X148:X154),"0")</f>
        <v>0</v>
      </c>
      <c r="Y156" s="631">
        <f>IFERROR(SUM(Y148:Y154),"0")</f>
        <v>0</v>
      </c>
      <c r="Z156" s="37"/>
      <c r="AA156" s="632"/>
      <c r="AB156" s="632"/>
      <c r="AC156" s="632"/>
    </row>
    <row r="157" spans="1:68" ht="14.25" hidden="1" customHeight="1" x14ac:dyDescent="0.25">
      <c r="A157" s="652" t="s">
        <v>270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25"/>
      <c r="AB157" s="625"/>
      <c r="AC157" s="625"/>
    </row>
    <row r="158" spans="1:68" ht="27" hidden="1" customHeight="1" x14ac:dyDescent="0.25">
      <c r="A158" s="54" t="s">
        <v>271</v>
      </c>
      <c r="B158" s="54" t="s">
        <v>272</v>
      </c>
      <c r="C158" s="31">
        <v>4301032067</v>
      </c>
      <c r="D158" s="633">
        <v>4680115889132</v>
      </c>
      <c r="E158" s="634"/>
      <c r="F158" s="628">
        <v>0.04</v>
      </c>
      <c r="G158" s="32">
        <v>8</v>
      </c>
      <c r="H158" s="628">
        <v>0.32</v>
      </c>
      <c r="I158" s="628">
        <v>0.5</v>
      </c>
      <c r="J158" s="32">
        <v>330</v>
      </c>
      <c r="K158" s="32" t="s">
        <v>273</v>
      </c>
      <c r="L158" s="32"/>
      <c r="M158" s="33" t="s">
        <v>274</v>
      </c>
      <c r="N158" s="33"/>
      <c r="O158" s="32">
        <v>120</v>
      </c>
      <c r="P158" s="72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36"/>
      <c r="R158" s="636"/>
      <c r="S158" s="636"/>
      <c r="T158" s="637"/>
      <c r="U158" s="34"/>
      <c r="V158" s="34"/>
      <c r="W158" s="35" t="s">
        <v>66</v>
      </c>
      <c r="X158" s="629">
        <v>0</v>
      </c>
      <c r="Y158" s="630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275</v>
      </c>
      <c r="AG158" s="64"/>
      <c r="AJ158" s="68"/>
      <c r="AK158" s="68">
        <v>0</v>
      </c>
      <c r="BB158" s="216" t="s">
        <v>276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2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6" t="s">
        <v>71</v>
      </c>
      <c r="Q159" s="647"/>
      <c r="R159" s="647"/>
      <c r="S159" s="647"/>
      <c r="T159" s="647"/>
      <c r="U159" s="647"/>
      <c r="V159" s="648"/>
      <c r="W159" s="37" t="s">
        <v>72</v>
      </c>
      <c r="X159" s="631">
        <f>IFERROR(X158/H158,"0")</f>
        <v>0</v>
      </c>
      <c r="Y159" s="631">
        <f>IFERROR(Y158/H158,"0")</f>
        <v>0</v>
      </c>
      <c r="Z159" s="631">
        <f>IFERROR(IF(Z158="",0,Z158),"0")</f>
        <v>0</v>
      </c>
      <c r="AA159" s="632"/>
      <c r="AB159" s="632"/>
      <c r="AC159" s="632"/>
    </row>
    <row r="160" spans="1:68" hidden="1" x14ac:dyDescent="0.2">
      <c r="A160" s="643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4"/>
      <c r="P160" s="646" t="s">
        <v>71</v>
      </c>
      <c r="Q160" s="647"/>
      <c r="R160" s="647"/>
      <c r="S160" s="647"/>
      <c r="T160" s="647"/>
      <c r="U160" s="647"/>
      <c r="V160" s="648"/>
      <c r="W160" s="37" t="s">
        <v>66</v>
      </c>
      <c r="X160" s="631">
        <f>IFERROR(SUM(X158:X158),"0")</f>
        <v>0</v>
      </c>
      <c r="Y160" s="631">
        <f>IFERROR(SUM(Y158:Y158),"0")</f>
        <v>0</v>
      </c>
      <c r="Z160" s="37"/>
      <c r="AA160" s="632"/>
      <c r="AB160" s="632"/>
      <c r="AC160" s="632"/>
    </row>
    <row r="161" spans="1:68" ht="16.5" hidden="1" customHeight="1" x14ac:dyDescent="0.25">
      <c r="A161" s="650" t="s">
        <v>110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24"/>
      <c r="AB161" s="624"/>
      <c r="AC161" s="624"/>
    </row>
    <row r="162" spans="1:68" ht="14.25" hidden="1" customHeight="1" x14ac:dyDescent="0.25">
      <c r="A162" s="652" t="s">
        <v>112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25"/>
      <c r="AB162" s="625"/>
      <c r="AC162" s="625"/>
    </row>
    <row r="163" spans="1:68" ht="27" hidden="1" customHeight="1" x14ac:dyDescent="0.25">
      <c r="A163" s="54" t="s">
        <v>277</v>
      </c>
      <c r="B163" s="54" t="s">
        <v>278</v>
      </c>
      <c r="C163" s="31">
        <v>4301012338</v>
      </c>
      <c r="D163" s="633">
        <v>4680115887374</v>
      </c>
      <c r="E163" s="634"/>
      <c r="F163" s="628">
        <v>1</v>
      </c>
      <c r="G163" s="32">
        <v>6</v>
      </c>
      <c r="H163" s="628">
        <v>6</v>
      </c>
      <c r="I163" s="628">
        <v>6.35</v>
      </c>
      <c r="J163" s="32">
        <v>104</v>
      </c>
      <c r="K163" s="32" t="s">
        <v>115</v>
      </c>
      <c r="L163" s="32"/>
      <c r="M163" s="33" t="s">
        <v>116</v>
      </c>
      <c r="N163" s="33"/>
      <c r="O163" s="32">
        <v>55</v>
      </c>
      <c r="P163" s="81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36"/>
      <c r="R163" s="636"/>
      <c r="S163" s="636"/>
      <c r="T163" s="637"/>
      <c r="U163" s="34"/>
      <c r="V163" s="34"/>
      <c r="W163" s="35" t="s">
        <v>66</v>
      </c>
      <c r="X163" s="629">
        <v>0</v>
      </c>
      <c r="Y163" s="630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280</v>
      </c>
      <c r="B164" s="54" t="s">
        <v>281</v>
      </c>
      <c r="C164" s="31">
        <v>4301011705</v>
      </c>
      <c r="D164" s="633">
        <v>4607091384604</v>
      </c>
      <c r="E164" s="634"/>
      <c r="F164" s="628">
        <v>0.4</v>
      </c>
      <c r="G164" s="32">
        <v>10</v>
      </c>
      <c r="H164" s="628">
        <v>4</v>
      </c>
      <c r="I164" s="628">
        <v>4.1900000000000004</v>
      </c>
      <c r="J164" s="32">
        <v>132</v>
      </c>
      <c r="K164" s="32" t="s">
        <v>124</v>
      </c>
      <c r="L164" s="32"/>
      <c r="M164" s="33" t="s">
        <v>116</v>
      </c>
      <c r="N164" s="33"/>
      <c r="O164" s="32">
        <v>50</v>
      </c>
      <c r="P164" s="91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36"/>
      <c r="R164" s="636"/>
      <c r="S164" s="636"/>
      <c r="T164" s="637"/>
      <c r="U164" s="34"/>
      <c r="V164" s="34"/>
      <c r="W164" s="35" t="s">
        <v>66</v>
      </c>
      <c r="X164" s="629">
        <v>0</v>
      </c>
      <c r="Y164" s="630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16.5" hidden="1" customHeight="1" x14ac:dyDescent="0.25">
      <c r="A165" s="54" t="s">
        <v>283</v>
      </c>
      <c r="B165" s="54" t="s">
        <v>284</v>
      </c>
      <c r="C165" s="31">
        <v>4301012344</v>
      </c>
      <c r="D165" s="633">
        <v>4680115888876</v>
      </c>
      <c r="E165" s="634"/>
      <c r="F165" s="628">
        <v>0.43</v>
      </c>
      <c r="G165" s="32">
        <v>6</v>
      </c>
      <c r="H165" s="628">
        <v>2.58</v>
      </c>
      <c r="I165" s="628">
        <v>2.76</v>
      </c>
      <c r="J165" s="32">
        <v>182</v>
      </c>
      <c r="K165" s="32" t="s">
        <v>76</v>
      </c>
      <c r="L165" s="32"/>
      <c r="M165" s="33" t="s">
        <v>77</v>
      </c>
      <c r="N165" s="33"/>
      <c r="O165" s="32">
        <v>55</v>
      </c>
      <c r="P165" s="68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36"/>
      <c r="R165" s="636"/>
      <c r="S165" s="636"/>
      <c r="T165" s="637"/>
      <c r="U165" s="34"/>
      <c r="V165" s="34"/>
      <c r="W165" s="35" t="s">
        <v>66</v>
      </c>
      <c r="X165" s="629">
        <v>0</v>
      </c>
      <c r="Y165" s="630">
        <f>IFERROR(IF(X165="",0,CEILING((X165/$H165),1)*$H165),"")</f>
        <v>0</v>
      </c>
      <c r="Z165" s="36" t="str">
        <f>IFERROR(IF(Y165=0,"",ROUNDUP(Y165/H165,0)*0.00651),"")</f>
        <v/>
      </c>
      <c r="AA165" s="56"/>
      <c r="AB165" s="57"/>
      <c r="AC165" s="221" t="s">
        <v>285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idden="1" x14ac:dyDescent="0.2">
      <c r="A166" s="642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4"/>
      <c r="P166" s="646" t="s">
        <v>71</v>
      </c>
      <c r="Q166" s="647"/>
      <c r="R166" s="647"/>
      <c r="S166" s="647"/>
      <c r="T166" s="647"/>
      <c r="U166" s="647"/>
      <c r="V166" s="648"/>
      <c r="W166" s="37" t="s">
        <v>72</v>
      </c>
      <c r="X166" s="631">
        <f>IFERROR(X163/H163,"0")+IFERROR(X164/H164,"0")+IFERROR(X165/H165,"0")</f>
        <v>0</v>
      </c>
      <c r="Y166" s="631">
        <f>IFERROR(Y163/H163,"0")+IFERROR(Y164/H164,"0")+IFERROR(Y165/H165,"0")</f>
        <v>0</v>
      </c>
      <c r="Z166" s="631">
        <f>IFERROR(IF(Z163="",0,Z163),"0")+IFERROR(IF(Z164="",0,Z164),"0")+IFERROR(IF(Z165="",0,Z165),"0")</f>
        <v>0</v>
      </c>
      <c r="AA166" s="632"/>
      <c r="AB166" s="632"/>
      <c r="AC166" s="632"/>
    </row>
    <row r="167" spans="1:68" hidden="1" x14ac:dyDescent="0.2">
      <c r="A167" s="643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4"/>
      <c r="P167" s="646" t="s">
        <v>71</v>
      </c>
      <c r="Q167" s="647"/>
      <c r="R167" s="647"/>
      <c r="S167" s="647"/>
      <c r="T167" s="647"/>
      <c r="U167" s="647"/>
      <c r="V167" s="648"/>
      <c r="W167" s="37" t="s">
        <v>66</v>
      </c>
      <c r="X167" s="631">
        <f>IFERROR(SUM(X163:X165),"0")</f>
        <v>0</v>
      </c>
      <c r="Y167" s="631">
        <f>IFERROR(SUM(Y163:Y165),"0")</f>
        <v>0</v>
      </c>
      <c r="Z167" s="37"/>
      <c r="AA167" s="632"/>
      <c r="AB167" s="632"/>
      <c r="AC167" s="632"/>
    </row>
    <row r="168" spans="1:68" ht="14.25" hidden="1" customHeight="1" x14ac:dyDescent="0.25">
      <c r="A168" s="652" t="s">
        <v>145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25"/>
      <c r="AB168" s="625"/>
      <c r="AC168" s="625"/>
    </row>
    <row r="169" spans="1:68" ht="16.5" hidden="1" customHeight="1" x14ac:dyDescent="0.25">
      <c r="A169" s="54" t="s">
        <v>286</v>
      </c>
      <c r="B169" s="54" t="s">
        <v>287</v>
      </c>
      <c r="C169" s="31">
        <v>4301020410</v>
      </c>
      <c r="D169" s="633">
        <v>4680115887695</v>
      </c>
      <c r="E169" s="634"/>
      <c r="F169" s="628">
        <v>0.12</v>
      </c>
      <c r="G169" s="32">
        <v>6</v>
      </c>
      <c r="H169" s="628">
        <v>0.72</v>
      </c>
      <c r="I169" s="628">
        <v>0.85</v>
      </c>
      <c r="J169" s="32">
        <v>252</v>
      </c>
      <c r="K169" s="32" t="s">
        <v>64</v>
      </c>
      <c r="L169" s="32"/>
      <c r="M169" s="33" t="s">
        <v>65</v>
      </c>
      <c r="N169" s="33"/>
      <c r="O169" s="32">
        <v>30</v>
      </c>
      <c r="P169" s="78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36"/>
      <c r="R169" s="636"/>
      <c r="S169" s="636"/>
      <c r="T169" s="637"/>
      <c r="U169" s="34"/>
      <c r="V169" s="34"/>
      <c r="W169" s="35" t="s">
        <v>66</v>
      </c>
      <c r="X169" s="629">
        <v>0</v>
      </c>
      <c r="Y169" s="630">
        <f>IFERROR(IF(X169="",0,CEILING((X169/$H169),1)*$H169),"")</f>
        <v>0</v>
      </c>
      <c r="Z169" s="36" t="str">
        <f>IFERROR(IF(Y169=0,"",ROUNDUP(Y169/H169,0)*0.00556),"")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16.5" hidden="1" customHeight="1" x14ac:dyDescent="0.25">
      <c r="A170" s="54" t="s">
        <v>289</v>
      </c>
      <c r="B170" s="54" t="s">
        <v>290</v>
      </c>
      <c r="C170" s="31">
        <v>4301020439</v>
      </c>
      <c r="D170" s="633">
        <v>4680115889491</v>
      </c>
      <c r="E170" s="634"/>
      <c r="F170" s="628">
        <v>0.3</v>
      </c>
      <c r="G170" s="32">
        <v>8</v>
      </c>
      <c r="H170" s="628">
        <v>2.4</v>
      </c>
      <c r="I170" s="628">
        <v>2.5</v>
      </c>
      <c r="J170" s="32">
        <v>234</v>
      </c>
      <c r="K170" s="32" t="s">
        <v>64</v>
      </c>
      <c r="L170" s="32"/>
      <c r="M170" s="33" t="s">
        <v>116</v>
      </c>
      <c r="N170" s="33"/>
      <c r="O170" s="32">
        <v>55</v>
      </c>
      <c r="P170" s="69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36"/>
      <c r="R170" s="636"/>
      <c r="S170" s="636"/>
      <c r="T170" s="637"/>
      <c r="U170" s="34"/>
      <c r="V170" s="34"/>
      <c r="W170" s="35" t="s">
        <v>66</v>
      </c>
      <c r="X170" s="629">
        <v>0</v>
      </c>
      <c r="Y170" s="630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5" t="s">
        <v>291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42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4"/>
      <c r="P171" s="646" t="s">
        <v>71</v>
      </c>
      <c r="Q171" s="647"/>
      <c r="R171" s="647"/>
      <c r="S171" s="647"/>
      <c r="T171" s="647"/>
      <c r="U171" s="647"/>
      <c r="V171" s="648"/>
      <c r="W171" s="37" t="s">
        <v>72</v>
      </c>
      <c r="X171" s="631">
        <f>IFERROR(X169/H169,"0")+IFERROR(X170/H170,"0")</f>
        <v>0</v>
      </c>
      <c r="Y171" s="631">
        <f>IFERROR(Y169/H169,"0")+IFERROR(Y170/H170,"0")</f>
        <v>0</v>
      </c>
      <c r="Z171" s="631">
        <f>IFERROR(IF(Z169="",0,Z169),"0")+IFERROR(IF(Z170="",0,Z170),"0")</f>
        <v>0</v>
      </c>
      <c r="AA171" s="632"/>
      <c r="AB171" s="632"/>
      <c r="AC171" s="632"/>
    </row>
    <row r="172" spans="1:68" hidden="1" x14ac:dyDescent="0.2">
      <c r="A172" s="643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4"/>
      <c r="P172" s="646" t="s">
        <v>71</v>
      </c>
      <c r="Q172" s="647"/>
      <c r="R172" s="647"/>
      <c r="S172" s="647"/>
      <c r="T172" s="647"/>
      <c r="U172" s="647"/>
      <c r="V172" s="648"/>
      <c r="W172" s="37" t="s">
        <v>66</v>
      </c>
      <c r="X172" s="631">
        <f>IFERROR(SUM(X169:X170),"0")</f>
        <v>0</v>
      </c>
      <c r="Y172" s="631">
        <f>IFERROR(SUM(Y169:Y170),"0")</f>
        <v>0</v>
      </c>
      <c r="Z172" s="37"/>
      <c r="AA172" s="632"/>
      <c r="AB172" s="632"/>
      <c r="AC172" s="632"/>
    </row>
    <row r="173" spans="1:68" ht="14.25" hidden="1" customHeight="1" x14ac:dyDescent="0.25">
      <c r="A173" s="652" t="s">
        <v>61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25"/>
      <c r="AB173" s="625"/>
      <c r="AC173" s="625"/>
    </row>
    <row r="174" spans="1:68" ht="27" customHeight="1" x14ac:dyDescent="0.25">
      <c r="A174" s="54" t="s">
        <v>292</v>
      </c>
      <c r="B174" s="54" t="s">
        <v>293</v>
      </c>
      <c r="C174" s="31">
        <v>4301031496</v>
      </c>
      <c r="D174" s="633">
        <v>4680115887428</v>
      </c>
      <c r="E174" s="634"/>
      <c r="F174" s="628">
        <v>0.7</v>
      </c>
      <c r="G174" s="32">
        <v>5</v>
      </c>
      <c r="H174" s="628">
        <v>3.5</v>
      </c>
      <c r="I174" s="628">
        <v>3.69</v>
      </c>
      <c r="J174" s="32">
        <v>132</v>
      </c>
      <c r="K174" s="32" t="s">
        <v>124</v>
      </c>
      <c r="L174" s="32"/>
      <c r="M174" s="33" t="s">
        <v>65</v>
      </c>
      <c r="N174" s="33"/>
      <c r="O174" s="32">
        <v>40</v>
      </c>
      <c r="P174" s="98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36"/>
      <c r="R174" s="636"/>
      <c r="S174" s="636"/>
      <c r="T174" s="637"/>
      <c r="U174" s="34"/>
      <c r="V174" s="34"/>
      <c r="W174" s="35" t="s">
        <v>66</v>
      </c>
      <c r="X174" s="629">
        <v>105</v>
      </c>
      <c r="Y174" s="630">
        <f t="shared" ref="Y174:Y184" si="22">IFERROR(IF(X174="",0,CEILING((X174/$H174),1)*$H174),"")</f>
        <v>105</v>
      </c>
      <c r="Z174" s="36">
        <f>IFERROR(IF(Y174=0,"",ROUNDUP(Y174/H174,0)*0.00902),"")</f>
        <v>0.27060000000000001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ref="BM174:BM184" si="23">IFERROR(X174*I174/H174,"0")</f>
        <v>110.7</v>
      </c>
      <c r="BN174" s="64">
        <f t="shared" ref="BN174:BN184" si="24">IFERROR(Y174*I174/H174,"0")</f>
        <v>110.7</v>
      </c>
      <c r="BO174" s="64">
        <f t="shared" ref="BO174:BO184" si="25">IFERROR(1/J174*(X174/H174),"0")</f>
        <v>0.22727272727272729</v>
      </c>
      <c r="BP174" s="64">
        <f t="shared" ref="BP174:BP184" si="26">IFERROR(1/J174*(Y174/H174),"0")</f>
        <v>0.22727272727272729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4301031509</v>
      </c>
      <c r="D175" s="633">
        <v>4680115889170</v>
      </c>
      <c r="E175" s="634"/>
      <c r="F175" s="628">
        <v>0.7</v>
      </c>
      <c r="G175" s="32">
        <v>5</v>
      </c>
      <c r="H175" s="628">
        <v>3.5</v>
      </c>
      <c r="I175" s="628">
        <v>3.7650000000000001</v>
      </c>
      <c r="J175" s="32">
        <v>132</v>
      </c>
      <c r="K175" s="32" t="s">
        <v>124</v>
      </c>
      <c r="L175" s="32"/>
      <c r="M175" s="33" t="s">
        <v>65</v>
      </c>
      <c r="N175" s="33"/>
      <c r="O175" s="32">
        <v>45</v>
      </c>
      <c r="P175" s="90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36"/>
      <c r="R175" s="636"/>
      <c r="S175" s="636"/>
      <c r="T175" s="637"/>
      <c r="U175" s="34"/>
      <c r="V175" s="34"/>
      <c r="W175" s="35" t="s">
        <v>66</v>
      </c>
      <c r="X175" s="629">
        <v>0</v>
      </c>
      <c r="Y175" s="630">
        <f t="shared" si="22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23"/>
        <v>0</v>
      </c>
      <c r="BN175" s="64">
        <f t="shared" si="24"/>
        <v>0</v>
      </c>
      <c r="BO175" s="64">
        <f t="shared" si="25"/>
        <v>0</v>
      </c>
      <c r="BP175" s="64">
        <f t="shared" si="26"/>
        <v>0</v>
      </c>
    </row>
    <row r="176" spans="1:68" ht="27" customHeight="1" x14ac:dyDescent="0.25">
      <c r="A176" s="54" t="s">
        <v>298</v>
      </c>
      <c r="B176" s="54" t="s">
        <v>299</v>
      </c>
      <c r="C176" s="31">
        <v>4301031498</v>
      </c>
      <c r="D176" s="633">
        <v>4680115887398</v>
      </c>
      <c r="E176" s="634"/>
      <c r="F176" s="628">
        <v>0.7</v>
      </c>
      <c r="G176" s="32">
        <v>5</v>
      </c>
      <c r="H176" s="628">
        <v>3.5</v>
      </c>
      <c r="I176" s="628">
        <v>3.69</v>
      </c>
      <c r="J176" s="32">
        <v>132</v>
      </c>
      <c r="K176" s="32" t="s">
        <v>124</v>
      </c>
      <c r="L176" s="32"/>
      <c r="M176" s="33" t="s">
        <v>65</v>
      </c>
      <c r="N176" s="33"/>
      <c r="O176" s="32">
        <v>40</v>
      </c>
      <c r="P176" s="92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36"/>
      <c r="R176" s="636"/>
      <c r="S176" s="636"/>
      <c r="T176" s="637"/>
      <c r="U176" s="34"/>
      <c r="V176" s="34"/>
      <c r="W176" s="35" t="s">
        <v>66</v>
      </c>
      <c r="X176" s="629">
        <v>133</v>
      </c>
      <c r="Y176" s="630">
        <f t="shared" si="22"/>
        <v>133</v>
      </c>
      <c r="Z176" s="36">
        <f>IFERROR(IF(Y176=0,"",ROUNDUP(Y176/H176,0)*0.00902),"")</f>
        <v>0.34276000000000001</v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3"/>
        <v>140.22</v>
      </c>
      <c r="BN176" s="64">
        <f t="shared" si="24"/>
        <v>140.22</v>
      </c>
      <c r="BO176" s="64">
        <f t="shared" si="25"/>
        <v>0.2878787878787879</v>
      </c>
      <c r="BP176" s="64">
        <f t="shared" si="26"/>
        <v>0.2878787878787879</v>
      </c>
    </row>
    <row r="177" spans="1:68" ht="27" customHeight="1" x14ac:dyDescent="0.25">
      <c r="A177" s="54" t="s">
        <v>301</v>
      </c>
      <c r="B177" s="54" t="s">
        <v>302</v>
      </c>
      <c r="C177" s="31">
        <v>4301031497</v>
      </c>
      <c r="D177" s="633">
        <v>4680115887336</v>
      </c>
      <c r="E177" s="634"/>
      <c r="F177" s="628">
        <v>0.7</v>
      </c>
      <c r="G177" s="32">
        <v>5</v>
      </c>
      <c r="H177" s="628">
        <v>3.5</v>
      </c>
      <c r="I177" s="628">
        <v>3.69</v>
      </c>
      <c r="J177" s="32">
        <v>132</v>
      </c>
      <c r="K177" s="32" t="s">
        <v>124</v>
      </c>
      <c r="L177" s="32"/>
      <c r="M177" s="33" t="s">
        <v>65</v>
      </c>
      <c r="N177" s="33"/>
      <c r="O177" s="32">
        <v>40</v>
      </c>
      <c r="P177" s="90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66</v>
      </c>
      <c r="X177" s="629">
        <v>84</v>
      </c>
      <c r="Y177" s="630">
        <f t="shared" si="22"/>
        <v>84</v>
      </c>
      <c r="Z177" s="36">
        <f>IFERROR(IF(Y177=0,"",ROUNDUP(Y177/H177,0)*0.00902),"")</f>
        <v>0.21648000000000001</v>
      </c>
      <c r="AA177" s="56"/>
      <c r="AB177" s="57"/>
      <c r="AC177" s="233" t="s">
        <v>303</v>
      </c>
      <c r="AG177" s="64"/>
      <c r="AJ177" s="68"/>
      <c r="AK177" s="68">
        <v>0</v>
      </c>
      <c r="BB177" s="234" t="s">
        <v>1</v>
      </c>
      <c r="BM177" s="64">
        <f t="shared" si="23"/>
        <v>88.559999999999988</v>
      </c>
      <c r="BN177" s="64">
        <f t="shared" si="24"/>
        <v>88.559999999999988</v>
      </c>
      <c r="BO177" s="64">
        <f t="shared" si="25"/>
        <v>0.18181818181818182</v>
      </c>
      <c r="BP177" s="64">
        <f t="shared" si="26"/>
        <v>0.18181818181818182</v>
      </c>
    </row>
    <row r="178" spans="1:68" ht="16.5" hidden="1" customHeight="1" x14ac:dyDescent="0.25">
      <c r="A178" s="54" t="s">
        <v>304</v>
      </c>
      <c r="B178" s="54" t="s">
        <v>305</v>
      </c>
      <c r="C178" s="31">
        <v>4301032049</v>
      </c>
      <c r="D178" s="633">
        <v>4680115887787</v>
      </c>
      <c r="E178" s="634"/>
      <c r="F178" s="628">
        <v>0.09</v>
      </c>
      <c r="G178" s="32">
        <v>10</v>
      </c>
      <c r="H178" s="628">
        <v>0.9</v>
      </c>
      <c r="I178" s="628">
        <v>1.1100000000000001</v>
      </c>
      <c r="J178" s="32">
        <v>336</v>
      </c>
      <c r="K178" s="32" t="s">
        <v>120</v>
      </c>
      <c r="L178" s="32"/>
      <c r="M178" s="33" t="s">
        <v>65</v>
      </c>
      <c r="N178" s="33"/>
      <c r="O178" s="32">
        <v>45</v>
      </c>
      <c r="P178" s="92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36"/>
      <c r="R178" s="636"/>
      <c r="S178" s="636"/>
      <c r="T178" s="637"/>
      <c r="U178" s="34"/>
      <c r="V178" s="34"/>
      <c r="W178" s="35" t="s">
        <v>66</v>
      </c>
      <c r="X178" s="629">
        <v>0</v>
      </c>
      <c r="Y178" s="630">
        <f t="shared" si="22"/>
        <v>0</v>
      </c>
      <c r="Z178" s="36" t="str">
        <f>IFERROR(IF(Y178=0,"",ROUNDUP(Y178/H178,0)*0.00417),"")</f>
        <v/>
      </c>
      <c r="AA178" s="56"/>
      <c r="AB178" s="57"/>
      <c r="AC178" s="235" t="s">
        <v>306</v>
      </c>
      <c r="AG178" s="64"/>
      <c r="AJ178" s="68"/>
      <c r="AK178" s="68">
        <v>0</v>
      </c>
      <c r="BB178" s="236" t="s">
        <v>1</v>
      </c>
      <c r="BM178" s="64">
        <f t="shared" si="23"/>
        <v>0</v>
      </c>
      <c r="BN178" s="64">
        <f t="shared" si="24"/>
        <v>0</v>
      </c>
      <c r="BO178" s="64">
        <f t="shared" si="25"/>
        <v>0</v>
      </c>
      <c r="BP178" s="64">
        <f t="shared" si="26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4301031448</v>
      </c>
      <c r="D179" s="633">
        <v>4680115887503</v>
      </c>
      <c r="E179" s="634"/>
      <c r="F179" s="628">
        <v>0.28000000000000003</v>
      </c>
      <c r="G179" s="32">
        <v>6</v>
      </c>
      <c r="H179" s="628">
        <v>1.68</v>
      </c>
      <c r="I179" s="628">
        <v>1.78</v>
      </c>
      <c r="J179" s="32">
        <v>234</v>
      </c>
      <c r="K179" s="32" t="s">
        <v>64</v>
      </c>
      <c r="L179" s="32"/>
      <c r="M179" s="33" t="s">
        <v>65</v>
      </c>
      <c r="N179" s="33"/>
      <c r="O179" s="32">
        <v>40</v>
      </c>
      <c r="P179" s="84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36"/>
      <c r="R179" s="636"/>
      <c r="S179" s="636"/>
      <c r="T179" s="637"/>
      <c r="U179" s="34"/>
      <c r="V179" s="34"/>
      <c r="W179" s="35" t="s">
        <v>66</v>
      </c>
      <c r="X179" s="629">
        <v>29</v>
      </c>
      <c r="Y179" s="630">
        <f t="shared" si="22"/>
        <v>30.24</v>
      </c>
      <c r="Z179" s="36">
        <f>IFERROR(IF(Y179=0,"",ROUNDUP(Y179/H179,0)*0.00502),"")</f>
        <v>9.0359999999999996E-2</v>
      </c>
      <c r="AA179" s="56"/>
      <c r="AB179" s="57"/>
      <c r="AC179" s="237" t="s">
        <v>294</v>
      </c>
      <c r="AG179" s="64"/>
      <c r="AJ179" s="68"/>
      <c r="AK179" s="68">
        <v>0</v>
      </c>
      <c r="BB179" s="238" t="s">
        <v>1</v>
      </c>
      <c r="BM179" s="64">
        <f t="shared" si="23"/>
        <v>30.726190476190474</v>
      </c>
      <c r="BN179" s="64">
        <f t="shared" si="24"/>
        <v>32.04</v>
      </c>
      <c r="BO179" s="64">
        <f t="shared" si="25"/>
        <v>7.376882376882378E-2</v>
      </c>
      <c r="BP179" s="64">
        <f t="shared" si="26"/>
        <v>7.6923076923076927E-2</v>
      </c>
    </row>
    <row r="180" spans="1:68" ht="27" hidden="1" customHeight="1" x14ac:dyDescent="0.25">
      <c r="A180" s="54" t="s">
        <v>309</v>
      </c>
      <c r="B180" s="54" t="s">
        <v>310</v>
      </c>
      <c r="C180" s="31">
        <v>4301031389</v>
      </c>
      <c r="D180" s="633">
        <v>4680115887763</v>
      </c>
      <c r="E180" s="634"/>
      <c r="F180" s="628">
        <v>0.09</v>
      </c>
      <c r="G180" s="32">
        <v>10</v>
      </c>
      <c r="H180" s="628">
        <v>0.9</v>
      </c>
      <c r="I180" s="628">
        <v>1.1100000000000001</v>
      </c>
      <c r="J180" s="32">
        <v>336</v>
      </c>
      <c r="K180" s="32" t="s">
        <v>120</v>
      </c>
      <c r="L180" s="32"/>
      <c r="M180" s="33" t="s">
        <v>65</v>
      </c>
      <c r="N180" s="33"/>
      <c r="O180" s="32">
        <v>45</v>
      </c>
      <c r="P180" s="77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36"/>
      <c r="R180" s="636"/>
      <c r="S180" s="636"/>
      <c r="T180" s="637"/>
      <c r="U180" s="34"/>
      <c r="V180" s="34"/>
      <c r="W180" s="35" t="s">
        <v>66</v>
      </c>
      <c r="X180" s="629">
        <v>0</v>
      </c>
      <c r="Y180" s="630">
        <f t="shared" si="22"/>
        <v>0</v>
      </c>
      <c r="Z180" s="36" t="str">
        <f>IFERROR(IF(Y180=0,"",ROUNDUP(Y180/H180,0)*0.00417),"")</f>
        <v/>
      </c>
      <c r="AA180" s="56"/>
      <c r="AB180" s="57"/>
      <c r="AC180" s="239" t="s">
        <v>311</v>
      </c>
      <c r="AG180" s="64"/>
      <c r="AJ180" s="68"/>
      <c r="AK180" s="68">
        <v>0</v>
      </c>
      <c r="BB180" s="240" t="s">
        <v>1</v>
      </c>
      <c r="BM180" s="64">
        <f t="shared" si="23"/>
        <v>0</v>
      </c>
      <c r="BN180" s="64">
        <f t="shared" si="24"/>
        <v>0</v>
      </c>
      <c r="BO180" s="64">
        <f t="shared" si="25"/>
        <v>0</v>
      </c>
      <c r="BP180" s="64">
        <f t="shared" si="26"/>
        <v>0</v>
      </c>
    </row>
    <row r="181" spans="1:68" ht="27" hidden="1" customHeight="1" x14ac:dyDescent="0.25">
      <c r="A181" s="54" t="s">
        <v>309</v>
      </c>
      <c r="B181" s="54" t="s">
        <v>312</v>
      </c>
      <c r="C181" s="31">
        <v>4301031510</v>
      </c>
      <c r="D181" s="633">
        <v>4680115887763</v>
      </c>
      <c r="E181" s="634"/>
      <c r="F181" s="628">
        <v>0.09</v>
      </c>
      <c r="G181" s="32">
        <v>8</v>
      </c>
      <c r="H181" s="628">
        <v>0.72</v>
      </c>
      <c r="I181" s="628">
        <v>0.90800000000000003</v>
      </c>
      <c r="J181" s="32">
        <v>336</v>
      </c>
      <c r="K181" s="32" t="s">
        <v>120</v>
      </c>
      <c r="L181" s="32"/>
      <c r="M181" s="33" t="s">
        <v>65</v>
      </c>
      <c r="N181" s="33"/>
      <c r="O181" s="32">
        <v>45</v>
      </c>
      <c r="P181" s="9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66</v>
      </c>
      <c r="X181" s="629">
        <v>0</v>
      </c>
      <c r="Y181" s="630">
        <f t="shared" si="22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23"/>
        <v>0</v>
      </c>
      <c r="BN181" s="64">
        <f t="shared" si="24"/>
        <v>0</v>
      </c>
      <c r="BO181" s="64">
        <f t="shared" si="25"/>
        <v>0</v>
      </c>
      <c r="BP181" s="64">
        <f t="shared" si="26"/>
        <v>0</v>
      </c>
    </row>
    <row r="182" spans="1:68" ht="27" customHeight="1" x14ac:dyDescent="0.25">
      <c r="A182" s="54" t="s">
        <v>313</v>
      </c>
      <c r="B182" s="54" t="s">
        <v>314</v>
      </c>
      <c r="C182" s="31">
        <v>4301031454</v>
      </c>
      <c r="D182" s="633">
        <v>4680115887480</v>
      </c>
      <c r="E182" s="634"/>
      <c r="F182" s="628">
        <v>0.28000000000000003</v>
      </c>
      <c r="G182" s="32">
        <v>6</v>
      </c>
      <c r="H182" s="628">
        <v>1.68</v>
      </c>
      <c r="I182" s="628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8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66</v>
      </c>
      <c r="X182" s="629">
        <v>20</v>
      </c>
      <c r="Y182" s="630">
        <f t="shared" si="22"/>
        <v>20.16</v>
      </c>
      <c r="Z182" s="36">
        <f>IFERROR(IF(Y182=0,"",ROUNDUP(Y182/H182,0)*0.00502),"")</f>
        <v>6.0240000000000002E-2</v>
      </c>
      <c r="AA182" s="56"/>
      <c r="AB182" s="57"/>
      <c r="AC182" s="243" t="s">
        <v>300</v>
      </c>
      <c r="AG182" s="64"/>
      <c r="AJ182" s="68"/>
      <c r="AK182" s="68">
        <v>0</v>
      </c>
      <c r="BB182" s="244" t="s">
        <v>1</v>
      </c>
      <c r="BM182" s="64">
        <f t="shared" si="23"/>
        <v>21.190476190476193</v>
      </c>
      <c r="BN182" s="64">
        <f t="shared" si="24"/>
        <v>21.36</v>
      </c>
      <c r="BO182" s="64">
        <f t="shared" si="25"/>
        <v>5.0875050875050884E-2</v>
      </c>
      <c r="BP182" s="64">
        <f t="shared" si="26"/>
        <v>5.1282051282051287E-2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4301031434</v>
      </c>
      <c r="D183" s="633">
        <v>4680115888067</v>
      </c>
      <c r="E183" s="634"/>
      <c r="F183" s="628">
        <v>0.09</v>
      </c>
      <c r="G183" s="32">
        <v>10</v>
      </c>
      <c r="H183" s="628">
        <v>0.9</v>
      </c>
      <c r="I183" s="628">
        <v>1</v>
      </c>
      <c r="J183" s="32">
        <v>336</v>
      </c>
      <c r="K183" s="32" t="s">
        <v>120</v>
      </c>
      <c r="L183" s="32"/>
      <c r="M183" s="33" t="s">
        <v>65</v>
      </c>
      <c r="N183" s="33"/>
      <c r="O183" s="32">
        <v>45</v>
      </c>
      <c r="P183" s="93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66</v>
      </c>
      <c r="X183" s="629">
        <v>0</v>
      </c>
      <c r="Y183" s="630">
        <f t="shared" si="22"/>
        <v>0</v>
      </c>
      <c r="Z183" s="36" t="str">
        <f>IFERROR(IF(Y183=0,"",ROUNDUP(Y183/H183,0)*0.00417),"")</f>
        <v/>
      </c>
      <c r="AA183" s="56"/>
      <c r="AB183" s="57"/>
      <c r="AC183" s="245" t="s">
        <v>317</v>
      </c>
      <c r="AG183" s="64"/>
      <c r="AJ183" s="68"/>
      <c r="AK183" s="68">
        <v>0</v>
      </c>
      <c r="BB183" s="246" t="s">
        <v>1</v>
      </c>
      <c r="BM183" s="64">
        <f t="shared" si="23"/>
        <v>0</v>
      </c>
      <c r="BN183" s="64">
        <f t="shared" si="24"/>
        <v>0</v>
      </c>
      <c r="BO183" s="64">
        <f t="shared" si="25"/>
        <v>0</v>
      </c>
      <c r="BP183" s="64">
        <f t="shared" si="26"/>
        <v>0</v>
      </c>
    </row>
    <row r="184" spans="1:68" ht="27" customHeight="1" x14ac:dyDescent="0.25">
      <c r="A184" s="54" t="s">
        <v>318</v>
      </c>
      <c r="B184" s="54" t="s">
        <v>319</v>
      </c>
      <c r="C184" s="31">
        <v>4301031519</v>
      </c>
      <c r="D184" s="633">
        <v>4680115887435</v>
      </c>
      <c r="E184" s="634"/>
      <c r="F184" s="628">
        <v>0.28000000000000003</v>
      </c>
      <c r="G184" s="32">
        <v>6</v>
      </c>
      <c r="H184" s="628">
        <v>1.68</v>
      </c>
      <c r="I184" s="628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3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36"/>
      <c r="R184" s="636"/>
      <c r="S184" s="636"/>
      <c r="T184" s="637"/>
      <c r="U184" s="34"/>
      <c r="V184" s="34"/>
      <c r="W184" s="35" t="s">
        <v>66</v>
      </c>
      <c r="X184" s="629">
        <v>20</v>
      </c>
      <c r="Y184" s="630">
        <f t="shared" si="22"/>
        <v>20.16</v>
      </c>
      <c r="Z184" s="36">
        <f>IFERROR(IF(Y184=0,"",ROUNDUP(Y184/H184,0)*0.00502),"")</f>
        <v>6.0240000000000002E-2</v>
      </c>
      <c r="AA184" s="56"/>
      <c r="AB184" s="57"/>
      <c r="AC184" s="247" t="s">
        <v>320</v>
      </c>
      <c r="AG184" s="64"/>
      <c r="AJ184" s="68"/>
      <c r="AK184" s="68">
        <v>0</v>
      </c>
      <c r="BB184" s="248" t="s">
        <v>1</v>
      </c>
      <c r="BM184" s="64">
        <f t="shared" si="23"/>
        <v>21.190476190476193</v>
      </c>
      <c r="BN184" s="64">
        <f t="shared" si="24"/>
        <v>21.36</v>
      </c>
      <c r="BO184" s="64">
        <f t="shared" si="25"/>
        <v>5.0875050875050884E-2</v>
      </c>
      <c r="BP184" s="64">
        <f t="shared" si="26"/>
        <v>5.1282051282051287E-2</v>
      </c>
    </row>
    <row r="185" spans="1:68" x14ac:dyDescent="0.2">
      <c r="A185" s="642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4"/>
      <c r="P185" s="646" t="s">
        <v>71</v>
      </c>
      <c r="Q185" s="647"/>
      <c r="R185" s="647"/>
      <c r="S185" s="647"/>
      <c r="T185" s="647"/>
      <c r="U185" s="647"/>
      <c r="V185" s="648"/>
      <c r="W185" s="37" t="s">
        <v>72</v>
      </c>
      <c r="X185" s="63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133.07142857142856</v>
      </c>
      <c r="Y185" s="63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134</v>
      </c>
      <c r="Z185" s="63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1.04068</v>
      </c>
      <c r="AA185" s="632"/>
      <c r="AB185" s="632"/>
      <c r="AC185" s="632"/>
    </row>
    <row r="186" spans="1:68" x14ac:dyDescent="0.2">
      <c r="A186" s="643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4"/>
      <c r="P186" s="646" t="s">
        <v>71</v>
      </c>
      <c r="Q186" s="647"/>
      <c r="R186" s="647"/>
      <c r="S186" s="647"/>
      <c r="T186" s="647"/>
      <c r="U186" s="647"/>
      <c r="V186" s="648"/>
      <c r="W186" s="37" t="s">
        <v>66</v>
      </c>
      <c r="X186" s="631">
        <f>IFERROR(SUM(X174:X184),"0")</f>
        <v>391</v>
      </c>
      <c r="Y186" s="631">
        <f>IFERROR(SUM(Y174:Y184),"0")</f>
        <v>392.56000000000006</v>
      </c>
      <c r="Z186" s="37"/>
      <c r="AA186" s="632"/>
      <c r="AB186" s="632"/>
      <c r="AC186" s="632"/>
    </row>
    <row r="187" spans="1:68" ht="14.25" hidden="1" customHeight="1" x14ac:dyDescent="0.25">
      <c r="A187" s="652" t="s">
        <v>73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  <c r="AA187" s="625"/>
      <c r="AB187" s="625"/>
      <c r="AC187" s="625"/>
    </row>
    <row r="188" spans="1:68" ht="16.5" hidden="1" customHeight="1" x14ac:dyDescent="0.25">
      <c r="A188" s="54" t="s">
        <v>321</v>
      </c>
      <c r="B188" s="54" t="s">
        <v>322</v>
      </c>
      <c r="C188" s="31">
        <v>4301052193</v>
      </c>
      <c r="D188" s="633">
        <v>4680115888395</v>
      </c>
      <c r="E188" s="634"/>
      <c r="F188" s="628">
        <v>0.42</v>
      </c>
      <c r="G188" s="32">
        <v>6</v>
      </c>
      <c r="H188" s="628">
        <v>2.52</v>
      </c>
      <c r="I188" s="628">
        <v>2.766</v>
      </c>
      <c r="J188" s="32">
        <v>182</v>
      </c>
      <c r="K188" s="32" t="s">
        <v>76</v>
      </c>
      <c r="L188" s="32"/>
      <c r="M188" s="33" t="s">
        <v>83</v>
      </c>
      <c r="N188" s="33"/>
      <c r="O188" s="32">
        <v>40</v>
      </c>
      <c r="P188" s="9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36"/>
      <c r="R188" s="636"/>
      <c r="S188" s="636"/>
      <c r="T188" s="637"/>
      <c r="U188" s="34"/>
      <c r="V188" s="34"/>
      <c r="W188" s="35" t="s">
        <v>66</v>
      </c>
      <c r="X188" s="629">
        <v>0</v>
      </c>
      <c r="Y188" s="63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323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324</v>
      </c>
      <c r="B189" s="54" t="s">
        <v>325</v>
      </c>
      <c r="C189" s="31">
        <v>4301052191</v>
      </c>
      <c r="D189" s="633">
        <v>4680115888371</v>
      </c>
      <c r="E189" s="634"/>
      <c r="F189" s="628">
        <v>0.42</v>
      </c>
      <c r="G189" s="32">
        <v>6</v>
      </c>
      <c r="H189" s="628">
        <v>2.52</v>
      </c>
      <c r="I189" s="628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7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36"/>
      <c r="R189" s="636"/>
      <c r="S189" s="636"/>
      <c r="T189" s="637"/>
      <c r="U189" s="34"/>
      <c r="V189" s="34"/>
      <c r="W189" s="35" t="s">
        <v>66</v>
      </c>
      <c r="X189" s="629">
        <v>0</v>
      </c>
      <c r="Y189" s="63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326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hidden="1" customHeight="1" x14ac:dyDescent="0.25">
      <c r="A190" s="54" t="s">
        <v>327</v>
      </c>
      <c r="B190" s="54" t="s">
        <v>328</v>
      </c>
      <c r="C190" s="31">
        <v>4301052064</v>
      </c>
      <c r="D190" s="633">
        <v>4680115887459</v>
      </c>
      <c r="E190" s="634"/>
      <c r="F190" s="628">
        <v>0.3</v>
      </c>
      <c r="G190" s="32">
        <v>6</v>
      </c>
      <c r="H190" s="628">
        <v>1.8</v>
      </c>
      <c r="I190" s="628">
        <v>2.0579999999999998</v>
      </c>
      <c r="J190" s="32">
        <v>182</v>
      </c>
      <c r="K190" s="32" t="s">
        <v>76</v>
      </c>
      <c r="L190" s="32"/>
      <c r="M190" s="33" t="s">
        <v>77</v>
      </c>
      <c r="N190" s="33"/>
      <c r="O190" s="32">
        <v>45</v>
      </c>
      <c r="P190" s="8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36"/>
      <c r="R190" s="636"/>
      <c r="S190" s="636"/>
      <c r="T190" s="637"/>
      <c r="U190" s="34"/>
      <c r="V190" s="34"/>
      <c r="W190" s="35" t="s">
        <v>66</v>
      </c>
      <c r="X190" s="629">
        <v>0</v>
      </c>
      <c r="Y190" s="63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42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6" t="s">
        <v>71</v>
      </c>
      <c r="Q191" s="647"/>
      <c r="R191" s="647"/>
      <c r="S191" s="647"/>
      <c r="T191" s="647"/>
      <c r="U191" s="647"/>
      <c r="V191" s="648"/>
      <c r="W191" s="37" t="s">
        <v>72</v>
      </c>
      <c r="X191" s="631">
        <f>IFERROR(X188/H188,"0")+IFERROR(X189/H189,"0")+IFERROR(X190/H190,"0")</f>
        <v>0</v>
      </c>
      <c r="Y191" s="631">
        <f>IFERROR(Y188/H188,"0")+IFERROR(Y189/H189,"0")+IFERROR(Y190/H190,"0")</f>
        <v>0</v>
      </c>
      <c r="Z191" s="631">
        <f>IFERROR(IF(Z188="",0,Z188),"0")+IFERROR(IF(Z189="",0,Z189),"0")+IFERROR(IF(Z190="",0,Z190),"0")</f>
        <v>0</v>
      </c>
      <c r="AA191" s="632"/>
      <c r="AB191" s="632"/>
      <c r="AC191" s="632"/>
    </row>
    <row r="192" spans="1:68" hidden="1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6" t="s">
        <v>71</v>
      </c>
      <c r="Q192" s="647"/>
      <c r="R192" s="647"/>
      <c r="S192" s="647"/>
      <c r="T192" s="647"/>
      <c r="U192" s="647"/>
      <c r="V192" s="648"/>
      <c r="W192" s="37" t="s">
        <v>66</v>
      </c>
      <c r="X192" s="631">
        <f>IFERROR(SUM(X188:X190),"0")</f>
        <v>0</v>
      </c>
      <c r="Y192" s="631">
        <f>IFERROR(SUM(Y188:Y190),"0")</f>
        <v>0</v>
      </c>
      <c r="Z192" s="37"/>
      <c r="AA192" s="632"/>
      <c r="AB192" s="632"/>
      <c r="AC192" s="632"/>
    </row>
    <row r="193" spans="1:68" ht="14.25" hidden="1" customHeight="1" x14ac:dyDescent="0.25">
      <c r="A193" s="652" t="s">
        <v>270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25"/>
      <c r="AB193" s="625"/>
      <c r="AC193" s="625"/>
    </row>
    <row r="194" spans="1:68" ht="16.5" hidden="1" customHeight="1" x14ac:dyDescent="0.25">
      <c r="A194" s="54" t="s">
        <v>330</v>
      </c>
      <c r="B194" s="54" t="s">
        <v>331</v>
      </c>
      <c r="C194" s="31">
        <v>4301032058</v>
      </c>
      <c r="D194" s="633">
        <v>4680115889026</v>
      </c>
      <c r="E194" s="634"/>
      <c r="F194" s="628">
        <v>0.06</v>
      </c>
      <c r="G194" s="32">
        <v>18</v>
      </c>
      <c r="H194" s="628">
        <v>1.08</v>
      </c>
      <c r="I194" s="628">
        <v>1.36</v>
      </c>
      <c r="J194" s="32">
        <v>216</v>
      </c>
      <c r="K194" s="32" t="s">
        <v>332</v>
      </c>
      <c r="L194" s="32"/>
      <c r="M194" s="33" t="s">
        <v>274</v>
      </c>
      <c r="N194" s="33"/>
      <c r="O194" s="32">
        <v>60</v>
      </c>
      <c r="P194" s="75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36"/>
      <c r="R194" s="636"/>
      <c r="S194" s="636"/>
      <c r="T194" s="637"/>
      <c r="U194" s="34"/>
      <c r="V194" s="34"/>
      <c r="W194" s="35" t="s">
        <v>66</v>
      </c>
      <c r="X194" s="629">
        <v>0</v>
      </c>
      <c r="Y194" s="63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333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42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6" t="s">
        <v>71</v>
      </c>
      <c r="Q195" s="647"/>
      <c r="R195" s="647"/>
      <c r="S195" s="647"/>
      <c r="T195" s="647"/>
      <c r="U195" s="647"/>
      <c r="V195" s="648"/>
      <c r="W195" s="37" t="s">
        <v>72</v>
      </c>
      <c r="X195" s="631">
        <f>IFERROR(X194/H194,"0")</f>
        <v>0</v>
      </c>
      <c r="Y195" s="631">
        <f>IFERROR(Y194/H194,"0")</f>
        <v>0</v>
      </c>
      <c r="Z195" s="631">
        <f>IFERROR(IF(Z194="",0,Z194),"0")</f>
        <v>0</v>
      </c>
      <c r="AA195" s="632"/>
      <c r="AB195" s="632"/>
      <c r="AC195" s="632"/>
    </row>
    <row r="196" spans="1:68" hidden="1" x14ac:dyDescent="0.2">
      <c r="A196" s="643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4"/>
      <c r="P196" s="646" t="s">
        <v>71</v>
      </c>
      <c r="Q196" s="647"/>
      <c r="R196" s="647"/>
      <c r="S196" s="647"/>
      <c r="T196" s="647"/>
      <c r="U196" s="647"/>
      <c r="V196" s="648"/>
      <c r="W196" s="37" t="s">
        <v>66</v>
      </c>
      <c r="X196" s="631">
        <f>IFERROR(SUM(X194:X194),"0")</f>
        <v>0</v>
      </c>
      <c r="Y196" s="631">
        <f>IFERROR(SUM(Y194:Y194),"0")</f>
        <v>0</v>
      </c>
      <c r="Z196" s="37"/>
      <c r="AA196" s="632"/>
      <c r="AB196" s="632"/>
      <c r="AC196" s="632"/>
    </row>
    <row r="197" spans="1:68" ht="14.25" hidden="1" customHeight="1" x14ac:dyDescent="0.25">
      <c r="A197" s="652" t="s">
        <v>334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25"/>
      <c r="AB197" s="625"/>
      <c r="AC197" s="625"/>
    </row>
    <row r="198" spans="1:68" ht="27" hidden="1" customHeight="1" x14ac:dyDescent="0.25">
      <c r="A198" s="54" t="s">
        <v>335</v>
      </c>
      <c r="B198" s="54" t="s">
        <v>336</v>
      </c>
      <c r="C198" s="31">
        <v>4301041009</v>
      </c>
      <c r="D198" s="633">
        <v>4680115889033</v>
      </c>
      <c r="E198" s="634"/>
      <c r="F198" s="628">
        <v>0.11</v>
      </c>
      <c r="G198" s="32">
        <v>15</v>
      </c>
      <c r="H198" s="628">
        <v>1.65</v>
      </c>
      <c r="I198" s="628">
        <v>1.9</v>
      </c>
      <c r="J198" s="32">
        <v>216</v>
      </c>
      <c r="K198" s="32" t="s">
        <v>332</v>
      </c>
      <c r="L198" s="32"/>
      <c r="M198" s="33" t="s">
        <v>274</v>
      </c>
      <c r="N198" s="33"/>
      <c r="O198" s="32">
        <v>60</v>
      </c>
      <c r="P198" s="9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36"/>
      <c r="R198" s="636"/>
      <c r="S198" s="636"/>
      <c r="T198" s="637"/>
      <c r="U198" s="34"/>
      <c r="V198" s="34"/>
      <c r="W198" s="35" t="s">
        <v>66</v>
      </c>
      <c r="X198" s="629">
        <v>0</v>
      </c>
      <c r="Y198" s="630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337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42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6" t="s">
        <v>71</v>
      </c>
      <c r="Q199" s="647"/>
      <c r="R199" s="647"/>
      <c r="S199" s="647"/>
      <c r="T199" s="647"/>
      <c r="U199" s="647"/>
      <c r="V199" s="648"/>
      <c r="W199" s="37" t="s">
        <v>72</v>
      </c>
      <c r="X199" s="631">
        <f>IFERROR(X198/H198,"0")</f>
        <v>0</v>
      </c>
      <c r="Y199" s="631">
        <f>IFERROR(Y198/H198,"0")</f>
        <v>0</v>
      </c>
      <c r="Z199" s="631">
        <f>IFERROR(IF(Z198="",0,Z198),"0")</f>
        <v>0</v>
      </c>
      <c r="AA199" s="632"/>
      <c r="AB199" s="632"/>
      <c r="AC199" s="632"/>
    </row>
    <row r="200" spans="1:68" hidden="1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6" t="s">
        <v>71</v>
      </c>
      <c r="Q200" s="647"/>
      <c r="R200" s="647"/>
      <c r="S200" s="647"/>
      <c r="T200" s="647"/>
      <c r="U200" s="647"/>
      <c r="V200" s="648"/>
      <c r="W200" s="37" t="s">
        <v>66</v>
      </c>
      <c r="X200" s="631">
        <f>IFERROR(SUM(X198:X198),"0")</f>
        <v>0</v>
      </c>
      <c r="Y200" s="631">
        <f>IFERROR(SUM(Y198:Y198),"0")</f>
        <v>0</v>
      </c>
      <c r="Z200" s="37"/>
      <c r="AA200" s="632"/>
      <c r="AB200" s="632"/>
      <c r="AC200" s="632"/>
    </row>
    <row r="201" spans="1:68" ht="27.75" hidden="1" customHeight="1" x14ac:dyDescent="0.2">
      <c r="A201" s="653" t="s">
        <v>338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48"/>
      <c r="AB201" s="48"/>
      <c r="AC201" s="48"/>
    </row>
    <row r="202" spans="1:68" ht="16.5" hidden="1" customHeight="1" x14ac:dyDescent="0.25">
      <c r="A202" s="650" t="s">
        <v>339</v>
      </c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  <c r="AA202" s="624"/>
      <c r="AB202" s="624"/>
      <c r="AC202" s="624"/>
    </row>
    <row r="203" spans="1:68" ht="14.25" hidden="1" customHeight="1" x14ac:dyDescent="0.25">
      <c r="A203" s="652" t="s">
        <v>112</v>
      </c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  <c r="AA203" s="625"/>
      <c r="AB203" s="625"/>
      <c r="AC203" s="625"/>
    </row>
    <row r="204" spans="1:68" ht="27" hidden="1" customHeight="1" x14ac:dyDescent="0.25">
      <c r="A204" s="54" t="s">
        <v>340</v>
      </c>
      <c r="B204" s="54" t="s">
        <v>341</v>
      </c>
      <c r="C204" s="31">
        <v>4301011223</v>
      </c>
      <c r="D204" s="633">
        <v>4607091383423</v>
      </c>
      <c r="E204" s="634"/>
      <c r="F204" s="628">
        <v>1.35</v>
      </c>
      <c r="G204" s="32">
        <v>8</v>
      </c>
      <c r="H204" s="628">
        <v>10.8</v>
      </c>
      <c r="I204" s="628">
        <v>11.305999999999999</v>
      </c>
      <c r="J204" s="32">
        <v>64</v>
      </c>
      <c r="K204" s="32" t="s">
        <v>115</v>
      </c>
      <c r="L204" s="32"/>
      <c r="M204" s="33" t="s">
        <v>77</v>
      </c>
      <c r="N204" s="33"/>
      <c r="O204" s="32">
        <v>35</v>
      </c>
      <c r="P204" s="84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36"/>
      <c r="R204" s="636"/>
      <c r="S204" s="636"/>
      <c r="T204" s="637"/>
      <c r="U204" s="34"/>
      <c r="V204" s="34"/>
      <c r="W204" s="35" t="s">
        <v>66</v>
      </c>
      <c r="X204" s="629">
        <v>0</v>
      </c>
      <c r="Y204" s="630">
        <f t="shared" ref="Y204:Y210" si="27">IFERROR(IF(X204="",0,CEILING((X204/$H204),1)*$H204),"")</f>
        <v>0</v>
      </c>
      <c r="Z204" s="36" t="str">
        <f t="shared" ref="Z204:Z210" si="28">IFERROR(IF(Y204=0,"",ROUNDUP(Y204/H204,0)*0.01898),"")</f>
        <v/>
      </c>
      <c r="AA204" s="56"/>
      <c r="AB204" s="57"/>
      <c r="AC204" s="259" t="s">
        <v>117</v>
      </c>
      <c r="AG204" s="64"/>
      <c r="AJ204" s="68"/>
      <c r="AK204" s="68">
        <v>0</v>
      </c>
      <c r="BB204" s="260" t="s">
        <v>1</v>
      </c>
      <c r="BM204" s="64">
        <f t="shared" ref="BM204:BM210" si="29">IFERROR(X204*I204/H204,"0")</f>
        <v>0</v>
      </c>
      <c r="BN204" s="64">
        <f t="shared" ref="BN204:BN210" si="30">IFERROR(Y204*I204/H204,"0")</f>
        <v>0</v>
      </c>
      <c r="BO204" s="64">
        <f t="shared" ref="BO204:BO210" si="31">IFERROR(1/J204*(X204/H204),"0")</f>
        <v>0</v>
      </c>
      <c r="BP204" s="64">
        <f t="shared" ref="BP204:BP210" si="32">IFERROR(1/J204*(Y204/H204),"0")</f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4301012340</v>
      </c>
      <c r="D205" s="633">
        <v>4680115888760</v>
      </c>
      <c r="E205" s="634"/>
      <c r="F205" s="628">
        <v>1.4</v>
      </c>
      <c r="G205" s="32">
        <v>6</v>
      </c>
      <c r="H205" s="628">
        <v>8.4</v>
      </c>
      <c r="I205" s="628">
        <v>8.81</v>
      </c>
      <c r="J205" s="32">
        <v>64</v>
      </c>
      <c r="K205" s="32" t="s">
        <v>115</v>
      </c>
      <c r="L205" s="32"/>
      <c r="M205" s="33" t="s">
        <v>77</v>
      </c>
      <c r="N205" s="33"/>
      <c r="O205" s="32">
        <v>35</v>
      </c>
      <c r="P205" s="77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36"/>
      <c r="R205" s="636"/>
      <c r="S205" s="636"/>
      <c r="T205" s="637"/>
      <c r="U205" s="34"/>
      <c r="V205" s="34"/>
      <c r="W205" s="35" t="s">
        <v>66</v>
      </c>
      <c r="X205" s="629">
        <v>0</v>
      </c>
      <c r="Y205" s="630">
        <f t="shared" si="27"/>
        <v>0</v>
      </c>
      <c r="Z205" s="36" t="str">
        <f t="shared" si="28"/>
        <v/>
      </c>
      <c r="AA205" s="56"/>
      <c r="AB205" s="57"/>
      <c r="AC205" s="261" t="s">
        <v>344</v>
      </c>
      <c r="AG205" s="64"/>
      <c r="AJ205" s="68"/>
      <c r="AK205" s="68">
        <v>0</v>
      </c>
      <c r="BB205" s="262" t="s">
        <v>1</v>
      </c>
      <c r="BM205" s="64">
        <f t="shared" si="29"/>
        <v>0</v>
      </c>
      <c r="BN205" s="64">
        <f t="shared" si="30"/>
        <v>0</v>
      </c>
      <c r="BO205" s="64">
        <f t="shared" si="31"/>
        <v>0</v>
      </c>
      <c r="BP205" s="64">
        <f t="shared" si="32"/>
        <v>0</v>
      </c>
    </row>
    <row r="206" spans="1:68" ht="27" hidden="1" customHeight="1" x14ac:dyDescent="0.25">
      <c r="A206" s="54" t="s">
        <v>345</v>
      </c>
      <c r="B206" s="54" t="s">
        <v>346</v>
      </c>
      <c r="C206" s="31">
        <v>4301012341</v>
      </c>
      <c r="D206" s="633">
        <v>4680115888807</v>
      </c>
      <c r="E206" s="634"/>
      <c r="F206" s="628">
        <v>1.4</v>
      </c>
      <c r="G206" s="32">
        <v>6</v>
      </c>
      <c r="H206" s="628">
        <v>8.4</v>
      </c>
      <c r="I206" s="628">
        <v>8.81</v>
      </c>
      <c r="J206" s="32">
        <v>64</v>
      </c>
      <c r="K206" s="32" t="s">
        <v>115</v>
      </c>
      <c r="L206" s="32"/>
      <c r="M206" s="33" t="s">
        <v>77</v>
      </c>
      <c r="N206" s="33"/>
      <c r="O206" s="32">
        <v>35</v>
      </c>
      <c r="P206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36"/>
      <c r="R206" s="636"/>
      <c r="S206" s="636"/>
      <c r="T206" s="637"/>
      <c r="U206" s="34"/>
      <c r="V206" s="34"/>
      <c r="W206" s="35" t="s">
        <v>66</v>
      </c>
      <c r="X206" s="629">
        <v>0</v>
      </c>
      <c r="Y206" s="630">
        <f t="shared" si="27"/>
        <v>0</v>
      </c>
      <c r="Z206" s="36" t="str">
        <f t="shared" si="28"/>
        <v/>
      </c>
      <c r="AA206" s="56"/>
      <c r="AB206" s="57"/>
      <c r="AC206" s="263" t="s">
        <v>347</v>
      </c>
      <c r="AG206" s="64"/>
      <c r="AJ206" s="68"/>
      <c r="AK206" s="68">
        <v>0</v>
      </c>
      <c r="BB206" s="264" t="s">
        <v>1</v>
      </c>
      <c r="BM206" s="64">
        <f t="shared" si="29"/>
        <v>0</v>
      </c>
      <c r="BN206" s="64">
        <f t="shared" si="30"/>
        <v>0</v>
      </c>
      <c r="BO206" s="64">
        <f t="shared" si="31"/>
        <v>0</v>
      </c>
      <c r="BP206" s="64">
        <f t="shared" si="32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4301012342</v>
      </c>
      <c r="D207" s="633">
        <v>4680115888852</v>
      </c>
      <c r="E207" s="634"/>
      <c r="F207" s="628">
        <v>0.9</v>
      </c>
      <c r="G207" s="32">
        <v>6</v>
      </c>
      <c r="H207" s="628">
        <v>5.4</v>
      </c>
      <c r="I207" s="628">
        <v>5.81</v>
      </c>
      <c r="J207" s="32">
        <v>64</v>
      </c>
      <c r="K207" s="32" t="s">
        <v>115</v>
      </c>
      <c r="L207" s="32"/>
      <c r="M207" s="33" t="s">
        <v>77</v>
      </c>
      <c r="N207" s="33"/>
      <c r="O207" s="32">
        <v>35</v>
      </c>
      <c r="P207" s="84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36"/>
      <c r="R207" s="636"/>
      <c r="S207" s="636"/>
      <c r="T207" s="637"/>
      <c r="U207" s="34"/>
      <c r="V207" s="34"/>
      <c r="W207" s="35" t="s">
        <v>66</v>
      </c>
      <c r="X207" s="629">
        <v>0</v>
      </c>
      <c r="Y207" s="630">
        <f t="shared" si="27"/>
        <v>0</v>
      </c>
      <c r="Z207" s="36" t="str">
        <f t="shared" si="28"/>
        <v/>
      </c>
      <c r="AA207" s="56"/>
      <c r="AB207" s="57"/>
      <c r="AC207" s="265" t="s">
        <v>350</v>
      </c>
      <c r="AG207" s="64"/>
      <c r="AJ207" s="68"/>
      <c r="AK207" s="68">
        <v>0</v>
      </c>
      <c r="BB207" s="266" t="s">
        <v>1</v>
      </c>
      <c r="BM207" s="64">
        <f t="shared" si="29"/>
        <v>0</v>
      </c>
      <c r="BN207" s="64">
        <f t="shared" si="30"/>
        <v>0</v>
      </c>
      <c r="BO207" s="64">
        <f t="shared" si="31"/>
        <v>0</v>
      </c>
      <c r="BP207" s="64">
        <f t="shared" si="32"/>
        <v>0</v>
      </c>
    </row>
    <row r="208" spans="1:68" ht="37.5" hidden="1" customHeight="1" x14ac:dyDescent="0.25">
      <c r="A208" s="54" t="s">
        <v>351</v>
      </c>
      <c r="B208" s="54" t="s">
        <v>352</v>
      </c>
      <c r="C208" s="31">
        <v>4301012370</v>
      </c>
      <c r="D208" s="633">
        <v>4680115886957</v>
      </c>
      <c r="E208" s="634"/>
      <c r="F208" s="628">
        <v>1.35</v>
      </c>
      <c r="G208" s="32">
        <v>8</v>
      </c>
      <c r="H208" s="628">
        <v>10.8</v>
      </c>
      <c r="I208" s="628">
        <v>11.29</v>
      </c>
      <c r="J208" s="32">
        <v>64</v>
      </c>
      <c r="K208" s="32" t="s">
        <v>115</v>
      </c>
      <c r="L208" s="32"/>
      <c r="M208" s="33" t="s">
        <v>77</v>
      </c>
      <c r="N208" s="33"/>
      <c r="O208" s="32">
        <v>35</v>
      </c>
      <c r="P208" s="76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36"/>
      <c r="R208" s="636"/>
      <c r="S208" s="636"/>
      <c r="T208" s="637"/>
      <c r="U208" s="34"/>
      <c r="V208" s="34"/>
      <c r="W208" s="35" t="s">
        <v>66</v>
      </c>
      <c r="X208" s="629">
        <v>0</v>
      </c>
      <c r="Y208" s="630">
        <f t="shared" si="27"/>
        <v>0</v>
      </c>
      <c r="Z208" s="36" t="str">
        <f t="shared" si="28"/>
        <v/>
      </c>
      <c r="AA208" s="56"/>
      <c r="AB208" s="57"/>
      <c r="AC208" s="267" t="s">
        <v>353</v>
      </c>
      <c r="AG208" s="64"/>
      <c r="AJ208" s="68"/>
      <c r="AK208" s="68">
        <v>0</v>
      </c>
      <c r="BB208" s="268" t="s">
        <v>1</v>
      </c>
      <c r="BM208" s="64">
        <f t="shared" si="29"/>
        <v>0</v>
      </c>
      <c r="BN208" s="64">
        <f t="shared" si="30"/>
        <v>0</v>
      </c>
      <c r="BO208" s="64">
        <f t="shared" si="31"/>
        <v>0</v>
      </c>
      <c r="BP208" s="64">
        <f t="shared" si="32"/>
        <v>0</v>
      </c>
    </row>
    <row r="209" spans="1:68" ht="27" hidden="1" customHeight="1" x14ac:dyDescent="0.25">
      <c r="A209" s="54" t="s">
        <v>354</v>
      </c>
      <c r="B209" s="54" t="s">
        <v>355</v>
      </c>
      <c r="C209" s="31">
        <v>4301012098</v>
      </c>
      <c r="D209" s="633">
        <v>4680115885660</v>
      </c>
      <c r="E209" s="634"/>
      <c r="F209" s="628">
        <v>1.35</v>
      </c>
      <c r="G209" s="32">
        <v>8</v>
      </c>
      <c r="H209" s="628">
        <v>10.8</v>
      </c>
      <c r="I209" s="628">
        <v>11.21</v>
      </c>
      <c r="J209" s="32">
        <v>64</v>
      </c>
      <c r="K209" s="32" t="s">
        <v>115</v>
      </c>
      <c r="L209" s="32"/>
      <c r="M209" s="33" t="s">
        <v>77</v>
      </c>
      <c r="N209" s="33"/>
      <c r="O209" s="32">
        <v>35</v>
      </c>
      <c r="P209" s="68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36"/>
      <c r="R209" s="636"/>
      <c r="S209" s="636"/>
      <c r="T209" s="637"/>
      <c r="U209" s="34"/>
      <c r="V209" s="34"/>
      <c r="W209" s="35" t="s">
        <v>66</v>
      </c>
      <c r="X209" s="629">
        <v>0</v>
      </c>
      <c r="Y209" s="630">
        <f t="shared" si="27"/>
        <v>0</v>
      </c>
      <c r="Z209" s="36" t="str">
        <f t="shared" si="28"/>
        <v/>
      </c>
      <c r="AA209" s="56"/>
      <c r="AB209" s="57"/>
      <c r="AC209" s="269" t="s">
        <v>356</v>
      </c>
      <c r="AG209" s="64"/>
      <c r="AJ209" s="68"/>
      <c r="AK209" s="68">
        <v>0</v>
      </c>
      <c r="BB209" s="270" t="s">
        <v>1</v>
      </c>
      <c r="BM209" s="64">
        <f t="shared" si="29"/>
        <v>0</v>
      </c>
      <c r="BN209" s="64">
        <f t="shared" si="30"/>
        <v>0</v>
      </c>
      <c r="BO209" s="64">
        <f t="shared" si="31"/>
        <v>0</v>
      </c>
      <c r="BP209" s="64">
        <f t="shared" si="32"/>
        <v>0</v>
      </c>
    </row>
    <row r="210" spans="1:68" ht="27" hidden="1" customHeight="1" x14ac:dyDescent="0.25">
      <c r="A210" s="54" t="s">
        <v>357</v>
      </c>
      <c r="B210" s="54" t="s">
        <v>358</v>
      </c>
      <c r="C210" s="31">
        <v>4301012369</v>
      </c>
      <c r="D210" s="633">
        <v>4680115886773</v>
      </c>
      <c r="E210" s="634"/>
      <c r="F210" s="628">
        <v>0.9</v>
      </c>
      <c r="G210" s="32">
        <v>10</v>
      </c>
      <c r="H210" s="628">
        <v>9</v>
      </c>
      <c r="I210" s="628">
        <v>9.51</v>
      </c>
      <c r="J210" s="32">
        <v>64</v>
      </c>
      <c r="K210" s="32" t="s">
        <v>115</v>
      </c>
      <c r="L210" s="32"/>
      <c r="M210" s="33" t="s">
        <v>77</v>
      </c>
      <c r="N210" s="33"/>
      <c r="O210" s="32">
        <v>35</v>
      </c>
      <c r="P210" s="80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36"/>
      <c r="R210" s="636"/>
      <c r="S210" s="636"/>
      <c r="T210" s="637"/>
      <c r="U210" s="34"/>
      <c r="V210" s="34"/>
      <c r="W210" s="35" t="s">
        <v>66</v>
      </c>
      <c r="X210" s="629">
        <v>0</v>
      </c>
      <c r="Y210" s="630">
        <f t="shared" si="27"/>
        <v>0</v>
      </c>
      <c r="Z210" s="36" t="str">
        <f t="shared" si="28"/>
        <v/>
      </c>
      <c r="AA210" s="56"/>
      <c r="AB210" s="57"/>
      <c r="AC210" s="271" t="s">
        <v>359</v>
      </c>
      <c r="AG210" s="64"/>
      <c r="AJ210" s="68"/>
      <c r="AK210" s="68">
        <v>0</v>
      </c>
      <c r="BB210" s="272" t="s">
        <v>1</v>
      </c>
      <c r="BM210" s="64">
        <f t="shared" si="29"/>
        <v>0</v>
      </c>
      <c r="BN210" s="64">
        <f t="shared" si="30"/>
        <v>0</v>
      </c>
      <c r="BO210" s="64">
        <f t="shared" si="31"/>
        <v>0</v>
      </c>
      <c r="BP210" s="64">
        <f t="shared" si="32"/>
        <v>0</v>
      </c>
    </row>
    <row r="211" spans="1:68" hidden="1" x14ac:dyDescent="0.2">
      <c r="A211" s="642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4"/>
      <c r="P211" s="646" t="s">
        <v>71</v>
      </c>
      <c r="Q211" s="647"/>
      <c r="R211" s="647"/>
      <c r="S211" s="647"/>
      <c r="T211" s="647"/>
      <c r="U211" s="647"/>
      <c r="V211" s="648"/>
      <c r="W211" s="37" t="s">
        <v>72</v>
      </c>
      <c r="X211" s="631">
        <f>IFERROR(X204/H204,"0")+IFERROR(X205/H205,"0")+IFERROR(X206/H206,"0")+IFERROR(X207/H207,"0")+IFERROR(X208/H208,"0")+IFERROR(X209/H209,"0")+IFERROR(X210/H210,"0")</f>
        <v>0</v>
      </c>
      <c r="Y211" s="631">
        <f>IFERROR(Y204/H204,"0")+IFERROR(Y205/H205,"0")+IFERROR(Y206/H206,"0")+IFERROR(Y207/H207,"0")+IFERROR(Y208/H208,"0")+IFERROR(Y209/H209,"0")+IFERROR(Y210/H210,"0")</f>
        <v>0</v>
      </c>
      <c r="Z211" s="63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32"/>
      <c r="AB211" s="632"/>
      <c r="AC211" s="632"/>
    </row>
    <row r="212" spans="1:68" hidden="1" x14ac:dyDescent="0.2">
      <c r="A212" s="643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4"/>
      <c r="P212" s="646" t="s">
        <v>71</v>
      </c>
      <c r="Q212" s="647"/>
      <c r="R212" s="647"/>
      <c r="S212" s="647"/>
      <c r="T212" s="647"/>
      <c r="U212" s="647"/>
      <c r="V212" s="648"/>
      <c r="W212" s="37" t="s">
        <v>66</v>
      </c>
      <c r="X212" s="631">
        <f>IFERROR(SUM(X204:X210),"0")</f>
        <v>0</v>
      </c>
      <c r="Y212" s="631">
        <f>IFERROR(SUM(Y204:Y210),"0")</f>
        <v>0</v>
      </c>
      <c r="Z212" s="37"/>
      <c r="AA212" s="632"/>
      <c r="AB212" s="632"/>
      <c r="AC212" s="632"/>
    </row>
    <row r="213" spans="1:68" ht="16.5" hidden="1" customHeight="1" x14ac:dyDescent="0.25">
      <c r="A213" s="650" t="s">
        <v>360</v>
      </c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24"/>
      <c r="AB213" s="624"/>
      <c r="AC213" s="624"/>
    </row>
    <row r="214" spans="1:68" ht="14.25" hidden="1" customHeight="1" x14ac:dyDescent="0.25">
      <c r="A214" s="652" t="s">
        <v>145</v>
      </c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25"/>
      <c r="AB214" s="625"/>
      <c r="AC214" s="625"/>
    </row>
    <row r="215" spans="1:68" ht="27" hidden="1" customHeight="1" x14ac:dyDescent="0.25">
      <c r="A215" s="54" t="s">
        <v>361</v>
      </c>
      <c r="B215" s="54" t="s">
        <v>362</v>
      </c>
      <c r="C215" s="31">
        <v>4301020323</v>
      </c>
      <c r="D215" s="633">
        <v>4680115886223</v>
      </c>
      <c r="E215" s="634"/>
      <c r="F215" s="628">
        <v>0.33</v>
      </c>
      <c r="G215" s="32">
        <v>6</v>
      </c>
      <c r="H215" s="628">
        <v>1.98</v>
      </c>
      <c r="I215" s="628">
        <v>2.08</v>
      </c>
      <c r="J215" s="32">
        <v>234</v>
      </c>
      <c r="K215" s="32" t="s">
        <v>64</v>
      </c>
      <c r="L215" s="32"/>
      <c r="M215" s="33" t="s">
        <v>65</v>
      </c>
      <c r="N215" s="33"/>
      <c r="O215" s="32">
        <v>40</v>
      </c>
      <c r="P215" s="68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36"/>
      <c r="R215" s="636"/>
      <c r="S215" s="636"/>
      <c r="T215" s="637"/>
      <c r="U215" s="34"/>
      <c r="V215" s="34"/>
      <c r="W215" s="35" t="s">
        <v>66</v>
      </c>
      <c r="X215" s="629">
        <v>0</v>
      </c>
      <c r="Y215" s="630">
        <f>IFERROR(IF(X215="",0,CEILING((X215/$H215),1)*$H215),"")</f>
        <v>0</v>
      </c>
      <c r="Z215" s="36" t="str">
        <f>IFERROR(IF(Y215=0,"",ROUNDUP(Y215/H215,0)*0.00502),"")</f>
        <v/>
      </c>
      <c r="AA215" s="56"/>
      <c r="AB215" s="57"/>
      <c r="AC215" s="273" t="s">
        <v>363</v>
      </c>
      <c r="AG215" s="64"/>
      <c r="AJ215" s="68"/>
      <c r="AK215" s="68">
        <v>0</v>
      </c>
      <c r="BB215" s="274" t="s">
        <v>1</v>
      </c>
      <c r="BM215" s="64">
        <f>IFERROR(X215*I215/H215,"0")</f>
        <v>0</v>
      </c>
      <c r="BN215" s="64">
        <f>IFERROR(Y215*I215/H215,"0")</f>
        <v>0</v>
      </c>
      <c r="BO215" s="64">
        <f>IFERROR(1/J215*(X215/H215),"0")</f>
        <v>0</v>
      </c>
      <c r="BP215" s="64">
        <f>IFERROR(1/J215*(Y215/H215),"0")</f>
        <v>0</v>
      </c>
    </row>
    <row r="216" spans="1:68" hidden="1" x14ac:dyDescent="0.2">
      <c r="A216" s="642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6" t="s">
        <v>71</v>
      </c>
      <c r="Q216" s="647"/>
      <c r="R216" s="647"/>
      <c r="S216" s="647"/>
      <c r="T216" s="647"/>
      <c r="U216" s="647"/>
      <c r="V216" s="648"/>
      <c r="W216" s="37" t="s">
        <v>72</v>
      </c>
      <c r="X216" s="631">
        <f>IFERROR(X215/H215,"0")</f>
        <v>0</v>
      </c>
      <c r="Y216" s="631">
        <f>IFERROR(Y215/H215,"0")</f>
        <v>0</v>
      </c>
      <c r="Z216" s="631">
        <f>IFERROR(IF(Z215="",0,Z215),"0")</f>
        <v>0</v>
      </c>
      <c r="AA216" s="632"/>
      <c r="AB216" s="632"/>
      <c r="AC216" s="632"/>
    </row>
    <row r="217" spans="1:68" hidden="1" x14ac:dyDescent="0.2">
      <c r="A217" s="643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4"/>
      <c r="P217" s="646" t="s">
        <v>71</v>
      </c>
      <c r="Q217" s="647"/>
      <c r="R217" s="647"/>
      <c r="S217" s="647"/>
      <c r="T217" s="647"/>
      <c r="U217" s="647"/>
      <c r="V217" s="648"/>
      <c r="W217" s="37" t="s">
        <v>66</v>
      </c>
      <c r="X217" s="631">
        <f>IFERROR(SUM(X215:X215),"0")</f>
        <v>0</v>
      </c>
      <c r="Y217" s="631">
        <f>IFERROR(SUM(Y215:Y215),"0")</f>
        <v>0</v>
      </c>
      <c r="Z217" s="37"/>
      <c r="AA217" s="632"/>
      <c r="AB217" s="632"/>
      <c r="AC217" s="632"/>
    </row>
    <row r="218" spans="1:68" ht="14.25" hidden="1" customHeight="1" x14ac:dyDescent="0.25">
      <c r="A218" s="652" t="s">
        <v>61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5"/>
      <c r="AB218" s="625"/>
      <c r="AC218" s="625"/>
    </row>
    <row r="219" spans="1:68" ht="27" customHeight="1" x14ac:dyDescent="0.25">
      <c r="A219" s="54" t="s">
        <v>364</v>
      </c>
      <c r="B219" s="54" t="s">
        <v>365</v>
      </c>
      <c r="C219" s="31">
        <v>4301031191</v>
      </c>
      <c r="D219" s="633">
        <v>4680115880993</v>
      </c>
      <c r="E219" s="634"/>
      <c r="F219" s="628">
        <v>0.7</v>
      </c>
      <c r="G219" s="32">
        <v>6</v>
      </c>
      <c r="H219" s="628">
        <v>4.2</v>
      </c>
      <c r="I219" s="628">
        <v>4.45</v>
      </c>
      <c r="J219" s="32">
        <v>132</v>
      </c>
      <c r="K219" s="32" t="s">
        <v>124</v>
      </c>
      <c r="L219" s="32"/>
      <c r="M219" s="33" t="s">
        <v>65</v>
      </c>
      <c r="N219" s="33"/>
      <c r="O219" s="32">
        <v>40</v>
      </c>
      <c r="P219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36"/>
      <c r="R219" s="636"/>
      <c r="S219" s="636"/>
      <c r="T219" s="637"/>
      <c r="U219" s="34"/>
      <c r="V219" s="34"/>
      <c r="W219" s="35" t="s">
        <v>66</v>
      </c>
      <c r="X219" s="629">
        <v>42</v>
      </c>
      <c r="Y219" s="630">
        <f t="shared" ref="Y219:Y232" si="33">IFERROR(IF(X219="",0,CEILING((X219/$H219),1)*$H219),"")</f>
        <v>42</v>
      </c>
      <c r="Z219" s="36">
        <f>IFERROR(IF(Y219=0,"",ROUNDUP(Y219/H219,0)*0.00902),"")</f>
        <v>9.0200000000000002E-2</v>
      </c>
      <c r="AA219" s="56"/>
      <c r="AB219" s="57"/>
      <c r="AC219" s="275" t="s">
        <v>366</v>
      </c>
      <c r="AG219" s="64"/>
      <c r="AJ219" s="68"/>
      <c r="AK219" s="68">
        <v>0</v>
      </c>
      <c r="BB219" s="276" t="s">
        <v>1</v>
      </c>
      <c r="BM219" s="64">
        <f t="shared" ref="BM219:BM232" si="34">IFERROR(X219*I219/H219,"0")</f>
        <v>44.5</v>
      </c>
      <c r="BN219" s="64">
        <f t="shared" ref="BN219:BN232" si="35">IFERROR(Y219*I219/H219,"0")</f>
        <v>44.5</v>
      </c>
      <c r="BO219" s="64">
        <f t="shared" ref="BO219:BO232" si="36">IFERROR(1/J219*(X219/H219),"0")</f>
        <v>7.575757575757576E-2</v>
      </c>
      <c r="BP219" s="64">
        <f t="shared" ref="BP219:BP232" si="37">IFERROR(1/J219*(Y219/H219),"0")</f>
        <v>7.575757575757576E-2</v>
      </c>
    </row>
    <row r="220" spans="1:68" ht="27" hidden="1" customHeight="1" x14ac:dyDescent="0.25">
      <c r="A220" s="54" t="s">
        <v>367</v>
      </c>
      <c r="B220" s="54" t="s">
        <v>368</v>
      </c>
      <c r="C220" s="31">
        <v>4301031204</v>
      </c>
      <c r="D220" s="633">
        <v>4680115881761</v>
      </c>
      <c r="E220" s="634"/>
      <c r="F220" s="628">
        <v>0.7</v>
      </c>
      <c r="G220" s="32">
        <v>6</v>
      </c>
      <c r="H220" s="628">
        <v>4.2</v>
      </c>
      <c r="I220" s="628">
        <v>4.45</v>
      </c>
      <c r="J220" s="32">
        <v>132</v>
      </c>
      <c r="K220" s="32" t="s">
        <v>124</v>
      </c>
      <c r="L220" s="32"/>
      <c r="M220" s="33" t="s">
        <v>65</v>
      </c>
      <c r="N220" s="33"/>
      <c r="O220" s="32">
        <v>40</v>
      </c>
      <c r="P220" s="66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36"/>
      <c r="R220" s="636"/>
      <c r="S220" s="636"/>
      <c r="T220" s="637"/>
      <c r="U220" s="34"/>
      <c r="V220" s="34"/>
      <c r="W220" s="35" t="s">
        <v>66</v>
      </c>
      <c r="X220" s="629">
        <v>0</v>
      </c>
      <c r="Y220" s="630">
        <f t="shared" si="33"/>
        <v>0</v>
      </c>
      <c r="Z220" s="36" t="str">
        <f>IFERROR(IF(Y220=0,"",ROUNDUP(Y220/H220,0)*0.00902),"")</f>
        <v/>
      </c>
      <c r="AA220" s="56"/>
      <c r="AB220" s="57"/>
      <c r="AC220" s="277" t="s">
        <v>369</v>
      </c>
      <c r="AG220" s="64"/>
      <c r="AJ220" s="68"/>
      <c r="AK220" s="68">
        <v>0</v>
      </c>
      <c r="BB220" s="278" t="s">
        <v>1</v>
      </c>
      <c r="BM220" s="64">
        <f t="shared" si="34"/>
        <v>0</v>
      </c>
      <c r="BN220" s="64">
        <f t="shared" si="35"/>
        <v>0</v>
      </c>
      <c r="BO220" s="64">
        <f t="shared" si="36"/>
        <v>0</v>
      </c>
      <c r="BP220" s="64">
        <f t="shared" si="37"/>
        <v>0</v>
      </c>
    </row>
    <row r="221" spans="1:68" ht="27" customHeight="1" x14ac:dyDescent="0.25">
      <c r="A221" s="54" t="s">
        <v>370</v>
      </c>
      <c r="B221" s="54" t="s">
        <v>371</v>
      </c>
      <c r="C221" s="31">
        <v>4301031201</v>
      </c>
      <c r="D221" s="633">
        <v>4680115881563</v>
      </c>
      <c r="E221" s="634"/>
      <c r="F221" s="628">
        <v>0.7</v>
      </c>
      <c r="G221" s="32">
        <v>6</v>
      </c>
      <c r="H221" s="628">
        <v>4.2</v>
      </c>
      <c r="I221" s="628">
        <v>4.3899999999999997</v>
      </c>
      <c r="J221" s="32">
        <v>132</v>
      </c>
      <c r="K221" s="32" t="s">
        <v>124</v>
      </c>
      <c r="L221" s="32"/>
      <c r="M221" s="33" t="s">
        <v>65</v>
      </c>
      <c r="N221" s="33"/>
      <c r="O221" s="32">
        <v>40</v>
      </c>
      <c r="P221" s="68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36"/>
      <c r="R221" s="636"/>
      <c r="S221" s="636"/>
      <c r="T221" s="637"/>
      <c r="U221" s="34"/>
      <c r="V221" s="34"/>
      <c r="W221" s="35" t="s">
        <v>66</v>
      </c>
      <c r="X221" s="629">
        <v>42</v>
      </c>
      <c r="Y221" s="630">
        <f t="shared" si="33"/>
        <v>42</v>
      </c>
      <c r="Z221" s="36">
        <f>IFERROR(IF(Y221=0,"",ROUNDUP(Y221/H221,0)*0.00902),"")</f>
        <v>9.0200000000000002E-2</v>
      </c>
      <c r="AA221" s="56"/>
      <c r="AB221" s="57"/>
      <c r="AC221" s="279" t="s">
        <v>372</v>
      </c>
      <c r="AG221" s="64"/>
      <c r="AJ221" s="68"/>
      <c r="AK221" s="68">
        <v>0</v>
      </c>
      <c r="BB221" s="280" t="s">
        <v>1</v>
      </c>
      <c r="BM221" s="64">
        <f t="shared" si="34"/>
        <v>43.9</v>
      </c>
      <c r="BN221" s="64">
        <f t="shared" si="35"/>
        <v>43.9</v>
      </c>
      <c r="BO221" s="64">
        <f t="shared" si="36"/>
        <v>7.575757575757576E-2</v>
      </c>
      <c r="BP221" s="64">
        <f t="shared" si="37"/>
        <v>7.575757575757576E-2</v>
      </c>
    </row>
    <row r="222" spans="1:68" ht="37.5" customHeight="1" x14ac:dyDescent="0.25">
      <c r="A222" s="54" t="s">
        <v>373</v>
      </c>
      <c r="B222" s="54" t="s">
        <v>374</v>
      </c>
      <c r="C222" s="31">
        <v>4301031447</v>
      </c>
      <c r="D222" s="633">
        <v>4680115887565</v>
      </c>
      <c r="E222" s="634"/>
      <c r="F222" s="628">
        <v>0.08</v>
      </c>
      <c r="G222" s="32">
        <v>10</v>
      </c>
      <c r="H222" s="628">
        <v>0.8</v>
      </c>
      <c r="I222" s="628">
        <v>0.93</v>
      </c>
      <c r="J222" s="32">
        <v>252</v>
      </c>
      <c r="K222" s="32" t="s">
        <v>64</v>
      </c>
      <c r="L222" s="32"/>
      <c r="M222" s="33" t="s">
        <v>65</v>
      </c>
      <c r="N222" s="33"/>
      <c r="O222" s="32">
        <v>45</v>
      </c>
      <c r="P222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36"/>
      <c r="R222" s="636"/>
      <c r="S222" s="636"/>
      <c r="T222" s="637"/>
      <c r="U222" s="34"/>
      <c r="V222" s="34"/>
      <c r="W222" s="35" t="s">
        <v>66</v>
      </c>
      <c r="X222" s="629">
        <v>12</v>
      </c>
      <c r="Y222" s="630">
        <f t="shared" si="33"/>
        <v>12</v>
      </c>
      <c r="Z222" s="36">
        <f>IFERROR(IF(Y222=0,"",ROUNDUP(Y222/H222,0)*0.00556),"")</f>
        <v>8.3400000000000002E-2</v>
      </c>
      <c r="AA222" s="56"/>
      <c r="AB222" s="57"/>
      <c r="AC222" s="281" t="s">
        <v>375</v>
      </c>
      <c r="AG222" s="64"/>
      <c r="AJ222" s="68"/>
      <c r="AK222" s="68">
        <v>0</v>
      </c>
      <c r="BB222" s="282" t="s">
        <v>1</v>
      </c>
      <c r="BM222" s="64">
        <f t="shared" si="34"/>
        <v>13.95</v>
      </c>
      <c r="BN222" s="64">
        <f t="shared" si="35"/>
        <v>13.95</v>
      </c>
      <c r="BO222" s="64">
        <f t="shared" si="36"/>
        <v>5.9523809523809521E-2</v>
      </c>
      <c r="BP222" s="64">
        <f t="shared" si="37"/>
        <v>5.9523809523809521E-2</v>
      </c>
    </row>
    <row r="223" spans="1:68" ht="27" customHeight="1" x14ac:dyDescent="0.25">
      <c r="A223" s="54" t="s">
        <v>376</v>
      </c>
      <c r="B223" s="54" t="s">
        <v>377</v>
      </c>
      <c r="C223" s="31">
        <v>4301031199</v>
      </c>
      <c r="D223" s="633">
        <v>4680115880986</v>
      </c>
      <c r="E223" s="634"/>
      <c r="F223" s="628">
        <v>0.35</v>
      </c>
      <c r="G223" s="32">
        <v>6</v>
      </c>
      <c r="H223" s="628">
        <v>2.1</v>
      </c>
      <c r="I223" s="628">
        <v>2.23</v>
      </c>
      <c r="J223" s="32">
        <v>234</v>
      </c>
      <c r="K223" s="32" t="s">
        <v>64</v>
      </c>
      <c r="L223" s="32"/>
      <c r="M223" s="33" t="s">
        <v>65</v>
      </c>
      <c r="N223" s="33"/>
      <c r="O223" s="32">
        <v>40</v>
      </c>
      <c r="P223" s="7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36"/>
      <c r="R223" s="636"/>
      <c r="S223" s="636"/>
      <c r="T223" s="637"/>
      <c r="U223" s="34"/>
      <c r="V223" s="34"/>
      <c r="W223" s="35" t="s">
        <v>66</v>
      </c>
      <c r="X223" s="629">
        <v>25</v>
      </c>
      <c r="Y223" s="630">
        <f t="shared" si="33"/>
        <v>25.200000000000003</v>
      </c>
      <c r="Z223" s="36">
        <f t="shared" ref="Z223:Z228" si="38">IFERROR(IF(Y223=0,"",ROUNDUP(Y223/H223,0)*0.00502),"")</f>
        <v>6.0240000000000002E-2</v>
      </c>
      <c r="AA223" s="56"/>
      <c r="AB223" s="57"/>
      <c r="AC223" s="283" t="s">
        <v>366</v>
      </c>
      <c r="AG223" s="64"/>
      <c r="AJ223" s="68"/>
      <c r="AK223" s="68">
        <v>0</v>
      </c>
      <c r="BB223" s="284" t="s">
        <v>1</v>
      </c>
      <c r="BM223" s="64">
        <f t="shared" si="34"/>
        <v>26.547619047619047</v>
      </c>
      <c r="BN223" s="64">
        <f t="shared" si="35"/>
        <v>26.76</v>
      </c>
      <c r="BO223" s="64">
        <f t="shared" si="36"/>
        <v>5.0875050875050884E-2</v>
      </c>
      <c r="BP223" s="64">
        <f t="shared" si="37"/>
        <v>5.1282051282051287E-2</v>
      </c>
    </row>
    <row r="224" spans="1:68" ht="27" hidden="1" customHeight="1" x14ac:dyDescent="0.25">
      <c r="A224" s="54" t="s">
        <v>378</v>
      </c>
      <c r="B224" s="54" t="s">
        <v>379</v>
      </c>
      <c r="C224" s="31">
        <v>4301031443</v>
      </c>
      <c r="D224" s="633">
        <v>4680115887213</v>
      </c>
      <c r="E224" s="634"/>
      <c r="F224" s="628">
        <v>0.3</v>
      </c>
      <c r="G224" s="32">
        <v>6</v>
      </c>
      <c r="H224" s="628">
        <v>1.8</v>
      </c>
      <c r="I224" s="628">
        <v>1.9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45</v>
      </c>
      <c r="P224" s="83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36"/>
      <c r="R224" s="636"/>
      <c r="S224" s="636"/>
      <c r="T224" s="637"/>
      <c r="U224" s="34"/>
      <c r="V224" s="34"/>
      <c r="W224" s="35" t="s">
        <v>66</v>
      </c>
      <c r="X224" s="629">
        <v>0</v>
      </c>
      <c r="Y224" s="630">
        <f t="shared" si="33"/>
        <v>0</v>
      </c>
      <c r="Z224" s="36" t="str">
        <f t="shared" si="38"/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 t="shared" si="34"/>
        <v>0</v>
      </c>
      <c r="BN224" s="64">
        <f t="shared" si="35"/>
        <v>0</v>
      </c>
      <c r="BO224" s="64">
        <f t="shared" si="36"/>
        <v>0</v>
      </c>
      <c r="BP224" s="64">
        <f t="shared" si="37"/>
        <v>0</v>
      </c>
    </row>
    <row r="225" spans="1:68" ht="27" hidden="1" customHeight="1" x14ac:dyDescent="0.25">
      <c r="A225" s="54" t="s">
        <v>381</v>
      </c>
      <c r="B225" s="54" t="s">
        <v>382</v>
      </c>
      <c r="C225" s="31">
        <v>4301031205</v>
      </c>
      <c r="D225" s="633">
        <v>4680115881785</v>
      </c>
      <c r="E225" s="634"/>
      <c r="F225" s="628">
        <v>0.35</v>
      </c>
      <c r="G225" s="32">
        <v>6</v>
      </c>
      <c r="H225" s="628">
        <v>2.1</v>
      </c>
      <c r="I225" s="628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8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36"/>
      <c r="R225" s="636"/>
      <c r="S225" s="636"/>
      <c r="T225" s="637"/>
      <c r="U225" s="34"/>
      <c r="V225" s="34"/>
      <c r="W225" s="35" t="s">
        <v>66</v>
      </c>
      <c r="X225" s="629">
        <v>0</v>
      </c>
      <c r="Y225" s="630">
        <f t="shared" si="33"/>
        <v>0</v>
      </c>
      <c r="Z225" s="36" t="str">
        <f t="shared" si="38"/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34"/>
        <v>0</v>
      </c>
      <c r="BN225" s="64">
        <f t="shared" si="35"/>
        <v>0</v>
      </c>
      <c r="BO225" s="64">
        <f t="shared" si="36"/>
        <v>0</v>
      </c>
      <c r="BP225" s="64">
        <f t="shared" si="37"/>
        <v>0</v>
      </c>
    </row>
    <row r="226" spans="1:68" ht="27" hidden="1" customHeight="1" x14ac:dyDescent="0.25">
      <c r="A226" s="54" t="s">
        <v>383</v>
      </c>
      <c r="B226" s="54" t="s">
        <v>384</v>
      </c>
      <c r="C226" s="31">
        <v>4301031499</v>
      </c>
      <c r="D226" s="633">
        <v>4680115888432</v>
      </c>
      <c r="E226" s="634"/>
      <c r="F226" s="628">
        <v>0.3</v>
      </c>
      <c r="G226" s="32">
        <v>6</v>
      </c>
      <c r="H226" s="628">
        <v>1.8</v>
      </c>
      <c r="I226" s="628">
        <v>1.93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36"/>
      <c r="R226" s="636"/>
      <c r="S226" s="636"/>
      <c r="T226" s="637"/>
      <c r="U226" s="34"/>
      <c r="V226" s="34"/>
      <c r="W226" s="35" t="s">
        <v>66</v>
      </c>
      <c r="X226" s="629">
        <v>0</v>
      </c>
      <c r="Y226" s="630">
        <f t="shared" si="33"/>
        <v>0</v>
      </c>
      <c r="Z226" s="36" t="str">
        <f t="shared" si="38"/>
        <v/>
      </c>
      <c r="AA226" s="56"/>
      <c r="AB226" s="57"/>
      <c r="AC226" s="289" t="s">
        <v>385</v>
      </c>
      <c r="AG226" s="64"/>
      <c r="AJ226" s="68"/>
      <c r="AK226" s="68">
        <v>0</v>
      </c>
      <c r="BB226" s="290" t="s">
        <v>1</v>
      </c>
      <c r="BM226" s="64">
        <f t="shared" si="34"/>
        <v>0</v>
      </c>
      <c r="BN226" s="64">
        <f t="shared" si="35"/>
        <v>0</v>
      </c>
      <c r="BO226" s="64">
        <f t="shared" si="36"/>
        <v>0</v>
      </c>
      <c r="BP226" s="64">
        <f t="shared" si="37"/>
        <v>0</v>
      </c>
    </row>
    <row r="227" spans="1:68" ht="27" hidden="1" customHeight="1" x14ac:dyDescent="0.25">
      <c r="A227" s="54" t="s">
        <v>386</v>
      </c>
      <c r="B227" s="54" t="s">
        <v>387</v>
      </c>
      <c r="C227" s="31">
        <v>4301031427</v>
      </c>
      <c r="D227" s="633">
        <v>4680115888104</v>
      </c>
      <c r="E227" s="634"/>
      <c r="F227" s="628">
        <v>0.35</v>
      </c>
      <c r="G227" s="32">
        <v>6</v>
      </c>
      <c r="H227" s="628">
        <v>2.1</v>
      </c>
      <c r="I227" s="628">
        <v>2.2000000000000002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90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36"/>
      <c r="R227" s="636"/>
      <c r="S227" s="636"/>
      <c r="T227" s="637"/>
      <c r="U227" s="34"/>
      <c r="V227" s="34"/>
      <c r="W227" s="35" t="s">
        <v>66</v>
      </c>
      <c r="X227" s="629">
        <v>0</v>
      </c>
      <c r="Y227" s="630">
        <f t="shared" si="33"/>
        <v>0</v>
      </c>
      <c r="Z227" s="36" t="str">
        <f t="shared" si="38"/>
        <v/>
      </c>
      <c r="AA227" s="56"/>
      <c r="AB227" s="57"/>
      <c r="AC227" s="291" t="s">
        <v>388</v>
      </c>
      <c r="AG227" s="64"/>
      <c r="AJ227" s="68"/>
      <c r="AK227" s="68">
        <v>0</v>
      </c>
      <c r="BB227" s="292" t="s">
        <v>1</v>
      </c>
      <c r="BM227" s="64">
        <f t="shared" si="34"/>
        <v>0</v>
      </c>
      <c r="BN227" s="64">
        <f t="shared" si="35"/>
        <v>0</v>
      </c>
      <c r="BO227" s="64">
        <f t="shared" si="36"/>
        <v>0</v>
      </c>
      <c r="BP227" s="64">
        <f t="shared" si="37"/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4301031399</v>
      </c>
      <c r="D228" s="633">
        <v>4680115886537</v>
      </c>
      <c r="E228" s="634"/>
      <c r="F228" s="628">
        <v>0.3</v>
      </c>
      <c r="G228" s="32">
        <v>6</v>
      </c>
      <c r="H228" s="628">
        <v>1.8</v>
      </c>
      <c r="I228" s="628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66</v>
      </c>
      <c r="X228" s="629">
        <v>17</v>
      </c>
      <c r="Y228" s="630">
        <f t="shared" si="33"/>
        <v>18</v>
      </c>
      <c r="Z228" s="36">
        <f t="shared" si="38"/>
        <v>5.0200000000000002E-2</v>
      </c>
      <c r="AA228" s="56"/>
      <c r="AB228" s="57"/>
      <c r="AC228" s="293" t="s">
        <v>391</v>
      </c>
      <c r="AG228" s="64"/>
      <c r="AJ228" s="68"/>
      <c r="AK228" s="68">
        <v>0</v>
      </c>
      <c r="BB228" s="294" t="s">
        <v>1</v>
      </c>
      <c r="BM228" s="64">
        <f t="shared" si="34"/>
        <v>18.227777777777778</v>
      </c>
      <c r="BN228" s="64">
        <f t="shared" si="35"/>
        <v>19.3</v>
      </c>
      <c r="BO228" s="64">
        <f t="shared" si="36"/>
        <v>4.0360873694207031E-2</v>
      </c>
      <c r="BP228" s="64">
        <f t="shared" si="37"/>
        <v>4.2735042735042736E-2</v>
      </c>
    </row>
    <row r="229" spans="1:68" ht="27" customHeight="1" x14ac:dyDescent="0.25">
      <c r="A229" s="54" t="s">
        <v>392</v>
      </c>
      <c r="B229" s="54" t="s">
        <v>393</v>
      </c>
      <c r="C229" s="31">
        <v>4301031279</v>
      </c>
      <c r="D229" s="633">
        <v>4680115887596</v>
      </c>
      <c r="E229" s="634"/>
      <c r="F229" s="628">
        <v>0.08</v>
      </c>
      <c r="G229" s="32">
        <v>10</v>
      </c>
      <c r="H229" s="628">
        <v>0.8</v>
      </c>
      <c r="I229" s="628">
        <v>1.01</v>
      </c>
      <c r="J229" s="32">
        <v>336</v>
      </c>
      <c r="K229" s="32" t="s">
        <v>120</v>
      </c>
      <c r="L229" s="32"/>
      <c r="M229" s="33" t="s">
        <v>65</v>
      </c>
      <c r="N229" s="33"/>
      <c r="O229" s="32">
        <v>45</v>
      </c>
      <c r="P229" s="8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36"/>
      <c r="R229" s="636"/>
      <c r="S229" s="636"/>
      <c r="T229" s="637"/>
      <c r="U229" s="34"/>
      <c r="V229" s="34"/>
      <c r="W229" s="35" t="s">
        <v>66</v>
      </c>
      <c r="X229" s="629">
        <v>10</v>
      </c>
      <c r="Y229" s="630">
        <f t="shared" si="33"/>
        <v>10.4</v>
      </c>
      <c r="Z229" s="36">
        <f>IFERROR(IF(Y229=0,"",ROUNDUP(Y229/H229,0)*0.00417),"")</f>
        <v>5.4210000000000001E-2</v>
      </c>
      <c r="AA229" s="56"/>
      <c r="AB229" s="57"/>
      <c r="AC229" s="295" t="s">
        <v>394</v>
      </c>
      <c r="AG229" s="64"/>
      <c r="AJ229" s="68"/>
      <c r="AK229" s="68">
        <v>0</v>
      </c>
      <c r="BB229" s="296" t="s">
        <v>1</v>
      </c>
      <c r="BM229" s="64">
        <f t="shared" si="34"/>
        <v>12.624999999999998</v>
      </c>
      <c r="BN229" s="64">
        <f t="shared" si="35"/>
        <v>13.13</v>
      </c>
      <c r="BO229" s="64">
        <f t="shared" si="36"/>
        <v>3.7202380952380952E-2</v>
      </c>
      <c r="BP229" s="64">
        <f t="shared" si="37"/>
        <v>3.8690476190476192E-2</v>
      </c>
    </row>
    <row r="230" spans="1:68" ht="37.5" customHeight="1" x14ac:dyDescent="0.25">
      <c r="A230" s="54" t="s">
        <v>395</v>
      </c>
      <c r="B230" s="54" t="s">
        <v>396</v>
      </c>
      <c r="C230" s="31">
        <v>4301031202</v>
      </c>
      <c r="D230" s="633">
        <v>4680115881679</v>
      </c>
      <c r="E230" s="634"/>
      <c r="F230" s="628">
        <v>0.35</v>
      </c>
      <c r="G230" s="32">
        <v>6</v>
      </c>
      <c r="H230" s="628">
        <v>2.1</v>
      </c>
      <c r="I230" s="628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66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36"/>
      <c r="R230" s="636"/>
      <c r="S230" s="636"/>
      <c r="T230" s="637"/>
      <c r="U230" s="34"/>
      <c r="V230" s="34"/>
      <c r="W230" s="35" t="s">
        <v>66</v>
      </c>
      <c r="X230" s="629">
        <v>49</v>
      </c>
      <c r="Y230" s="630">
        <f t="shared" si="33"/>
        <v>50.400000000000006</v>
      </c>
      <c r="Z230" s="36">
        <f>IFERROR(IF(Y230=0,"",ROUNDUP(Y230/H230,0)*0.00502),"")</f>
        <v>0.12048</v>
      </c>
      <c r="AA230" s="56"/>
      <c r="AB230" s="57"/>
      <c r="AC230" s="297" t="s">
        <v>372</v>
      </c>
      <c r="AG230" s="64"/>
      <c r="AJ230" s="68"/>
      <c r="AK230" s="68">
        <v>0</v>
      </c>
      <c r="BB230" s="298" t="s">
        <v>1</v>
      </c>
      <c r="BM230" s="64">
        <f t="shared" si="34"/>
        <v>51.333333333333336</v>
      </c>
      <c r="BN230" s="64">
        <f t="shared" si="35"/>
        <v>52.800000000000011</v>
      </c>
      <c r="BO230" s="64">
        <f t="shared" si="36"/>
        <v>9.9715099715099717E-2</v>
      </c>
      <c r="BP230" s="64">
        <f t="shared" si="37"/>
        <v>0.10256410256410257</v>
      </c>
    </row>
    <row r="231" spans="1:68" ht="27" hidden="1" customHeight="1" x14ac:dyDescent="0.25">
      <c r="A231" s="54" t="s">
        <v>397</v>
      </c>
      <c r="B231" s="54" t="s">
        <v>398</v>
      </c>
      <c r="C231" s="31">
        <v>4301031158</v>
      </c>
      <c r="D231" s="633">
        <v>4680115880191</v>
      </c>
      <c r="E231" s="634"/>
      <c r="F231" s="628">
        <v>0.4</v>
      </c>
      <c r="G231" s="32">
        <v>6</v>
      </c>
      <c r="H231" s="628">
        <v>2.4</v>
      </c>
      <c r="I231" s="628">
        <v>2.58</v>
      </c>
      <c r="J231" s="32">
        <v>182</v>
      </c>
      <c r="K231" s="32" t="s">
        <v>76</v>
      </c>
      <c r="L231" s="32"/>
      <c r="M231" s="33" t="s">
        <v>65</v>
      </c>
      <c r="N231" s="33"/>
      <c r="O231" s="32">
        <v>40</v>
      </c>
      <c r="P231" s="6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36"/>
      <c r="R231" s="636"/>
      <c r="S231" s="636"/>
      <c r="T231" s="637"/>
      <c r="U231" s="34"/>
      <c r="V231" s="34"/>
      <c r="W231" s="35" t="s">
        <v>66</v>
      </c>
      <c r="X231" s="629">
        <v>0</v>
      </c>
      <c r="Y231" s="630">
        <f t="shared" si="33"/>
        <v>0</v>
      </c>
      <c r="Z231" s="36" t="str">
        <f>IFERROR(IF(Y231=0,"",ROUNDUP(Y231/H231,0)*0.00651),"")</f>
        <v/>
      </c>
      <c r="AA231" s="56"/>
      <c r="AB231" s="57"/>
      <c r="AC231" s="299" t="s">
        <v>372</v>
      </c>
      <c r="AG231" s="64"/>
      <c r="AJ231" s="68"/>
      <c r="AK231" s="68">
        <v>0</v>
      </c>
      <c r="BB231" s="300" t="s">
        <v>1</v>
      </c>
      <c r="BM231" s="64">
        <f t="shared" si="34"/>
        <v>0</v>
      </c>
      <c r="BN231" s="64">
        <f t="shared" si="35"/>
        <v>0</v>
      </c>
      <c r="BO231" s="64">
        <f t="shared" si="36"/>
        <v>0</v>
      </c>
      <c r="BP231" s="64">
        <f t="shared" si="37"/>
        <v>0</v>
      </c>
    </row>
    <row r="232" spans="1:68" ht="27" hidden="1" customHeight="1" x14ac:dyDescent="0.25">
      <c r="A232" s="54" t="s">
        <v>399</v>
      </c>
      <c r="B232" s="54" t="s">
        <v>400</v>
      </c>
      <c r="C232" s="31">
        <v>4301031245</v>
      </c>
      <c r="D232" s="633">
        <v>4680115883963</v>
      </c>
      <c r="E232" s="634"/>
      <c r="F232" s="628">
        <v>0.28000000000000003</v>
      </c>
      <c r="G232" s="32">
        <v>6</v>
      </c>
      <c r="H232" s="628">
        <v>1.68</v>
      </c>
      <c r="I232" s="628">
        <v>1.78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36"/>
      <c r="R232" s="636"/>
      <c r="S232" s="636"/>
      <c r="T232" s="637"/>
      <c r="U232" s="34"/>
      <c r="V232" s="34"/>
      <c r="W232" s="35" t="s">
        <v>66</v>
      </c>
      <c r="X232" s="629">
        <v>0</v>
      </c>
      <c r="Y232" s="630">
        <f t="shared" si="33"/>
        <v>0</v>
      </c>
      <c r="Z232" s="36" t="str">
        <f>IFERROR(IF(Y232=0,"",ROUNDUP(Y232/H232,0)*0.00502),"")</f>
        <v/>
      </c>
      <c r="AA232" s="56"/>
      <c r="AB232" s="57"/>
      <c r="AC232" s="301" t="s">
        <v>401</v>
      </c>
      <c r="AG232" s="64"/>
      <c r="AJ232" s="68"/>
      <c r="AK232" s="68">
        <v>0</v>
      </c>
      <c r="BB232" s="302" t="s">
        <v>1</v>
      </c>
      <c r="BM232" s="64">
        <f t="shared" si="34"/>
        <v>0</v>
      </c>
      <c r="BN232" s="64">
        <f t="shared" si="35"/>
        <v>0</v>
      </c>
      <c r="BO232" s="64">
        <f t="shared" si="36"/>
        <v>0</v>
      </c>
      <c r="BP232" s="64">
        <f t="shared" si="37"/>
        <v>0</v>
      </c>
    </row>
    <row r="233" spans="1:68" x14ac:dyDescent="0.2">
      <c r="A233" s="642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4"/>
      <c r="P233" s="646" t="s">
        <v>71</v>
      </c>
      <c r="Q233" s="647"/>
      <c r="R233" s="647"/>
      <c r="S233" s="647"/>
      <c r="T233" s="647"/>
      <c r="U233" s="647"/>
      <c r="V233" s="648"/>
      <c r="W233" s="37" t="s">
        <v>72</v>
      </c>
      <c r="X233" s="63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92.182539682539684</v>
      </c>
      <c r="Y233" s="63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94</v>
      </c>
      <c r="Z233" s="63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0.54893000000000003</v>
      </c>
      <c r="AA233" s="632"/>
      <c r="AB233" s="632"/>
      <c r="AC233" s="632"/>
    </row>
    <row r="234" spans="1:68" x14ac:dyDescent="0.2">
      <c r="A234" s="643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4"/>
      <c r="P234" s="646" t="s">
        <v>71</v>
      </c>
      <c r="Q234" s="647"/>
      <c r="R234" s="647"/>
      <c r="S234" s="647"/>
      <c r="T234" s="647"/>
      <c r="U234" s="647"/>
      <c r="V234" s="648"/>
      <c r="W234" s="37" t="s">
        <v>66</v>
      </c>
      <c r="X234" s="631">
        <f>IFERROR(SUM(X219:X232),"0")</f>
        <v>197</v>
      </c>
      <c r="Y234" s="631">
        <f>IFERROR(SUM(Y219:Y232),"0")</f>
        <v>200</v>
      </c>
      <c r="Z234" s="37"/>
      <c r="AA234" s="632"/>
      <c r="AB234" s="632"/>
      <c r="AC234" s="632"/>
    </row>
    <row r="235" spans="1:68" ht="14.25" hidden="1" customHeight="1" x14ac:dyDescent="0.25">
      <c r="A235" s="652" t="s">
        <v>73</v>
      </c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  <c r="AA235" s="625"/>
      <c r="AB235" s="625"/>
      <c r="AC235" s="625"/>
    </row>
    <row r="236" spans="1:68" ht="16.5" hidden="1" customHeight="1" x14ac:dyDescent="0.25">
      <c r="A236" s="54" t="s">
        <v>402</v>
      </c>
      <c r="B236" s="54" t="s">
        <v>403</v>
      </c>
      <c r="C236" s="31">
        <v>4301052209</v>
      </c>
      <c r="D236" s="633">
        <v>4680115888692</v>
      </c>
      <c r="E236" s="634"/>
      <c r="F236" s="628">
        <v>0.8</v>
      </c>
      <c r="G236" s="32">
        <v>6</v>
      </c>
      <c r="H236" s="628">
        <v>4.8</v>
      </c>
      <c r="I236" s="628">
        <v>5.2220000000000004</v>
      </c>
      <c r="J236" s="32">
        <v>104</v>
      </c>
      <c r="K236" s="32" t="s">
        <v>115</v>
      </c>
      <c r="L236" s="32"/>
      <c r="M236" s="33" t="s">
        <v>83</v>
      </c>
      <c r="N236" s="33"/>
      <c r="O236" s="32">
        <v>35</v>
      </c>
      <c r="P236" s="70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36"/>
      <c r="R236" s="636"/>
      <c r="S236" s="636"/>
      <c r="T236" s="637"/>
      <c r="U236" s="34"/>
      <c r="V236" s="34"/>
      <c r="W236" s="35" t="s">
        <v>66</v>
      </c>
      <c r="X236" s="629">
        <v>0</v>
      </c>
      <c r="Y236" s="630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404</v>
      </c>
      <c r="AG236" s="64"/>
      <c r="AJ236" s="68"/>
      <c r="AK236" s="68">
        <v>0</v>
      </c>
      <c r="BB236" s="304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405</v>
      </c>
      <c r="B237" s="54" t="s">
        <v>406</v>
      </c>
      <c r="C237" s="31">
        <v>4301052213</v>
      </c>
      <c r="D237" s="633">
        <v>4680115888722</v>
      </c>
      <c r="E237" s="634"/>
      <c r="F237" s="628">
        <v>0.8</v>
      </c>
      <c r="G237" s="32">
        <v>6</v>
      </c>
      <c r="H237" s="628">
        <v>4.8</v>
      </c>
      <c r="I237" s="628">
        <v>5.2220000000000004</v>
      </c>
      <c r="J237" s="32">
        <v>104</v>
      </c>
      <c r="K237" s="32" t="s">
        <v>115</v>
      </c>
      <c r="L237" s="32"/>
      <c r="M237" s="33" t="s">
        <v>83</v>
      </c>
      <c r="N237" s="33"/>
      <c r="O237" s="32">
        <v>35</v>
      </c>
      <c r="P237" s="72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36"/>
      <c r="R237" s="636"/>
      <c r="S237" s="636"/>
      <c r="T237" s="637"/>
      <c r="U237" s="34"/>
      <c r="V237" s="34"/>
      <c r="W237" s="35" t="s">
        <v>66</v>
      </c>
      <c r="X237" s="629">
        <v>0</v>
      </c>
      <c r="Y237" s="630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305" t="s">
        <v>407</v>
      </c>
      <c r="AG237" s="64"/>
      <c r="AJ237" s="68"/>
      <c r="AK237" s="68">
        <v>0</v>
      </c>
      <c r="BB237" s="30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408</v>
      </c>
      <c r="B238" s="54" t="s">
        <v>409</v>
      </c>
      <c r="C238" s="31">
        <v>4301052177</v>
      </c>
      <c r="D238" s="633">
        <v>4680115888951</v>
      </c>
      <c r="E238" s="634"/>
      <c r="F238" s="628">
        <v>0.36</v>
      </c>
      <c r="G238" s="32">
        <v>6</v>
      </c>
      <c r="H238" s="628">
        <v>2.16</v>
      </c>
      <c r="I238" s="628">
        <v>2.4220000000000002</v>
      </c>
      <c r="J238" s="32">
        <v>132</v>
      </c>
      <c r="K238" s="32" t="s">
        <v>124</v>
      </c>
      <c r="L238" s="32"/>
      <c r="M238" s="33" t="s">
        <v>83</v>
      </c>
      <c r="N238" s="33"/>
      <c r="O238" s="32">
        <v>35</v>
      </c>
      <c r="P238" s="84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36"/>
      <c r="R238" s="636"/>
      <c r="S238" s="636"/>
      <c r="T238" s="637"/>
      <c r="U238" s="34"/>
      <c r="V238" s="34"/>
      <c r="W238" s="35" t="s">
        <v>66</v>
      </c>
      <c r="X238" s="629">
        <v>0</v>
      </c>
      <c r="Y238" s="630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7" t="s">
        <v>410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411</v>
      </c>
      <c r="B239" s="54" t="s">
        <v>412</v>
      </c>
      <c r="C239" s="31">
        <v>4301052178</v>
      </c>
      <c r="D239" s="633">
        <v>4680115888975</v>
      </c>
      <c r="E239" s="634"/>
      <c r="F239" s="628">
        <v>0.32</v>
      </c>
      <c r="G239" s="32">
        <v>6</v>
      </c>
      <c r="H239" s="628">
        <v>1.92</v>
      </c>
      <c r="I239" s="628">
        <v>2.1819999999999999</v>
      </c>
      <c r="J239" s="32">
        <v>132</v>
      </c>
      <c r="K239" s="32" t="s">
        <v>124</v>
      </c>
      <c r="L239" s="32"/>
      <c r="M239" s="33" t="s">
        <v>83</v>
      </c>
      <c r="N239" s="33"/>
      <c r="O239" s="32">
        <v>35</v>
      </c>
      <c r="P239" s="79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36"/>
      <c r="R239" s="636"/>
      <c r="S239" s="636"/>
      <c r="T239" s="637"/>
      <c r="U239" s="34"/>
      <c r="V239" s="34"/>
      <c r="W239" s="35" t="s">
        <v>66</v>
      </c>
      <c r="X239" s="629">
        <v>0</v>
      </c>
      <c r="Y239" s="630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9" t="s">
        <v>413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414</v>
      </c>
      <c r="B240" s="54" t="s">
        <v>415</v>
      </c>
      <c r="C240" s="31">
        <v>4301052176</v>
      </c>
      <c r="D240" s="633">
        <v>4680115888982</v>
      </c>
      <c r="E240" s="634"/>
      <c r="F240" s="628">
        <v>0.36</v>
      </c>
      <c r="G240" s="32">
        <v>6</v>
      </c>
      <c r="H240" s="628">
        <v>2.16</v>
      </c>
      <c r="I240" s="628">
        <v>2.4220000000000002</v>
      </c>
      <c r="J240" s="32">
        <v>132</v>
      </c>
      <c r="K240" s="32" t="s">
        <v>124</v>
      </c>
      <c r="L240" s="32"/>
      <c r="M240" s="33" t="s">
        <v>83</v>
      </c>
      <c r="N240" s="33"/>
      <c r="O240" s="32">
        <v>35</v>
      </c>
      <c r="P240" s="68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36"/>
      <c r="R240" s="636"/>
      <c r="S240" s="636"/>
      <c r="T240" s="637"/>
      <c r="U240" s="34"/>
      <c r="V240" s="34"/>
      <c r="W240" s="35" t="s">
        <v>66</v>
      </c>
      <c r="X240" s="629">
        <v>0</v>
      </c>
      <c r="Y240" s="630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2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4"/>
      <c r="P241" s="646" t="s">
        <v>71</v>
      </c>
      <c r="Q241" s="647"/>
      <c r="R241" s="647"/>
      <c r="S241" s="647"/>
      <c r="T241" s="647"/>
      <c r="U241" s="647"/>
      <c r="V241" s="648"/>
      <c r="W241" s="37" t="s">
        <v>72</v>
      </c>
      <c r="X241" s="631">
        <f>IFERROR(X236/H236,"0")+IFERROR(X237/H237,"0")+IFERROR(X238/H238,"0")+IFERROR(X239/H239,"0")+IFERROR(X240/H240,"0")</f>
        <v>0</v>
      </c>
      <c r="Y241" s="631">
        <f>IFERROR(Y236/H236,"0")+IFERROR(Y237/H237,"0")+IFERROR(Y238/H238,"0")+IFERROR(Y239/H239,"0")+IFERROR(Y240/H240,"0")</f>
        <v>0</v>
      </c>
      <c r="Z241" s="631">
        <f>IFERROR(IF(Z236="",0,Z236),"0")+IFERROR(IF(Z237="",0,Z237),"0")+IFERROR(IF(Z238="",0,Z238),"0")+IFERROR(IF(Z239="",0,Z239),"0")+IFERROR(IF(Z240="",0,Z240),"0")</f>
        <v>0</v>
      </c>
      <c r="AA241" s="632"/>
      <c r="AB241" s="632"/>
      <c r="AC241" s="632"/>
    </row>
    <row r="242" spans="1:68" hidden="1" x14ac:dyDescent="0.2">
      <c r="A242" s="643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4"/>
      <c r="P242" s="646" t="s">
        <v>71</v>
      </c>
      <c r="Q242" s="647"/>
      <c r="R242" s="647"/>
      <c r="S242" s="647"/>
      <c r="T242" s="647"/>
      <c r="U242" s="647"/>
      <c r="V242" s="648"/>
      <c r="W242" s="37" t="s">
        <v>66</v>
      </c>
      <c r="X242" s="631">
        <f>IFERROR(SUM(X236:X240),"0")</f>
        <v>0</v>
      </c>
      <c r="Y242" s="631">
        <f>IFERROR(SUM(Y236:Y240),"0")</f>
        <v>0</v>
      </c>
      <c r="Z242" s="37"/>
      <c r="AA242" s="632"/>
      <c r="AB242" s="632"/>
      <c r="AC242" s="632"/>
    </row>
    <row r="243" spans="1:68" ht="14.25" hidden="1" customHeight="1" x14ac:dyDescent="0.25">
      <c r="A243" s="652" t="s">
        <v>270</v>
      </c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  <c r="AA243" s="625"/>
      <c r="AB243" s="625"/>
      <c r="AC243" s="625"/>
    </row>
    <row r="244" spans="1:68" ht="27" hidden="1" customHeight="1" x14ac:dyDescent="0.25">
      <c r="A244" s="54" t="s">
        <v>416</v>
      </c>
      <c r="B244" s="54" t="s">
        <v>417</v>
      </c>
      <c r="C244" s="31">
        <v>4301032053</v>
      </c>
      <c r="D244" s="633">
        <v>4680115886780</v>
      </c>
      <c r="E244" s="634"/>
      <c r="F244" s="628">
        <v>7.0000000000000007E-2</v>
      </c>
      <c r="G244" s="32">
        <v>18</v>
      </c>
      <c r="H244" s="628">
        <v>1.26</v>
      </c>
      <c r="I244" s="628">
        <v>1.45</v>
      </c>
      <c r="J244" s="32">
        <v>216</v>
      </c>
      <c r="K244" s="32" t="s">
        <v>332</v>
      </c>
      <c r="L244" s="32"/>
      <c r="M244" s="33" t="s">
        <v>274</v>
      </c>
      <c r="N244" s="33"/>
      <c r="O244" s="32">
        <v>60</v>
      </c>
      <c r="P244" s="6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36"/>
      <c r="R244" s="636"/>
      <c r="S244" s="636"/>
      <c r="T244" s="637"/>
      <c r="U244" s="34"/>
      <c r="V244" s="34"/>
      <c r="W244" s="35" t="s">
        <v>66</v>
      </c>
      <c r="X244" s="629">
        <v>0</v>
      </c>
      <c r="Y244" s="630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13" t="s">
        <v>418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419</v>
      </c>
      <c r="B245" s="54" t="s">
        <v>420</v>
      </c>
      <c r="C245" s="31">
        <v>4301032051</v>
      </c>
      <c r="D245" s="633">
        <v>4680115886742</v>
      </c>
      <c r="E245" s="634"/>
      <c r="F245" s="628">
        <v>7.0000000000000007E-2</v>
      </c>
      <c r="G245" s="32">
        <v>18</v>
      </c>
      <c r="H245" s="628">
        <v>1.26</v>
      </c>
      <c r="I245" s="628">
        <v>1.45</v>
      </c>
      <c r="J245" s="32">
        <v>216</v>
      </c>
      <c r="K245" s="32" t="s">
        <v>332</v>
      </c>
      <c r="L245" s="32"/>
      <c r="M245" s="33" t="s">
        <v>274</v>
      </c>
      <c r="N245" s="33"/>
      <c r="O245" s="32">
        <v>90</v>
      </c>
      <c r="P245" s="82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36"/>
      <c r="R245" s="636"/>
      <c r="S245" s="636"/>
      <c r="T245" s="637"/>
      <c r="U245" s="34"/>
      <c r="V245" s="34"/>
      <c r="W245" s="35" t="s">
        <v>66</v>
      </c>
      <c r="X245" s="629">
        <v>3</v>
      </c>
      <c r="Y245" s="630">
        <f>IFERROR(IF(X245="",0,CEILING((X245/$H245),1)*$H245),"")</f>
        <v>3.7800000000000002</v>
      </c>
      <c r="Z245" s="36">
        <f>IFERROR(IF(Y245=0,"",ROUNDUP(Y245/H245,0)*0.0059),"")</f>
        <v>1.77E-2</v>
      </c>
      <c r="AA245" s="56"/>
      <c r="AB245" s="57"/>
      <c r="AC245" s="315" t="s">
        <v>421</v>
      </c>
      <c r="AG245" s="64"/>
      <c r="AJ245" s="68"/>
      <c r="AK245" s="68">
        <v>0</v>
      </c>
      <c r="BB245" s="316" t="s">
        <v>1</v>
      </c>
      <c r="BM245" s="64">
        <f>IFERROR(X245*I245/H245,"0")</f>
        <v>3.4523809523809521</v>
      </c>
      <c r="BN245" s="64">
        <f>IFERROR(Y245*I245/H245,"0")</f>
        <v>4.3499999999999996</v>
      </c>
      <c r="BO245" s="64">
        <f>IFERROR(1/J245*(X245/H245),"0")</f>
        <v>1.1022927689594356E-2</v>
      </c>
      <c r="BP245" s="64">
        <f>IFERROR(1/J245*(Y245/H245),"0")</f>
        <v>1.3888888888888888E-2</v>
      </c>
    </row>
    <row r="246" spans="1:68" ht="27" customHeight="1" x14ac:dyDescent="0.25">
      <c r="A246" s="54" t="s">
        <v>422</v>
      </c>
      <c r="B246" s="54" t="s">
        <v>423</v>
      </c>
      <c r="C246" s="31">
        <v>4301032052</v>
      </c>
      <c r="D246" s="633">
        <v>4680115886766</v>
      </c>
      <c r="E246" s="634"/>
      <c r="F246" s="628">
        <v>7.0000000000000007E-2</v>
      </c>
      <c r="G246" s="32">
        <v>18</v>
      </c>
      <c r="H246" s="628">
        <v>1.26</v>
      </c>
      <c r="I246" s="628">
        <v>1.45</v>
      </c>
      <c r="J246" s="32">
        <v>216</v>
      </c>
      <c r="K246" s="32" t="s">
        <v>332</v>
      </c>
      <c r="L246" s="32"/>
      <c r="M246" s="33" t="s">
        <v>274</v>
      </c>
      <c r="N246" s="33"/>
      <c r="O246" s="32">
        <v>90</v>
      </c>
      <c r="P246" s="78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36"/>
      <c r="R246" s="636"/>
      <c r="S246" s="636"/>
      <c r="T246" s="637"/>
      <c r="U246" s="34"/>
      <c r="V246" s="34"/>
      <c r="W246" s="35" t="s">
        <v>66</v>
      </c>
      <c r="X246" s="629">
        <v>2</v>
      </c>
      <c r="Y246" s="630">
        <f>IFERROR(IF(X246="",0,CEILING((X246/$H246),1)*$H246),"")</f>
        <v>2.52</v>
      </c>
      <c r="Z246" s="36">
        <f>IFERROR(IF(Y246=0,"",ROUNDUP(Y246/H246,0)*0.0059),"")</f>
        <v>1.18E-2</v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2.3015873015873014</v>
      </c>
      <c r="BN246" s="64">
        <f>IFERROR(Y246*I246/H246,"0")</f>
        <v>2.9</v>
      </c>
      <c r="BO246" s="64">
        <f>IFERROR(1/J246*(X246/H246),"0")</f>
        <v>7.3486184597295699E-3</v>
      </c>
      <c r="BP246" s="64">
        <f>IFERROR(1/J246*(Y246/H246),"0")</f>
        <v>9.2592592592592587E-3</v>
      </c>
    </row>
    <row r="247" spans="1:68" x14ac:dyDescent="0.2">
      <c r="A247" s="642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6" t="s">
        <v>71</v>
      </c>
      <c r="Q247" s="647"/>
      <c r="R247" s="647"/>
      <c r="S247" s="647"/>
      <c r="T247" s="647"/>
      <c r="U247" s="647"/>
      <c r="V247" s="648"/>
      <c r="W247" s="37" t="s">
        <v>72</v>
      </c>
      <c r="X247" s="631">
        <f>IFERROR(X244/H244,"0")+IFERROR(X245/H245,"0")+IFERROR(X246/H246,"0")</f>
        <v>3.9682539682539684</v>
      </c>
      <c r="Y247" s="631">
        <f>IFERROR(Y244/H244,"0")+IFERROR(Y245/H245,"0")+IFERROR(Y246/H246,"0")</f>
        <v>5</v>
      </c>
      <c r="Z247" s="631">
        <f>IFERROR(IF(Z244="",0,Z244),"0")+IFERROR(IF(Z245="",0,Z245),"0")+IFERROR(IF(Z246="",0,Z246),"0")</f>
        <v>2.9499999999999998E-2</v>
      </c>
      <c r="AA247" s="632"/>
      <c r="AB247" s="632"/>
      <c r="AC247" s="632"/>
    </row>
    <row r="248" spans="1:68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6" t="s">
        <v>71</v>
      </c>
      <c r="Q248" s="647"/>
      <c r="R248" s="647"/>
      <c r="S248" s="647"/>
      <c r="T248" s="647"/>
      <c r="U248" s="647"/>
      <c r="V248" s="648"/>
      <c r="W248" s="37" t="s">
        <v>66</v>
      </c>
      <c r="X248" s="631">
        <f>IFERROR(SUM(X244:X246),"0")</f>
        <v>5</v>
      </c>
      <c r="Y248" s="631">
        <f>IFERROR(SUM(Y244:Y246),"0")</f>
        <v>6.3000000000000007</v>
      </c>
      <c r="Z248" s="37"/>
      <c r="AA248" s="632"/>
      <c r="AB248" s="632"/>
      <c r="AC248" s="632"/>
    </row>
    <row r="249" spans="1:68" ht="14.25" hidden="1" customHeight="1" x14ac:dyDescent="0.25">
      <c r="A249" s="652" t="s">
        <v>424</v>
      </c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  <c r="AA249" s="625"/>
      <c r="AB249" s="625"/>
      <c r="AC249" s="625"/>
    </row>
    <row r="250" spans="1:68" ht="27" customHeight="1" x14ac:dyDescent="0.25">
      <c r="A250" s="54" t="s">
        <v>425</v>
      </c>
      <c r="B250" s="54" t="s">
        <v>426</v>
      </c>
      <c r="C250" s="31">
        <v>4301170013</v>
      </c>
      <c r="D250" s="633">
        <v>4680115886797</v>
      </c>
      <c r="E250" s="634"/>
      <c r="F250" s="628">
        <v>7.0000000000000007E-2</v>
      </c>
      <c r="G250" s="32">
        <v>18</v>
      </c>
      <c r="H250" s="628">
        <v>1.26</v>
      </c>
      <c r="I250" s="628">
        <v>1.45</v>
      </c>
      <c r="J250" s="32">
        <v>216</v>
      </c>
      <c r="K250" s="32" t="s">
        <v>332</v>
      </c>
      <c r="L250" s="32"/>
      <c r="M250" s="33" t="s">
        <v>274</v>
      </c>
      <c r="N250" s="33"/>
      <c r="O250" s="32">
        <v>90</v>
      </c>
      <c r="P250" s="7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66</v>
      </c>
      <c r="X250" s="629">
        <v>8</v>
      </c>
      <c r="Y250" s="630">
        <f>IFERROR(IF(X250="",0,CEILING((X250/$H250),1)*$H250),"")</f>
        <v>8.82</v>
      </c>
      <c r="Z250" s="36">
        <f>IFERROR(IF(Y250=0,"",ROUNDUP(Y250/H250,0)*0.0059),"")</f>
        <v>4.1299999999999996E-2</v>
      </c>
      <c r="AA250" s="56"/>
      <c r="AB250" s="57"/>
      <c r="AC250" s="319" t="s">
        <v>421</v>
      </c>
      <c r="AG250" s="64"/>
      <c r="AJ250" s="68"/>
      <c r="AK250" s="68">
        <v>0</v>
      </c>
      <c r="BB250" s="320" t="s">
        <v>1</v>
      </c>
      <c r="BM250" s="64">
        <f>IFERROR(X250*I250/H250,"0")</f>
        <v>9.2063492063492056</v>
      </c>
      <c r="BN250" s="64">
        <f>IFERROR(Y250*I250/H250,"0")</f>
        <v>10.15</v>
      </c>
      <c r="BO250" s="64">
        <f>IFERROR(1/J250*(X250/H250),"0")</f>
        <v>2.9394473838918279E-2</v>
      </c>
      <c r="BP250" s="64">
        <f>IFERROR(1/J250*(Y250/H250),"0")</f>
        <v>3.2407407407407406E-2</v>
      </c>
    </row>
    <row r="251" spans="1:68" x14ac:dyDescent="0.2">
      <c r="A251" s="642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6" t="s">
        <v>71</v>
      </c>
      <c r="Q251" s="647"/>
      <c r="R251" s="647"/>
      <c r="S251" s="647"/>
      <c r="T251" s="647"/>
      <c r="U251" s="647"/>
      <c r="V251" s="648"/>
      <c r="W251" s="37" t="s">
        <v>72</v>
      </c>
      <c r="X251" s="631">
        <f>IFERROR(X250/H250,"0")</f>
        <v>6.3492063492063489</v>
      </c>
      <c r="Y251" s="631">
        <f>IFERROR(Y250/H250,"0")</f>
        <v>7</v>
      </c>
      <c r="Z251" s="631">
        <f>IFERROR(IF(Z250="",0,Z250),"0")</f>
        <v>4.1299999999999996E-2</v>
      </c>
      <c r="AA251" s="632"/>
      <c r="AB251" s="632"/>
      <c r="AC251" s="632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6" t="s">
        <v>71</v>
      </c>
      <c r="Q252" s="647"/>
      <c r="R252" s="647"/>
      <c r="S252" s="647"/>
      <c r="T252" s="647"/>
      <c r="U252" s="647"/>
      <c r="V252" s="648"/>
      <c r="W252" s="37" t="s">
        <v>66</v>
      </c>
      <c r="X252" s="631">
        <f>IFERROR(SUM(X250:X250),"0")</f>
        <v>8</v>
      </c>
      <c r="Y252" s="631">
        <f>IFERROR(SUM(Y250:Y250),"0")</f>
        <v>8.82</v>
      </c>
      <c r="Z252" s="37"/>
      <c r="AA252" s="632"/>
      <c r="AB252" s="632"/>
      <c r="AC252" s="632"/>
    </row>
    <row r="253" spans="1:68" ht="16.5" hidden="1" customHeight="1" x14ac:dyDescent="0.25">
      <c r="A253" s="650" t="s">
        <v>427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4"/>
      <c r="AB253" s="624"/>
      <c r="AC253" s="624"/>
    </row>
    <row r="254" spans="1:68" ht="14.25" hidden="1" customHeight="1" x14ac:dyDescent="0.25">
      <c r="A254" s="652" t="s">
        <v>112</v>
      </c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  <c r="AA254" s="625"/>
      <c r="AB254" s="625"/>
      <c r="AC254" s="625"/>
    </row>
    <row r="255" spans="1:68" ht="27" hidden="1" customHeight="1" x14ac:dyDescent="0.25">
      <c r="A255" s="54" t="s">
        <v>428</v>
      </c>
      <c r="B255" s="54" t="s">
        <v>429</v>
      </c>
      <c r="C255" s="31">
        <v>4301011450</v>
      </c>
      <c r="D255" s="633">
        <v>4680115881402</v>
      </c>
      <c r="E255" s="634"/>
      <c r="F255" s="628">
        <v>1.35</v>
      </c>
      <c r="G255" s="32">
        <v>8</v>
      </c>
      <c r="H255" s="628">
        <v>10.8</v>
      </c>
      <c r="I255" s="628">
        <v>11.21</v>
      </c>
      <c r="J255" s="32">
        <v>64</v>
      </c>
      <c r="K255" s="32" t="s">
        <v>115</v>
      </c>
      <c r="L255" s="32"/>
      <c r="M255" s="33" t="s">
        <v>116</v>
      </c>
      <c r="N255" s="33"/>
      <c r="O255" s="32">
        <v>55</v>
      </c>
      <c r="P255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36"/>
      <c r="R255" s="636"/>
      <c r="S255" s="636"/>
      <c r="T255" s="637"/>
      <c r="U255" s="34"/>
      <c r="V255" s="34"/>
      <c r="W255" s="35" t="s">
        <v>66</v>
      </c>
      <c r="X255" s="629">
        <v>0</v>
      </c>
      <c r="Y255" s="63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21" t="s">
        <v>430</v>
      </c>
      <c r="AG255" s="64"/>
      <c r="AJ255" s="68"/>
      <c r="AK255" s="68">
        <v>0</v>
      </c>
      <c r="BB255" s="32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431</v>
      </c>
      <c r="B256" s="54" t="s">
        <v>432</v>
      </c>
      <c r="C256" s="31">
        <v>4301011768</v>
      </c>
      <c r="D256" s="633">
        <v>4680115881396</v>
      </c>
      <c r="E256" s="634"/>
      <c r="F256" s="628">
        <v>0.45</v>
      </c>
      <c r="G256" s="32">
        <v>6</v>
      </c>
      <c r="H256" s="628">
        <v>2.7</v>
      </c>
      <c r="I256" s="628">
        <v>2.88</v>
      </c>
      <c r="J256" s="32">
        <v>182</v>
      </c>
      <c r="K256" s="32" t="s">
        <v>76</v>
      </c>
      <c r="L256" s="32"/>
      <c r="M256" s="33" t="s">
        <v>116</v>
      </c>
      <c r="N256" s="33"/>
      <c r="O256" s="32">
        <v>55</v>
      </c>
      <c r="P256" s="88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36"/>
      <c r="R256" s="636"/>
      <c r="S256" s="636"/>
      <c r="T256" s="637"/>
      <c r="U256" s="34"/>
      <c r="V256" s="34"/>
      <c r="W256" s="35" t="s">
        <v>66</v>
      </c>
      <c r="X256" s="629">
        <v>0</v>
      </c>
      <c r="Y256" s="630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23" t="s">
        <v>430</v>
      </c>
      <c r="AG256" s="64"/>
      <c r="AJ256" s="68"/>
      <c r="AK256" s="68">
        <v>0</v>
      </c>
      <c r="BB256" s="32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2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4"/>
      <c r="P257" s="646" t="s">
        <v>71</v>
      </c>
      <c r="Q257" s="647"/>
      <c r="R257" s="647"/>
      <c r="S257" s="647"/>
      <c r="T257" s="647"/>
      <c r="U257" s="647"/>
      <c r="V257" s="648"/>
      <c r="W257" s="37" t="s">
        <v>72</v>
      </c>
      <c r="X257" s="631">
        <f>IFERROR(X255/H255,"0")+IFERROR(X256/H256,"0")</f>
        <v>0</v>
      </c>
      <c r="Y257" s="631">
        <f>IFERROR(Y255/H255,"0")+IFERROR(Y256/H256,"0")</f>
        <v>0</v>
      </c>
      <c r="Z257" s="631">
        <f>IFERROR(IF(Z255="",0,Z255),"0")+IFERROR(IF(Z256="",0,Z256),"0")</f>
        <v>0</v>
      </c>
      <c r="AA257" s="632"/>
      <c r="AB257" s="632"/>
      <c r="AC257" s="632"/>
    </row>
    <row r="258" spans="1:68" hidden="1" x14ac:dyDescent="0.2">
      <c r="A258" s="643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4"/>
      <c r="P258" s="646" t="s">
        <v>71</v>
      </c>
      <c r="Q258" s="647"/>
      <c r="R258" s="647"/>
      <c r="S258" s="647"/>
      <c r="T258" s="647"/>
      <c r="U258" s="647"/>
      <c r="V258" s="648"/>
      <c r="W258" s="37" t="s">
        <v>66</v>
      </c>
      <c r="X258" s="631">
        <f>IFERROR(SUM(X255:X256),"0")</f>
        <v>0</v>
      </c>
      <c r="Y258" s="631">
        <f>IFERROR(SUM(Y255:Y256),"0")</f>
        <v>0</v>
      </c>
      <c r="Z258" s="37"/>
      <c r="AA258" s="632"/>
      <c r="AB258" s="632"/>
      <c r="AC258" s="632"/>
    </row>
    <row r="259" spans="1:68" ht="14.25" hidden="1" customHeight="1" x14ac:dyDescent="0.25">
      <c r="A259" s="652" t="s">
        <v>145</v>
      </c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  <c r="AA259" s="625"/>
      <c r="AB259" s="625"/>
      <c r="AC259" s="625"/>
    </row>
    <row r="260" spans="1:68" ht="16.5" hidden="1" customHeight="1" x14ac:dyDescent="0.25">
      <c r="A260" s="54" t="s">
        <v>433</v>
      </c>
      <c r="B260" s="54" t="s">
        <v>434</v>
      </c>
      <c r="C260" s="31">
        <v>4301020261</v>
      </c>
      <c r="D260" s="633">
        <v>4680115882935</v>
      </c>
      <c r="E260" s="634"/>
      <c r="F260" s="628">
        <v>1.35</v>
      </c>
      <c r="G260" s="32">
        <v>8</v>
      </c>
      <c r="H260" s="628">
        <v>10.8</v>
      </c>
      <c r="I260" s="628">
        <v>11.21</v>
      </c>
      <c r="J260" s="32">
        <v>64</v>
      </c>
      <c r="K260" s="32" t="s">
        <v>115</v>
      </c>
      <c r="L260" s="32"/>
      <c r="M260" s="33" t="s">
        <v>116</v>
      </c>
      <c r="N260" s="33"/>
      <c r="O260" s="32">
        <v>50</v>
      </c>
      <c r="P260" s="87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36"/>
      <c r="R260" s="636"/>
      <c r="S260" s="636"/>
      <c r="T260" s="637"/>
      <c r="U260" s="34"/>
      <c r="V260" s="34"/>
      <c r="W260" s="35" t="s">
        <v>66</v>
      </c>
      <c r="X260" s="629">
        <v>0</v>
      </c>
      <c r="Y260" s="630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25" t="s">
        <v>435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436</v>
      </c>
      <c r="B261" s="54" t="s">
        <v>437</v>
      </c>
      <c r="C261" s="31">
        <v>4301020220</v>
      </c>
      <c r="D261" s="633">
        <v>4680115880764</v>
      </c>
      <c r="E261" s="634"/>
      <c r="F261" s="628">
        <v>0.35</v>
      </c>
      <c r="G261" s="32">
        <v>6</v>
      </c>
      <c r="H261" s="628">
        <v>2.1</v>
      </c>
      <c r="I261" s="628">
        <v>2.2799999999999998</v>
      </c>
      <c r="J261" s="32">
        <v>182</v>
      </c>
      <c r="K261" s="32" t="s">
        <v>76</v>
      </c>
      <c r="L261" s="32"/>
      <c r="M261" s="33" t="s">
        <v>116</v>
      </c>
      <c r="N261" s="33"/>
      <c r="O261" s="32">
        <v>50</v>
      </c>
      <c r="P261" s="85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36"/>
      <c r="R261" s="636"/>
      <c r="S261" s="636"/>
      <c r="T261" s="637"/>
      <c r="U261" s="34"/>
      <c r="V261" s="34"/>
      <c r="W261" s="35" t="s">
        <v>66</v>
      </c>
      <c r="X261" s="629">
        <v>0</v>
      </c>
      <c r="Y261" s="630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7" t="s">
        <v>435</v>
      </c>
      <c r="AG261" s="64"/>
      <c r="AJ261" s="68"/>
      <c r="AK261" s="68">
        <v>0</v>
      </c>
      <c r="BB261" s="328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2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6" t="s">
        <v>71</v>
      </c>
      <c r="Q262" s="647"/>
      <c r="R262" s="647"/>
      <c r="S262" s="647"/>
      <c r="T262" s="647"/>
      <c r="U262" s="647"/>
      <c r="V262" s="648"/>
      <c r="W262" s="37" t="s">
        <v>72</v>
      </c>
      <c r="X262" s="631">
        <f>IFERROR(X260/H260,"0")+IFERROR(X261/H261,"0")</f>
        <v>0</v>
      </c>
      <c r="Y262" s="631">
        <f>IFERROR(Y260/H260,"0")+IFERROR(Y261/H261,"0")</f>
        <v>0</v>
      </c>
      <c r="Z262" s="631">
        <f>IFERROR(IF(Z260="",0,Z260),"0")+IFERROR(IF(Z261="",0,Z261),"0")</f>
        <v>0</v>
      </c>
      <c r="AA262" s="632"/>
      <c r="AB262" s="632"/>
      <c r="AC262" s="632"/>
    </row>
    <row r="263" spans="1:68" hidden="1" x14ac:dyDescent="0.2">
      <c r="A263" s="643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4"/>
      <c r="P263" s="646" t="s">
        <v>71</v>
      </c>
      <c r="Q263" s="647"/>
      <c r="R263" s="647"/>
      <c r="S263" s="647"/>
      <c r="T263" s="647"/>
      <c r="U263" s="647"/>
      <c r="V263" s="648"/>
      <c r="W263" s="37" t="s">
        <v>66</v>
      </c>
      <c r="X263" s="631">
        <f>IFERROR(SUM(X260:X261),"0")</f>
        <v>0</v>
      </c>
      <c r="Y263" s="631">
        <f>IFERROR(SUM(Y260:Y261),"0")</f>
        <v>0</v>
      </c>
      <c r="Z263" s="37"/>
      <c r="AA263" s="632"/>
      <c r="AB263" s="632"/>
      <c r="AC263" s="632"/>
    </row>
    <row r="264" spans="1:68" ht="14.25" hidden="1" customHeight="1" x14ac:dyDescent="0.25">
      <c r="A264" s="652" t="s">
        <v>61</v>
      </c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  <c r="AA264" s="625"/>
      <c r="AB264" s="625"/>
      <c r="AC264" s="625"/>
    </row>
    <row r="265" spans="1:68" ht="27" customHeight="1" x14ac:dyDescent="0.25">
      <c r="A265" s="54" t="s">
        <v>438</v>
      </c>
      <c r="B265" s="54" t="s">
        <v>439</v>
      </c>
      <c r="C265" s="31">
        <v>4301031224</v>
      </c>
      <c r="D265" s="633">
        <v>4680115882683</v>
      </c>
      <c r="E265" s="634"/>
      <c r="F265" s="628">
        <v>0.9</v>
      </c>
      <c r="G265" s="32">
        <v>6</v>
      </c>
      <c r="H265" s="628">
        <v>5.4</v>
      </c>
      <c r="I265" s="628">
        <v>5.59</v>
      </c>
      <c r="J265" s="32">
        <v>132</v>
      </c>
      <c r="K265" s="32" t="s">
        <v>124</v>
      </c>
      <c r="L265" s="32"/>
      <c r="M265" s="33" t="s">
        <v>65</v>
      </c>
      <c r="N265" s="33"/>
      <c r="O265" s="32">
        <v>40</v>
      </c>
      <c r="P265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36"/>
      <c r="R265" s="636"/>
      <c r="S265" s="636"/>
      <c r="T265" s="637"/>
      <c r="U265" s="34"/>
      <c r="V265" s="34"/>
      <c r="W265" s="35" t="s">
        <v>66</v>
      </c>
      <c r="X265" s="629">
        <v>70</v>
      </c>
      <c r="Y265" s="630">
        <f t="shared" ref="Y265:Y272" si="39">IFERROR(IF(X265="",0,CEILING((X265/$H265),1)*$H265),"")</f>
        <v>70.2</v>
      </c>
      <c r="Z265" s="36">
        <f>IFERROR(IF(Y265=0,"",ROUNDUP(Y265/H265,0)*0.00902),"")</f>
        <v>0.11726</v>
      </c>
      <c r="AA265" s="56"/>
      <c r="AB265" s="57"/>
      <c r="AC265" s="329" t="s">
        <v>440</v>
      </c>
      <c r="AG265" s="64"/>
      <c r="AJ265" s="68"/>
      <c r="AK265" s="68">
        <v>0</v>
      </c>
      <c r="BB265" s="330" t="s">
        <v>1</v>
      </c>
      <c r="BM265" s="64">
        <f t="shared" ref="BM265:BM272" si="40">IFERROR(X265*I265/H265,"0")</f>
        <v>72.462962962962962</v>
      </c>
      <c r="BN265" s="64">
        <f t="shared" ref="BN265:BN272" si="41">IFERROR(Y265*I265/H265,"0")</f>
        <v>72.67</v>
      </c>
      <c r="BO265" s="64">
        <f t="shared" ref="BO265:BO272" si="42">IFERROR(1/J265*(X265/H265),"0")</f>
        <v>9.8204264870931535E-2</v>
      </c>
      <c r="BP265" s="64">
        <f t="shared" ref="BP265:BP272" si="43">IFERROR(1/J265*(Y265/H265),"0")</f>
        <v>9.8484848484848481E-2</v>
      </c>
    </row>
    <row r="266" spans="1:68" ht="27" customHeight="1" x14ac:dyDescent="0.25">
      <c r="A266" s="54" t="s">
        <v>441</v>
      </c>
      <c r="B266" s="54" t="s">
        <v>442</v>
      </c>
      <c r="C266" s="31">
        <v>4301031230</v>
      </c>
      <c r="D266" s="633">
        <v>4680115882690</v>
      </c>
      <c r="E266" s="634"/>
      <c r="F266" s="628">
        <v>0.9</v>
      </c>
      <c r="G266" s="32">
        <v>6</v>
      </c>
      <c r="H266" s="628">
        <v>5.4</v>
      </c>
      <c r="I266" s="628">
        <v>5.59</v>
      </c>
      <c r="J266" s="32">
        <v>132</v>
      </c>
      <c r="K266" s="32" t="s">
        <v>124</v>
      </c>
      <c r="L266" s="32"/>
      <c r="M266" s="33" t="s">
        <v>65</v>
      </c>
      <c r="N266" s="33"/>
      <c r="O266" s="32">
        <v>40</v>
      </c>
      <c r="P266" s="72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36"/>
      <c r="R266" s="636"/>
      <c r="S266" s="636"/>
      <c r="T266" s="637"/>
      <c r="U266" s="34"/>
      <c r="V266" s="34"/>
      <c r="W266" s="35" t="s">
        <v>66</v>
      </c>
      <c r="X266" s="629">
        <v>70</v>
      </c>
      <c r="Y266" s="630">
        <f t="shared" si="39"/>
        <v>70.2</v>
      </c>
      <c r="Z266" s="36">
        <f>IFERROR(IF(Y266=0,"",ROUNDUP(Y266/H266,0)*0.00902),"")</f>
        <v>0.11726</v>
      </c>
      <c r="AA266" s="56"/>
      <c r="AB266" s="57"/>
      <c r="AC266" s="331" t="s">
        <v>443</v>
      </c>
      <c r="AG266" s="64"/>
      <c r="AJ266" s="68"/>
      <c r="AK266" s="68">
        <v>0</v>
      </c>
      <c r="BB266" s="332" t="s">
        <v>1</v>
      </c>
      <c r="BM266" s="64">
        <f t="shared" si="40"/>
        <v>72.462962962962962</v>
      </c>
      <c r="BN266" s="64">
        <f t="shared" si="41"/>
        <v>72.67</v>
      </c>
      <c r="BO266" s="64">
        <f t="shared" si="42"/>
        <v>9.8204264870931535E-2</v>
      </c>
      <c r="BP266" s="64">
        <f t="shared" si="43"/>
        <v>9.8484848484848481E-2</v>
      </c>
    </row>
    <row r="267" spans="1:68" ht="27" customHeight="1" x14ac:dyDescent="0.25">
      <c r="A267" s="54" t="s">
        <v>444</v>
      </c>
      <c r="B267" s="54" t="s">
        <v>445</v>
      </c>
      <c r="C267" s="31">
        <v>4301031220</v>
      </c>
      <c r="D267" s="633">
        <v>4680115882669</v>
      </c>
      <c r="E267" s="634"/>
      <c r="F267" s="628">
        <v>0.9</v>
      </c>
      <c r="G267" s="32">
        <v>6</v>
      </c>
      <c r="H267" s="628">
        <v>5.4</v>
      </c>
      <c r="I267" s="628">
        <v>5.59</v>
      </c>
      <c r="J267" s="32">
        <v>132</v>
      </c>
      <c r="K267" s="32" t="s">
        <v>124</v>
      </c>
      <c r="L267" s="32"/>
      <c r="M267" s="33" t="s">
        <v>65</v>
      </c>
      <c r="N267" s="33"/>
      <c r="O267" s="32">
        <v>40</v>
      </c>
      <c r="P267" s="82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36"/>
      <c r="R267" s="636"/>
      <c r="S267" s="636"/>
      <c r="T267" s="637"/>
      <c r="U267" s="34"/>
      <c r="V267" s="34"/>
      <c r="W267" s="35" t="s">
        <v>66</v>
      </c>
      <c r="X267" s="629">
        <v>140</v>
      </c>
      <c r="Y267" s="630">
        <f t="shared" si="39"/>
        <v>140.4</v>
      </c>
      <c r="Z267" s="36">
        <f>IFERROR(IF(Y267=0,"",ROUNDUP(Y267/H267,0)*0.00902),"")</f>
        <v>0.23452000000000001</v>
      </c>
      <c r="AA267" s="56"/>
      <c r="AB267" s="57"/>
      <c r="AC267" s="333" t="s">
        <v>446</v>
      </c>
      <c r="AG267" s="64"/>
      <c r="AJ267" s="68"/>
      <c r="AK267" s="68">
        <v>0</v>
      </c>
      <c r="BB267" s="334" t="s">
        <v>1</v>
      </c>
      <c r="BM267" s="64">
        <f t="shared" si="40"/>
        <v>144.92592592592592</v>
      </c>
      <c r="BN267" s="64">
        <f t="shared" si="41"/>
        <v>145.34</v>
      </c>
      <c r="BO267" s="64">
        <f t="shared" si="42"/>
        <v>0.19640852974186307</v>
      </c>
      <c r="BP267" s="64">
        <f t="shared" si="43"/>
        <v>0.19696969696969696</v>
      </c>
    </row>
    <row r="268" spans="1:68" ht="27" customHeight="1" x14ac:dyDescent="0.25">
      <c r="A268" s="54" t="s">
        <v>447</v>
      </c>
      <c r="B268" s="54" t="s">
        <v>448</v>
      </c>
      <c r="C268" s="31">
        <v>4301031221</v>
      </c>
      <c r="D268" s="633">
        <v>4680115882676</v>
      </c>
      <c r="E268" s="634"/>
      <c r="F268" s="628">
        <v>0.9</v>
      </c>
      <c r="G268" s="32">
        <v>6</v>
      </c>
      <c r="H268" s="628">
        <v>5.4</v>
      </c>
      <c r="I268" s="628">
        <v>5.59</v>
      </c>
      <c r="J268" s="32">
        <v>132</v>
      </c>
      <c r="K268" s="32" t="s">
        <v>124</v>
      </c>
      <c r="L268" s="32"/>
      <c r="M268" s="33" t="s">
        <v>65</v>
      </c>
      <c r="N268" s="33"/>
      <c r="O268" s="32">
        <v>40</v>
      </c>
      <c r="P268" s="6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36"/>
      <c r="R268" s="636"/>
      <c r="S268" s="636"/>
      <c r="T268" s="637"/>
      <c r="U268" s="34"/>
      <c r="V268" s="34"/>
      <c r="W268" s="35" t="s">
        <v>66</v>
      </c>
      <c r="X268" s="629">
        <v>70</v>
      </c>
      <c r="Y268" s="630">
        <f t="shared" si="39"/>
        <v>70.2</v>
      </c>
      <c r="Z268" s="36">
        <f>IFERROR(IF(Y268=0,"",ROUNDUP(Y268/H268,0)*0.00902),"")</f>
        <v>0.11726</v>
      </c>
      <c r="AA268" s="56"/>
      <c r="AB268" s="57"/>
      <c r="AC268" s="335" t="s">
        <v>449</v>
      </c>
      <c r="AG268" s="64"/>
      <c r="AJ268" s="68"/>
      <c r="AK268" s="68">
        <v>0</v>
      </c>
      <c r="BB268" s="336" t="s">
        <v>1</v>
      </c>
      <c r="BM268" s="64">
        <f t="shared" si="40"/>
        <v>72.462962962962962</v>
      </c>
      <c r="BN268" s="64">
        <f t="shared" si="41"/>
        <v>72.67</v>
      </c>
      <c r="BO268" s="64">
        <f t="shared" si="42"/>
        <v>9.8204264870931535E-2</v>
      </c>
      <c r="BP268" s="64">
        <f t="shared" si="43"/>
        <v>9.8484848484848481E-2</v>
      </c>
    </row>
    <row r="269" spans="1:68" ht="27" customHeight="1" x14ac:dyDescent="0.25">
      <c r="A269" s="54" t="s">
        <v>450</v>
      </c>
      <c r="B269" s="54" t="s">
        <v>451</v>
      </c>
      <c r="C269" s="31">
        <v>4301031223</v>
      </c>
      <c r="D269" s="633">
        <v>4680115884014</v>
      </c>
      <c r="E269" s="634"/>
      <c r="F269" s="628">
        <v>0.3</v>
      </c>
      <c r="G269" s="32">
        <v>6</v>
      </c>
      <c r="H269" s="628">
        <v>1.8</v>
      </c>
      <c r="I269" s="628">
        <v>1.93</v>
      </c>
      <c r="J269" s="32">
        <v>234</v>
      </c>
      <c r="K269" s="32" t="s">
        <v>64</v>
      </c>
      <c r="L269" s="32"/>
      <c r="M269" s="33" t="s">
        <v>65</v>
      </c>
      <c r="N269" s="33"/>
      <c r="O269" s="32">
        <v>40</v>
      </c>
      <c r="P269" s="9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36"/>
      <c r="R269" s="636"/>
      <c r="S269" s="636"/>
      <c r="T269" s="637"/>
      <c r="U269" s="34"/>
      <c r="V269" s="34"/>
      <c r="W269" s="35" t="s">
        <v>66</v>
      </c>
      <c r="X269" s="629">
        <v>32</v>
      </c>
      <c r="Y269" s="630">
        <f t="shared" si="39"/>
        <v>32.4</v>
      </c>
      <c r="Z269" s="36">
        <f>IFERROR(IF(Y269=0,"",ROUNDUP(Y269/H269,0)*0.00502),"")</f>
        <v>9.0359999999999996E-2</v>
      </c>
      <c r="AA269" s="56"/>
      <c r="AB269" s="57"/>
      <c r="AC269" s="337" t="s">
        <v>440</v>
      </c>
      <c r="AG269" s="64"/>
      <c r="AJ269" s="68"/>
      <c r="AK269" s="68">
        <v>0</v>
      </c>
      <c r="BB269" s="338" t="s">
        <v>1</v>
      </c>
      <c r="BM269" s="64">
        <f t="shared" si="40"/>
        <v>34.31111111111111</v>
      </c>
      <c r="BN269" s="64">
        <f t="shared" si="41"/>
        <v>34.739999999999995</v>
      </c>
      <c r="BO269" s="64">
        <f t="shared" si="42"/>
        <v>7.5973409306742651E-2</v>
      </c>
      <c r="BP269" s="64">
        <f t="shared" si="43"/>
        <v>7.6923076923076927E-2</v>
      </c>
    </row>
    <row r="270" spans="1:68" ht="27" customHeight="1" x14ac:dyDescent="0.25">
      <c r="A270" s="54" t="s">
        <v>452</v>
      </c>
      <c r="B270" s="54" t="s">
        <v>453</v>
      </c>
      <c r="C270" s="31">
        <v>4301031222</v>
      </c>
      <c r="D270" s="633">
        <v>4680115884007</v>
      </c>
      <c r="E270" s="634"/>
      <c r="F270" s="628">
        <v>0.3</v>
      </c>
      <c r="G270" s="32">
        <v>6</v>
      </c>
      <c r="H270" s="628">
        <v>1.8</v>
      </c>
      <c r="I270" s="628">
        <v>1.9</v>
      </c>
      <c r="J270" s="32">
        <v>234</v>
      </c>
      <c r="K270" s="32" t="s">
        <v>64</v>
      </c>
      <c r="L270" s="32"/>
      <c r="M270" s="33" t="s">
        <v>65</v>
      </c>
      <c r="N270" s="33"/>
      <c r="O270" s="32">
        <v>40</v>
      </c>
      <c r="P270" s="8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36"/>
      <c r="R270" s="636"/>
      <c r="S270" s="636"/>
      <c r="T270" s="637"/>
      <c r="U270" s="34"/>
      <c r="V270" s="34"/>
      <c r="W270" s="35" t="s">
        <v>66</v>
      </c>
      <c r="X270" s="629">
        <v>9</v>
      </c>
      <c r="Y270" s="630">
        <f t="shared" si="39"/>
        <v>9</v>
      </c>
      <c r="Z270" s="36">
        <f>IFERROR(IF(Y270=0,"",ROUNDUP(Y270/H270,0)*0.00502),"")</f>
        <v>2.5100000000000001E-2</v>
      </c>
      <c r="AA270" s="56"/>
      <c r="AB270" s="57"/>
      <c r="AC270" s="339" t="s">
        <v>443</v>
      </c>
      <c r="AG270" s="64"/>
      <c r="AJ270" s="68"/>
      <c r="AK270" s="68">
        <v>0</v>
      </c>
      <c r="BB270" s="340" t="s">
        <v>1</v>
      </c>
      <c r="BM270" s="64">
        <f t="shared" si="40"/>
        <v>9.4999999999999982</v>
      </c>
      <c r="BN270" s="64">
        <f t="shared" si="41"/>
        <v>9.4999999999999982</v>
      </c>
      <c r="BO270" s="64">
        <f t="shared" si="42"/>
        <v>2.1367521367521368E-2</v>
      </c>
      <c r="BP270" s="64">
        <f t="shared" si="43"/>
        <v>2.1367521367521368E-2</v>
      </c>
    </row>
    <row r="271" spans="1:68" ht="27" hidden="1" customHeight="1" x14ac:dyDescent="0.25">
      <c r="A271" s="54" t="s">
        <v>454</v>
      </c>
      <c r="B271" s="54" t="s">
        <v>455</v>
      </c>
      <c r="C271" s="31">
        <v>4301031229</v>
      </c>
      <c r="D271" s="633">
        <v>4680115884038</v>
      </c>
      <c r="E271" s="634"/>
      <c r="F271" s="628">
        <v>0.3</v>
      </c>
      <c r="G271" s="32">
        <v>6</v>
      </c>
      <c r="H271" s="628">
        <v>1.8</v>
      </c>
      <c r="I271" s="628">
        <v>1.9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7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36"/>
      <c r="R271" s="636"/>
      <c r="S271" s="636"/>
      <c r="T271" s="637"/>
      <c r="U271" s="34"/>
      <c r="V271" s="34"/>
      <c r="W271" s="35" t="s">
        <v>66</v>
      </c>
      <c r="X271" s="629">
        <v>0</v>
      </c>
      <c r="Y271" s="630">
        <f t="shared" si="39"/>
        <v>0</v>
      </c>
      <c r="Z271" s="36" t="str">
        <f>IFERROR(IF(Y271=0,"",ROUNDUP(Y271/H271,0)*0.00502),"")</f>
        <v/>
      </c>
      <c r="AA271" s="56"/>
      <c r="AB271" s="57"/>
      <c r="AC271" s="341" t="s">
        <v>446</v>
      </c>
      <c r="AG271" s="64"/>
      <c r="AJ271" s="68"/>
      <c r="AK271" s="68">
        <v>0</v>
      </c>
      <c r="BB271" s="342" t="s">
        <v>1</v>
      </c>
      <c r="BM271" s="64">
        <f t="shared" si="40"/>
        <v>0</v>
      </c>
      <c r="BN271" s="64">
        <f t="shared" si="41"/>
        <v>0</v>
      </c>
      <c r="BO271" s="64">
        <f t="shared" si="42"/>
        <v>0</v>
      </c>
      <c r="BP271" s="64">
        <f t="shared" si="43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4301031225</v>
      </c>
      <c r="D272" s="633">
        <v>4680115884021</v>
      </c>
      <c r="E272" s="634"/>
      <c r="F272" s="628">
        <v>0.3</v>
      </c>
      <c r="G272" s="32">
        <v>6</v>
      </c>
      <c r="H272" s="628">
        <v>1.8</v>
      </c>
      <c r="I272" s="628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36"/>
      <c r="R272" s="636"/>
      <c r="S272" s="636"/>
      <c r="T272" s="637"/>
      <c r="U272" s="34"/>
      <c r="V272" s="34"/>
      <c r="W272" s="35" t="s">
        <v>66</v>
      </c>
      <c r="X272" s="629">
        <v>21</v>
      </c>
      <c r="Y272" s="630">
        <f t="shared" si="39"/>
        <v>21.6</v>
      </c>
      <c r="Z272" s="36">
        <f>IFERROR(IF(Y272=0,"",ROUNDUP(Y272/H272,0)*0.00502),"")</f>
        <v>6.0240000000000002E-2</v>
      </c>
      <c r="AA272" s="56"/>
      <c r="AB272" s="57"/>
      <c r="AC272" s="343" t="s">
        <v>449</v>
      </c>
      <c r="AG272" s="64"/>
      <c r="AJ272" s="68"/>
      <c r="AK272" s="68">
        <v>0</v>
      </c>
      <c r="BB272" s="344" t="s">
        <v>1</v>
      </c>
      <c r="BM272" s="64">
        <f t="shared" si="40"/>
        <v>22.166666666666664</v>
      </c>
      <c r="BN272" s="64">
        <f t="shared" si="41"/>
        <v>22.8</v>
      </c>
      <c r="BO272" s="64">
        <f t="shared" si="42"/>
        <v>4.9857549857549859E-2</v>
      </c>
      <c r="BP272" s="64">
        <f t="shared" si="43"/>
        <v>5.1282051282051287E-2</v>
      </c>
    </row>
    <row r="273" spans="1:68" x14ac:dyDescent="0.2">
      <c r="A273" s="642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4"/>
      <c r="P273" s="646" t="s">
        <v>71</v>
      </c>
      <c r="Q273" s="647"/>
      <c r="R273" s="647"/>
      <c r="S273" s="647"/>
      <c r="T273" s="647"/>
      <c r="U273" s="647"/>
      <c r="V273" s="648"/>
      <c r="W273" s="37" t="s">
        <v>72</v>
      </c>
      <c r="X273" s="631">
        <f>IFERROR(X265/H265,"0")+IFERROR(X266/H266,"0")+IFERROR(X267/H267,"0")+IFERROR(X268/H268,"0")+IFERROR(X269/H269,"0")+IFERROR(X270/H270,"0")+IFERROR(X271/H271,"0")+IFERROR(X272/H272,"0")</f>
        <v>99.259259259259252</v>
      </c>
      <c r="Y273" s="631">
        <f>IFERROR(Y265/H265,"0")+IFERROR(Y266/H266,"0")+IFERROR(Y267/H267,"0")+IFERROR(Y268/H268,"0")+IFERROR(Y269/H269,"0")+IFERROR(Y270/H270,"0")+IFERROR(Y271/H271,"0")+IFERROR(Y272/H272,"0")</f>
        <v>100</v>
      </c>
      <c r="Z273" s="63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0.76200000000000001</v>
      </c>
      <c r="AA273" s="632"/>
      <c r="AB273" s="632"/>
      <c r="AC273" s="632"/>
    </row>
    <row r="274" spans="1:68" x14ac:dyDescent="0.2">
      <c r="A274" s="643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4"/>
      <c r="P274" s="646" t="s">
        <v>71</v>
      </c>
      <c r="Q274" s="647"/>
      <c r="R274" s="647"/>
      <c r="S274" s="647"/>
      <c r="T274" s="647"/>
      <c r="U274" s="647"/>
      <c r="V274" s="648"/>
      <c r="W274" s="37" t="s">
        <v>66</v>
      </c>
      <c r="X274" s="631">
        <f>IFERROR(SUM(X265:X272),"0")</f>
        <v>412</v>
      </c>
      <c r="Y274" s="631">
        <f>IFERROR(SUM(Y265:Y272),"0")</f>
        <v>414</v>
      </c>
      <c r="Z274" s="37"/>
      <c r="AA274" s="632"/>
      <c r="AB274" s="632"/>
      <c r="AC274" s="632"/>
    </row>
    <row r="275" spans="1:68" ht="14.25" hidden="1" customHeight="1" x14ac:dyDescent="0.25">
      <c r="A275" s="652" t="s">
        <v>73</v>
      </c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  <c r="AA275" s="625"/>
      <c r="AB275" s="625"/>
      <c r="AC275" s="625"/>
    </row>
    <row r="276" spans="1:68" ht="27" customHeight="1" x14ac:dyDescent="0.25">
      <c r="A276" s="54" t="s">
        <v>458</v>
      </c>
      <c r="B276" s="54" t="s">
        <v>459</v>
      </c>
      <c r="C276" s="31">
        <v>4301051408</v>
      </c>
      <c r="D276" s="633">
        <v>4680115881594</v>
      </c>
      <c r="E276" s="634"/>
      <c r="F276" s="628">
        <v>1.35</v>
      </c>
      <c r="G276" s="32">
        <v>6</v>
      </c>
      <c r="H276" s="628">
        <v>8.1</v>
      </c>
      <c r="I276" s="628">
        <v>8.5939999999999994</v>
      </c>
      <c r="J276" s="32">
        <v>64</v>
      </c>
      <c r="K276" s="32" t="s">
        <v>115</v>
      </c>
      <c r="L276" s="32"/>
      <c r="M276" s="33" t="s">
        <v>77</v>
      </c>
      <c r="N276" s="33"/>
      <c r="O276" s="32">
        <v>40</v>
      </c>
      <c r="P276" s="92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36"/>
      <c r="R276" s="636"/>
      <c r="S276" s="636"/>
      <c r="T276" s="637"/>
      <c r="U276" s="34"/>
      <c r="V276" s="34"/>
      <c r="W276" s="35" t="s">
        <v>66</v>
      </c>
      <c r="X276" s="629">
        <v>63</v>
      </c>
      <c r="Y276" s="630">
        <f t="shared" ref="Y276:Y287" si="44">IFERROR(IF(X276="",0,CEILING((X276/$H276),1)*$H276),"")</f>
        <v>64.8</v>
      </c>
      <c r="Z276" s="36">
        <f>IFERROR(IF(Y276=0,"",ROUNDUP(Y276/H276,0)*0.01898),"")</f>
        <v>0.15184</v>
      </c>
      <c r="AA276" s="56"/>
      <c r="AB276" s="57"/>
      <c r="AC276" s="345" t="s">
        <v>460</v>
      </c>
      <c r="AG276" s="64"/>
      <c r="AJ276" s="68"/>
      <c r="AK276" s="68">
        <v>0</v>
      </c>
      <c r="BB276" s="346" t="s">
        <v>1</v>
      </c>
      <c r="BM276" s="64">
        <f t="shared" ref="BM276:BM287" si="45">IFERROR(X276*I276/H276,"0")</f>
        <v>66.842222222222219</v>
      </c>
      <c r="BN276" s="64">
        <f t="shared" ref="BN276:BN287" si="46">IFERROR(Y276*I276/H276,"0")</f>
        <v>68.751999999999995</v>
      </c>
      <c r="BO276" s="64">
        <f t="shared" ref="BO276:BO287" si="47">IFERROR(1/J276*(X276/H276),"0")</f>
        <v>0.12152777777777778</v>
      </c>
      <c r="BP276" s="64">
        <f t="shared" ref="BP276:BP287" si="48">IFERROR(1/J276*(Y276/H276),"0")</f>
        <v>0.125</v>
      </c>
    </row>
    <row r="277" spans="1:68" ht="27" customHeight="1" x14ac:dyDescent="0.25">
      <c r="A277" s="54" t="s">
        <v>461</v>
      </c>
      <c r="B277" s="54" t="s">
        <v>462</v>
      </c>
      <c r="C277" s="31">
        <v>4301051411</v>
      </c>
      <c r="D277" s="633">
        <v>4680115881617</v>
      </c>
      <c r="E277" s="634"/>
      <c r="F277" s="628">
        <v>1.35</v>
      </c>
      <c r="G277" s="32">
        <v>6</v>
      </c>
      <c r="H277" s="628">
        <v>8.1</v>
      </c>
      <c r="I277" s="628">
        <v>8.5760000000000005</v>
      </c>
      <c r="J277" s="32">
        <v>64</v>
      </c>
      <c r="K277" s="32" t="s">
        <v>115</v>
      </c>
      <c r="L277" s="32"/>
      <c r="M277" s="33" t="s">
        <v>77</v>
      </c>
      <c r="N277" s="33"/>
      <c r="O277" s="32">
        <v>40</v>
      </c>
      <c r="P277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36"/>
      <c r="R277" s="636"/>
      <c r="S277" s="636"/>
      <c r="T277" s="637"/>
      <c r="U277" s="34"/>
      <c r="V277" s="34"/>
      <c r="W277" s="35" t="s">
        <v>66</v>
      </c>
      <c r="X277" s="629">
        <v>221</v>
      </c>
      <c r="Y277" s="630">
        <f t="shared" si="44"/>
        <v>226.79999999999998</v>
      </c>
      <c r="Z277" s="36">
        <f>IFERROR(IF(Y277=0,"",ROUNDUP(Y277/H277,0)*0.01898),"")</f>
        <v>0.53144000000000002</v>
      </c>
      <c r="AA277" s="56"/>
      <c r="AB277" s="57"/>
      <c r="AC277" s="347" t="s">
        <v>463</v>
      </c>
      <c r="AG277" s="64"/>
      <c r="AJ277" s="68"/>
      <c r="AK277" s="68">
        <v>0</v>
      </c>
      <c r="BB277" s="348" t="s">
        <v>1</v>
      </c>
      <c r="BM277" s="64">
        <f t="shared" si="45"/>
        <v>233.98716049382719</v>
      </c>
      <c r="BN277" s="64">
        <f t="shared" si="46"/>
        <v>240.12799999999999</v>
      </c>
      <c r="BO277" s="64">
        <f t="shared" si="47"/>
        <v>0.42631172839506176</v>
      </c>
      <c r="BP277" s="64">
        <f t="shared" si="48"/>
        <v>0.4375</v>
      </c>
    </row>
    <row r="278" spans="1:68" ht="27" customHeight="1" x14ac:dyDescent="0.25">
      <c r="A278" s="54" t="s">
        <v>464</v>
      </c>
      <c r="B278" s="54" t="s">
        <v>465</v>
      </c>
      <c r="C278" s="31">
        <v>4301051656</v>
      </c>
      <c r="D278" s="633">
        <v>4680115880573</v>
      </c>
      <c r="E278" s="634"/>
      <c r="F278" s="628">
        <v>1.45</v>
      </c>
      <c r="G278" s="32">
        <v>6</v>
      </c>
      <c r="H278" s="628">
        <v>8.6999999999999993</v>
      </c>
      <c r="I278" s="628">
        <v>9.1940000000000008</v>
      </c>
      <c r="J278" s="32">
        <v>64</v>
      </c>
      <c r="K278" s="32" t="s">
        <v>115</v>
      </c>
      <c r="L278" s="32"/>
      <c r="M278" s="33" t="s">
        <v>77</v>
      </c>
      <c r="N278" s="33"/>
      <c r="O278" s="32">
        <v>45</v>
      </c>
      <c r="P278" s="9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36"/>
      <c r="R278" s="636"/>
      <c r="S278" s="636"/>
      <c r="T278" s="637"/>
      <c r="U278" s="34"/>
      <c r="V278" s="34"/>
      <c r="W278" s="35" t="s">
        <v>66</v>
      </c>
      <c r="X278" s="629">
        <v>50</v>
      </c>
      <c r="Y278" s="630">
        <f t="shared" si="44"/>
        <v>52.199999999999996</v>
      </c>
      <c r="Z278" s="36">
        <f>IFERROR(IF(Y278=0,"",ROUNDUP(Y278/H278,0)*0.01898),"")</f>
        <v>0.11388000000000001</v>
      </c>
      <c r="AA278" s="56"/>
      <c r="AB278" s="57"/>
      <c r="AC278" s="349" t="s">
        <v>466</v>
      </c>
      <c r="AG278" s="64"/>
      <c r="AJ278" s="68"/>
      <c r="AK278" s="68">
        <v>0</v>
      </c>
      <c r="BB278" s="350" t="s">
        <v>1</v>
      </c>
      <c r="BM278" s="64">
        <f t="shared" si="45"/>
        <v>52.839080459770123</v>
      </c>
      <c r="BN278" s="64">
        <f t="shared" si="46"/>
        <v>55.164000000000009</v>
      </c>
      <c r="BO278" s="64">
        <f t="shared" si="47"/>
        <v>8.9798850574712652E-2</v>
      </c>
      <c r="BP278" s="64">
        <f t="shared" si="48"/>
        <v>9.375E-2</v>
      </c>
    </row>
    <row r="279" spans="1:68" ht="27" hidden="1" customHeight="1" x14ac:dyDescent="0.25">
      <c r="A279" s="54" t="s">
        <v>467</v>
      </c>
      <c r="B279" s="54" t="s">
        <v>468</v>
      </c>
      <c r="C279" s="31">
        <v>4301051407</v>
      </c>
      <c r="D279" s="633">
        <v>4680115882195</v>
      </c>
      <c r="E279" s="634"/>
      <c r="F279" s="628">
        <v>0.4</v>
      </c>
      <c r="G279" s="32">
        <v>6</v>
      </c>
      <c r="H279" s="628">
        <v>2.4</v>
      </c>
      <c r="I279" s="628">
        <v>2.67</v>
      </c>
      <c r="J279" s="32">
        <v>182</v>
      </c>
      <c r="K279" s="32" t="s">
        <v>76</v>
      </c>
      <c r="L279" s="32"/>
      <c r="M279" s="33" t="s">
        <v>77</v>
      </c>
      <c r="N279" s="33"/>
      <c r="O279" s="32">
        <v>40</v>
      </c>
      <c r="P279" s="88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36"/>
      <c r="R279" s="636"/>
      <c r="S279" s="636"/>
      <c r="T279" s="637"/>
      <c r="U279" s="34"/>
      <c r="V279" s="34"/>
      <c r="W279" s="35" t="s">
        <v>66</v>
      </c>
      <c r="X279" s="629">
        <v>0</v>
      </c>
      <c r="Y279" s="630">
        <f t="shared" si="44"/>
        <v>0</v>
      </c>
      <c r="Z279" s="36" t="str">
        <f>IFERROR(IF(Y279=0,"",ROUNDUP(Y279/H279,0)*0.00651),"")</f>
        <v/>
      </c>
      <c r="AA279" s="56"/>
      <c r="AB279" s="57"/>
      <c r="AC279" s="351" t="s">
        <v>460</v>
      </c>
      <c r="AG279" s="64"/>
      <c r="AJ279" s="68"/>
      <c r="AK279" s="68">
        <v>0</v>
      </c>
      <c r="BB279" s="352" t="s">
        <v>1</v>
      </c>
      <c r="BM279" s="64">
        <f t="shared" si="45"/>
        <v>0</v>
      </c>
      <c r="BN279" s="64">
        <f t="shared" si="46"/>
        <v>0</v>
      </c>
      <c r="BO279" s="64">
        <f t="shared" si="47"/>
        <v>0</v>
      </c>
      <c r="BP279" s="64">
        <f t="shared" si="48"/>
        <v>0</v>
      </c>
    </row>
    <row r="280" spans="1:68" ht="27" hidden="1" customHeight="1" x14ac:dyDescent="0.25">
      <c r="A280" s="54" t="s">
        <v>469</v>
      </c>
      <c r="B280" s="54" t="s">
        <v>470</v>
      </c>
      <c r="C280" s="31">
        <v>4301051752</v>
      </c>
      <c r="D280" s="633">
        <v>4680115882607</v>
      </c>
      <c r="E280" s="634"/>
      <c r="F280" s="628">
        <v>0.3</v>
      </c>
      <c r="G280" s="32">
        <v>6</v>
      </c>
      <c r="H280" s="628">
        <v>1.8</v>
      </c>
      <c r="I280" s="628">
        <v>2.052</v>
      </c>
      <c r="J280" s="32">
        <v>182</v>
      </c>
      <c r="K280" s="32" t="s">
        <v>76</v>
      </c>
      <c r="L280" s="32"/>
      <c r="M280" s="33" t="s">
        <v>83</v>
      </c>
      <c r="N280" s="33"/>
      <c r="O280" s="32">
        <v>45</v>
      </c>
      <c r="P280" s="7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36"/>
      <c r="R280" s="636"/>
      <c r="S280" s="636"/>
      <c r="T280" s="637"/>
      <c r="U280" s="34"/>
      <c r="V280" s="34"/>
      <c r="W280" s="35" t="s">
        <v>66</v>
      </c>
      <c r="X280" s="629">
        <v>0</v>
      </c>
      <c r="Y280" s="630">
        <f t="shared" si="44"/>
        <v>0</v>
      </c>
      <c r="Z280" s="36" t="str">
        <f>IFERROR(IF(Y280=0,"",ROUNDUP(Y280/H280,0)*0.00651),"")</f>
        <v/>
      </c>
      <c r="AA280" s="56"/>
      <c r="AB280" s="57"/>
      <c r="AC280" s="353" t="s">
        <v>466</v>
      </c>
      <c r="AG280" s="64"/>
      <c r="AJ280" s="68"/>
      <c r="AK280" s="68">
        <v>0</v>
      </c>
      <c r="BB280" s="354" t="s">
        <v>1</v>
      </c>
      <c r="BM280" s="64">
        <f t="shared" si="45"/>
        <v>0</v>
      </c>
      <c r="BN280" s="64">
        <f t="shared" si="46"/>
        <v>0</v>
      </c>
      <c r="BO280" s="64">
        <f t="shared" si="47"/>
        <v>0</v>
      </c>
      <c r="BP280" s="64">
        <f t="shared" si="48"/>
        <v>0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4301052143</v>
      </c>
      <c r="D281" s="633">
        <v>4680115882607</v>
      </c>
      <c r="E281" s="634"/>
      <c r="F281" s="628">
        <v>0.3</v>
      </c>
      <c r="G281" s="32">
        <v>6</v>
      </c>
      <c r="H281" s="628">
        <v>1.8</v>
      </c>
      <c r="I281" s="628">
        <v>2.0619999999999998</v>
      </c>
      <c r="J281" s="32">
        <v>132</v>
      </c>
      <c r="K281" s="32" t="s">
        <v>124</v>
      </c>
      <c r="L281" s="32"/>
      <c r="M281" s="33" t="s">
        <v>77</v>
      </c>
      <c r="N281" s="33"/>
      <c r="O281" s="32">
        <v>45</v>
      </c>
      <c r="P281" s="75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36"/>
      <c r="R281" s="636"/>
      <c r="S281" s="636"/>
      <c r="T281" s="637"/>
      <c r="U281" s="34"/>
      <c r="V281" s="34"/>
      <c r="W281" s="35" t="s">
        <v>66</v>
      </c>
      <c r="X281" s="629">
        <v>0</v>
      </c>
      <c r="Y281" s="630">
        <f t="shared" si="44"/>
        <v>0</v>
      </c>
      <c r="Z281" s="36" t="str">
        <f>IFERROR(IF(Y281=0,"",ROUNDUP(Y281/H281,0)*0.00902),"")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45"/>
        <v>0</v>
      </c>
      <c r="BN281" s="64">
        <f t="shared" si="46"/>
        <v>0</v>
      </c>
      <c r="BO281" s="64">
        <f t="shared" si="47"/>
        <v>0</v>
      </c>
      <c r="BP281" s="64">
        <f t="shared" si="48"/>
        <v>0</v>
      </c>
    </row>
    <row r="282" spans="1:68" ht="27" customHeight="1" x14ac:dyDescent="0.25">
      <c r="A282" s="54" t="s">
        <v>474</v>
      </c>
      <c r="B282" s="54" t="s">
        <v>475</v>
      </c>
      <c r="C282" s="31">
        <v>4301051666</v>
      </c>
      <c r="D282" s="633">
        <v>4680115880092</v>
      </c>
      <c r="E282" s="634"/>
      <c r="F282" s="628">
        <v>0.4</v>
      </c>
      <c r="G282" s="32">
        <v>6</v>
      </c>
      <c r="H282" s="628">
        <v>2.4</v>
      </c>
      <c r="I282" s="628">
        <v>2.6520000000000001</v>
      </c>
      <c r="J282" s="32">
        <v>182</v>
      </c>
      <c r="K282" s="32" t="s">
        <v>76</v>
      </c>
      <c r="L282" s="32"/>
      <c r="M282" s="33" t="s">
        <v>77</v>
      </c>
      <c r="N282" s="33"/>
      <c r="O282" s="32">
        <v>45</v>
      </c>
      <c r="P282" s="9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36"/>
      <c r="R282" s="636"/>
      <c r="S282" s="636"/>
      <c r="T282" s="637"/>
      <c r="U282" s="34"/>
      <c r="V282" s="34"/>
      <c r="W282" s="35" t="s">
        <v>66</v>
      </c>
      <c r="X282" s="629">
        <v>140</v>
      </c>
      <c r="Y282" s="630">
        <f t="shared" si="44"/>
        <v>141.6</v>
      </c>
      <c r="Z282" s="36">
        <f>IFERROR(IF(Y282=0,"",ROUNDUP(Y282/H282,0)*0.00651),"")</f>
        <v>0.38408999999999999</v>
      </c>
      <c r="AA282" s="56"/>
      <c r="AB282" s="57"/>
      <c r="AC282" s="357" t="s">
        <v>466</v>
      </c>
      <c r="AG282" s="64"/>
      <c r="AJ282" s="68"/>
      <c r="AK282" s="68">
        <v>0</v>
      </c>
      <c r="BB282" s="358" t="s">
        <v>1</v>
      </c>
      <c r="BM282" s="64">
        <f t="shared" si="45"/>
        <v>154.70000000000002</v>
      </c>
      <c r="BN282" s="64">
        <f t="shared" si="46"/>
        <v>156.46800000000002</v>
      </c>
      <c r="BO282" s="64">
        <f t="shared" si="47"/>
        <v>0.32051282051282054</v>
      </c>
      <c r="BP282" s="64">
        <f t="shared" si="48"/>
        <v>0.32417582417582419</v>
      </c>
    </row>
    <row r="283" spans="1:68" ht="27" hidden="1" customHeight="1" x14ac:dyDescent="0.25">
      <c r="A283" s="54" t="s">
        <v>476</v>
      </c>
      <c r="B283" s="54" t="s">
        <v>477</v>
      </c>
      <c r="C283" s="31">
        <v>4301052214</v>
      </c>
      <c r="D283" s="633">
        <v>4680115889064</v>
      </c>
      <c r="E283" s="634"/>
      <c r="F283" s="628">
        <v>0.7</v>
      </c>
      <c r="G283" s="32">
        <v>6</v>
      </c>
      <c r="H283" s="628">
        <v>4.2</v>
      </c>
      <c r="I283" s="628">
        <v>4.6159999999999997</v>
      </c>
      <c r="J283" s="32">
        <v>104</v>
      </c>
      <c r="K283" s="32" t="s">
        <v>115</v>
      </c>
      <c r="L283" s="32"/>
      <c r="M283" s="33" t="s">
        <v>77</v>
      </c>
      <c r="N283" s="33"/>
      <c r="O283" s="32">
        <v>45</v>
      </c>
      <c r="P283" s="80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36"/>
      <c r="R283" s="636"/>
      <c r="S283" s="636"/>
      <c r="T283" s="637"/>
      <c r="U283" s="34"/>
      <c r="V283" s="34"/>
      <c r="W283" s="35" t="s">
        <v>66</v>
      </c>
      <c r="X283" s="629">
        <v>0</v>
      </c>
      <c r="Y283" s="630">
        <f t="shared" si="44"/>
        <v>0</v>
      </c>
      <c r="Z283" s="36" t="str">
        <f>IFERROR(IF(Y283=0,"",ROUNDUP(Y283/H283,0)*0.01196),"")</f>
        <v/>
      </c>
      <c r="AA283" s="56"/>
      <c r="AB283" s="57"/>
      <c r="AC283" s="359" t="s">
        <v>473</v>
      </c>
      <c r="AG283" s="64"/>
      <c r="AJ283" s="68"/>
      <c r="AK283" s="68">
        <v>0</v>
      </c>
      <c r="BB283" s="360" t="s">
        <v>1</v>
      </c>
      <c r="BM283" s="64">
        <f t="shared" si="45"/>
        <v>0</v>
      </c>
      <c r="BN283" s="64">
        <f t="shared" si="46"/>
        <v>0</v>
      </c>
      <c r="BO283" s="64">
        <f t="shared" si="47"/>
        <v>0</v>
      </c>
      <c r="BP283" s="64">
        <f t="shared" si="48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4301051668</v>
      </c>
      <c r="D284" s="633">
        <v>4680115880221</v>
      </c>
      <c r="E284" s="634"/>
      <c r="F284" s="628">
        <v>0.4</v>
      </c>
      <c r="G284" s="32">
        <v>6</v>
      </c>
      <c r="H284" s="628">
        <v>2.4</v>
      </c>
      <c r="I284" s="628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7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36"/>
      <c r="R284" s="636"/>
      <c r="S284" s="636"/>
      <c r="T284" s="637"/>
      <c r="U284" s="34"/>
      <c r="V284" s="34"/>
      <c r="W284" s="35" t="s">
        <v>66</v>
      </c>
      <c r="X284" s="629">
        <v>28</v>
      </c>
      <c r="Y284" s="630">
        <f t="shared" si="44"/>
        <v>28.799999999999997</v>
      </c>
      <c r="Z284" s="36">
        <f>IFERROR(IF(Y284=0,"",ROUNDUP(Y284/H284,0)*0.00651),"")</f>
        <v>7.8119999999999995E-2</v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5"/>
        <v>30.94</v>
      </c>
      <c r="BN284" s="64">
        <f t="shared" si="46"/>
        <v>31.824000000000002</v>
      </c>
      <c r="BO284" s="64">
        <f t="shared" si="47"/>
        <v>6.4102564102564111E-2</v>
      </c>
      <c r="BP284" s="64">
        <f t="shared" si="48"/>
        <v>6.5934065934065936E-2</v>
      </c>
    </row>
    <row r="285" spans="1:68" ht="27" customHeight="1" x14ac:dyDescent="0.25">
      <c r="A285" s="54" t="s">
        <v>480</v>
      </c>
      <c r="B285" s="54" t="s">
        <v>481</v>
      </c>
      <c r="C285" s="31">
        <v>4301051945</v>
      </c>
      <c r="D285" s="633">
        <v>4680115880504</v>
      </c>
      <c r="E285" s="634"/>
      <c r="F285" s="628">
        <v>0.4</v>
      </c>
      <c r="G285" s="32">
        <v>6</v>
      </c>
      <c r="H285" s="628">
        <v>2.4</v>
      </c>
      <c r="I285" s="628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65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36"/>
      <c r="R285" s="636"/>
      <c r="S285" s="636"/>
      <c r="T285" s="637"/>
      <c r="U285" s="34"/>
      <c r="V285" s="34"/>
      <c r="W285" s="35" t="s">
        <v>66</v>
      </c>
      <c r="X285" s="629">
        <v>70</v>
      </c>
      <c r="Y285" s="630">
        <f t="shared" si="44"/>
        <v>72</v>
      </c>
      <c r="Z285" s="36">
        <f>IFERROR(IF(Y285=0,"",ROUNDUP(Y285/H285,0)*0.00651),"")</f>
        <v>0.1953</v>
      </c>
      <c r="AA285" s="56"/>
      <c r="AB285" s="57"/>
      <c r="AC285" s="363" t="s">
        <v>482</v>
      </c>
      <c r="AG285" s="64"/>
      <c r="AJ285" s="68"/>
      <c r="AK285" s="68">
        <v>0</v>
      </c>
      <c r="BB285" s="364" t="s">
        <v>1</v>
      </c>
      <c r="BM285" s="64">
        <f t="shared" si="45"/>
        <v>77.350000000000009</v>
      </c>
      <c r="BN285" s="64">
        <f t="shared" si="46"/>
        <v>79.560000000000016</v>
      </c>
      <c r="BO285" s="64">
        <f t="shared" si="47"/>
        <v>0.16025641025641027</v>
      </c>
      <c r="BP285" s="64">
        <f t="shared" si="48"/>
        <v>0.16483516483516486</v>
      </c>
    </row>
    <row r="286" spans="1:68" ht="27" customHeight="1" x14ac:dyDescent="0.25">
      <c r="A286" s="54" t="s">
        <v>483</v>
      </c>
      <c r="B286" s="54" t="s">
        <v>484</v>
      </c>
      <c r="C286" s="31">
        <v>4301051410</v>
      </c>
      <c r="D286" s="633">
        <v>4680115882164</v>
      </c>
      <c r="E286" s="634"/>
      <c r="F286" s="628">
        <v>0.4</v>
      </c>
      <c r="G286" s="32">
        <v>6</v>
      </c>
      <c r="H286" s="628">
        <v>2.4</v>
      </c>
      <c r="I286" s="628">
        <v>2.6579999999999999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75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66</v>
      </c>
      <c r="X286" s="629">
        <v>112</v>
      </c>
      <c r="Y286" s="630">
        <f t="shared" si="44"/>
        <v>112.8</v>
      </c>
      <c r="Z286" s="36">
        <f>IFERROR(IF(Y286=0,"",ROUNDUP(Y286/H286,0)*0.00651),"")</f>
        <v>0.30597000000000002</v>
      </c>
      <c r="AA286" s="56"/>
      <c r="AB286" s="57"/>
      <c r="AC286" s="365" t="s">
        <v>485</v>
      </c>
      <c r="AG286" s="64"/>
      <c r="AJ286" s="68"/>
      <c r="AK286" s="68">
        <v>0</v>
      </c>
      <c r="BB286" s="366" t="s">
        <v>1</v>
      </c>
      <c r="BM286" s="64">
        <f t="shared" si="45"/>
        <v>124.03999999999999</v>
      </c>
      <c r="BN286" s="64">
        <f t="shared" si="46"/>
        <v>124.92599999999999</v>
      </c>
      <c r="BO286" s="64">
        <f t="shared" si="47"/>
        <v>0.25641025641025644</v>
      </c>
      <c r="BP286" s="64">
        <f t="shared" si="48"/>
        <v>0.25824175824175827</v>
      </c>
    </row>
    <row r="287" spans="1:68" ht="27" hidden="1" customHeight="1" x14ac:dyDescent="0.25">
      <c r="A287" s="54" t="s">
        <v>486</v>
      </c>
      <c r="B287" s="54" t="s">
        <v>487</v>
      </c>
      <c r="C287" s="31">
        <v>4301052180</v>
      </c>
      <c r="D287" s="633">
        <v>4680115888340</v>
      </c>
      <c r="E287" s="634"/>
      <c r="F287" s="628">
        <v>0.4</v>
      </c>
      <c r="G287" s="32">
        <v>6</v>
      </c>
      <c r="H287" s="628">
        <v>2.4</v>
      </c>
      <c r="I287" s="628">
        <v>2.6520000000000001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45</v>
      </c>
      <c r="P287" s="75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36"/>
      <c r="R287" s="636"/>
      <c r="S287" s="636"/>
      <c r="T287" s="637"/>
      <c r="U287" s="34"/>
      <c r="V287" s="34"/>
      <c r="W287" s="35" t="s">
        <v>66</v>
      </c>
      <c r="X287" s="629">
        <v>0</v>
      </c>
      <c r="Y287" s="630">
        <f t="shared" si="44"/>
        <v>0</v>
      </c>
      <c r="Z287" s="36" t="str">
        <f>IFERROR(IF(Y287=0,"",ROUNDUP(Y287/H287,0)*0.00651),"")</f>
        <v/>
      </c>
      <c r="AA287" s="56"/>
      <c r="AB287" s="57"/>
      <c r="AC287" s="367" t="s">
        <v>488</v>
      </c>
      <c r="AG287" s="64"/>
      <c r="AJ287" s="68"/>
      <c r="AK287" s="68">
        <v>0</v>
      </c>
      <c r="BB287" s="368" t="s">
        <v>1</v>
      </c>
      <c r="BM287" s="64">
        <f t="shared" si="45"/>
        <v>0</v>
      </c>
      <c r="BN287" s="64">
        <f t="shared" si="46"/>
        <v>0</v>
      </c>
      <c r="BO287" s="64">
        <f t="shared" si="47"/>
        <v>0</v>
      </c>
      <c r="BP287" s="64">
        <f t="shared" si="48"/>
        <v>0</v>
      </c>
    </row>
    <row r="288" spans="1:68" x14ac:dyDescent="0.2">
      <c r="A288" s="642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4"/>
      <c r="P288" s="646" t="s">
        <v>71</v>
      </c>
      <c r="Q288" s="647"/>
      <c r="R288" s="647"/>
      <c r="S288" s="647"/>
      <c r="T288" s="647"/>
      <c r="U288" s="647"/>
      <c r="V288" s="648"/>
      <c r="W288" s="37" t="s">
        <v>72</v>
      </c>
      <c r="X288" s="63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186.64218816517666</v>
      </c>
      <c r="Y288" s="63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190</v>
      </c>
      <c r="Z288" s="63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1.76064</v>
      </c>
      <c r="AA288" s="632"/>
      <c r="AB288" s="632"/>
      <c r="AC288" s="632"/>
    </row>
    <row r="289" spans="1:68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6" t="s">
        <v>71</v>
      </c>
      <c r="Q289" s="647"/>
      <c r="R289" s="647"/>
      <c r="S289" s="647"/>
      <c r="T289" s="647"/>
      <c r="U289" s="647"/>
      <c r="V289" s="648"/>
      <c r="W289" s="37" t="s">
        <v>66</v>
      </c>
      <c r="X289" s="631">
        <f>IFERROR(SUM(X276:X287),"0")</f>
        <v>684</v>
      </c>
      <c r="Y289" s="631">
        <f>IFERROR(SUM(Y276:Y287),"0")</f>
        <v>698.99999999999989</v>
      </c>
      <c r="Z289" s="37"/>
      <c r="AA289" s="632"/>
      <c r="AB289" s="632"/>
      <c r="AC289" s="632"/>
    </row>
    <row r="290" spans="1:68" ht="14.25" hidden="1" customHeight="1" x14ac:dyDescent="0.25">
      <c r="A290" s="652" t="s">
        <v>162</v>
      </c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  <c r="AA290" s="625"/>
      <c r="AB290" s="625"/>
      <c r="AC290" s="625"/>
    </row>
    <row r="291" spans="1:68" ht="27" customHeight="1" x14ac:dyDescent="0.25">
      <c r="A291" s="54" t="s">
        <v>489</v>
      </c>
      <c r="B291" s="54" t="s">
        <v>490</v>
      </c>
      <c r="C291" s="31">
        <v>4301060463</v>
      </c>
      <c r="D291" s="633">
        <v>4680115880818</v>
      </c>
      <c r="E291" s="634"/>
      <c r="F291" s="628">
        <v>0.4</v>
      </c>
      <c r="G291" s="32">
        <v>6</v>
      </c>
      <c r="H291" s="628">
        <v>2.4</v>
      </c>
      <c r="I291" s="628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36"/>
      <c r="R291" s="636"/>
      <c r="S291" s="636"/>
      <c r="T291" s="637"/>
      <c r="U291" s="34"/>
      <c r="V291" s="34"/>
      <c r="W291" s="35" t="s">
        <v>66</v>
      </c>
      <c r="X291" s="629">
        <v>42</v>
      </c>
      <c r="Y291" s="630">
        <f>IFERROR(IF(X291="",0,CEILING((X291/$H291),1)*$H291),"")</f>
        <v>43.199999999999996</v>
      </c>
      <c r="Z291" s="36">
        <f>IFERROR(IF(Y291=0,"",ROUNDUP(Y291/H291,0)*0.00651),"")</f>
        <v>0.11718000000000001</v>
      </c>
      <c r="AA291" s="56"/>
      <c r="AB291" s="57"/>
      <c r="AC291" s="369" t="s">
        <v>491</v>
      </c>
      <c r="AG291" s="64"/>
      <c r="AJ291" s="68"/>
      <c r="AK291" s="68">
        <v>0</v>
      </c>
      <c r="BB291" s="370" t="s">
        <v>1</v>
      </c>
      <c r="BM291" s="64">
        <f>IFERROR(X291*I291/H291,"0")</f>
        <v>46.410000000000004</v>
      </c>
      <c r="BN291" s="64">
        <f>IFERROR(Y291*I291/H291,"0")</f>
        <v>47.736000000000004</v>
      </c>
      <c r="BO291" s="64">
        <f>IFERROR(1/J291*(X291/H291),"0")</f>
        <v>9.6153846153846159E-2</v>
      </c>
      <c r="BP291" s="64">
        <f>IFERROR(1/J291*(Y291/H291),"0")</f>
        <v>9.8901098901098911E-2</v>
      </c>
    </row>
    <row r="292" spans="1:68" ht="27" customHeight="1" x14ac:dyDescent="0.25">
      <c r="A292" s="54" t="s">
        <v>492</v>
      </c>
      <c r="B292" s="54" t="s">
        <v>493</v>
      </c>
      <c r="C292" s="31">
        <v>4301060389</v>
      </c>
      <c r="D292" s="633">
        <v>4680115880801</v>
      </c>
      <c r="E292" s="634"/>
      <c r="F292" s="628">
        <v>0.4</v>
      </c>
      <c r="G292" s="32">
        <v>6</v>
      </c>
      <c r="H292" s="628">
        <v>2.4</v>
      </c>
      <c r="I292" s="628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36"/>
      <c r="R292" s="636"/>
      <c r="S292" s="636"/>
      <c r="T292" s="637"/>
      <c r="U292" s="34"/>
      <c r="V292" s="34"/>
      <c r="W292" s="35" t="s">
        <v>66</v>
      </c>
      <c r="X292" s="629">
        <v>28</v>
      </c>
      <c r="Y292" s="630">
        <f>IFERROR(IF(X292="",0,CEILING((X292/$H292),1)*$H292),"")</f>
        <v>28.799999999999997</v>
      </c>
      <c r="Z292" s="36">
        <f>IFERROR(IF(Y292=0,"",ROUNDUP(Y292/H292,0)*0.00651),"")</f>
        <v>7.8119999999999995E-2</v>
      </c>
      <c r="AA292" s="56"/>
      <c r="AB292" s="57"/>
      <c r="AC292" s="371" t="s">
        <v>494</v>
      </c>
      <c r="AG292" s="64"/>
      <c r="AJ292" s="68"/>
      <c r="AK292" s="68">
        <v>0</v>
      </c>
      <c r="BB292" s="372" t="s">
        <v>1</v>
      </c>
      <c r="BM292" s="64">
        <f>IFERROR(X292*I292/H292,"0")</f>
        <v>30.94</v>
      </c>
      <c r="BN292" s="64">
        <f>IFERROR(Y292*I292/H292,"0")</f>
        <v>31.824000000000002</v>
      </c>
      <c r="BO292" s="64">
        <f>IFERROR(1/J292*(X292/H292),"0")</f>
        <v>6.4102564102564111E-2</v>
      </c>
      <c r="BP292" s="64">
        <f>IFERROR(1/J292*(Y292/H292),"0")</f>
        <v>6.5934065934065936E-2</v>
      </c>
    </row>
    <row r="293" spans="1:68" x14ac:dyDescent="0.2">
      <c r="A293" s="642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6" t="s">
        <v>71</v>
      </c>
      <c r="Q293" s="647"/>
      <c r="R293" s="647"/>
      <c r="S293" s="647"/>
      <c r="T293" s="647"/>
      <c r="U293" s="647"/>
      <c r="V293" s="648"/>
      <c r="W293" s="37" t="s">
        <v>72</v>
      </c>
      <c r="X293" s="631">
        <f>IFERROR(X291/H291,"0")+IFERROR(X292/H292,"0")</f>
        <v>29.166666666666668</v>
      </c>
      <c r="Y293" s="631">
        <f>IFERROR(Y291/H291,"0")+IFERROR(Y292/H292,"0")</f>
        <v>30</v>
      </c>
      <c r="Z293" s="631">
        <f>IFERROR(IF(Z291="",0,Z291),"0")+IFERROR(IF(Z292="",0,Z292),"0")</f>
        <v>0.1953</v>
      </c>
      <c r="AA293" s="632"/>
      <c r="AB293" s="632"/>
      <c r="AC293" s="632"/>
    </row>
    <row r="294" spans="1:68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6" t="s">
        <v>71</v>
      </c>
      <c r="Q294" s="647"/>
      <c r="R294" s="647"/>
      <c r="S294" s="647"/>
      <c r="T294" s="647"/>
      <c r="U294" s="647"/>
      <c r="V294" s="648"/>
      <c r="W294" s="37" t="s">
        <v>66</v>
      </c>
      <c r="X294" s="631">
        <f>IFERROR(SUM(X291:X292),"0")</f>
        <v>70</v>
      </c>
      <c r="Y294" s="631">
        <f>IFERROR(SUM(Y291:Y292),"0")</f>
        <v>72</v>
      </c>
      <c r="Z294" s="37"/>
      <c r="AA294" s="632"/>
      <c r="AB294" s="632"/>
      <c r="AC294" s="632"/>
    </row>
    <row r="295" spans="1:68" ht="16.5" hidden="1" customHeight="1" x14ac:dyDescent="0.25">
      <c r="A295" s="650" t="s">
        <v>495</v>
      </c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  <c r="AA295" s="624"/>
      <c r="AB295" s="624"/>
      <c r="AC295" s="624"/>
    </row>
    <row r="296" spans="1:68" ht="14.25" hidden="1" customHeight="1" x14ac:dyDescent="0.25">
      <c r="A296" s="652" t="s">
        <v>112</v>
      </c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  <c r="AA296" s="625"/>
      <c r="AB296" s="625"/>
      <c r="AC296" s="625"/>
    </row>
    <row r="297" spans="1:68" ht="27" customHeight="1" x14ac:dyDescent="0.25">
      <c r="A297" s="54" t="s">
        <v>496</v>
      </c>
      <c r="B297" s="54" t="s">
        <v>497</v>
      </c>
      <c r="C297" s="31">
        <v>4301011826</v>
      </c>
      <c r="D297" s="633">
        <v>4680115884137</v>
      </c>
      <c r="E297" s="634"/>
      <c r="F297" s="628">
        <v>1.45</v>
      </c>
      <c r="G297" s="32">
        <v>8</v>
      </c>
      <c r="H297" s="628">
        <v>11.6</v>
      </c>
      <c r="I297" s="628">
        <v>12.01</v>
      </c>
      <c r="J297" s="32">
        <v>64</v>
      </c>
      <c r="K297" s="32" t="s">
        <v>115</v>
      </c>
      <c r="L297" s="32"/>
      <c r="M297" s="33" t="s">
        <v>116</v>
      </c>
      <c r="N297" s="33"/>
      <c r="O297" s="32">
        <v>55</v>
      </c>
      <c r="P297" s="9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36"/>
      <c r="R297" s="636"/>
      <c r="S297" s="636"/>
      <c r="T297" s="637"/>
      <c r="U297" s="34"/>
      <c r="V297" s="34"/>
      <c r="W297" s="35" t="s">
        <v>66</v>
      </c>
      <c r="X297" s="629">
        <v>18</v>
      </c>
      <c r="Y297" s="630">
        <f t="shared" ref="Y297:Y303" si="49">IFERROR(IF(X297="",0,CEILING((X297/$H297),1)*$H297),"")</f>
        <v>23.2</v>
      </c>
      <c r="Z297" s="36">
        <f>IFERROR(IF(Y297=0,"",ROUNDUP(Y297/H297,0)*0.01898),"")</f>
        <v>3.7960000000000001E-2</v>
      </c>
      <c r="AA297" s="56"/>
      <c r="AB297" s="57"/>
      <c r="AC297" s="373" t="s">
        <v>498</v>
      </c>
      <c r="AG297" s="64"/>
      <c r="AJ297" s="68"/>
      <c r="AK297" s="68">
        <v>0</v>
      </c>
      <c r="BB297" s="374" t="s">
        <v>1</v>
      </c>
      <c r="BM297" s="64">
        <f t="shared" ref="BM297:BM303" si="50">IFERROR(X297*I297/H297,"0")</f>
        <v>18.636206896551727</v>
      </c>
      <c r="BN297" s="64">
        <f t="shared" ref="BN297:BN303" si="51">IFERROR(Y297*I297/H297,"0")</f>
        <v>24.02</v>
      </c>
      <c r="BO297" s="64">
        <f t="shared" ref="BO297:BO303" si="52">IFERROR(1/J297*(X297/H297),"0")</f>
        <v>2.4245689655172414E-2</v>
      </c>
      <c r="BP297" s="64">
        <f t="shared" ref="BP297:BP303" si="53">IFERROR(1/J297*(Y297/H297),"0")</f>
        <v>3.125E-2</v>
      </c>
    </row>
    <row r="298" spans="1:68" ht="27" hidden="1" customHeight="1" x14ac:dyDescent="0.25">
      <c r="A298" s="54" t="s">
        <v>499</v>
      </c>
      <c r="B298" s="54" t="s">
        <v>500</v>
      </c>
      <c r="C298" s="31">
        <v>4301011724</v>
      </c>
      <c r="D298" s="633">
        <v>4680115884236</v>
      </c>
      <c r="E298" s="634"/>
      <c r="F298" s="628">
        <v>1.45</v>
      </c>
      <c r="G298" s="32">
        <v>8</v>
      </c>
      <c r="H298" s="628">
        <v>11.6</v>
      </c>
      <c r="I298" s="628">
        <v>12.01</v>
      </c>
      <c r="J298" s="32">
        <v>64</v>
      </c>
      <c r="K298" s="32" t="s">
        <v>115</v>
      </c>
      <c r="L298" s="32"/>
      <c r="M298" s="33" t="s">
        <v>116</v>
      </c>
      <c r="N298" s="33"/>
      <c r="O298" s="32">
        <v>55</v>
      </c>
      <c r="P298" s="93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36"/>
      <c r="R298" s="636"/>
      <c r="S298" s="636"/>
      <c r="T298" s="637"/>
      <c r="U298" s="34"/>
      <c r="V298" s="34"/>
      <c r="W298" s="35" t="s">
        <v>66</v>
      </c>
      <c r="X298" s="629">
        <v>0</v>
      </c>
      <c r="Y298" s="630">
        <f t="shared" si="49"/>
        <v>0</v>
      </c>
      <c r="Z298" s="36" t="str">
        <f>IFERROR(IF(Y298=0,"",ROUNDUP(Y298/H298,0)*0.01898),"")</f>
        <v/>
      </c>
      <c r="AA298" s="56"/>
      <c r="AB298" s="57"/>
      <c r="AC298" s="375" t="s">
        <v>501</v>
      </c>
      <c r="AG298" s="64"/>
      <c r="AJ298" s="68"/>
      <c r="AK298" s="68">
        <v>0</v>
      </c>
      <c r="BB298" s="376" t="s">
        <v>1</v>
      </c>
      <c r="BM298" s="64">
        <f t="shared" si="50"/>
        <v>0</v>
      </c>
      <c r="BN298" s="64">
        <f t="shared" si="51"/>
        <v>0</v>
      </c>
      <c r="BO298" s="64">
        <f t="shared" si="52"/>
        <v>0</v>
      </c>
      <c r="BP298" s="64">
        <f t="shared" si="53"/>
        <v>0</v>
      </c>
    </row>
    <row r="299" spans="1:68" ht="27" hidden="1" customHeight="1" x14ac:dyDescent="0.25">
      <c r="A299" s="54" t="s">
        <v>502</v>
      </c>
      <c r="B299" s="54" t="s">
        <v>503</v>
      </c>
      <c r="C299" s="31">
        <v>4301011721</v>
      </c>
      <c r="D299" s="633">
        <v>4680115884175</v>
      </c>
      <c r="E299" s="634"/>
      <c r="F299" s="628">
        <v>1.45</v>
      </c>
      <c r="G299" s="32">
        <v>8</v>
      </c>
      <c r="H299" s="628">
        <v>11.6</v>
      </c>
      <c r="I299" s="628">
        <v>12.01</v>
      </c>
      <c r="J299" s="32">
        <v>64</v>
      </c>
      <c r="K299" s="32" t="s">
        <v>115</v>
      </c>
      <c r="L299" s="32"/>
      <c r="M299" s="33" t="s">
        <v>116</v>
      </c>
      <c r="N299" s="33"/>
      <c r="O299" s="32">
        <v>55</v>
      </c>
      <c r="P299" s="8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36"/>
      <c r="R299" s="636"/>
      <c r="S299" s="636"/>
      <c r="T299" s="637"/>
      <c r="U299" s="34"/>
      <c r="V299" s="34"/>
      <c r="W299" s="35" t="s">
        <v>66</v>
      </c>
      <c r="X299" s="629">
        <v>0</v>
      </c>
      <c r="Y299" s="630">
        <f t="shared" si="49"/>
        <v>0</v>
      </c>
      <c r="Z299" s="36" t="str">
        <f>IFERROR(IF(Y299=0,"",ROUNDUP(Y299/H299,0)*0.01898),"")</f>
        <v/>
      </c>
      <c r="AA299" s="56"/>
      <c r="AB299" s="57"/>
      <c r="AC299" s="377" t="s">
        <v>356</v>
      </c>
      <c r="AG299" s="64"/>
      <c r="AJ299" s="68"/>
      <c r="AK299" s="68">
        <v>0</v>
      </c>
      <c r="BB299" s="378" t="s">
        <v>1</v>
      </c>
      <c r="BM299" s="64">
        <f t="shared" si="50"/>
        <v>0</v>
      </c>
      <c r="BN299" s="64">
        <f t="shared" si="51"/>
        <v>0</v>
      </c>
      <c r="BO299" s="64">
        <f t="shared" si="52"/>
        <v>0</v>
      </c>
      <c r="BP299" s="64">
        <f t="shared" si="53"/>
        <v>0</v>
      </c>
    </row>
    <row r="300" spans="1:68" ht="27" hidden="1" customHeight="1" x14ac:dyDescent="0.25">
      <c r="A300" s="54" t="s">
        <v>504</v>
      </c>
      <c r="B300" s="54" t="s">
        <v>505</v>
      </c>
      <c r="C300" s="31">
        <v>4301011824</v>
      </c>
      <c r="D300" s="633">
        <v>4680115884144</v>
      </c>
      <c r="E300" s="634"/>
      <c r="F300" s="628">
        <v>0.4</v>
      </c>
      <c r="G300" s="32">
        <v>10</v>
      </c>
      <c r="H300" s="628">
        <v>4</v>
      </c>
      <c r="I300" s="628">
        <v>4.1900000000000004</v>
      </c>
      <c r="J300" s="32">
        <v>132</v>
      </c>
      <c r="K300" s="32" t="s">
        <v>124</v>
      </c>
      <c r="L300" s="32"/>
      <c r="M300" s="33" t="s">
        <v>116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36"/>
      <c r="R300" s="636"/>
      <c r="S300" s="636"/>
      <c r="T300" s="637"/>
      <c r="U300" s="34"/>
      <c r="V300" s="34"/>
      <c r="W300" s="35" t="s">
        <v>66</v>
      </c>
      <c r="X300" s="629">
        <v>0</v>
      </c>
      <c r="Y300" s="630">
        <f t="shared" si="49"/>
        <v>0</v>
      </c>
      <c r="Z300" s="36" t="str">
        <f>IFERROR(IF(Y300=0,"",ROUNDUP(Y300/H300,0)*0.00902),"")</f>
        <v/>
      </c>
      <c r="AA300" s="56"/>
      <c r="AB300" s="57"/>
      <c r="AC300" s="379" t="s">
        <v>498</v>
      </c>
      <c r="AG300" s="64"/>
      <c r="AJ300" s="68"/>
      <c r="AK300" s="68">
        <v>0</v>
      </c>
      <c r="BB300" s="380" t="s">
        <v>1</v>
      </c>
      <c r="BM300" s="64">
        <f t="shared" si="50"/>
        <v>0</v>
      </c>
      <c r="BN300" s="64">
        <f t="shared" si="51"/>
        <v>0</v>
      </c>
      <c r="BO300" s="64">
        <f t="shared" si="52"/>
        <v>0</v>
      </c>
      <c r="BP300" s="64">
        <f t="shared" si="53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4301012149</v>
      </c>
      <c r="D301" s="633">
        <v>4680115886551</v>
      </c>
      <c r="E301" s="634"/>
      <c r="F301" s="628">
        <v>0.4</v>
      </c>
      <c r="G301" s="32">
        <v>10</v>
      </c>
      <c r="H301" s="628">
        <v>4</v>
      </c>
      <c r="I301" s="628">
        <v>4.1900000000000004</v>
      </c>
      <c r="J301" s="32">
        <v>132</v>
      </c>
      <c r="K301" s="32" t="s">
        <v>124</v>
      </c>
      <c r="L301" s="32"/>
      <c r="M301" s="33" t="s">
        <v>116</v>
      </c>
      <c r="N301" s="33"/>
      <c r="O301" s="32">
        <v>55</v>
      </c>
      <c r="P301" s="9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36"/>
      <c r="R301" s="636"/>
      <c r="S301" s="636"/>
      <c r="T301" s="637"/>
      <c r="U301" s="34"/>
      <c r="V301" s="34"/>
      <c r="W301" s="35" t="s">
        <v>66</v>
      </c>
      <c r="X301" s="629">
        <v>0</v>
      </c>
      <c r="Y301" s="630">
        <f t="shared" si="49"/>
        <v>0</v>
      </c>
      <c r="Z301" s="36" t="str">
        <f>IFERROR(IF(Y301=0,"",ROUNDUP(Y301/H301,0)*0.00902),"")</f>
        <v/>
      </c>
      <c r="AA301" s="56"/>
      <c r="AB301" s="57"/>
      <c r="AC301" s="381" t="s">
        <v>508</v>
      </c>
      <c r="AG301" s="64"/>
      <c r="AJ301" s="68"/>
      <c r="AK301" s="68">
        <v>0</v>
      </c>
      <c r="BB301" s="382" t="s">
        <v>1</v>
      </c>
      <c r="BM301" s="64">
        <f t="shared" si="50"/>
        <v>0</v>
      </c>
      <c r="BN301" s="64">
        <f t="shared" si="51"/>
        <v>0</v>
      </c>
      <c r="BO301" s="64">
        <f t="shared" si="52"/>
        <v>0</v>
      </c>
      <c r="BP301" s="64">
        <f t="shared" si="53"/>
        <v>0</v>
      </c>
    </row>
    <row r="302" spans="1:68" ht="27" hidden="1" customHeight="1" x14ac:dyDescent="0.25">
      <c r="A302" s="54" t="s">
        <v>509</v>
      </c>
      <c r="B302" s="54" t="s">
        <v>510</v>
      </c>
      <c r="C302" s="31">
        <v>4301012228</v>
      </c>
      <c r="D302" s="633">
        <v>4680115887282</v>
      </c>
      <c r="E302" s="634"/>
      <c r="F302" s="628">
        <v>0.4</v>
      </c>
      <c r="G302" s="32">
        <v>6</v>
      </c>
      <c r="H302" s="628">
        <v>2.4</v>
      </c>
      <c r="I302" s="628">
        <v>2.58</v>
      </c>
      <c r="J302" s="32">
        <v>182</v>
      </c>
      <c r="K302" s="32" t="s">
        <v>76</v>
      </c>
      <c r="L302" s="32"/>
      <c r="M302" s="33" t="s">
        <v>116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36"/>
      <c r="R302" s="636"/>
      <c r="S302" s="636"/>
      <c r="T302" s="637"/>
      <c r="U302" s="34"/>
      <c r="V302" s="34"/>
      <c r="W302" s="35" t="s">
        <v>66</v>
      </c>
      <c r="X302" s="629">
        <v>0</v>
      </c>
      <c r="Y302" s="630">
        <f t="shared" si="49"/>
        <v>0</v>
      </c>
      <c r="Z302" s="36" t="str">
        <f>IFERROR(IF(Y302=0,"",ROUNDUP(Y302/H302,0)*0.00651),"")</f>
        <v/>
      </c>
      <c r="AA302" s="56"/>
      <c r="AB302" s="57"/>
      <c r="AC302" s="383" t="s">
        <v>511</v>
      </c>
      <c r="AG302" s="64"/>
      <c r="AJ302" s="68"/>
      <c r="AK302" s="68">
        <v>0</v>
      </c>
      <c r="BB302" s="384" t="s">
        <v>1</v>
      </c>
      <c r="BM302" s="64">
        <f t="shared" si="50"/>
        <v>0</v>
      </c>
      <c r="BN302" s="64">
        <f t="shared" si="51"/>
        <v>0</v>
      </c>
      <c r="BO302" s="64">
        <f t="shared" si="52"/>
        <v>0</v>
      </c>
      <c r="BP302" s="64">
        <f t="shared" si="53"/>
        <v>0</v>
      </c>
    </row>
    <row r="303" spans="1:68" ht="27" hidden="1" customHeight="1" x14ac:dyDescent="0.25">
      <c r="A303" s="54" t="s">
        <v>512</v>
      </c>
      <c r="B303" s="54" t="s">
        <v>513</v>
      </c>
      <c r="C303" s="31">
        <v>4301011722</v>
      </c>
      <c r="D303" s="633">
        <v>4680115884205</v>
      </c>
      <c r="E303" s="634"/>
      <c r="F303" s="628">
        <v>0.4</v>
      </c>
      <c r="G303" s="32">
        <v>10</v>
      </c>
      <c r="H303" s="628">
        <v>4</v>
      </c>
      <c r="I303" s="628">
        <v>4.1900000000000004</v>
      </c>
      <c r="J303" s="32">
        <v>132</v>
      </c>
      <c r="K303" s="32" t="s">
        <v>124</v>
      </c>
      <c r="L303" s="32"/>
      <c r="M303" s="33" t="s">
        <v>116</v>
      </c>
      <c r="N303" s="33"/>
      <c r="O303" s="32">
        <v>55</v>
      </c>
      <c r="P303" s="8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36"/>
      <c r="R303" s="636"/>
      <c r="S303" s="636"/>
      <c r="T303" s="637"/>
      <c r="U303" s="34"/>
      <c r="V303" s="34"/>
      <c r="W303" s="35" t="s">
        <v>66</v>
      </c>
      <c r="X303" s="629">
        <v>0</v>
      </c>
      <c r="Y303" s="630">
        <f t="shared" si="49"/>
        <v>0</v>
      </c>
      <c r="Z303" s="36" t="str">
        <f>IFERROR(IF(Y303=0,"",ROUNDUP(Y303/H303,0)*0.00902),"")</f>
        <v/>
      </c>
      <c r="AA303" s="56"/>
      <c r="AB303" s="57"/>
      <c r="AC303" s="385" t="s">
        <v>356</v>
      </c>
      <c r="AG303" s="64"/>
      <c r="AJ303" s="68"/>
      <c r="AK303" s="68">
        <v>0</v>
      </c>
      <c r="BB303" s="386" t="s">
        <v>1</v>
      </c>
      <c r="BM303" s="64">
        <f t="shared" si="50"/>
        <v>0</v>
      </c>
      <c r="BN303" s="64">
        <f t="shared" si="51"/>
        <v>0</v>
      </c>
      <c r="BO303" s="64">
        <f t="shared" si="52"/>
        <v>0</v>
      </c>
      <c r="BP303" s="64">
        <f t="shared" si="53"/>
        <v>0</v>
      </c>
    </row>
    <row r="304" spans="1:68" x14ac:dyDescent="0.2">
      <c r="A304" s="642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6" t="s">
        <v>71</v>
      </c>
      <c r="Q304" s="647"/>
      <c r="R304" s="647"/>
      <c r="S304" s="647"/>
      <c r="T304" s="647"/>
      <c r="U304" s="647"/>
      <c r="V304" s="648"/>
      <c r="W304" s="37" t="s">
        <v>72</v>
      </c>
      <c r="X304" s="631">
        <f>IFERROR(X297/H297,"0")+IFERROR(X298/H298,"0")+IFERROR(X299/H299,"0")+IFERROR(X300/H300,"0")+IFERROR(X301/H301,"0")+IFERROR(X302/H302,"0")+IFERROR(X303/H303,"0")</f>
        <v>1.5517241379310345</v>
      </c>
      <c r="Y304" s="631">
        <f>IFERROR(Y297/H297,"0")+IFERROR(Y298/H298,"0")+IFERROR(Y299/H299,"0")+IFERROR(Y300/H300,"0")+IFERROR(Y301/H301,"0")+IFERROR(Y302/H302,"0")+IFERROR(Y303/H303,"0")</f>
        <v>2</v>
      </c>
      <c r="Z304" s="631">
        <f>IFERROR(IF(Z297="",0,Z297),"0")+IFERROR(IF(Z298="",0,Z298),"0")+IFERROR(IF(Z299="",0,Z299),"0")+IFERROR(IF(Z300="",0,Z300),"0")+IFERROR(IF(Z301="",0,Z301),"0")+IFERROR(IF(Z302="",0,Z302),"0")+IFERROR(IF(Z303="",0,Z303),"0")</f>
        <v>3.7960000000000001E-2</v>
      </c>
      <c r="AA304" s="632"/>
      <c r="AB304" s="632"/>
      <c r="AC304" s="632"/>
    </row>
    <row r="305" spans="1:68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6" t="s">
        <v>71</v>
      </c>
      <c r="Q305" s="647"/>
      <c r="R305" s="647"/>
      <c r="S305" s="647"/>
      <c r="T305" s="647"/>
      <c r="U305" s="647"/>
      <c r="V305" s="648"/>
      <c r="W305" s="37" t="s">
        <v>66</v>
      </c>
      <c r="X305" s="631">
        <f>IFERROR(SUM(X297:X303),"0")</f>
        <v>18</v>
      </c>
      <c r="Y305" s="631">
        <f>IFERROR(SUM(Y297:Y303),"0")</f>
        <v>23.2</v>
      </c>
      <c r="Z305" s="37"/>
      <c r="AA305" s="632"/>
      <c r="AB305" s="632"/>
      <c r="AC305" s="632"/>
    </row>
    <row r="306" spans="1:68" ht="14.25" hidden="1" customHeight="1" x14ac:dyDescent="0.25">
      <c r="A306" s="652" t="s">
        <v>145</v>
      </c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  <c r="AA306" s="625"/>
      <c r="AB306" s="625"/>
      <c r="AC306" s="625"/>
    </row>
    <row r="307" spans="1:68" ht="27" hidden="1" customHeight="1" x14ac:dyDescent="0.25">
      <c r="A307" s="54" t="s">
        <v>514</v>
      </c>
      <c r="B307" s="54" t="s">
        <v>515</v>
      </c>
      <c r="C307" s="31">
        <v>4301020377</v>
      </c>
      <c r="D307" s="633">
        <v>4680115885981</v>
      </c>
      <c r="E307" s="634"/>
      <c r="F307" s="628">
        <v>0.33</v>
      </c>
      <c r="G307" s="32">
        <v>6</v>
      </c>
      <c r="H307" s="628">
        <v>1.98</v>
      </c>
      <c r="I307" s="628">
        <v>2.08</v>
      </c>
      <c r="J307" s="32">
        <v>234</v>
      </c>
      <c r="K307" s="32" t="s">
        <v>64</v>
      </c>
      <c r="L307" s="32"/>
      <c r="M307" s="33" t="s">
        <v>77</v>
      </c>
      <c r="N307" s="33"/>
      <c r="O307" s="32">
        <v>50</v>
      </c>
      <c r="P307" s="99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36"/>
      <c r="R307" s="636"/>
      <c r="S307" s="636"/>
      <c r="T307" s="637"/>
      <c r="U307" s="34"/>
      <c r="V307" s="34"/>
      <c r="W307" s="35" t="s">
        <v>66</v>
      </c>
      <c r="X307" s="629">
        <v>0</v>
      </c>
      <c r="Y307" s="630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7" t="s">
        <v>516</v>
      </c>
      <c r="AG307" s="64"/>
      <c r="AJ307" s="68"/>
      <c r="AK307" s="68">
        <v>0</v>
      </c>
      <c r="BB307" s="388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2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6" t="s">
        <v>71</v>
      </c>
      <c r="Q308" s="647"/>
      <c r="R308" s="647"/>
      <c r="S308" s="647"/>
      <c r="T308" s="647"/>
      <c r="U308" s="647"/>
      <c r="V308" s="648"/>
      <c r="W308" s="37" t="s">
        <v>72</v>
      </c>
      <c r="X308" s="631">
        <f>IFERROR(X307/H307,"0")</f>
        <v>0</v>
      </c>
      <c r="Y308" s="631">
        <f>IFERROR(Y307/H307,"0")</f>
        <v>0</v>
      </c>
      <c r="Z308" s="631">
        <f>IFERROR(IF(Z307="",0,Z307),"0")</f>
        <v>0</v>
      </c>
      <c r="AA308" s="632"/>
      <c r="AB308" s="632"/>
      <c r="AC308" s="632"/>
    </row>
    <row r="309" spans="1:68" hidden="1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6" t="s">
        <v>71</v>
      </c>
      <c r="Q309" s="647"/>
      <c r="R309" s="647"/>
      <c r="S309" s="647"/>
      <c r="T309" s="647"/>
      <c r="U309" s="647"/>
      <c r="V309" s="648"/>
      <c r="W309" s="37" t="s">
        <v>66</v>
      </c>
      <c r="X309" s="631">
        <f>IFERROR(SUM(X307:X307),"0")</f>
        <v>0</v>
      </c>
      <c r="Y309" s="631">
        <f>IFERROR(SUM(Y307:Y307),"0")</f>
        <v>0</v>
      </c>
      <c r="Z309" s="37"/>
      <c r="AA309" s="632"/>
      <c r="AB309" s="632"/>
      <c r="AC309" s="632"/>
    </row>
    <row r="310" spans="1:68" ht="14.25" hidden="1" customHeight="1" x14ac:dyDescent="0.25">
      <c r="A310" s="652" t="s">
        <v>517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5"/>
      <c r="AB310" s="625"/>
      <c r="AC310" s="625"/>
    </row>
    <row r="311" spans="1:68" ht="27" customHeight="1" x14ac:dyDescent="0.25">
      <c r="A311" s="54" t="s">
        <v>518</v>
      </c>
      <c r="B311" s="54" t="s">
        <v>519</v>
      </c>
      <c r="C311" s="31">
        <v>4301040362</v>
      </c>
      <c r="D311" s="633">
        <v>4680115886803</v>
      </c>
      <c r="E311" s="634"/>
      <c r="F311" s="628">
        <v>0.12</v>
      </c>
      <c r="G311" s="32">
        <v>15</v>
      </c>
      <c r="H311" s="628">
        <v>1.8</v>
      </c>
      <c r="I311" s="628">
        <v>1.9750000000000001</v>
      </c>
      <c r="J311" s="32">
        <v>216</v>
      </c>
      <c r="K311" s="32" t="s">
        <v>332</v>
      </c>
      <c r="L311" s="32"/>
      <c r="M311" s="33" t="s">
        <v>274</v>
      </c>
      <c r="N311" s="33"/>
      <c r="O311" s="32">
        <v>45</v>
      </c>
      <c r="P311" s="8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36"/>
      <c r="R311" s="636"/>
      <c r="S311" s="636"/>
      <c r="T311" s="637"/>
      <c r="U311" s="34"/>
      <c r="V311" s="34"/>
      <c r="W311" s="35" t="s">
        <v>66</v>
      </c>
      <c r="X311" s="629">
        <v>6</v>
      </c>
      <c r="Y311" s="630">
        <f>IFERROR(IF(X311="",0,CEILING((X311/$H311),1)*$H311),"")</f>
        <v>7.2</v>
      </c>
      <c r="Z311" s="36">
        <f>IFERROR(IF(Y311=0,"",ROUNDUP(Y311/H311,0)*0.0059),"")</f>
        <v>2.3599999999999999E-2</v>
      </c>
      <c r="AA311" s="56"/>
      <c r="AB311" s="57"/>
      <c r="AC311" s="389" t="s">
        <v>520</v>
      </c>
      <c r="AG311" s="64"/>
      <c r="AJ311" s="68"/>
      <c r="AK311" s="68">
        <v>0</v>
      </c>
      <c r="BB311" s="390" t="s">
        <v>1</v>
      </c>
      <c r="BM311" s="64">
        <f>IFERROR(X311*I311/H311,"0")</f>
        <v>6.5833333333333339</v>
      </c>
      <c r="BN311" s="64">
        <f>IFERROR(Y311*I311/H311,"0")</f>
        <v>7.9</v>
      </c>
      <c r="BO311" s="64">
        <f>IFERROR(1/J311*(X311/H311),"0")</f>
        <v>1.5432098765432096E-2</v>
      </c>
      <c r="BP311" s="64">
        <f>IFERROR(1/J311*(Y311/H311),"0")</f>
        <v>1.8518518518518517E-2</v>
      </c>
    </row>
    <row r="312" spans="1:68" x14ac:dyDescent="0.2">
      <c r="A312" s="642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6" t="s">
        <v>71</v>
      </c>
      <c r="Q312" s="647"/>
      <c r="R312" s="647"/>
      <c r="S312" s="647"/>
      <c r="T312" s="647"/>
      <c r="U312" s="647"/>
      <c r="V312" s="648"/>
      <c r="W312" s="37" t="s">
        <v>72</v>
      </c>
      <c r="X312" s="631">
        <f>IFERROR(X311/H311,"0")</f>
        <v>3.333333333333333</v>
      </c>
      <c r="Y312" s="631">
        <f>IFERROR(Y311/H311,"0")</f>
        <v>4</v>
      </c>
      <c r="Z312" s="631">
        <f>IFERROR(IF(Z311="",0,Z311),"0")</f>
        <v>2.3599999999999999E-2</v>
      </c>
      <c r="AA312" s="632"/>
      <c r="AB312" s="632"/>
      <c r="AC312" s="632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6" t="s">
        <v>71</v>
      </c>
      <c r="Q313" s="647"/>
      <c r="R313" s="647"/>
      <c r="S313" s="647"/>
      <c r="T313" s="647"/>
      <c r="U313" s="647"/>
      <c r="V313" s="648"/>
      <c r="W313" s="37" t="s">
        <v>66</v>
      </c>
      <c r="X313" s="631">
        <f>IFERROR(SUM(X311:X311),"0")</f>
        <v>6</v>
      </c>
      <c r="Y313" s="631">
        <f>IFERROR(SUM(Y311:Y311),"0")</f>
        <v>7.2</v>
      </c>
      <c r="Z313" s="37"/>
      <c r="AA313" s="632"/>
      <c r="AB313" s="632"/>
      <c r="AC313" s="632"/>
    </row>
    <row r="314" spans="1:68" ht="14.25" hidden="1" customHeight="1" x14ac:dyDescent="0.25">
      <c r="A314" s="652" t="s">
        <v>334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5"/>
      <c r="AB314" s="625"/>
      <c r="AC314" s="625"/>
    </row>
    <row r="315" spans="1:68" ht="27" hidden="1" customHeight="1" x14ac:dyDescent="0.25">
      <c r="A315" s="54" t="s">
        <v>521</v>
      </c>
      <c r="B315" s="54" t="s">
        <v>522</v>
      </c>
      <c r="C315" s="31">
        <v>4301041004</v>
      </c>
      <c r="D315" s="633">
        <v>4680115886704</v>
      </c>
      <c r="E315" s="634"/>
      <c r="F315" s="628">
        <v>5.5E-2</v>
      </c>
      <c r="G315" s="32">
        <v>18</v>
      </c>
      <c r="H315" s="628">
        <v>0.99</v>
      </c>
      <c r="I315" s="628">
        <v>1.18</v>
      </c>
      <c r="J315" s="32">
        <v>216</v>
      </c>
      <c r="K315" s="32" t="s">
        <v>332</v>
      </c>
      <c r="L315" s="32"/>
      <c r="M315" s="33" t="s">
        <v>274</v>
      </c>
      <c r="N315" s="33"/>
      <c r="O315" s="32">
        <v>90</v>
      </c>
      <c r="P315" s="6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36"/>
      <c r="R315" s="636"/>
      <c r="S315" s="636"/>
      <c r="T315" s="637"/>
      <c r="U315" s="34"/>
      <c r="V315" s="34"/>
      <c r="W315" s="35" t="s">
        <v>66</v>
      </c>
      <c r="X315" s="629">
        <v>0</v>
      </c>
      <c r="Y315" s="630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523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524</v>
      </c>
      <c r="B316" s="54" t="s">
        <v>525</v>
      </c>
      <c r="C316" s="31">
        <v>4301041008</v>
      </c>
      <c r="D316" s="633">
        <v>4680115886681</v>
      </c>
      <c r="E316" s="634"/>
      <c r="F316" s="628">
        <v>0.12</v>
      </c>
      <c r="G316" s="32">
        <v>15</v>
      </c>
      <c r="H316" s="628">
        <v>1.8</v>
      </c>
      <c r="I316" s="628">
        <v>1.9750000000000001</v>
      </c>
      <c r="J316" s="32">
        <v>216</v>
      </c>
      <c r="K316" s="32" t="s">
        <v>332</v>
      </c>
      <c r="L316" s="32"/>
      <c r="M316" s="33" t="s">
        <v>274</v>
      </c>
      <c r="N316" s="33"/>
      <c r="O316" s="32">
        <v>90</v>
      </c>
      <c r="P316" s="69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36"/>
      <c r="R316" s="636"/>
      <c r="S316" s="636"/>
      <c r="T316" s="637"/>
      <c r="U316" s="34"/>
      <c r="V316" s="34"/>
      <c r="W316" s="35" t="s">
        <v>66</v>
      </c>
      <c r="X316" s="629">
        <v>0</v>
      </c>
      <c r="Y316" s="63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3" t="s">
        <v>523</v>
      </c>
      <c r="AG316" s="64"/>
      <c r="AJ316" s="68"/>
      <c r="AK316" s="68">
        <v>0</v>
      </c>
      <c r="BB316" s="39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526</v>
      </c>
      <c r="B317" s="54" t="s">
        <v>527</v>
      </c>
      <c r="C317" s="31">
        <v>4301041007</v>
      </c>
      <c r="D317" s="633">
        <v>4680115886735</v>
      </c>
      <c r="E317" s="634"/>
      <c r="F317" s="628">
        <v>0.05</v>
      </c>
      <c r="G317" s="32">
        <v>18</v>
      </c>
      <c r="H317" s="628">
        <v>0.9</v>
      </c>
      <c r="I317" s="628">
        <v>1.0900000000000001</v>
      </c>
      <c r="J317" s="32">
        <v>216</v>
      </c>
      <c r="K317" s="32" t="s">
        <v>332</v>
      </c>
      <c r="L317" s="32"/>
      <c r="M317" s="33" t="s">
        <v>274</v>
      </c>
      <c r="N317" s="33"/>
      <c r="O317" s="32">
        <v>90</v>
      </c>
      <c r="P317" s="9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36"/>
      <c r="R317" s="636"/>
      <c r="S317" s="636"/>
      <c r="T317" s="637"/>
      <c r="U317" s="34"/>
      <c r="V317" s="34"/>
      <c r="W317" s="35" t="s">
        <v>66</v>
      </c>
      <c r="X317" s="629">
        <v>0</v>
      </c>
      <c r="Y317" s="630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523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42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4"/>
      <c r="P318" s="646" t="s">
        <v>71</v>
      </c>
      <c r="Q318" s="647"/>
      <c r="R318" s="647"/>
      <c r="S318" s="647"/>
      <c r="T318" s="647"/>
      <c r="U318" s="647"/>
      <c r="V318" s="648"/>
      <c r="W318" s="37" t="s">
        <v>72</v>
      </c>
      <c r="X318" s="631">
        <f>IFERROR(X315/H315,"0")+IFERROR(X316/H316,"0")+IFERROR(X317/H317,"0")</f>
        <v>0</v>
      </c>
      <c r="Y318" s="631">
        <f>IFERROR(Y315/H315,"0")+IFERROR(Y316/H316,"0")+IFERROR(Y317/H317,"0")</f>
        <v>0</v>
      </c>
      <c r="Z318" s="631">
        <f>IFERROR(IF(Z315="",0,Z315),"0")+IFERROR(IF(Z316="",0,Z316),"0")+IFERROR(IF(Z317="",0,Z317),"0")</f>
        <v>0</v>
      </c>
      <c r="AA318" s="632"/>
      <c r="AB318" s="632"/>
      <c r="AC318" s="632"/>
    </row>
    <row r="319" spans="1:68" hidden="1" x14ac:dyDescent="0.2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4"/>
      <c r="P319" s="646" t="s">
        <v>71</v>
      </c>
      <c r="Q319" s="647"/>
      <c r="R319" s="647"/>
      <c r="S319" s="647"/>
      <c r="T319" s="647"/>
      <c r="U319" s="647"/>
      <c r="V319" s="648"/>
      <c r="W319" s="37" t="s">
        <v>66</v>
      </c>
      <c r="X319" s="631">
        <f>IFERROR(SUM(X315:X317),"0")</f>
        <v>0</v>
      </c>
      <c r="Y319" s="631">
        <f>IFERROR(SUM(Y315:Y317),"0")</f>
        <v>0</v>
      </c>
      <c r="Z319" s="37"/>
      <c r="AA319" s="632"/>
      <c r="AB319" s="632"/>
      <c r="AC319" s="632"/>
    </row>
    <row r="320" spans="1:68" ht="16.5" hidden="1" customHeight="1" x14ac:dyDescent="0.25">
      <c r="A320" s="650" t="s">
        <v>528</v>
      </c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  <c r="AA320" s="624"/>
      <c r="AB320" s="624"/>
      <c r="AC320" s="624"/>
    </row>
    <row r="321" spans="1:68" ht="14.25" hidden="1" customHeight="1" x14ac:dyDescent="0.25">
      <c r="A321" s="652" t="s">
        <v>112</v>
      </c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  <c r="AA321" s="625"/>
      <c r="AB321" s="625"/>
      <c r="AC321" s="625"/>
    </row>
    <row r="322" spans="1:68" ht="27" hidden="1" customHeight="1" x14ac:dyDescent="0.25">
      <c r="A322" s="54" t="s">
        <v>529</v>
      </c>
      <c r="B322" s="54" t="s">
        <v>530</v>
      </c>
      <c r="C322" s="31">
        <v>4301011855</v>
      </c>
      <c r="D322" s="633">
        <v>4680115885837</v>
      </c>
      <c r="E322" s="634"/>
      <c r="F322" s="628">
        <v>1.35</v>
      </c>
      <c r="G322" s="32">
        <v>8</v>
      </c>
      <c r="H322" s="628">
        <v>10.8</v>
      </c>
      <c r="I322" s="628">
        <v>11.21</v>
      </c>
      <c r="J322" s="32">
        <v>64</v>
      </c>
      <c r="K322" s="32" t="s">
        <v>115</v>
      </c>
      <c r="L322" s="32"/>
      <c r="M322" s="33" t="s">
        <v>116</v>
      </c>
      <c r="N322" s="33"/>
      <c r="O322" s="32">
        <v>55</v>
      </c>
      <c r="P322" s="81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36"/>
      <c r="R322" s="636"/>
      <c r="S322" s="636"/>
      <c r="T322" s="637"/>
      <c r="U322" s="34"/>
      <c r="V322" s="34"/>
      <c r="W322" s="35" t="s">
        <v>66</v>
      </c>
      <c r="X322" s="629">
        <v>0</v>
      </c>
      <c r="Y322" s="63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97" t="s">
        <v>531</v>
      </c>
      <c r="AG322" s="64"/>
      <c r="AJ322" s="68"/>
      <c r="AK322" s="68">
        <v>0</v>
      </c>
      <c r="BB322" s="39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37.5" hidden="1" customHeight="1" x14ac:dyDescent="0.25">
      <c r="A323" s="54" t="s">
        <v>532</v>
      </c>
      <c r="B323" s="54" t="s">
        <v>533</v>
      </c>
      <c r="C323" s="31">
        <v>4301012234</v>
      </c>
      <c r="D323" s="633">
        <v>4680115887237</v>
      </c>
      <c r="E323" s="634"/>
      <c r="F323" s="628">
        <v>1.35</v>
      </c>
      <c r="G323" s="32">
        <v>8</v>
      </c>
      <c r="H323" s="628">
        <v>10.8</v>
      </c>
      <c r="I323" s="628">
        <v>11.21</v>
      </c>
      <c r="J323" s="32">
        <v>64</v>
      </c>
      <c r="K323" s="32" t="s">
        <v>115</v>
      </c>
      <c r="L323" s="32"/>
      <c r="M323" s="33" t="s">
        <v>116</v>
      </c>
      <c r="N323" s="33"/>
      <c r="O323" s="32">
        <v>55</v>
      </c>
      <c r="P323" s="92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36"/>
      <c r="R323" s="636"/>
      <c r="S323" s="636"/>
      <c r="T323" s="637"/>
      <c r="U323" s="34"/>
      <c r="V323" s="34"/>
      <c r="W323" s="35" t="s">
        <v>66</v>
      </c>
      <c r="X323" s="629">
        <v>0</v>
      </c>
      <c r="Y323" s="63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9" t="s">
        <v>534</v>
      </c>
      <c r="AG323" s="64"/>
      <c r="AJ323" s="68"/>
      <c r="AK323" s="68">
        <v>0</v>
      </c>
      <c r="BB323" s="400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535</v>
      </c>
      <c r="B324" s="54" t="s">
        <v>536</v>
      </c>
      <c r="C324" s="31">
        <v>4301011850</v>
      </c>
      <c r="D324" s="633">
        <v>4680115885806</v>
      </c>
      <c r="E324" s="634"/>
      <c r="F324" s="628">
        <v>1.35</v>
      </c>
      <c r="G324" s="32">
        <v>8</v>
      </c>
      <c r="H324" s="628">
        <v>10.8</v>
      </c>
      <c r="I324" s="628">
        <v>11.21</v>
      </c>
      <c r="J324" s="32">
        <v>64</v>
      </c>
      <c r="K324" s="32" t="s">
        <v>115</v>
      </c>
      <c r="L324" s="32"/>
      <c r="M324" s="33" t="s">
        <v>116</v>
      </c>
      <c r="N324" s="33"/>
      <c r="O324" s="32">
        <v>55</v>
      </c>
      <c r="P324" s="9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36"/>
      <c r="R324" s="636"/>
      <c r="S324" s="636"/>
      <c r="T324" s="637"/>
      <c r="U324" s="34"/>
      <c r="V324" s="34"/>
      <c r="W324" s="35" t="s">
        <v>66</v>
      </c>
      <c r="X324" s="629">
        <v>0</v>
      </c>
      <c r="Y324" s="630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537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538</v>
      </c>
      <c r="B325" s="54" t="s">
        <v>539</v>
      </c>
      <c r="C325" s="31">
        <v>4301011852</v>
      </c>
      <c r="D325" s="633">
        <v>4680115885844</v>
      </c>
      <c r="E325" s="634"/>
      <c r="F325" s="628">
        <v>0.4</v>
      </c>
      <c r="G325" s="32">
        <v>10</v>
      </c>
      <c r="H325" s="628">
        <v>4</v>
      </c>
      <c r="I325" s="628">
        <v>4.1900000000000004</v>
      </c>
      <c r="J325" s="32">
        <v>132</v>
      </c>
      <c r="K325" s="32" t="s">
        <v>124</v>
      </c>
      <c r="L325" s="32"/>
      <c r="M325" s="33" t="s">
        <v>116</v>
      </c>
      <c r="N325" s="33"/>
      <c r="O325" s="32">
        <v>55</v>
      </c>
      <c r="P325" s="8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36"/>
      <c r="R325" s="636"/>
      <c r="S325" s="636"/>
      <c r="T325" s="637"/>
      <c r="U325" s="34"/>
      <c r="V325" s="34"/>
      <c r="W325" s="35" t="s">
        <v>66</v>
      </c>
      <c r="X325" s="629">
        <v>0</v>
      </c>
      <c r="Y325" s="630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403" t="s">
        <v>540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37.5" hidden="1" customHeight="1" x14ac:dyDescent="0.25">
      <c r="A326" s="54" t="s">
        <v>541</v>
      </c>
      <c r="B326" s="54" t="s">
        <v>542</v>
      </c>
      <c r="C326" s="31">
        <v>4301011851</v>
      </c>
      <c r="D326" s="633">
        <v>4680115885820</v>
      </c>
      <c r="E326" s="634"/>
      <c r="F326" s="628">
        <v>0.4</v>
      </c>
      <c r="G326" s="32">
        <v>10</v>
      </c>
      <c r="H326" s="628">
        <v>4</v>
      </c>
      <c r="I326" s="628">
        <v>4.1900000000000004</v>
      </c>
      <c r="J326" s="32">
        <v>132</v>
      </c>
      <c r="K326" s="32" t="s">
        <v>124</v>
      </c>
      <c r="L326" s="32"/>
      <c r="M326" s="33" t="s">
        <v>116</v>
      </c>
      <c r="N326" s="33"/>
      <c r="O326" s="32">
        <v>55</v>
      </c>
      <c r="P326" s="6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36"/>
      <c r="R326" s="636"/>
      <c r="S326" s="636"/>
      <c r="T326" s="637"/>
      <c r="U326" s="34"/>
      <c r="V326" s="34"/>
      <c r="W326" s="35" t="s">
        <v>66</v>
      </c>
      <c r="X326" s="629">
        <v>0</v>
      </c>
      <c r="Y326" s="63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405" t="s">
        <v>543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idden="1" x14ac:dyDescent="0.2">
      <c r="A327" s="642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6" t="s">
        <v>71</v>
      </c>
      <c r="Q327" s="647"/>
      <c r="R327" s="647"/>
      <c r="S327" s="647"/>
      <c r="T327" s="647"/>
      <c r="U327" s="647"/>
      <c r="V327" s="648"/>
      <c r="W327" s="37" t="s">
        <v>72</v>
      </c>
      <c r="X327" s="631">
        <f>IFERROR(X322/H322,"0")+IFERROR(X323/H323,"0")+IFERROR(X324/H324,"0")+IFERROR(X325/H325,"0")+IFERROR(X326/H326,"0")</f>
        <v>0</v>
      </c>
      <c r="Y327" s="631">
        <f>IFERROR(Y322/H322,"0")+IFERROR(Y323/H323,"0")+IFERROR(Y324/H324,"0")+IFERROR(Y325/H325,"0")+IFERROR(Y326/H326,"0")</f>
        <v>0</v>
      </c>
      <c r="Z327" s="631">
        <f>IFERROR(IF(Z322="",0,Z322),"0")+IFERROR(IF(Z323="",0,Z323),"0")+IFERROR(IF(Z324="",0,Z324),"0")+IFERROR(IF(Z325="",0,Z325),"0")+IFERROR(IF(Z326="",0,Z326),"0")</f>
        <v>0</v>
      </c>
      <c r="AA327" s="632"/>
      <c r="AB327" s="632"/>
      <c r="AC327" s="632"/>
    </row>
    <row r="328" spans="1:68" hidden="1" x14ac:dyDescent="0.2">
      <c r="A328" s="643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4"/>
      <c r="P328" s="646" t="s">
        <v>71</v>
      </c>
      <c r="Q328" s="647"/>
      <c r="R328" s="647"/>
      <c r="S328" s="647"/>
      <c r="T328" s="647"/>
      <c r="U328" s="647"/>
      <c r="V328" s="648"/>
      <c r="W328" s="37" t="s">
        <v>66</v>
      </c>
      <c r="X328" s="631">
        <f>IFERROR(SUM(X322:X326),"0")</f>
        <v>0</v>
      </c>
      <c r="Y328" s="631">
        <f>IFERROR(SUM(Y322:Y326),"0")</f>
        <v>0</v>
      </c>
      <c r="Z328" s="37"/>
      <c r="AA328" s="632"/>
      <c r="AB328" s="632"/>
      <c r="AC328" s="632"/>
    </row>
    <row r="329" spans="1:68" ht="16.5" hidden="1" customHeight="1" x14ac:dyDescent="0.25">
      <c r="A329" s="650" t="s">
        <v>544</v>
      </c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  <c r="AA329" s="624"/>
      <c r="AB329" s="624"/>
      <c r="AC329" s="624"/>
    </row>
    <row r="330" spans="1:68" ht="14.25" hidden="1" customHeight="1" x14ac:dyDescent="0.25">
      <c r="A330" s="652" t="s">
        <v>73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25"/>
      <c r="AB330" s="625"/>
      <c r="AC330" s="625"/>
    </row>
    <row r="331" spans="1:68" ht="27" hidden="1" customHeight="1" x14ac:dyDescent="0.25">
      <c r="A331" s="54" t="s">
        <v>545</v>
      </c>
      <c r="B331" s="54" t="s">
        <v>546</v>
      </c>
      <c r="C331" s="31">
        <v>4301051893</v>
      </c>
      <c r="D331" s="633">
        <v>4680115886186</v>
      </c>
      <c r="E331" s="634"/>
      <c r="F331" s="628">
        <v>0.3</v>
      </c>
      <c r="G331" s="32">
        <v>6</v>
      </c>
      <c r="H331" s="628">
        <v>1.8</v>
      </c>
      <c r="I331" s="628">
        <v>1.98</v>
      </c>
      <c r="J331" s="32">
        <v>182</v>
      </c>
      <c r="K331" s="32" t="s">
        <v>76</v>
      </c>
      <c r="L331" s="32"/>
      <c r="M331" s="33" t="s">
        <v>77</v>
      </c>
      <c r="N331" s="33"/>
      <c r="O331" s="32">
        <v>45</v>
      </c>
      <c r="P331" s="72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36"/>
      <c r="R331" s="636"/>
      <c r="S331" s="636"/>
      <c r="T331" s="637"/>
      <c r="U331" s="34"/>
      <c r="V331" s="34"/>
      <c r="W331" s="35" t="s">
        <v>66</v>
      </c>
      <c r="X331" s="629">
        <v>0</v>
      </c>
      <c r="Y331" s="63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547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548</v>
      </c>
      <c r="B332" s="54" t="s">
        <v>549</v>
      </c>
      <c r="C332" s="31">
        <v>4301051795</v>
      </c>
      <c r="D332" s="633">
        <v>4680115881228</v>
      </c>
      <c r="E332" s="634"/>
      <c r="F332" s="628">
        <v>0.4</v>
      </c>
      <c r="G332" s="32">
        <v>6</v>
      </c>
      <c r="H332" s="628">
        <v>2.4</v>
      </c>
      <c r="I332" s="628">
        <v>2.6520000000000001</v>
      </c>
      <c r="J332" s="32">
        <v>182</v>
      </c>
      <c r="K332" s="32" t="s">
        <v>76</v>
      </c>
      <c r="L332" s="32"/>
      <c r="M332" s="33" t="s">
        <v>83</v>
      </c>
      <c r="N332" s="33"/>
      <c r="O332" s="32">
        <v>40</v>
      </c>
      <c r="P332" s="8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36"/>
      <c r="R332" s="636"/>
      <c r="S332" s="636"/>
      <c r="T332" s="637"/>
      <c r="U332" s="34"/>
      <c r="V332" s="34"/>
      <c r="W332" s="35" t="s">
        <v>66</v>
      </c>
      <c r="X332" s="629">
        <v>42</v>
      </c>
      <c r="Y332" s="630">
        <f>IFERROR(IF(X332="",0,CEILING((X332/$H332),1)*$H332),"")</f>
        <v>43.199999999999996</v>
      </c>
      <c r="Z332" s="36">
        <f>IFERROR(IF(Y332=0,"",ROUNDUP(Y332/H332,0)*0.00651),"")</f>
        <v>0.11718000000000001</v>
      </c>
      <c r="AA332" s="56"/>
      <c r="AB332" s="57"/>
      <c r="AC332" s="409" t="s">
        <v>550</v>
      </c>
      <c r="AG332" s="64"/>
      <c r="AJ332" s="68"/>
      <c r="AK332" s="68">
        <v>0</v>
      </c>
      <c r="BB332" s="410" t="s">
        <v>1</v>
      </c>
      <c r="BM332" s="64">
        <f>IFERROR(X332*I332/H332,"0")</f>
        <v>46.410000000000004</v>
      </c>
      <c r="BN332" s="64">
        <f>IFERROR(Y332*I332/H332,"0")</f>
        <v>47.736000000000004</v>
      </c>
      <c r="BO332" s="64">
        <f>IFERROR(1/J332*(X332/H332),"0")</f>
        <v>9.6153846153846159E-2</v>
      </c>
      <c r="BP332" s="64">
        <f>IFERROR(1/J332*(Y332/H332),"0")</f>
        <v>9.8901098901098911E-2</v>
      </c>
    </row>
    <row r="333" spans="1:68" ht="27" customHeight="1" x14ac:dyDescent="0.25">
      <c r="A333" s="54" t="s">
        <v>551</v>
      </c>
      <c r="B333" s="54" t="s">
        <v>552</v>
      </c>
      <c r="C333" s="31">
        <v>4301051388</v>
      </c>
      <c r="D333" s="633">
        <v>4680115881211</v>
      </c>
      <c r="E333" s="634"/>
      <c r="F333" s="628">
        <v>0.4</v>
      </c>
      <c r="G333" s="32">
        <v>6</v>
      </c>
      <c r="H333" s="628">
        <v>2.4</v>
      </c>
      <c r="I333" s="628">
        <v>2.58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36"/>
      <c r="R333" s="636"/>
      <c r="S333" s="636"/>
      <c r="T333" s="637"/>
      <c r="U333" s="34"/>
      <c r="V333" s="34"/>
      <c r="W333" s="35" t="s">
        <v>66</v>
      </c>
      <c r="X333" s="629">
        <v>42</v>
      </c>
      <c r="Y333" s="630">
        <f>IFERROR(IF(X333="",0,CEILING((X333/$H333),1)*$H333),"")</f>
        <v>43.199999999999996</v>
      </c>
      <c r="Z333" s="36">
        <f>IFERROR(IF(Y333=0,"",ROUNDUP(Y333/H333,0)*0.00651),"")</f>
        <v>0.11718000000000001</v>
      </c>
      <c r="AA333" s="56"/>
      <c r="AB333" s="57"/>
      <c r="AC333" s="411" t="s">
        <v>547</v>
      </c>
      <c r="AG333" s="64"/>
      <c r="AJ333" s="68"/>
      <c r="AK333" s="68">
        <v>0</v>
      </c>
      <c r="BB333" s="412" t="s">
        <v>1</v>
      </c>
      <c r="BM333" s="64">
        <f>IFERROR(X333*I333/H333,"0")</f>
        <v>45.15</v>
      </c>
      <c r="BN333" s="64">
        <f>IFERROR(Y333*I333/H333,"0")</f>
        <v>46.44</v>
      </c>
      <c r="BO333" s="64">
        <f>IFERROR(1/J333*(X333/H333),"0")</f>
        <v>9.6153846153846159E-2</v>
      </c>
      <c r="BP333" s="64">
        <f>IFERROR(1/J333*(Y333/H333),"0")</f>
        <v>9.8901098901098911E-2</v>
      </c>
    </row>
    <row r="334" spans="1:68" x14ac:dyDescent="0.2">
      <c r="A334" s="642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6" t="s">
        <v>71</v>
      </c>
      <c r="Q334" s="647"/>
      <c r="R334" s="647"/>
      <c r="S334" s="647"/>
      <c r="T334" s="647"/>
      <c r="U334" s="647"/>
      <c r="V334" s="648"/>
      <c r="W334" s="37" t="s">
        <v>72</v>
      </c>
      <c r="X334" s="631">
        <f>IFERROR(X331/H331,"0")+IFERROR(X332/H332,"0")+IFERROR(X333/H333,"0")</f>
        <v>35</v>
      </c>
      <c r="Y334" s="631">
        <f>IFERROR(Y331/H331,"0")+IFERROR(Y332/H332,"0")+IFERROR(Y333/H333,"0")</f>
        <v>36</v>
      </c>
      <c r="Z334" s="631">
        <f>IFERROR(IF(Z331="",0,Z331),"0")+IFERROR(IF(Z332="",0,Z332),"0")+IFERROR(IF(Z333="",0,Z333),"0")</f>
        <v>0.23436000000000001</v>
      </c>
      <c r="AA334" s="632"/>
      <c r="AB334" s="632"/>
      <c r="AC334" s="632"/>
    </row>
    <row r="335" spans="1:68" x14ac:dyDescent="0.2">
      <c r="A335" s="643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4"/>
      <c r="P335" s="646" t="s">
        <v>71</v>
      </c>
      <c r="Q335" s="647"/>
      <c r="R335" s="647"/>
      <c r="S335" s="647"/>
      <c r="T335" s="647"/>
      <c r="U335" s="647"/>
      <c r="V335" s="648"/>
      <c r="W335" s="37" t="s">
        <v>66</v>
      </c>
      <c r="X335" s="631">
        <f>IFERROR(SUM(X331:X333),"0")</f>
        <v>84</v>
      </c>
      <c r="Y335" s="631">
        <f>IFERROR(SUM(Y331:Y333),"0")</f>
        <v>86.399999999999991</v>
      </c>
      <c r="Z335" s="37"/>
      <c r="AA335" s="632"/>
      <c r="AB335" s="632"/>
      <c r="AC335" s="632"/>
    </row>
    <row r="336" spans="1:68" ht="16.5" hidden="1" customHeight="1" x14ac:dyDescent="0.25">
      <c r="A336" s="650" t="s">
        <v>553</v>
      </c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  <c r="AA336" s="624"/>
      <c r="AB336" s="624"/>
      <c r="AC336" s="624"/>
    </row>
    <row r="337" spans="1:68" ht="14.25" hidden="1" customHeight="1" x14ac:dyDescent="0.25">
      <c r="A337" s="652" t="s">
        <v>61</v>
      </c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  <c r="AA337" s="625"/>
      <c r="AB337" s="625"/>
      <c r="AC337" s="625"/>
    </row>
    <row r="338" spans="1:68" ht="27" hidden="1" customHeight="1" x14ac:dyDescent="0.25">
      <c r="A338" s="54" t="s">
        <v>554</v>
      </c>
      <c r="B338" s="54" t="s">
        <v>555</v>
      </c>
      <c r="C338" s="31">
        <v>4301031445</v>
      </c>
      <c r="D338" s="633">
        <v>4680115888319</v>
      </c>
      <c r="E338" s="634"/>
      <c r="F338" s="628">
        <v>0.35</v>
      </c>
      <c r="G338" s="32">
        <v>6</v>
      </c>
      <c r="H338" s="628">
        <v>2.1</v>
      </c>
      <c r="I338" s="628">
        <v>2.23</v>
      </c>
      <c r="J338" s="32">
        <v>234</v>
      </c>
      <c r="K338" s="32" t="s">
        <v>64</v>
      </c>
      <c r="L338" s="32"/>
      <c r="M338" s="33" t="s">
        <v>65</v>
      </c>
      <c r="N338" s="33"/>
      <c r="O338" s="32">
        <v>45</v>
      </c>
      <c r="P338" s="9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36"/>
      <c r="R338" s="636"/>
      <c r="S338" s="636"/>
      <c r="T338" s="637"/>
      <c r="U338" s="34"/>
      <c r="V338" s="34"/>
      <c r="W338" s="35" t="s">
        <v>66</v>
      </c>
      <c r="X338" s="629">
        <v>0</v>
      </c>
      <c r="Y338" s="63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388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556</v>
      </c>
      <c r="B339" s="54" t="s">
        <v>557</v>
      </c>
      <c r="C339" s="31">
        <v>4301031502</v>
      </c>
      <c r="D339" s="633">
        <v>4680115884700</v>
      </c>
      <c r="E339" s="634"/>
      <c r="F339" s="628">
        <v>0.57999999999999996</v>
      </c>
      <c r="G339" s="32">
        <v>4</v>
      </c>
      <c r="H339" s="628">
        <v>2.3199999999999998</v>
      </c>
      <c r="I339" s="628">
        <v>2.42</v>
      </c>
      <c r="J339" s="32">
        <v>234</v>
      </c>
      <c r="K339" s="32" t="s">
        <v>64</v>
      </c>
      <c r="L339" s="32"/>
      <c r="M339" s="33" t="s">
        <v>65</v>
      </c>
      <c r="N339" s="33"/>
      <c r="O339" s="32">
        <v>40</v>
      </c>
      <c r="P339" s="6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36"/>
      <c r="R339" s="636"/>
      <c r="S339" s="636"/>
      <c r="T339" s="637"/>
      <c r="U339" s="34"/>
      <c r="V339" s="34"/>
      <c r="W339" s="35" t="s">
        <v>66</v>
      </c>
      <c r="X339" s="629">
        <v>0</v>
      </c>
      <c r="Y339" s="63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558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559</v>
      </c>
      <c r="B340" s="54" t="s">
        <v>560</v>
      </c>
      <c r="C340" s="31">
        <v>4301031307</v>
      </c>
      <c r="D340" s="633">
        <v>4680115880344</v>
      </c>
      <c r="E340" s="634"/>
      <c r="F340" s="628">
        <v>0.28000000000000003</v>
      </c>
      <c r="G340" s="32">
        <v>6</v>
      </c>
      <c r="H340" s="628">
        <v>1.68</v>
      </c>
      <c r="I340" s="628">
        <v>1.78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40</v>
      </c>
      <c r="P340" s="7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36"/>
      <c r="R340" s="636"/>
      <c r="S340" s="636"/>
      <c r="T340" s="637"/>
      <c r="U340" s="34"/>
      <c r="V340" s="34"/>
      <c r="W340" s="35" t="s">
        <v>66</v>
      </c>
      <c r="X340" s="629">
        <v>0</v>
      </c>
      <c r="Y340" s="63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561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562</v>
      </c>
      <c r="B341" s="54" t="s">
        <v>563</v>
      </c>
      <c r="C341" s="31">
        <v>4301031501</v>
      </c>
      <c r="D341" s="633">
        <v>4680115886919</v>
      </c>
      <c r="E341" s="634"/>
      <c r="F341" s="628">
        <v>0.4</v>
      </c>
      <c r="G341" s="32">
        <v>6</v>
      </c>
      <c r="H341" s="628">
        <v>2.4</v>
      </c>
      <c r="I341" s="628">
        <v>2.58</v>
      </c>
      <c r="J341" s="32">
        <v>182</v>
      </c>
      <c r="K341" s="32" t="s">
        <v>76</v>
      </c>
      <c r="L341" s="32"/>
      <c r="M341" s="33" t="s">
        <v>65</v>
      </c>
      <c r="N341" s="33"/>
      <c r="O341" s="32">
        <v>40</v>
      </c>
      <c r="P341" s="87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36"/>
      <c r="R341" s="636"/>
      <c r="S341" s="636"/>
      <c r="T341" s="637"/>
      <c r="U341" s="34"/>
      <c r="V341" s="34"/>
      <c r="W341" s="35" t="s">
        <v>66</v>
      </c>
      <c r="X341" s="629">
        <v>0</v>
      </c>
      <c r="Y341" s="63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19" t="s">
        <v>564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565</v>
      </c>
      <c r="B342" s="54" t="s">
        <v>566</v>
      </c>
      <c r="C342" s="31">
        <v>4301031246</v>
      </c>
      <c r="D342" s="633">
        <v>4680115883970</v>
      </c>
      <c r="E342" s="634"/>
      <c r="F342" s="628">
        <v>0.28000000000000003</v>
      </c>
      <c r="G342" s="32">
        <v>6</v>
      </c>
      <c r="H342" s="628">
        <v>1.68</v>
      </c>
      <c r="I342" s="628">
        <v>2.5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9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36"/>
      <c r="R342" s="636"/>
      <c r="S342" s="636"/>
      <c r="T342" s="637"/>
      <c r="U342" s="34"/>
      <c r="V342" s="34"/>
      <c r="W342" s="35" t="s">
        <v>66</v>
      </c>
      <c r="X342" s="629">
        <v>0</v>
      </c>
      <c r="Y342" s="63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567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2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4"/>
      <c r="P343" s="646" t="s">
        <v>71</v>
      </c>
      <c r="Q343" s="647"/>
      <c r="R343" s="647"/>
      <c r="S343" s="647"/>
      <c r="T343" s="647"/>
      <c r="U343" s="647"/>
      <c r="V343" s="648"/>
      <c r="W343" s="37" t="s">
        <v>72</v>
      </c>
      <c r="X343" s="631">
        <f>IFERROR(X338/H338,"0")+IFERROR(X339/H339,"0")+IFERROR(X340/H340,"0")+IFERROR(X341/H341,"0")+IFERROR(X342/H342,"0")</f>
        <v>0</v>
      </c>
      <c r="Y343" s="631">
        <f>IFERROR(Y338/H338,"0")+IFERROR(Y339/H339,"0")+IFERROR(Y340/H340,"0")+IFERROR(Y341/H341,"0")+IFERROR(Y342/H342,"0")</f>
        <v>0</v>
      </c>
      <c r="Z343" s="631">
        <f>IFERROR(IF(Z338="",0,Z338),"0")+IFERROR(IF(Z339="",0,Z339),"0")+IFERROR(IF(Z340="",0,Z340),"0")+IFERROR(IF(Z341="",0,Z341),"0")+IFERROR(IF(Z342="",0,Z342),"0")</f>
        <v>0</v>
      </c>
      <c r="AA343" s="632"/>
      <c r="AB343" s="632"/>
      <c r="AC343" s="632"/>
    </row>
    <row r="344" spans="1:68" hidden="1" x14ac:dyDescent="0.2">
      <c r="A344" s="643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4"/>
      <c r="P344" s="646" t="s">
        <v>71</v>
      </c>
      <c r="Q344" s="647"/>
      <c r="R344" s="647"/>
      <c r="S344" s="647"/>
      <c r="T344" s="647"/>
      <c r="U344" s="647"/>
      <c r="V344" s="648"/>
      <c r="W344" s="37" t="s">
        <v>66</v>
      </c>
      <c r="X344" s="631">
        <f>IFERROR(SUM(X338:X342),"0")</f>
        <v>0</v>
      </c>
      <c r="Y344" s="631">
        <f>IFERROR(SUM(Y338:Y342),"0")</f>
        <v>0</v>
      </c>
      <c r="Z344" s="37"/>
      <c r="AA344" s="632"/>
      <c r="AB344" s="632"/>
      <c r="AC344" s="632"/>
    </row>
    <row r="345" spans="1:68" ht="14.25" hidden="1" customHeight="1" x14ac:dyDescent="0.25">
      <c r="A345" s="652" t="s">
        <v>73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625"/>
      <c r="AB345" s="625"/>
      <c r="AC345" s="625"/>
    </row>
    <row r="346" spans="1:68" ht="27" hidden="1" customHeight="1" x14ac:dyDescent="0.25">
      <c r="A346" s="54" t="s">
        <v>568</v>
      </c>
      <c r="B346" s="54" t="s">
        <v>569</v>
      </c>
      <c r="C346" s="31">
        <v>4301051782</v>
      </c>
      <c r="D346" s="633">
        <v>4680115884618</v>
      </c>
      <c r="E346" s="634"/>
      <c r="F346" s="628">
        <v>0.6</v>
      </c>
      <c r="G346" s="32">
        <v>6</v>
      </c>
      <c r="H346" s="628">
        <v>3.6</v>
      </c>
      <c r="I346" s="628">
        <v>3.79</v>
      </c>
      <c r="J346" s="32">
        <v>132</v>
      </c>
      <c r="K346" s="32" t="s">
        <v>124</v>
      </c>
      <c r="L346" s="32"/>
      <c r="M346" s="33" t="s">
        <v>77</v>
      </c>
      <c r="N346" s="33"/>
      <c r="O346" s="32">
        <v>45</v>
      </c>
      <c r="P346" s="9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36"/>
      <c r="R346" s="636"/>
      <c r="S346" s="636"/>
      <c r="T346" s="637"/>
      <c r="U346" s="34"/>
      <c r="V346" s="34"/>
      <c r="W346" s="35" t="s">
        <v>66</v>
      </c>
      <c r="X346" s="629">
        <v>0</v>
      </c>
      <c r="Y346" s="63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3" t="s">
        <v>570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571</v>
      </c>
      <c r="B347" s="54" t="s">
        <v>572</v>
      </c>
      <c r="C347" s="31">
        <v>4301052057</v>
      </c>
      <c r="D347" s="633">
        <v>4680115887114</v>
      </c>
      <c r="E347" s="634"/>
      <c r="F347" s="628">
        <v>0.55000000000000004</v>
      </c>
      <c r="G347" s="32">
        <v>6</v>
      </c>
      <c r="H347" s="628">
        <v>3.3</v>
      </c>
      <c r="I347" s="628">
        <v>3.49</v>
      </c>
      <c r="J347" s="32">
        <v>132</v>
      </c>
      <c r="K347" s="32" t="s">
        <v>124</v>
      </c>
      <c r="L347" s="32"/>
      <c r="M347" s="33" t="s">
        <v>77</v>
      </c>
      <c r="N347" s="33"/>
      <c r="O347" s="32">
        <v>45</v>
      </c>
      <c r="P347" s="9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36"/>
      <c r="R347" s="636"/>
      <c r="S347" s="636"/>
      <c r="T347" s="637"/>
      <c r="U347" s="34"/>
      <c r="V347" s="34"/>
      <c r="W347" s="35" t="s">
        <v>66</v>
      </c>
      <c r="X347" s="629">
        <v>0</v>
      </c>
      <c r="Y347" s="63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25" t="s">
        <v>573</v>
      </c>
      <c r="AG347" s="64"/>
      <c r="AJ347" s="68"/>
      <c r="AK347" s="68">
        <v>0</v>
      </c>
      <c r="BB347" s="426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42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6" t="s">
        <v>71</v>
      </c>
      <c r="Q348" s="647"/>
      <c r="R348" s="647"/>
      <c r="S348" s="647"/>
      <c r="T348" s="647"/>
      <c r="U348" s="647"/>
      <c r="V348" s="648"/>
      <c r="W348" s="37" t="s">
        <v>72</v>
      </c>
      <c r="X348" s="631">
        <f>IFERROR(X346/H346,"0")+IFERROR(X347/H347,"0")</f>
        <v>0</v>
      </c>
      <c r="Y348" s="631">
        <f>IFERROR(Y346/H346,"0")+IFERROR(Y347/H347,"0")</f>
        <v>0</v>
      </c>
      <c r="Z348" s="631">
        <f>IFERROR(IF(Z346="",0,Z346),"0")+IFERROR(IF(Z347="",0,Z347),"0")</f>
        <v>0</v>
      </c>
      <c r="AA348" s="632"/>
      <c r="AB348" s="632"/>
      <c r="AC348" s="632"/>
    </row>
    <row r="349" spans="1:68" hidden="1" x14ac:dyDescent="0.2">
      <c r="A349" s="643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4"/>
      <c r="P349" s="646" t="s">
        <v>71</v>
      </c>
      <c r="Q349" s="647"/>
      <c r="R349" s="647"/>
      <c r="S349" s="647"/>
      <c r="T349" s="647"/>
      <c r="U349" s="647"/>
      <c r="V349" s="648"/>
      <c r="W349" s="37" t="s">
        <v>66</v>
      </c>
      <c r="X349" s="631">
        <f>IFERROR(SUM(X346:X347),"0")</f>
        <v>0</v>
      </c>
      <c r="Y349" s="631">
        <f>IFERROR(SUM(Y346:Y347),"0")</f>
        <v>0</v>
      </c>
      <c r="Z349" s="37"/>
      <c r="AA349" s="632"/>
      <c r="AB349" s="632"/>
      <c r="AC349" s="632"/>
    </row>
    <row r="350" spans="1:68" ht="16.5" hidden="1" customHeight="1" x14ac:dyDescent="0.25">
      <c r="A350" s="650" t="s">
        <v>574</v>
      </c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  <c r="AA350" s="624"/>
      <c r="AB350" s="624"/>
      <c r="AC350" s="624"/>
    </row>
    <row r="351" spans="1:68" ht="14.25" hidden="1" customHeight="1" x14ac:dyDescent="0.25">
      <c r="A351" s="652" t="s">
        <v>112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25"/>
      <c r="AB351" s="625"/>
      <c r="AC351" s="625"/>
    </row>
    <row r="352" spans="1:68" ht="27" customHeight="1" x14ac:dyDescent="0.25">
      <c r="A352" s="54" t="s">
        <v>575</v>
      </c>
      <c r="B352" s="54" t="s">
        <v>576</v>
      </c>
      <c r="C352" s="31">
        <v>4301012324</v>
      </c>
      <c r="D352" s="633">
        <v>4680115887947</v>
      </c>
      <c r="E352" s="634"/>
      <c r="F352" s="628">
        <v>1.3</v>
      </c>
      <c r="G352" s="32">
        <v>6</v>
      </c>
      <c r="H352" s="628">
        <v>7.8</v>
      </c>
      <c r="I352" s="628">
        <v>8.2100000000000009</v>
      </c>
      <c r="J352" s="32">
        <v>64</v>
      </c>
      <c r="K352" s="32" t="s">
        <v>115</v>
      </c>
      <c r="L352" s="32"/>
      <c r="M352" s="33" t="s">
        <v>77</v>
      </c>
      <c r="N352" s="33"/>
      <c r="O352" s="32">
        <v>60</v>
      </c>
      <c r="P352" s="76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36"/>
      <c r="R352" s="636"/>
      <c r="S352" s="636"/>
      <c r="T352" s="637"/>
      <c r="U352" s="34"/>
      <c r="V352" s="34"/>
      <c r="W352" s="35" t="s">
        <v>66</v>
      </c>
      <c r="X352" s="629">
        <v>10</v>
      </c>
      <c r="Y352" s="630">
        <f>IFERROR(IF(X352="",0,CEILING((X352/$H352),1)*$H352),"")</f>
        <v>15.6</v>
      </c>
      <c r="Z352" s="36">
        <f>IFERROR(IF(Y352=0,"",ROUNDUP(Y352/H352,0)*0.01898),"")</f>
        <v>3.7960000000000001E-2</v>
      </c>
      <c r="AA352" s="56"/>
      <c r="AB352" s="57"/>
      <c r="AC352" s="427" t="s">
        <v>347</v>
      </c>
      <c r="AG352" s="64"/>
      <c r="AJ352" s="68"/>
      <c r="AK352" s="68">
        <v>0</v>
      </c>
      <c r="BB352" s="428" t="s">
        <v>1</v>
      </c>
      <c r="BM352" s="64">
        <f>IFERROR(X352*I352/H352,"0")</f>
        <v>10.525641025641027</v>
      </c>
      <c r="BN352" s="64">
        <f>IFERROR(Y352*I352/H352,"0")</f>
        <v>16.420000000000002</v>
      </c>
      <c r="BO352" s="64">
        <f>IFERROR(1/J352*(X352/H352),"0")</f>
        <v>2.0032051282051284E-2</v>
      </c>
      <c r="BP352" s="64">
        <f>IFERROR(1/J352*(Y352/H352),"0")</f>
        <v>3.125E-2</v>
      </c>
    </row>
    <row r="353" spans="1:68" ht="27" customHeight="1" x14ac:dyDescent="0.25">
      <c r="A353" s="54" t="s">
        <v>577</v>
      </c>
      <c r="B353" s="54" t="s">
        <v>578</v>
      </c>
      <c r="C353" s="31">
        <v>4301012325</v>
      </c>
      <c r="D353" s="633">
        <v>4680115887978</v>
      </c>
      <c r="E353" s="634"/>
      <c r="F353" s="628">
        <v>1.3</v>
      </c>
      <c r="G353" s="32">
        <v>6</v>
      </c>
      <c r="H353" s="628">
        <v>7.8</v>
      </c>
      <c r="I353" s="628">
        <v>8.2100000000000009</v>
      </c>
      <c r="J353" s="32">
        <v>64</v>
      </c>
      <c r="K353" s="32" t="s">
        <v>115</v>
      </c>
      <c r="L353" s="32"/>
      <c r="M353" s="33" t="s">
        <v>77</v>
      </c>
      <c r="N353" s="33"/>
      <c r="O353" s="32">
        <v>60</v>
      </c>
      <c r="P353" s="80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36"/>
      <c r="R353" s="636"/>
      <c r="S353" s="636"/>
      <c r="T353" s="637"/>
      <c r="U353" s="34"/>
      <c r="V353" s="34"/>
      <c r="W353" s="35" t="s">
        <v>66</v>
      </c>
      <c r="X353" s="629">
        <v>352</v>
      </c>
      <c r="Y353" s="630">
        <f>IFERROR(IF(X353="",0,CEILING((X353/$H353),1)*$H353),"")</f>
        <v>358.8</v>
      </c>
      <c r="Z353" s="36">
        <f>IFERROR(IF(Y353=0,"",ROUNDUP(Y353/H353,0)*0.01898),"")</f>
        <v>0.87307999999999997</v>
      </c>
      <c r="AA353" s="56"/>
      <c r="AB353" s="57"/>
      <c r="AC353" s="429" t="s">
        <v>579</v>
      </c>
      <c r="AG353" s="64"/>
      <c r="AJ353" s="68"/>
      <c r="AK353" s="68">
        <v>0</v>
      </c>
      <c r="BB353" s="430" t="s">
        <v>1</v>
      </c>
      <c r="BM353" s="64">
        <f>IFERROR(X353*I353/H353,"0")</f>
        <v>370.50256410256412</v>
      </c>
      <c r="BN353" s="64">
        <f>IFERROR(Y353*I353/H353,"0")</f>
        <v>377.66000000000008</v>
      </c>
      <c r="BO353" s="64">
        <f>IFERROR(1/J353*(X353/H353),"0")</f>
        <v>0.70512820512820518</v>
      </c>
      <c r="BP353" s="64">
        <f>IFERROR(1/J353*(Y353/H353),"0")</f>
        <v>0.71875</v>
      </c>
    </row>
    <row r="354" spans="1:68" ht="27" customHeight="1" x14ac:dyDescent="0.25">
      <c r="A354" s="54" t="s">
        <v>580</v>
      </c>
      <c r="B354" s="54" t="s">
        <v>581</v>
      </c>
      <c r="C354" s="31">
        <v>4301012327</v>
      </c>
      <c r="D354" s="633">
        <v>4680115887992</v>
      </c>
      <c r="E354" s="634"/>
      <c r="F354" s="628">
        <v>1.3</v>
      </c>
      <c r="G354" s="32">
        <v>6</v>
      </c>
      <c r="H354" s="628">
        <v>7.8</v>
      </c>
      <c r="I354" s="628">
        <v>8.2100000000000009</v>
      </c>
      <c r="J354" s="32">
        <v>64</v>
      </c>
      <c r="K354" s="32" t="s">
        <v>115</v>
      </c>
      <c r="L354" s="32"/>
      <c r="M354" s="33" t="s">
        <v>77</v>
      </c>
      <c r="N354" s="33"/>
      <c r="O354" s="32">
        <v>60</v>
      </c>
      <c r="P354" s="93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36"/>
      <c r="R354" s="636"/>
      <c r="S354" s="636"/>
      <c r="T354" s="637"/>
      <c r="U354" s="34"/>
      <c r="V354" s="34"/>
      <c r="W354" s="35" t="s">
        <v>66</v>
      </c>
      <c r="X354" s="629">
        <v>43</v>
      </c>
      <c r="Y354" s="630">
        <f>IFERROR(IF(X354="",0,CEILING((X354/$H354),1)*$H354),"")</f>
        <v>46.8</v>
      </c>
      <c r="Z354" s="36">
        <f>IFERROR(IF(Y354=0,"",ROUNDUP(Y354/H354,0)*0.01898),"")</f>
        <v>0.11388000000000001</v>
      </c>
      <c r="AA354" s="56"/>
      <c r="AB354" s="57"/>
      <c r="AC354" s="431" t="s">
        <v>582</v>
      </c>
      <c r="AG354" s="64"/>
      <c r="AJ354" s="68"/>
      <c r="AK354" s="68">
        <v>0</v>
      </c>
      <c r="BB354" s="432" t="s">
        <v>1</v>
      </c>
      <c r="BM354" s="64">
        <f>IFERROR(X354*I354/H354,"0")</f>
        <v>45.260256410256417</v>
      </c>
      <c r="BN354" s="64">
        <f>IFERROR(Y354*I354/H354,"0")</f>
        <v>49.260000000000005</v>
      </c>
      <c r="BO354" s="64">
        <f>IFERROR(1/J354*(X354/H354),"0")</f>
        <v>8.6137820512820512E-2</v>
      </c>
      <c r="BP354" s="64">
        <f>IFERROR(1/J354*(Y354/H354),"0")</f>
        <v>9.375E-2</v>
      </c>
    </row>
    <row r="355" spans="1:68" x14ac:dyDescent="0.2">
      <c r="A355" s="642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4"/>
      <c r="P355" s="646" t="s">
        <v>71</v>
      </c>
      <c r="Q355" s="647"/>
      <c r="R355" s="647"/>
      <c r="S355" s="647"/>
      <c r="T355" s="647"/>
      <c r="U355" s="647"/>
      <c r="V355" s="648"/>
      <c r="W355" s="37" t="s">
        <v>72</v>
      </c>
      <c r="X355" s="631">
        <f>IFERROR(X352/H352,"0")+IFERROR(X353/H353,"0")+IFERROR(X354/H354,"0")</f>
        <v>51.923076923076927</v>
      </c>
      <c r="Y355" s="631">
        <f>IFERROR(Y352/H352,"0")+IFERROR(Y353/H353,"0")+IFERROR(Y354/H354,"0")</f>
        <v>54</v>
      </c>
      <c r="Z355" s="631">
        <f>IFERROR(IF(Z352="",0,Z352),"0")+IFERROR(IF(Z353="",0,Z353),"0")+IFERROR(IF(Z354="",0,Z354),"0")</f>
        <v>1.0249200000000001</v>
      </c>
      <c r="AA355" s="632"/>
      <c r="AB355" s="632"/>
      <c r="AC355" s="632"/>
    </row>
    <row r="356" spans="1:68" x14ac:dyDescent="0.2">
      <c r="A356" s="643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4"/>
      <c r="P356" s="646" t="s">
        <v>71</v>
      </c>
      <c r="Q356" s="647"/>
      <c r="R356" s="647"/>
      <c r="S356" s="647"/>
      <c r="T356" s="647"/>
      <c r="U356" s="647"/>
      <c r="V356" s="648"/>
      <c r="W356" s="37" t="s">
        <v>66</v>
      </c>
      <c r="X356" s="631">
        <f>IFERROR(SUM(X352:X354),"0")</f>
        <v>405</v>
      </c>
      <c r="Y356" s="631">
        <f>IFERROR(SUM(Y352:Y354),"0")</f>
        <v>421.20000000000005</v>
      </c>
      <c r="Z356" s="37"/>
      <c r="AA356" s="632"/>
      <c r="AB356" s="632"/>
      <c r="AC356" s="632"/>
    </row>
    <row r="357" spans="1:68" ht="16.5" hidden="1" customHeight="1" x14ac:dyDescent="0.25">
      <c r="A357" s="650" t="s">
        <v>583</v>
      </c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  <c r="AA357" s="624"/>
      <c r="AB357" s="624"/>
      <c r="AC357" s="624"/>
    </row>
    <row r="358" spans="1:68" ht="14.25" hidden="1" customHeight="1" x14ac:dyDescent="0.25">
      <c r="A358" s="652" t="s">
        <v>112</v>
      </c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  <c r="AA358" s="625"/>
      <c r="AB358" s="625"/>
      <c r="AC358" s="625"/>
    </row>
    <row r="359" spans="1:68" ht="27" hidden="1" customHeight="1" x14ac:dyDescent="0.25">
      <c r="A359" s="54" t="s">
        <v>584</v>
      </c>
      <c r="B359" s="54" t="s">
        <v>585</v>
      </c>
      <c r="C359" s="31">
        <v>4301012235</v>
      </c>
      <c r="D359" s="633">
        <v>4680115887190</v>
      </c>
      <c r="E359" s="634"/>
      <c r="F359" s="628">
        <v>1.35</v>
      </c>
      <c r="G359" s="32">
        <v>8</v>
      </c>
      <c r="H359" s="628">
        <v>10.8</v>
      </c>
      <c r="I359" s="628">
        <v>11.21</v>
      </c>
      <c r="J359" s="32">
        <v>64</v>
      </c>
      <c r="K359" s="32" t="s">
        <v>115</v>
      </c>
      <c r="L359" s="32"/>
      <c r="M359" s="33" t="s">
        <v>116</v>
      </c>
      <c r="N359" s="33"/>
      <c r="O359" s="32">
        <v>55</v>
      </c>
      <c r="P359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36"/>
      <c r="R359" s="636"/>
      <c r="S359" s="636"/>
      <c r="T359" s="637"/>
      <c r="U359" s="34"/>
      <c r="V359" s="34"/>
      <c r="W359" s="35" t="s">
        <v>66</v>
      </c>
      <c r="X359" s="629">
        <v>0</v>
      </c>
      <c r="Y359" s="630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33" t="s">
        <v>586</v>
      </c>
      <c r="AG359" s="64"/>
      <c r="AJ359" s="68"/>
      <c r="AK359" s="68">
        <v>0</v>
      </c>
      <c r="BB359" s="434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37.5" hidden="1" customHeight="1" x14ac:dyDescent="0.25">
      <c r="A360" s="54" t="s">
        <v>587</v>
      </c>
      <c r="B360" s="54" t="s">
        <v>588</v>
      </c>
      <c r="C360" s="31">
        <v>4301012233</v>
      </c>
      <c r="D360" s="633">
        <v>4680115887138</v>
      </c>
      <c r="E360" s="634"/>
      <c r="F360" s="628">
        <v>1.35</v>
      </c>
      <c r="G360" s="32">
        <v>8</v>
      </c>
      <c r="H360" s="628">
        <v>10.8</v>
      </c>
      <c r="I360" s="628">
        <v>11.21</v>
      </c>
      <c r="J360" s="32">
        <v>64</v>
      </c>
      <c r="K360" s="32" t="s">
        <v>115</v>
      </c>
      <c r="L360" s="32"/>
      <c r="M360" s="33" t="s">
        <v>116</v>
      </c>
      <c r="N360" s="33"/>
      <c r="O360" s="32">
        <v>55</v>
      </c>
      <c r="P360" s="99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36"/>
      <c r="R360" s="636"/>
      <c r="S360" s="636"/>
      <c r="T360" s="637"/>
      <c r="U360" s="34"/>
      <c r="V360" s="34"/>
      <c r="W360" s="35" t="s">
        <v>66</v>
      </c>
      <c r="X360" s="629">
        <v>0</v>
      </c>
      <c r="Y360" s="630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35" t="s">
        <v>589</v>
      </c>
      <c r="AG360" s="64"/>
      <c r="AJ360" s="68"/>
      <c r="AK360" s="68">
        <v>0</v>
      </c>
      <c r="BB360" s="436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590</v>
      </c>
      <c r="B361" s="54" t="s">
        <v>591</v>
      </c>
      <c r="C361" s="31">
        <v>4301012016</v>
      </c>
      <c r="D361" s="633">
        <v>4680115885554</v>
      </c>
      <c r="E361" s="634"/>
      <c r="F361" s="628">
        <v>1.35</v>
      </c>
      <c r="G361" s="32">
        <v>8</v>
      </c>
      <c r="H361" s="628">
        <v>10.8</v>
      </c>
      <c r="I361" s="628">
        <v>11.21</v>
      </c>
      <c r="J361" s="32">
        <v>64</v>
      </c>
      <c r="K361" s="32" t="s">
        <v>115</v>
      </c>
      <c r="L361" s="32"/>
      <c r="M361" s="33" t="s">
        <v>77</v>
      </c>
      <c r="N361" s="33"/>
      <c r="O361" s="32">
        <v>55</v>
      </c>
      <c r="P361" s="82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36"/>
      <c r="R361" s="636"/>
      <c r="S361" s="636"/>
      <c r="T361" s="637"/>
      <c r="U361" s="34"/>
      <c r="V361" s="34"/>
      <c r="W361" s="35" t="s">
        <v>66</v>
      </c>
      <c r="X361" s="629">
        <v>0</v>
      </c>
      <c r="Y361" s="630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592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593</v>
      </c>
      <c r="B362" s="54" t="s">
        <v>594</v>
      </c>
      <c r="C362" s="31">
        <v>4301012236</v>
      </c>
      <c r="D362" s="633">
        <v>4680115887220</v>
      </c>
      <c r="E362" s="634"/>
      <c r="F362" s="628">
        <v>0.4</v>
      </c>
      <c r="G362" s="32">
        <v>10</v>
      </c>
      <c r="H362" s="628">
        <v>4</v>
      </c>
      <c r="I362" s="628">
        <v>4.1900000000000004</v>
      </c>
      <c r="J362" s="32">
        <v>132</v>
      </c>
      <c r="K362" s="32" t="s">
        <v>124</v>
      </c>
      <c r="L362" s="32"/>
      <c r="M362" s="33" t="s">
        <v>116</v>
      </c>
      <c r="N362" s="33"/>
      <c r="O362" s="32">
        <v>55</v>
      </c>
      <c r="P362" s="94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36"/>
      <c r="R362" s="636"/>
      <c r="S362" s="636"/>
      <c r="T362" s="637"/>
      <c r="U362" s="34"/>
      <c r="V362" s="34"/>
      <c r="W362" s="35" t="s">
        <v>66</v>
      </c>
      <c r="X362" s="629">
        <v>0</v>
      </c>
      <c r="Y362" s="630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39" t="s">
        <v>586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595</v>
      </c>
      <c r="B363" s="54" t="s">
        <v>596</v>
      </c>
      <c r="C363" s="31">
        <v>4301011859</v>
      </c>
      <c r="D363" s="633">
        <v>4680115885608</v>
      </c>
      <c r="E363" s="634"/>
      <c r="F363" s="628">
        <v>0.4</v>
      </c>
      <c r="G363" s="32">
        <v>10</v>
      </c>
      <c r="H363" s="628">
        <v>4</v>
      </c>
      <c r="I363" s="628">
        <v>4.1900000000000004</v>
      </c>
      <c r="J363" s="32">
        <v>132</v>
      </c>
      <c r="K363" s="32" t="s">
        <v>124</v>
      </c>
      <c r="L363" s="32"/>
      <c r="M363" s="33" t="s">
        <v>116</v>
      </c>
      <c r="N363" s="33"/>
      <c r="O363" s="32">
        <v>55</v>
      </c>
      <c r="P363" s="99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36"/>
      <c r="R363" s="636"/>
      <c r="S363" s="636"/>
      <c r="T363" s="637"/>
      <c r="U363" s="34"/>
      <c r="V363" s="34"/>
      <c r="W363" s="35" t="s">
        <v>66</v>
      </c>
      <c r="X363" s="629">
        <v>0</v>
      </c>
      <c r="Y363" s="630">
        <f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41" t="s">
        <v>597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42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6" t="s">
        <v>71</v>
      </c>
      <c r="Q364" s="647"/>
      <c r="R364" s="647"/>
      <c r="S364" s="647"/>
      <c r="T364" s="647"/>
      <c r="U364" s="647"/>
      <c r="V364" s="648"/>
      <c r="W364" s="37" t="s">
        <v>72</v>
      </c>
      <c r="X364" s="631">
        <f>IFERROR(X359/H359,"0")+IFERROR(X360/H360,"0")+IFERROR(X361/H361,"0")+IFERROR(X362/H362,"0")+IFERROR(X363/H363,"0")</f>
        <v>0</v>
      </c>
      <c r="Y364" s="631">
        <f>IFERROR(Y359/H359,"0")+IFERROR(Y360/H360,"0")+IFERROR(Y361/H361,"0")+IFERROR(Y362/H362,"0")+IFERROR(Y363/H363,"0")</f>
        <v>0</v>
      </c>
      <c r="Z364" s="631">
        <f>IFERROR(IF(Z359="",0,Z359),"0")+IFERROR(IF(Z360="",0,Z360),"0")+IFERROR(IF(Z361="",0,Z361),"0")+IFERROR(IF(Z362="",0,Z362),"0")+IFERROR(IF(Z363="",0,Z363),"0")</f>
        <v>0</v>
      </c>
      <c r="AA364" s="632"/>
      <c r="AB364" s="632"/>
      <c r="AC364" s="632"/>
    </row>
    <row r="365" spans="1:68" hidden="1" x14ac:dyDescent="0.2">
      <c r="A365" s="643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4"/>
      <c r="P365" s="646" t="s">
        <v>71</v>
      </c>
      <c r="Q365" s="647"/>
      <c r="R365" s="647"/>
      <c r="S365" s="647"/>
      <c r="T365" s="647"/>
      <c r="U365" s="647"/>
      <c r="V365" s="648"/>
      <c r="W365" s="37" t="s">
        <v>66</v>
      </c>
      <c r="X365" s="631">
        <f>IFERROR(SUM(X359:X363),"0")</f>
        <v>0</v>
      </c>
      <c r="Y365" s="631">
        <f>IFERROR(SUM(Y359:Y363),"0")</f>
        <v>0</v>
      </c>
      <c r="Z365" s="37"/>
      <c r="AA365" s="632"/>
      <c r="AB365" s="632"/>
      <c r="AC365" s="632"/>
    </row>
    <row r="366" spans="1:68" ht="14.25" hidden="1" customHeight="1" x14ac:dyDescent="0.25">
      <c r="A366" s="652" t="s">
        <v>61</v>
      </c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  <c r="AA366" s="625"/>
      <c r="AB366" s="625"/>
      <c r="AC366" s="625"/>
    </row>
    <row r="367" spans="1:68" ht="27" hidden="1" customHeight="1" x14ac:dyDescent="0.25">
      <c r="A367" s="54" t="s">
        <v>598</v>
      </c>
      <c r="B367" s="54" t="s">
        <v>599</v>
      </c>
      <c r="C367" s="31">
        <v>4301030878</v>
      </c>
      <c r="D367" s="633">
        <v>4607091387193</v>
      </c>
      <c r="E367" s="634"/>
      <c r="F367" s="628">
        <v>0.7</v>
      </c>
      <c r="G367" s="32">
        <v>6</v>
      </c>
      <c r="H367" s="628">
        <v>4.2</v>
      </c>
      <c r="I367" s="628">
        <v>4.45</v>
      </c>
      <c r="J367" s="32">
        <v>132</v>
      </c>
      <c r="K367" s="32" t="s">
        <v>124</v>
      </c>
      <c r="L367" s="32"/>
      <c r="M367" s="33" t="s">
        <v>65</v>
      </c>
      <c r="N367" s="33"/>
      <c r="O367" s="32">
        <v>35</v>
      </c>
      <c r="P367" s="96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36"/>
      <c r="R367" s="636"/>
      <c r="S367" s="636"/>
      <c r="T367" s="637"/>
      <c r="U367" s="34"/>
      <c r="V367" s="34"/>
      <c r="W367" s="35" t="s">
        <v>66</v>
      </c>
      <c r="X367" s="629">
        <v>0</v>
      </c>
      <c r="Y367" s="630">
        <f t="shared" ref="Y367:Y373" si="54"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600</v>
      </c>
      <c r="AG367" s="64"/>
      <c r="AJ367" s="68"/>
      <c r="AK367" s="68">
        <v>0</v>
      </c>
      <c r="BB367" s="444" t="s">
        <v>1</v>
      </c>
      <c r="BM367" s="64">
        <f t="shared" ref="BM367:BM373" si="55">IFERROR(X367*I367/H367,"0")</f>
        <v>0</v>
      </c>
      <c r="BN367" s="64">
        <f t="shared" ref="BN367:BN373" si="56">IFERROR(Y367*I367/H367,"0")</f>
        <v>0</v>
      </c>
      <c r="BO367" s="64">
        <f t="shared" ref="BO367:BO373" si="57">IFERROR(1/J367*(X367/H367),"0")</f>
        <v>0</v>
      </c>
      <c r="BP367" s="64">
        <f t="shared" ref="BP367:BP373" si="58">IFERROR(1/J367*(Y367/H367),"0")</f>
        <v>0</v>
      </c>
    </row>
    <row r="368" spans="1:68" ht="27" hidden="1" customHeight="1" x14ac:dyDescent="0.25">
      <c r="A368" s="54" t="s">
        <v>601</v>
      </c>
      <c r="B368" s="54" t="s">
        <v>602</v>
      </c>
      <c r="C368" s="31">
        <v>4301031153</v>
      </c>
      <c r="D368" s="633">
        <v>4607091387230</v>
      </c>
      <c r="E368" s="634"/>
      <c r="F368" s="628">
        <v>0.7</v>
      </c>
      <c r="G368" s="32">
        <v>6</v>
      </c>
      <c r="H368" s="628">
        <v>4.2</v>
      </c>
      <c r="I368" s="628">
        <v>4.45</v>
      </c>
      <c r="J368" s="32">
        <v>132</v>
      </c>
      <c r="K368" s="32" t="s">
        <v>124</v>
      </c>
      <c r="L368" s="32"/>
      <c r="M368" s="33" t="s">
        <v>65</v>
      </c>
      <c r="N368" s="33"/>
      <c r="O368" s="32">
        <v>40</v>
      </c>
      <c r="P368" s="98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36"/>
      <c r="R368" s="636"/>
      <c r="S368" s="636"/>
      <c r="T368" s="637"/>
      <c r="U368" s="34"/>
      <c r="V368" s="34"/>
      <c r="W368" s="35" t="s">
        <v>66</v>
      </c>
      <c r="X368" s="629">
        <v>0</v>
      </c>
      <c r="Y368" s="630">
        <f t="shared" si="54"/>
        <v>0</v>
      </c>
      <c r="Z368" s="36" t="str">
        <f>IFERROR(IF(Y368=0,"",ROUNDUP(Y368/H368,0)*0.00902),"")</f>
        <v/>
      </c>
      <c r="AA368" s="56"/>
      <c r="AB368" s="57"/>
      <c r="AC368" s="445" t="s">
        <v>603</v>
      </c>
      <c r="AG368" s="64"/>
      <c r="AJ368" s="68"/>
      <c r="AK368" s="68">
        <v>0</v>
      </c>
      <c r="BB368" s="446" t="s">
        <v>1</v>
      </c>
      <c r="BM368" s="64">
        <f t="shared" si="55"/>
        <v>0</v>
      </c>
      <c r="BN368" s="64">
        <f t="shared" si="56"/>
        <v>0</v>
      </c>
      <c r="BO368" s="64">
        <f t="shared" si="57"/>
        <v>0</v>
      </c>
      <c r="BP368" s="64">
        <f t="shared" si="58"/>
        <v>0</v>
      </c>
    </row>
    <row r="369" spans="1:68" ht="27" hidden="1" customHeight="1" x14ac:dyDescent="0.25">
      <c r="A369" s="54" t="s">
        <v>604</v>
      </c>
      <c r="B369" s="54" t="s">
        <v>605</v>
      </c>
      <c r="C369" s="31">
        <v>4301031154</v>
      </c>
      <c r="D369" s="633">
        <v>4607091387292</v>
      </c>
      <c r="E369" s="634"/>
      <c r="F369" s="628">
        <v>0.73</v>
      </c>
      <c r="G369" s="32">
        <v>6</v>
      </c>
      <c r="H369" s="628">
        <v>4.38</v>
      </c>
      <c r="I369" s="628">
        <v>4.63</v>
      </c>
      <c r="J369" s="32">
        <v>132</v>
      </c>
      <c r="K369" s="32" t="s">
        <v>124</v>
      </c>
      <c r="L369" s="32"/>
      <c r="M369" s="33" t="s">
        <v>65</v>
      </c>
      <c r="N369" s="33"/>
      <c r="O369" s="32">
        <v>45</v>
      </c>
      <c r="P369" s="9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36"/>
      <c r="R369" s="636"/>
      <c r="S369" s="636"/>
      <c r="T369" s="637"/>
      <c r="U369" s="34"/>
      <c r="V369" s="34"/>
      <c r="W369" s="35" t="s">
        <v>66</v>
      </c>
      <c r="X369" s="629">
        <v>0</v>
      </c>
      <c r="Y369" s="630">
        <f t="shared" si="54"/>
        <v>0</v>
      </c>
      <c r="Z369" s="36" t="str">
        <f>IFERROR(IF(Y369=0,"",ROUNDUP(Y369/H369,0)*0.00902),"")</f>
        <v/>
      </c>
      <c r="AA369" s="56"/>
      <c r="AB369" s="57"/>
      <c r="AC369" s="447" t="s">
        <v>606</v>
      </c>
      <c r="AG369" s="64"/>
      <c r="AJ369" s="68"/>
      <c r="AK369" s="68">
        <v>0</v>
      </c>
      <c r="BB369" s="448" t="s">
        <v>1</v>
      </c>
      <c r="BM369" s="64">
        <f t="shared" si="55"/>
        <v>0</v>
      </c>
      <c r="BN369" s="64">
        <f t="shared" si="56"/>
        <v>0</v>
      </c>
      <c r="BO369" s="64">
        <f t="shared" si="57"/>
        <v>0</v>
      </c>
      <c r="BP369" s="64">
        <f t="shared" si="58"/>
        <v>0</v>
      </c>
    </row>
    <row r="370" spans="1:68" ht="27" hidden="1" customHeight="1" x14ac:dyDescent="0.25">
      <c r="A370" s="54" t="s">
        <v>607</v>
      </c>
      <c r="B370" s="54" t="s">
        <v>608</v>
      </c>
      <c r="C370" s="31">
        <v>4301031152</v>
      </c>
      <c r="D370" s="633">
        <v>4607091387285</v>
      </c>
      <c r="E370" s="634"/>
      <c r="F370" s="628">
        <v>0.35</v>
      </c>
      <c r="G370" s="32">
        <v>6</v>
      </c>
      <c r="H370" s="628">
        <v>2.1</v>
      </c>
      <c r="I370" s="628">
        <v>2.23</v>
      </c>
      <c r="J370" s="32">
        <v>234</v>
      </c>
      <c r="K370" s="32" t="s">
        <v>64</v>
      </c>
      <c r="L370" s="32"/>
      <c r="M370" s="33" t="s">
        <v>65</v>
      </c>
      <c r="N370" s="33"/>
      <c r="O370" s="32">
        <v>40</v>
      </c>
      <c r="P370" s="9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36"/>
      <c r="R370" s="636"/>
      <c r="S370" s="636"/>
      <c r="T370" s="637"/>
      <c r="U370" s="34"/>
      <c r="V370" s="34"/>
      <c r="W370" s="35" t="s">
        <v>66</v>
      </c>
      <c r="X370" s="629">
        <v>0</v>
      </c>
      <c r="Y370" s="630">
        <f t="shared" si="54"/>
        <v>0</v>
      </c>
      <c r="Z370" s="36" t="str">
        <f>IFERROR(IF(Y370=0,"",ROUNDUP(Y370/H370,0)*0.00502),"")</f>
        <v/>
      </c>
      <c r="AA370" s="56"/>
      <c r="AB370" s="57"/>
      <c r="AC370" s="449" t="s">
        <v>603</v>
      </c>
      <c r="AG370" s="64"/>
      <c r="AJ370" s="68"/>
      <c r="AK370" s="68">
        <v>0</v>
      </c>
      <c r="BB370" s="450" t="s">
        <v>1</v>
      </c>
      <c r="BM370" s="64">
        <f t="shared" si="55"/>
        <v>0</v>
      </c>
      <c r="BN370" s="64">
        <f t="shared" si="56"/>
        <v>0</v>
      </c>
      <c r="BO370" s="64">
        <f t="shared" si="57"/>
        <v>0</v>
      </c>
      <c r="BP370" s="64">
        <f t="shared" si="58"/>
        <v>0</v>
      </c>
    </row>
    <row r="371" spans="1:68" ht="27" hidden="1" customHeight="1" x14ac:dyDescent="0.25">
      <c r="A371" s="54" t="s">
        <v>609</v>
      </c>
      <c r="B371" s="54" t="s">
        <v>610</v>
      </c>
      <c r="C371" s="31">
        <v>4301031305</v>
      </c>
      <c r="D371" s="633">
        <v>4607091389845</v>
      </c>
      <c r="E371" s="634"/>
      <c r="F371" s="628">
        <v>0.35</v>
      </c>
      <c r="G371" s="32">
        <v>6</v>
      </c>
      <c r="H371" s="628">
        <v>2.1</v>
      </c>
      <c r="I371" s="628">
        <v>2.2000000000000002</v>
      </c>
      <c r="J371" s="32">
        <v>234</v>
      </c>
      <c r="K371" s="32" t="s">
        <v>64</v>
      </c>
      <c r="L371" s="32"/>
      <c r="M371" s="33" t="s">
        <v>65</v>
      </c>
      <c r="N371" s="33"/>
      <c r="O371" s="32">
        <v>40</v>
      </c>
      <c r="P371" s="7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36"/>
      <c r="R371" s="636"/>
      <c r="S371" s="636"/>
      <c r="T371" s="637"/>
      <c r="U371" s="34"/>
      <c r="V371" s="34"/>
      <c r="W371" s="35" t="s">
        <v>66</v>
      </c>
      <c r="X371" s="629">
        <v>0</v>
      </c>
      <c r="Y371" s="630">
        <f t="shared" si="54"/>
        <v>0</v>
      </c>
      <c r="Z371" s="36" t="str">
        <f>IFERROR(IF(Y371=0,"",ROUNDUP(Y371/H371,0)*0.00502),"")</f>
        <v/>
      </c>
      <c r="AA371" s="56"/>
      <c r="AB371" s="57"/>
      <c r="AC371" s="451" t="s">
        <v>611</v>
      </c>
      <c r="AG371" s="64"/>
      <c r="AJ371" s="68"/>
      <c r="AK371" s="68">
        <v>0</v>
      </c>
      <c r="BB371" s="452" t="s">
        <v>1</v>
      </c>
      <c r="BM371" s="64">
        <f t="shared" si="55"/>
        <v>0</v>
      </c>
      <c r="BN371" s="64">
        <f t="shared" si="56"/>
        <v>0</v>
      </c>
      <c r="BO371" s="64">
        <f t="shared" si="57"/>
        <v>0</v>
      </c>
      <c r="BP371" s="64">
        <f t="shared" si="58"/>
        <v>0</v>
      </c>
    </row>
    <row r="372" spans="1:68" ht="27" hidden="1" customHeight="1" x14ac:dyDescent="0.25">
      <c r="A372" s="54" t="s">
        <v>612</v>
      </c>
      <c r="B372" s="54" t="s">
        <v>613</v>
      </c>
      <c r="C372" s="31">
        <v>4301031460</v>
      </c>
      <c r="D372" s="633">
        <v>4680115887442</v>
      </c>
      <c r="E372" s="634"/>
      <c r="F372" s="628">
        <v>0.73</v>
      </c>
      <c r="G372" s="32">
        <v>6</v>
      </c>
      <c r="H372" s="628">
        <v>4.38</v>
      </c>
      <c r="I372" s="628">
        <v>4.63</v>
      </c>
      <c r="J372" s="32">
        <v>132</v>
      </c>
      <c r="K372" s="32" t="s">
        <v>124</v>
      </c>
      <c r="L372" s="32"/>
      <c r="M372" s="33" t="s">
        <v>65</v>
      </c>
      <c r="N372" s="33"/>
      <c r="O372" s="32">
        <v>45</v>
      </c>
      <c r="P372" s="8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36"/>
      <c r="R372" s="636"/>
      <c r="S372" s="636"/>
      <c r="T372" s="637"/>
      <c r="U372" s="34"/>
      <c r="V372" s="34"/>
      <c r="W372" s="35" t="s">
        <v>66</v>
      </c>
      <c r="X372" s="629">
        <v>0</v>
      </c>
      <c r="Y372" s="630">
        <f t="shared" si="54"/>
        <v>0</v>
      </c>
      <c r="Z372" s="36" t="str">
        <f>IFERROR(IF(Y372=0,"",ROUNDUP(Y372/H372,0)*0.00902),"")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55"/>
        <v>0</v>
      </c>
      <c r="BN372" s="64">
        <f t="shared" si="56"/>
        <v>0</v>
      </c>
      <c r="BO372" s="64">
        <f t="shared" si="57"/>
        <v>0</v>
      </c>
      <c r="BP372" s="64">
        <f t="shared" si="58"/>
        <v>0</v>
      </c>
    </row>
    <row r="373" spans="1:68" ht="27" customHeight="1" x14ac:dyDescent="0.25">
      <c r="A373" s="54" t="s">
        <v>614</v>
      </c>
      <c r="B373" s="54" t="s">
        <v>615</v>
      </c>
      <c r="C373" s="31">
        <v>4301031066</v>
      </c>
      <c r="D373" s="633">
        <v>4607091383836</v>
      </c>
      <c r="E373" s="634"/>
      <c r="F373" s="628">
        <v>0.3</v>
      </c>
      <c r="G373" s="32">
        <v>6</v>
      </c>
      <c r="H373" s="628">
        <v>1.8</v>
      </c>
      <c r="I373" s="628">
        <v>2.028</v>
      </c>
      <c r="J373" s="32">
        <v>182</v>
      </c>
      <c r="K373" s="32" t="s">
        <v>76</v>
      </c>
      <c r="L373" s="32"/>
      <c r="M373" s="33" t="s">
        <v>65</v>
      </c>
      <c r="N373" s="33"/>
      <c r="O373" s="32">
        <v>40</v>
      </c>
      <c r="P373" s="99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36"/>
      <c r="R373" s="636"/>
      <c r="S373" s="636"/>
      <c r="T373" s="637"/>
      <c r="U373" s="34"/>
      <c r="V373" s="34"/>
      <c r="W373" s="35" t="s">
        <v>66</v>
      </c>
      <c r="X373" s="629">
        <v>15</v>
      </c>
      <c r="Y373" s="630">
        <f t="shared" si="54"/>
        <v>16.2</v>
      </c>
      <c r="Z373" s="36">
        <f>IFERROR(IF(Y373=0,"",ROUNDUP(Y373/H373,0)*0.00651),"")</f>
        <v>5.8590000000000003E-2</v>
      </c>
      <c r="AA373" s="56"/>
      <c r="AB373" s="57"/>
      <c r="AC373" s="455" t="s">
        <v>616</v>
      </c>
      <c r="AG373" s="64"/>
      <c r="AJ373" s="68"/>
      <c r="AK373" s="68">
        <v>0</v>
      </c>
      <c r="BB373" s="456" t="s">
        <v>1</v>
      </c>
      <c r="BM373" s="64">
        <f t="shared" si="55"/>
        <v>16.900000000000002</v>
      </c>
      <c r="BN373" s="64">
        <f t="shared" si="56"/>
        <v>18.251999999999999</v>
      </c>
      <c r="BO373" s="64">
        <f t="shared" si="57"/>
        <v>4.5787545787545791E-2</v>
      </c>
      <c r="BP373" s="64">
        <f t="shared" si="58"/>
        <v>4.9450549450549455E-2</v>
      </c>
    </row>
    <row r="374" spans="1:68" x14ac:dyDescent="0.2">
      <c r="A374" s="642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4"/>
      <c r="P374" s="646" t="s">
        <v>71</v>
      </c>
      <c r="Q374" s="647"/>
      <c r="R374" s="647"/>
      <c r="S374" s="647"/>
      <c r="T374" s="647"/>
      <c r="U374" s="647"/>
      <c r="V374" s="648"/>
      <c r="W374" s="37" t="s">
        <v>72</v>
      </c>
      <c r="X374" s="631">
        <f>IFERROR(X367/H367,"0")+IFERROR(X368/H368,"0")+IFERROR(X369/H369,"0")+IFERROR(X370/H370,"0")+IFERROR(X371/H371,"0")+IFERROR(X372/H372,"0")+IFERROR(X373/H373,"0")</f>
        <v>8.3333333333333339</v>
      </c>
      <c r="Y374" s="631">
        <f>IFERROR(Y367/H367,"0")+IFERROR(Y368/H368,"0")+IFERROR(Y369/H369,"0")+IFERROR(Y370/H370,"0")+IFERROR(Y371/H371,"0")+IFERROR(Y372/H372,"0")+IFERROR(Y373/H373,"0")</f>
        <v>9</v>
      </c>
      <c r="Z374" s="631">
        <f>IFERROR(IF(Z367="",0,Z367),"0")+IFERROR(IF(Z368="",0,Z368),"0")+IFERROR(IF(Z369="",0,Z369),"0")+IFERROR(IF(Z370="",0,Z370),"0")+IFERROR(IF(Z371="",0,Z371),"0")+IFERROR(IF(Z372="",0,Z372),"0")+IFERROR(IF(Z373="",0,Z373),"0")</f>
        <v>5.8590000000000003E-2</v>
      </c>
      <c r="AA374" s="632"/>
      <c r="AB374" s="632"/>
      <c r="AC374" s="632"/>
    </row>
    <row r="375" spans="1:68" x14ac:dyDescent="0.2">
      <c r="A375" s="643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4"/>
      <c r="P375" s="646" t="s">
        <v>71</v>
      </c>
      <c r="Q375" s="647"/>
      <c r="R375" s="647"/>
      <c r="S375" s="647"/>
      <c r="T375" s="647"/>
      <c r="U375" s="647"/>
      <c r="V375" s="648"/>
      <c r="W375" s="37" t="s">
        <v>66</v>
      </c>
      <c r="X375" s="631">
        <f>IFERROR(SUM(X367:X373),"0")</f>
        <v>15</v>
      </c>
      <c r="Y375" s="631">
        <f>IFERROR(SUM(Y367:Y373),"0")</f>
        <v>16.2</v>
      </c>
      <c r="Z375" s="37"/>
      <c r="AA375" s="632"/>
      <c r="AB375" s="632"/>
      <c r="AC375" s="632"/>
    </row>
    <row r="376" spans="1:68" ht="14.25" hidden="1" customHeight="1" x14ac:dyDescent="0.25">
      <c r="A376" s="652" t="s">
        <v>73</v>
      </c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  <c r="AA376" s="625"/>
      <c r="AB376" s="625"/>
      <c r="AC376" s="625"/>
    </row>
    <row r="377" spans="1:68" ht="27" hidden="1" customHeight="1" x14ac:dyDescent="0.25">
      <c r="A377" s="54" t="s">
        <v>617</v>
      </c>
      <c r="B377" s="54" t="s">
        <v>618</v>
      </c>
      <c r="C377" s="31">
        <v>4301051100</v>
      </c>
      <c r="D377" s="633">
        <v>4607091387766</v>
      </c>
      <c r="E377" s="634"/>
      <c r="F377" s="628">
        <v>1.3</v>
      </c>
      <c r="G377" s="32">
        <v>6</v>
      </c>
      <c r="H377" s="628">
        <v>7.8</v>
      </c>
      <c r="I377" s="628">
        <v>8.2880000000000003</v>
      </c>
      <c r="J377" s="32">
        <v>64</v>
      </c>
      <c r="K377" s="32" t="s">
        <v>115</v>
      </c>
      <c r="L377" s="32"/>
      <c r="M377" s="33" t="s">
        <v>77</v>
      </c>
      <c r="N377" s="33"/>
      <c r="O377" s="32">
        <v>40</v>
      </c>
      <c r="P377" s="8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36"/>
      <c r="R377" s="636"/>
      <c r="S377" s="636"/>
      <c r="T377" s="637"/>
      <c r="U377" s="34"/>
      <c r="V377" s="34"/>
      <c r="W377" s="35" t="s">
        <v>66</v>
      </c>
      <c r="X377" s="629">
        <v>0</v>
      </c>
      <c r="Y377" s="63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7" t="s">
        <v>619</v>
      </c>
      <c r="AG377" s="64"/>
      <c r="AJ377" s="68"/>
      <c r="AK377" s="68">
        <v>0</v>
      </c>
      <c r="BB377" s="45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620</v>
      </c>
      <c r="B378" s="54" t="s">
        <v>621</v>
      </c>
      <c r="C378" s="31">
        <v>4301051818</v>
      </c>
      <c r="D378" s="633">
        <v>4607091387957</v>
      </c>
      <c r="E378" s="634"/>
      <c r="F378" s="628">
        <v>1.3</v>
      </c>
      <c r="G378" s="32">
        <v>6</v>
      </c>
      <c r="H378" s="628">
        <v>7.8</v>
      </c>
      <c r="I378" s="628">
        <v>8.2940000000000005</v>
      </c>
      <c r="J378" s="32">
        <v>64</v>
      </c>
      <c r="K378" s="32" t="s">
        <v>115</v>
      </c>
      <c r="L378" s="32"/>
      <c r="M378" s="33" t="s">
        <v>77</v>
      </c>
      <c r="N378" s="33"/>
      <c r="O378" s="32">
        <v>40</v>
      </c>
      <c r="P378" s="7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36"/>
      <c r="R378" s="636"/>
      <c r="S378" s="636"/>
      <c r="T378" s="637"/>
      <c r="U378" s="34"/>
      <c r="V378" s="34"/>
      <c r="W378" s="35" t="s">
        <v>66</v>
      </c>
      <c r="X378" s="629">
        <v>0</v>
      </c>
      <c r="Y378" s="630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9" t="s">
        <v>622</v>
      </c>
      <c r="AG378" s="64"/>
      <c r="AJ378" s="68"/>
      <c r="AK378" s="68">
        <v>0</v>
      </c>
      <c r="BB378" s="46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623</v>
      </c>
      <c r="B379" s="54" t="s">
        <v>624</v>
      </c>
      <c r="C379" s="31">
        <v>4301051819</v>
      </c>
      <c r="D379" s="633">
        <v>4607091387964</v>
      </c>
      <c r="E379" s="634"/>
      <c r="F379" s="628">
        <v>1.35</v>
      </c>
      <c r="G379" s="32">
        <v>6</v>
      </c>
      <c r="H379" s="628">
        <v>8.1</v>
      </c>
      <c r="I379" s="628">
        <v>8.5760000000000005</v>
      </c>
      <c r="J379" s="32">
        <v>64</v>
      </c>
      <c r="K379" s="32" t="s">
        <v>115</v>
      </c>
      <c r="L379" s="32"/>
      <c r="M379" s="33" t="s">
        <v>77</v>
      </c>
      <c r="N379" s="33"/>
      <c r="O379" s="32">
        <v>40</v>
      </c>
      <c r="P379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36"/>
      <c r="R379" s="636"/>
      <c r="S379" s="636"/>
      <c r="T379" s="637"/>
      <c r="U379" s="34"/>
      <c r="V379" s="34"/>
      <c r="W379" s="35" t="s">
        <v>66</v>
      </c>
      <c r="X379" s="629">
        <v>0</v>
      </c>
      <c r="Y379" s="63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625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626</v>
      </c>
      <c r="B380" s="54" t="s">
        <v>627</v>
      </c>
      <c r="C380" s="31">
        <v>4301051734</v>
      </c>
      <c r="D380" s="633">
        <v>4680115884588</v>
      </c>
      <c r="E380" s="634"/>
      <c r="F380" s="628">
        <v>0.5</v>
      </c>
      <c r="G380" s="32">
        <v>6</v>
      </c>
      <c r="H380" s="628">
        <v>3</v>
      </c>
      <c r="I380" s="628">
        <v>3.246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8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36"/>
      <c r="R380" s="636"/>
      <c r="S380" s="636"/>
      <c r="T380" s="637"/>
      <c r="U380" s="34"/>
      <c r="V380" s="34"/>
      <c r="W380" s="35" t="s">
        <v>66</v>
      </c>
      <c r="X380" s="629">
        <v>0</v>
      </c>
      <c r="Y380" s="630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63" t="s">
        <v>619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42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4"/>
      <c r="P381" s="646" t="s">
        <v>71</v>
      </c>
      <c r="Q381" s="647"/>
      <c r="R381" s="647"/>
      <c r="S381" s="647"/>
      <c r="T381" s="647"/>
      <c r="U381" s="647"/>
      <c r="V381" s="648"/>
      <c r="W381" s="37" t="s">
        <v>72</v>
      </c>
      <c r="X381" s="631">
        <f>IFERROR(X377/H377,"0")+IFERROR(X378/H378,"0")+IFERROR(X379/H379,"0")+IFERROR(X380/H380,"0")</f>
        <v>0</v>
      </c>
      <c r="Y381" s="631">
        <f>IFERROR(Y377/H377,"0")+IFERROR(Y378/H378,"0")+IFERROR(Y379/H379,"0")+IFERROR(Y380/H380,"0")</f>
        <v>0</v>
      </c>
      <c r="Z381" s="631">
        <f>IFERROR(IF(Z377="",0,Z377),"0")+IFERROR(IF(Z378="",0,Z378),"0")+IFERROR(IF(Z379="",0,Z379),"0")+IFERROR(IF(Z380="",0,Z380),"0")</f>
        <v>0</v>
      </c>
      <c r="AA381" s="632"/>
      <c r="AB381" s="632"/>
      <c r="AC381" s="632"/>
    </row>
    <row r="382" spans="1:68" hidden="1" x14ac:dyDescent="0.2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4"/>
      <c r="P382" s="646" t="s">
        <v>71</v>
      </c>
      <c r="Q382" s="647"/>
      <c r="R382" s="647"/>
      <c r="S382" s="647"/>
      <c r="T382" s="647"/>
      <c r="U382" s="647"/>
      <c r="V382" s="648"/>
      <c r="W382" s="37" t="s">
        <v>66</v>
      </c>
      <c r="X382" s="631">
        <f>IFERROR(SUM(X377:X380),"0")</f>
        <v>0</v>
      </c>
      <c r="Y382" s="631">
        <f>IFERROR(SUM(Y377:Y380),"0")</f>
        <v>0</v>
      </c>
      <c r="Z382" s="37"/>
      <c r="AA382" s="632"/>
      <c r="AB382" s="632"/>
      <c r="AC382" s="632"/>
    </row>
    <row r="383" spans="1:68" ht="14.25" hidden="1" customHeight="1" x14ac:dyDescent="0.25">
      <c r="A383" s="652" t="s">
        <v>162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625"/>
      <c r="AB383" s="625"/>
      <c r="AC383" s="625"/>
    </row>
    <row r="384" spans="1:68" ht="27" customHeight="1" x14ac:dyDescent="0.25">
      <c r="A384" s="54" t="s">
        <v>628</v>
      </c>
      <c r="B384" s="54" t="s">
        <v>629</v>
      </c>
      <c r="C384" s="31">
        <v>4301060387</v>
      </c>
      <c r="D384" s="633">
        <v>4607091380880</v>
      </c>
      <c r="E384" s="634"/>
      <c r="F384" s="628">
        <v>1.4</v>
      </c>
      <c r="G384" s="32">
        <v>6</v>
      </c>
      <c r="H384" s="628">
        <v>8.4</v>
      </c>
      <c r="I384" s="628">
        <v>8.8940000000000001</v>
      </c>
      <c r="J384" s="32">
        <v>64</v>
      </c>
      <c r="K384" s="32" t="s">
        <v>115</v>
      </c>
      <c r="L384" s="32"/>
      <c r="M384" s="33" t="s">
        <v>77</v>
      </c>
      <c r="N384" s="33"/>
      <c r="O384" s="32">
        <v>30</v>
      </c>
      <c r="P384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36"/>
      <c r="R384" s="636"/>
      <c r="S384" s="636"/>
      <c r="T384" s="637"/>
      <c r="U384" s="34"/>
      <c r="V384" s="34"/>
      <c r="W384" s="35" t="s">
        <v>66</v>
      </c>
      <c r="X384" s="629">
        <v>332</v>
      </c>
      <c r="Y384" s="630">
        <f>IFERROR(IF(X384="",0,CEILING((X384/$H384),1)*$H384),"")</f>
        <v>336</v>
      </c>
      <c r="Z384" s="36">
        <f>IFERROR(IF(Y384=0,"",ROUNDUP(Y384/H384,0)*0.01898),"")</f>
        <v>0.75919999999999999</v>
      </c>
      <c r="AA384" s="56"/>
      <c r="AB384" s="57"/>
      <c r="AC384" s="465" t="s">
        <v>630</v>
      </c>
      <c r="AG384" s="64"/>
      <c r="AJ384" s="68"/>
      <c r="AK384" s="68">
        <v>0</v>
      </c>
      <c r="BB384" s="466" t="s">
        <v>1</v>
      </c>
      <c r="BM384" s="64">
        <f>IFERROR(X384*I384/H384,"0")</f>
        <v>351.52476190476187</v>
      </c>
      <c r="BN384" s="64">
        <f>IFERROR(Y384*I384/H384,"0")</f>
        <v>355.76</v>
      </c>
      <c r="BO384" s="64">
        <f>IFERROR(1/J384*(X384/H384),"0")</f>
        <v>0.61755952380952384</v>
      </c>
      <c r="BP384" s="64">
        <f>IFERROR(1/J384*(Y384/H384),"0")</f>
        <v>0.625</v>
      </c>
    </row>
    <row r="385" spans="1:68" ht="27" customHeight="1" x14ac:dyDescent="0.25">
      <c r="A385" s="54" t="s">
        <v>631</v>
      </c>
      <c r="B385" s="54" t="s">
        <v>632</v>
      </c>
      <c r="C385" s="31">
        <v>4301060406</v>
      </c>
      <c r="D385" s="633">
        <v>4607091384482</v>
      </c>
      <c r="E385" s="634"/>
      <c r="F385" s="628">
        <v>1.3</v>
      </c>
      <c r="G385" s="32">
        <v>6</v>
      </c>
      <c r="H385" s="628">
        <v>7.8</v>
      </c>
      <c r="I385" s="628">
        <v>8.2940000000000005</v>
      </c>
      <c r="J385" s="32">
        <v>64</v>
      </c>
      <c r="K385" s="32" t="s">
        <v>115</v>
      </c>
      <c r="L385" s="32"/>
      <c r="M385" s="33" t="s">
        <v>77</v>
      </c>
      <c r="N385" s="33"/>
      <c r="O385" s="32">
        <v>30</v>
      </c>
      <c r="P385" s="96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36"/>
      <c r="R385" s="636"/>
      <c r="S385" s="636"/>
      <c r="T385" s="637"/>
      <c r="U385" s="34"/>
      <c r="V385" s="34"/>
      <c r="W385" s="35" t="s">
        <v>66</v>
      </c>
      <c r="X385" s="629">
        <v>140</v>
      </c>
      <c r="Y385" s="630">
        <f>IFERROR(IF(X385="",0,CEILING((X385/$H385),1)*$H385),"")</f>
        <v>140.4</v>
      </c>
      <c r="Z385" s="36">
        <f>IFERROR(IF(Y385=0,"",ROUNDUP(Y385/H385,0)*0.01898),"")</f>
        <v>0.34164</v>
      </c>
      <c r="AA385" s="56"/>
      <c r="AB385" s="57"/>
      <c r="AC385" s="467" t="s">
        <v>633</v>
      </c>
      <c r="AG385" s="64"/>
      <c r="AJ385" s="68"/>
      <c r="AK385" s="68">
        <v>0</v>
      </c>
      <c r="BB385" s="468" t="s">
        <v>1</v>
      </c>
      <c r="BM385" s="64">
        <f>IFERROR(X385*I385/H385,"0")</f>
        <v>148.86666666666667</v>
      </c>
      <c r="BN385" s="64">
        <f>IFERROR(Y385*I385/H385,"0")</f>
        <v>149.29200000000003</v>
      </c>
      <c r="BO385" s="64">
        <f>IFERROR(1/J385*(X385/H385),"0")</f>
        <v>0.28044871794871795</v>
      </c>
      <c r="BP385" s="64">
        <f>IFERROR(1/J385*(Y385/H385),"0")</f>
        <v>0.28125</v>
      </c>
    </row>
    <row r="386" spans="1:68" ht="27" customHeight="1" x14ac:dyDescent="0.25">
      <c r="A386" s="54" t="s">
        <v>634</v>
      </c>
      <c r="B386" s="54" t="s">
        <v>635</v>
      </c>
      <c r="C386" s="31">
        <v>4301060484</v>
      </c>
      <c r="D386" s="633">
        <v>4607091380897</v>
      </c>
      <c r="E386" s="634"/>
      <c r="F386" s="628">
        <v>1.4</v>
      </c>
      <c r="G386" s="32">
        <v>6</v>
      </c>
      <c r="H386" s="628">
        <v>8.4</v>
      </c>
      <c r="I386" s="628">
        <v>8.8940000000000001</v>
      </c>
      <c r="J386" s="32">
        <v>64</v>
      </c>
      <c r="K386" s="32" t="s">
        <v>115</v>
      </c>
      <c r="L386" s="32"/>
      <c r="M386" s="33" t="s">
        <v>83</v>
      </c>
      <c r="N386" s="33"/>
      <c r="O386" s="32">
        <v>30</v>
      </c>
      <c r="P386" s="6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36"/>
      <c r="R386" s="636"/>
      <c r="S386" s="636"/>
      <c r="T386" s="637"/>
      <c r="U386" s="34"/>
      <c r="V386" s="34"/>
      <c r="W386" s="35" t="s">
        <v>66</v>
      </c>
      <c r="X386" s="629">
        <v>113</v>
      </c>
      <c r="Y386" s="630">
        <f>IFERROR(IF(X386="",0,CEILING((X386/$H386),1)*$H386),"")</f>
        <v>117.60000000000001</v>
      </c>
      <c r="Z386" s="36">
        <f>IFERROR(IF(Y386=0,"",ROUNDUP(Y386/H386,0)*0.01898),"")</f>
        <v>0.26572000000000001</v>
      </c>
      <c r="AA386" s="56"/>
      <c r="AB386" s="57"/>
      <c r="AC386" s="469" t="s">
        <v>636</v>
      </c>
      <c r="AG386" s="64"/>
      <c r="AJ386" s="68"/>
      <c r="AK386" s="68">
        <v>0</v>
      </c>
      <c r="BB386" s="470" t="s">
        <v>1</v>
      </c>
      <c r="BM386" s="64">
        <f>IFERROR(X386*I386/H386,"0")</f>
        <v>119.64547619047619</v>
      </c>
      <c r="BN386" s="64">
        <f>IFERROR(Y386*I386/H386,"0")</f>
        <v>124.51600000000001</v>
      </c>
      <c r="BO386" s="64">
        <f>IFERROR(1/J386*(X386/H386),"0")</f>
        <v>0.21019345238095238</v>
      </c>
      <c r="BP386" s="64">
        <f>IFERROR(1/J386*(Y386/H386),"0")</f>
        <v>0.21875</v>
      </c>
    </row>
    <row r="387" spans="1:68" x14ac:dyDescent="0.2">
      <c r="A387" s="642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4"/>
      <c r="P387" s="646" t="s">
        <v>71</v>
      </c>
      <c r="Q387" s="647"/>
      <c r="R387" s="647"/>
      <c r="S387" s="647"/>
      <c r="T387" s="647"/>
      <c r="U387" s="647"/>
      <c r="V387" s="648"/>
      <c r="W387" s="37" t="s">
        <v>72</v>
      </c>
      <c r="X387" s="631">
        <f>IFERROR(X384/H384,"0")+IFERROR(X385/H385,"0")+IFERROR(X386/H386,"0")</f>
        <v>70.924908424908423</v>
      </c>
      <c r="Y387" s="631">
        <f>IFERROR(Y384/H384,"0")+IFERROR(Y385/H385,"0")+IFERROR(Y386/H386,"0")</f>
        <v>72</v>
      </c>
      <c r="Z387" s="631">
        <f>IFERROR(IF(Z384="",0,Z384),"0")+IFERROR(IF(Z385="",0,Z385),"0")+IFERROR(IF(Z386="",0,Z386),"0")</f>
        <v>1.36656</v>
      </c>
      <c r="AA387" s="632"/>
      <c r="AB387" s="632"/>
      <c r="AC387" s="632"/>
    </row>
    <row r="388" spans="1:68" x14ac:dyDescent="0.2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4"/>
      <c r="P388" s="646" t="s">
        <v>71</v>
      </c>
      <c r="Q388" s="647"/>
      <c r="R388" s="647"/>
      <c r="S388" s="647"/>
      <c r="T388" s="647"/>
      <c r="U388" s="647"/>
      <c r="V388" s="648"/>
      <c r="W388" s="37" t="s">
        <v>66</v>
      </c>
      <c r="X388" s="631">
        <f>IFERROR(SUM(X384:X386),"0")</f>
        <v>585</v>
      </c>
      <c r="Y388" s="631">
        <f>IFERROR(SUM(Y384:Y386),"0")</f>
        <v>594</v>
      </c>
      <c r="Z388" s="37"/>
      <c r="AA388" s="632"/>
      <c r="AB388" s="632"/>
      <c r="AC388" s="632"/>
    </row>
    <row r="389" spans="1:68" ht="14.25" hidden="1" customHeight="1" x14ac:dyDescent="0.25">
      <c r="A389" s="652" t="s">
        <v>270</v>
      </c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  <c r="AA389" s="625"/>
      <c r="AB389" s="625"/>
      <c r="AC389" s="625"/>
    </row>
    <row r="390" spans="1:68" ht="27" customHeight="1" x14ac:dyDescent="0.25">
      <c r="A390" s="54" t="s">
        <v>637</v>
      </c>
      <c r="B390" s="54" t="s">
        <v>638</v>
      </c>
      <c r="C390" s="31">
        <v>4301030235</v>
      </c>
      <c r="D390" s="633">
        <v>4607091388381</v>
      </c>
      <c r="E390" s="634"/>
      <c r="F390" s="628">
        <v>0.38</v>
      </c>
      <c r="G390" s="32">
        <v>8</v>
      </c>
      <c r="H390" s="628">
        <v>3.04</v>
      </c>
      <c r="I390" s="628">
        <v>3.31</v>
      </c>
      <c r="J390" s="32">
        <v>132</v>
      </c>
      <c r="K390" s="32" t="s">
        <v>124</v>
      </c>
      <c r="L390" s="32"/>
      <c r="M390" s="33" t="s">
        <v>237</v>
      </c>
      <c r="N390" s="33"/>
      <c r="O390" s="32">
        <v>180</v>
      </c>
      <c r="P390" s="86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36"/>
      <c r="R390" s="636"/>
      <c r="S390" s="636"/>
      <c r="T390" s="637"/>
      <c r="U390" s="34"/>
      <c r="V390" s="34"/>
      <c r="W390" s="35" t="s">
        <v>66</v>
      </c>
      <c r="X390" s="629">
        <v>56</v>
      </c>
      <c r="Y390" s="630">
        <f>IFERROR(IF(X390="",0,CEILING((X390/$H390),1)*$H390),"")</f>
        <v>57.76</v>
      </c>
      <c r="Z390" s="36">
        <f>IFERROR(IF(Y390=0,"",ROUNDUP(Y390/H390,0)*0.00902),"")</f>
        <v>0.17138</v>
      </c>
      <c r="AA390" s="56"/>
      <c r="AB390" s="57"/>
      <c r="AC390" s="471" t="s">
        <v>639</v>
      </c>
      <c r="AG390" s="64"/>
      <c r="AJ390" s="68"/>
      <c r="AK390" s="68">
        <v>0</v>
      </c>
      <c r="BB390" s="472" t="s">
        <v>1</v>
      </c>
      <c r="BM390" s="64">
        <f>IFERROR(X390*I390/H390,"0")</f>
        <v>60.973684210526322</v>
      </c>
      <c r="BN390" s="64">
        <f>IFERROR(Y390*I390/H390,"0")</f>
        <v>62.89</v>
      </c>
      <c r="BO390" s="64">
        <f>IFERROR(1/J390*(X390/H390),"0")</f>
        <v>0.13955342902711326</v>
      </c>
      <c r="BP390" s="64">
        <f>IFERROR(1/J390*(Y390/H390),"0")</f>
        <v>0.14393939393939395</v>
      </c>
    </row>
    <row r="391" spans="1:68" ht="27" customHeight="1" x14ac:dyDescent="0.25">
      <c r="A391" s="54" t="s">
        <v>640</v>
      </c>
      <c r="B391" s="54" t="s">
        <v>641</v>
      </c>
      <c r="C391" s="31">
        <v>4301030232</v>
      </c>
      <c r="D391" s="633">
        <v>4607091388374</v>
      </c>
      <c r="E391" s="634"/>
      <c r="F391" s="628">
        <v>0.38</v>
      </c>
      <c r="G391" s="32">
        <v>8</v>
      </c>
      <c r="H391" s="628">
        <v>3.04</v>
      </c>
      <c r="I391" s="628">
        <v>3.27</v>
      </c>
      <c r="J391" s="32">
        <v>132</v>
      </c>
      <c r="K391" s="32" t="s">
        <v>124</v>
      </c>
      <c r="L391" s="32"/>
      <c r="M391" s="33" t="s">
        <v>237</v>
      </c>
      <c r="N391" s="33"/>
      <c r="O391" s="32">
        <v>180</v>
      </c>
      <c r="P391" s="66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36"/>
      <c r="R391" s="636"/>
      <c r="S391" s="636"/>
      <c r="T391" s="637"/>
      <c r="U391" s="34"/>
      <c r="V391" s="34"/>
      <c r="W391" s="35" t="s">
        <v>66</v>
      </c>
      <c r="X391" s="629">
        <v>28</v>
      </c>
      <c r="Y391" s="630">
        <f>IFERROR(IF(X391="",0,CEILING((X391/$H391),1)*$H391),"")</f>
        <v>30.4</v>
      </c>
      <c r="Z391" s="36">
        <f>IFERROR(IF(Y391=0,"",ROUNDUP(Y391/H391,0)*0.00902),"")</f>
        <v>9.0200000000000002E-2</v>
      </c>
      <c r="AA391" s="56"/>
      <c r="AB391" s="57"/>
      <c r="AC391" s="473" t="s">
        <v>639</v>
      </c>
      <c r="AG391" s="64"/>
      <c r="AJ391" s="68"/>
      <c r="AK391" s="68">
        <v>0</v>
      </c>
      <c r="BB391" s="474" t="s">
        <v>1</v>
      </c>
      <c r="BM391" s="64">
        <f>IFERROR(X391*I391/H391,"0")</f>
        <v>30.118421052631579</v>
      </c>
      <c r="BN391" s="64">
        <f>IFERROR(Y391*I391/H391,"0")</f>
        <v>32.700000000000003</v>
      </c>
      <c r="BO391" s="64">
        <f>IFERROR(1/J391*(X391/H391),"0")</f>
        <v>6.9776714513556631E-2</v>
      </c>
      <c r="BP391" s="64">
        <f>IFERROR(1/J391*(Y391/H391),"0")</f>
        <v>7.575757575757576E-2</v>
      </c>
    </row>
    <row r="392" spans="1:68" ht="27" hidden="1" customHeight="1" x14ac:dyDescent="0.25">
      <c r="A392" s="54" t="s">
        <v>642</v>
      </c>
      <c r="B392" s="54" t="s">
        <v>643</v>
      </c>
      <c r="C392" s="31">
        <v>4301032015</v>
      </c>
      <c r="D392" s="633">
        <v>4607091383102</v>
      </c>
      <c r="E392" s="634"/>
      <c r="F392" s="628">
        <v>0.17</v>
      </c>
      <c r="G392" s="32">
        <v>15</v>
      </c>
      <c r="H392" s="628">
        <v>2.5499999999999998</v>
      </c>
      <c r="I392" s="628">
        <v>2.9550000000000001</v>
      </c>
      <c r="J392" s="32">
        <v>182</v>
      </c>
      <c r="K392" s="32" t="s">
        <v>76</v>
      </c>
      <c r="L392" s="32"/>
      <c r="M392" s="33" t="s">
        <v>237</v>
      </c>
      <c r="N392" s="33"/>
      <c r="O392" s="32">
        <v>180</v>
      </c>
      <c r="P392" s="6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36"/>
      <c r="R392" s="636"/>
      <c r="S392" s="636"/>
      <c r="T392" s="637"/>
      <c r="U392" s="34"/>
      <c r="V392" s="34"/>
      <c r="W392" s="35" t="s">
        <v>66</v>
      </c>
      <c r="X392" s="629">
        <v>0</v>
      </c>
      <c r="Y392" s="630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75" t="s">
        <v>639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4301030233</v>
      </c>
      <c r="D393" s="633">
        <v>4607091388404</v>
      </c>
      <c r="E393" s="634"/>
      <c r="F393" s="628">
        <v>0.17</v>
      </c>
      <c r="G393" s="32">
        <v>15</v>
      </c>
      <c r="H393" s="628">
        <v>2.5499999999999998</v>
      </c>
      <c r="I393" s="628">
        <v>2.88</v>
      </c>
      <c r="J393" s="32">
        <v>182</v>
      </c>
      <c r="K393" s="32" t="s">
        <v>76</v>
      </c>
      <c r="L393" s="32"/>
      <c r="M393" s="33" t="s">
        <v>237</v>
      </c>
      <c r="N393" s="33"/>
      <c r="O393" s="32">
        <v>180</v>
      </c>
      <c r="P393" s="8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36"/>
      <c r="R393" s="636"/>
      <c r="S393" s="636"/>
      <c r="T393" s="637"/>
      <c r="U393" s="34"/>
      <c r="V393" s="34"/>
      <c r="W393" s="35" t="s">
        <v>66</v>
      </c>
      <c r="X393" s="629">
        <v>27</v>
      </c>
      <c r="Y393" s="630">
        <f>IFERROR(IF(X393="",0,CEILING((X393/$H393),1)*$H393),"")</f>
        <v>28.049999999999997</v>
      </c>
      <c r="Z393" s="36">
        <f>IFERROR(IF(Y393=0,"",ROUNDUP(Y393/H393,0)*0.00651),"")</f>
        <v>7.1610000000000007E-2</v>
      </c>
      <c r="AA393" s="56"/>
      <c r="AB393" s="57"/>
      <c r="AC393" s="477" t="s">
        <v>639</v>
      </c>
      <c r="AG393" s="64"/>
      <c r="AJ393" s="68"/>
      <c r="AK393" s="68">
        <v>0</v>
      </c>
      <c r="BB393" s="478" t="s">
        <v>1</v>
      </c>
      <c r="BM393" s="64">
        <f>IFERROR(X393*I393/H393,"0")</f>
        <v>30.494117647058822</v>
      </c>
      <c r="BN393" s="64">
        <f>IFERROR(Y393*I393/H393,"0")</f>
        <v>31.68</v>
      </c>
      <c r="BO393" s="64">
        <f>IFERROR(1/J393*(X393/H393),"0")</f>
        <v>5.8177117000646428E-2</v>
      </c>
      <c r="BP393" s="64">
        <f>IFERROR(1/J393*(Y393/H393),"0")</f>
        <v>6.0439560439560447E-2</v>
      </c>
    </row>
    <row r="394" spans="1:68" x14ac:dyDescent="0.2">
      <c r="A394" s="642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4"/>
      <c r="P394" s="646" t="s">
        <v>71</v>
      </c>
      <c r="Q394" s="647"/>
      <c r="R394" s="647"/>
      <c r="S394" s="647"/>
      <c r="T394" s="647"/>
      <c r="U394" s="647"/>
      <c r="V394" s="648"/>
      <c r="W394" s="37" t="s">
        <v>72</v>
      </c>
      <c r="X394" s="631">
        <f>IFERROR(X390/H390,"0")+IFERROR(X391/H391,"0")+IFERROR(X392/H392,"0")+IFERROR(X393/H393,"0")</f>
        <v>38.219814241486077</v>
      </c>
      <c r="Y394" s="631">
        <f>IFERROR(Y390/H390,"0")+IFERROR(Y391/H391,"0")+IFERROR(Y392/H392,"0")+IFERROR(Y393/H393,"0")</f>
        <v>40</v>
      </c>
      <c r="Z394" s="631">
        <f>IFERROR(IF(Z390="",0,Z390),"0")+IFERROR(IF(Z391="",0,Z391),"0")+IFERROR(IF(Z392="",0,Z392),"0")+IFERROR(IF(Z393="",0,Z393),"0")</f>
        <v>0.33319000000000004</v>
      </c>
      <c r="AA394" s="632"/>
      <c r="AB394" s="632"/>
      <c r="AC394" s="632"/>
    </row>
    <row r="395" spans="1:68" x14ac:dyDescent="0.2">
      <c r="A395" s="643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4"/>
      <c r="P395" s="646" t="s">
        <v>71</v>
      </c>
      <c r="Q395" s="647"/>
      <c r="R395" s="647"/>
      <c r="S395" s="647"/>
      <c r="T395" s="647"/>
      <c r="U395" s="647"/>
      <c r="V395" s="648"/>
      <c r="W395" s="37" t="s">
        <v>66</v>
      </c>
      <c r="X395" s="631">
        <f>IFERROR(SUM(X390:X393),"0")</f>
        <v>111</v>
      </c>
      <c r="Y395" s="631">
        <f>IFERROR(SUM(Y390:Y393),"0")</f>
        <v>116.21</v>
      </c>
      <c r="Z395" s="37"/>
      <c r="AA395" s="632"/>
      <c r="AB395" s="632"/>
      <c r="AC395" s="632"/>
    </row>
    <row r="396" spans="1:68" ht="14.25" hidden="1" customHeight="1" x14ac:dyDescent="0.25">
      <c r="A396" s="652" t="s">
        <v>646</v>
      </c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  <c r="AA396" s="625"/>
      <c r="AB396" s="625"/>
      <c r="AC396" s="625"/>
    </row>
    <row r="397" spans="1:68" ht="16.5" customHeight="1" x14ac:dyDescent="0.25">
      <c r="A397" s="54" t="s">
        <v>647</v>
      </c>
      <c r="B397" s="54" t="s">
        <v>648</v>
      </c>
      <c r="C397" s="31">
        <v>4301180007</v>
      </c>
      <c r="D397" s="633">
        <v>4680115881808</v>
      </c>
      <c r="E397" s="634"/>
      <c r="F397" s="628">
        <v>0.1</v>
      </c>
      <c r="G397" s="32">
        <v>20</v>
      </c>
      <c r="H397" s="628">
        <v>2</v>
      </c>
      <c r="I397" s="628">
        <v>2.2400000000000002</v>
      </c>
      <c r="J397" s="32">
        <v>238</v>
      </c>
      <c r="K397" s="32" t="s">
        <v>76</v>
      </c>
      <c r="L397" s="32"/>
      <c r="M397" s="33" t="s">
        <v>649</v>
      </c>
      <c r="N397" s="33"/>
      <c r="O397" s="32">
        <v>731</v>
      </c>
      <c r="P397" s="8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36"/>
      <c r="R397" s="636"/>
      <c r="S397" s="636"/>
      <c r="T397" s="637"/>
      <c r="U397" s="34"/>
      <c r="V397" s="34"/>
      <c r="W397" s="35" t="s">
        <v>66</v>
      </c>
      <c r="X397" s="629">
        <v>27</v>
      </c>
      <c r="Y397" s="630">
        <f>IFERROR(IF(X397="",0,CEILING((X397/$H397),1)*$H397),"")</f>
        <v>28</v>
      </c>
      <c r="Z397" s="36">
        <f>IFERROR(IF(Y397=0,"",ROUNDUP(Y397/H397,0)*0.00474),"")</f>
        <v>6.6360000000000002E-2</v>
      </c>
      <c r="AA397" s="56"/>
      <c r="AB397" s="57"/>
      <c r="AC397" s="479" t="s">
        <v>650</v>
      </c>
      <c r="AG397" s="64"/>
      <c r="AJ397" s="68"/>
      <c r="AK397" s="68">
        <v>0</v>
      </c>
      <c r="BB397" s="480" t="s">
        <v>1</v>
      </c>
      <c r="BM397" s="64">
        <f>IFERROR(X397*I397/H397,"0")</f>
        <v>30.240000000000002</v>
      </c>
      <c r="BN397" s="64">
        <f>IFERROR(Y397*I397/H397,"0")</f>
        <v>31.360000000000003</v>
      </c>
      <c r="BO397" s="64">
        <f>IFERROR(1/J397*(X397/H397),"0")</f>
        <v>5.6722689075630252E-2</v>
      </c>
      <c r="BP397" s="64">
        <f>IFERROR(1/J397*(Y397/H397),"0")</f>
        <v>5.8823529411764705E-2</v>
      </c>
    </row>
    <row r="398" spans="1:68" ht="27" customHeight="1" x14ac:dyDescent="0.25">
      <c r="A398" s="54" t="s">
        <v>651</v>
      </c>
      <c r="B398" s="54" t="s">
        <v>652</v>
      </c>
      <c r="C398" s="31">
        <v>4301180006</v>
      </c>
      <c r="D398" s="633">
        <v>4680115881822</v>
      </c>
      <c r="E398" s="634"/>
      <c r="F398" s="628">
        <v>0.1</v>
      </c>
      <c r="G398" s="32">
        <v>20</v>
      </c>
      <c r="H398" s="628">
        <v>2</v>
      </c>
      <c r="I398" s="628">
        <v>2.2400000000000002</v>
      </c>
      <c r="J398" s="32">
        <v>238</v>
      </c>
      <c r="K398" s="32" t="s">
        <v>76</v>
      </c>
      <c r="L398" s="32"/>
      <c r="M398" s="33" t="s">
        <v>649</v>
      </c>
      <c r="N398" s="33"/>
      <c r="O398" s="32">
        <v>731</v>
      </c>
      <c r="P398" s="90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36"/>
      <c r="R398" s="636"/>
      <c r="S398" s="636"/>
      <c r="T398" s="637"/>
      <c r="U398" s="34"/>
      <c r="V398" s="34"/>
      <c r="W398" s="35" t="s">
        <v>66</v>
      </c>
      <c r="X398" s="629">
        <v>47</v>
      </c>
      <c r="Y398" s="630">
        <f>IFERROR(IF(X398="",0,CEILING((X398/$H398),1)*$H398),"")</f>
        <v>48</v>
      </c>
      <c r="Z398" s="36">
        <f>IFERROR(IF(Y398=0,"",ROUNDUP(Y398/H398,0)*0.00474),"")</f>
        <v>0.11376</v>
      </c>
      <c r="AA398" s="56"/>
      <c r="AB398" s="57"/>
      <c r="AC398" s="481" t="s">
        <v>650</v>
      </c>
      <c r="AG398" s="64"/>
      <c r="AJ398" s="68"/>
      <c r="AK398" s="68">
        <v>0</v>
      </c>
      <c r="BB398" s="482" t="s">
        <v>1</v>
      </c>
      <c r="BM398" s="64">
        <f>IFERROR(X398*I398/H398,"0")</f>
        <v>52.640000000000008</v>
      </c>
      <c r="BN398" s="64">
        <f>IFERROR(Y398*I398/H398,"0")</f>
        <v>53.760000000000005</v>
      </c>
      <c r="BO398" s="64">
        <f>IFERROR(1/J398*(X398/H398),"0")</f>
        <v>9.8739495798319324E-2</v>
      </c>
      <c r="BP398" s="64">
        <f>IFERROR(1/J398*(Y398/H398),"0")</f>
        <v>0.10084033613445378</v>
      </c>
    </row>
    <row r="399" spans="1:68" ht="27" customHeight="1" x14ac:dyDescent="0.25">
      <c r="A399" s="54" t="s">
        <v>653</v>
      </c>
      <c r="B399" s="54" t="s">
        <v>654</v>
      </c>
      <c r="C399" s="31">
        <v>4301180001</v>
      </c>
      <c r="D399" s="633">
        <v>4680115880016</v>
      </c>
      <c r="E399" s="634"/>
      <c r="F399" s="628">
        <v>0.1</v>
      </c>
      <c r="G399" s="32">
        <v>20</v>
      </c>
      <c r="H399" s="628">
        <v>2</v>
      </c>
      <c r="I399" s="628">
        <v>2.2400000000000002</v>
      </c>
      <c r="J399" s="32">
        <v>238</v>
      </c>
      <c r="K399" s="32" t="s">
        <v>76</v>
      </c>
      <c r="L399" s="32"/>
      <c r="M399" s="33" t="s">
        <v>649</v>
      </c>
      <c r="N399" s="33"/>
      <c r="O399" s="32">
        <v>731</v>
      </c>
      <c r="P399" s="91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36"/>
      <c r="R399" s="636"/>
      <c r="S399" s="636"/>
      <c r="T399" s="637"/>
      <c r="U399" s="34"/>
      <c r="V399" s="34"/>
      <c r="W399" s="35" t="s">
        <v>66</v>
      </c>
      <c r="X399" s="629">
        <v>37</v>
      </c>
      <c r="Y399" s="630">
        <f>IFERROR(IF(X399="",0,CEILING((X399/$H399),1)*$H399),"")</f>
        <v>38</v>
      </c>
      <c r="Z399" s="36">
        <f>IFERROR(IF(Y399=0,"",ROUNDUP(Y399/H399,0)*0.00474),"")</f>
        <v>9.0060000000000001E-2</v>
      </c>
      <c r="AA399" s="56"/>
      <c r="AB399" s="57"/>
      <c r="AC399" s="483" t="s">
        <v>650</v>
      </c>
      <c r="AG399" s="64"/>
      <c r="AJ399" s="68"/>
      <c r="AK399" s="68">
        <v>0</v>
      </c>
      <c r="BB399" s="484" t="s">
        <v>1</v>
      </c>
      <c r="BM399" s="64">
        <f>IFERROR(X399*I399/H399,"0")</f>
        <v>41.440000000000005</v>
      </c>
      <c r="BN399" s="64">
        <f>IFERROR(Y399*I399/H399,"0")</f>
        <v>42.56</v>
      </c>
      <c r="BO399" s="64">
        <f>IFERROR(1/J399*(X399/H399),"0")</f>
        <v>7.7731092436974791E-2</v>
      </c>
      <c r="BP399" s="64">
        <f>IFERROR(1/J399*(Y399/H399),"0")</f>
        <v>7.9831932773109238E-2</v>
      </c>
    </row>
    <row r="400" spans="1:68" x14ac:dyDescent="0.2">
      <c r="A400" s="642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4"/>
      <c r="P400" s="646" t="s">
        <v>71</v>
      </c>
      <c r="Q400" s="647"/>
      <c r="R400" s="647"/>
      <c r="S400" s="647"/>
      <c r="T400" s="647"/>
      <c r="U400" s="647"/>
      <c r="V400" s="648"/>
      <c r="W400" s="37" t="s">
        <v>72</v>
      </c>
      <c r="X400" s="631">
        <f>IFERROR(X397/H397,"0")+IFERROR(X398/H398,"0")+IFERROR(X399/H399,"0")</f>
        <v>55.5</v>
      </c>
      <c r="Y400" s="631">
        <f>IFERROR(Y397/H397,"0")+IFERROR(Y398/H398,"0")+IFERROR(Y399/H399,"0")</f>
        <v>57</v>
      </c>
      <c r="Z400" s="631">
        <f>IFERROR(IF(Z397="",0,Z397),"0")+IFERROR(IF(Z398="",0,Z398),"0")+IFERROR(IF(Z399="",0,Z399),"0")</f>
        <v>0.27017999999999998</v>
      </c>
      <c r="AA400" s="632"/>
      <c r="AB400" s="632"/>
      <c r="AC400" s="632"/>
    </row>
    <row r="401" spans="1:68" x14ac:dyDescent="0.2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4"/>
      <c r="P401" s="646" t="s">
        <v>71</v>
      </c>
      <c r="Q401" s="647"/>
      <c r="R401" s="647"/>
      <c r="S401" s="647"/>
      <c r="T401" s="647"/>
      <c r="U401" s="647"/>
      <c r="V401" s="648"/>
      <c r="W401" s="37" t="s">
        <v>66</v>
      </c>
      <c r="X401" s="631">
        <f>IFERROR(SUM(X397:X399),"0")</f>
        <v>111</v>
      </c>
      <c r="Y401" s="631">
        <f>IFERROR(SUM(Y397:Y399),"0")</f>
        <v>114</v>
      </c>
      <c r="Z401" s="37"/>
      <c r="AA401" s="632"/>
      <c r="AB401" s="632"/>
      <c r="AC401" s="632"/>
    </row>
    <row r="402" spans="1:68" ht="14.25" hidden="1" customHeight="1" x14ac:dyDescent="0.25">
      <c r="A402" s="652" t="s">
        <v>655</v>
      </c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3"/>
      <c r="P402" s="643"/>
      <c r="Q402" s="643"/>
      <c r="R402" s="643"/>
      <c r="S402" s="643"/>
      <c r="T402" s="643"/>
      <c r="U402" s="643"/>
      <c r="V402" s="643"/>
      <c r="W402" s="643"/>
      <c r="X402" s="643"/>
      <c r="Y402" s="643"/>
      <c r="Z402" s="643"/>
      <c r="AA402" s="625"/>
      <c r="AB402" s="625"/>
      <c r="AC402" s="625"/>
    </row>
    <row r="403" spans="1:68" ht="27" customHeight="1" x14ac:dyDescent="0.25">
      <c r="A403" s="54" t="s">
        <v>656</v>
      </c>
      <c r="B403" s="54" t="s">
        <v>657</v>
      </c>
      <c r="C403" s="31">
        <v>4301220003</v>
      </c>
      <c r="D403" s="633">
        <v>4680115888678</v>
      </c>
      <c r="E403" s="634"/>
      <c r="F403" s="628">
        <v>0.25</v>
      </c>
      <c r="G403" s="32">
        <v>12</v>
      </c>
      <c r="H403" s="628">
        <v>3</v>
      </c>
      <c r="I403" s="628">
        <v>3.22</v>
      </c>
      <c r="J403" s="32">
        <v>224</v>
      </c>
      <c r="K403" s="32" t="s">
        <v>76</v>
      </c>
      <c r="L403" s="32"/>
      <c r="M403" s="33" t="s">
        <v>649</v>
      </c>
      <c r="N403" s="33"/>
      <c r="O403" s="32">
        <v>1096</v>
      </c>
      <c r="P403" s="77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36"/>
      <c r="R403" s="636"/>
      <c r="S403" s="636"/>
      <c r="T403" s="637"/>
      <c r="U403" s="34"/>
      <c r="V403" s="34"/>
      <c r="W403" s="35" t="s">
        <v>66</v>
      </c>
      <c r="X403" s="629">
        <v>18</v>
      </c>
      <c r="Y403" s="630">
        <f>IFERROR(IF(X403="",0,CEILING((X403/$H403),1)*$H403),"")</f>
        <v>18</v>
      </c>
      <c r="Z403" s="36">
        <f>IFERROR(IF(Y403=0,"",ROUNDUP(Y403/H403,0)*0.0045),"")</f>
        <v>2.6999999999999996E-2</v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19.32</v>
      </c>
      <c r="BN403" s="64">
        <f>IFERROR(Y403*I403/H403,"0")</f>
        <v>19.32</v>
      </c>
      <c r="BO403" s="64">
        <f>IFERROR(1/J403*(X403/H403),"0")</f>
        <v>2.6785714285714284E-2</v>
      </c>
      <c r="BP403" s="64">
        <f>IFERROR(1/J403*(Y403/H403),"0")</f>
        <v>2.6785714285714284E-2</v>
      </c>
    </row>
    <row r="404" spans="1:68" ht="27" customHeight="1" x14ac:dyDescent="0.25">
      <c r="A404" s="54" t="s">
        <v>659</v>
      </c>
      <c r="B404" s="54" t="s">
        <v>660</v>
      </c>
      <c r="C404" s="31">
        <v>4301220001</v>
      </c>
      <c r="D404" s="633">
        <v>4680115888654</v>
      </c>
      <c r="E404" s="634"/>
      <c r="F404" s="628">
        <v>0.32500000000000001</v>
      </c>
      <c r="G404" s="32">
        <v>12</v>
      </c>
      <c r="H404" s="628">
        <v>3.9</v>
      </c>
      <c r="I404" s="628">
        <v>4.17</v>
      </c>
      <c r="J404" s="32">
        <v>144</v>
      </c>
      <c r="K404" s="32" t="s">
        <v>124</v>
      </c>
      <c r="L404" s="32"/>
      <c r="M404" s="33" t="s">
        <v>649</v>
      </c>
      <c r="N404" s="33"/>
      <c r="O404" s="32">
        <v>1096</v>
      </c>
      <c r="P404" s="70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36"/>
      <c r="R404" s="636"/>
      <c r="S404" s="636"/>
      <c r="T404" s="637"/>
      <c r="U404" s="34"/>
      <c r="V404" s="34"/>
      <c r="W404" s="35" t="s">
        <v>66</v>
      </c>
      <c r="X404" s="629">
        <v>23</v>
      </c>
      <c r="Y404" s="630">
        <f>IFERROR(IF(X404="",0,CEILING((X404/$H404),1)*$H404),"")</f>
        <v>23.4</v>
      </c>
      <c r="Z404" s="36">
        <f>IFERROR(IF(Y404=0,"",ROUNDUP(Y404/H404,0)*0.006),"")</f>
        <v>3.6000000000000004E-2</v>
      </c>
      <c r="AA404" s="56"/>
      <c r="AB404" s="57"/>
      <c r="AC404" s="487" t="s">
        <v>661</v>
      </c>
      <c r="AG404" s="64"/>
      <c r="AJ404" s="68"/>
      <c r="AK404" s="68">
        <v>0</v>
      </c>
      <c r="BB404" s="488" t="s">
        <v>1</v>
      </c>
      <c r="BM404" s="64">
        <f>IFERROR(X404*I404/H404,"0")</f>
        <v>24.592307692307692</v>
      </c>
      <c r="BN404" s="64">
        <f>IFERROR(Y404*I404/H404,"0")</f>
        <v>25.019999999999996</v>
      </c>
      <c r="BO404" s="64">
        <f>IFERROR(1/J404*(X404/H404),"0")</f>
        <v>4.0954415954415957E-2</v>
      </c>
      <c r="BP404" s="64">
        <f>IFERROR(1/J404*(Y404/H404),"0")</f>
        <v>4.1666666666666664E-2</v>
      </c>
    </row>
    <row r="405" spans="1:68" ht="27" customHeight="1" x14ac:dyDescent="0.25">
      <c r="A405" s="54" t="s">
        <v>662</v>
      </c>
      <c r="B405" s="54" t="s">
        <v>663</v>
      </c>
      <c r="C405" s="31">
        <v>4301220002</v>
      </c>
      <c r="D405" s="633">
        <v>4680115888753</v>
      </c>
      <c r="E405" s="634"/>
      <c r="F405" s="628">
        <v>0.25</v>
      </c>
      <c r="G405" s="32">
        <v>12</v>
      </c>
      <c r="H405" s="628">
        <v>3</v>
      </c>
      <c r="I405" s="628">
        <v>3.22</v>
      </c>
      <c r="J405" s="32">
        <v>224</v>
      </c>
      <c r="K405" s="32" t="s">
        <v>76</v>
      </c>
      <c r="L405" s="32"/>
      <c r="M405" s="33" t="s">
        <v>649</v>
      </c>
      <c r="N405" s="33"/>
      <c r="O405" s="32">
        <v>1096</v>
      </c>
      <c r="P405" s="7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36"/>
      <c r="R405" s="636"/>
      <c r="S405" s="636"/>
      <c r="T405" s="637"/>
      <c r="U405" s="34"/>
      <c r="V405" s="34"/>
      <c r="W405" s="35" t="s">
        <v>66</v>
      </c>
      <c r="X405" s="629">
        <v>79</v>
      </c>
      <c r="Y405" s="630">
        <f>IFERROR(IF(X405="",0,CEILING((X405/$H405),1)*$H405),"")</f>
        <v>81</v>
      </c>
      <c r="Z405" s="36">
        <f>IFERROR(IF(Y405=0,"",ROUNDUP(Y405/H405,0)*0.0045),"")</f>
        <v>0.1215</v>
      </c>
      <c r="AA405" s="56"/>
      <c r="AB405" s="57"/>
      <c r="AC405" s="489" t="s">
        <v>658</v>
      </c>
      <c r="AG405" s="64"/>
      <c r="AJ405" s="68"/>
      <c r="AK405" s="68">
        <v>0</v>
      </c>
      <c r="BB405" s="490" t="s">
        <v>1</v>
      </c>
      <c r="BM405" s="64">
        <f>IFERROR(X405*I405/H405,"0")</f>
        <v>84.793333333333337</v>
      </c>
      <c r="BN405" s="64">
        <f>IFERROR(Y405*I405/H405,"0")</f>
        <v>86.94</v>
      </c>
      <c r="BO405" s="64">
        <f>IFERROR(1/J405*(X405/H405),"0")</f>
        <v>0.11755952380952379</v>
      </c>
      <c r="BP405" s="64">
        <f>IFERROR(1/J405*(Y405/H405),"0")</f>
        <v>0.12053571428571427</v>
      </c>
    </row>
    <row r="406" spans="1:68" x14ac:dyDescent="0.2">
      <c r="A406" s="642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4"/>
      <c r="P406" s="646" t="s">
        <v>71</v>
      </c>
      <c r="Q406" s="647"/>
      <c r="R406" s="647"/>
      <c r="S406" s="647"/>
      <c r="T406" s="647"/>
      <c r="U406" s="647"/>
      <c r="V406" s="648"/>
      <c r="W406" s="37" t="s">
        <v>72</v>
      </c>
      <c r="X406" s="631">
        <f>IFERROR(X403/H403,"0")+IFERROR(X404/H404,"0")+IFERROR(X405/H405,"0")</f>
        <v>38.230769230769226</v>
      </c>
      <c r="Y406" s="631">
        <f>IFERROR(Y403/H403,"0")+IFERROR(Y404/H404,"0")+IFERROR(Y405/H405,"0")</f>
        <v>39</v>
      </c>
      <c r="Z406" s="631">
        <f>IFERROR(IF(Z403="",0,Z403),"0")+IFERROR(IF(Z404="",0,Z404),"0")+IFERROR(IF(Z405="",0,Z405),"0")</f>
        <v>0.1845</v>
      </c>
      <c r="AA406" s="632"/>
      <c r="AB406" s="632"/>
      <c r="AC406" s="632"/>
    </row>
    <row r="407" spans="1:68" x14ac:dyDescent="0.2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4"/>
      <c r="P407" s="646" t="s">
        <v>71</v>
      </c>
      <c r="Q407" s="647"/>
      <c r="R407" s="647"/>
      <c r="S407" s="647"/>
      <c r="T407" s="647"/>
      <c r="U407" s="647"/>
      <c r="V407" s="648"/>
      <c r="W407" s="37" t="s">
        <v>66</v>
      </c>
      <c r="X407" s="631">
        <f>IFERROR(SUM(X403:X405),"0")</f>
        <v>120</v>
      </c>
      <c r="Y407" s="631">
        <f>IFERROR(SUM(Y403:Y405),"0")</f>
        <v>122.4</v>
      </c>
      <c r="Z407" s="37"/>
      <c r="AA407" s="632"/>
      <c r="AB407" s="632"/>
      <c r="AC407" s="632"/>
    </row>
    <row r="408" spans="1:68" ht="16.5" hidden="1" customHeight="1" x14ac:dyDescent="0.25">
      <c r="A408" s="650" t="s">
        <v>664</v>
      </c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  <c r="AA408" s="624"/>
      <c r="AB408" s="624"/>
      <c r="AC408" s="624"/>
    </row>
    <row r="409" spans="1:68" ht="14.25" hidden="1" customHeight="1" x14ac:dyDescent="0.25">
      <c r="A409" s="652" t="s">
        <v>73</v>
      </c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3"/>
      <c r="P409" s="643"/>
      <c r="Q409" s="643"/>
      <c r="R409" s="643"/>
      <c r="S409" s="643"/>
      <c r="T409" s="643"/>
      <c r="U409" s="643"/>
      <c r="V409" s="643"/>
      <c r="W409" s="643"/>
      <c r="X409" s="643"/>
      <c r="Y409" s="643"/>
      <c r="Z409" s="643"/>
      <c r="AA409" s="625"/>
      <c r="AB409" s="625"/>
      <c r="AC409" s="625"/>
    </row>
    <row r="410" spans="1:68" ht="16.5" hidden="1" customHeight="1" x14ac:dyDescent="0.25">
      <c r="A410" s="54" t="s">
        <v>665</v>
      </c>
      <c r="B410" s="54" t="s">
        <v>666</v>
      </c>
      <c r="C410" s="31">
        <v>4301052235</v>
      </c>
      <c r="D410" s="633">
        <v>4680115889415</v>
      </c>
      <c r="E410" s="634"/>
      <c r="F410" s="628">
        <v>1.3</v>
      </c>
      <c r="G410" s="32">
        <v>6</v>
      </c>
      <c r="H410" s="628">
        <v>7.8</v>
      </c>
      <c r="I410" s="628">
        <v>8.2100000000000009</v>
      </c>
      <c r="J410" s="32">
        <v>64</v>
      </c>
      <c r="K410" s="32" t="s">
        <v>115</v>
      </c>
      <c r="L410" s="32"/>
      <c r="M410" s="33" t="s">
        <v>77</v>
      </c>
      <c r="N410" s="33"/>
      <c r="O410" s="32">
        <v>40</v>
      </c>
      <c r="P410" s="98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36"/>
      <c r="R410" s="636"/>
      <c r="S410" s="636"/>
      <c r="T410" s="637"/>
      <c r="U410" s="34"/>
      <c r="V410" s="34"/>
      <c r="W410" s="35" t="s">
        <v>66</v>
      </c>
      <c r="X410" s="629">
        <v>0</v>
      </c>
      <c r="Y410" s="630">
        <f>IFERROR(IF(X410="",0,CEILING((X410/$H410),1)*$H410),"")</f>
        <v>0</v>
      </c>
      <c r="Z410" s="36" t="str">
        <f>IFERROR(IF(Y410=0,"",ROUNDUP(Y410/H410,0)*0.01898),"")</f>
        <v/>
      </c>
      <c r="AA410" s="56"/>
      <c r="AB410" s="57"/>
      <c r="AC410" s="491" t="s">
        <v>667</v>
      </c>
      <c r="AG410" s="64"/>
      <c r="AJ410" s="68"/>
      <c r="AK410" s="68">
        <v>0</v>
      </c>
      <c r="BB410" s="49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16.5" hidden="1" customHeight="1" x14ac:dyDescent="0.25">
      <c r="A411" s="54" t="s">
        <v>668</v>
      </c>
      <c r="B411" s="54" t="s">
        <v>669</v>
      </c>
      <c r="C411" s="31">
        <v>4301052236</v>
      </c>
      <c r="D411" s="633">
        <v>4680115889422</v>
      </c>
      <c r="E411" s="634"/>
      <c r="F411" s="628">
        <v>1.3</v>
      </c>
      <c r="G411" s="32">
        <v>6</v>
      </c>
      <c r="H411" s="628">
        <v>7.8</v>
      </c>
      <c r="I411" s="628">
        <v>8.2100000000000009</v>
      </c>
      <c r="J411" s="32">
        <v>64</v>
      </c>
      <c r="K411" s="32" t="s">
        <v>115</v>
      </c>
      <c r="L411" s="32"/>
      <c r="M411" s="33" t="s">
        <v>77</v>
      </c>
      <c r="N411" s="33"/>
      <c r="O411" s="32">
        <v>40</v>
      </c>
      <c r="P411" s="78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36"/>
      <c r="R411" s="636"/>
      <c r="S411" s="636"/>
      <c r="T411" s="637"/>
      <c r="U411" s="34"/>
      <c r="V411" s="34"/>
      <c r="W411" s="35" t="s">
        <v>66</v>
      </c>
      <c r="X411" s="629">
        <v>0</v>
      </c>
      <c r="Y411" s="630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93" t="s">
        <v>670</v>
      </c>
      <c r="AG411" s="64"/>
      <c r="AJ411" s="68"/>
      <c r="AK411" s="68">
        <v>0</v>
      </c>
      <c r="BB411" s="49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42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4"/>
      <c r="P412" s="646" t="s">
        <v>71</v>
      </c>
      <c r="Q412" s="647"/>
      <c r="R412" s="647"/>
      <c r="S412" s="647"/>
      <c r="T412" s="647"/>
      <c r="U412" s="647"/>
      <c r="V412" s="648"/>
      <c r="W412" s="37" t="s">
        <v>72</v>
      </c>
      <c r="X412" s="631">
        <f>IFERROR(X410/H410,"0")+IFERROR(X411/H411,"0")</f>
        <v>0</v>
      </c>
      <c r="Y412" s="631">
        <f>IFERROR(Y410/H410,"0")+IFERROR(Y411/H411,"0")</f>
        <v>0</v>
      </c>
      <c r="Z412" s="631">
        <f>IFERROR(IF(Z410="",0,Z410),"0")+IFERROR(IF(Z411="",0,Z411),"0")</f>
        <v>0</v>
      </c>
      <c r="AA412" s="632"/>
      <c r="AB412" s="632"/>
      <c r="AC412" s="632"/>
    </row>
    <row r="413" spans="1:68" hidden="1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6" t="s">
        <v>71</v>
      </c>
      <c r="Q413" s="647"/>
      <c r="R413" s="647"/>
      <c r="S413" s="647"/>
      <c r="T413" s="647"/>
      <c r="U413" s="647"/>
      <c r="V413" s="648"/>
      <c r="W413" s="37" t="s">
        <v>66</v>
      </c>
      <c r="X413" s="631">
        <f>IFERROR(SUM(X410:X411),"0")</f>
        <v>0</v>
      </c>
      <c r="Y413" s="631">
        <f>IFERROR(SUM(Y410:Y411),"0")</f>
        <v>0</v>
      </c>
      <c r="Z413" s="37"/>
      <c r="AA413" s="632"/>
      <c r="AB413" s="632"/>
      <c r="AC413" s="632"/>
    </row>
    <row r="414" spans="1:68" ht="16.5" hidden="1" customHeight="1" x14ac:dyDescent="0.25">
      <c r="A414" s="650" t="s">
        <v>671</v>
      </c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  <c r="AA414" s="624"/>
      <c r="AB414" s="624"/>
      <c r="AC414" s="624"/>
    </row>
    <row r="415" spans="1:68" ht="14.25" hidden="1" customHeight="1" x14ac:dyDescent="0.25">
      <c r="A415" s="652" t="s">
        <v>73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625"/>
      <c r="AB415" s="625"/>
      <c r="AC415" s="625"/>
    </row>
    <row r="416" spans="1:68" ht="27" hidden="1" customHeight="1" x14ac:dyDescent="0.25">
      <c r="A416" s="54" t="s">
        <v>672</v>
      </c>
      <c r="B416" s="54" t="s">
        <v>673</v>
      </c>
      <c r="C416" s="31">
        <v>4301051489</v>
      </c>
      <c r="D416" s="633">
        <v>4607091387919</v>
      </c>
      <c r="E416" s="634"/>
      <c r="F416" s="628">
        <v>1.35</v>
      </c>
      <c r="G416" s="32">
        <v>6</v>
      </c>
      <c r="H416" s="628">
        <v>8.1</v>
      </c>
      <c r="I416" s="628">
        <v>8.5939999999999994</v>
      </c>
      <c r="J416" s="32">
        <v>64</v>
      </c>
      <c r="K416" s="32" t="s">
        <v>115</v>
      </c>
      <c r="L416" s="32"/>
      <c r="M416" s="33" t="s">
        <v>83</v>
      </c>
      <c r="N416" s="33"/>
      <c r="O416" s="32">
        <v>45</v>
      </c>
      <c r="P416" s="7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36"/>
      <c r="R416" s="636"/>
      <c r="S416" s="636"/>
      <c r="T416" s="637"/>
      <c r="U416" s="34"/>
      <c r="V416" s="34"/>
      <c r="W416" s="35" t="s">
        <v>66</v>
      </c>
      <c r="X416" s="629">
        <v>0</v>
      </c>
      <c r="Y416" s="630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95" t="s">
        <v>674</v>
      </c>
      <c r="AG416" s="64"/>
      <c r="AJ416" s="68"/>
      <c r="AK416" s="68">
        <v>0</v>
      </c>
      <c r="BB416" s="496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675</v>
      </c>
      <c r="B417" s="54" t="s">
        <v>676</v>
      </c>
      <c r="C417" s="31">
        <v>4301051461</v>
      </c>
      <c r="D417" s="633">
        <v>4680115883604</v>
      </c>
      <c r="E417" s="634"/>
      <c r="F417" s="628">
        <v>0.35</v>
      </c>
      <c r="G417" s="32">
        <v>6</v>
      </c>
      <c r="H417" s="628">
        <v>2.1</v>
      </c>
      <c r="I417" s="628">
        <v>2.3519999999999999</v>
      </c>
      <c r="J417" s="32">
        <v>182</v>
      </c>
      <c r="K417" s="32" t="s">
        <v>76</v>
      </c>
      <c r="L417" s="32"/>
      <c r="M417" s="33" t="s">
        <v>77</v>
      </c>
      <c r="N417" s="33"/>
      <c r="O417" s="32">
        <v>45</v>
      </c>
      <c r="P417" s="9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36"/>
      <c r="R417" s="636"/>
      <c r="S417" s="636"/>
      <c r="T417" s="637"/>
      <c r="U417" s="34"/>
      <c r="V417" s="34"/>
      <c r="W417" s="35" t="s">
        <v>66</v>
      </c>
      <c r="X417" s="629">
        <v>18</v>
      </c>
      <c r="Y417" s="630">
        <f>IFERROR(IF(X417="",0,CEILING((X417/$H417),1)*$H417),"")</f>
        <v>18.900000000000002</v>
      </c>
      <c r="Z417" s="36">
        <f>IFERROR(IF(Y417=0,"",ROUNDUP(Y417/H417,0)*0.00651),"")</f>
        <v>5.8590000000000003E-2</v>
      </c>
      <c r="AA417" s="56"/>
      <c r="AB417" s="57"/>
      <c r="AC417" s="497" t="s">
        <v>677</v>
      </c>
      <c r="AG417" s="64"/>
      <c r="AJ417" s="68"/>
      <c r="AK417" s="68">
        <v>0</v>
      </c>
      <c r="BB417" s="498" t="s">
        <v>1</v>
      </c>
      <c r="BM417" s="64">
        <f>IFERROR(X417*I417/H417,"0")</f>
        <v>20.16</v>
      </c>
      <c r="BN417" s="64">
        <f>IFERROR(Y417*I417/H417,"0")</f>
        <v>21.167999999999999</v>
      </c>
      <c r="BO417" s="64">
        <f>IFERROR(1/J417*(X417/H417),"0")</f>
        <v>4.709576138147567E-2</v>
      </c>
      <c r="BP417" s="64">
        <f>IFERROR(1/J417*(Y417/H417),"0")</f>
        <v>4.9450549450549455E-2</v>
      </c>
    </row>
    <row r="418" spans="1:68" ht="27" customHeight="1" x14ac:dyDescent="0.25">
      <c r="A418" s="54" t="s">
        <v>678</v>
      </c>
      <c r="B418" s="54" t="s">
        <v>679</v>
      </c>
      <c r="C418" s="31">
        <v>4301051864</v>
      </c>
      <c r="D418" s="633">
        <v>4680115883567</v>
      </c>
      <c r="E418" s="634"/>
      <c r="F418" s="628">
        <v>0.35</v>
      </c>
      <c r="G418" s="32">
        <v>6</v>
      </c>
      <c r="H418" s="628">
        <v>2.1</v>
      </c>
      <c r="I418" s="628">
        <v>2.34</v>
      </c>
      <c r="J418" s="32">
        <v>182</v>
      </c>
      <c r="K418" s="32" t="s">
        <v>76</v>
      </c>
      <c r="L418" s="32"/>
      <c r="M418" s="33" t="s">
        <v>83</v>
      </c>
      <c r="N418" s="33"/>
      <c r="O418" s="32">
        <v>40</v>
      </c>
      <c r="P418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36"/>
      <c r="R418" s="636"/>
      <c r="S418" s="636"/>
      <c r="T418" s="637"/>
      <c r="U418" s="34"/>
      <c r="V418" s="34"/>
      <c r="W418" s="35" t="s">
        <v>66</v>
      </c>
      <c r="X418" s="629">
        <v>4</v>
      </c>
      <c r="Y418" s="630">
        <f>IFERROR(IF(X418="",0,CEILING((X418/$H418),1)*$H418),"")</f>
        <v>4.2</v>
      </c>
      <c r="Z418" s="36">
        <f>IFERROR(IF(Y418=0,"",ROUNDUP(Y418/H418,0)*0.00651),"")</f>
        <v>1.302E-2</v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4.4571428571428564</v>
      </c>
      <c r="BN418" s="64">
        <f>IFERROR(Y418*I418/H418,"0")</f>
        <v>4.68</v>
      </c>
      <c r="BO418" s="64">
        <f>IFERROR(1/J418*(X418/H418),"0")</f>
        <v>1.0465724751439037E-2</v>
      </c>
      <c r="BP418" s="64">
        <f>IFERROR(1/J418*(Y418/H418),"0")</f>
        <v>1.098901098901099E-2</v>
      </c>
    </row>
    <row r="419" spans="1:68" x14ac:dyDescent="0.2">
      <c r="A419" s="642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4"/>
      <c r="P419" s="646" t="s">
        <v>71</v>
      </c>
      <c r="Q419" s="647"/>
      <c r="R419" s="647"/>
      <c r="S419" s="647"/>
      <c r="T419" s="647"/>
      <c r="U419" s="647"/>
      <c r="V419" s="648"/>
      <c r="W419" s="37" t="s">
        <v>72</v>
      </c>
      <c r="X419" s="631">
        <f>IFERROR(X416/H416,"0")+IFERROR(X417/H417,"0")+IFERROR(X418/H418,"0")</f>
        <v>10.476190476190476</v>
      </c>
      <c r="Y419" s="631">
        <f>IFERROR(Y416/H416,"0")+IFERROR(Y417/H417,"0")+IFERROR(Y418/H418,"0")</f>
        <v>11</v>
      </c>
      <c r="Z419" s="631">
        <f>IFERROR(IF(Z416="",0,Z416),"0")+IFERROR(IF(Z417="",0,Z417),"0")+IFERROR(IF(Z418="",0,Z418),"0")</f>
        <v>7.1610000000000007E-2</v>
      </c>
      <c r="AA419" s="632"/>
      <c r="AB419" s="632"/>
      <c r="AC419" s="632"/>
    </row>
    <row r="420" spans="1:68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6" t="s">
        <v>71</v>
      </c>
      <c r="Q420" s="647"/>
      <c r="R420" s="647"/>
      <c r="S420" s="647"/>
      <c r="T420" s="647"/>
      <c r="U420" s="647"/>
      <c r="V420" s="648"/>
      <c r="W420" s="37" t="s">
        <v>66</v>
      </c>
      <c r="X420" s="631">
        <f>IFERROR(SUM(X416:X418),"0")</f>
        <v>22</v>
      </c>
      <c r="Y420" s="631">
        <f>IFERROR(SUM(Y416:Y418),"0")</f>
        <v>23.1</v>
      </c>
      <c r="Z420" s="37"/>
      <c r="AA420" s="632"/>
      <c r="AB420" s="632"/>
      <c r="AC420" s="632"/>
    </row>
    <row r="421" spans="1:68" ht="27.75" hidden="1" customHeight="1" x14ac:dyDescent="0.2">
      <c r="A421" s="653" t="s">
        <v>681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48"/>
      <c r="AB421" s="48"/>
      <c r="AC421" s="48"/>
    </row>
    <row r="422" spans="1:68" ht="16.5" hidden="1" customHeight="1" x14ac:dyDescent="0.25">
      <c r="A422" s="650" t="s">
        <v>682</v>
      </c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  <c r="AA422" s="624"/>
      <c r="AB422" s="624"/>
      <c r="AC422" s="624"/>
    </row>
    <row r="423" spans="1:68" ht="14.25" hidden="1" customHeight="1" x14ac:dyDescent="0.25">
      <c r="A423" s="652" t="s">
        <v>112</v>
      </c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  <c r="AA423" s="625"/>
      <c r="AB423" s="625"/>
      <c r="AC423" s="625"/>
    </row>
    <row r="424" spans="1:68" ht="27" hidden="1" customHeight="1" x14ac:dyDescent="0.25">
      <c r="A424" s="54" t="s">
        <v>683</v>
      </c>
      <c r="B424" s="54" t="s">
        <v>684</v>
      </c>
      <c r="C424" s="31">
        <v>4301012332</v>
      </c>
      <c r="D424" s="633">
        <v>4680115888401</v>
      </c>
      <c r="E424" s="634"/>
      <c r="F424" s="628">
        <v>2.5</v>
      </c>
      <c r="G424" s="32">
        <v>6</v>
      </c>
      <c r="H424" s="628">
        <v>15</v>
      </c>
      <c r="I424" s="628">
        <v>15.47</v>
      </c>
      <c r="J424" s="32">
        <v>48</v>
      </c>
      <c r="K424" s="32" t="s">
        <v>115</v>
      </c>
      <c r="L424" s="32"/>
      <c r="M424" s="33" t="s">
        <v>83</v>
      </c>
      <c r="N424" s="33"/>
      <c r="O424" s="32">
        <v>60</v>
      </c>
      <c r="P424" s="8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36"/>
      <c r="R424" s="636"/>
      <c r="S424" s="636"/>
      <c r="T424" s="637"/>
      <c r="U424" s="34"/>
      <c r="V424" s="34"/>
      <c r="W424" s="35" t="s">
        <v>66</v>
      </c>
      <c r="X424" s="629">
        <v>0</v>
      </c>
      <c r="Y424" s="630">
        <f t="shared" ref="Y424:Y431" si="59"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1" t="s">
        <v>685</v>
      </c>
      <c r="AG424" s="64"/>
      <c r="AJ424" s="68"/>
      <c r="AK424" s="68">
        <v>0</v>
      </c>
      <c r="BB424" s="502" t="s">
        <v>1</v>
      </c>
      <c r="BM424" s="64">
        <f t="shared" ref="BM424:BM431" si="60">IFERROR(X424*I424/H424,"0")</f>
        <v>0</v>
      </c>
      <c r="BN424" s="64">
        <f t="shared" ref="BN424:BN431" si="61">IFERROR(Y424*I424/H424,"0")</f>
        <v>0</v>
      </c>
      <c r="BO424" s="64">
        <f t="shared" ref="BO424:BO431" si="62">IFERROR(1/J424*(X424/H424),"0")</f>
        <v>0</v>
      </c>
      <c r="BP424" s="64">
        <f t="shared" ref="BP424:BP431" si="63">IFERROR(1/J424*(Y424/H424),"0")</f>
        <v>0</v>
      </c>
    </row>
    <row r="425" spans="1:68" ht="37.5" customHeight="1" x14ac:dyDescent="0.25">
      <c r="A425" s="54" t="s">
        <v>686</v>
      </c>
      <c r="B425" s="54" t="s">
        <v>687</v>
      </c>
      <c r="C425" s="31">
        <v>4301011869</v>
      </c>
      <c r="D425" s="633">
        <v>4680115884847</v>
      </c>
      <c r="E425" s="634"/>
      <c r="F425" s="628">
        <v>2.5</v>
      </c>
      <c r="G425" s="32">
        <v>6</v>
      </c>
      <c r="H425" s="628">
        <v>15</v>
      </c>
      <c r="I425" s="628">
        <v>15.47</v>
      </c>
      <c r="J425" s="32">
        <v>48</v>
      </c>
      <c r="K425" s="32" t="s">
        <v>115</v>
      </c>
      <c r="L425" s="32"/>
      <c r="M425" s="33" t="s">
        <v>65</v>
      </c>
      <c r="N425" s="33"/>
      <c r="O425" s="32">
        <v>60</v>
      </c>
      <c r="P425" s="82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36"/>
      <c r="R425" s="636"/>
      <c r="S425" s="636"/>
      <c r="T425" s="637"/>
      <c r="U425" s="34"/>
      <c r="V425" s="34"/>
      <c r="W425" s="35" t="s">
        <v>66</v>
      </c>
      <c r="X425" s="629">
        <v>966</v>
      </c>
      <c r="Y425" s="630">
        <f t="shared" si="59"/>
        <v>975</v>
      </c>
      <c r="Z425" s="36">
        <f>IFERROR(IF(Y425=0,"",ROUNDUP(Y425/H425,0)*0.02175),"")</f>
        <v>1.4137499999999998</v>
      </c>
      <c r="AA425" s="56"/>
      <c r="AB425" s="57"/>
      <c r="AC425" s="503" t="s">
        <v>688</v>
      </c>
      <c r="AG425" s="64"/>
      <c r="AJ425" s="68"/>
      <c r="AK425" s="68">
        <v>0</v>
      </c>
      <c r="BB425" s="504" t="s">
        <v>1</v>
      </c>
      <c r="BM425" s="64">
        <f t="shared" si="60"/>
        <v>996.26800000000003</v>
      </c>
      <c r="BN425" s="64">
        <f t="shared" si="61"/>
        <v>1005.55</v>
      </c>
      <c r="BO425" s="64">
        <f t="shared" si="62"/>
        <v>1.3416666666666668</v>
      </c>
      <c r="BP425" s="64">
        <f t="shared" si="63"/>
        <v>1.3541666666666665</v>
      </c>
    </row>
    <row r="426" spans="1:68" ht="27" hidden="1" customHeight="1" x14ac:dyDescent="0.25">
      <c r="A426" s="54" t="s">
        <v>689</v>
      </c>
      <c r="B426" s="54" t="s">
        <v>690</v>
      </c>
      <c r="C426" s="31">
        <v>4301012083</v>
      </c>
      <c r="D426" s="633">
        <v>4680115884854</v>
      </c>
      <c r="E426" s="634"/>
      <c r="F426" s="628">
        <v>2.5</v>
      </c>
      <c r="G426" s="32">
        <v>6</v>
      </c>
      <c r="H426" s="628">
        <v>15</v>
      </c>
      <c r="I426" s="628">
        <v>15.47</v>
      </c>
      <c r="J426" s="32">
        <v>48</v>
      </c>
      <c r="K426" s="32" t="s">
        <v>115</v>
      </c>
      <c r="L426" s="32"/>
      <c r="M426" s="33" t="s">
        <v>116</v>
      </c>
      <c r="N426" s="33"/>
      <c r="O426" s="32">
        <v>60</v>
      </c>
      <c r="P426" s="7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36"/>
      <c r="R426" s="636"/>
      <c r="S426" s="636"/>
      <c r="T426" s="637"/>
      <c r="U426" s="34"/>
      <c r="V426" s="34"/>
      <c r="W426" s="35" t="s">
        <v>66</v>
      </c>
      <c r="X426" s="629">
        <v>0</v>
      </c>
      <c r="Y426" s="630">
        <f t="shared" si="59"/>
        <v>0</v>
      </c>
      <c r="Z426" s="36" t="str">
        <f>IFERROR(IF(Y426=0,"",ROUNDUP(Y426/H426,0)*0.02175),"")</f>
        <v/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si="60"/>
        <v>0</v>
      </c>
      <c r="BN426" s="64">
        <f t="shared" si="61"/>
        <v>0</v>
      </c>
      <c r="BO426" s="64">
        <f t="shared" si="62"/>
        <v>0</v>
      </c>
      <c r="BP426" s="64">
        <f t="shared" si="63"/>
        <v>0</v>
      </c>
    </row>
    <row r="427" spans="1:68" ht="27" customHeight="1" x14ac:dyDescent="0.25">
      <c r="A427" s="54" t="s">
        <v>692</v>
      </c>
      <c r="B427" s="54" t="s">
        <v>693</v>
      </c>
      <c r="C427" s="31">
        <v>4301011867</v>
      </c>
      <c r="D427" s="633">
        <v>4680115884830</v>
      </c>
      <c r="E427" s="634"/>
      <c r="F427" s="628">
        <v>2.5</v>
      </c>
      <c r="G427" s="32">
        <v>6</v>
      </c>
      <c r="H427" s="628">
        <v>15</v>
      </c>
      <c r="I427" s="628">
        <v>15.47</v>
      </c>
      <c r="J427" s="32">
        <v>48</v>
      </c>
      <c r="K427" s="32" t="s">
        <v>115</v>
      </c>
      <c r="L427" s="32"/>
      <c r="M427" s="33" t="s">
        <v>65</v>
      </c>
      <c r="N427" s="33"/>
      <c r="O427" s="32">
        <v>60</v>
      </c>
      <c r="P427" s="8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36"/>
      <c r="R427" s="636"/>
      <c r="S427" s="636"/>
      <c r="T427" s="637"/>
      <c r="U427" s="34"/>
      <c r="V427" s="34"/>
      <c r="W427" s="35" t="s">
        <v>66</v>
      </c>
      <c r="X427" s="629">
        <v>1331</v>
      </c>
      <c r="Y427" s="630">
        <f t="shared" si="59"/>
        <v>1335</v>
      </c>
      <c r="Z427" s="36">
        <f>IFERROR(IF(Y427=0,"",ROUNDUP(Y427/H427,0)*0.02175),"")</f>
        <v>1.9357499999999999</v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60"/>
        <v>1372.7046666666668</v>
      </c>
      <c r="BN427" s="64">
        <f t="shared" si="61"/>
        <v>1376.8300000000002</v>
      </c>
      <c r="BO427" s="64">
        <f t="shared" si="62"/>
        <v>1.848611111111111</v>
      </c>
      <c r="BP427" s="64">
        <f t="shared" si="63"/>
        <v>1.8541666666666665</v>
      </c>
    </row>
    <row r="428" spans="1:68" ht="27" customHeight="1" x14ac:dyDescent="0.25">
      <c r="A428" s="54" t="s">
        <v>695</v>
      </c>
      <c r="B428" s="54" t="s">
        <v>696</v>
      </c>
      <c r="C428" s="31">
        <v>4301012356</v>
      </c>
      <c r="D428" s="633">
        <v>4680115889231</v>
      </c>
      <c r="E428" s="634"/>
      <c r="F428" s="628">
        <v>2.5</v>
      </c>
      <c r="G428" s="32">
        <v>6</v>
      </c>
      <c r="H428" s="628">
        <v>15</v>
      </c>
      <c r="I428" s="628">
        <v>15.47</v>
      </c>
      <c r="J428" s="32">
        <v>48</v>
      </c>
      <c r="K428" s="32" t="s">
        <v>115</v>
      </c>
      <c r="L428" s="32"/>
      <c r="M428" s="33" t="s">
        <v>83</v>
      </c>
      <c r="N428" s="33"/>
      <c r="O428" s="32">
        <v>60</v>
      </c>
      <c r="P428" s="74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36"/>
      <c r="R428" s="636"/>
      <c r="S428" s="636"/>
      <c r="T428" s="637"/>
      <c r="U428" s="34"/>
      <c r="V428" s="34"/>
      <c r="W428" s="35" t="s">
        <v>66</v>
      </c>
      <c r="X428" s="629">
        <v>597</v>
      </c>
      <c r="Y428" s="630">
        <f t="shared" si="59"/>
        <v>600</v>
      </c>
      <c r="Z428" s="36">
        <f>IFERROR(IF(Y428=0,"",ROUNDUP(Y428/H428,0)*0.02175),"")</f>
        <v>0.86999999999999988</v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60"/>
        <v>615.70600000000002</v>
      </c>
      <c r="BN428" s="64">
        <f t="shared" si="61"/>
        <v>618.79999999999995</v>
      </c>
      <c r="BO428" s="64">
        <f t="shared" si="62"/>
        <v>0.82916666666666661</v>
      </c>
      <c r="BP428" s="64">
        <f t="shared" si="63"/>
        <v>0.83333333333333326</v>
      </c>
    </row>
    <row r="429" spans="1:68" ht="27" hidden="1" customHeight="1" x14ac:dyDescent="0.25">
      <c r="A429" s="54" t="s">
        <v>698</v>
      </c>
      <c r="B429" s="54" t="s">
        <v>699</v>
      </c>
      <c r="C429" s="31">
        <v>4301011433</v>
      </c>
      <c r="D429" s="633">
        <v>4680115882638</v>
      </c>
      <c r="E429" s="634"/>
      <c r="F429" s="628">
        <v>0.4</v>
      </c>
      <c r="G429" s="32">
        <v>10</v>
      </c>
      <c r="H429" s="628">
        <v>4</v>
      </c>
      <c r="I429" s="628">
        <v>4.1900000000000004</v>
      </c>
      <c r="J429" s="32">
        <v>132</v>
      </c>
      <c r="K429" s="32" t="s">
        <v>124</v>
      </c>
      <c r="L429" s="32"/>
      <c r="M429" s="33" t="s">
        <v>116</v>
      </c>
      <c r="N429" s="33"/>
      <c r="O429" s="32">
        <v>90</v>
      </c>
      <c r="P429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36"/>
      <c r="R429" s="636"/>
      <c r="S429" s="636"/>
      <c r="T429" s="637"/>
      <c r="U429" s="34"/>
      <c r="V429" s="34"/>
      <c r="W429" s="35" t="s">
        <v>66</v>
      </c>
      <c r="X429" s="629">
        <v>0</v>
      </c>
      <c r="Y429" s="630">
        <f t="shared" si="59"/>
        <v>0</v>
      </c>
      <c r="Z429" s="36" t="str">
        <f>IFERROR(IF(Y429=0,"",ROUNDUP(Y429/H429,0)*0.00902),"")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60"/>
        <v>0</v>
      </c>
      <c r="BN429" s="64">
        <f t="shared" si="61"/>
        <v>0</v>
      </c>
      <c r="BO429" s="64">
        <f t="shared" si="62"/>
        <v>0</v>
      </c>
      <c r="BP429" s="64">
        <f t="shared" si="63"/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4301011952</v>
      </c>
      <c r="D430" s="633">
        <v>4680115884922</v>
      </c>
      <c r="E430" s="634"/>
      <c r="F430" s="628">
        <v>0.5</v>
      </c>
      <c r="G430" s="32">
        <v>10</v>
      </c>
      <c r="H430" s="628">
        <v>5</v>
      </c>
      <c r="I430" s="628">
        <v>5.19</v>
      </c>
      <c r="J430" s="32">
        <v>132</v>
      </c>
      <c r="K430" s="32" t="s">
        <v>124</v>
      </c>
      <c r="L430" s="32"/>
      <c r="M430" s="33" t="s">
        <v>65</v>
      </c>
      <c r="N430" s="33"/>
      <c r="O430" s="32">
        <v>60</v>
      </c>
      <c r="P430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36"/>
      <c r="R430" s="636"/>
      <c r="S430" s="636"/>
      <c r="T430" s="637"/>
      <c r="U430" s="34"/>
      <c r="V430" s="34"/>
      <c r="W430" s="35" t="s">
        <v>66</v>
      </c>
      <c r="X430" s="629">
        <v>0</v>
      </c>
      <c r="Y430" s="630">
        <f t="shared" si="59"/>
        <v>0</v>
      </c>
      <c r="Z430" s="36" t="str">
        <f>IFERROR(IF(Y430=0,"",ROUNDUP(Y430/H430,0)*0.00902),"")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60"/>
        <v>0</v>
      </c>
      <c r="BN430" s="64">
        <f t="shared" si="61"/>
        <v>0</v>
      </c>
      <c r="BO430" s="64">
        <f t="shared" si="62"/>
        <v>0</v>
      </c>
      <c r="BP430" s="64">
        <f t="shared" si="63"/>
        <v>0</v>
      </c>
    </row>
    <row r="431" spans="1:68" ht="37.5" hidden="1" customHeight="1" x14ac:dyDescent="0.25">
      <c r="A431" s="54" t="s">
        <v>704</v>
      </c>
      <c r="B431" s="54" t="s">
        <v>705</v>
      </c>
      <c r="C431" s="31">
        <v>4301011868</v>
      </c>
      <c r="D431" s="633">
        <v>4680115884861</v>
      </c>
      <c r="E431" s="634"/>
      <c r="F431" s="628">
        <v>0.5</v>
      </c>
      <c r="G431" s="32">
        <v>10</v>
      </c>
      <c r="H431" s="628">
        <v>5</v>
      </c>
      <c r="I431" s="628">
        <v>5.19</v>
      </c>
      <c r="J431" s="32">
        <v>132</v>
      </c>
      <c r="K431" s="32" t="s">
        <v>124</v>
      </c>
      <c r="L431" s="32"/>
      <c r="M431" s="33" t="s">
        <v>65</v>
      </c>
      <c r="N431" s="33"/>
      <c r="O431" s="32">
        <v>60</v>
      </c>
      <c r="P431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36"/>
      <c r="R431" s="636"/>
      <c r="S431" s="636"/>
      <c r="T431" s="637"/>
      <c r="U431" s="34"/>
      <c r="V431" s="34"/>
      <c r="W431" s="35" t="s">
        <v>66</v>
      </c>
      <c r="X431" s="629">
        <v>0</v>
      </c>
      <c r="Y431" s="630">
        <f t="shared" si="59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60"/>
        <v>0</v>
      </c>
      <c r="BN431" s="64">
        <f t="shared" si="61"/>
        <v>0</v>
      </c>
      <c r="BO431" s="64">
        <f t="shared" si="62"/>
        <v>0</v>
      </c>
      <c r="BP431" s="64">
        <f t="shared" si="63"/>
        <v>0</v>
      </c>
    </row>
    <row r="432" spans="1:68" x14ac:dyDescent="0.2">
      <c r="A432" s="642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4"/>
      <c r="P432" s="646" t="s">
        <v>71</v>
      </c>
      <c r="Q432" s="647"/>
      <c r="R432" s="647"/>
      <c r="S432" s="647"/>
      <c r="T432" s="647"/>
      <c r="U432" s="647"/>
      <c r="V432" s="648"/>
      <c r="W432" s="37" t="s">
        <v>72</v>
      </c>
      <c r="X432" s="631">
        <f>IFERROR(X424/H424,"0")+IFERROR(X425/H425,"0")+IFERROR(X426/H426,"0")+IFERROR(X427/H427,"0")+IFERROR(X428/H428,"0")+IFERROR(X429/H429,"0")+IFERROR(X430/H430,"0")+IFERROR(X431/H431,"0")</f>
        <v>192.93333333333334</v>
      </c>
      <c r="Y432" s="631">
        <f>IFERROR(Y424/H424,"0")+IFERROR(Y425/H425,"0")+IFERROR(Y426/H426,"0")+IFERROR(Y427/H427,"0")+IFERROR(Y428/H428,"0")+IFERROR(Y429/H429,"0")+IFERROR(Y430/H430,"0")+IFERROR(Y431/H431,"0")</f>
        <v>194</v>
      </c>
      <c r="Z432" s="63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4.2195</v>
      </c>
      <c r="AA432" s="632"/>
      <c r="AB432" s="632"/>
      <c r="AC432" s="632"/>
    </row>
    <row r="433" spans="1:68" x14ac:dyDescent="0.2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4"/>
      <c r="P433" s="646" t="s">
        <v>71</v>
      </c>
      <c r="Q433" s="647"/>
      <c r="R433" s="647"/>
      <c r="S433" s="647"/>
      <c r="T433" s="647"/>
      <c r="U433" s="647"/>
      <c r="V433" s="648"/>
      <c r="W433" s="37" t="s">
        <v>66</v>
      </c>
      <c r="X433" s="631">
        <f>IFERROR(SUM(X424:X431),"0")</f>
        <v>2894</v>
      </c>
      <c r="Y433" s="631">
        <f>IFERROR(SUM(Y424:Y431),"0")</f>
        <v>2910</v>
      </c>
      <c r="Z433" s="37"/>
      <c r="AA433" s="632"/>
      <c r="AB433" s="632"/>
      <c r="AC433" s="632"/>
    </row>
    <row r="434" spans="1:68" ht="14.25" hidden="1" customHeight="1" x14ac:dyDescent="0.25">
      <c r="A434" s="652" t="s">
        <v>145</v>
      </c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  <c r="AA434" s="625"/>
      <c r="AB434" s="625"/>
      <c r="AC434" s="625"/>
    </row>
    <row r="435" spans="1:68" ht="27" customHeight="1" x14ac:dyDescent="0.25">
      <c r="A435" s="54" t="s">
        <v>707</v>
      </c>
      <c r="B435" s="54" t="s">
        <v>708</v>
      </c>
      <c r="C435" s="31">
        <v>4301020178</v>
      </c>
      <c r="D435" s="633">
        <v>4607091383980</v>
      </c>
      <c r="E435" s="634"/>
      <c r="F435" s="628">
        <v>2.5</v>
      </c>
      <c r="G435" s="32">
        <v>6</v>
      </c>
      <c r="H435" s="628">
        <v>15</v>
      </c>
      <c r="I435" s="628">
        <v>15.47</v>
      </c>
      <c r="J435" s="32">
        <v>48</v>
      </c>
      <c r="K435" s="32" t="s">
        <v>115</v>
      </c>
      <c r="L435" s="32"/>
      <c r="M435" s="33" t="s">
        <v>116</v>
      </c>
      <c r="N435" s="33"/>
      <c r="O435" s="32">
        <v>50</v>
      </c>
      <c r="P435" s="97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36"/>
      <c r="R435" s="636"/>
      <c r="S435" s="636"/>
      <c r="T435" s="637"/>
      <c r="U435" s="34"/>
      <c r="V435" s="34"/>
      <c r="W435" s="35" t="s">
        <v>66</v>
      </c>
      <c r="X435" s="629">
        <v>947</v>
      </c>
      <c r="Y435" s="630">
        <f>IFERROR(IF(X435="",0,CEILING((X435/$H435),1)*$H435),"")</f>
        <v>960</v>
      </c>
      <c r="Z435" s="36">
        <f>IFERROR(IF(Y435=0,"",ROUNDUP(Y435/H435,0)*0.02175),"")</f>
        <v>1.3919999999999999</v>
      </c>
      <c r="AA435" s="56"/>
      <c r="AB435" s="57"/>
      <c r="AC435" s="517" t="s">
        <v>709</v>
      </c>
      <c r="AG435" s="64"/>
      <c r="AJ435" s="68"/>
      <c r="AK435" s="68">
        <v>0</v>
      </c>
      <c r="BB435" s="518" t="s">
        <v>1</v>
      </c>
      <c r="BM435" s="64">
        <f>IFERROR(X435*I435/H435,"0")</f>
        <v>976.67266666666671</v>
      </c>
      <c r="BN435" s="64">
        <f>IFERROR(Y435*I435/H435,"0")</f>
        <v>990.08</v>
      </c>
      <c r="BO435" s="64">
        <f>IFERROR(1/J435*(X435/H435),"0")</f>
        <v>1.3152777777777778</v>
      </c>
      <c r="BP435" s="64">
        <f>IFERROR(1/J435*(Y435/H435),"0")</f>
        <v>1.3333333333333333</v>
      </c>
    </row>
    <row r="436" spans="1:68" ht="27" customHeight="1" x14ac:dyDescent="0.25">
      <c r="A436" s="54" t="s">
        <v>710</v>
      </c>
      <c r="B436" s="54" t="s">
        <v>711</v>
      </c>
      <c r="C436" s="31">
        <v>4301020355</v>
      </c>
      <c r="D436" s="633">
        <v>4680115888425</v>
      </c>
      <c r="E436" s="634"/>
      <c r="F436" s="628">
        <v>2.5</v>
      </c>
      <c r="G436" s="32">
        <v>6</v>
      </c>
      <c r="H436" s="628">
        <v>15</v>
      </c>
      <c r="I436" s="628">
        <v>15.47</v>
      </c>
      <c r="J436" s="32">
        <v>48</v>
      </c>
      <c r="K436" s="32" t="s">
        <v>115</v>
      </c>
      <c r="L436" s="32"/>
      <c r="M436" s="33" t="s">
        <v>116</v>
      </c>
      <c r="N436" s="33"/>
      <c r="O436" s="32">
        <v>50</v>
      </c>
      <c r="P436" s="9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36"/>
      <c r="R436" s="636"/>
      <c r="S436" s="636"/>
      <c r="T436" s="637"/>
      <c r="U436" s="34"/>
      <c r="V436" s="34"/>
      <c r="W436" s="35" t="s">
        <v>66</v>
      </c>
      <c r="X436" s="629">
        <v>14</v>
      </c>
      <c r="Y436" s="630">
        <f>IFERROR(IF(X436="",0,CEILING((X436/$H436),1)*$H436),"")</f>
        <v>15</v>
      </c>
      <c r="Z436" s="36">
        <f>IFERROR(IF(Y436=0,"",ROUNDUP(Y436/H436,0)*0.02175),"")</f>
        <v>2.1749999999999999E-2</v>
      </c>
      <c r="AA436" s="56"/>
      <c r="AB436" s="57"/>
      <c r="AC436" s="519" t="s">
        <v>712</v>
      </c>
      <c r="AG436" s="64"/>
      <c r="AJ436" s="68"/>
      <c r="AK436" s="68">
        <v>0</v>
      </c>
      <c r="BB436" s="520" t="s">
        <v>1</v>
      </c>
      <c r="BM436" s="64">
        <f>IFERROR(X436*I436/H436,"0")</f>
        <v>14.438666666666668</v>
      </c>
      <c r="BN436" s="64">
        <f>IFERROR(Y436*I436/H436,"0")</f>
        <v>15.47</v>
      </c>
      <c r="BO436" s="64">
        <f>IFERROR(1/J436*(X436/H436),"0")</f>
        <v>1.9444444444444445E-2</v>
      </c>
      <c r="BP436" s="64">
        <f>IFERROR(1/J436*(Y436/H436),"0")</f>
        <v>2.0833333333333332E-2</v>
      </c>
    </row>
    <row r="437" spans="1:68" ht="27" hidden="1" customHeight="1" x14ac:dyDescent="0.25">
      <c r="A437" s="54" t="s">
        <v>713</v>
      </c>
      <c r="B437" s="54" t="s">
        <v>714</v>
      </c>
      <c r="C437" s="31">
        <v>4301020179</v>
      </c>
      <c r="D437" s="633">
        <v>4607091384178</v>
      </c>
      <c r="E437" s="634"/>
      <c r="F437" s="628">
        <v>0.4</v>
      </c>
      <c r="G437" s="32">
        <v>10</v>
      </c>
      <c r="H437" s="628">
        <v>4</v>
      </c>
      <c r="I437" s="628">
        <v>4.1900000000000004</v>
      </c>
      <c r="J437" s="32">
        <v>132</v>
      </c>
      <c r="K437" s="32" t="s">
        <v>124</v>
      </c>
      <c r="L437" s="32"/>
      <c r="M437" s="33" t="s">
        <v>116</v>
      </c>
      <c r="N437" s="33"/>
      <c r="O437" s="32">
        <v>50</v>
      </c>
      <c r="P437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36"/>
      <c r="R437" s="636"/>
      <c r="S437" s="636"/>
      <c r="T437" s="637"/>
      <c r="U437" s="34"/>
      <c r="V437" s="34"/>
      <c r="W437" s="35" t="s">
        <v>66</v>
      </c>
      <c r="X437" s="629">
        <v>0</v>
      </c>
      <c r="Y437" s="630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42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4"/>
      <c r="P438" s="646" t="s">
        <v>71</v>
      </c>
      <c r="Q438" s="647"/>
      <c r="R438" s="647"/>
      <c r="S438" s="647"/>
      <c r="T438" s="647"/>
      <c r="U438" s="647"/>
      <c r="V438" s="648"/>
      <c r="W438" s="37" t="s">
        <v>72</v>
      </c>
      <c r="X438" s="631">
        <f>IFERROR(X435/H435,"0")+IFERROR(X436/H436,"0")+IFERROR(X437/H437,"0")</f>
        <v>64.066666666666663</v>
      </c>
      <c r="Y438" s="631">
        <f>IFERROR(Y435/H435,"0")+IFERROR(Y436/H436,"0")+IFERROR(Y437/H437,"0")</f>
        <v>65</v>
      </c>
      <c r="Z438" s="631">
        <f>IFERROR(IF(Z435="",0,Z435),"0")+IFERROR(IF(Z436="",0,Z436),"0")+IFERROR(IF(Z437="",0,Z437),"0")</f>
        <v>1.4137499999999998</v>
      </c>
      <c r="AA438" s="632"/>
      <c r="AB438" s="632"/>
      <c r="AC438" s="632"/>
    </row>
    <row r="439" spans="1:68" x14ac:dyDescent="0.2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4"/>
      <c r="P439" s="646" t="s">
        <v>71</v>
      </c>
      <c r="Q439" s="647"/>
      <c r="R439" s="647"/>
      <c r="S439" s="647"/>
      <c r="T439" s="647"/>
      <c r="U439" s="647"/>
      <c r="V439" s="648"/>
      <c r="W439" s="37" t="s">
        <v>66</v>
      </c>
      <c r="X439" s="631">
        <f>IFERROR(SUM(X435:X437),"0")</f>
        <v>961</v>
      </c>
      <c r="Y439" s="631">
        <f>IFERROR(SUM(Y435:Y437),"0")</f>
        <v>975</v>
      </c>
      <c r="Z439" s="37"/>
      <c r="AA439" s="632"/>
      <c r="AB439" s="632"/>
      <c r="AC439" s="632"/>
    </row>
    <row r="440" spans="1:68" ht="14.25" hidden="1" customHeight="1" x14ac:dyDescent="0.25">
      <c r="A440" s="652" t="s">
        <v>73</v>
      </c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  <c r="AA440" s="625"/>
      <c r="AB440" s="625"/>
      <c r="AC440" s="625"/>
    </row>
    <row r="441" spans="1:68" ht="27" hidden="1" customHeight="1" x14ac:dyDescent="0.25">
      <c r="A441" s="54" t="s">
        <v>716</v>
      </c>
      <c r="B441" s="54" t="s">
        <v>717</v>
      </c>
      <c r="C441" s="31">
        <v>4301051903</v>
      </c>
      <c r="D441" s="633">
        <v>4607091383928</v>
      </c>
      <c r="E441" s="634"/>
      <c r="F441" s="628">
        <v>1.5</v>
      </c>
      <c r="G441" s="32">
        <v>6</v>
      </c>
      <c r="H441" s="628">
        <v>9</v>
      </c>
      <c r="I441" s="628">
        <v>9.5</v>
      </c>
      <c r="J441" s="32">
        <v>64</v>
      </c>
      <c r="K441" s="32" t="s">
        <v>115</v>
      </c>
      <c r="L441" s="32"/>
      <c r="M441" s="33" t="s">
        <v>77</v>
      </c>
      <c r="N441" s="33"/>
      <c r="O441" s="32">
        <v>40</v>
      </c>
      <c r="P441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66</v>
      </c>
      <c r="X441" s="629">
        <v>0</v>
      </c>
      <c r="Y441" s="630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23" t="s">
        <v>718</v>
      </c>
      <c r="AG441" s="64"/>
      <c r="AJ441" s="68"/>
      <c r="AK441" s="68">
        <v>0</v>
      </c>
      <c r="BB441" s="524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customHeight="1" x14ac:dyDescent="0.25">
      <c r="A442" s="54" t="s">
        <v>719</v>
      </c>
      <c r="B442" s="54" t="s">
        <v>720</v>
      </c>
      <c r="C442" s="31">
        <v>4301051897</v>
      </c>
      <c r="D442" s="633">
        <v>4607091384260</v>
      </c>
      <c r="E442" s="634"/>
      <c r="F442" s="628">
        <v>1.5</v>
      </c>
      <c r="G442" s="32">
        <v>6</v>
      </c>
      <c r="H442" s="628">
        <v>9</v>
      </c>
      <c r="I442" s="628">
        <v>9.4939999999999998</v>
      </c>
      <c r="J442" s="32">
        <v>64</v>
      </c>
      <c r="K442" s="32" t="s">
        <v>115</v>
      </c>
      <c r="L442" s="32"/>
      <c r="M442" s="33" t="s">
        <v>77</v>
      </c>
      <c r="N442" s="33"/>
      <c r="O442" s="32">
        <v>40</v>
      </c>
      <c r="P442" s="7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36"/>
      <c r="R442" s="636"/>
      <c r="S442" s="636"/>
      <c r="T442" s="637"/>
      <c r="U442" s="34"/>
      <c r="V442" s="34"/>
      <c r="W442" s="35" t="s">
        <v>66</v>
      </c>
      <c r="X442" s="629">
        <v>20</v>
      </c>
      <c r="Y442" s="630">
        <f>IFERROR(IF(X442="",0,CEILING((X442/$H442),1)*$H442),"")</f>
        <v>27</v>
      </c>
      <c r="Z442" s="36">
        <f>IFERROR(IF(Y442=0,"",ROUNDUP(Y442/H442,0)*0.01898),"")</f>
        <v>5.6940000000000004E-2</v>
      </c>
      <c r="AA442" s="56"/>
      <c r="AB442" s="57"/>
      <c r="AC442" s="525" t="s">
        <v>721</v>
      </c>
      <c r="AG442" s="64"/>
      <c r="AJ442" s="68"/>
      <c r="AK442" s="68">
        <v>0</v>
      </c>
      <c r="BB442" s="526" t="s">
        <v>1</v>
      </c>
      <c r="BM442" s="64">
        <f>IFERROR(X442*I442/H442,"0")</f>
        <v>21.097777777777779</v>
      </c>
      <c r="BN442" s="64">
        <f>IFERROR(Y442*I442/H442,"0")</f>
        <v>28.481999999999996</v>
      </c>
      <c r="BO442" s="64">
        <f>IFERROR(1/J442*(X442/H442),"0")</f>
        <v>3.4722222222222224E-2</v>
      </c>
      <c r="BP442" s="64">
        <f>IFERROR(1/J442*(Y442/H442),"0")</f>
        <v>4.6875E-2</v>
      </c>
    </row>
    <row r="443" spans="1:68" ht="27" hidden="1" customHeight="1" x14ac:dyDescent="0.25">
      <c r="A443" s="54" t="s">
        <v>722</v>
      </c>
      <c r="B443" s="54" t="s">
        <v>723</v>
      </c>
      <c r="C443" s="31">
        <v>4301052220</v>
      </c>
      <c r="D443" s="633">
        <v>4680115889538</v>
      </c>
      <c r="E443" s="634"/>
      <c r="F443" s="628">
        <v>0.8</v>
      </c>
      <c r="G443" s="32">
        <v>6</v>
      </c>
      <c r="H443" s="628">
        <v>4.8</v>
      </c>
      <c r="I443" s="628">
        <v>5.2160000000000002</v>
      </c>
      <c r="J443" s="32">
        <v>104</v>
      </c>
      <c r="K443" s="32" t="s">
        <v>115</v>
      </c>
      <c r="L443" s="32"/>
      <c r="M443" s="33" t="s">
        <v>77</v>
      </c>
      <c r="N443" s="33"/>
      <c r="O443" s="32">
        <v>45</v>
      </c>
      <c r="P443" s="69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36"/>
      <c r="R443" s="636"/>
      <c r="S443" s="636"/>
      <c r="T443" s="637"/>
      <c r="U443" s="34"/>
      <c r="V443" s="34"/>
      <c r="W443" s="35" t="s">
        <v>66</v>
      </c>
      <c r="X443" s="629">
        <v>0</v>
      </c>
      <c r="Y443" s="63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642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4"/>
      <c r="P444" s="646" t="s">
        <v>71</v>
      </c>
      <c r="Q444" s="647"/>
      <c r="R444" s="647"/>
      <c r="S444" s="647"/>
      <c r="T444" s="647"/>
      <c r="U444" s="647"/>
      <c r="V444" s="648"/>
      <c r="W444" s="37" t="s">
        <v>72</v>
      </c>
      <c r="X444" s="631">
        <f>IFERROR(X441/H441,"0")+IFERROR(X442/H442,"0")+IFERROR(X443/H443,"0")</f>
        <v>2.2222222222222223</v>
      </c>
      <c r="Y444" s="631">
        <f>IFERROR(Y441/H441,"0")+IFERROR(Y442/H442,"0")+IFERROR(Y443/H443,"0")</f>
        <v>3</v>
      </c>
      <c r="Z444" s="631">
        <f>IFERROR(IF(Z441="",0,Z441),"0")+IFERROR(IF(Z442="",0,Z442),"0")+IFERROR(IF(Z443="",0,Z443),"0")</f>
        <v>5.6940000000000004E-2</v>
      </c>
      <c r="AA444" s="632"/>
      <c r="AB444" s="632"/>
      <c r="AC444" s="632"/>
    </row>
    <row r="445" spans="1:68" x14ac:dyDescent="0.2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4"/>
      <c r="P445" s="646" t="s">
        <v>71</v>
      </c>
      <c r="Q445" s="647"/>
      <c r="R445" s="647"/>
      <c r="S445" s="647"/>
      <c r="T445" s="647"/>
      <c r="U445" s="647"/>
      <c r="V445" s="648"/>
      <c r="W445" s="37" t="s">
        <v>66</v>
      </c>
      <c r="X445" s="631">
        <f>IFERROR(SUM(X441:X443),"0")</f>
        <v>20</v>
      </c>
      <c r="Y445" s="631">
        <f>IFERROR(SUM(Y441:Y443),"0")</f>
        <v>27</v>
      </c>
      <c r="Z445" s="37"/>
      <c r="AA445" s="632"/>
      <c r="AB445" s="632"/>
      <c r="AC445" s="632"/>
    </row>
    <row r="446" spans="1:68" ht="14.25" hidden="1" customHeight="1" x14ac:dyDescent="0.25">
      <c r="A446" s="652" t="s">
        <v>162</v>
      </c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  <c r="AA446" s="625"/>
      <c r="AB446" s="625"/>
      <c r="AC446" s="625"/>
    </row>
    <row r="447" spans="1:68" ht="27" hidden="1" customHeight="1" x14ac:dyDescent="0.25">
      <c r="A447" s="54" t="s">
        <v>725</v>
      </c>
      <c r="B447" s="54" t="s">
        <v>726</v>
      </c>
      <c r="C447" s="31">
        <v>4301060537</v>
      </c>
      <c r="D447" s="633">
        <v>4680115889545</v>
      </c>
      <c r="E447" s="634"/>
      <c r="F447" s="628">
        <v>0.7</v>
      </c>
      <c r="G447" s="32">
        <v>6</v>
      </c>
      <c r="H447" s="628">
        <v>4.2</v>
      </c>
      <c r="I447" s="628">
        <v>4.6159999999999997</v>
      </c>
      <c r="J447" s="32">
        <v>104</v>
      </c>
      <c r="K447" s="32" t="s">
        <v>115</v>
      </c>
      <c r="L447" s="32"/>
      <c r="M447" s="33" t="s">
        <v>77</v>
      </c>
      <c r="N447" s="33"/>
      <c r="O447" s="32">
        <v>30</v>
      </c>
      <c r="P447" s="98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36"/>
      <c r="R447" s="636"/>
      <c r="S447" s="636"/>
      <c r="T447" s="637"/>
      <c r="U447" s="34"/>
      <c r="V447" s="34"/>
      <c r="W447" s="35" t="s">
        <v>66</v>
      </c>
      <c r="X447" s="629">
        <v>0</v>
      </c>
      <c r="Y447" s="630">
        <f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29" t="s">
        <v>727</v>
      </c>
      <c r="AG447" s="64"/>
      <c r="AJ447" s="68"/>
      <c r="AK447" s="68">
        <v>0</v>
      </c>
      <c r="BB447" s="530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16.5" customHeight="1" x14ac:dyDescent="0.25">
      <c r="A448" s="54" t="s">
        <v>728</v>
      </c>
      <c r="B448" s="54" t="s">
        <v>729</v>
      </c>
      <c r="C448" s="31">
        <v>4301060524</v>
      </c>
      <c r="D448" s="633">
        <v>4607091384673</v>
      </c>
      <c r="E448" s="634"/>
      <c r="F448" s="628">
        <v>1.5</v>
      </c>
      <c r="G448" s="32">
        <v>6</v>
      </c>
      <c r="H448" s="628">
        <v>9</v>
      </c>
      <c r="I448" s="628">
        <v>9.4939999999999998</v>
      </c>
      <c r="J448" s="32">
        <v>64</v>
      </c>
      <c r="K448" s="32" t="s">
        <v>115</v>
      </c>
      <c r="L448" s="32"/>
      <c r="M448" s="33" t="s">
        <v>77</v>
      </c>
      <c r="N448" s="33"/>
      <c r="O448" s="32">
        <v>40</v>
      </c>
      <c r="P448" s="8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36"/>
      <c r="R448" s="636"/>
      <c r="S448" s="636"/>
      <c r="T448" s="637"/>
      <c r="U448" s="34"/>
      <c r="V448" s="34"/>
      <c r="W448" s="35" t="s">
        <v>66</v>
      </c>
      <c r="X448" s="629">
        <v>105</v>
      </c>
      <c r="Y448" s="630">
        <f>IFERROR(IF(X448="",0,CEILING((X448/$H448),1)*$H448),"")</f>
        <v>108</v>
      </c>
      <c r="Z448" s="36">
        <f>IFERROR(IF(Y448=0,"",ROUNDUP(Y448/H448,0)*0.01898),"")</f>
        <v>0.22776000000000002</v>
      </c>
      <c r="AA448" s="56"/>
      <c r="AB448" s="57"/>
      <c r="AC448" s="531" t="s">
        <v>730</v>
      </c>
      <c r="AG448" s="64"/>
      <c r="AJ448" s="68"/>
      <c r="AK448" s="68">
        <v>0</v>
      </c>
      <c r="BB448" s="532" t="s">
        <v>1</v>
      </c>
      <c r="BM448" s="64">
        <f>IFERROR(X448*I448/H448,"0")</f>
        <v>110.76333333333334</v>
      </c>
      <c r="BN448" s="64">
        <f>IFERROR(Y448*I448/H448,"0")</f>
        <v>113.92799999999998</v>
      </c>
      <c r="BO448" s="64">
        <f>IFERROR(1/J448*(X448/H448),"0")</f>
        <v>0.18229166666666666</v>
      </c>
      <c r="BP448" s="64">
        <f>IFERROR(1/J448*(Y448/H448),"0")</f>
        <v>0.1875</v>
      </c>
    </row>
    <row r="449" spans="1:68" x14ac:dyDescent="0.2">
      <c r="A449" s="642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6" t="s">
        <v>71</v>
      </c>
      <c r="Q449" s="647"/>
      <c r="R449" s="647"/>
      <c r="S449" s="647"/>
      <c r="T449" s="647"/>
      <c r="U449" s="647"/>
      <c r="V449" s="648"/>
      <c r="W449" s="37" t="s">
        <v>72</v>
      </c>
      <c r="X449" s="631">
        <f>IFERROR(X447/H447,"0")+IFERROR(X448/H448,"0")</f>
        <v>11.666666666666666</v>
      </c>
      <c r="Y449" s="631">
        <f>IFERROR(Y447/H447,"0")+IFERROR(Y448/H448,"0")</f>
        <v>12</v>
      </c>
      <c r="Z449" s="631">
        <f>IFERROR(IF(Z447="",0,Z447),"0")+IFERROR(IF(Z448="",0,Z448),"0")</f>
        <v>0.22776000000000002</v>
      </c>
      <c r="AA449" s="632"/>
      <c r="AB449" s="632"/>
      <c r="AC449" s="632"/>
    </row>
    <row r="450" spans="1:68" x14ac:dyDescent="0.2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4"/>
      <c r="P450" s="646" t="s">
        <v>71</v>
      </c>
      <c r="Q450" s="647"/>
      <c r="R450" s="647"/>
      <c r="S450" s="647"/>
      <c r="T450" s="647"/>
      <c r="U450" s="647"/>
      <c r="V450" s="648"/>
      <c r="W450" s="37" t="s">
        <v>66</v>
      </c>
      <c r="X450" s="631">
        <f>IFERROR(SUM(X447:X448),"0")</f>
        <v>105</v>
      </c>
      <c r="Y450" s="631">
        <f>IFERROR(SUM(Y447:Y448),"0")</f>
        <v>108</v>
      </c>
      <c r="Z450" s="37"/>
      <c r="AA450" s="632"/>
      <c r="AB450" s="632"/>
      <c r="AC450" s="632"/>
    </row>
    <row r="451" spans="1:68" ht="16.5" hidden="1" customHeight="1" x14ac:dyDescent="0.25">
      <c r="A451" s="650" t="s">
        <v>731</v>
      </c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  <c r="AA451" s="624"/>
      <c r="AB451" s="624"/>
      <c r="AC451" s="624"/>
    </row>
    <row r="452" spans="1:68" ht="14.25" hidden="1" customHeight="1" x14ac:dyDescent="0.25">
      <c r="A452" s="652" t="s">
        <v>112</v>
      </c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  <c r="AA452" s="625"/>
      <c r="AB452" s="625"/>
      <c r="AC452" s="625"/>
    </row>
    <row r="453" spans="1:68" ht="27" hidden="1" customHeight="1" x14ac:dyDescent="0.25">
      <c r="A453" s="54" t="s">
        <v>732</v>
      </c>
      <c r="B453" s="54" t="s">
        <v>733</v>
      </c>
      <c r="C453" s="31">
        <v>4301011875</v>
      </c>
      <c r="D453" s="633">
        <v>4680115884885</v>
      </c>
      <c r="E453" s="634"/>
      <c r="F453" s="628">
        <v>0.8</v>
      </c>
      <c r="G453" s="32">
        <v>15</v>
      </c>
      <c r="H453" s="628">
        <v>12</v>
      </c>
      <c r="I453" s="628">
        <v>12.41</v>
      </c>
      <c r="J453" s="32">
        <v>64</v>
      </c>
      <c r="K453" s="32" t="s">
        <v>115</v>
      </c>
      <c r="L453" s="32"/>
      <c r="M453" s="33" t="s">
        <v>65</v>
      </c>
      <c r="N453" s="33"/>
      <c r="O453" s="32">
        <v>60</v>
      </c>
      <c r="P453" s="73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36"/>
      <c r="R453" s="636"/>
      <c r="S453" s="636"/>
      <c r="T453" s="637"/>
      <c r="U453" s="34"/>
      <c r="V453" s="34"/>
      <c r="W453" s="35" t="s">
        <v>66</v>
      </c>
      <c r="X453" s="629">
        <v>0</v>
      </c>
      <c r="Y453" s="630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734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37.5" hidden="1" customHeight="1" x14ac:dyDescent="0.25">
      <c r="A454" s="54" t="s">
        <v>735</v>
      </c>
      <c r="B454" s="54" t="s">
        <v>736</v>
      </c>
      <c r="C454" s="31">
        <v>4301011871</v>
      </c>
      <c r="D454" s="633">
        <v>4680115884908</v>
      </c>
      <c r="E454" s="634"/>
      <c r="F454" s="628">
        <v>0.4</v>
      </c>
      <c r="G454" s="32">
        <v>10</v>
      </c>
      <c r="H454" s="628">
        <v>4</v>
      </c>
      <c r="I454" s="628">
        <v>4.1900000000000004</v>
      </c>
      <c r="J454" s="32">
        <v>132</v>
      </c>
      <c r="K454" s="32" t="s">
        <v>124</v>
      </c>
      <c r="L454" s="32"/>
      <c r="M454" s="33" t="s">
        <v>65</v>
      </c>
      <c r="N454" s="33"/>
      <c r="O454" s="32">
        <v>60</v>
      </c>
      <c r="P454" s="65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36"/>
      <c r="R454" s="636"/>
      <c r="S454" s="636"/>
      <c r="T454" s="637"/>
      <c r="U454" s="34"/>
      <c r="V454" s="34"/>
      <c r="W454" s="35" t="s">
        <v>66</v>
      </c>
      <c r="X454" s="629">
        <v>0</v>
      </c>
      <c r="Y454" s="630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35" t="s">
        <v>734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42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4"/>
      <c r="P455" s="646" t="s">
        <v>71</v>
      </c>
      <c r="Q455" s="647"/>
      <c r="R455" s="647"/>
      <c r="S455" s="647"/>
      <c r="T455" s="647"/>
      <c r="U455" s="647"/>
      <c r="V455" s="648"/>
      <c r="W455" s="37" t="s">
        <v>72</v>
      </c>
      <c r="X455" s="631">
        <f>IFERROR(X453/H453,"0")+IFERROR(X454/H454,"0")</f>
        <v>0</v>
      </c>
      <c r="Y455" s="631">
        <f>IFERROR(Y453/H453,"0")+IFERROR(Y454/H454,"0")</f>
        <v>0</v>
      </c>
      <c r="Z455" s="631">
        <f>IFERROR(IF(Z453="",0,Z453),"0")+IFERROR(IF(Z454="",0,Z454),"0")</f>
        <v>0</v>
      </c>
      <c r="AA455" s="632"/>
      <c r="AB455" s="632"/>
      <c r="AC455" s="632"/>
    </row>
    <row r="456" spans="1:68" hidden="1" x14ac:dyDescent="0.2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4"/>
      <c r="P456" s="646" t="s">
        <v>71</v>
      </c>
      <c r="Q456" s="647"/>
      <c r="R456" s="647"/>
      <c r="S456" s="647"/>
      <c r="T456" s="647"/>
      <c r="U456" s="647"/>
      <c r="V456" s="648"/>
      <c r="W456" s="37" t="s">
        <v>66</v>
      </c>
      <c r="X456" s="631">
        <f>IFERROR(SUM(X453:X454),"0")</f>
        <v>0</v>
      </c>
      <c r="Y456" s="631">
        <f>IFERROR(SUM(Y453:Y454),"0")</f>
        <v>0</v>
      </c>
      <c r="Z456" s="37"/>
      <c r="AA456" s="632"/>
      <c r="AB456" s="632"/>
      <c r="AC456" s="632"/>
    </row>
    <row r="457" spans="1:68" ht="14.25" hidden="1" customHeight="1" x14ac:dyDescent="0.25">
      <c r="A457" s="652" t="s">
        <v>61</v>
      </c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  <c r="AA457" s="625"/>
      <c r="AB457" s="625"/>
      <c r="AC457" s="625"/>
    </row>
    <row r="458" spans="1:68" ht="27" hidden="1" customHeight="1" x14ac:dyDescent="0.25">
      <c r="A458" s="54" t="s">
        <v>737</v>
      </c>
      <c r="B458" s="54" t="s">
        <v>738</v>
      </c>
      <c r="C458" s="31">
        <v>4301031457</v>
      </c>
      <c r="D458" s="633">
        <v>4607091384802</v>
      </c>
      <c r="E458" s="634"/>
      <c r="F458" s="628">
        <v>0.7</v>
      </c>
      <c r="G458" s="32">
        <v>6</v>
      </c>
      <c r="H458" s="628">
        <v>4.2</v>
      </c>
      <c r="I458" s="628">
        <v>4.45</v>
      </c>
      <c r="J458" s="32">
        <v>132</v>
      </c>
      <c r="K458" s="32" t="s">
        <v>124</v>
      </c>
      <c r="L458" s="32"/>
      <c r="M458" s="33" t="s">
        <v>65</v>
      </c>
      <c r="N458" s="33"/>
      <c r="O458" s="32">
        <v>50</v>
      </c>
      <c r="P458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36"/>
      <c r="R458" s="636"/>
      <c r="S458" s="636"/>
      <c r="T458" s="637"/>
      <c r="U458" s="34"/>
      <c r="V458" s="34"/>
      <c r="W458" s="35" t="s">
        <v>66</v>
      </c>
      <c r="X458" s="629">
        <v>0</v>
      </c>
      <c r="Y458" s="630">
        <f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37" t="s">
        <v>739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42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4"/>
      <c r="P459" s="646" t="s">
        <v>71</v>
      </c>
      <c r="Q459" s="647"/>
      <c r="R459" s="647"/>
      <c r="S459" s="647"/>
      <c r="T459" s="647"/>
      <c r="U459" s="647"/>
      <c r="V459" s="648"/>
      <c r="W459" s="37" t="s">
        <v>72</v>
      </c>
      <c r="X459" s="631">
        <f>IFERROR(X458/H458,"0")</f>
        <v>0</v>
      </c>
      <c r="Y459" s="631">
        <f>IFERROR(Y458/H458,"0")</f>
        <v>0</v>
      </c>
      <c r="Z459" s="631">
        <f>IFERROR(IF(Z458="",0,Z458),"0")</f>
        <v>0</v>
      </c>
      <c r="AA459" s="632"/>
      <c r="AB459" s="632"/>
      <c r="AC459" s="632"/>
    </row>
    <row r="460" spans="1:68" hidden="1" x14ac:dyDescent="0.2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4"/>
      <c r="P460" s="646" t="s">
        <v>71</v>
      </c>
      <c r="Q460" s="647"/>
      <c r="R460" s="647"/>
      <c r="S460" s="647"/>
      <c r="T460" s="647"/>
      <c r="U460" s="647"/>
      <c r="V460" s="648"/>
      <c r="W460" s="37" t="s">
        <v>66</v>
      </c>
      <c r="X460" s="631">
        <f>IFERROR(SUM(X458:X458),"0")</f>
        <v>0</v>
      </c>
      <c r="Y460" s="631">
        <f>IFERROR(SUM(Y458:Y458),"0")</f>
        <v>0</v>
      </c>
      <c r="Z460" s="37"/>
      <c r="AA460" s="632"/>
      <c r="AB460" s="632"/>
      <c r="AC460" s="632"/>
    </row>
    <row r="461" spans="1:68" ht="14.25" hidden="1" customHeight="1" x14ac:dyDescent="0.25">
      <c r="A461" s="652" t="s">
        <v>73</v>
      </c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  <c r="AA461" s="625"/>
      <c r="AB461" s="625"/>
      <c r="AC461" s="625"/>
    </row>
    <row r="462" spans="1:68" ht="27" customHeight="1" x14ac:dyDescent="0.25">
      <c r="A462" s="54" t="s">
        <v>740</v>
      </c>
      <c r="B462" s="54" t="s">
        <v>741</v>
      </c>
      <c r="C462" s="31">
        <v>4301051899</v>
      </c>
      <c r="D462" s="633">
        <v>4607091384246</v>
      </c>
      <c r="E462" s="634"/>
      <c r="F462" s="628">
        <v>1.5</v>
      </c>
      <c r="G462" s="32">
        <v>6</v>
      </c>
      <c r="H462" s="628">
        <v>9</v>
      </c>
      <c r="I462" s="628">
        <v>9.4939999999999998</v>
      </c>
      <c r="J462" s="32">
        <v>64</v>
      </c>
      <c r="K462" s="32" t="s">
        <v>115</v>
      </c>
      <c r="L462" s="32"/>
      <c r="M462" s="33" t="s">
        <v>77</v>
      </c>
      <c r="N462" s="33"/>
      <c r="O462" s="32">
        <v>40</v>
      </c>
      <c r="P462" s="9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36"/>
      <c r="R462" s="636"/>
      <c r="S462" s="636"/>
      <c r="T462" s="637"/>
      <c r="U462" s="34"/>
      <c r="V462" s="34"/>
      <c r="W462" s="35" t="s">
        <v>66</v>
      </c>
      <c r="X462" s="629">
        <v>280</v>
      </c>
      <c r="Y462" s="630">
        <f>IFERROR(IF(X462="",0,CEILING((X462/$H462),1)*$H462),"")</f>
        <v>288</v>
      </c>
      <c r="Z462" s="36">
        <f>IFERROR(IF(Y462=0,"",ROUNDUP(Y462/H462,0)*0.01898),"")</f>
        <v>0.60736000000000001</v>
      </c>
      <c r="AA462" s="56"/>
      <c r="AB462" s="57"/>
      <c r="AC462" s="539" t="s">
        <v>742</v>
      </c>
      <c r="AG462" s="64"/>
      <c r="AJ462" s="68"/>
      <c r="AK462" s="68">
        <v>0</v>
      </c>
      <c r="BB462" s="540" t="s">
        <v>1</v>
      </c>
      <c r="BM462" s="64">
        <f>IFERROR(X462*I462/H462,"0")</f>
        <v>295.36888888888888</v>
      </c>
      <c r="BN462" s="64">
        <f>IFERROR(Y462*I462/H462,"0")</f>
        <v>303.80799999999999</v>
      </c>
      <c r="BO462" s="64">
        <f>IFERROR(1/J462*(X462/H462),"0")</f>
        <v>0.4861111111111111</v>
      </c>
      <c r="BP462" s="64">
        <f>IFERROR(1/J462*(Y462/H462),"0")</f>
        <v>0.5</v>
      </c>
    </row>
    <row r="463" spans="1:68" ht="27" customHeight="1" x14ac:dyDescent="0.25">
      <c r="A463" s="54" t="s">
        <v>743</v>
      </c>
      <c r="B463" s="54" t="s">
        <v>744</v>
      </c>
      <c r="C463" s="31">
        <v>4301051660</v>
      </c>
      <c r="D463" s="633">
        <v>4607091384253</v>
      </c>
      <c r="E463" s="634"/>
      <c r="F463" s="628">
        <v>0.4</v>
      </c>
      <c r="G463" s="32">
        <v>6</v>
      </c>
      <c r="H463" s="628">
        <v>2.4</v>
      </c>
      <c r="I463" s="628">
        <v>2.6640000000000001</v>
      </c>
      <c r="J463" s="32">
        <v>182</v>
      </c>
      <c r="K463" s="32" t="s">
        <v>76</v>
      </c>
      <c r="L463" s="32"/>
      <c r="M463" s="33" t="s">
        <v>77</v>
      </c>
      <c r="N463" s="33"/>
      <c r="O463" s="32">
        <v>40</v>
      </c>
      <c r="P463" s="87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36"/>
      <c r="R463" s="636"/>
      <c r="S463" s="636"/>
      <c r="T463" s="637"/>
      <c r="U463" s="34"/>
      <c r="V463" s="34"/>
      <c r="W463" s="35" t="s">
        <v>66</v>
      </c>
      <c r="X463" s="629">
        <v>12</v>
      </c>
      <c r="Y463" s="630">
        <f>IFERROR(IF(X463="",0,CEILING((X463/$H463),1)*$H463),"")</f>
        <v>12</v>
      </c>
      <c r="Z463" s="36">
        <f>IFERROR(IF(Y463=0,"",ROUNDUP(Y463/H463,0)*0.00651),"")</f>
        <v>3.2550000000000003E-2</v>
      </c>
      <c r="AA463" s="56"/>
      <c r="AB463" s="57"/>
      <c r="AC463" s="541" t="s">
        <v>742</v>
      </c>
      <c r="AG463" s="64"/>
      <c r="AJ463" s="68"/>
      <c r="AK463" s="68">
        <v>0</v>
      </c>
      <c r="BB463" s="542" t="s">
        <v>1</v>
      </c>
      <c r="BM463" s="64">
        <f>IFERROR(X463*I463/H463,"0")</f>
        <v>13.320000000000002</v>
      </c>
      <c r="BN463" s="64">
        <f>IFERROR(Y463*I463/H463,"0")</f>
        <v>13.320000000000002</v>
      </c>
      <c r="BO463" s="64">
        <f>IFERROR(1/J463*(X463/H463),"0")</f>
        <v>2.7472527472527476E-2</v>
      </c>
      <c r="BP463" s="64">
        <f>IFERROR(1/J463*(Y463/H463),"0")</f>
        <v>2.7472527472527476E-2</v>
      </c>
    </row>
    <row r="464" spans="1:68" ht="27" hidden="1" customHeight="1" x14ac:dyDescent="0.25">
      <c r="A464" s="54" t="s">
        <v>743</v>
      </c>
      <c r="B464" s="54" t="s">
        <v>745</v>
      </c>
      <c r="C464" s="31">
        <v>4301052069</v>
      </c>
      <c r="D464" s="633">
        <v>4607091384253</v>
      </c>
      <c r="E464" s="634"/>
      <c r="F464" s="628">
        <v>0.4</v>
      </c>
      <c r="G464" s="32">
        <v>6</v>
      </c>
      <c r="H464" s="628">
        <v>2.4</v>
      </c>
      <c r="I464" s="628">
        <v>2.6640000000000001</v>
      </c>
      <c r="J464" s="32">
        <v>182</v>
      </c>
      <c r="K464" s="32" t="s">
        <v>76</v>
      </c>
      <c r="L464" s="32"/>
      <c r="M464" s="33" t="s">
        <v>77</v>
      </c>
      <c r="N464" s="33"/>
      <c r="O464" s="32">
        <v>40</v>
      </c>
      <c r="P464" s="73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36"/>
      <c r="R464" s="636"/>
      <c r="S464" s="636"/>
      <c r="T464" s="637"/>
      <c r="U464" s="34"/>
      <c r="V464" s="34"/>
      <c r="W464" s="35" t="s">
        <v>66</v>
      </c>
      <c r="X464" s="629">
        <v>0</v>
      </c>
      <c r="Y464" s="630">
        <f>IFERROR(IF(X464="",0,CEILING((X464/$H464),1)*$H464),"")</f>
        <v>0</v>
      </c>
      <c r="Z464" s="36" t="str">
        <f>IFERROR(IF(Y464=0,"",ROUNDUP(Y464/H464,0)*0.00651),"")</f>
        <v/>
      </c>
      <c r="AA464" s="56"/>
      <c r="AB464" s="57"/>
      <c r="AC464" s="543" t="s">
        <v>746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642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4"/>
      <c r="P465" s="646" t="s">
        <v>71</v>
      </c>
      <c r="Q465" s="647"/>
      <c r="R465" s="647"/>
      <c r="S465" s="647"/>
      <c r="T465" s="647"/>
      <c r="U465" s="647"/>
      <c r="V465" s="648"/>
      <c r="W465" s="37" t="s">
        <v>72</v>
      </c>
      <c r="X465" s="631">
        <f>IFERROR(X462/H462,"0")+IFERROR(X463/H463,"0")+IFERROR(X464/H464,"0")</f>
        <v>36.111111111111114</v>
      </c>
      <c r="Y465" s="631">
        <f>IFERROR(Y462/H462,"0")+IFERROR(Y463/H463,"0")+IFERROR(Y464/H464,"0")</f>
        <v>37</v>
      </c>
      <c r="Z465" s="631">
        <f>IFERROR(IF(Z462="",0,Z462),"0")+IFERROR(IF(Z463="",0,Z463),"0")+IFERROR(IF(Z464="",0,Z464),"0")</f>
        <v>0.63990999999999998</v>
      </c>
      <c r="AA465" s="632"/>
      <c r="AB465" s="632"/>
      <c r="AC465" s="632"/>
    </row>
    <row r="466" spans="1:68" x14ac:dyDescent="0.2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4"/>
      <c r="P466" s="646" t="s">
        <v>71</v>
      </c>
      <c r="Q466" s="647"/>
      <c r="R466" s="647"/>
      <c r="S466" s="647"/>
      <c r="T466" s="647"/>
      <c r="U466" s="647"/>
      <c r="V466" s="648"/>
      <c r="W466" s="37" t="s">
        <v>66</v>
      </c>
      <c r="X466" s="631">
        <f>IFERROR(SUM(X462:X464),"0")</f>
        <v>292</v>
      </c>
      <c r="Y466" s="631">
        <f>IFERROR(SUM(Y462:Y464),"0")</f>
        <v>300</v>
      </c>
      <c r="Z466" s="37"/>
      <c r="AA466" s="632"/>
      <c r="AB466" s="632"/>
      <c r="AC466" s="632"/>
    </row>
    <row r="467" spans="1:68" ht="27.75" hidden="1" customHeight="1" x14ac:dyDescent="0.2">
      <c r="A467" s="653" t="s">
        <v>747</v>
      </c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4"/>
      <c r="P467" s="654"/>
      <c r="Q467" s="654"/>
      <c r="R467" s="654"/>
      <c r="S467" s="654"/>
      <c r="T467" s="654"/>
      <c r="U467" s="654"/>
      <c r="V467" s="654"/>
      <c r="W467" s="654"/>
      <c r="X467" s="654"/>
      <c r="Y467" s="654"/>
      <c r="Z467" s="654"/>
      <c r="AA467" s="48"/>
      <c r="AB467" s="48"/>
      <c r="AC467" s="48"/>
    </row>
    <row r="468" spans="1:68" ht="16.5" hidden="1" customHeight="1" x14ac:dyDescent="0.25">
      <c r="A468" s="650" t="s">
        <v>748</v>
      </c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624"/>
      <c r="AB468" s="624"/>
      <c r="AC468" s="624"/>
    </row>
    <row r="469" spans="1:68" ht="14.25" hidden="1" customHeight="1" x14ac:dyDescent="0.25">
      <c r="A469" s="652" t="s">
        <v>61</v>
      </c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  <c r="AA469" s="625"/>
      <c r="AB469" s="625"/>
      <c r="AC469" s="625"/>
    </row>
    <row r="470" spans="1:68" ht="27" customHeight="1" x14ac:dyDescent="0.25">
      <c r="A470" s="54" t="s">
        <v>749</v>
      </c>
      <c r="B470" s="54" t="s">
        <v>750</v>
      </c>
      <c r="C470" s="31">
        <v>4301031405</v>
      </c>
      <c r="D470" s="633">
        <v>4680115886100</v>
      </c>
      <c r="E470" s="634"/>
      <c r="F470" s="628">
        <v>0.9</v>
      </c>
      <c r="G470" s="32">
        <v>6</v>
      </c>
      <c r="H470" s="628">
        <v>5.4</v>
      </c>
      <c r="I470" s="628">
        <v>5.59</v>
      </c>
      <c r="J470" s="32">
        <v>132</v>
      </c>
      <c r="K470" s="32" t="s">
        <v>124</v>
      </c>
      <c r="L470" s="32"/>
      <c r="M470" s="33" t="s">
        <v>65</v>
      </c>
      <c r="N470" s="33"/>
      <c r="O470" s="32">
        <v>50</v>
      </c>
      <c r="P470" s="91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36"/>
      <c r="R470" s="636"/>
      <c r="S470" s="636"/>
      <c r="T470" s="637"/>
      <c r="U470" s="34"/>
      <c r="V470" s="34"/>
      <c r="W470" s="35" t="s">
        <v>66</v>
      </c>
      <c r="X470" s="629">
        <v>30</v>
      </c>
      <c r="Y470" s="630">
        <f t="shared" ref="Y470:Y475" si="64">IFERROR(IF(X470="",0,CEILING((X470/$H470),1)*$H470),"")</f>
        <v>32.400000000000006</v>
      </c>
      <c r="Z470" s="36">
        <f>IFERROR(IF(Y470=0,"",ROUNDUP(Y470/H470,0)*0.00902),"")</f>
        <v>5.4120000000000001E-2</v>
      </c>
      <c r="AA470" s="56"/>
      <c r="AB470" s="57"/>
      <c r="AC470" s="545" t="s">
        <v>751</v>
      </c>
      <c r="AG470" s="64"/>
      <c r="AJ470" s="68"/>
      <c r="AK470" s="68">
        <v>0</v>
      </c>
      <c r="BB470" s="546" t="s">
        <v>1</v>
      </c>
      <c r="BM470" s="64">
        <f t="shared" ref="BM470:BM475" si="65">IFERROR(X470*I470/H470,"0")</f>
        <v>31.05555555555555</v>
      </c>
      <c r="BN470" s="64">
        <f t="shared" ref="BN470:BN475" si="66">IFERROR(Y470*I470/H470,"0")</f>
        <v>33.54</v>
      </c>
      <c r="BO470" s="64">
        <f t="shared" ref="BO470:BO475" si="67">IFERROR(1/J470*(X470/H470),"0")</f>
        <v>4.208754208754209E-2</v>
      </c>
      <c r="BP470" s="64">
        <f t="shared" ref="BP470:BP475" si="68">IFERROR(1/J470*(Y470/H470),"0")</f>
        <v>4.5454545454545463E-2</v>
      </c>
    </row>
    <row r="471" spans="1:68" ht="27" hidden="1" customHeight="1" x14ac:dyDescent="0.25">
      <c r="A471" s="54" t="s">
        <v>752</v>
      </c>
      <c r="B471" s="54" t="s">
        <v>753</v>
      </c>
      <c r="C471" s="31">
        <v>4301031402</v>
      </c>
      <c r="D471" s="633">
        <v>4680115886124</v>
      </c>
      <c r="E471" s="634"/>
      <c r="F471" s="628">
        <v>0.9</v>
      </c>
      <c r="G471" s="32">
        <v>6</v>
      </c>
      <c r="H471" s="628">
        <v>5.4</v>
      </c>
      <c r="I471" s="628">
        <v>5.59</v>
      </c>
      <c r="J471" s="32">
        <v>132</v>
      </c>
      <c r="K471" s="32" t="s">
        <v>124</v>
      </c>
      <c r="L471" s="32"/>
      <c r="M471" s="33" t="s">
        <v>65</v>
      </c>
      <c r="N471" s="33"/>
      <c r="O471" s="32">
        <v>50</v>
      </c>
      <c r="P471" s="7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36"/>
      <c r="R471" s="636"/>
      <c r="S471" s="636"/>
      <c r="T471" s="637"/>
      <c r="U471" s="34"/>
      <c r="V471" s="34"/>
      <c r="W471" s="35" t="s">
        <v>66</v>
      </c>
      <c r="X471" s="629">
        <v>0</v>
      </c>
      <c r="Y471" s="630">
        <f t="shared" si="64"/>
        <v>0</v>
      </c>
      <c r="Z471" s="36" t="str">
        <f>IFERROR(IF(Y471=0,"",ROUNDUP(Y471/H471,0)*0.00902),"")</f>
        <v/>
      </c>
      <c r="AA471" s="56"/>
      <c r="AB471" s="57"/>
      <c r="AC471" s="547" t="s">
        <v>754</v>
      </c>
      <c r="AG471" s="64"/>
      <c r="AJ471" s="68"/>
      <c r="AK471" s="68">
        <v>0</v>
      </c>
      <c r="BB471" s="548" t="s">
        <v>1</v>
      </c>
      <c r="BM471" s="64">
        <f t="shared" si="65"/>
        <v>0</v>
      </c>
      <c r="BN471" s="64">
        <f t="shared" si="66"/>
        <v>0</v>
      </c>
      <c r="BO471" s="64">
        <f t="shared" si="67"/>
        <v>0</v>
      </c>
      <c r="BP471" s="64">
        <f t="shared" si="68"/>
        <v>0</v>
      </c>
    </row>
    <row r="472" spans="1:68" ht="27" hidden="1" customHeight="1" x14ac:dyDescent="0.25">
      <c r="A472" s="54" t="s">
        <v>755</v>
      </c>
      <c r="B472" s="54" t="s">
        <v>756</v>
      </c>
      <c r="C472" s="31">
        <v>4301031362</v>
      </c>
      <c r="D472" s="633">
        <v>4607091384338</v>
      </c>
      <c r="E472" s="634"/>
      <c r="F472" s="628">
        <v>0.35</v>
      </c>
      <c r="G472" s="32">
        <v>6</v>
      </c>
      <c r="H472" s="628">
        <v>2.1</v>
      </c>
      <c r="I472" s="628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8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36"/>
      <c r="R472" s="636"/>
      <c r="S472" s="636"/>
      <c r="T472" s="637"/>
      <c r="U472" s="34"/>
      <c r="V472" s="34"/>
      <c r="W472" s="35" t="s">
        <v>66</v>
      </c>
      <c r="X472" s="629">
        <v>0</v>
      </c>
      <c r="Y472" s="630">
        <f t="shared" si="64"/>
        <v>0</v>
      </c>
      <c r="Z472" s="36" t="str">
        <f>IFERROR(IF(Y472=0,"",ROUNDUP(Y472/H472,0)*0.00502),"")</f>
        <v/>
      </c>
      <c r="AA472" s="56"/>
      <c r="AB472" s="57"/>
      <c r="AC472" s="549" t="s">
        <v>751</v>
      </c>
      <c r="AG472" s="64"/>
      <c r="AJ472" s="68"/>
      <c r="AK472" s="68">
        <v>0</v>
      </c>
      <c r="BB472" s="550" t="s">
        <v>1</v>
      </c>
      <c r="BM472" s="64">
        <f t="shared" si="65"/>
        <v>0</v>
      </c>
      <c r="BN472" s="64">
        <f t="shared" si="66"/>
        <v>0</v>
      </c>
      <c r="BO472" s="64">
        <f t="shared" si="67"/>
        <v>0</v>
      </c>
      <c r="BP472" s="64">
        <f t="shared" si="68"/>
        <v>0</v>
      </c>
    </row>
    <row r="473" spans="1:68" ht="27" hidden="1" customHeight="1" x14ac:dyDescent="0.25">
      <c r="A473" s="54" t="s">
        <v>757</v>
      </c>
      <c r="B473" s="54" t="s">
        <v>758</v>
      </c>
      <c r="C473" s="31">
        <v>4301031364</v>
      </c>
      <c r="D473" s="633">
        <v>4680115883161</v>
      </c>
      <c r="E473" s="634"/>
      <c r="F473" s="628">
        <v>0.28000000000000003</v>
      </c>
      <c r="G473" s="32">
        <v>6</v>
      </c>
      <c r="H473" s="628">
        <v>1.68</v>
      </c>
      <c r="I473" s="628">
        <v>1.81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72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36"/>
      <c r="R473" s="636"/>
      <c r="S473" s="636"/>
      <c r="T473" s="637"/>
      <c r="U473" s="34"/>
      <c r="V473" s="34"/>
      <c r="W473" s="35" t="s">
        <v>66</v>
      </c>
      <c r="X473" s="629">
        <v>0</v>
      </c>
      <c r="Y473" s="630">
        <f t="shared" si="64"/>
        <v>0</v>
      </c>
      <c r="Z473" s="36" t="str">
        <f>IFERROR(IF(Y473=0,"",ROUNDUP(Y473/H473,0)*0.00502),"")</f>
        <v/>
      </c>
      <c r="AA473" s="56"/>
      <c r="AB473" s="57"/>
      <c r="AC473" s="551" t="s">
        <v>759</v>
      </c>
      <c r="AG473" s="64"/>
      <c r="AJ473" s="68"/>
      <c r="AK473" s="68">
        <v>0</v>
      </c>
      <c r="BB473" s="552" t="s">
        <v>1</v>
      </c>
      <c r="BM473" s="64">
        <f t="shared" si="65"/>
        <v>0</v>
      </c>
      <c r="BN473" s="64">
        <f t="shared" si="66"/>
        <v>0</v>
      </c>
      <c r="BO473" s="64">
        <f t="shared" si="67"/>
        <v>0</v>
      </c>
      <c r="BP473" s="64">
        <f t="shared" si="68"/>
        <v>0</v>
      </c>
    </row>
    <row r="474" spans="1:68" ht="27" hidden="1" customHeight="1" x14ac:dyDescent="0.25">
      <c r="A474" s="54" t="s">
        <v>760</v>
      </c>
      <c r="B474" s="54" t="s">
        <v>761</v>
      </c>
      <c r="C474" s="31">
        <v>4301031358</v>
      </c>
      <c r="D474" s="633">
        <v>4607091389531</v>
      </c>
      <c r="E474" s="634"/>
      <c r="F474" s="628">
        <v>0.35</v>
      </c>
      <c r="G474" s="32">
        <v>6</v>
      </c>
      <c r="H474" s="628">
        <v>2.1</v>
      </c>
      <c r="I474" s="628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64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36"/>
      <c r="R474" s="636"/>
      <c r="S474" s="636"/>
      <c r="T474" s="637"/>
      <c r="U474" s="34"/>
      <c r="V474" s="34"/>
      <c r="W474" s="35" t="s">
        <v>66</v>
      </c>
      <c r="X474" s="629">
        <v>0</v>
      </c>
      <c r="Y474" s="630">
        <f t="shared" si="64"/>
        <v>0</v>
      </c>
      <c r="Z474" s="36" t="str">
        <f>IFERROR(IF(Y474=0,"",ROUNDUP(Y474/H474,0)*0.00502),"")</f>
        <v/>
      </c>
      <c r="AA474" s="56"/>
      <c r="AB474" s="57"/>
      <c r="AC474" s="553" t="s">
        <v>762</v>
      </c>
      <c r="AG474" s="64"/>
      <c r="AJ474" s="68"/>
      <c r="AK474" s="68">
        <v>0</v>
      </c>
      <c r="BB474" s="554" t="s">
        <v>1</v>
      </c>
      <c r="BM474" s="64">
        <f t="shared" si="65"/>
        <v>0</v>
      </c>
      <c r="BN474" s="64">
        <f t="shared" si="66"/>
        <v>0</v>
      </c>
      <c r="BO474" s="64">
        <f t="shared" si="67"/>
        <v>0</v>
      </c>
      <c r="BP474" s="64">
        <f t="shared" si="68"/>
        <v>0</v>
      </c>
    </row>
    <row r="475" spans="1:68" ht="37.5" hidden="1" customHeight="1" x14ac:dyDescent="0.25">
      <c r="A475" s="54" t="s">
        <v>763</v>
      </c>
      <c r="B475" s="54" t="s">
        <v>764</v>
      </c>
      <c r="C475" s="31">
        <v>4301031360</v>
      </c>
      <c r="D475" s="633">
        <v>4607091384345</v>
      </c>
      <c r="E475" s="634"/>
      <c r="F475" s="628">
        <v>0.35</v>
      </c>
      <c r="G475" s="32">
        <v>6</v>
      </c>
      <c r="H475" s="628">
        <v>2.1</v>
      </c>
      <c r="I475" s="628">
        <v>2.23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90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36"/>
      <c r="R475" s="636"/>
      <c r="S475" s="636"/>
      <c r="T475" s="637"/>
      <c r="U475" s="34"/>
      <c r="V475" s="34"/>
      <c r="W475" s="35" t="s">
        <v>66</v>
      </c>
      <c r="X475" s="629">
        <v>0</v>
      </c>
      <c r="Y475" s="630">
        <f t="shared" si="64"/>
        <v>0</v>
      </c>
      <c r="Z475" s="36" t="str">
        <f>IFERROR(IF(Y475=0,"",ROUNDUP(Y475/H475,0)*0.00502),"")</f>
        <v/>
      </c>
      <c r="AA475" s="56"/>
      <c r="AB475" s="57"/>
      <c r="AC475" s="555" t="s">
        <v>759</v>
      </c>
      <c r="AG475" s="64"/>
      <c r="AJ475" s="68"/>
      <c r="AK475" s="68">
        <v>0</v>
      </c>
      <c r="BB475" s="556" t="s">
        <v>1</v>
      </c>
      <c r="BM475" s="64">
        <f t="shared" si="65"/>
        <v>0</v>
      </c>
      <c r="BN475" s="64">
        <f t="shared" si="66"/>
        <v>0</v>
      </c>
      <c r="BO475" s="64">
        <f t="shared" si="67"/>
        <v>0</v>
      </c>
      <c r="BP475" s="64">
        <f t="shared" si="68"/>
        <v>0</v>
      </c>
    </row>
    <row r="476" spans="1:68" x14ac:dyDescent="0.2">
      <c r="A476" s="642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6" t="s">
        <v>71</v>
      </c>
      <c r="Q476" s="647"/>
      <c r="R476" s="647"/>
      <c r="S476" s="647"/>
      <c r="T476" s="647"/>
      <c r="U476" s="647"/>
      <c r="V476" s="648"/>
      <c r="W476" s="37" t="s">
        <v>72</v>
      </c>
      <c r="X476" s="631">
        <f>IFERROR(X470/H470,"0")+IFERROR(X471/H471,"0")+IFERROR(X472/H472,"0")+IFERROR(X473/H473,"0")+IFERROR(X474/H474,"0")+IFERROR(X475/H475,"0")</f>
        <v>5.5555555555555554</v>
      </c>
      <c r="Y476" s="631">
        <f>IFERROR(Y470/H470,"0")+IFERROR(Y471/H471,"0")+IFERROR(Y472/H472,"0")+IFERROR(Y473/H473,"0")+IFERROR(Y474/H474,"0")+IFERROR(Y475/H475,"0")</f>
        <v>6.0000000000000009</v>
      </c>
      <c r="Z476" s="631">
        <f>IFERROR(IF(Z470="",0,Z470),"0")+IFERROR(IF(Z471="",0,Z471),"0")+IFERROR(IF(Z472="",0,Z472),"0")+IFERROR(IF(Z473="",0,Z473),"0")+IFERROR(IF(Z474="",0,Z474),"0")+IFERROR(IF(Z475="",0,Z475),"0")</f>
        <v>5.4120000000000001E-2</v>
      </c>
      <c r="AA476" s="632"/>
      <c r="AB476" s="632"/>
      <c r="AC476" s="632"/>
    </row>
    <row r="477" spans="1:68" x14ac:dyDescent="0.2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4"/>
      <c r="P477" s="646" t="s">
        <v>71</v>
      </c>
      <c r="Q477" s="647"/>
      <c r="R477" s="647"/>
      <c r="S477" s="647"/>
      <c r="T477" s="647"/>
      <c r="U477" s="647"/>
      <c r="V477" s="648"/>
      <c r="W477" s="37" t="s">
        <v>66</v>
      </c>
      <c r="X477" s="631">
        <f>IFERROR(SUM(X470:X475),"0")</f>
        <v>30</v>
      </c>
      <c r="Y477" s="631">
        <f>IFERROR(SUM(Y470:Y475),"0")</f>
        <v>32.400000000000006</v>
      </c>
      <c r="Z477" s="37"/>
      <c r="AA477" s="632"/>
      <c r="AB477" s="632"/>
      <c r="AC477" s="632"/>
    </row>
    <row r="478" spans="1:68" ht="14.25" hidden="1" customHeight="1" x14ac:dyDescent="0.25">
      <c r="A478" s="652" t="s">
        <v>73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25"/>
      <c r="AB478" s="625"/>
      <c r="AC478" s="625"/>
    </row>
    <row r="479" spans="1:68" ht="27" hidden="1" customHeight="1" x14ac:dyDescent="0.25">
      <c r="A479" s="54" t="s">
        <v>765</v>
      </c>
      <c r="B479" s="54" t="s">
        <v>766</v>
      </c>
      <c r="C479" s="31">
        <v>4301051284</v>
      </c>
      <c r="D479" s="633">
        <v>4607091384352</v>
      </c>
      <c r="E479" s="634"/>
      <c r="F479" s="628">
        <v>0.6</v>
      </c>
      <c r="G479" s="32">
        <v>4</v>
      </c>
      <c r="H479" s="628">
        <v>2.4</v>
      </c>
      <c r="I479" s="628">
        <v>2.6259999999999999</v>
      </c>
      <c r="J479" s="32">
        <v>132</v>
      </c>
      <c r="K479" s="32" t="s">
        <v>124</v>
      </c>
      <c r="L479" s="32"/>
      <c r="M479" s="33" t="s">
        <v>77</v>
      </c>
      <c r="N479" s="33"/>
      <c r="O479" s="32">
        <v>45</v>
      </c>
      <c r="P479" s="75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36"/>
      <c r="R479" s="636"/>
      <c r="S479" s="636"/>
      <c r="T479" s="637"/>
      <c r="U479" s="34"/>
      <c r="V479" s="34"/>
      <c r="W479" s="35" t="s">
        <v>66</v>
      </c>
      <c r="X479" s="629">
        <v>0</v>
      </c>
      <c r="Y479" s="630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57" t="s">
        <v>767</v>
      </c>
      <c r="AG479" s="64"/>
      <c r="AJ479" s="68"/>
      <c r="AK479" s="68">
        <v>0</v>
      </c>
      <c r="BB479" s="55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768</v>
      </c>
      <c r="B480" s="54" t="s">
        <v>769</v>
      </c>
      <c r="C480" s="31">
        <v>4301051431</v>
      </c>
      <c r="D480" s="633">
        <v>4607091389654</v>
      </c>
      <c r="E480" s="634"/>
      <c r="F480" s="628">
        <v>0.33</v>
      </c>
      <c r="G480" s="32">
        <v>6</v>
      </c>
      <c r="H480" s="628">
        <v>1.98</v>
      </c>
      <c r="I480" s="628">
        <v>2.238</v>
      </c>
      <c r="J480" s="32">
        <v>182</v>
      </c>
      <c r="K480" s="32" t="s">
        <v>76</v>
      </c>
      <c r="L480" s="32"/>
      <c r="M480" s="33" t="s">
        <v>77</v>
      </c>
      <c r="N480" s="33"/>
      <c r="O480" s="32">
        <v>45</v>
      </c>
      <c r="P480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36"/>
      <c r="R480" s="636"/>
      <c r="S480" s="636"/>
      <c r="T480" s="637"/>
      <c r="U480" s="34"/>
      <c r="V480" s="34"/>
      <c r="W480" s="35" t="s">
        <v>66</v>
      </c>
      <c r="X480" s="629">
        <v>0</v>
      </c>
      <c r="Y480" s="630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9" t="s">
        <v>770</v>
      </c>
      <c r="AG480" s="64"/>
      <c r="AJ480" s="68"/>
      <c r="AK480" s="68">
        <v>0</v>
      </c>
      <c r="BB480" s="560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42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6" t="s">
        <v>71</v>
      </c>
      <c r="Q481" s="647"/>
      <c r="R481" s="647"/>
      <c r="S481" s="647"/>
      <c r="T481" s="647"/>
      <c r="U481" s="647"/>
      <c r="V481" s="648"/>
      <c r="W481" s="37" t="s">
        <v>72</v>
      </c>
      <c r="X481" s="631">
        <f>IFERROR(X479/H479,"0")+IFERROR(X480/H480,"0")</f>
        <v>0</v>
      </c>
      <c r="Y481" s="631">
        <f>IFERROR(Y479/H479,"0")+IFERROR(Y480/H480,"0")</f>
        <v>0</v>
      </c>
      <c r="Z481" s="631">
        <f>IFERROR(IF(Z479="",0,Z479),"0")+IFERROR(IF(Z480="",0,Z480),"0")</f>
        <v>0</v>
      </c>
      <c r="AA481" s="632"/>
      <c r="AB481" s="632"/>
      <c r="AC481" s="632"/>
    </row>
    <row r="482" spans="1:68" hidden="1" x14ac:dyDescent="0.2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4"/>
      <c r="P482" s="646" t="s">
        <v>71</v>
      </c>
      <c r="Q482" s="647"/>
      <c r="R482" s="647"/>
      <c r="S482" s="647"/>
      <c r="T482" s="647"/>
      <c r="U482" s="647"/>
      <c r="V482" s="648"/>
      <c r="W482" s="37" t="s">
        <v>66</v>
      </c>
      <c r="X482" s="631">
        <f>IFERROR(SUM(X479:X480),"0")</f>
        <v>0</v>
      </c>
      <c r="Y482" s="631">
        <f>IFERROR(SUM(Y479:Y480),"0")</f>
        <v>0</v>
      </c>
      <c r="Z482" s="37"/>
      <c r="AA482" s="632"/>
      <c r="AB482" s="632"/>
      <c r="AC482" s="632"/>
    </row>
    <row r="483" spans="1:68" ht="16.5" hidden="1" customHeight="1" x14ac:dyDescent="0.25">
      <c r="A483" s="650" t="s">
        <v>771</v>
      </c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  <c r="AA483" s="624"/>
      <c r="AB483" s="624"/>
      <c r="AC483" s="624"/>
    </row>
    <row r="484" spans="1:68" ht="14.25" hidden="1" customHeight="1" x14ac:dyDescent="0.25">
      <c r="A484" s="652" t="s">
        <v>145</v>
      </c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  <c r="AA484" s="625"/>
      <c r="AB484" s="625"/>
      <c r="AC484" s="625"/>
    </row>
    <row r="485" spans="1:68" ht="27" hidden="1" customHeight="1" x14ac:dyDescent="0.25">
      <c r="A485" s="54" t="s">
        <v>772</v>
      </c>
      <c r="B485" s="54" t="s">
        <v>773</v>
      </c>
      <c r="C485" s="31">
        <v>4301020416</v>
      </c>
      <c r="D485" s="633">
        <v>4680115885240</v>
      </c>
      <c r="E485" s="634"/>
      <c r="F485" s="628">
        <v>0.35</v>
      </c>
      <c r="G485" s="32">
        <v>6</v>
      </c>
      <c r="H485" s="628">
        <v>2.1</v>
      </c>
      <c r="I485" s="628">
        <v>2.31</v>
      </c>
      <c r="J485" s="32">
        <v>182</v>
      </c>
      <c r="K485" s="32" t="s">
        <v>76</v>
      </c>
      <c r="L485" s="32"/>
      <c r="M485" s="33" t="s">
        <v>65</v>
      </c>
      <c r="N485" s="33"/>
      <c r="O485" s="32">
        <v>40</v>
      </c>
      <c r="P485" s="8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36"/>
      <c r="R485" s="636"/>
      <c r="S485" s="636"/>
      <c r="T485" s="637"/>
      <c r="U485" s="34"/>
      <c r="V485" s="34"/>
      <c r="W485" s="35" t="s">
        <v>66</v>
      </c>
      <c r="X485" s="629">
        <v>0</v>
      </c>
      <c r="Y485" s="630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1" t="s">
        <v>774</v>
      </c>
      <c r="AG485" s="64"/>
      <c r="AJ485" s="68"/>
      <c r="AK485" s="68">
        <v>0</v>
      </c>
      <c r="BB485" s="562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42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4"/>
      <c r="P486" s="646" t="s">
        <v>71</v>
      </c>
      <c r="Q486" s="647"/>
      <c r="R486" s="647"/>
      <c r="S486" s="647"/>
      <c r="T486" s="647"/>
      <c r="U486" s="647"/>
      <c r="V486" s="648"/>
      <c r="W486" s="37" t="s">
        <v>72</v>
      </c>
      <c r="X486" s="631">
        <f>IFERROR(X485/H485,"0")</f>
        <v>0</v>
      </c>
      <c r="Y486" s="631">
        <f>IFERROR(Y485/H485,"0")</f>
        <v>0</v>
      </c>
      <c r="Z486" s="631">
        <f>IFERROR(IF(Z485="",0,Z485),"0")</f>
        <v>0</v>
      </c>
      <c r="AA486" s="632"/>
      <c r="AB486" s="632"/>
      <c r="AC486" s="632"/>
    </row>
    <row r="487" spans="1:68" hidden="1" x14ac:dyDescent="0.2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4"/>
      <c r="P487" s="646" t="s">
        <v>71</v>
      </c>
      <c r="Q487" s="647"/>
      <c r="R487" s="647"/>
      <c r="S487" s="647"/>
      <c r="T487" s="647"/>
      <c r="U487" s="647"/>
      <c r="V487" s="648"/>
      <c r="W487" s="37" t="s">
        <v>66</v>
      </c>
      <c r="X487" s="631">
        <f>IFERROR(SUM(X485:X485),"0")</f>
        <v>0</v>
      </c>
      <c r="Y487" s="631">
        <f>IFERROR(SUM(Y485:Y485),"0")</f>
        <v>0</v>
      </c>
      <c r="Z487" s="37"/>
      <c r="AA487" s="632"/>
      <c r="AB487" s="632"/>
      <c r="AC487" s="632"/>
    </row>
    <row r="488" spans="1:68" ht="14.25" hidden="1" customHeight="1" x14ac:dyDescent="0.25">
      <c r="A488" s="652" t="s">
        <v>61</v>
      </c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  <c r="AA488" s="625"/>
      <c r="AB488" s="625"/>
      <c r="AC488" s="625"/>
    </row>
    <row r="489" spans="1:68" ht="27" customHeight="1" x14ac:dyDescent="0.25">
      <c r="A489" s="54" t="s">
        <v>775</v>
      </c>
      <c r="B489" s="54" t="s">
        <v>776</v>
      </c>
      <c r="C489" s="31">
        <v>4301031407</v>
      </c>
      <c r="D489" s="633">
        <v>4680115886094</v>
      </c>
      <c r="E489" s="634"/>
      <c r="F489" s="628">
        <v>0.9</v>
      </c>
      <c r="G489" s="32">
        <v>6</v>
      </c>
      <c r="H489" s="628">
        <v>5.4</v>
      </c>
      <c r="I489" s="628">
        <v>5.59</v>
      </c>
      <c r="J489" s="32">
        <v>132</v>
      </c>
      <c r="K489" s="32" t="s">
        <v>124</v>
      </c>
      <c r="L489" s="32"/>
      <c r="M489" s="33" t="s">
        <v>65</v>
      </c>
      <c r="N489" s="33"/>
      <c r="O489" s="32">
        <v>50</v>
      </c>
      <c r="P489" s="8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36"/>
      <c r="R489" s="636"/>
      <c r="S489" s="636"/>
      <c r="T489" s="637"/>
      <c r="U489" s="34"/>
      <c r="V489" s="34"/>
      <c r="W489" s="35" t="s">
        <v>66</v>
      </c>
      <c r="X489" s="629">
        <v>62</v>
      </c>
      <c r="Y489" s="630">
        <f>IFERROR(IF(X489="",0,CEILING((X489/$H489),1)*$H489),"")</f>
        <v>64.800000000000011</v>
      </c>
      <c r="Z489" s="36">
        <f>IFERROR(IF(Y489=0,"",ROUNDUP(Y489/H489,0)*0.00902),"")</f>
        <v>0.10824</v>
      </c>
      <c r="AA489" s="56"/>
      <c r="AB489" s="57"/>
      <c r="AC489" s="563" t="s">
        <v>777</v>
      </c>
      <c r="AG489" s="64"/>
      <c r="AJ489" s="68"/>
      <c r="AK489" s="68">
        <v>0</v>
      </c>
      <c r="BB489" s="564" t="s">
        <v>1</v>
      </c>
      <c r="BM489" s="64">
        <f>IFERROR(X489*I489/H489,"0")</f>
        <v>64.18148148148147</v>
      </c>
      <c r="BN489" s="64">
        <f>IFERROR(Y489*I489/H489,"0")</f>
        <v>67.08</v>
      </c>
      <c r="BO489" s="64">
        <f>IFERROR(1/J489*(X489/H489),"0")</f>
        <v>8.698092031425364E-2</v>
      </c>
      <c r="BP489" s="64">
        <f>IFERROR(1/J489*(Y489/H489),"0")</f>
        <v>9.0909090909090925E-2</v>
      </c>
    </row>
    <row r="490" spans="1:68" ht="27" hidden="1" customHeight="1" x14ac:dyDescent="0.25">
      <c r="A490" s="54" t="s">
        <v>778</v>
      </c>
      <c r="B490" s="54" t="s">
        <v>779</v>
      </c>
      <c r="C490" s="31">
        <v>4301031373</v>
      </c>
      <c r="D490" s="633">
        <v>4680115880771</v>
      </c>
      <c r="E490" s="634"/>
      <c r="F490" s="628">
        <v>0.28000000000000003</v>
      </c>
      <c r="G490" s="32">
        <v>6</v>
      </c>
      <c r="H490" s="628">
        <v>1.68</v>
      </c>
      <c r="I490" s="628">
        <v>1.81</v>
      </c>
      <c r="J490" s="32">
        <v>234</v>
      </c>
      <c r="K490" s="32" t="s">
        <v>64</v>
      </c>
      <c r="L490" s="32"/>
      <c r="M490" s="33" t="s">
        <v>65</v>
      </c>
      <c r="N490" s="33"/>
      <c r="O490" s="32">
        <v>50</v>
      </c>
      <c r="P490" s="9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36"/>
      <c r="R490" s="636"/>
      <c r="S490" s="636"/>
      <c r="T490" s="637"/>
      <c r="U490" s="34"/>
      <c r="V490" s="34"/>
      <c r="W490" s="35" t="s">
        <v>66</v>
      </c>
      <c r="X490" s="629">
        <v>0</v>
      </c>
      <c r="Y490" s="630">
        <f>IFERROR(IF(X490="",0,CEILING((X490/$H490),1)*$H490),"")</f>
        <v>0</v>
      </c>
      <c r="Z490" s="36" t="str">
        <f>IFERROR(IF(Y490=0,"",ROUNDUP(Y490/H490,0)*0.00502),"")</f>
        <v/>
      </c>
      <c r="AA490" s="56"/>
      <c r="AB490" s="57"/>
      <c r="AC490" s="565" t="s">
        <v>780</v>
      </c>
      <c r="AG490" s="64"/>
      <c r="AJ490" s="68"/>
      <c r="AK490" s="68">
        <v>0</v>
      </c>
      <c r="BB490" s="566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781</v>
      </c>
      <c r="B491" s="54" t="s">
        <v>782</v>
      </c>
      <c r="C491" s="31">
        <v>4301031359</v>
      </c>
      <c r="D491" s="633">
        <v>4607091389500</v>
      </c>
      <c r="E491" s="634"/>
      <c r="F491" s="628">
        <v>0.35</v>
      </c>
      <c r="G491" s="32">
        <v>6</v>
      </c>
      <c r="H491" s="628">
        <v>2.1</v>
      </c>
      <c r="I491" s="628">
        <v>2.23</v>
      </c>
      <c r="J491" s="32">
        <v>234</v>
      </c>
      <c r="K491" s="32" t="s">
        <v>64</v>
      </c>
      <c r="L491" s="32"/>
      <c r="M491" s="33" t="s">
        <v>65</v>
      </c>
      <c r="N491" s="33"/>
      <c r="O491" s="32">
        <v>50</v>
      </c>
      <c r="P491" s="8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36"/>
      <c r="R491" s="636"/>
      <c r="S491" s="636"/>
      <c r="T491" s="637"/>
      <c r="U491" s="34"/>
      <c r="V491" s="34"/>
      <c r="W491" s="35" t="s">
        <v>66</v>
      </c>
      <c r="X491" s="629">
        <v>0</v>
      </c>
      <c r="Y491" s="630">
        <f>IFERROR(IF(X491="",0,CEILING((X491/$H491),1)*$H491),"")</f>
        <v>0</v>
      </c>
      <c r="Z491" s="36" t="str">
        <f>IFERROR(IF(Y491=0,"",ROUNDUP(Y491/H491,0)*0.00502),"")</f>
        <v/>
      </c>
      <c r="AA491" s="56"/>
      <c r="AB491" s="57"/>
      <c r="AC491" s="567" t="s">
        <v>780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42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4"/>
      <c r="P492" s="646" t="s">
        <v>71</v>
      </c>
      <c r="Q492" s="647"/>
      <c r="R492" s="647"/>
      <c r="S492" s="647"/>
      <c r="T492" s="647"/>
      <c r="U492" s="647"/>
      <c r="V492" s="648"/>
      <c r="W492" s="37" t="s">
        <v>72</v>
      </c>
      <c r="X492" s="631">
        <f>IFERROR(X489/H489,"0")+IFERROR(X490/H490,"0")+IFERROR(X491/H491,"0")</f>
        <v>11.481481481481481</v>
      </c>
      <c r="Y492" s="631">
        <f>IFERROR(Y489/H489,"0")+IFERROR(Y490/H490,"0")+IFERROR(Y491/H491,"0")</f>
        <v>12.000000000000002</v>
      </c>
      <c r="Z492" s="631">
        <f>IFERROR(IF(Z489="",0,Z489),"0")+IFERROR(IF(Z490="",0,Z490),"0")+IFERROR(IF(Z491="",0,Z491),"0")</f>
        <v>0.10824</v>
      </c>
      <c r="AA492" s="632"/>
      <c r="AB492" s="632"/>
      <c r="AC492" s="632"/>
    </row>
    <row r="493" spans="1:68" x14ac:dyDescent="0.2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4"/>
      <c r="P493" s="646" t="s">
        <v>71</v>
      </c>
      <c r="Q493" s="647"/>
      <c r="R493" s="647"/>
      <c r="S493" s="647"/>
      <c r="T493" s="647"/>
      <c r="U493" s="647"/>
      <c r="V493" s="648"/>
      <c r="W493" s="37" t="s">
        <v>66</v>
      </c>
      <c r="X493" s="631">
        <f>IFERROR(SUM(X489:X491),"0")</f>
        <v>62</v>
      </c>
      <c r="Y493" s="631">
        <f>IFERROR(SUM(Y489:Y491),"0")</f>
        <v>64.800000000000011</v>
      </c>
      <c r="Z493" s="37"/>
      <c r="AA493" s="632"/>
      <c r="AB493" s="632"/>
      <c r="AC493" s="632"/>
    </row>
    <row r="494" spans="1:68" ht="27.75" hidden="1" customHeight="1" x14ac:dyDescent="0.2">
      <c r="A494" s="653" t="s">
        <v>783</v>
      </c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4"/>
      <c r="P494" s="654"/>
      <c r="Q494" s="654"/>
      <c r="R494" s="654"/>
      <c r="S494" s="654"/>
      <c r="T494" s="654"/>
      <c r="U494" s="654"/>
      <c r="V494" s="654"/>
      <c r="W494" s="654"/>
      <c r="X494" s="654"/>
      <c r="Y494" s="654"/>
      <c r="Z494" s="654"/>
      <c r="AA494" s="48"/>
      <c r="AB494" s="48"/>
      <c r="AC494" s="48"/>
    </row>
    <row r="495" spans="1:68" ht="16.5" hidden="1" customHeight="1" x14ac:dyDescent="0.25">
      <c r="A495" s="650" t="s">
        <v>783</v>
      </c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  <c r="AA495" s="624"/>
      <c r="AB495" s="624"/>
      <c r="AC495" s="624"/>
    </row>
    <row r="496" spans="1:68" ht="14.25" hidden="1" customHeight="1" x14ac:dyDescent="0.25">
      <c r="A496" s="652" t="s">
        <v>112</v>
      </c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  <c r="AA496" s="625"/>
      <c r="AB496" s="625"/>
      <c r="AC496" s="625"/>
    </row>
    <row r="497" spans="1:68" ht="27" customHeight="1" x14ac:dyDescent="0.25">
      <c r="A497" s="54" t="s">
        <v>784</v>
      </c>
      <c r="B497" s="54" t="s">
        <v>785</v>
      </c>
      <c r="C497" s="31">
        <v>4301011769</v>
      </c>
      <c r="D497" s="633">
        <v>4607091389067</v>
      </c>
      <c r="E497" s="634"/>
      <c r="F497" s="628">
        <v>0.88</v>
      </c>
      <c r="G497" s="32">
        <v>6</v>
      </c>
      <c r="H497" s="628">
        <v>5.28</v>
      </c>
      <c r="I497" s="628">
        <v>5.63</v>
      </c>
      <c r="J497" s="32">
        <v>104</v>
      </c>
      <c r="K497" s="32" t="s">
        <v>115</v>
      </c>
      <c r="L497" s="32"/>
      <c r="M497" s="33" t="s">
        <v>77</v>
      </c>
      <c r="N497" s="33"/>
      <c r="O497" s="32">
        <v>60</v>
      </c>
      <c r="P497" s="9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36"/>
      <c r="R497" s="636"/>
      <c r="S497" s="636"/>
      <c r="T497" s="637"/>
      <c r="U497" s="34"/>
      <c r="V497" s="34"/>
      <c r="W497" s="35" t="s">
        <v>66</v>
      </c>
      <c r="X497" s="629">
        <v>42</v>
      </c>
      <c r="Y497" s="630">
        <f t="shared" ref="Y497:Y505" si="69">IFERROR(IF(X497="",0,CEILING((X497/$H497),1)*$H497),"")</f>
        <v>42.24</v>
      </c>
      <c r="Z497" s="36">
        <f t="shared" ref="Z497:Z502" si="70">IFERROR(IF(Y497=0,"",ROUNDUP(Y497/H497,0)*0.01196),"")</f>
        <v>9.5680000000000001E-2</v>
      </c>
      <c r="AA497" s="56"/>
      <c r="AB497" s="57"/>
      <c r="AC497" s="569" t="s">
        <v>117</v>
      </c>
      <c r="AG497" s="64"/>
      <c r="AJ497" s="68"/>
      <c r="AK497" s="68">
        <v>0</v>
      </c>
      <c r="BB497" s="570" t="s">
        <v>1</v>
      </c>
      <c r="BM497" s="64">
        <f t="shared" ref="BM497:BM505" si="71">IFERROR(X497*I497/H497,"0")</f>
        <v>44.784090909090907</v>
      </c>
      <c r="BN497" s="64">
        <f t="shared" ref="BN497:BN505" si="72">IFERROR(Y497*I497/H497,"0")</f>
        <v>45.04</v>
      </c>
      <c r="BO497" s="64">
        <f t="shared" ref="BO497:BO505" si="73">IFERROR(1/J497*(X497/H497),"0")</f>
        <v>7.6486013986013984E-2</v>
      </c>
      <c r="BP497" s="64">
        <f t="shared" ref="BP497:BP505" si="74">IFERROR(1/J497*(Y497/H497),"0")</f>
        <v>7.6923076923076927E-2</v>
      </c>
    </row>
    <row r="498" spans="1:68" ht="16.5" hidden="1" customHeight="1" x14ac:dyDescent="0.25">
      <c r="A498" s="54" t="s">
        <v>786</v>
      </c>
      <c r="B498" s="54" t="s">
        <v>787</v>
      </c>
      <c r="C498" s="31">
        <v>4301012380</v>
      </c>
      <c r="D498" s="633">
        <v>4680115889576</v>
      </c>
      <c r="E498" s="634"/>
      <c r="F498" s="628">
        <v>0.88</v>
      </c>
      <c r="G498" s="32">
        <v>6</v>
      </c>
      <c r="H498" s="628">
        <v>5.28</v>
      </c>
      <c r="I498" s="628">
        <v>5.63</v>
      </c>
      <c r="J498" s="32">
        <v>104</v>
      </c>
      <c r="K498" s="32" t="s">
        <v>115</v>
      </c>
      <c r="L498" s="32"/>
      <c r="M498" s="33" t="s">
        <v>116</v>
      </c>
      <c r="N498" s="33"/>
      <c r="O498" s="32">
        <v>60</v>
      </c>
      <c r="P498" s="76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36"/>
      <c r="R498" s="636"/>
      <c r="S498" s="636"/>
      <c r="T498" s="637"/>
      <c r="U498" s="34"/>
      <c r="V498" s="34"/>
      <c r="W498" s="35" t="s">
        <v>66</v>
      </c>
      <c r="X498" s="629">
        <v>0</v>
      </c>
      <c r="Y498" s="630">
        <f t="shared" si="69"/>
        <v>0</v>
      </c>
      <c r="Z498" s="36" t="str">
        <f t="shared" si="70"/>
        <v/>
      </c>
      <c r="AA498" s="56"/>
      <c r="AB498" s="57"/>
      <c r="AC498" s="571" t="s">
        <v>788</v>
      </c>
      <c r="AG498" s="64"/>
      <c r="AJ498" s="68"/>
      <c r="AK498" s="68">
        <v>0</v>
      </c>
      <c r="BB498" s="572" t="s">
        <v>1</v>
      </c>
      <c r="BM498" s="64">
        <f t="shared" si="71"/>
        <v>0</v>
      </c>
      <c r="BN498" s="64">
        <f t="shared" si="72"/>
        <v>0</v>
      </c>
      <c r="BO498" s="64">
        <f t="shared" si="73"/>
        <v>0</v>
      </c>
      <c r="BP498" s="64">
        <f t="shared" si="74"/>
        <v>0</v>
      </c>
    </row>
    <row r="499" spans="1:68" ht="27" customHeight="1" x14ac:dyDescent="0.25">
      <c r="A499" s="54" t="s">
        <v>789</v>
      </c>
      <c r="B499" s="54" t="s">
        <v>790</v>
      </c>
      <c r="C499" s="31">
        <v>4301011961</v>
      </c>
      <c r="D499" s="633">
        <v>4680115885271</v>
      </c>
      <c r="E499" s="634"/>
      <c r="F499" s="628">
        <v>0.88</v>
      </c>
      <c r="G499" s="32">
        <v>6</v>
      </c>
      <c r="H499" s="628">
        <v>5.28</v>
      </c>
      <c r="I499" s="628">
        <v>5.63</v>
      </c>
      <c r="J499" s="32">
        <v>104</v>
      </c>
      <c r="K499" s="32" t="s">
        <v>115</v>
      </c>
      <c r="L499" s="32"/>
      <c r="M499" s="33" t="s">
        <v>116</v>
      </c>
      <c r="N499" s="33"/>
      <c r="O499" s="32">
        <v>60</v>
      </c>
      <c r="P499" s="9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36"/>
      <c r="R499" s="636"/>
      <c r="S499" s="636"/>
      <c r="T499" s="637"/>
      <c r="U499" s="34"/>
      <c r="V499" s="34"/>
      <c r="W499" s="35" t="s">
        <v>66</v>
      </c>
      <c r="X499" s="629">
        <v>12</v>
      </c>
      <c r="Y499" s="630">
        <f t="shared" si="69"/>
        <v>15.84</v>
      </c>
      <c r="Z499" s="36">
        <f t="shared" si="70"/>
        <v>3.5880000000000002E-2</v>
      </c>
      <c r="AA499" s="56"/>
      <c r="AB499" s="57"/>
      <c r="AC499" s="573" t="s">
        <v>791</v>
      </c>
      <c r="AG499" s="64"/>
      <c r="AJ499" s="68"/>
      <c r="AK499" s="68">
        <v>0</v>
      </c>
      <c r="BB499" s="574" t="s">
        <v>1</v>
      </c>
      <c r="BM499" s="64">
        <f t="shared" si="71"/>
        <v>12.795454545454545</v>
      </c>
      <c r="BN499" s="64">
        <f t="shared" si="72"/>
        <v>16.889999999999997</v>
      </c>
      <c r="BO499" s="64">
        <f t="shared" si="73"/>
        <v>2.1853146853146852E-2</v>
      </c>
      <c r="BP499" s="64">
        <f t="shared" si="74"/>
        <v>2.8846153846153848E-2</v>
      </c>
    </row>
    <row r="500" spans="1:68" ht="27" customHeight="1" x14ac:dyDescent="0.25">
      <c r="A500" s="54" t="s">
        <v>792</v>
      </c>
      <c r="B500" s="54" t="s">
        <v>793</v>
      </c>
      <c r="C500" s="31">
        <v>4301011369</v>
      </c>
      <c r="D500" s="633">
        <v>4680115885226</v>
      </c>
      <c r="E500" s="634"/>
      <c r="F500" s="628">
        <v>0.88</v>
      </c>
      <c r="G500" s="32">
        <v>6</v>
      </c>
      <c r="H500" s="628">
        <v>5.28</v>
      </c>
      <c r="I500" s="628">
        <v>5.63</v>
      </c>
      <c r="J500" s="32">
        <v>104</v>
      </c>
      <c r="K500" s="32" t="s">
        <v>115</v>
      </c>
      <c r="L500" s="32"/>
      <c r="M500" s="33" t="s">
        <v>116</v>
      </c>
      <c r="N500" s="33"/>
      <c r="O500" s="32">
        <v>60</v>
      </c>
      <c r="P500" s="86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36"/>
      <c r="R500" s="636"/>
      <c r="S500" s="636"/>
      <c r="T500" s="637"/>
      <c r="U500" s="34"/>
      <c r="V500" s="34"/>
      <c r="W500" s="35" t="s">
        <v>66</v>
      </c>
      <c r="X500" s="629">
        <v>158</v>
      </c>
      <c r="Y500" s="630">
        <f t="shared" si="69"/>
        <v>158.4</v>
      </c>
      <c r="Z500" s="36">
        <f t="shared" si="70"/>
        <v>0.35880000000000001</v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71"/>
        <v>168.47348484848484</v>
      </c>
      <c r="BN500" s="64">
        <f t="shared" si="72"/>
        <v>168.9</v>
      </c>
      <c r="BO500" s="64">
        <f t="shared" si="73"/>
        <v>0.28773310023310023</v>
      </c>
      <c r="BP500" s="64">
        <f t="shared" si="74"/>
        <v>0.28846153846153849</v>
      </c>
    </row>
    <row r="501" spans="1:68" ht="16.5" hidden="1" customHeight="1" x14ac:dyDescent="0.25">
      <c r="A501" s="54" t="s">
        <v>795</v>
      </c>
      <c r="B501" s="54" t="s">
        <v>796</v>
      </c>
      <c r="C501" s="31">
        <v>4301011797</v>
      </c>
      <c r="D501" s="633">
        <v>4680115884502</v>
      </c>
      <c r="E501" s="634"/>
      <c r="F501" s="628">
        <v>0.88</v>
      </c>
      <c r="G501" s="32">
        <v>6</v>
      </c>
      <c r="H501" s="628">
        <v>5.28</v>
      </c>
      <c r="I501" s="628">
        <v>5.63</v>
      </c>
      <c r="J501" s="32">
        <v>104</v>
      </c>
      <c r="K501" s="32" t="s">
        <v>115</v>
      </c>
      <c r="L501" s="32"/>
      <c r="M501" s="33" t="s">
        <v>77</v>
      </c>
      <c r="N501" s="33"/>
      <c r="O501" s="32">
        <v>60</v>
      </c>
      <c r="P501" s="8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36"/>
      <c r="R501" s="636"/>
      <c r="S501" s="636"/>
      <c r="T501" s="637"/>
      <c r="U501" s="34"/>
      <c r="V501" s="34"/>
      <c r="W501" s="35" t="s">
        <v>66</v>
      </c>
      <c r="X501" s="629">
        <v>0</v>
      </c>
      <c r="Y501" s="630">
        <f t="shared" si="69"/>
        <v>0</v>
      </c>
      <c r="Z501" s="36" t="str">
        <f t="shared" si="70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71"/>
        <v>0</v>
      </c>
      <c r="BN501" s="64">
        <f t="shared" si="72"/>
        <v>0</v>
      </c>
      <c r="BO501" s="64">
        <f t="shared" si="73"/>
        <v>0</v>
      </c>
      <c r="BP501" s="64">
        <f t="shared" si="74"/>
        <v>0</v>
      </c>
    </row>
    <row r="502" spans="1:68" ht="27" customHeight="1" x14ac:dyDescent="0.25">
      <c r="A502" s="54" t="s">
        <v>798</v>
      </c>
      <c r="B502" s="54" t="s">
        <v>799</v>
      </c>
      <c r="C502" s="31">
        <v>4301011771</v>
      </c>
      <c r="D502" s="633">
        <v>4607091389104</v>
      </c>
      <c r="E502" s="634"/>
      <c r="F502" s="628">
        <v>0.88</v>
      </c>
      <c r="G502" s="32">
        <v>6</v>
      </c>
      <c r="H502" s="628">
        <v>5.28</v>
      </c>
      <c r="I502" s="628">
        <v>5.63</v>
      </c>
      <c r="J502" s="32">
        <v>104</v>
      </c>
      <c r="K502" s="32" t="s">
        <v>115</v>
      </c>
      <c r="L502" s="32"/>
      <c r="M502" s="33" t="s">
        <v>116</v>
      </c>
      <c r="N502" s="33"/>
      <c r="O502" s="32">
        <v>60</v>
      </c>
      <c r="P502" s="7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36"/>
      <c r="R502" s="636"/>
      <c r="S502" s="636"/>
      <c r="T502" s="637"/>
      <c r="U502" s="34"/>
      <c r="V502" s="34"/>
      <c r="W502" s="35" t="s">
        <v>66</v>
      </c>
      <c r="X502" s="629">
        <v>227</v>
      </c>
      <c r="Y502" s="630">
        <f t="shared" si="69"/>
        <v>227.04000000000002</v>
      </c>
      <c r="Z502" s="36">
        <f t="shared" si="70"/>
        <v>0.51427999999999996</v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71"/>
        <v>242.04734848484847</v>
      </c>
      <c r="BN502" s="64">
        <f t="shared" si="72"/>
        <v>242.09</v>
      </c>
      <c r="BO502" s="64">
        <f t="shared" si="73"/>
        <v>0.41338869463869465</v>
      </c>
      <c r="BP502" s="64">
        <f t="shared" si="74"/>
        <v>0.41346153846153849</v>
      </c>
    </row>
    <row r="503" spans="1:68" ht="27" hidden="1" customHeight="1" x14ac:dyDescent="0.25">
      <c r="A503" s="54" t="s">
        <v>801</v>
      </c>
      <c r="B503" s="54" t="s">
        <v>802</v>
      </c>
      <c r="C503" s="31">
        <v>4301012125</v>
      </c>
      <c r="D503" s="633">
        <v>4680115886391</v>
      </c>
      <c r="E503" s="634"/>
      <c r="F503" s="628">
        <v>0.4</v>
      </c>
      <c r="G503" s="32">
        <v>6</v>
      </c>
      <c r="H503" s="628">
        <v>2.4</v>
      </c>
      <c r="I503" s="628">
        <v>2.58</v>
      </c>
      <c r="J503" s="32">
        <v>182</v>
      </c>
      <c r="K503" s="32" t="s">
        <v>76</v>
      </c>
      <c r="L503" s="32"/>
      <c r="M503" s="33" t="s">
        <v>77</v>
      </c>
      <c r="N503" s="33"/>
      <c r="O503" s="32">
        <v>60</v>
      </c>
      <c r="P503" s="85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36"/>
      <c r="R503" s="636"/>
      <c r="S503" s="636"/>
      <c r="T503" s="637"/>
      <c r="U503" s="34"/>
      <c r="V503" s="34"/>
      <c r="W503" s="35" t="s">
        <v>66</v>
      </c>
      <c r="X503" s="629">
        <v>0</v>
      </c>
      <c r="Y503" s="630">
        <f t="shared" si="69"/>
        <v>0</v>
      </c>
      <c r="Z503" s="36" t="str">
        <f>IFERROR(IF(Y503=0,"",ROUNDUP(Y503/H503,0)*0.00651),"")</f>
        <v/>
      </c>
      <c r="AA503" s="56"/>
      <c r="AB503" s="57"/>
      <c r="AC503" s="581" t="s">
        <v>117</v>
      </c>
      <c r="AG503" s="64"/>
      <c r="AJ503" s="68"/>
      <c r="AK503" s="68">
        <v>0</v>
      </c>
      <c r="BB503" s="582" t="s">
        <v>1</v>
      </c>
      <c r="BM503" s="64">
        <f t="shared" si="71"/>
        <v>0</v>
      </c>
      <c r="BN503" s="64">
        <f t="shared" si="72"/>
        <v>0</v>
      </c>
      <c r="BO503" s="64">
        <f t="shared" si="73"/>
        <v>0</v>
      </c>
      <c r="BP503" s="64">
        <f t="shared" si="74"/>
        <v>0</v>
      </c>
    </row>
    <row r="504" spans="1:68" ht="27" hidden="1" customHeight="1" x14ac:dyDescent="0.25">
      <c r="A504" s="54" t="s">
        <v>803</v>
      </c>
      <c r="B504" s="54" t="s">
        <v>804</v>
      </c>
      <c r="C504" s="31">
        <v>4301012048</v>
      </c>
      <c r="D504" s="633">
        <v>4680115880603</v>
      </c>
      <c r="E504" s="634"/>
      <c r="F504" s="628">
        <v>0.6</v>
      </c>
      <c r="G504" s="32">
        <v>8</v>
      </c>
      <c r="H504" s="628">
        <v>4.8</v>
      </c>
      <c r="I504" s="628">
        <v>6.91</v>
      </c>
      <c r="J504" s="32">
        <v>132</v>
      </c>
      <c r="K504" s="32" t="s">
        <v>124</v>
      </c>
      <c r="L504" s="32"/>
      <c r="M504" s="33" t="s">
        <v>77</v>
      </c>
      <c r="N504" s="33"/>
      <c r="O504" s="32">
        <v>60</v>
      </c>
      <c r="P504" s="85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36"/>
      <c r="R504" s="636"/>
      <c r="S504" s="636"/>
      <c r="T504" s="637"/>
      <c r="U504" s="34"/>
      <c r="V504" s="34"/>
      <c r="W504" s="35" t="s">
        <v>66</v>
      </c>
      <c r="X504" s="629">
        <v>0</v>
      </c>
      <c r="Y504" s="630">
        <f t="shared" si="69"/>
        <v>0</v>
      </c>
      <c r="Z504" s="36" t="str">
        <f>IFERROR(IF(Y504=0,"",ROUNDUP(Y504/H504,0)*0.00902),"")</f>
        <v/>
      </c>
      <c r="AA504" s="56"/>
      <c r="AB504" s="57"/>
      <c r="AC504" s="583" t="s">
        <v>117</v>
      </c>
      <c r="AG504" s="64"/>
      <c r="AJ504" s="68"/>
      <c r="AK504" s="68">
        <v>0</v>
      </c>
      <c r="BB504" s="584" t="s">
        <v>1</v>
      </c>
      <c r="BM504" s="64">
        <f t="shared" si="71"/>
        <v>0</v>
      </c>
      <c r="BN504" s="64">
        <f t="shared" si="72"/>
        <v>0</v>
      </c>
      <c r="BO504" s="64">
        <f t="shared" si="73"/>
        <v>0</v>
      </c>
      <c r="BP504" s="64">
        <f t="shared" si="74"/>
        <v>0</v>
      </c>
    </row>
    <row r="505" spans="1:68" ht="27" customHeight="1" x14ac:dyDescent="0.25">
      <c r="A505" s="54" t="s">
        <v>805</v>
      </c>
      <c r="B505" s="54" t="s">
        <v>806</v>
      </c>
      <c r="C505" s="31">
        <v>4301012034</v>
      </c>
      <c r="D505" s="633">
        <v>4607091389982</v>
      </c>
      <c r="E505" s="634"/>
      <c r="F505" s="628">
        <v>0.6</v>
      </c>
      <c r="G505" s="32">
        <v>8</v>
      </c>
      <c r="H505" s="628">
        <v>4.8</v>
      </c>
      <c r="I505" s="628">
        <v>6.91</v>
      </c>
      <c r="J505" s="32">
        <v>132</v>
      </c>
      <c r="K505" s="32" t="s">
        <v>124</v>
      </c>
      <c r="L505" s="32"/>
      <c r="M505" s="33" t="s">
        <v>116</v>
      </c>
      <c r="N505" s="33"/>
      <c r="O505" s="32">
        <v>60</v>
      </c>
      <c r="P505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36"/>
      <c r="R505" s="636"/>
      <c r="S505" s="636"/>
      <c r="T505" s="637"/>
      <c r="U505" s="34"/>
      <c r="V505" s="34"/>
      <c r="W505" s="35" t="s">
        <v>66</v>
      </c>
      <c r="X505" s="629">
        <v>53</v>
      </c>
      <c r="Y505" s="630">
        <f t="shared" si="69"/>
        <v>57.599999999999994</v>
      </c>
      <c r="Z505" s="36">
        <f>IFERROR(IF(Y505=0,"",ROUNDUP(Y505/H505,0)*0.00902),"")</f>
        <v>0.10824</v>
      </c>
      <c r="AA505" s="56"/>
      <c r="AB505" s="57"/>
      <c r="AC505" s="585" t="s">
        <v>800</v>
      </c>
      <c r="AG505" s="64"/>
      <c r="AJ505" s="68"/>
      <c r="AK505" s="68">
        <v>0</v>
      </c>
      <c r="BB505" s="586" t="s">
        <v>1</v>
      </c>
      <c r="BM505" s="64">
        <f t="shared" si="71"/>
        <v>76.29791666666668</v>
      </c>
      <c r="BN505" s="64">
        <f t="shared" si="72"/>
        <v>82.92</v>
      </c>
      <c r="BO505" s="64">
        <f t="shared" si="73"/>
        <v>8.3648989898989917E-2</v>
      </c>
      <c r="BP505" s="64">
        <f t="shared" si="74"/>
        <v>9.0909090909090912E-2</v>
      </c>
    </row>
    <row r="506" spans="1:68" x14ac:dyDescent="0.2">
      <c r="A506" s="642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4"/>
      <c r="P506" s="646" t="s">
        <v>71</v>
      </c>
      <c r="Q506" s="647"/>
      <c r="R506" s="647"/>
      <c r="S506" s="647"/>
      <c r="T506" s="647"/>
      <c r="U506" s="647"/>
      <c r="V506" s="648"/>
      <c r="W506" s="37" t="s">
        <v>72</v>
      </c>
      <c r="X506" s="631">
        <f>IFERROR(X497/H497,"0")+IFERROR(X498/H498,"0")+IFERROR(X499/H499,"0")+IFERROR(X500/H500,"0")+IFERROR(X501/H501,"0")+IFERROR(X502/H502,"0")+IFERROR(X503/H503,"0")+IFERROR(X504/H504,"0")+IFERROR(X505/H505,"0")</f>
        <v>94.185606060606062</v>
      </c>
      <c r="Y506" s="631">
        <f>IFERROR(Y497/H497,"0")+IFERROR(Y498/H498,"0")+IFERROR(Y499/H499,"0")+IFERROR(Y500/H500,"0")+IFERROR(Y501/H501,"0")+IFERROR(Y502/H502,"0")+IFERROR(Y503/H503,"0")+IFERROR(Y504/H504,"0")+IFERROR(Y505/H505,"0")</f>
        <v>96</v>
      </c>
      <c r="Z506" s="63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1.1128800000000001</v>
      </c>
      <c r="AA506" s="632"/>
      <c r="AB506" s="632"/>
      <c r="AC506" s="632"/>
    </row>
    <row r="507" spans="1:68" x14ac:dyDescent="0.2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4"/>
      <c r="P507" s="646" t="s">
        <v>71</v>
      </c>
      <c r="Q507" s="647"/>
      <c r="R507" s="647"/>
      <c r="S507" s="647"/>
      <c r="T507" s="647"/>
      <c r="U507" s="647"/>
      <c r="V507" s="648"/>
      <c r="W507" s="37" t="s">
        <v>66</v>
      </c>
      <c r="X507" s="631">
        <f>IFERROR(SUM(X497:X505),"0")</f>
        <v>492</v>
      </c>
      <c r="Y507" s="631">
        <f>IFERROR(SUM(Y497:Y505),"0")</f>
        <v>501.12</v>
      </c>
      <c r="Z507" s="37"/>
      <c r="AA507" s="632"/>
      <c r="AB507" s="632"/>
      <c r="AC507" s="632"/>
    </row>
    <row r="508" spans="1:68" ht="14.25" hidden="1" customHeight="1" x14ac:dyDescent="0.25">
      <c r="A508" s="652" t="s">
        <v>145</v>
      </c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  <c r="AA508" s="625"/>
      <c r="AB508" s="625"/>
      <c r="AC508" s="625"/>
    </row>
    <row r="509" spans="1:68" ht="16.5" customHeight="1" x14ac:dyDescent="0.25">
      <c r="A509" s="54" t="s">
        <v>807</v>
      </c>
      <c r="B509" s="54" t="s">
        <v>808</v>
      </c>
      <c r="C509" s="31">
        <v>4301020334</v>
      </c>
      <c r="D509" s="633">
        <v>4607091388930</v>
      </c>
      <c r="E509" s="634"/>
      <c r="F509" s="628">
        <v>0.88</v>
      </c>
      <c r="G509" s="32">
        <v>6</v>
      </c>
      <c r="H509" s="628">
        <v>5.28</v>
      </c>
      <c r="I509" s="628">
        <v>5.63</v>
      </c>
      <c r="J509" s="32">
        <v>104</v>
      </c>
      <c r="K509" s="32" t="s">
        <v>115</v>
      </c>
      <c r="L509" s="32"/>
      <c r="M509" s="33" t="s">
        <v>77</v>
      </c>
      <c r="N509" s="33"/>
      <c r="O509" s="32">
        <v>70</v>
      </c>
      <c r="P509" s="94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36"/>
      <c r="R509" s="636"/>
      <c r="S509" s="636"/>
      <c r="T509" s="637"/>
      <c r="U509" s="34"/>
      <c r="V509" s="34"/>
      <c r="W509" s="35" t="s">
        <v>66</v>
      </c>
      <c r="X509" s="629">
        <v>139</v>
      </c>
      <c r="Y509" s="630">
        <f>IFERROR(IF(X509="",0,CEILING((X509/$H509),1)*$H509),"")</f>
        <v>142.56</v>
      </c>
      <c r="Z509" s="36">
        <f>IFERROR(IF(Y509=0,"",ROUNDUP(Y509/H509,0)*0.01196),"")</f>
        <v>0.32291999999999998</v>
      </c>
      <c r="AA509" s="56"/>
      <c r="AB509" s="57"/>
      <c r="AC509" s="587" t="s">
        <v>809</v>
      </c>
      <c r="AG509" s="64"/>
      <c r="AJ509" s="68"/>
      <c r="AK509" s="68">
        <v>0</v>
      </c>
      <c r="BB509" s="588" t="s">
        <v>1</v>
      </c>
      <c r="BM509" s="64">
        <f>IFERROR(X509*I509/H509,"0")</f>
        <v>148.21401515151513</v>
      </c>
      <c r="BN509" s="64">
        <f>IFERROR(Y509*I509/H509,"0")</f>
        <v>152.01</v>
      </c>
      <c r="BO509" s="64">
        <f>IFERROR(1/J509*(X509/H509),"0")</f>
        <v>0.25313228438228436</v>
      </c>
      <c r="BP509" s="64">
        <f>IFERROR(1/J509*(Y509/H509),"0")</f>
        <v>0.25961538461538464</v>
      </c>
    </row>
    <row r="510" spans="1:68" ht="16.5" hidden="1" customHeight="1" x14ac:dyDescent="0.25">
      <c r="A510" s="54" t="s">
        <v>810</v>
      </c>
      <c r="B510" s="54" t="s">
        <v>811</v>
      </c>
      <c r="C510" s="31">
        <v>4301020374</v>
      </c>
      <c r="D510" s="633">
        <v>4680115886407</v>
      </c>
      <c r="E510" s="634"/>
      <c r="F510" s="628">
        <v>0.4</v>
      </c>
      <c r="G510" s="32">
        <v>6</v>
      </c>
      <c r="H510" s="628">
        <v>2.4</v>
      </c>
      <c r="I510" s="628">
        <v>2.58</v>
      </c>
      <c r="J510" s="32">
        <v>182</v>
      </c>
      <c r="K510" s="32" t="s">
        <v>76</v>
      </c>
      <c r="L510" s="32"/>
      <c r="M510" s="33" t="s">
        <v>116</v>
      </c>
      <c r="N510" s="33"/>
      <c r="O510" s="32">
        <v>70</v>
      </c>
      <c r="P510" s="9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36"/>
      <c r="R510" s="636"/>
      <c r="S510" s="636"/>
      <c r="T510" s="637"/>
      <c r="U510" s="34"/>
      <c r="V510" s="34"/>
      <c r="W510" s="35" t="s">
        <v>66</v>
      </c>
      <c r="X510" s="629">
        <v>0</v>
      </c>
      <c r="Y510" s="630">
        <f>IFERROR(IF(X510="",0,CEILING((X510/$H510),1)*$H510),"")</f>
        <v>0</v>
      </c>
      <c r="Z510" s="36" t="str">
        <f>IFERROR(IF(Y510=0,"",ROUNDUP(Y510/H510,0)*0.00651),"")</f>
        <v/>
      </c>
      <c r="AA510" s="56"/>
      <c r="AB510" s="57"/>
      <c r="AC510" s="589" t="s">
        <v>809</v>
      </c>
      <c r="AG510" s="64"/>
      <c r="AJ510" s="68"/>
      <c r="AK510" s="68">
        <v>0</v>
      </c>
      <c r="BB510" s="590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ht="16.5" hidden="1" customHeight="1" x14ac:dyDescent="0.25">
      <c r="A511" s="54" t="s">
        <v>812</v>
      </c>
      <c r="B511" s="54" t="s">
        <v>813</v>
      </c>
      <c r="C511" s="31">
        <v>4301020385</v>
      </c>
      <c r="D511" s="633">
        <v>4680115880054</v>
      </c>
      <c r="E511" s="634"/>
      <c r="F511" s="628">
        <v>0.6</v>
      </c>
      <c r="G511" s="32">
        <v>8</v>
      </c>
      <c r="H511" s="628">
        <v>4.8</v>
      </c>
      <c r="I511" s="628">
        <v>6.91</v>
      </c>
      <c r="J511" s="32">
        <v>132</v>
      </c>
      <c r="K511" s="32" t="s">
        <v>124</v>
      </c>
      <c r="L511" s="32"/>
      <c r="M511" s="33" t="s">
        <v>116</v>
      </c>
      <c r="N511" s="33"/>
      <c r="O511" s="32">
        <v>70</v>
      </c>
      <c r="P511" s="83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36"/>
      <c r="R511" s="636"/>
      <c r="S511" s="636"/>
      <c r="T511" s="637"/>
      <c r="U511" s="34"/>
      <c r="V511" s="34"/>
      <c r="W511" s="35" t="s">
        <v>66</v>
      </c>
      <c r="X511" s="629">
        <v>0</v>
      </c>
      <c r="Y511" s="630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91" t="s">
        <v>809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42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4"/>
      <c r="P512" s="646" t="s">
        <v>71</v>
      </c>
      <c r="Q512" s="647"/>
      <c r="R512" s="647"/>
      <c r="S512" s="647"/>
      <c r="T512" s="647"/>
      <c r="U512" s="647"/>
      <c r="V512" s="648"/>
      <c r="W512" s="37" t="s">
        <v>72</v>
      </c>
      <c r="X512" s="631">
        <f>IFERROR(X509/H509,"0")+IFERROR(X510/H510,"0")+IFERROR(X511/H511,"0")</f>
        <v>26.325757575757574</v>
      </c>
      <c r="Y512" s="631">
        <f>IFERROR(Y509/H509,"0")+IFERROR(Y510/H510,"0")+IFERROR(Y511/H511,"0")</f>
        <v>27</v>
      </c>
      <c r="Z512" s="631">
        <f>IFERROR(IF(Z509="",0,Z509),"0")+IFERROR(IF(Z510="",0,Z510),"0")+IFERROR(IF(Z511="",0,Z511),"0")</f>
        <v>0.32291999999999998</v>
      </c>
      <c r="AA512" s="632"/>
      <c r="AB512" s="632"/>
      <c r="AC512" s="632"/>
    </row>
    <row r="513" spans="1:68" x14ac:dyDescent="0.2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4"/>
      <c r="P513" s="646" t="s">
        <v>71</v>
      </c>
      <c r="Q513" s="647"/>
      <c r="R513" s="647"/>
      <c r="S513" s="647"/>
      <c r="T513" s="647"/>
      <c r="U513" s="647"/>
      <c r="V513" s="648"/>
      <c r="W513" s="37" t="s">
        <v>66</v>
      </c>
      <c r="X513" s="631">
        <f>IFERROR(SUM(X509:X511),"0")</f>
        <v>139</v>
      </c>
      <c r="Y513" s="631">
        <f>IFERROR(SUM(Y509:Y511),"0")</f>
        <v>142.56</v>
      </c>
      <c r="Z513" s="37"/>
      <c r="AA513" s="632"/>
      <c r="AB513" s="632"/>
      <c r="AC513" s="632"/>
    </row>
    <row r="514" spans="1:68" ht="14.25" hidden="1" customHeight="1" x14ac:dyDescent="0.25">
      <c r="A514" s="652" t="s">
        <v>61</v>
      </c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  <c r="AA514" s="625"/>
      <c r="AB514" s="625"/>
      <c r="AC514" s="625"/>
    </row>
    <row r="515" spans="1:68" ht="27" customHeight="1" x14ac:dyDescent="0.25">
      <c r="A515" s="54" t="s">
        <v>814</v>
      </c>
      <c r="B515" s="54" t="s">
        <v>815</v>
      </c>
      <c r="C515" s="31">
        <v>4301031349</v>
      </c>
      <c r="D515" s="633">
        <v>4680115883116</v>
      </c>
      <c r="E515" s="634"/>
      <c r="F515" s="628">
        <v>0.88</v>
      </c>
      <c r="G515" s="32">
        <v>6</v>
      </c>
      <c r="H515" s="628">
        <v>5.28</v>
      </c>
      <c r="I515" s="628">
        <v>5.63</v>
      </c>
      <c r="J515" s="32">
        <v>104</v>
      </c>
      <c r="K515" s="32" t="s">
        <v>115</v>
      </c>
      <c r="L515" s="32"/>
      <c r="M515" s="33" t="s">
        <v>116</v>
      </c>
      <c r="N515" s="33"/>
      <c r="O515" s="32">
        <v>70</v>
      </c>
      <c r="P515" s="94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66</v>
      </c>
      <c r="X515" s="629">
        <v>44</v>
      </c>
      <c r="Y515" s="630">
        <f t="shared" ref="Y515:Y521" si="75">IFERROR(IF(X515="",0,CEILING((X515/$H515),1)*$H515),"")</f>
        <v>47.52</v>
      </c>
      <c r="Z515" s="36">
        <f>IFERROR(IF(Y515=0,"",ROUNDUP(Y515/H515,0)*0.01196),"")</f>
        <v>0.10764</v>
      </c>
      <c r="AA515" s="56"/>
      <c r="AB515" s="57"/>
      <c r="AC515" s="593" t="s">
        <v>816</v>
      </c>
      <c r="AG515" s="64"/>
      <c r="AJ515" s="68"/>
      <c r="AK515" s="68">
        <v>0</v>
      </c>
      <c r="BB515" s="594" t="s">
        <v>1</v>
      </c>
      <c r="BM515" s="64">
        <f t="shared" ref="BM515:BM521" si="76">IFERROR(X515*I515/H515,"0")</f>
        <v>46.916666666666664</v>
      </c>
      <c r="BN515" s="64">
        <f t="shared" ref="BN515:BN521" si="77">IFERROR(Y515*I515/H515,"0")</f>
        <v>50.669999999999995</v>
      </c>
      <c r="BO515" s="64">
        <f t="shared" ref="BO515:BO521" si="78">IFERROR(1/J515*(X515/H515),"0")</f>
        <v>8.0128205128205121E-2</v>
      </c>
      <c r="BP515" s="64">
        <f t="shared" ref="BP515:BP521" si="79">IFERROR(1/J515*(Y515/H515),"0")</f>
        <v>8.6538461538461536E-2</v>
      </c>
    </row>
    <row r="516" spans="1:68" ht="27" customHeight="1" x14ac:dyDescent="0.25">
      <c r="A516" s="54" t="s">
        <v>817</v>
      </c>
      <c r="B516" s="54" t="s">
        <v>818</v>
      </c>
      <c r="C516" s="31">
        <v>4301031350</v>
      </c>
      <c r="D516" s="633">
        <v>4680115883093</v>
      </c>
      <c r="E516" s="634"/>
      <c r="F516" s="628">
        <v>0.88</v>
      </c>
      <c r="G516" s="32">
        <v>6</v>
      </c>
      <c r="H516" s="628">
        <v>5.28</v>
      </c>
      <c r="I516" s="628">
        <v>5.63</v>
      </c>
      <c r="J516" s="32">
        <v>104</v>
      </c>
      <c r="K516" s="32" t="s">
        <v>115</v>
      </c>
      <c r="L516" s="32"/>
      <c r="M516" s="33" t="s">
        <v>65</v>
      </c>
      <c r="N516" s="33"/>
      <c r="O516" s="32">
        <v>70</v>
      </c>
      <c r="P516" s="83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36"/>
      <c r="R516" s="636"/>
      <c r="S516" s="636"/>
      <c r="T516" s="637"/>
      <c r="U516" s="34"/>
      <c r="V516" s="34"/>
      <c r="W516" s="35" t="s">
        <v>66</v>
      </c>
      <c r="X516" s="629">
        <v>70</v>
      </c>
      <c r="Y516" s="630">
        <f t="shared" si="75"/>
        <v>73.92</v>
      </c>
      <c r="Z516" s="36">
        <f>IFERROR(IF(Y516=0,"",ROUNDUP(Y516/H516,0)*0.01196),"")</f>
        <v>0.16744000000000001</v>
      </c>
      <c r="AA516" s="56"/>
      <c r="AB516" s="57"/>
      <c r="AC516" s="595" t="s">
        <v>819</v>
      </c>
      <c r="AG516" s="64"/>
      <c r="AJ516" s="68"/>
      <c r="AK516" s="68">
        <v>0</v>
      </c>
      <c r="BB516" s="596" t="s">
        <v>1</v>
      </c>
      <c r="BM516" s="64">
        <f t="shared" si="76"/>
        <v>74.640151515151501</v>
      </c>
      <c r="BN516" s="64">
        <f t="shared" si="77"/>
        <v>78.819999999999993</v>
      </c>
      <c r="BO516" s="64">
        <f t="shared" si="78"/>
        <v>0.12747668997668998</v>
      </c>
      <c r="BP516" s="64">
        <f t="shared" si="79"/>
        <v>0.13461538461538464</v>
      </c>
    </row>
    <row r="517" spans="1:68" ht="27" customHeight="1" x14ac:dyDescent="0.25">
      <c r="A517" s="54" t="s">
        <v>820</v>
      </c>
      <c r="B517" s="54" t="s">
        <v>821</v>
      </c>
      <c r="C517" s="31">
        <v>4301031353</v>
      </c>
      <c r="D517" s="633">
        <v>4680115883109</v>
      </c>
      <c r="E517" s="634"/>
      <c r="F517" s="628">
        <v>0.88</v>
      </c>
      <c r="G517" s="32">
        <v>6</v>
      </c>
      <c r="H517" s="628">
        <v>5.28</v>
      </c>
      <c r="I517" s="628">
        <v>5.63</v>
      </c>
      <c r="J517" s="32">
        <v>104</v>
      </c>
      <c r="K517" s="32" t="s">
        <v>115</v>
      </c>
      <c r="L517" s="32"/>
      <c r="M517" s="33" t="s">
        <v>65</v>
      </c>
      <c r="N517" s="33"/>
      <c r="O517" s="32">
        <v>70</v>
      </c>
      <c r="P517" s="85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36"/>
      <c r="R517" s="636"/>
      <c r="S517" s="636"/>
      <c r="T517" s="637"/>
      <c r="U517" s="34"/>
      <c r="V517" s="34"/>
      <c r="W517" s="35" t="s">
        <v>66</v>
      </c>
      <c r="X517" s="629">
        <v>70</v>
      </c>
      <c r="Y517" s="630">
        <f t="shared" si="75"/>
        <v>73.92</v>
      </c>
      <c r="Z517" s="36">
        <f>IFERROR(IF(Y517=0,"",ROUNDUP(Y517/H517,0)*0.01196),"")</f>
        <v>0.16744000000000001</v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si="76"/>
        <v>74.640151515151501</v>
      </c>
      <c r="BN517" s="64">
        <f t="shared" si="77"/>
        <v>78.819999999999993</v>
      </c>
      <c r="BO517" s="64">
        <f t="shared" si="78"/>
        <v>0.12747668997668998</v>
      </c>
      <c r="BP517" s="64">
        <f t="shared" si="79"/>
        <v>0.13461538461538464</v>
      </c>
    </row>
    <row r="518" spans="1:68" ht="27" hidden="1" customHeight="1" x14ac:dyDescent="0.25">
      <c r="A518" s="54" t="s">
        <v>823</v>
      </c>
      <c r="B518" s="54" t="s">
        <v>824</v>
      </c>
      <c r="C518" s="31">
        <v>4301031419</v>
      </c>
      <c r="D518" s="633">
        <v>4680115882072</v>
      </c>
      <c r="E518" s="634"/>
      <c r="F518" s="628">
        <v>0.6</v>
      </c>
      <c r="G518" s="32">
        <v>8</v>
      </c>
      <c r="H518" s="628">
        <v>4.8</v>
      </c>
      <c r="I518" s="628">
        <v>6.91</v>
      </c>
      <c r="J518" s="32">
        <v>132</v>
      </c>
      <c r="K518" s="32" t="s">
        <v>124</v>
      </c>
      <c r="L518" s="32"/>
      <c r="M518" s="33" t="s">
        <v>116</v>
      </c>
      <c r="N518" s="33"/>
      <c r="O518" s="32">
        <v>70</v>
      </c>
      <c r="P518" s="6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36"/>
      <c r="R518" s="636"/>
      <c r="S518" s="636"/>
      <c r="T518" s="637"/>
      <c r="U518" s="34"/>
      <c r="V518" s="34"/>
      <c r="W518" s="35" t="s">
        <v>66</v>
      </c>
      <c r="X518" s="629">
        <v>0</v>
      </c>
      <c r="Y518" s="630">
        <f t="shared" si="75"/>
        <v>0</v>
      </c>
      <c r="Z518" s="36" t="str">
        <f>IFERROR(IF(Y518=0,"",ROUNDUP(Y518/H518,0)*0.00902),"")</f>
        <v/>
      </c>
      <c r="AA518" s="56"/>
      <c r="AB518" s="57"/>
      <c r="AC518" s="599" t="s">
        <v>816</v>
      </c>
      <c r="AG518" s="64"/>
      <c r="AJ518" s="68"/>
      <c r="AK518" s="68">
        <v>0</v>
      </c>
      <c r="BB518" s="600" t="s">
        <v>1</v>
      </c>
      <c r="BM518" s="64">
        <f t="shared" si="76"/>
        <v>0</v>
      </c>
      <c r="BN518" s="64">
        <f t="shared" si="77"/>
        <v>0</v>
      </c>
      <c r="BO518" s="64">
        <f t="shared" si="78"/>
        <v>0</v>
      </c>
      <c r="BP518" s="64">
        <f t="shared" si="79"/>
        <v>0</v>
      </c>
    </row>
    <row r="519" spans="1:68" ht="27" hidden="1" customHeight="1" x14ac:dyDescent="0.25">
      <c r="A519" s="54" t="s">
        <v>825</v>
      </c>
      <c r="B519" s="54" t="s">
        <v>826</v>
      </c>
      <c r="C519" s="31">
        <v>4301031352</v>
      </c>
      <c r="D519" s="633">
        <v>4680115882102</v>
      </c>
      <c r="E519" s="634"/>
      <c r="F519" s="628">
        <v>0.6</v>
      </c>
      <c r="G519" s="32">
        <v>6</v>
      </c>
      <c r="H519" s="628">
        <v>3.6</v>
      </c>
      <c r="I519" s="628">
        <v>3.79</v>
      </c>
      <c r="J519" s="32">
        <v>132</v>
      </c>
      <c r="K519" s="32" t="s">
        <v>124</v>
      </c>
      <c r="L519" s="32"/>
      <c r="M519" s="33" t="s">
        <v>65</v>
      </c>
      <c r="N519" s="33"/>
      <c r="O519" s="32">
        <v>70</v>
      </c>
      <c r="P519" s="80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66</v>
      </c>
      <c r="X519" s="629">
        <v>0</v>
      </c>
      <c r="Y519" s="630">
        <f t="shared" si="75"/>
        <v>0</v>
      </c>
      <c r="Z519" s="36" t="str">
        <f>IFERROR(IF(Y519=0,"",ROUNDUP(Y519/H519,0)*0.00902),"")</f>
        <v/>
      </c>
      <c r="AA519" s="56"/>
      <c r="AB519" s="57"/>
      <c r="AC519" s="601" t="s">
        <v>819</v>
      </c>
      <c r="AG519" s="64"/>
      <c r="AJ519" s="68"/>
      <c r="AK519" s="68">
        <v>0</v>
      </c>
      <c r="BB519" s="602" t="s">
        <v>1</v>
      </c>
      <c r="BM519" s="64">
        <f t="shared" si="76"/>
        <v>0</v>
      </c>
      <c r="BN519" s="64">
        <f t="shared" si="77"/>
        <v>0</v>
      </c>
      <c r="BO519" s="64">
        <f t="shared" si="78"/>
        <v>0</v>
      </c>
      <c r="BP519" s="64">
        <f t="shared" si="79"/>
        <v>0</v>
      </c>
    </row>
    <row r="520" spans="1:68" ht="27" hidden="1" customHeight="1" x14ac:dyDescent="0.25">
      <c r="A520" s="54" t="s">
        <v>825</v>
      </c>
      <c r="B520" s="54" t="s">
        <v>827</v>
      </c>
      <c r="C520" s="31">
        <v>4301031418</v>
      </c>
      <c r="D520" s="633">
        <v>4680115882102</v>
      </c>
      <c r="E520" s="634"/>
      <c r="F520" s="628">
        <v>0.6</v>
      </c>
      <c r="G520" s="32">
        <v>8</v>
      </c>
      <c r="H520" s="628">
        <v>4.8</v>
      </c>
      <c r="I520" s="628">
        <v>6.67</v>
      </c>
      <c r="J520" s="32">
        <v>132</v>
      </c>
      <c r="K520" s="32" t="s">
        <v>124</v>
      </c>
      <c r="L520" s="32"/>
      <c r="M520" s="33" t="s">
        <v>65</v>
      </c>
      <c r="N520" s="33"/>
      <c r="O520" s="32">
        <v>70</v>
      </c>
      <c r="P520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36"/>
      <c r="R520" s="636"/>
      <c r="S520" s="636"/>
      <c r="T520" s="637"/>
      <c r="U520" s="34"/>
      <c r="V520" s="34"/>
      <c r="W520" s="35" t="s">
        <v>66</v>
      </c>
      <c r="X520" s="629">
        <v>0</v>
      </c>
      <c r="Y520" s="630">
        <f t="shared" si="75"/>
        <v>0</v>
      </c>
      <c r="Z520" s="36" t="str">
        <f>IFERROR(IF(Y520=0,"",ROUNDUP(Y520/H520,0)*0.00902),"")</f>
        <v/>
      </c>
      <c r="AA520" s="56"/>
      <c r="AB520" s="57"/>
      <c r="AC520" s="603" t="s">
        <v>819</v>
      </c>
      <c r="AG520" s="64"/>
      <c r="AJ520" s="68"/>
      <c r="AK520" s="68">
        <v>0</v>
      </c>
      <c r="BB520" s="604" t="s">
        <v>1</v>
      </c>
      <c r="BM520" s="64">
        <f t="shared" si="76"/>
        <v>0</v>
      </c>
      <c r="BN520" s="64">
        <f t="shared" si="77"/>
        <v>0</v>
      </c>
      <c r="BO520" s="64">
        <f t="shared" si="78"/>
        <v>0</v>
      </c>
      <c r="BP520" s="64">
        <f t="shared" si="79"/>
        <v>0</v>
      </c>
    </row>
    <row r="521" spans="1:68" ht="27" hidden="1" customHeight="1" x14ac:dyDescent="0.25">
      <c r="A521" s="54" t="s">
        <v>828</v>
      </c>
      <c r="B521" s="54" t="s">
        <v>829</v>
      </c>
      <c r="C521" s="31">
        <v>4301031417</v>
      </c>
      <c r="D521" s="633">
        <v>4680115882096</v>
      </c>
      <c r="E521" s="634"/>
      <c r="F521" s="628">
        <v>0.6</v>
      </c>
      <c r="G521" s="32">
        <v>8</v>
      </c>
      <c r="H521" s="628">
        <v>4.8</v>
      </c>
      <c r="I521" s="628">
        <v>6.67</v>
      </c>
      <c r="J521" s="32">
        <v>132</v>
      </c>
      <c r="K521" s="32" t="s">
        <v>124</v>
      </c>
      <c r="L521" s="32"/>
      <c r="M521" s="33" t="s">
        <v>65</v>
      </c>
      <c r="N521" s="33"/>
      <c r="O521" s="32">
        <v>70</v>
      </c>
      <c r="P521" s="70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36"/>
      <c r="R521" s="636"/>
      <c r="S521" s="636"/>
      <c r="T521" s="637"/>
      <c r="U521" s="34"/>
      <c r="V521" s="34"/>
      <c r="W521" s="35" t="s">
        <v>66</v>
      </c>
      <c r="X521" s="629">
        <v>0</v>
      </c>
      <c r="Y521" s="630">
        <f t="shared" si="75"/>
        <v>0</v>
      </c>
      <c r="Z521" s="36" t="str">
        <f>IFERROR(IF(Y521=0,"",ROUNDUP(Y521/H521,0)*0.00902),"")</f>
        <v/>
      </c>
      <c r="AA521" s="56"/>
      <c r="AB521" s="57"/>
      <c r="AC521" s="605" t="s">
        <v>822</v>
      </c>
      <c r="AG521" s="64"/>
      <c r="AJ521" s="68"/>
      <c r="AK521" s="68">
        <v>0</v>
      </c>
      <c r="BB521" s="606" t="s">
        <v>1</v>
      </c>
      <c r="BM521" s="64">
        <f t="shared" si="76"/>
        <v>0</v>
      </c>
      <c r="BN521" s="64">
        <f t="shared" si="77"/>
        <v>0</v>
      </c>
      <c r="BO521" s="64">
        <f t="shared" si="78"/>
        <v>0</v>
      </c>
      <c r="BP521" s="64">
        <f t="shared" si="79"/>
        <v>0</v>
      </c>
    </row>
    <row r="522" spans="1:68" x14ac:dyDescent="0.2">
      <c r="A522" s="642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4"/>
      <c r="P522" s="646" t="s">
        <v>71</v>
      </c>
      <c r="Q522" s="647"/>
      <c r="R522" s="647"/>
      <c r="S522" s="647"/>
      <c r="T522" s="647"/>
      <c r="U522" s="647"/>
      <c r="V522" s="648"/>
      <c r="W522" s="37" t="s">
        <v>72</v>
      </c>
      <c r="X522" s="631">
        <f>IFERROR(X515/H515,"0")+IFERROR(X516/H516,"0")+IFERROR(X517/H517,"0")+IFERROR(X518/H518,"0")+IFERROR(X519/H519,"0")+IFERROR(X520/H520,"0")+IFERROR(X521/H521,"0")</f>
        <v>34.848484848484844</v>
      </c>
      <c r="Y522" s="631">
        <f>IFERROR(Y515/H515,"0")+IFERROR(Y516/H516,"0")+IFERROR(Y517/H517,"0")+IFERROR(Y518/H518,"0")+IFERROR(Y519/H519,"0")+IFERROR(Y520/H520,"0")+IFERROR(Y521/H521,"0")</f>
        <v>37</v>
      </c>
      <c r="Z522" s="631">
        <f>IFERROR(IF(Z515="",0,Z515),"0")+IFERROR(IF(Z516="",0,Z516),"0")+IFERROR(IF(Z517="",0,Z517),"0")+IFERROR(IF(Z518="",0,Z518),"0")+IFERROR(IF(Z519="",0,Z519),"0")+IFERROR(IF(Z520="",0,Z520),"0")+IFERROR(IF(Z521="",0,Z521),"0")</f>
        <v>0.44252000000000002</v>
      </c>
      <c r="AA522" s="632"/>
      <c r="AB522" s="632"/>
      <c r="AC522" s="632"/>
    </row>
    <row r="523" spans="1:68" x14ac:dyDescent="0.2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4"/>
      <c r="P523" s="646" t="s">
        <v>71</v>
      </c>
      <c r="Q523" s="647"/>
      <c r="R523" s="647"/>
      <c r="S523" s="647"/>
      <c r="T523" s="647"/>
      <c r="U523" s="647"/>
      <c r="V523" s="648"/>
      <c r="W523" s="37" t="s">
        <v>66</v>
      </c>
      <c r="X523" s="631">
        <f>IFERROR(SUM(X515:X521),"0")</f>
        <v>184</v>
      </c>
      <c r="Y523" s="631">
        <f>IFERROR(SUM(Y515:Y521),"0")</f>
        <v>195.36</v>
      </c>
      <c r="Z523" s="37"/>
      <c r="AA523" s="632"/>
      <c r="AB523" s="632"/>
      <c r="AC523" s="632"/>
    </row>
    <row r="524" spans="1:68" ht="27.75" hidden="1" customHeight="1" x14ac:dyDescent="0.2">
      <c r="A524" s="653" t="s">
        <v>830</v>
      </c>
      <c r="B524" s="654"/>
      <c r="C524" s="654"/>
      <c r="D524" s="654"/>
      <c r="E524" s="654"/>
      <c r="F524" s="654"/>
      <c r="G524" s="654"/>
      <c r="H524" s="654"/>
      <c r="I524" s="654"/>
      <c r="J524" s="654"/>
      <c r="K524" s="654"/>
      <c r="L524" s="654"/>
      <c r="M524" s="654"/>
      <c r="N524" s="654"/>
      <c r="O524" s="654"/>
      <c r="P524" s="654"/>
      <c r="Q524" s="654"/>
      <c r="R524" s="654"/>
      <c r="S524" s="654"/>
      <c r="T524" s="654"/>
      <c r="U524" s="654"/>
      <c r="V524" s="654"/>
      <c r="W524" s="654"/>
      <c r="X524" s="654"/>
      <c r="Y524" s="654"/>
      <c r="Z524" s="654"/>
      <c r="AA524" s="48"/>
      <c r="AB524" s="48"/>
      <c r="AC524" s="48"/>
    </row>
    <row r="525" spans="1:68" ht="16.5" hidden="1" customHeight="1" x14ac:dyDescent="0.25">
      <c r="A525" s="650" t="s">
        <v>830</v>
      </c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  <c r="AA525" s="624"/>
      <c r="AB525" s="624"/>
      <c r="AC525" s="624"/>
    </row>
    <row r="526" spans="1:68" ht="14.25" hidden="1" customHeight="1" x14ac:dyDescent="0.25">
      <c r="A526" s="652" t="s">
        <v>112</v>
      </c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  <c r="AA526" s="625"/>
      <c r="AB526" s="625"/>
      <c r="AC526" s="625"/>
    </row>
    <row r="527" spans="1:68" ht="27" hidden="1" customHeight="1" x14ac:dyDescent="0.25">
      <c r="A527" s="54" t="s">
        <v>831</v>
      </c>
      <c r="B527" s="54" t="s">
        <v>832</v>
      </c>
      <c r="C527" s="31">
        <v>4301011584</v>
      </c>
      <c r="D527" s="633">
        <v>4640242180564</v>
      </c>
      <c r="E527" s="634"/>
      <c r="F527" s="628">
        <v>1.5</v>
      </c>
      <c r="G527" s="32">
        <v>8</v>
      </c>
      <c r="H527" s="628">
        <v>12</v>
      </c>
      <c r="I527" s="628">
        <v>12.41</v>
      </c>
      <c r="J527" s="32">
        <v>64</v>
      </c>
      <c r="K527" s="32" t="s">
        <v>115</v>
      </c>
      <c r="L527" s="32"/>
      <c r="M527" s="33" t="s">
        <v>116</v>
      </c>
      <c r="N527" s="33"/>
      <c r="O527" s="32">
        <v>50</v>
      </c>
      <c r="P527" s="72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36"/>
      <c r="R527" s="636"/>
      <c r="S527" s="636"/>
      <c r="T527" s="637"/>
      <c r="U527" s="34"/>
      <c r="V527" s="34"/>
      <c r="W527" s="35" t="s">
        <v>66</v>
      </c>
      <c r="X527" s="629">
        <v>0</v>
      </c>
      <c r="Y527" s="63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607" t="s">
        <v>833</v>
      </c>
      <c r="AG527" s="64"/>
      <c r="AJ527" s="68"/>
      <c r="AK527" s="68">
        <v>0</v>
      </c>
      <c r="BB527" s="608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42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4"/>
      <c r="P528" s="646" t="s">
        <v>71</v>
      </c>
      <c r="Q528" s="647"/>
      <c r="R528" s="647"/>
      <c r="S528" s="647"/>
      <c r="T528" s="647"/>
      <c r="U528" s="647"/>
      <c r="V528" s="648"/>
      <c r="W528" s="37" t="s">
        <v>72</v>
      </c>
      <c r="X528" s="631">
        <f>IFERROR(X527/H527,"0")</f>
        <v>0</v>
      </c>
      <c r="Y528" s="631">
        <f>IFERROR(Y527/H527,"0")</f>
        <v>0</v>
      </c>
      <c r="Z528" s="631">
        <f>IFERROR(IF(Z527="",0,Z527),"0")</f>
        <v>0</v>
      </c>
      <c r="AA528" s="632"/>
      <c r="AB528" s="632"/>
      <c r="AC528" s="632"/>
    </row>
    <row r="529" spans="1:68" hidden="1" x14ac:dyDescent="0.2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4"/>
      <c r="P529" s="646" t="s">
        <v>71</v>
      </c>
      <c r="Q529" s="647"/>
      <c r="R529" s="647"/>
      <c r="S529" s="647"/>
      <c r="T529" s="647"/>
      <c r="U529" s="647"/>
      <c r="V529" s="648"/>
      <c r="W529" s="37" t="s">
        <v>66</v>
      </c>
      <c r="X529" s="631">
        <f>IFERROR(SUM(X527:X527),"0")</f>
        <v>0</v>
      </c>
      <c r="Y529" s="631">
        <f>IFERROR(SUM(Y527:Y527),"0")</f>
        <v>0</v>
      </c>
      <c r="Z529" s="37"/>
      <c r="AA529" s="632"/>
      <c r="AB529" s="632"/>
      <c r="AC529" s="632"/>
    </row>
    <row r="530" spans="1:68" ht="14.25" hidden="1" customHeight="1" x14ac:dyDescent="0.25">
      <c r="A530" s="652" t="s">
        <v>145</v>
      </c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  <c r="AA530" s="625"/>
      <c r="AB530" s="625"/>
      <c r="AC530" s="625"/>
    </row>
    <row r="531" spans="1:68" ht="27" hidden="1" customHeight="1" x14ac:dyDescent="0.25">
      <c r="A531" s="54" t="s">
        <v>834</v>
      </c>
      <c r="B531" s="54" t="s">
        <v>835</v>
      </c>
      <c r="C531" s="31">
        <v>4301020400</v>
      </c>
      <c r="D531" s="633">
        <v>4640242180519</v>
      </c>
      <c r="E531" s="634"/>
      <c r="F531" s="628">
        <v>1.5</v>
      </c>
      <c r="G531" s="32">
        <v>8</v>
      </c>
      <c r="H531" s="628">
        <v>12</v>
      </c>
      <c r="I531" s="628">
        <v>12.41</v>
      </c>
      <c r="J531" s="32">
        <v>64</v>
      </c>
      <c r="K531" s="32" t="s">
        <v>115</v>
      </c>
      <c r="L531" s="32"/>
      <c r="M531" s="33" t="s">
        <v>116</v>
      </c>
      <c r="N531" s="33"/>
      <c r="O531" s="32">
        <v>50</v>
      </c>
      <c r="P531" s="69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36"/>
      <c r="R531" s="636"/>
      <c r="S531" s="636"/>
      <c r="T531" s="637"/>
      <c r="U531" s="34"/>
      <c r="V531" s="34"/>
      <c r="W531" s="35" t="s">
        <v>66</v>
      </c>
      <c r="X531" s="629">
        <v>0</v>
      </c>
      <c r="Y531" s="630">
        <f>IFERROR(IF(X531="",0,CEILING((X531/$H531),1)*$H531),"")</f>
        <v>0</v>
      </c>
      <c r="Z531" s="36" t="str">
        <f>IFERROR(IF(Y531=0,"",ROUNDUP(Y531/H531,0)*0.01898),"")</f>
        <v/>
      </c>
      <c r="AA531" s="56"/>
      <c r="AB531" s="57"/>
      <c r="AC531" s="609" t="s">
        <v>836</v>
      </c>
      <c r="AG531" s="64"/>
      <c r="AJ531" s="68"/>
      <c r="AK531" s="68">
        <v>0</v>
      </c>
      <c r="BB531" s="610" t="s">
        <v>1</v>
      </c>
      <c r="BM531" s="64">
        <f>IFERROR(X531*I531/H531,"0")</f>
        <v>0</v>
      </c>
      <c r="BN531" s="64">
        <f>IFERROR(Y531*I531/H531,"0")</f>
        <v>0</v>
      </c>
      <c r="BO531" s="64">
        <f>IFERROR(1/J531*(X531/H531),"0")</f>
        <v>0</v>
      </c>
      <c r="BP531" s="64">
        <f>IFERROR(1/J531*(Y531/H531),"0")</f>
        <v>0</v>
      </c>
    </row>
    <row r="532" spans="1:68" hidden="1" x14ac:dyDescent="0.2">
      <c r="A532" s="642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4"/>
      <c r="P532" s="646" t="s">
        <v>71</v>
      </c>
      <c r="Q532" s="647"/>
      <c r="R532" s="647"/>
      <c r="S532" s="647"/>
      <c r="T532" s="647"/>
      <c r="U532" s="647"/>
      <c r="V532" s="648"/>
      <c r="W532" s="37" t="s">
        <v>72</v>
      </c>
      <c r="X532" s="631">
        <f>IFERROR(X531/H531,"0")</f>
        <v>0</v>
      </c>
      <c r="Y532" s="631">
        <f>IFERROR(Y531/H531,"0")</f>
        <v>0</v>
      </c>
      <c r="Z532" s="631">
        <f>IFERROR(IF(Z531="",0,Z531),"0")</f>
        <v>0</v>
      </c>
      <c r="AA532" s="632"/>
      <c r="AB532" s="632"/>
      <c r="AC532" s="632"/>
    </row>
    <row r="533" spans="1:68" hidden="1" x14ac:dyDescent="0.2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4"/>
      <c r="P533" s="646" t="s">
        <v>71</v>
      </c>
      <c r="Q533" s="647"/>
      <c r="R533" s="647"/>
      <c r="S533" s="647"/>
      <c r="T533" s="647"/>
      <c r="U533" s="647"/>
      <c r="V533" s="648"/>
      <c r="W533" s="37" t="s">
        <v>66</v>
      </c>
      <c r="X533" s="631">
        <f>IFERROR(SUM(X531:X531),"0")</f>
        <v>0</v>
      </c>
      <c r="Y533" s="631">
        <f>IFERROR(SUM(Y531:Y531),"0")</f>
        <v>0</v>
      </c>
      <c r="Z533" s="37"/>
      <c r="AA533" s="632"/>
      <c r="AB533" s="632"/>
      <c r="AC533" s="632"/>
    </row>
    <row r="534" spans="1:68" ht="14.25" hidden="1" customHeight="1" x14ac:dyDescent="0.25">
      <c r="A534" s="652" t="s">
        <v>61</v>
      </c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  <c r="AA534" s="625"/>
      <c r="AB534" s="625"/>
      <c r="AC534" s="625"/>
    </row>
    <row r="535" spans="1:68" ht="27" hidden="1" customHeight="1" x14ac:dyDescent="0.25">
      <c r="A535" s="54" t="s">
        <v>837</v>
      </c>
      <c r="B535" s="54" t="s">
        <v>838</v>
      </c>
      <c r="C535" s="31">
        <v>4301031500</v>
      </c>
      <c r="D535" s="633">
        <v>4640242180595</v>
      </c>
      <c r="E535" s="634"/>
      <c r="F535" s="628">
        <v>0.7</v>
      </c>
      <c r="G535" s="32">
        <v>6</v>
      </c>
      <c r="H535" s="628">
        <v>4.2</v>
      </c>
      <c r="I535" s="628">
        <v>4.45</v>
      </c>
      <c r="J535" s="32">
        <v>132</v>
      </c>
      <c r="K535" s="32" t="s">
        <v>124</v>
      </c>
      <c r="L535" s="32"/>
      <c r="M535" s="33" t="s">
        <v>65</v>
      </c>
      <c r="N535" s="33"/>
      <c r="O535" s="32">
        <v>40</v>
      </c>
      <c r="P535" s="87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36"/>
      <c r="R535" s="636"/>
      <c r="S535" s="636"/>
      <c r="T535" s="637"/>
      <c r="U535" s="34"/>
      <c r="V535" s="34"/>
      <c r="W535" s="35" t="s">
        <v>66</v>
      </c>
      <c r="X535" s="629">
        <v>0</v>
      </c>
      <c r="Y535" s="630">
        <f>IFERROR(IF(X535="",0,CEILING((X535/$H535),1)*$H535),"")</f>
        <v>0</v>
      </c>
      <c r="Z535" s="36" t="str">
        <f>IFERROR(IF(Y535=0,"",ROUNDUP(Y535/H535,0)*0.00902),"")</f>
        <v/>
      </c>
      <c r="AA535" s="56"/>
      <c r="AB535" s="57"/>
      <c r="AC535" s="611" t="s">
        <v>839</v>
      </c>
      <c r="AG535" s="64"/>
      <c r="AJ535" s="68"/>
      <c r="AK535" s="68">
        <v>0</v>
      </c>
      <c r="BB535" s="612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42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4"/>
      <c r="P536" s="646" t="s">
        <v>71</v>
      </c>
      <c r="Q536" s="647"/>
      <c r="R536" s="647"/>
      <c r="S536" s="647"/>
      <c r="T536" s="647"/>
      <c r="U536" s="647"/>
      <c r="V536" s="648"/>
      <c r="W536" s="37" t="s">
        <v>72</v>
      </c>
      <c r="X536" s="631">
        <f>IFERROR(X535/H535,"0")</f>
        <v>0</v>
      </c>
      <c r="Y536" s="631">
        <f>IFERROR(Y535/H535,"0")</f>
        <v>0</v>
      </c>
      <c r="Z536" s="631">
        <f>IFERROR(IF(Z535="",0,Z535),"0")</f>
        <v>0</v>
      </c>
      <c r="AA536" s="632"/>
      <c r="AB536" s="632"/>
      <c r="AC536" s="632"/>
    </row>
    <row r="537" spans="1:68" hidden="1" x14ac:dyDescent="0.2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4"/>
      <c r="P537" s="646" t="s">
        <v>71</v>
      </c>
      <c r="Q537" s="647"/>
      <c r="R537" s="647"/>
      <c r="S537" s="647"/>
      <c r="T537" s="647"/>
      <c r="U537" s="647"/>
      <c r="V537" s="648"/>
      <c r="W537" s="37" t="s">
        <v>66</v>
      </c>
      <c r="X537" s="631">
        <f>IFERROR(SUM(X535:X535),"0")</f>
        <v>0</v>
      </c>
      <c r="Y537" s="631">
        <f>IFERROR(SUM(Y535:Y535),"0")</f>
        <v>0</v>
      </c>
      <c r="Z537" s="37"/>
      <c r="AA537" s="632"/>
      <c r="AB537" s="632"/>
      <c r="AC537" s="632"/>
    </row>
    <row r="538" spans="1:68" ht="14.25" hidden="1" customHeight="1" x14ac:dyDescent="0.25">
      <c r="A538" s="652" t="s">
        <v>73</v>
      </c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  <c r="AA538" s="625"/>
      <c r="AB538" s="625"/>
      <c r="AC538" s="625"/>
    </row>
    <row r="539" spans="1:68" ht="27" customHeight="1" x14ac:dyDescent="0.25">
      <c r="A539" s="54" t="s">
        <v>840</v>
      </c>
      <c r="B539" s="54" t="s">
        <v>841</v>
      </c>
      <c r="C539" s="31">
        <v>4301052043</v>
      </c>
      <c r="D539" s="633">
        <v>4640242180533</v>
      </c>
      <c r="E539" s="634"/>
      <c r="F539" s="628">
        <v>1.5</v>
      </c>
      <c r="G539" s="32">
        <v>6</v>
      </c>
      <c r="H539" s="628">
        <v>9</v>
      </c>
      <c r="I539" s="628">
        <v>9.4939999999999998</v>
      </c>
      <c r="J539" s="32">
        <v>64</v>
      </c>
      <c r="K539" s="32" t="s">
        <v>115</v>
      </c>
      <c r="L539" s="32"/>
      <c r="M539" s="33" t="s">
        <v>77</v>
      </c>
      <c r="N539" s="33"/>
      <c r="O539" s="32">
        <v>45</v>
      </c>
      <c r="P539" s="67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36"/>
      <c r="R539" s="636"/>
      <c r="S539" s="636"/>
      <c r="T539" s="637"/>
      <c r="U539" s="34"/>
      <c r="V539" s="34"/>
      <c r="W539" s="35" t="s">
        <v>66</v>
      </c>
      <c r="X539" s="629">
        <v>50</v>
      </c>
      <c r="Y539" s="630">
        <f>IFERROR(IF(X539="",0,CEILING((X539/$H539),1)*$H539),"")</f>
        <v>54</v>
      </c>
      <c r="Z539" s="36">
        <f>IFERROR(IF(Y539=0,"",ROUNDUP(Y539/H539,0)*0.01898),"")</f>
        <v>0.11388000000000001</v>
      </c>
      <c r="AA539" s="56"/>
      <c r="AB539" s="57"/>
      <c r="AC539" s="613" t="s">
        <v>842</v>
      </c>
      <c r="AG539" s="64"/>
      <c r="AJ539" s="68"/>
      <c r="AK539" s="68">
        <v>0</v>
      </c>
      <c r="BB539" s="614" t="s">
        <v>1</v>
      </c>
      <c r="BM539" s="64">
        <f>IFERROR(X539*I539/H539,"0")</f>
        <v>52.74444444444444</v>
      </c>
      <c r="BN539" s="64">
        <f>IFERROR(Y539*I539/H539,"0")</f>
        <v>56.963999999999992</v>
      </c>
      <c r="BO539" s="64">
        <f>IFERROR(1/J539*(X539/H539),"0")</f>
        <v>8.6805555555555552E-2</v>
      </c>
      <c r="BP539" s="64">
        <f>IFERROR(1/J539*(Y539/H539),"0")</f>
        <v>9.375E-2</v>
      </c>
    </row>
    <row r="540" spans="1:68" x14ac:dyDescent="0.2">
      <c r="A540" s="642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4"/>
      <c r="P540" s="646" t="s">
        <v>71</v>
      </c>
      <c r="Q540" s="647"/>
      <c r="R540" s="647"/>
      <c r="S540" s="647"/>
      <c r="T540" s="647"/>
      <c r="U540" s="647"/>
      <c r="V540" s="648"/>
      <c r="W540" s="37" t="s">
        <v>72</v>
      </c>
      <c r="X540" s="631">
        <f>IFERROR(X539/H539,"0")</f>
        <v>5.5555555555555554</v>
      </c>
      <c r="Y540" s="631">
        <f>IFERROR(Y539/H539,"0")</f>
        <v>6</v>
      </c>
      <c r="Z540" s="631">
        <f>IFERROR(IF(Z539="",0,Z539),"0")</f>
        <v>0.11388000000000001</v>
      </c>
      <c r="AA540" s="632"/>
      <c r="AB540" s="632"/>
      <c r="AC540" s="632"/>
    </row>
    <row r="541" spans="1:68" x14ac:dyDescent="0.2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4"/>
      <c r="P541" s="646" t="s">
        <v>71</v>
      </c>
      <c r="Q541" s="647"/>
      <c r="R541" s="647"/>
      <c r="S541" s="647"/>
      <c r="T541" s="647"/>
      <c r="U541" s="647"/>
      <c r="V541" s="648"/>
      <c r="W541" s="37" t="s">
        <v>66</v>
      </c>
      <c r="X541" s="631">
        <f>IFERROR(SUM(X539:X539),"0")</f>
        <v>50</v>
      </c>
      <c r="Y541" s="631">
        <f>IFERROR(SUM(Y539:Y539),"0")</f>
        <v>54</v>
      </c>
      <c r="Z541" s="37"/>
      <c r="AA541" s="632"/>
      <c r="AB541" s="632"/>
      <c r="AC541" s="632"/>
    </row>
    <row r="542" spans="1:68" ht="14.25" hidden="1" customHeight="1" x14ac:dyDescent="0.25">
      <c r="A542" s="652" t="s">
        <v>162</v>
      </c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  <c r="AA542" s="625"/>
      <c r="AB542" s="625"/>
      <c r="AC542" s="625"/>
    </row>
    <row r="543" spans="1:68" ht="27" hidden="1" customHeight="1" x14ac:dyDescent="0.25">
      <c r="A543" s="54" t="s">
        <v>843</v>
      </c>
      <c r="B543" s="54" t="s">
        <v>844</v>
      </c>
      <c r="C543" s="31">
        <v>4301060535</v>
      </c>
      <c r="D543" s="633">
        <v>4640242180120</v>
      </c>
      <c r="E543" s="634"/>
      <c r="F543" s="628">
        <v>1.5</v>
      </c>
      <c r="G543" s="32">
        <v>6</v>
      </c>
      <c r="H543" s="628">
        <v>9</v>
      </c>
      <c r="I543" s="628">
        <v>9.41</v>
      </c>
      <c r="J543" s="32">
        <v>64</v>
      </c>
      <c r="K543" s="32" t="s">
        <v>115</v>
      </c>
      <c r="L543" s="32"/>
      <c r="M543" s="33" t="s">
        <v>77</v>
      </c>
      <c r="N543" s="33"/>
      <c r="O543" s="32">
        <v>40</v>
      </c>
      <c r="P543" s="83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36"/>
      <c r="R543" s="636"/>
      <c r="S543" s="636"/>
      <c r="T543" s="637"/>
      <c r="U543" s="34"/>
      <c r="V543" s="34"/>
      <c r="W543" s="35" t="s">
        <v>66</v>
      </c>
      <c r="X543" s="629">
        <v>0</v>
      </c>
      <c r="Y543" s="630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5" t="s">
        <v>845</v>
      </c>
      <c r="AG543" s="64"/>
      <c r="AJ543" s="68"/>
      <c r="AK543" s="68">
        <v>0</v>
      </c>
      <c r="BB543" s="616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846</v>
      </c>
      <c r="B544" s="54" t="s">
        <v>847</v>
      </c>
      <c r="C544" s="31">
        <v>4301060536</v>
      </c>
      <c r="D544" s="633">
        <v>4640242180137</v>
      </c>
      <c r="E544" s="634"/>
      <c r="F544" s="628">
        <v>1.5</v>
      </c>
      <c r="G544" s="32">
        <v>6</v>
      </c>
      <c r="H544" s="628">
        <v>9</v>
      </c>
      <c r="I544" s="628">
        <v>9.41</v>
      </c>
      <c r="J544" s="32">
        <v>64</v>
      </c>
      <c r="K544" s="32" t="s">
        <v>115</v>
      </c>
      <c r="L544" s="32"/>
      <c r="M544" s="33" t="s">
        <v>77</v>
      </c>
      <c r="N544" s="33"/>
      <c r="O544" s="32">
        <v>40</v>
      </c>
      <c r="P544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36"/>
      <c r="R544" s="636"/>
      <c r="S544" s="636"/>
      <c r="T544" s="637"/>
      <c r="U544" s="34"/>
      <c r="V544" s="34"/>
      <c r="W544" s="35" t="s">
        <v>66</v>
      </c>
      <c r="X544" s="629">
        <v>0</v>
      </c>
      <c r="Y544" s="630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7" t="s">
        <v>848</v>
      </c>
      <c r="AG544" s="64"/>
      <c r="AJ544" s="68"/>
      <c r="AK544" s="68">
        <v>0</v>
      </c>
      <c r="BB544" s="618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2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4"/>
      <c r="P545" s="646" t="s">
        <v>71</v>
      </c>
      <c r="Q545" s="647"/>
      <c r="R545" s="647"/>
      <c r="S545" s="647"/>
      <c r="T545" s="647"/>
      <c r="U545" s="647"/>
      <c r="V545" s="648"/>
      <c r="W545" s="37" t="s">
        <v>72</v>
      </c>
      <c r="X545" s="631">
        <f>IFERROR(X543/H543,"0")+IFERROR(X544/H544,"0")</f>
        <v>0</v>
      </c>
      <c r="Y545" s="631">
        <f>IFERROR(Y543/H543,"0")+IFERROR(Y544/H544,"0")</f>
        <v>0</v>
      </c>
      <c r="Z545" s="631">
        <f>IFERROR(IF(Z543="",0,Z543),"0")+IFERROR(IF(Z544="",0,Z544),"0")</f>
        <v>0</v>
      </c>
      <c r="AA545" s="632"/>
      <c r="AB545" s="632"/>
      <c r="AC545" s="632"/>
    </row>
    <row r="546" spans="1:68" hidden="1" x14ac:dyDescent="0.2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4"/>
      <c r="P546" s="646" t="s">
        <v>71</v>
      </c>
      <c r="Q546" s="647"/>
      <c r="R546" s="647"/>
      <c r="S546" s="647"/>
      <c r="T546" s="647"/>
      <c r="U546" s="647"/>
      <c r="V546" s="648"/>
      <c r="W546" s="37" t="s">
        <v>66</v>
      </c>
      <c r="X546" s="631">
        <f>IFERROR(SUM(X543:X544),"0")</f>
        <v>0</v>
      </c>
      <c r="Y546" s="631">
        <f>IFERROR(SUM(Y543:Y544),"0")</f>
        <v>0</v>
      </c>
      <c r="Z546" s="37"/>
      <c r="AA546" s="632"/>
      <c r="AB546" s="632"/>
      <c r="AC546" s="632"/>
    </row>
    <row r="547" spans="1:68" ht="16.5" hidden="1" customHeight="1" x14ac:dyDescent="0.25">
      <c r="A547" s="650" t="s">
        <v>849</v>
      </c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  <c r="AA547" s="624"/>
      <c r="AB547" s="624"/>
      <c r="AC547" s="624"/>
    </row>
    <row r="548" spans="1:68" ht="14.25" hidden="1" customHeight="1" x14ac:dyDescent="0.25">
      <c r="A548" s="652" t="s">
        <v>145</v>
      </c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  <c r="AA548" s="625"/>
      <c r="AB548" s="625"/>
      <c r="AC548" s="625"/>
    </row>
    <row r="549" spans="1:68" ht="27" hidden="1" customHeight="1" x14ac:dyDescent="0.25">
      <c r="A549" s="54" t="s">
        <v>850</v>
      </c>
      <c r="B549" s="54" t="s">
        <v>851</v>
      </c>
      <c r="C549" s="31">
        <v>4301020428</v>
      </c>
      <c r="D549" s="633">
        <v>4640242180090</v>
      </c>
      <c r="E549" s="634"/>
      <c r="F549" s="628">
        <v>1.5</v>
      </c>
      <c r="G549" s="32">
        <v>8</v>
      </c>
      <c r="H549" s="628">
        <v>12</v>
      </c>
      <c r="I549" s="628">
        <v>12.41</v>
      </c>
      <c r="J549" s="32">
        <v>64</v>
      </c>
      <c r="K549" s="32" t="s">
        <v>115</v>
      </c>
      <c r="L549" s="32"/>
      <c r="M549" s="33" t="s">
        <v>116</v>
      </c>
      <c r="N549" s="33"/>
      <c r="O549" s="32">
        <v>50</v>
      </c>
      <c r="P549" s="68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36"/>
      <c r="R549" s="636"/>
      <c r="S549" s="636"/>
      <c r="T549" s="637"/>
      <c r="U549" s="34"/>
      <c r="V549" s="34"/>
      <c r="W549" s="35" t="s">
        <v>66</v>
      </c>
      <c r="X549" s="629">
        <v>0</v>
      </c>
      <c r="Y549" s="630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852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42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4"/>
      <c r="P550" s="646" t="s">
        <v>71</v>
      </c>
      <c r="Q550" s="647"/>
      <c r="R550" s="647"/>
      <c r="S550" s="647"/>
      <c r="T550" s="647"/>
      <c r="U550" s="647"/>
      <c r="V550" s="648"/>
      <c r="W550" s="37" t="s">
        <v>72</v>
      </c>
      <c r="X550" s="631">
        <f>IFERROR(X549/H549,"0")</f>
        <v>0</v>
      </c>
      <c r="Y550" s="631">
        <f>IFERROR(Y549/H549,"0")</f>
        <v>0</v>
      </c>
      <c r="Z550" s="631">
        <f>IFERROR(IF(Z549="",0,Z549),"0")</f>
        <v>0</v>
      </c>
      <c r="AA550" s="632"/>
      <c r="AB550" s="632"/>
      <c r="AC550" s="632"/>
    </row>
    <row r="551" spans="1:68" hidden="1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4"/>
      <c r="P551" s="646" t="s">
        <v>71</v>
      </c>
      <c r="Q551" s="647"/>
      <c r="R551" s="647"/>
      <c r="S551" s="647"/>
      <c r="T551" s="647"/>
      <c r="U551" s="647"/>
      <c r="V551" s="648"/>
      <c r="W551" s="37" t="s">
        <v>66</v>
      </c>
      <c r="X551" s="631">
        <f>IFERROR(SUM(X549:X549),"0")</f>
        <v>0</v>
      </c>
      <c r="Y551" s="631">
        <f>IFERROR(SUM(Y549:Y549),"0")</f>
        <v>0</v>
      </c>
      <c r="Z551" s="37"/>
      <c r="AA551" s="632"/>
      <c r="AB551" s="632"/>
      <c r="AC551" s="632"/>
    </row>
    <row r="552" spans="1:68" ht="15" customHeight="1" x14ac:dyDescent="0.2">
      <c r="A552" s="794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95"/>
      <c r="P552" s="737" t="s">
        <v>853</v>
      </c>
      <c r="Q552" s="738"/>
      <c r="R552" s="738"/>
      <c r="S552" s="738"/>
      <c r="T552" s="738"/>
      <c r="U552" s="738"/>
      <c r="V552" s="739"/>
      <c r="W552" s="37" t="s">
        <v>66</v>
      </c>
      <c r="X552" s="63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11032</v>
      </c>
      <c r="Y552" s="63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11245.769999999999</v>
      </c>
      <c r="Z552" s="37"/>
      <c r="AA552" s="632"/>
      <c r="AB552" s="632"/>
      <c r="AC552" s="632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95"/>
      <c r="P553" s="737" t="s">
        <v>854</v>
      </c>
      <c r="Q553" s="738"/>
      <c r="R553" s="738"/>
      <c r="S553" s="738"/>
      <c r="T553" s="738"/>
      <c r="U553" s="738"/>
      <c r="V553" s="739"/>
      <c r="W553" s="37" t="s">
        <v>66</v>
      </c>
      <c r="X553" s="631">
        <f>IFERROR(SUM(BM22:BM549),"0")</f>
        <v>11605.295612699385</v>
      </c>
      <c r="Y553" s="631">
        <f>IFERROR(SUM(BN22:BN549),"0")</f>
        <v>11832.773999999999</v>
      </c>
      <c r="Z553" s="37"/>
      <c r="AA553" s="632"/>
      <c r="AB553" s="632"/>
      <c r="AC553" s="632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95"/>
      <c r="P554" s="737" t="s">
        <v>855</v>
      </c>
      <c r="Q554" s="738"/>
      <c r="R554" s="738"/>
      <c r="S554" s="738"/>
      <c r="T554" s="738"/>
      <c r="U554" s="738"/>
      <c r="V554" s="739"/>
      <c r="W554" s="37" t="s">
        <v>856</v>
      </c>
      <c r="X554" s="38">
        <f>ROUNDUP(SUM(BO22:BO549),0)</f>
        <v>19</v>
      </c>
      <c r="Y554" s="38">
        <f>ROUNDUP(SUM(BP22:BP549),0)</f>
        <v>20</v>
      </c>
      <c r="Z554" s="37"/>
      <c r="AA554" s="632"/>
      <c r="AB554" s="632"/>
      <c r="AC554" s="632"/>
    </row>
    <row r="555" spans="1:68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95"/>
      <c r="P555" s="737" t="s">
        <v>857</v>
      </c>
      <c r="Q555" s="738"/>
      <c r="R555" s="738"/>
      <c r="S555" s="738"/>
      <c r="T555" s="738"/>
      <c r="U555" s="738"/>
      <c r="V555" s="739"/>
      <c r="W555" s="37" t="s">
        <v>66</v>
      </c>
      <c r="X555" s="631">
        <f>GrossWeightTotal+PalletQtyTotal*25</f>
        <v>12080.295612699385</v>
      </c>
      <c r="Y555" s="631">
        <f>GrossWeightTotalR+PalletQtyTotalR*25</f>
        <v>12332.773999999999</v>
      </c>
      <c r="Z555" s="37"/>
      <c r="AA555" s="632"/>
      <c r="AB555" s="632"/>
      <c r="AC555" s="632"/>
    </row>
    <row r="556" spans="1:68" x14ac:dyDescent="0.2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795"/>
      <c r="P556" s="737" t="s">
        <v>858</v>
      </c>
      <c r="Q556" s="738"/>
      <c r="R556" s="738"/>
      <c r="S556" s="738"/>
      <c r="T556" s="738"/>
      <c r="U556" s="738"/>
      <c r="V556" s="739"/>
      <c r="W556" s="37" t="s">
        <v>856</v>
      </c>
      <c r="X556" s="63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1708.4046738272077</v>
      </c>
      <c r="Y556" s="63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1746</v>
      </c>
      <c r="Z556" s="37"/>
      <c r="AA556" s="632"/>
      <c r="AB556" s="632"/>
      <c r="AC556" s="632"/>
    </row>
    <row r="557" spans="1:68" ht="14.25" hidden="1" customHeight="1" x14ac:dyDescent="0.2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795"/>
      <c r="P557" s="737" t="s">
        <v>859</v>
      </c>
      <c r="Q557" s="738"/>
      <c r="R557" s="738"/>
      <c r="S557" s="738"/>
      <c r="T557" s="738"/>
      <c r="U557" s="738"/>
      <c r="V557" s="739"/>
      <c r="W557" s="39" t="s">
        <v>860</v>
      </c>
      <c r="X557" s="37"/>
      <c r="Y557" s="37"/>
      <c r="Z557" s="37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22.264110000000002</v>
      </c>
      <c r="AA557" s="632"/>
      <c r="AB557" s="632"/>
      <c r="AC557" s="632"/>
    </row>
    <row r="558" spans="1:68" ht="13.5" customHeight="1" thickBot="1" x14ac:dyDescent="0.25"/>
    <row r="559" spans="1:68" ht="27" customHeight="1" thickTop="1" thickBot="1" x14ac:dyDescent="0.25">
      <c r="A559" s="40" t="s">
        <v>861</v>
      </c>
      <c r="B559" s="626" t="s">
        <v>60</v>
      </c>
      <c r="C559" s="626" t="s">
        <v>91</v>
      </c>
      <c r="D559" s="696" t="s">
        <v>110</v>
      </c>
      <c r="E559" s="720"/>
      <c r="F559" s="720"/>
      <c r="G559" s="720"/>
      <c r="H559" s="720"/>
      <c r="I559" s="720"/>
      <c r="J559" s="721"/>
      <c r="K559" s="696" t="s">
        <v>338</v>
      </c>
      <c r="L559" s="720"/>
      <c r="M559" s="720"/>
      <c r="N559" s="720"/>
      <c r="O559" s="720"/>
      <c r="P559" s="720"/>
      <c r="Q559" s="720"/>
      <c r="R559" s="720"/>
      <c r="S559" s="720"/>
      <c r="T559" s="720"/>
      <c r="U559" s="720"/>
      <c r="V559" s="721"/>
      <c r="W559" s="696" t="s">
        <v>681</v>
      </c>
      <c r="X559" s="721"/>
      <c r="Y559" s="696" t="s">
        <v>747</v>
      </c>
      <c r="Z559" s="721"/>
      <c r="AA559" s="626" t="s">
        <v>783</v>
      </c>
      <c r="AB559" s="696" t="s">
        <v>830</v>
      </c>
      <c r="AC559" s="721"/>
      <c r="AF559" s="627"/>
    </row>
    <row r="560" spans="1:68" ht="14.25" customHeight="1" thickTop="1" x14ac:dyDescent="0.2">
      <c r="A560" s="714" t="s">
        <v>862</v>
      </c>
      <c r="B560" s="696" t="s">
        <v>60</v>
      </c>
      <c r="C560" s="696" t="s">
        <v>92</v>
      </c>
      <c r="D560" s="696" t="s">
        <v>111</v>
      </c>
      <c r="E560" s="696" t="s">
        <v>127</v>
      </c>
      <c r="F560" s="696" t="s">
        <v>169</v>
      </c>
      <c r="G560" s="696" t="s">
        <v>190</v>
      </c>
      <c r="H560" s="696" t="s">
        <v>230</v>
      </c>
      <c r="I560" s="696" t="s">
        <v>254</v>
      </c>
      <c r="J560" s="696" t="s">
        <v>110</v>
      </c>
      <c r="K560" s="696" t="s">
        <v>339</v>
      </c>
      <c r="L560" s="696" t="s">
        <v>360</v>
      </c>
      <c r="M560" s="696" t="s">
        <v>427</v>
      </c>
      <c r="N560" s="627"/>
      <c r="O560" s="696" t="s">
        <v>495</v>
      </c>
      <c r="P560" s="696" t="s">
        <v>528</v>
      </c>
      <c r="Q560" s="696" t="s">
        <v>544</v>
      </c>
      <c r="R560" s="696" t="s">
        <v>553</v>
      </c>
      <c r="S560" s="696" t="s">
        <v>574</v>
      </c>
      <c r="T560" s="696" t="s">
        <v>583</v>
      </c>
      <c r="U560" s="696" t="s">
        <v>664</v>
      </c>
      <c r="V560" s="696" t="s">
        <v>671</v>
      </c>
      <c r="W560" s="696" t="s">
        <v>682</v>
      </c>
      <c r="X560" s="696" t="s">
        <v>731</v>
      </c>
      <c r="Y560" s="696" t="s">
        <v>748</v>
      </c>
      <c r="Z560" s="696" t="s">
        <v>771</v>
      </c>
      <c r="AA560" s="696" t="s">
        <v>783</v>
      </c>
      <c r="AB560" s="696" t="s">
        <v>830</v>
      </c>
      <c r="AC560" s="696" t="s">
        <v>849</v>
      </c>
      <c r="AF560" s="627"/>
    </row>
    <row r="561" spans="1:32" ht="13.5" customHeight="1" thickBot="1" x14ac:dyDescent="0.25">
      <c r="A561" s="715"/>
      <c r="B561" s="697"/>
      <c r="C561" s="697"/>
      <c r="D561" s="697"/>
      <c r="E561" s="697"/>
      <c r="F561" s="697"/>
      <c r="G561" s="697"/>
      <c r="H561" s="697"/>
      <c r="I561" s="697"/>
      <c r="J561" s="697"/>
      <c r="K561" s="697"/>
      <c r="L561" s="697"/>
      <c r="M561" s="697"/>
      <c r="N561" s="627"/>
      <c r="O561" s="697"/>
      <c r="P561" s="697"/>
      <c r="Q561" s="697"/>
      <c r="R561" s="697"/>
      <c r="S561" s="697"/>
      <c r="T561" s="697"/>
      <c r="U561" s="697"/>
      <c r="V561" s="697"/>
      <c r="W561" s="697"/>
      <c r="X561" s="697"/>
      <c r="Y561" s="697"/>
      <c r="Z561" s="697"/>
      <c r="AA561" s="697"/>
      <c r="AB561" s="697"/>
      <c r="AC561" s="697"/>
      <c r="AF561" s="627"/>
    </row>
    <row r="562" spans="1:32" ht="18" customHeight="1" thickTop="1" thickBot="1" x14ac:dyDescent="0.25">
      <c r="A562" s="40" t="s">
        <v>863</v>
      </c>
      <c r="B562" s="46">
        <f>IFERROR(Y22*1,"0")+IFERROR(Y23*1,"0")+IFERROR(Y27*1,"0")+IFERROR(Y28*1,"0")+IFERROR(Y29*1,"0")+IFERROR(Y30*1,"0")+IFERROR(Y31*1,"0")</f>
        <v>0</v>
      </c>
      <c r="C562" s="46">
        <f>IFERROR(Y37*1,"0")+IFERROR(Y38*1,"0")+IFERROR(Y39*1,"0")+IFERROR(Y40*1,"0")+IFERROR(Y41*1,"0")+IFERROR(Y42*1,"0")</f>
        <v>0</v>
      </c>
      <c r="D562" s="46">
        <f>IFERROR(Y48*1,"0")+IFERROR(Y49*1,"0")+IFERROR(Y50*1,"0")+IFERROR(Y51*1,"0")</f>
        <v>419.90000000000003</v>
      </c>
      <c r="E562" s="46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821.59999999999991</v>
      </c>
      <c r="F562" s="46">
        <f>IFERROR(Y83*1,"0")+IFERROR(Y84*1,"0")+IFERROR(Y85*1,"0")+IFERROR(Y86*1,"0")+IFERROR(Y90*1,"0")+IFERROR(Y91*1,"0")+IFERROR(Y92*1,"0")+IFERROR(Y93*1,"0")</f>
        <v>703.8</v>
      </c>
      <c r="G562" s="46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591.4799999999999</v>
      </c>
      <c r="H562" s="46">
        <f>IFERROR(Y128*1,"0")+IFERROR(Y129*1,"0")+IFERROR(Y130*1,"0")+IFERROR(Y134*1,"0")+IFERROR(Y135*1,"0")+IFERROR(Y136*1,"0")+IFERROR(Y137*1,"0")+IFERROR(Y141*1,"0")+IFERROR(Y142*1,"0")+IFERROR(Y143*1,"0")</f>
        <v>82.16</v>
      </c>
      <c r="I562" s="46">
        <f>IFERROR(Y148*1,"0")+IFERROR(Y149*1,"0")+IFERROR(Y150*1,"0")+IFERROR(Y151*1,"0")+IFERROR(Y152*1,"0")+IFERROR(Y153*1,"0")+IFERROR(Y154*1,"0")+IFERROR(Y158*1,"0")</f>
        <v>0</v>
      </c>
      <c r="J562" s="46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392.56000000000006</v>
      </c>
      <c r="K562" s="46">
        <f>IFERROR(Y204*1,"0")+IFERROR(Y205*1,"0")+IFERROR(Y206*1,"0")+IFERROR(Y207*1,"0")+IFERROR(Y208*1,"0")+IFERROR(Y209*1,"0")+IFERROR(Y210*1,"0")</f>
        <v>0</v>
      </c>
      <c r="L562" s="46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215.12</v>
      </c>
      <c r="M562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1185</v>
      </c>
      <c r="N562" s="627"/>
      <c r="O562" s="46">
        <f>IFERROR(Y297*1,"0")+IFERROR(Y298*1,"0")+IFERROR(Y299*1,"0")+IFERROR(Y300*1,"0")+IFERROR(Y301*1,"0")+IFERROR(Y302*1,"0")+IFERROR(Y303*1,"0")+IFERROR(Y307*1,"0")+IFERROR(Y311*1,"0")+IFERROR(Y315*1,"0")+IFERROR(Y316*1,"0")+IFERROR(Y317*1,"0")</f>
        <v>30.4</v>
      </c>
      <c r="P562" s="46">
        <f>IFERROR(Y322*1,"0")+IFERROR(Y323*1,"0")+IFERROR(Y324*1,"0")+IFERROR(Y325*1,"0")+IFERROR(Y326*1,"0")</f>
        <v>0</v>
      </c>
      <c r="Q562" s="46">
        <f>IFERROR(Y331*1,"0")+IFERROR(Y332*1,"0")+IFERROR(Y333*1,"0")</f>
        <v>86.399999999999991</v>
      </c>
      <c r="R562" s="46">
        <f>IFERROR(Y338*1,"0")+IFERROR(Y339*1,"0")+IFERROR(Y340*1,"0")+IFERROR(Y341*1,"0")+IFERROR(Y342*1,"0")+IFERROR(Y346*1,"0")+IFERROR(Y347*1,"0")</f>
        <v>0</v>
      </c>
      <c r="S562" s="46">
        <f>IFERROR(Y352*1,"0")+IFERROR(Y353*1,"0")+IFERROR(Y354*1,"0")</f>
        <v>421.20000000000005</v>
      </c>
      <c r="T562" s="46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962.81</v>
      </c>
      <c r="U562" s="46">
        <f>IFERROR(Y410*1,"0")+IFERROR(Y411*1,"0")</f>
        <v>0</v>
      </c>
      <c r="V562" s="46">
        <f>IFERROR(Y416*1,"0")+IFERROR(Y417*1,"0")+IFERROR(Y418*1,"0")</f>
        <v>23.1</v>
      </c>
      <c r="W562" s="46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4020</v>
      </c>
      <c r="X562" s="46">
        <f>IFERROR(Y453*1,"0")+IFERROR(Y454*1,"0")+IFERROR(Y458*1,"0")+IFERROR(Y462*1,"0")+IFERROR(Y463*1,"0")+IFERROR(Y464*1,"0")</f>
        <v>300</v>
      </c>
      <c r="Y562" s="46">
        <f>IFERROR(Y470*1,"0")+IFERROR(Y471*1,"0")+IFERROR(Y472*1,"0")+IFERROR(Y473*1,"0")+IFERROR(Y474*1,"0")+IFERROR(Y475*1,"0")+IFERROR(Y479*1,"0")+IFERROR(Y480*1,"0")</f>
        <v>32.400000000000006</v>
      </c>
      <c r="Z562" s="46">
        <f>IFERROR(Y485*1,"0")+IFERROR(Y489*1,"0")+IFERROR(Y490*1,"0")+IFERROR(Y491*1,"0")</f>
        <v>64.800000000000011</v>
      </c>
      <c r="AA562" s="46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839.04</v>
      </c>
      <c r="AB562" s="46">
        <f>IFERROR(Y527*1,"0")+IFERROR(Y531*1,"0")+IFERROR(Y535*1,"0")+IFERROR(Y539*1,"0")+IFERROR(Y543*1,"0")+IFERROR(Y544*1,"0")</f>
        <v>54</v>
      </c>
      <c r="AC562" s="46">
        <f>IFERROR(Y549*1,"0")</f>
        <v>0</v>
      </c>
      <c r="AF562" s="627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31,00"/>
        <filter val="1 708,40"/>
        <filter val="1,55"/>
        <filter val="10,00"/>
        <filter val="10,48"/>
        <filter val="105,00"/>
        <filter val="11 032,00"/>
        <filter val="11 605,30"/>
        <filter val="11,48"/>
        <filter val="11,67"/>
        <filter val="111,00"/>
        <filter val="112,00"/>
        <filter val="113,00"/>
        <filter val="117,00"/>
        <filter val="12 080,30"/>
        <filter val="12,00"/>
        <filter val="120,00"/>
        <filter val="133,00"/>
        <filter val="133,07"/>
        <filter val="139,00"/>
        <filter val="14,00"/>
        <filter val="140,00"/>
        <filter val="15,00"/>
        <filter val="15,15"/>
        <filter val="158,00"/>
        <filter val="17,00"/>
        <filter val="18,00"/>
        <filter val="18,56"/>
        <filter val="183,00"/>
        <filter val="184,00"/>
        <filter val="186,64"/>
        <filter val="19"/>
        <filter val="192,93"/>
        <filter val="197,00"/>
        <filter val="2 894,00"/>
        <filter val="2,00"/>
        <filter val="2,22"/>
        <filter val="20,00"/>
        <filter val="21,00"/>
        <filter val="211,00"/>
        <filter val="22,00"/>
        <filter val="221,00"/>
        <filter val="227,00"/>
        <filter val="23,00"/>
        <filter val="244,00"/>
        <filter val="25,00"/>
        <filter val="26,33"/>
        <filter val="27,00"/>
        <filter val="279,00"/>
        <filter val="28,00"/>
        <filter val="280,00"/>
        <filter val="29,00"/>
        <filter val="29,17"/>
        <filter val="291,00"/>
        <filter val="292,00"/>
        <filter val="3,00"/>
        <filter val="3,33"/>
        <filter val="3,97"/>
        <filter val="30,00"/>
        <filter val="30,04"/>
        <filter val="32,00"/>
        <filter val="325,00"/>
        <filter val="332,00"/>
        <filter val="34,00"/>
        <filter val="34,70"/>
        <filter val="34,85"/>
        <filter val="35,00"/>
        <filter val="35,93"/>
        <filter val="352,00"/>
        <filter val="36,11"/>
        <filter val="37,00"/>
        <filter val="38,22"/>
        <filter val="38,23"/>
        <filter val="38,28"/>
        <filter val="391,00"/>
        <filter val="4,00"/>
        <filter val="4,17"/>
        <filter val="405,00"/>
        <filter val="410,00"/>
        <filter val="412,00"/>
        <filter val="415,00"/>
        <filter val="42,00"/>
        <filter val="43,00"/>
        <filter val="44,00"/>
        <filter val="45,00"/>
        <filter val="47,00"/>
        <filter val="477,00"/>
        <filter val="49,00"/>
        <filter val="492,00"/>
        <filter val="5,00"/>
        <filter val="5,56"/>
        <filter val="50,00"/>
        <filter val="51,23"/>
        <filter val="51,92"/>
        <filter val="53,00"/>
        <filter val="53,07"/>
        <filter val="55,50"/>
        <filter val="56,00"/>
        <filter val="585,00"/>
        <filter val="597,00"/>
        <filter val="6,00"/>
        <filter val="6,35"/>
        <filter val="61,15"/>
        <filter val="62,00"/>
        <filter val="63,00"/>
        <filter val="64,07"/>
        <filter val="684,00"/>
        <filter val="7,04"/>
        <filter val="70,00"/>
        <filter val="70,92"/>
        <filter val="76,00"/>
        <filter val="79,00"/>
        <filter val="8,00"/>
        <filter val="8,33"/>
        <filter val="84,00"/>
        <filter val="85,00"/>
        <filter val="9,00"/>
        <filter val="92,18"/>
        <filter val="94,00"/>
        <filter val="94,19"/>
        <filter val="947,00"/>
        <filter val="96,00"/>
        <filter val="961,00"/>
        <filter val="966,00"/>
        <filter val="99,26"/>
      </filters>
    </filterColumn>
    <filterColumn colId="29" showButton="0"/>
    <filterColumn colId="30" showButton="0"/>
  </autoFilter>
  <mergeCells count="989">
    <mergeCell ref="D170:E170"/>
    <mergeCell ref="P93:T93"/>
    <mergeCell ref="P132:V132"/>
    <mergeCell ref="P72:T72"/>
    <mergeCell ref="A124:O125"/>
    <mergeCell ref="Y17:Y18"/>
    <mergeCell ref="U17:V17"/>
    <mergeCell ref="A8:C8"/>
    <mergeCell ref="P360:T360"/>
    <mergeCell ref="D268:E268"/>
    <mergeCell ref="P151:T151"/>
    <mergeCell ref="P138:V138"/>
    <mergeCell ref="P374:V374"/>
    <mergeCell ref="A10:C10"/>
    <mergeCell ref="P69:V69"/>
    <mergeCell ref="A21:Z21"/>
    <mergeCell ref="D184:E184"/>
    <mergeCell ref="A355:O356"/>
    <mergeCell ref="P356:V356"/>
    <mergeCell ref="X17:X18"/>
    <mergeCell ref="D286:E286"/>
    <mergeCell ref="P216:V216"/>
    <mergeCell ref="D17:E18"/>
    <mergeCell ref="P373:T373"/>
    <mergeCell ref="P307:T307"/>
    <mergeCell ref="D123:E123"/>
    <mergeCell ref="D250:E250"/>
    <mergeCell ref="D50:E50"/>
    <mergeCell ref="D42:E42"/>
    <mergeCell ref="P149:T149"/>
    <mergeCell ref="P74:V74"/>
    <mergeCell ref="P447:T447"/>
    <mergeCell ref="P410:T410"/>
    <mergeCell ref="N17:N18"/>
    <mergeCell ref="P560:P561"/>
    <mergeCell ref="P58:T58"/>
    <mergeCell ref="O560:O561"/>
    <mergeCell ref="D331:E331"/>
    <mergeCell ref="D57:E57"/>
    <mergeCell ref="Q560:Q561"/>
    <mergeCell ref="A484:Z484"/>
    <mergeCell ref="P438:V438"/>
    <mergeCell ref="P505:T505"/>
    <mergeCell ref="A415:Z415"/>
    <mergeCell ref="D471:E471"/>
    <mergeCell ref="A449:O450"/>
    <mergeCell ref="P363:T363"/>
    <mergeCell ref="A35:Z35"/>
    <mergeCell ref="P370:T370"/>
    <mergeCell ref="F17:F18"/>
    <mergeCell ref="D276:E276"/>
    <mergeCell ref="A107:Z107"/>
    <mergeCell ref="D341:E341"/>
    <mergeCell ref="D549:E549"/>
    <mergeCell ref="P291:T291"/>
    <mergeCell ref="D405:E405"/>
    <mergeCell ref="D163:E163"/>
    <mergeCell ref="A478:Z478"/>
    <mergeCell ref="A24:O25"/>
    <mergeCell ref="P65:T65"/>
    <mergeCell ref="P136:T136"/>
    <mergeCell ref="P305:V305"/>
    <mergeCell ref="D244:E244"/>
    <mergeCell ref="P228:T228"/>
    <mergeCell ref="P499:T499"/>
    <mergeCell ref="D342:E342"/>
    <mergeCell ref="P513:V513"/>
    <mergeCell ref="P134:T134"/>
    <mergeCell ref="A534:Z534"/>
    <mergeCell ref="A64:Z64"/>
    <mergeCell ref="P432:V432"/>
    <mergeCell ref="P510:T510"/>
    <mergeCell ref="P308:V308"/>
    <mergeCell ref="P185:V185"/>
    <mergeCell ref="P160:V160"/>
    <mergeCell ref="P83:T83"/>
    <mergeCell ref="D271:E271"/>
    <mergeCell ref="D151:E151"/>
    <mergeCell ref="D443:E443"/>
    <mergeCell ref="D272:E272"/>
    <mergeCell ref="A345:Z345"/>
    <mergeCell ref="D210:E210"/>
    <mergeCell ref="Q5:R5"/>
    <mergeCell ref="P497:T497"/>
    <mergeCell ref="P297:T297"/>
    <mergeCell ref="P435:T435"/>
    <mergeCell ref="D278:E278"/>
    <mergeCell ref="Q6:R6"/>
    <mergeCell ref="V12:W12"/>
    <mergeCell ref="D458:E458"/>
    <mergeCell ref="P368:T368"/>
    <mergeCell ref="D237:E237"/>
    <mergeCell ref="P43:V43"/>
    <mergeCell ref="A310:Z310"/>
    <mergeCell ref="A337:Z337"/>
    <mergeCell ref="P85:T85"/>
    <mergeCell ref="P60:T60"/>
    <mergeCell ref="D291:E291"/>
    <mergeCell ref="D239:E239"/>
    <mergeCell ref="D266:E266"/>
    <mergeCell ref="P174:T174"/>
    <mergeCell ref="AD17:AF18"/>
    <mergeCell ref="A481:O482"/>
    <mergeCell ref="P167:V167"/>
    <mergeCell ref="D101:E101"/>
    <mergeCell ref="F5:G5"/>
    <mergeCell ref="P365:V365"/>
    <mergeCell ref="A488:Z488"/>
    <mergeCell ref="P144:V144"/>
    <mergeCell ref="P67:T67"/>
    <mergeCell ref="D430:E430"/>
    <mergeCell ref="D175:E175"/>
    <mergeCell ref="A334:O335"/>
    <mergeCell ref="D392:E392"/>
    <mergeCell ref="D221:E221"/>
    <mergeCell ref="V11:W11"/>
    <mergeCell ref="P57:T57"/>
    <mergeCell ref="P367:T367"/>
    <mergeCell ref="D165:E165"/>
    <mergeCell ref="D475:E475"/>
    <mergeCell ref="P406:V406"/>
    <mergeCell ref="P342:T342"/>
    <mergeCell ref="D323:E323"/>
    <mergeCell ref="P317:T317"/>
    <mergeCell ref="P436:T436"/>
    <mergeCell ref="D544:E544"/>
    <mergeCell ref="A308:O309"/>
    <mergeCell ref="D270:E270"/>
    <mergeCell ref="Z560:Z561"/>
    <mergeCell ref="A550:O551"/>
    <mergeCell ref="D397:E397"/>
    <mergeCell ref="AB560:AB561"/>
    <mergeCell ref="D99:E99"/>
    <mergeCell ref="A201:Z201"/>
    <mergeCell ref="P128:T128"/>
    <mergeCell ref="D503:E503"/>
    <mergeCell ref="P509:T509"/>
    <mergeCell ref="D279:E279"/>
    <mergeCell ref="D152:E152"/>
    <mergeCell ref="D521:E521"/>
    <mergeCell ref="A254:Z254"/>
    <mergeCell ref="P181:T181"/>
    <mergeCell ref="P515:T515"/>
    <mergeCell ref="D265:E265"/>
    <mergeCell ref="P195:V195"/>
    <mergeCell ref="P493:V493"/>
    <mergeCell ref="P123:T123"/>
    <mergeCell ref="P529:V529"/>
    <mergeCell ref="P110:T110"/>
    <mergeCell ref="P2:W3"/>
    <mergeCell ref="P298:T298"/>
    <mergeCell ref="D437:E437"/>
    <mergeCell ref="P369:T369"/>
    <mergeCell ref="P198:T198"/>
    <mergeCell ref="P347:T347"/>
    <mergeCell ref="D539:E539"/>
    <mergeCell ref="P418:T418"/>
    <mergeCell ref="D228:E228"/>
    <mergeCell ref="D333:E333"/>
    <mergeCell ref="D404:E404"/>
    <mergeCell ref="P312:V312"/>
    <mergeCell ref="D10:E10"/>
    <mergeCell ref="P135:T135"/>
    <mergeCell ref="P362:T362"/>
    <mergeCell ref="F10:G10"/>
    <mergeCell ref="A52:O53"/>
    <mergeCell ref="D29:E29"/>
    <mergeCell ref="D23:E23"/>
    <mergeCell ref="A20:Z20"/>
    <mergeCell ref="A249:Z249"/>
    <mergeCell ref="A127:Z127"/>
    <mergeCell ref="A320:Z320"/>
    <mergeCell ref="D515:E515"/>
    <mergeCell ref="P492:V492"/>
    <mergeCell ref="M17:M18"/>
    <mergeCell ref="A409:Z409"/>
    <mergeCell ref="A469:Z469"/>
    <mergeCell ref="O17:O18"/>
    <mergeCell ref="E560:E561"/>
    <mergeCell ref="P131:V131"/>
    <mergeCell ref="G560:G561"/>
    <mergeCell ref="P258:V258"/>
    <mergeCell ref="P556:V556"/>
    <mergeCell ref="P52:V52"/>
    <mergeCell ref="P430:T430"/>
    <mergeCell ref="A235:Z235"/>
    <mergeCell ref="P481:V481"/>
    <mergeCell ref="P417:T417"/>
    <mergeCell ref="D531:E531"/>
    <mergeCell ref="P102:T102"/>
    <mergeCell ref="P456:V456"/>
    <mergeCell ref="A508:Z508"/>
    <mergeCell ref="A483:Z483"/>
    <mergeCell ref="D177:E177"/>
    <mergeCell ref="P354:T354"/>
    <mergeCell ref="P523:V523"/>
    <mergeCell ref="D226:E226"/>
    <mergeCell ref="A9:C9"/>
    <mergeCell ref="D373:E373"/>
    <mergeCell ref="D58:E58"/>
    <mergeCell ref="D500:E500"/>
    <mergeCell ref="P112:T112"/>
    <mergeCell ref="P273:V273"/>
    <mergeCell ref="A465:O466"/>
    <mergeCell ref="P323:T323"/>
    <mergeCell ref="A113:O114"/>
    <mergeCell ref="A414:Z414"/>
    <mergeCell ref="D231:E231"/>
    <mergeCell ref="P70:V70"/>
    <mergeCell ref="A389:Z389"/>
    <mergeCell ref="P32:V32"/>
    <mergeCell ref="Q13:R13"/>
    <mergeCell ref="P401:V401"/>
    <mergeCell ref="A318:O319"/>
    <mergeCell ref="P176:T176"/>
    <mergeCell ref="D84:E84"/>
    <mergeCell ref="P41:T41"/>
    <mergeCell ref="A157:Z157"/>
    <mergeCell ref="D22:E22"/>
    <mergeCell ref="A62:O63"/>
    <mergeCell ref="D149:E149"/>
    <mergeCell ref="AC560:AC561"/>
    <mergeCell ref="P282:T282"/>
    <mergeCell ref="A241:O242"/>
    <mergeCell ref="D225:E225"/>
    <mergeCell ref="D154:E154"/>
    <mergeCell ref="P111:T111"/>
    <mergeCell ref="P359:T359"/>
    <mergeCell ref="D436:E436"/>
    <mergeCell ref="P490:T490"/>
    <mergeCell ref="A476:O477"/>
    <mergeCell ref="P346:T346"/>
    <mergeCell ref="D292:E292"/>
    <mergeCell ref="D227:E227"/>
    <mergeCell ref="P262:V262"/>
    <mergeCell ref="P537:V537"/>
    <mergeCell ref="P470:T470"/>
    <mergeCell ref="D447:E447"/>
    <mergeCell ref="D385:E385"/>
    <mergeCell ref="P301:T301"/>
    <mergeCell ref="P178:T178"/>
    <mergeCell ref="P276:T276"/>
    <mergeCell ref="A166:O167"/>
    <mergeCell ref="P278:T278"/>
    <mergeCell ref="D150:E150"/>
    <mergeCell ref="W559:X559"/>
    <mergeCell ref="P242:V242"/>
    <mergeCell ref="P407:V407"/>
    <mergeCell ref="A530:Z530"/>
    <mergeCell ref="P121:V121"/>
    <mergeCell ref="P553:V553"/>
    <mergeCell ref="P382:V382"/>
    <mergeCell ref="P188:T188"/>
    <mergeCell ref="AA560:AA561"/>
    <mergeCell ref="P482:V482"/>
    <mergeCell ref="A412:O413"/>
    <mergeCell ref="D386:E386"/>
    <mergeCell ref="D215:E215"/>
    <mergeCell ref="A364:O365"/>
    <mergeCell ref="P183:T183"/>
    <mergeCell ref="D164:E164"/>
    <mergeCell ref="A314:Z314"/>
    <mergeCell ref="P289:V289"/>
    <mergeCell ref="D298:E298"/>
    <mergeCell ref="D181:E181"/>
    <mergeCell ref="A351:Z351"/>
    <mergeCell ref="P252:V252"/>
    <mergeCell ref="P324:T324"/>
    <mergeCell ref="A126:Z126"/>
    <mergeCell ref="H5:M5"/>
    <mergeCell ref="P98:T98"/>
    <mergeCell ref="P522:V522"/>
    <mergeCell ref="A214:Z214"/>
    <mergeCell ref="D317:E317"/>
    <mergeCell ref="P225:T225"/>
    <mergeCell ref="D510:E510"/>
    <mergeCell ref="D6:M6"/>
    <mergeCell ref="A306:Z306"/>
    <mergeCell ref="P175:T175"/>
    <mergeCell ref="P95:V95"/>
    <mergeCell ref="D83:E83"/>
    <mergeCell ref="D143:E143"/>
    <mergeCell ref="D441:E441"/>
    <mergeCell ref="P398:T398"/>
    <mergeCell ref="P227:T227"/>
    <mergeCell ref="D368:E368"/>
    <mergeCell ref="P177:T177"/>
    <mergeCell ref="P475:T475"/>
    <mergeCell ref="P226:T226"/>
    <mergeCell ref="D256:E256"/>
    <mergeCell ref="G17:G18"/>
    <mergeCell ref="A467:Z467"/>
    <mergeCell ref="A296:Z296"/>
    <mergeCell ref="V6:W9"/>
    <mergeCell ref="P38:T38"/>
    <mergeCell ref="D497:E497"/>
    <mergeCell ref="A348:O349"/>
    <mergeCell ref="D435:E435"/>
    <mergeCell ref="P234:V234"/>
    <mergeCell ref="A155:O156"/>
    <mergeCell ref="P109:T109"/>
    <mergeCell ref="P84:T84"/>
    <mergeCell ref="P222:T222"/>
    <mergeCell ref="D65:E65"/>
    <mergeCell ref="P22:T22"/>
    <mergeCell ref="D428:E428"/>
    <mergeCell ref="P40:T40"/>
    <mergeCell ref="P334:V334"/>
    <mergeCell ref="A455:O456"/>
    <mergeCell ref="P394:V394"/>
    <mergeCell ref="D194:E194"/>
    <mergeCell ref="A54:Z54"/>
    <mergeCell ref="P94:V94"/>
    <mergeCell ref="P44:V44"/>
    <mergeCell ref="D367:E367"/>
    <mergeCell ref="A461:Z461"/>
    <mergeCell ref="P59:T59"/>
    <mergeCell ref="U560:U561"/>
    <mergeCell ref="D418:E418"/>
    <mergeCell ref="P472:T472"/>
    <mergeCell ref="D393:E393"/>
    <mergeCell ref="P279:T279"/>
    <mergeCell ref="P108:T108"/>
    <mergeCell ref="P445:V445"/>
    <mergeCell ref="D153:E153"/>
    <mergeCell ref="P256:T256"/>
    <mergeCell ref="D128:E128"/>
    <mergeCell ref="K559:V559"/>
    <mergeCell ref="P550:V550"/>
    <mergeCell ref="A528:O529"/>
    <mergeCell ref="F560:F561"/>
    <mergeCell ref="H560:H561"/>
    <mergeCell ref="P269:T269"/>
    <mergeCell ref="P462:T462"/>
    <mergeCell ref="D207:E207"/>
    <mergeCell ref="P164:T164"/>
    <mergeCell ref="P120:V120"/>
    <mergeCell ref="D299:E299"/>
    <mergeCell ref="D370:E370"/>
    <mergeCell ref="P476:V476"/>
    <mergeCell ref="D222:E222"/>
    <mergeCell ref="P51:T51"/>
    <mergeCell ref="P535:T535"/>
    <mergeCell ref="A144:O145"/>
    <mergeCell ref="AA17:AA18"/>
    <mergeCell ref="P552:V552"/>
    <mergeCell ref="H10:M10"/>
    <mergeCell ref="AC17:AC18"/>
    <mergeCell ref="P485:T485"/>
    <mergeCell ref="A122:Z122"/>
    <mergeCell ref="Z17:Z18"/>
    <mergeCell ref="AB17:AB18"/>
    <mergeCell ref="D85:E85"/>
    <mergeCell ref="P399:T399"/>
    <mergeCell ref="P333:T333"/>
    <mergeCell ref="A295:Z295"/>
    <mergeCell ref="P171:V171"/>
    <mergeCell ref="P413:V413"/>
    <mergeCell ref="P49:T49"/>
    <mergeCell ref="P101:T101"/>
    <mergeCell ref="P63:V63"/>
    <mergeCell ref="P53:V53"/>
    <mergeCell ref="D49:E49"/>
    <mergeCell ref="P91:T91"/>
    <mergeCell ref="A82:Z82"/>
    <mergeCell ref="P463:T463"/>
    <mergeCell ref="D384:E384"/>
    <mergeCell ref="A457:Z457"/>
    <mergeCell ref="A387:O388"/>
    <mergeCell ref="P341:T341"/>
    <mergeCell ref="A191:O192"/>
    <mergeCell ref="P260:T260"/>
    <mergeCell ref="D399:E399"/>
    <mergeCell ref="D59:E59"/>
    <mergeCell ref="D178:E178"/>
    <mergeCell ref="A218:Z218"/>
    <mergeCell ref="D462:E462"/>
    <mergeCell ref="A251:O252"/>
    <mergeCell ref="P292:T292"/>
    <mergeCell ref="D102:E102"/>
    <mergeCell ref="P450:V450"/>
    <mergeCell ref="A440:Z440"/>
    <mergeCell ref="P419:V419"/>
    <mergeCell ref="P145:V145"/>
    <mergeCell ref="P381:V381"/>
    <mergeCell ref="P385:T385"/>
    <mergeCell ref="P338:T338"/>
    <mergeCell ref="D223:E223"/>
    <mergeCell ref="P192:V192"/>
    <mergeCell ref="H17:H18"/>
    <mergeCell ref="P261:T261"/>
    <mergeCell ref="A146:Z146"/>
    <mergeCell ref="P503:T503"/>
    <mergeCell ref="P332:T332"/>
    <mergeCell ref="D204:E204"/>
    <mergeCell ref="D198:E198"/>
    <mergeCell ref="P90:T90"/>
    <mergeCell ref="D269:E269"/>
    <mergeCell ref="D489:E489"/>
    <mergeCell ref="D427:E427"/>
    <mergeCell ref="P27:T27"/>
    <mergeCell ref="P325:T325"/>
    <mergeCell ref="P154:T154"/>
    <mergeCell ref="P247:V247"/>
    <mergeCell ref="P390:T390"/>
    <mergeCell ref="D206:E206"/>
    <mergeCell ref="P241:V241"/>
    <mergeCell ref="P500:T500"/>
    <mergeCell ref="A444:O445"/>
    <mergeCell ref="P105:V105"/>
    <mergeCell ref="D39:E39"/>
    <mergeCell ref="P130:T130"/>
    <mergeCell ref="D136:E136"/>
    <mergeCell ref="J9:M9"/>
    <mergeCell ref="D283:E283"/>
    <mergeCell ref="D112:E112"/>
    <mergeCell ref="A532:O533"/>
    <mergeCell ref="D519:E519"/>
    <mergeCell ref="P141:T141"/>
    <mergeCell ref="D56:E56"/>
    <mergeCell ref="P377:T377"/>
    <mergeCell ref="P206:T206"/>
    <mergeCell ref="P504:T504"/>
    <mergeCell ref="D491:E491"/>
    <mergeCell ref="P448:T448"/>
    <mergeCell ref="D347:E347"/>
    <mergeCell ref="D285:E285"/>
    <mergeCell ref="D176:E176"/>
    <mergeCell ref="P155:V155"/>
    <mergeCell ref="P37:T37"/>
    <mergeCell ref="A273:O274"/>
    <mergeCell ref="A514:Z514"/>
    <mergeCell ref="P143:T143"/>
    <mergeCell ref="P441:T441"/>
    <mergeCell ref="D362:E362"/>
    <mergeCell ref="D51:E51"/>
    <mergeCell ref="P328:V328"/>
    <mergeCell ref="A13:M13"/>
    <mergeCell ref="P536:V536"/>
    <mergeCell ref="P79:V79"/>
    <mergeCell ref="A548:Z548"/>
    <mergeCell ref="D61:E61"/>
    <mergeCell ref="A15:M15"/>
    <mergeCell ref="P238:T238"/>
    <mergeCell ref="D48:E48"/>
    <mergeCell ref="D490:E490"/>
    <mergeCell ref="D346:E346"/>
    <mergeCell ref="P229:T229"/>
    <mergeCell ref="A133:Z133"/>
    <mergeCell ref="P77:T77"/>
    <mergeCell ref="A193:Z193"/>
    <mergeCell ref="P204:T204"/>
    <mergeCell ref="A264:Z264"/>
    <mergeCell ref="P179:T179"/>
    <mergeCell ref="P455:V455"/>
    <mergeCell ref="A451:Z451"/>
    <mergeCell ref="A147:Z147"/>
    <mergeCell ref="P207:T207"/>
    <mergeCell ref="A131:O132"/>
    <mergeCell ref="P299:T299"/>
    <mergeCell ref="P172:V172"/>
    <mergeCell ref="R560:R561"/>
    <mergeCell ref="A199:O200"/>
    <mergeCell ref="P511:T511"/>
    <mergeCell ref="T560:T561"/>
    <mergeCell ref="P507:V507"/>
    <mergeCell ref="A506:O507"/>
    <mergeCell ref="A350:Z350"/>
    <mergeCell ref="P313:V313"/>
    <mergeCell ref="P444:V444"/>
    <mergeCell ref="P380:T380"/>
    <mergeCell ref="A496:Z496"/>
    <mergeCell ref="S560:S561"/>
    <mergeCell ref="P393:T393"/>
    <mergeCell ref="P232:T232"/>
    <mergeCell ref="A275:Z275"/>
    <mergeCell ref="P501:T501"/>
    <mergeCell ref="A253:Z253"/>
    <mergeCell ref="A495:Z495"/>
    <mergeCell ref="P355:V355"/>
    <mergeCell ref="Y559:Z559"/>
    <mergeCell ref="P387:V387"/>
    <mergeCell ref="D316:E316"/>
    <mergeCell ref="P517:T517"/>
    <mergeCell ref="D267:E267"/>
    <mergeCell ref="Q10:R10"/>
    <mergeCell ref="D41:E41"/>
    <mergeCell ref="A486:O487"/>
    <mergeCell ref="P318:V318"/>
    <mergeCell ref="D277:E277"/>
    <mergeCell ref="P25:V25"/>
    <mergeCell ref="P554:V554"/>
    <mergeCell ref="D371:E371"/>
    <mergeCell ref="D485:E485"/>
    <mergeCell ref="D137:E137"/>
    <mergeCell ref="P124:V124"/>
    <mergeCell ref="P489:T489"/>
    <mergeCell ref="P80:V80"/>
    <mergeCell ref="D130:E130"/>
    <mergeCell ref="D372:E372"/>
    <mergeCell ref="P449:V449"/>
    <mergeCell ref="A203:Z203"/>
    <mergeCell ref="D68:E68"/>
    <mergeCell ref="P245:T245"/>
    <mergeCell ref="P516:T516"/>
    <mergeCell ref="D188:E188"/>
    <mergeCell ref="P543:T543"/>
    <mergeCell ref="D424:E424"/>
    <mergeCell ref="P224:T224"/>
    <mergeCell ref="T5:U5"/>
    <mergeCell ref="D119:E119"/>
    <mergeCell ref="I560:I561"/>
    <mergeCell ref="D246:E246"/>
    <mergeCell ref="D190:E190"/>
    <mergeCell ref="P294:V294"/>
    <mergeCell ref="V5:W5"/>
    <mergeCell ref="D40:E40"/>
    <mergeCell ref="P361:T361"/>
    <mergeCell ref="D338:E338"/>
    <mergeCell ref="D282:E282"/>
    <mergeCell ref="P212:V212"/>
    <mergeCell ref="D111:E111"/>
    <mergeCell ref="Q8:R8"/>
    <mergeCell ref="P311:T311"/>
    <mergeCell ref="D183:E183"/>
    <mergeCell ref="P267:T267"/>
    <mergeCell ref="A257:O258"/>
    <mergeCell ref="D219:E219"/>
    <mergeCell ref="A288:O289"/>
    <mergeCell ref="D104:E104"/>
    <mergeCell ref="P425:T425"/>
    <mergeCell ref="D340:E340"/>
    <mergeCell ref="T6:U9"/>
    <mergeCell ref="A12:M12"/>
    <mergeCell ref="P293:V293"/>
    <mergeCell ref="P397:T397"/>
    <mergeCell ref="A538:Z538"/>
    <mergeCell ref="P200:V200"/>
    <mergeCell ref="A19:Z19"/>
    <mergeCell ref="P372:T372"/>
    <mergeCell ref="D182:E182"/>
    <mergeCell ref="D480:E480"/>
    <mergeCell ref="D280:E280"/>
    <mergeCell ref="P528:V528"/>
    <mergeCell ref="P163:T163"/>
    <mergeCell ref="D109:E109"/>
    <mergeCell ref="A14:M14"/>
    <mergeCell ref="P424:T424"/>
    <mergeCell ref="P319:V319"/>
    <mergeCell ref="P512:V512"/>
    <mergeCell ref="P491:T491"/>
    <mergeCell ref="P322:T322"/>
    <mergeCell ref="P15:T16"/>
    <mergeCell ref="D116:E116"/>
    <mergeCell ref="D352:E352"/>
    <mergeCell ref="P219:T219"/>
    <mergeCell ref="D91:E91"/>
    <mergeCell ref="P23:T23"/>
    <mergeCell ref="A536:O537"/>
    <mergeCell ref="P272:T272"/>
    <mergeCell ref="P210:T210"/>
    <mergeCell ref="P439:V439"/>
    <mergeCell ref="D454:E454"/>
    <mergeCell ref="A438:O439"/>
    <mergeCell ref="P433:V433"/>
    <mergeCell ref="D398:E398"/>
    <mergeCell ref="A69:O70"/>
    <mergeCell ref="D416:E416"/>
    <mergeCell ref="P427:T427"/>
    <mergeCell ref="P283:T283"/>
    <mergeCell ref="D93:E93"/>
    <mergeCell ref="P277:T277"/>
    <mergeCell ref="P519:T519"/>
    <mergeCell ref="D391:E391"/>
    <mergeCell ref="D220:E220"/>
    <mergeCell ref="A394:O395"/>
    <mergeCell ref="A26:Z26"/>
    <mergeCell ref="D527:E527"/>
    <mergeCell ref="P335:V335"/>
    <mergeCell ref="A45:Z45"/>
    <mergeCell ref="A452:Z452"/>
    <mergeCell ref="D9:E9"/>
    <mergeCell ref="F9:G9"/>
    <mergeCell ref="A47:Z47"/>
    <mergeCell ref="A419:O420"/>
    <mergeCell ref="D403:E403"/>
    <mergeCell ref="D232:E232"/>
    <mergeCell ref="A406:O407"/>
    <mergeCell ref="P239:T239"/>
    <mergeCell ref="P68:T68"/>
    <mergeCell ref="A247:O248"/>
    <mergeCell ref="P186:V186"/>
    <mergeCell ref="A185:O186"/>
    <mergeCell ref="D38:E38"/>
    <mergeCell ref="A312:O313"/>
    <mergeCell ref="P353:T353"/>
    <mergeCell ref="D169:E169"/>
    <mergeCell ref="A262:O263"/>
    <mergeCell ref="P303:T303"/>
    <mergeCell ref="A357:Z357"/>
    <mergeCell ref="P75:V75"/>
    <mergeCell ref="A329:Z329"/>
    <mergeCell ref="P304:V304"/>
    <mergeCell ref="P344:V344"/>
    <mergeCell ref="A396:Z396"/>
    <mergeCell ref="A5:C5"/>
    <mergeCell ref="P412:V412"/>
    <mergeCell ref="A408:Z408"/>
    <mergeCell ref="P340:T340"/>
    <mergeCell ref="J560:J561"/>
    <mergeCell ref="P191:V191"/>
    <mergeCell ref="A187:Z187"/>
    <mergeCell ref="L560:L561"/>
    <mergeCell ref="D179:E179"/>
    <mergeCell ref="A423:Z423"/>
    <mergeCell ref="P349:V349"/>
    <mergeCell ref="P420:V420"/>
    <mergeCell ref="D464:E464"/>
    <mergeCell ref="A17:A18"/>
    <mergeCell ref="P364:V364"/>
    <mergeCell ref="P300:T300"/>
    <mergeCell ref="P371:T371"/>
    <mergeCell ref="C17:C18"/>
    <mergeCell ref="P431:T431"/>
    <mergeCell ref="D103:E103"/>
    <mergeCell ref="D37:E37"/>
    <mergeCell ref="K17:K18"/>
    <mergeCell ref="D230:E230"/>
    <mergeCell ref="A552:O557"/>
    <mergeCell ref="A6:C6"/>
    <mergeCell ref="P118:T118"/>
    <mergeCell ref="A96:Z96"/>
    <mergeCell ref="P416:T416"/>
    <mergeCell ref="P142:T142"/>
    <mergeCell ref="A161:Z161"/>
    <mergeCell ref="D148:E148"/>
    <mergeCell ref="P403:T403"/>
    <mergeCell ref="P378:T378"/>
    <mergeCell ref="D324:E324"/>
    <mergeCell ref="P117:T117"/>
    <mergeCell ref="D311:E311"/>
    <mergeCell ref="P182:T182"/>
    <mergeCell ref="P280:T280"/>
    <mergeCell ref="Q12:R12"/>
    <mergeCell ref="D261:E261"/>
    <mergeCell ref="P169:T169"/>
    <mergeCell ref="P411:T411"/>
    <mergeCell ref="D90:E90"/>
    <mergeCell ref="P196:V196"/>
    <mergeCell ref="P119:T119"/>
    <mergeCell ref="P246:T246"/>
    <mergeCell ref="A43:O44"/>
    <mergeCell ref="P62:V62"/>
    <mergeCell ref="Q9:R9"/>
    <mergeCell ref="D255:E255"/>
    <mergeCell ref="A524:Z524"/>
    <mergeCell ref="P78:T78"/>
    <mergeCell ref="A97:Z97"/>
    <mergeCell ref="Q11:R11"/>
    <mergeCell ref="K560:K561"/>
    <mergeCell ref="P465:V465"/>
    <mergeCell ref="M560:M561"/>
    <mergeCell ref="D453:E453"/>
    <mergeCell ref="D322:E322"/>
    <mergeCell ref="A290:Z290"/>
    <mergeCell ref="D260:E260"/>
    <mergeCell ref="P205:T205"/>
    <mergeCell ref="A195:O196"/>
    <mergeCell ref="P180:T180"/>
    <mergeCell ref="D517:E517"/>
    <mergeCell ref="P480:T480"/>
    <mergeCell ref="P442:T442"/>
    <mergeCell ref="D448:E448"/>
    <mergeCell ref="D390:E390"/>
    <mergeCell ref="D339:E339"/>
    <mergeCell ref="P66:T66"/>
    <mergeCell ref="D180:E180"/>
    <mergeCell ref="I17:I18"/>
    <mergeCell ref="D141:E141"/>
    <mergeCell ref="D135:E135"/>
    <mergeCell ref="P189:T189"/>
    <mergeCell ref="D377:E377"/>
    <mergeCell ref="P114:V114"/>
    <mergeCell ref="P287:T287"/>
    <mergeCell ref="A547:Z547"/>
    <mergeCell ref="P281:T281"/>
    <mergeCell ref="P352:T352"/>
    <mergeCell ref="D72:E72"/>
    <mergeCell ref="P498:T498"/>
    <mergeCell ref="P137:T137"/>
    <mergeCell ref="D118:E118"/>
    <mergeCell ref="P486:V486"/>
    <mergeCell ref="P540:V540"/>
    <mergeCell ref="A421:Z421"/>
    <mergeCell ref="A162:Z162"/>
    <mergeCell ref="D27:E27"/>
    <mergeCell ref="D325:E325"/>
    <mergeCell ref="P208:T208"/>
    <mergeCell ref="A138:O139"/>
    <mergeCell ref="P544:T544"/>
    <mergeCell ref="P199:V199"/>
    <mergeCell ref="AB559:AC559"/>
    <mergeCell ref="A336:Z336"/>
    <mergeCell ref="A293:O294"/>
    <mergeCell ref="P125:V125"/>
    <mergeCell ref="P557:V557"/>
    <mergeCell ref="A115:Z115"/>
    <mergeCell ref="P428:T428"/>
    <mergeCell ref="D100:E100"/>
    <mergeCell ref="P284:T284"/>
    <mergeCell ref="P348:V348"/>
    <mergeCell ref="A545:O546"/>
    <mergeCell ref="A173:Z173"/>
    <mergeCell ref="P129:T129"/>
    <mergeCell ref="A446:Z446"/>
    <mergeCell ref="P194:T194"/>
    <mergeCell ref="P250:T250"/>
    <mergeCell ref="P286:T286"/>
    <mergeCell ref="D158:E158"/>
    <mergeCell ref="P479:T479"/>
    <mergeCell ref="A402:Z402"/>
    <mergeCell ref="D229:E229"/>
    <mergeCell ref="A494:Z494"/>
    <mergeCell ref="D108:E108"/>
    <mergeCell ref="P429:T429"/>
    <mergeCell ref="D1:F1"/>
    <mergeCell ref="A71:Z71"/>
    <mergeCell ref="A512:O513"/>
    <mergeCell ref="J17:J18"/>
    <mergeCell ref="L17:L18"/>
    <mergeCell ref="B560:B561"/>
    <mergeCell ref="P555:V555"/>
    <mergeCell ref="A327:O328"/>
    <mergeCell ref="D560:D561"/>
    <mergeCell ref="D511:E511"/>
    <mergeCell ref="P426:T426"/>
    <mergeCell ref="P255:T255"/>
    <mergeCell ref="A542:Z542"/>
    <mergeCell ref="D240:E240"/>
    <mergeCell ref="P17:T18"/>
    <mergeCell ref="P50:T50"/>
    <mergeCell ref="D31:E31"/>
    <mergeCell ref="D77:E77"/>
    <mergeCell ref="D369:E369"/>
    <mergeCell ref="A304:O305"/>
    <mergeCell ref="P223:T223"/>
    <mergeCell ref="A168:Z168"/>
    <mergeCell ref="A540:O541"/>
    <mergeCell ref="W560:W561"/>
    <mergeCell ref="A492:O493"/>
    <mergeCell ref="A46:Z46"/>
    <mergeCell ref="D380:E380"/>
    <mergeCell ref="D209:E209"/>
    <mergeCell ref="A89:Z89"/>
    <mergeCell ref="P464:T464"/>
    <mergeCell ref="D245:E245"/>
    <mergeCell ref="D516:E516"/>
    <mergeCell ref="D301:E301"/>
    <mergeCell ref="P116:T116"/>
    <mergeCell ref="P148:T148"/>
    <mergeCell ref="D463:E463"/>
    <mergeCell ref="P153:T153"/>
    <mergeCell ref="D509:E509"/>
    <mergeCell ref="D425:E425"/>
    <mergeCell ref="D359:E359"/>
    <mergeCell ref="D504:E504"/>
    <mergeCell ref="P190:T190"/>
    <mergeCell ref="P61:T61"/>
    <mergeCell ref="A105:O106"/>
    <mergeCell ref="P48:T48"/>
    <mergeCell ref="A400:O401"/>
    <mergeCell ref="P270:T270"/>
    <mergeCell ref="D86:E86"/>
    <mergeCell ref="P551:V551"/>
    <mergeCell ref="V560:V561"/>
    <mergeCell ref="D501:E501"/>
    <mergeCell ref="X560:X561"/>
    <mergeCell ref="D28:E28"/>
    <mergeCell ref="P405:T405"/>
    <mergeCell ref="D326:E326"/>
    <mergeCell ref="P257:V257"/>
    <mergeCell ref="A76:Z76"/>
    <mergeCell ref="P184:T184"/>
    <mergeCell ref="D236:E236"/>
    <mergeCell ref="D117:E117"/>
    <mergeCell ref="D92:E92"/>
    <mergeCell ref="D30:E30"/>
    <mergeCell ref="D353:E353"/>
    <mergeCell ref="D67:E67"/>
    <mergeCell ref="A140:Z140"/>
    <mergeCell ref="D303:E303"/>
    <mergeCell ref="P453:T453"/>
    <mergeCell ref="P42:T42"/>
    <mergeCell ref="A32:O33"/>
    <mergeCell ref="D361:E361"/>
    <mergeCell ref="D417:E417"/>
    <mergeCell ref="P471:T471"/>
    <mergeCell ref="A560:A561"/>
    <mergeCell ref="P271:T271"/>
    <mergeCell ref="P100:T100"/>
    <mergeCell ref="C560:C561"/>
    <mergeCell ref="P265:T265"/>
    <mergeCell ref="P458:T458"/>
    <mergeCell ref="D559:J559"/>
    <mergeCell ref="D379:E379"/>
    <mergeCell ref="A211:O212"/>
    <mergeCell ref="D208:E208"/>
    <mergeCell ref="D300:E300"/>
    <mergeCell ref="P237:T237"/>
    <mergeCell ref="P473:T473"/>
    <mergeCell ref="A459:O460"/>
    <mergeCell ref="P158:T158"/>
    <mergeCell ref="P251:V251"/>
    <mergeCell ref="P487:V487"/>
    <mergeCell ref="P343:V343"/>
    <mergeCell ref="P266:T266"/>
    <mergeCell ref="A526:Z526"/>
    <mergeCell ref="P527:T527"/>
    <mergeCell ref="P502:T502"/>
    <mergeCell ref="D470:E470"/>
    <mergeCell ref="P331:T331"/>
    <mergeCell ref="P546:V546"/>
    <mergeCell ref="D110:E110"/>
    <mergeCell ref="A321:Z321"/>
    <mergeCell ref="D142:E142"/>
    <mergeCell ref="A120:O121"/>
    <mergeCell ref="D378:E378"/>
    <mergeCell ref="D129:E129"/>
    <mergeCell ref="D7:M7"/>
    <mergeCell ref="P236:T236"/>
    <mergeCell ref="A81:Z81"/>
    <mergeCell ref="P327:V327"/>
    <mergeCell ref="P156:V156"/>
    <mergeCell ref="P92:T92"/>
    <mergeCell ref="D315:E315"/>
    <mergeCell ref="P521:T521"/>
    <mergeCell ref="D442:E442"/>
    <mergeCell ref="D502:E502"/>
    <mergeCell ref="D302:E302"/>
    <mergeCell ref="D429:E429"/>
    <mergeCell ref="A159:O160"/>
    <mergeCell ref="P29:T29"/>
    <mergeCell ref="D8:M8"/>
    <mergeCell ref="P31:T31"/>
    <mergeCell ref="A330:Z330"/>
    <mergeCell ref="Y560:Y561"/>
    <mergeCell ref="P166:V166"/>
    <mergeCell ref="P531:T531"/>
    <mergeCell ref="A525:Z525"/>
    <mergeCell ref="A202:Z202"/>
    <mergeCell ref="P233:V233"/>
    <mergeCell ref="P104:T104"/>
    <mergeCell ref="P466:V466"/>
    <mergeCell ref="B17:B18"/>
    <mergeCell ref="D479:E479"/>
    <mergeCell ref="P248:V248"/>
    <mergeCell ref="A171:O172"/>
    <mergeCell ref="P506:V506"/>
    <mergeCell ref="P477:V477"/>
    <mergeCell ref="P533:V533"/>
    <mergeCell ref="A358:Z358"/>
    <mergeCell ref="P404:T404"/>
    <mergeCell ref="D543:E543"/>
    <mergeCell ref="D518:E518"/>
    <mergeCell ref="P56:T56"/>
    <mergeCell ref="A197:Z197"/>
    <mergeCell ref="P379:T379"/>
    <mergeCell ref="D360:E360"/>
    <mergeCell ref="D189:E189"/>
    <mergeCell ref="P549:T549"/>
    <mergeCell ref="P165:T165"/>
    <mergeCell ref="P400:V400"/>
    <mergeCell ref="D98:E98"/>
    <mergeCell ref="P152:T152"/>
    <mergeCell ref="D73:E73"/>
    <mergeCell ref="P30:T30"/>
    <mergeCell ref="P375:V375"/>
    <mergeCell ref="A374:O375"/>
    <mergeCell ref="D431:E431"/>
    <mergeCell ref="P99:T99"/>
    <mergeCell ref="A422:Z422"/>
    <mergeCell ref="D287:E287"/>
    <mergeCell ref="P170:T170"/>
    <mergeCell ref="A94:O95"/>
    <mergeCell ref="D474:E474"/>
    <mergeCell ref="P316:T316"/>
    <mergeCell ref="P113:V113"/>
    <mergeCell ref="D66:E66"/>
    <mergeCell ref="P443:T443"/>
    <mergeCell ref="D411:E411"/>
    <mergeCell ref="P159:V159"/>
    <mergeCell ref="A522:O523"/>
    <mergeCell ref="P395:V395"/>
    <mergeCell ref="R1:T1"/>
    <mergeCell ref="P150:T150"/>
    <mergeCell ref="P28:T28"/>
    <mergeCell ref="P392:T392"/>
    <mergeCell ref="P326:T326"/>
    <mergeCell ref="D332:E332"/>
    <mergeCell ref="P386:T386"/>
    <mergeCell ref="D307:E307"/>
    <mergeCell ref="P221:T221"/>
    <mergeCell ref="P215:T215"/>
    <mergeCell ref="A74:O75"/>
    <mergeCell ref="A381:O382"/>
    <mergeCell ref="P209:T209"/>
    <mergeCell ref="P388:V388"/>
    <mergeCell ref="A213:Z213"/>
    <mergeCell ref="P217:V217"/>
    <mergeCell ref="H1:Q1"/>
    <mergeCell ref="A243:Z243"/>
    <mergeCell ref="P274:V274"/>
    <mergeCell ref="A366:Z366"/>
    <mergeCell ref="D284:E284"/>
    <mergeCell ref="D5:E5"/>
    <mergeCell ref="P240:T240"/>
    <mergeCell ref="D354:E354"/>
    <mergeCell ref="P545:V545"/>
    <mergeCell ref="P88:V88"/>
    <mergeCell ref="A79:O80"/>
    <mergeCell ref="P391:T391"/>
    <mergeCell ref="P220:T220"/>
    <mergeCell ref="D505:E505"/>
    <mergeCell ref="P518:T518"/>
    <mergeCell ref="D499:E499"/>
    <mergeCell ref="D238:E238"/>
    <mergeCell ref="D426:E426"/>
    <mergeCell ref="A216:O217"/>
    <mergeCell ref="P86:T86"/>
    <mergeCell ref="A343:O344"/>
    <mergeCell ref="P384:T384"/>
    <mergeCell ref="D134:E134"/>
    <mergeCell ref="D205:E205"/>
    <mergeCell ref="P520:T520"/>
    <mergeCell ref="D363:E363"/>
    <mergeCell ref="A87:O88"/>
    <mergeCell ref="A434:Z434"/>
    <mergeCell ref="P532:V532"/>
    <mergeCell ref="P459:V459"/>
    <mergeCell ref="P541:V541"/>
    <mergeCell ref="P539:T539"/>
    <mergeCell ref="A34:Z34"/>
    <mergeCell ref="H9:I9"/>
    <mergeCell ref="P24:V24"/>
    <mergeCell ref="D281:E281"/>
    <mergeCell ref="P211:V211"/>
    <mergeCell ref="A36:Z36"/>
    <mergeCell ref="A383:Z383"/>
    <mergeCell ref="P309:V309"/>
    <mergeCell ref="P454:T454"/>
    <mergeCell ref="D297:E297"/>
    <mergeCell ref="D78:E78"/>
    <mergeCell ref="A55:Z55"/>
    <mergeCell ref="V10:W10"/>
    <mergeCell ref="W17:W18"/>
    <mergeCell ref="P106:V106"/>
    <mergeCell ref="P33:V33"/>
    <mergeCell ref="P39:T39"/>
    <mergeCell ref="A376:Z376"/>
    <mergeCell ref="A233:O234"/>
    <mergeCell ref="D224:E224"/>
    <mergeCell ref="P103:T103"/>
    <mergeCell ref="P268:T268"/>
    <mergeCell ref="P339:T339"/>
    <mergeCell ref="P230:T230"/>
    <mergeCell ref="D535:E535"/>
    <mergeCell ref="D473:E473"/>
    <mergeCell ref="D60:E60"/>
    <mergeCell ref="P244:T244"/>
    <mergeCell ref="P73:T73"/>
    <mergeCell ref="P437:T437"/>
    <mergeCell ref="P315:T315"/>
    <mergeCell ref="P231:T231"/>
    <mergeCell ref="A432:O433"/>
    <mergeCell ref="P302:T302"/>
    <mergeCell ref="D174:E174"/>
    <mergeCell ref="D472:E472"/>
    <mergeCell ref="P87:V87"/>
    <mergeCell ref="D410:E410"/>
    <mergeCell ref="D520:E520"/>
    <mergeCell ref="D498:E498"/>
    <mergeCell ref="P460:V460"/>
    <mergeCell ref="P474:T474"/>
    <mergeCell ref="A468:Z468"/>
    <mergeCell ref="P139:V139"/>
    <mergeCell ref="P288:V288"/>
    <mergeCell ref="P285:T285"/>
    <mergeCell ref="P263:V263"/>
    <mergeCell ref="A259:Z25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52"/>
    </row>
    <row r="3" spans="2:8" x14ac:dyDescent="0.2">
      <c r="B3" s="47" t="s">
        <v>865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866</v>
      </c>
      <c r="C6" s="47" t="s">
        <v>867</v>
      </c>
      <c r="D6" s="47" t="s">
        <v>868</v>
      </c>
      <c r="E6" s="47"/>
    </row>
    <row r="7" spans="2:8" x14ac:dyDescent="0.2">
      <c r="B7" s="47" t="s">
        <v>869</v>
      </c>
      <c r="C7" s="47" t="s">
        <v>870</v>
      </c>
      <c r="D7" s="47" t="s">
        <v>871</v>
      </c>
      <c r="E7" s="47"/>
    </row>
    <row r="8" spans="2:8" x14ac:dyDescent="0.2">
      <c r="B8" s="47" t="s">
        <v>872</v>
      </c>
      <c r="C8" s="47" t="s">
        <v>873</v>
      </c>
      <c r="D8" s="47" t="s">
        <v>874</v>
      </c>
      <c r="E8" s="47"/>
    </row>
    <row r="9" spans="2:8" x14ac:dyDescent="0.2">
      <c r="B9" s="47" t="s">
        <v>875</v>
      </c>
      <c r="C9" s="47" t="s">
        <v>876</v>
      </c>
      <c r="D9" s="47" t="s">
        <v>877</v>
      </c>
      <c r="E9" s="47"/>
    </row>
    <row r="10" spans="2:8" x14ac:dyDescent="0.2">
      <c r="B10" s="47" t="s">
        <v>878</v>
      </c>
      <c r="C10" s="47" t="s">
        <v>879</v>
      </c>
      <c r="D10" s="47" t="s">
        <v>880</v>
      </c>
      <c r="E10" s="47"/>
    </row>
    <row r="11" spans="2:8" x14ac:dyDescent="0.2">
      <c r="B11" s="47" t="s">
        <v>881</v>
      </c>
      <c r="C11" s="47" t="s">
        <v>882</v>
      </c>
      <c r="D11" s="47" t="s">
        <v>883</v>
      </c>
      <c r="E11" s="47"/>
    </row>
    <row r="12" spans="2:8" x14ac:dyDescent="0.2">
      <c r="B12" s="47" t="s">
        <v>884</v>
      </c>
      <c r="C12" s="47" t="s">
        <v>885</v>
      </c>
      <c r="D12" s="47" t="s">
        <v>886</v>
      </c>
      <c r="E12" s="47"/>
    </row>
    <row r="14" spans="2:8" x14ac:dyDescent="0.2">
      <c r="B14" s="47" t="s">
        <v>887</v>
      </c>
      <c r="C14" s="47" t="s">
        <v>867</v>
      </c>
      <c r="D14" s="47"/>
      <c r="E14" s="47"/>
    </row>
    <row r="16" spans="2:8" x14ac:dyDescent="0.2">
      <c r="B16" s="47" t="s">
        <v>888</v>
      </c>
      <c r="C16" s="47" t="s">
        <v>870</v>
      </c>
      <c r="D16" s="47"/>
      <c r="E16" s="47"/>
    </row>
    <row r="18" spans="2:5" x14ac:dyDescent="0.2">
      <c r="B18" s="47" t="s">
        <v>889</v>
      </c>
      <c r="C18" s="47" t="s">
        <v>873</v>
      </c>
      <c r="D18" s="47"/>
      <c r="E18" s="47"/>
    </row>
    <row r="20" spans="2:5" x14ac:dyDescent="0.2">
      <c r="B20" s="47" t="s">
        <v>890</v>
      </c>
      <c r="C20" s="47" t="s">
        <v>876</v>
      </c>
      <c r="D20" s="47"/>
      <c r="E20" s="47"/>
    </row>
    <row r="22" spans="2:5" x14ac:dyDescent="0.2">
      <c r="B22" s="47" t="s">
        <v>891</v>
      </c>
      <c r="C22" s="47" t="s">
        <v>879</v>
      </c>
      <c r="D22" s="47"/>
      <c r="E22" s="47"/>
    </row>
    <row r="24" spans="2:5" x14ac:dyDescent="0.2">
      <c r="B24" s="47" t="s">
        <v>892</v>
      </c>
      <c r="C24" s="47" t="s">
        <v>882</v>
      </c>
      <c r="D24" s="47"/>
      <c r="E24" s="47"/>
    </row>
    <row r="26" spans="2:5" x14ac:dyDescent="0.2">
      <c r="B26" s="47" t="s">
        <v>893</v>
      </c>
      <c r="C26" s="47" t="s">
        <v>885</v>
      </c>
      <c r="D26" s="47"/>
      <c r="E26" s="47"/>
    </row>
    <row r="28" spans="2:5" x14ac:dyDescent="0.2">
      <c r="B28" s="47" t="s">
        <v>894</v>
      </c>
      <c r="C28" s="47"/>
      <c r="D28" s="47"/>
      <c r="E28" s="47"/>
    </row>
    <row r="29" spans="2:5" x14ac:dyDescent="0.2">
      <c r="B29" s="47" t="s">
        <v>895</v>
      </c>
      <c r="C29" s="47"/>
      <c r="D29" s="47"/>
      <c r="E29" s="47"/>
    </row>
    <row r="30" spans="2:5" x14ac:dyDescent="0.2">
      <c r="B30" s="47" t="s">
        <v>896</v>
      </c>
      <c r="C30" s="47"/>
      <c r="D30" s="47"/>
      <c r="E30" s="47"/>
    </row>
    <row r="31" spans="2:5" x14ac:dyDescent="0.2">
      <c r="B31" s="47" t="s">
        <v>897</v>
      </c>
      <c r="C31" s="47"/>
      <c r="D31" s="47"/>
      <c r="E31" s="47"/>
    </row>
    <row r="32" spans="2:5" x14ac:dyDescent="0.2">
      <c r="B32" s="47" t="s">
        <v>898</v>
      </c>
      <c r="C32" s="47"/>
      <c r="D32" s="47"/>
      <c r="E32" s="47"/>
    </row>
    <row r="33" spans="2:5" x14ac:dyDescent="0.2">
      <c r="B33" s="47" t="s">
        <v>899</v>
      </c>
      <c r="C33" s="47"/>
      <c r="D33" s="47"/>
      <c r="E33" s="47"/>
    </row>
    <row r="34" spans="2:5" x14ac:dyDescent="0.2">
      <c r="B34" s="47" t="s">
        <v>900</v>
      </c>
      <c r="C34" s="47"/>
      <c r="D34" s="47"/>
      <c r="E34" s="47"/>
    </row>
    <row r="35" spans="2:5" x14ac:dyDescent="0.2">
      <c r="B35" s="47" t="s">
        <v>901</v>
      </c>
      <c r="C35" s="47"/>
      <c r="D35" s="47"/>
      <c r="E35" s="47"/>
    </row>
    <row r="36" spans="2:5" x14ac:dyDescent="0.2">
      <c r="B36" s="47" t="s">
        <v>902</v>
      </c>
      <c r="C36" s="47"/>
      <c r="D36" s="47"/>
      <c r="E36" s="47"/>
    </row>
    <row r="37" spans="2:5" x14ac:dyDescent="0.2">
      <c r="B37" s="47" t="s">
        <v>903</v>
      </c>
      <c r="C37" s="47"/>
      <c r="D37" s="47"/>
      <c r="E37" s="47"/>
    </row>
    <row r="38" spans="2:5" x14ac:dyDescent="0.2">
      <c r="B38" s="47" t="s">
        <v>904</v>
      </c>
      <c r="C38" s="47"/>
      <c r="D38" s="47"/>
      <c r="E38" s="47"/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2026-08-26T13:17:53Z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