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7DDD6E0-82BC-4522-8B46-9969A314AED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Z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X494" i="2"/>
  <c r="X493" i="2"/>
  <c r="BO492" i="2"/>
  <c r="BM492" i="2"/>
  <c r="Y492" i="2"/>
  <c r="P492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BN486" i="2" s="1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P473" i="2" s="1"/>
  <c r="P473" i="2"/>
  <c r="BO472" i="2"/>
  <c r="BM472" i="2"/>
  <c r="Y472" i="2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N454" i="2" s="1"/>
  <c r="P454" i="2"/>
  <c r="X451" i="2"/>
  <c r="X450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Z417" i="2" s="1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Z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BN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P331" i="2"/>
  <c r="BO331" i="2"/>
  <c r="BM331" i="2"/>
  <c r="Y331" i="2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Z323" i="2"/>
  <c r="Y323" i="2"/>
  <c r="BN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Z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N255" i="2" s="1"/>
  <c r="P255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N204" i="2" s="1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P169" i="2"/>
  <c r="X167" i="2"/>
  <c r="X166" i="2"/>
  <c r="BO165" i="2"/>
  <c r="BM165" i="2"/>
  <c r="Z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BN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P129" i="2"/>
  <c r="BO128" i="2"/>
  <c r="BM128" i="2"/>
  <c r="Y128" i="2"/>
  <c r="BP128" i="2" s="1"/>
  <c r="P128" i="2"/>
  <c r="X125" i="2"/>
  <c r="X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Z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BP98" i="2" s="1"/>
  <c r="P98" i="2"/>
  <c r="X95" i="2"/>
  <c r="X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N90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N84" i="2" s="1"/>
  <c r="P84" i="2"/>
  <c r="BO83" i="2"/>
  <c r="BM83" i="2"/>
  <c r="Y83" i="2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P61" i="2"/>
  <c r="BO61" i="2"/>
  <c r="BN61" i="2"/>
  <c r="BM61" i="2"/>
  <c r="Z61" i="2"/>
  <c r="Y61" i="2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N48" i="2" s="1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42" i="2" l="1"/>
  <c r="BN37" i="2"/>
  <c r="BN49" i="2"/>
  <c r="Z57" i="2"/>
  <c r="BN123" i="2"/>
  <c r="BN143" i="2"/>
  <c r="BN181" i="2"/>
  <c r="Z205" i="2"/>
  <c r="BN236" i="2"/>
  <c r="Z256" i="2"/>
  <c r="BN256" i="2"/>
  <c r="Z260" i="2"/>
  <c r="BN301" i="2"/>
  <c r="Z369" i="2"/>
  <c r="BP378" i="2"/>
  <c r="BN436" i="2"/>
  <c r="BN476" i="2"/>
  <c r="BN30" i="2"/>
  <c r="BN154" i="2"/>
  <c r="BN170" i="2"/>
  <c r="BP260" i="2"/>
  <c r="BP323" i="2"/>
  <c r="BP369" i="2"/>
  <c r="BN490" i="2"/>
  <c r="Z134" i="2"/>
  <c r="Z352" i="2"/>
  <c r="Z179" i="2"/>
  <c r="BN246" i="2"/>
  <c r="Z246" i="2"/>
  <c r="BN316" i="2"/>
  <c r="BN269" i="2"/>
  <c r="BN501" i="2"/>
  <c r="BN506" i="2"/>
  <c r="BN286" i="2"/>
  <c r="Z286" i="2"/>
  <c r="Z279" i="2"/>
  <c r="BP279" i="2"/>
  <c r="Z230" i="2"/>
  <c r="BN230" i="2"/>
  <c r="Z223" i="2"/>
  <c r="BN518" i="2"/>
  <c r="BN511" i="2"/>
  <c r="Z511" i="2"/>
  <c r="Z506" i="2"/>
  <c r="BN504" i="2"/>
  <c r="Z501" i="2"/>
  <c r="BN498" i="2"/>
  <c r="Z498" i="2"/>
  <c r="BP491" i="2"/>
  <c r="Z476" i="2"/>
  <c r="BN473" i="2"/>
  <c r="Z473" i="2"/>
  <c r="Y461" i="2"/>
  <c r="BP449" i="2"/>
  <c r="BN444" i="2"/>
  <c r="Z444" i="2"/>
  <c r="Z436" i="2"/>
  <c r="Z432" i="2"/>
  <c r="BN428" i="2"/>
  <c r="BP411" i="2"/>
  <c r="Z400" i="2"/>
  <c r="BP400" i="2"/>
  <c r="Y401" i="2"/>
  <c r="Z398" i="2"/>
  <c r="BN398" i="2"/>
  <c r="Y402" i="2"/>
  <c r="Z393" i="2"/>
  <c r="BN380" i="2"/>
  <c r="Z380" i="2"/>
  <c r="BP371" i="2"/>
  <c r="BN363" i="2"/>
  <c r="Z360" i="2"/>
  <c r="BP360" i="2"/>
  <c r="BN352" i="2"/>
  <c r="Y356" i="2"/>
  <c r="Z339" i="2"/>
  <c r="BN338" i="2"/>
  <c r="BP333" i="2"/>
  <c r="BP325" i="2"/>
  <c r="BN317" i="2"/>
  <c r="Y319" i="2"/>
  <c r="Z316" i="2"/>
  <c r="Z311" i="2"/>
  <c r="Z312" i="2" s="1"/>
  <c r="BP311" i="2"/>
  <c r="BN311" i="2"/>
  <c r="Y312" i="2"/>
  <c r="Z301" i="2"/>
  <c r="BN284" i="2"/>
  <c r="BN283" i="2"/>
  <c r="Z283" i="2"/>
  <c r="BP271" i="2"/>
  <c r="Z269" i="2"/>
  <c r="BN268" i="2"/>
  <c r="Z236" i="2"/>
  <c r="BP232" i="2"/>
  <c r="BP228" i="2"/>
  <c r="BN227" i="2"/>
  <c r="Z227" i="2"/>
  <c r="Z226" i="2"/>
  <c r="BP226" i="2"/>
  <c r="Z220" i="2"/>
  <c r="BN215" i="2"/>
  <c r="Z209" i="2"/>
  <c r="BN209" i="2"/>
  <c r="BP207" i="2"/>
  <c r="BN206" i="2"/>
  <c r="BP205" i="2"/>
  <c r="BP204" i="2"/>
  <c r="BN198" i="2"/>
  <c r="Z175" i="2"/>
  <c r="Z152" i="2"/>
  <c r="Y156" i="2"/>
  <c r="Y145" i="2"/>
  <c r="BP137" i="2"/>
  <c r="Z137" i="2"/>
  <c r="Z135" i="2"/>
  <c r="Z138" i="2" s="1"/>
  <c r="BN128" i="2"/>
  <c r="Z128" i="2"/>
  <c r="Z123" i="2"/>
  <c r="Z124" i="2" s="1"/>
  <c r="Y124" i="2"/>
  <c r="Z112" i="2"/>
  <c r="Z111" i="2"/>
  <c r="BP108" i="2"/>
  <c r="Y114" i="2"/>
  <c r="Z101" i="2"/>
  <c r="Z91" i="2"/>
  <c r="Z90" i="2"/>
  <c r="F563" i="2"/>
  <c r="Z84" i="2"/>
  <c r="BP84" i="2"/>
  <c r="Z58" i="2"/>
  <c r="E563" i="2"/>
  <c r="BP51" i="2"/>
  <c r="Z49" i="2"/>
  <c r="BP39" i="2"/>
  <c r="Z37" i="2"/>
  <c r="X557" i="2"/>
  <c r="Z29" i="2"/>
  <c r="BN29" i="2"/>
  <c r="Z22" i="2"/>
  <c r="X554" i="2"/>
  <c r="X553" i="2"/>
  <c r="BP31" i="2"/>
  <c r="C563" i="2"/>
  <c r="Z38" i="2"/>
  <c r="BP38" i="2"/>
  <c r="Z41" i="2"/>
  <c r="D563" i="2"/>
  <c r="BP48" i="2"/>
  <c r="BN50" i="2"/>
  <c r="BP57" i="2"/>
  <c r="BN60" i="2"/>
  <c r="BN66" i="2"/>
  <c r="Z67" i="2"/>
  <c r="BN77" i="2"/>
  <c r="Z83" i="2"/>
  <c r="BP83" i="2"/>
  <c r="BP85" i="2"/>
  <c r="BP90" i="2"/>
  <c r="BN93" i="2"/>
  <c r="BP101" i="2"/>
  <c r="BN104" i="2"/>
  <c r="BP111" i="2"/>
  <c r="BP118" i="2"/>
  <c r="Y125" i="2"/>
  <c r="BN261" i="2"/>
  <c r="BP261" i="2"/>
  <c r="BN285" i="2"/>
  <c r="BP285" i="2"/>
  <c r="BN300" i="2"/>
  <c r="BP300" i="2"/>
  <c r="Z300" i="2"/>
  <c r="BN412" i="2"/>
  <c r="BP412" i="2"/>
  <c r="Z412" i="2"/>
  <c r="BP438" i="2"/>
  <c r="BN438" i="2"/>
  <c r="BP492" i="2"/>
  <c r="BN492" i="2"/>
  <c r="Z492" i="2"/>
  <c r="BN22" i="2"/>
  <c r="BN56" i="2"/>
  <c r="Y80" i="2"/>
  <c r="BN92" i="2"/>
  <c r="BN100" i="2"/>
  <c r="BN103" i="2"/>
  <c r="BN110" i="2"/>
  <c r="BN129" i="2"/>
  <c r="BP129" i="2"/>
  <c r="Z136" i="2"/>
  <c r="BN136" i="2"/>
  <c r="BP189" i="2"/>
  <c r="Z189" i="2"/>
  <c r="Z191" i="2" s="1"/>
  <c r="Z231" i="2"/>
  <c r="BN231" i="2"/>
  <c r="Y248" i="2"/>
  <c r="Z244" i="2"/>
  <c r="Z247" i="2" s="1"/>
  <c r="BN307" i="2"/>
  <c r="Y308" i="2"/>
  <c r="Z307" i="2"/>
  <c r="Z308" i="2" s="1"/>
  <c r="Y334" i="2"/>
  <c r="Z331" i="2"/>
  <c r="BP392" i="2"/>
  <c r="BN392" i="2"/>
  <c r="Z406" i="2"/>
  <c r="BN406" i="2"/>
  <c r="BN499" i="2"/>
  <c r="BP499" i="2"/>
  <c r="Y507" i="2"/>
  <c r="Y529" i="2"/>
  <c r="BP528" i="2"/>
  <c r="X555" i="2"/>
  <c r="BN41" i="2"/>
  <c r="Z50" i="2"/>
  <c r="Z60" i="2"/>
  <c r="Y70" i="2"/>
  <c r="Z68" i="2"/>
  <c r="BP78" i="2"/>
  <c r="BN83" i="2"/>
  <c r="Z93" i="2"/>
  <c r="Z94" i="2" s="1"/>
  <c r="G563" i="2"/>
  <c r="Z104" i="2"/>
  <c r="H563" i="2"/>
  <c r="BN149" i="2"/>
  <c r="BP149" i="2"/>
  <c r="Z149" i="2"/>
  <c r="BN182" i="2"/>
  <c r="BP182" i="2"/>
  <c r="Z182" i="2"/>
  <c r="BP224" i="2"/>
  <c r="Z224" i="2"/>
  <c r="BN250" i="2"/>
  <c r="Y251" i="2"/>
  <c r="Z250" i="2"/>
  <c r="Z251" i="2" s="1"/>
  <c r="Y289" i="2"/>
  <c r="Z277" i="2"/>
  <c r="BN379" i="2"/>
  <c r="BP379" i="2"/>
  <c r="Z379" i="2"/>
  <c r="BP431" i="2"/>
  <c r="BN431" i="2"/>
  <c r="BN443" i="2"/>
  <c r="BP443" i="2"/>
  <c r="BN472" i="2"/>
  <c r="BP472" i="2"/>
  <c r="Z472" i="2"/>
  <c r="BN481" i="2"/>
  <c r="BP481" i="2"/>
  <c r="Y63" i="2"/>
  <c r="BP59" i="2"/>
  <c r="Y62" i="2"/>
  <c r="BP67" i="2"/>
  <c r="BP92" i="2"/>
  <c r="BP103" i="2"/>
  <c r="Y171" i="2"/>
  <c r="Z169" i="2"/>
  <c r="Z171" i="2" s="1"/>
  <c r="BN178" i="2"/>
  <c r="Z178" i="2"/>
  <c r="Z210" i="2"/>
  <c r="BN210" i="2"/>
  <c r="BN237" i="2"/>
  <c r="BP237" i="2"/>
  <c r="Z237" i="2"/>
  <c r="BP240" i="2"/>
  <c r="BN240" i="2"/>
  <c r="Z240" i="2"/>
  <c r="BN266" i="2"/>
  <c r="Z266" i="2"/>
  <c r="BN270" i="2"/>
  <c r="BP270" i="2"/>
  <c r="Z270" i="2"/>
  <c r="BN361" i="2"/>
  <c r="BP361" i="2"/>
  <c r="Z374" i="2"/>
  <c r="BN374" i="2"/>
  <c r="BP387" i="2"/>
  <c r="Z387" i="2"/>
  <c r="Z465" i="2"/>
  <c r="BN465" i="2"/>
  <c r="BN503" i="2"/>
  <c r="BP503" i="2"/>
  <c r="BP521" i="2"/>
  <c r="BN521" i="2"/>
  <c r="Z521" i="2"/>
  <c r="BP134" i="2"/>
  <c r="BP170" i="2"/>
  <c r="Y186" i="2"/>
  <c r="BP175" i="2"/>
  <c r="BN177" i="2"/>
  <c r="BN180" i="2"/>
  <c r="BP190" i="2"/>
  <c r="BP225" i="2"/>
  <c r="BP245" i="2"/>
  <c r="BP255" i="2"/>
  <c r="Y257" i="2"/>
  <c r="Y263" i="2"/>
  <c r="BP278" i="2"/>
  <c r="BN280" i="2"/>
  <c r="Y304" i="2"/>
  <c r="BP322" i="2"/>
  <c r="BN324" i="2"/>
  <c r="BN346" i="2"/>
  <c r="BP354" i="2"/>
  <c r="BN364" i="2"/>
  <c r="BP368" i="2"/>
  <c r="BN370" i="2"/>
  <c r="BN373" i="2"/>
  <c r="BP381" i="2"/>
  <c r="Y389" i="2"/>
  <c r="Y388" i="2"/>
  <c r="BP393" i="2"/>
  <c r="BN405" i="2"/>
  <c r="Y421" i="2"/>
  <c r="BP417" i="2"/>
  <c r="BN419" i="2"/>
  <c r="BN426" i="2"/>
  <c r="BP432" i="2"/>
  <c r="BN442" i="2"/>
  <c r="BN448" i="2"/>
  <c r="X563" i="2"/>
  <c r="BN459" i="2"/>
  <c r="Y460" i="2"/>
  <c r="BN464" i="2"/>
  <c r="BP474" i="2"/>
  <c r="AA563" i="2"/>
  <c r="BN502" i="2"/>
  <c r="Y514" i="2"/>
  <c r="BN512" i="2"/>
  <c r="BP516" i="2"/>
  <c r="BN517" i="2"/>
  <c r="BP518" i="2"/>
  <c r="BN519" i="2"/>
  <c r="J563" i="2"/>
  <c r="BN165" i="2"/>
  <c r="Y167" i="2"/>
  <c r="Z181" i="2"/>
  <c r="BP183" i="2"/>
  <c r="Y191" i="2"/>
  <c r="BP188" i="2"/>
  <c r="BP223" i="2"/>
  <c r="BP276" i="2"/>
  <c r="Z298" i="2"/>
  <c r="Y305" i="2"/>
  <c r="BP299" i="2"/>
  <c r="BP342" i="2"/>
  <c r="T563" i="2"/>
  <c r="BP386" i="2"/>
  <c r="Y408" i="2"/>
  <c r="W563" i="2"/>
  <c r="BP429" i="2"/>
  <c r="Y450" i="2"/>
  <c r="BP455" i="2"/>
  <c r="Y467" i="2"/>
  <c r="Y493" i="2"/>
  <c r="BP141" i="2"/>
  <c r="BP152" i="2"/>
  <c r="BP180" i="2"/>
  <c r="BN190" i="2"/>
  <c r="Z206" i="2"/>
  <c r="BP215" i="2"/>
  <c r="Y233" i="2"/>
  <c r="BP220" i="2"/>
  <c r="BN222" i="2"/>
  <c r="BN225" i="2"/>
  <c r="Y234" i="2"/>
  <c r="Y241" i="2"/>
  <c r="BN245" i="2"/>
  <c r="Y258" i="2"/>
  <c r="Y274" i="2"/>
  <c r="Z267" i="2"/>
  <c r="BP268" i="2"/>
  <c r="Z276" i="2"/>
  <c r="BN278" i="2"/>
  <c r="Z280" i="2"/>
  <c r="BP297" i="2"/>
  <c r="Z324" i="2"/>
  <c r="Z332" i="2"/>
  <c r="BP339" i="2"/>
  <c r="BN341" i="2"/>
  <c r="Z342" i="2"/>
  <c r="Z346" i="2"/>
  <c r="Z348" i="2" s="1"/>
  <c r="BN353" i="2"/>
  <c r="Z359" i="2"/>
  <c r="BP359" i="2"/>
  <c r="Z370" i="2"/>
  <c r="Z373" i="2"/>
  <c r="BN385" i="2"/>
  <c r="Z386" i="2"/>
  <c r="Z405" i="2"/>
  <c r="Z426" i="2"/>
  <c r="Z429" i="2"/>
  <c r="Y445" i="2"/>
  <c r="Z448" i="2"/>
  <c r="Z455" i="2"/>
  <c r="Z459" i="2"/>
  <c r="Z460" i="2" s="1"/>
  <c r="Z464" i="2"/>
  <c r="Y477" i="2"/>
  <c r="Y482" i="2"/>
  <c r="Z563" i="2"/>
  <c r="BP517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BP317" i="2"/>
  <c r="Z326" i="2"/>
  <c r="BN340" i="2"/>
  <c r="Y343" i="2"/>
  <c r="BP353" i="2"/>
  <c r="Z362" i="2"/>
  <c r="BP364" i="2"/>
  <c r="Z372" i="2"/>
  <c r="BP374" i="2"/>
  <c r="BN394" i="2"/>
  <c r="Z404" i="2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Z513" i="2" s="1"/>
  <c r="BP512" i="2"/>
  <c r="Z520" i="2"/>
  <c r="BP522" i="2"/>
  <c r="BP536" i="2"/>
  <c r="Y547" i="2"/>
  <c r="O563" i="2"/>
  <c r="Z119" i="2"/>
  <c r="Z23" i="2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Z439" i="2" s="1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Z257" i="2" s="1"/>
  <c r="BN267" i="2"/>
  <c r="BN277" i="2"/>
  <c r="Z285" i="2"/>
  <c r="BN298" i="2"/>
  <c r="Y309" i="2"/>
  <c r="BN332" i="2"/>
  <c r="Y344" i="2"/>
  <c r="Z354" i="2"/>
  <c r="Z355" i="2" s="1"/>
  <c r="BN387" i="2"/>
  <c r="Y413" i="2"/>
  <c r="BP425" i="2"/>
  <c r="Y434" i="2"/>
  <c r="Z443" i="2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44" i="2" s="1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411" i="2"/>
  <c r="Z413" i="2" s="1"/>
  <c r="Y439" i="2"/>
  <c r="Z471" i="2"/>
  <c r="Z481" i="2"/>
  <c r="Z482" i="2" s="1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62" i="2" s="1"/>
  <c r="Z271" i="2"/>
  <c r="Z281" i="2"/>
  <c r="Z291" i="2"/>
  <c r="Z302" i="2"/>
  <c r="Z325" i="2"/>
  <c r="Z361" i="2"/>
  <c r="Z371" i="2"/>
  <c r="Z381" i="2"/>
  <c r="BN417" i="2"/>
  <c r="Y420" i="2"/>
  <c r="Y440" i="2"/>
  <c r="Z449" i="2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241" i="2" l="1"/>
  <c r="Z87" i="2"/>
  <c r="Z105" i="2"/>
  <c r="Z523" i="2"/>
  <c r="Z334" i="2"/>
  <c r="Z52" i="2"/>
  <c r="Z456" i="2"/>
  <c r="Z445" i="2"/>
  <c r="Z120" i="2"/>
  <c r="Z24" i="2"/>
  <c r="Z466" i="2"/>
  <c r="Z318" i="2"/>
  <c r="Z401" i="2"/>
  <c r="Z43" i="2"/>
  <c r="Z450" i="2"/>
  <c r="Z407" i="2"/>
  <c r="Z388" i="2"/>
  <c r="Z365" i="2"/>
  <c r="X556" i="2"/>
  <c r="Z395" i="2"/>
  <c r="Y555" i="2"/>
  <c r="Z507" i="2"/>
  <c r="Z382" i="2"/>
  <c r="Z304" i="2"/>
  <c r="Z273" i="2"/>
  <c r="Z288" i="2"/>
  <c r="Y554" i="2"/>
  <c r="Z62" i="2"/>
  <c r="Z493" i="2"/>
  <c r="Z433" i="2"/>
  <c r="Z420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Y556" i="2" l="1"/>
  <c r="Z558" i="2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<sst xmlns="http://schemas.openxmlformats.org/spreadsheetml/2006/main" count="4209" uniqueCount="889">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</sst>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888</v>
      </c>
      <c r="I5" s="645"/>
      <c r="J5" s="645"/>
      <c r="K5" s="645"/>
      <c r="L5" s="645"/>
      <c r="M5" s="645"/>
      <c r="N5" s="72"/>
      <c r="P5" s="27" t="s">
        <v>4</v>
      </c>
      <c r="Q5" s="647">
        <v>46263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870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Суббота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0.375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38.4</v>
      </c>
      <c r="Y41" s="55">
        <f t="shared" si="0"/>
        <v>38.4</v>
      </c>
      <c r="Z41" s="41">
        <f t="shared" si="1"/>
        <v>0.13020000000000001</v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42</v>
      </c>
      <c r="BN41" s="78">
        <f t="shared" si="3"/>
        <v>42</v>
      </c>
      <c r="BO41" s="78">
        <f t="shared" si="4"/>
        <v>0.1098901098901099</v>
      </c>
      <c r="BP41" s="78">
        <f t="shared" si="5"/>
        <v>0.1098901098901099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20</v>
      </c>
      <c r="Y43" s="43">
        <f>IFERROR(Y37/H37,"0")+IFERROR(Y38/H38,"0")+IFERROR(Y39/H39,"0")+IFERROR(Y40/H40,"0")+IFERROR(Y41/H41,"0")+IFERROR(Y42/H42,"0")</f>
        <v>20</v>
      </c>
      <c r="Z43" s="43">
        <f>IFERROR(IF(Z37="",0,Z37),"0")+IFERROR(IF(Z38="",0,Z38),"0")+IFERROR(IF(Z39="",0,Z39),"0")+IFERROR(IF(Z40="",0,Z40),"0")+IFERROR(IF(Z41="",0,Z41),"0")+IFERROR(IF(Z42="",0,Z42),"0")</f>
        <v>0.13020000000000001</v>
      </c>
      <c r="AA43" s="67"/>
      <c r="AB43" s="67"/>
      <c r="AC43" s="67"/>
    </row>
    <row r="44" spans="1:68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38.4</v>
      </c>
      <c r="Y44" s="43">
        <f>IFERROR(SUM(Y37:Y42),"0")</f>
        <v>38.4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250</v>
      </c>
      <c r="Y48" s="55">
        <f>IFERROR(IF(X48="",0,CEILING((X48/$H48),1)*$H48),"")</f>
        <v>259.20000000000005</v>
      </c>
      <c r="Z48" s="41">
        <f>IFERROR(IF(Y48=0,"",ROUNDUP(Y48/H48,0)*0.01898),"")</f>
        <v>0.45552000000000004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259.4907407407407</v>
      </c>
      <c r="BN48" s="78">
        <f>IFERROR(Y48*I48/H48,"0")</f>
        <v>269.04000000000002</v>
      </c>
      <c r="BO48" s="78">
        <f>IFERROR(1/J48*(X48/H48),"0")</f>
        <v>0.36168981481481477</v>
      </c>
      <c r="BP48" s="78">
        <f>IFERROR(1/J48*(Y48/H48),"0")</f>
        <v>0.37500000000000006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480</v>
      </c>
      <c r="Y50" s="55">
        <f>IFERROR(IF(X50="",0,CEILING((X50/$H50),1)*$H50),"")</f>
        <v>480</v>
      </c>
      <c r="Z50" s="41">
        <f>IFERROR(IF(Y50=0,"",ROUNDUP(Y50/H50,0)*0.00902),"")</f>
        <v>1.0824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502.80000000000007</v>
      </c>
      <c r="BN50" s="78">
        <f>IFERROR(Y50*I50/H50,"0")</f>
        <v>502.80000000000007</v>
      </c>
      <c r="BO50" s="78">
        <f>IFERROR(1/J50*(X50/H50),"0")</f>
        <v>0.90909090909090917</v>
      </c>
      <c r="BP50" s="78">
        <f>IFERROR(1/J50*(Y50/H50),"0")</f>
        <v>0.90909090909090917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143.14814814814815</v>
      </c>
      <c r="Y52" s="43">
        <f>IFERROR(Y48/H48,"0")+IFERROR(Y49/H49,"0")+IFERROR(Y50/H50,"0")+IFERROR(Y51/H51,"0")</f>
        <v>144</v>
      </c>
      <c r="Z52" s="43">
        <f>IFERROR(IF(Z48="",0,Z48),"0")+IFERROR(IF(Z49="",0,Z49),"0")+IFERROR(IF(Z50="",0,Z50),"0")+IFERROR(IF(Z51="",0,Z51),"0")</f>
        <v>1.5379200000000002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730</v>
      </c>
      <c r="Y53" s="43">
        <f>IFERROR(SUM(Y48:Y51),"0")</f>
        <v>739.2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150</v>
      </c>
      <c r="Y65" s="55">
        <f>IFERROR(IF(X65="",0,CEILING((X65/$H65),1)*$H65),"")</f>
        <v>151.20000000000002</v>
      </c>
      <c r="Z65" s="41">
        <f>IFERROR(IF(Y65=0,"",ROUNDUP(Y65/H65,0)*0.01898),"")</f>
        <v>0.26572000000000001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155.69444444444446</v>
      </c>
      <c r="BN65" s="78">
        <f>IFERROR(Y65*I65/H65,"0")</f>
        <v>156.94</v>
      </c>
      <c r="BO65" s="78">
        <f>IFERROR(1/J65*(X65/H65),"0")</f>
        <v>0.21701388888888887</v>
      </c>
      <c r="BP65" s="78">
        <f>IFERROR(1/J65*(Y65/H65),"0")</f>
        <v>0.21875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47.222222222222214</v>
      </c>
      <c r="Y69" s="43">
        <f>IFERROR(Y65/H65,"0")+IFERROR(Y66/H66,"0")+IFERROR(Y67/H67,"0")+IFERROR(Y68/H68,"0")</f>
        <v>48</v>
      </c>
      <c r="Z69" s="43">
        <f>IFERROR(IF(Z65="",0,Z65),"0")+IFERROR(IF(Z66="",0,Z66),"0")+IFERROR(IF(Z67="",0,Z67),"0")+IFERROR(IF(Z68="",0,Z68),"0")</f>
        <v>0.48706000000000005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240</v>
      </c>
      <c r="Y70" s="43">
        <f>IFERROR(SUM(Y65:Y68),"0")</f>
        <v>243.00000000000003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50</v>
      </c>
      <c r="Y77" s="55">
        <f>IFERROR(IF(X77="",0,CEILING((X77/$H77),1)*$H77),"")</f>
        <v>54.6</v>
      </c>
      <c r="Z77" s="41">
        <f>IFERROR(IF(Y77=0,"",ROUNDUP(Y77/H77,0)*0.01898),"")</f>
        <v>0.13286000000000001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52.628205128205138</v>
      </c>
      <c r="BN77" s="78">
        <f>IFERROR(Y77*I77/H77,"0")</f>
        <v>57.470000000000013</v>
      </c>
      <c r="BO77" s="78">
        <f>IFERROR(1/J77*(X77/H77),"0")</f>
        <v>0.10016025641025642</v>
      </c>
      <c r="BP77" s="78">
        <f>IFERROR(1/J77*(Y77/H77),"0")</f>
        <v>0.109375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6.4102564102564106</v>
      </c>
      <c r="Y79" s="43">
        <f>IFERROR(Y77/H77,"0")+IFERROR(Y78/H78,"0")</f>
        <v>7</v>
      </c>
      <c r="Z79" s="43">
        <f>IFERROR(IF(Z77="",0,Z77),"0")+IFERROR(IF(Z78="",0,Z78),"0")</f>
        <v>0.13286000000000001</v>
      </c>
      <c r="AA79" s="67"/>
      <c r="AB79" s="67"/>
      <c r="AC79" s="67"/>
    </row>
    <row r="80" spans="1:68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50</v>
      </c>
      <c r="Y80" s="43">
        <f>IFERROR(SUM(Y77:Y78),"0")</f>
        <v>54.6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270</v>
      </c>
      <c r="Y86" s="55">
        <f>IFERROR(IF(X86="",0,CEILING((X86/$H86),1)*$H86),"")</f>
        <v>270</v>
      </c>
      <c r="Z86" s="41">
        <f>IFERROR(IF(Y86=0,"",ROUNDUP(Y86/H86,0)*0.00902),"")</f>
        <v>0.54120000000000001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281.40000000000003</v>
      </c>
      <c r="BN86" s="78">
        <f>IFERROR(Y86*I86/H86,"0")</f>
        <v>281.40000000000003</v>
      </c>
      <c r="BO86" s="78">
        <f>IFERROR(1/J86*(X86/H86),"0")</f>
        <v>0.45454545454545459</v>
      </c>
      <c r="BP86" s="78">
        <f>IFERROR(1/J86*(Y86/H86),"0")</f>
        <v>0.45454545454545459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60</v>
      </c>
      <c r="Y87" s="43">
        <f>IFERROR(Y83/H83,"0")+IFERROR(Y84/H84,"0")+IFERROR(Y85/H85,"0")+IFERROR(Y86/H86,"0")</f>
        <v>60</v>
      </c>
      <c r="Z87" s="43">
        <f>IFERROR(IF(Z83="",0,Z83),"0")+IFERROR(IF(Z84="",0,Z84),"0")+IFERROR(IF(Z85="",0,Z85),"0")+IFERROR(IF(Z86="",0,Z86),"0")</f>
        <v>0.54120000000000001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270</v>
      </c>
      <c r="Y88" s="43">
        <f>IFERROR(SUM(Y83:Y86),"0")</f>
        <v>270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40</v>
      </c>
      <c r="Y98" s="55">
        <f t="shared" ref="Y98:Y104" si="11">IFERROR(IF(X98="",0,CEILING((X98/$H98),1)*$H98),"")</f>
        <v>43.2</v>
      </c>
      <c r="Z98" s="41">
        <f>IFERROR(IF(Y98=0,"",ROUNDUP(Y98/H98,0)*0.01898),"")</f>
        <v>7.5920000000000001E-2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41.518518518518519</v>
      </c>
      <c r="BN98" s="78">
        <f t="shared" ref="BN98:BN104" si="13">IFERROR(Y98*I98/H98,"0")</f>
        <v>44.84</v>
      </c>
      <c r="BO98" s="78">
        <f t="shared" ref="BO98:BO104" si="14">IFERROR(1/J98*(X98/H98),"0")</f>
        <v>5.7870370370370364E-2</v>
      </c>
      <c r="BP98" s="78">
        <f t="shared" ref="BP98:BP104" si="15">IFERROR(1/J98*(Y98/H98),"0")</f>
        <v>6.25E-2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990</v>
      </c>
      <c r="Y103" s="55">
        <f t="shared" si="11"/>
        <v>990</v>
      </c>
      <c r="Z103" s="41">
        <f>IFERROR(IF(Y103=0,"",ROUNDUP(Y103/H103,0)*0.00902),"")</f>
        <v>1.9843999999999999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1031.8000000000002</v>
      </c>
      <c r="BN103" s="78">
        <f t="shared" si="13"/>
        <v>1031.8000000000002</v>
      </c>
      <c r="BO103" s="78">
        <f t="shared" si="14"/>
        <v>1.6666666666666667</v>
      </c>
      <c r="BP103" s="78">
        <f t="shared" si="15"/>
        <v>1.6666666666666667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223.7037037037037</v>
      </c>
      <c r="Y105" s="43">
        <f>IFERROR(Y98/H98,"0")+IFERROR(Y99/H99,"0")+IFERROR(Y100/H100,"0")+IFERROR(Y101/H101,"0")+IFERROR(Y102/H102,"0")+IFERROR(Y103/H103,"0")+IFERROR(Y104/H104,"0")</f>
        <v>224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2.0603199999999999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1030</v>
      </c>
      <c r="Y106" s="43">
        <f>IFERROR(SUM(Y98:Y104),"0")</f>
        <v>1033.2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700</v>
      </c>
      <c r="Y116" s="55">
        <f>IFERROR(IF(X116="",0,CEILING((X116/$H116),1)*$H116),"")</f>
        <v>704.69999999999993</v>
      </c>
      <c r="Z116" s="41">
        <f>IFERROR(IF(Y116=0,"",ROUNDUP(Y116/H116,0)*0.01898),"")</f>
        <v>1.65126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742.17283950617275</v>
      </c>
      <c r="BN116" s="78">
        <f>IFERROR(Y116*I116/H116,"0")</f>
        <v>747.15599999999995</v>
      </c>
      <c r="BO116" s="78">
        <f>IFERROR(1/J116*(X116/H116),"0")</f>
        <v>1.3503086419753088</v>
      </c>
      <c r="BP116" s="78">
        <f>IFERROR(1/J116*(Y116/H116),"0")</f>
        <v>1.359375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765</v>
      </c>
      <c r="Y118" s="55">
        <f>IFERROR(IF(X118="",0,CEILING((X118/$H118),1)*$H118),"")</f>
        <v>766.80000000000007</v>
      </c>
      <c r="Z118" s="41">
        <f>IFERROR(IF(Y118=0,"",ROUNDUP(Y118/H118,0)*0.00651),"")</f>
        <v>1.84884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836.39999999999986</v>
      </c>
      <c r="BN118" s="78">
        <f>IFERROR(Y118*I118/H118,"0")</f>
        <v>838.36800000000005</v>
      </c>
      <c r="BO118" s="78">
        <f>IFERROR(1/J118*(X118/H118),"0")</f>
        <v>1.5567765567765568</v>
      </c>
      <c r="BP118" s="78">
        <f>IFERROR(1/J118*(Y118/H118),"0")</f>
        <v>1.5604395604395607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150</v>
      </c>
      <c r="Y119" s="55">
        <f>IFERROR(IF(X119="",0,CEILING((X119/$H119),1)*$H119),"")</f>
        <v>151.20000000000002</v>
      </c>
      <c r="Z119" s="41">
        <f>IFERROR(IF(Y119=0,"",ROUNDUP(Y119/H119,0)*0.00651),"")</f>
        <v>0.54683999999999999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165</v>
      </c>
      <c r="BN119" s="78">
        <f>IFERROR(Y119*I119/H119,"0")</f>
        <v>166.32000000000002</v>
      </c>
      <c r="BO119" s="78">
        <f>IFERROR(1/J119*(X119/H119),"0")</f>
        <v>0.45787545787545786</v>
      </c>
      <c r="BP119" s="78">
        <f>IFERROR(1/J119*(Y119/H119),"0")</f>
        <v>0.46153846153846168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453.08641975308637</v>
      </c>
      <c r="Y120" s="43">
        <f>IFERROR(Y116/H116,"0")+IFERROR(Y117/H117,"0")+IFERROR(Y118/H118,"0")+IFERROR(Y119/H119,"0")</f>
        <v>455</v>
      </c>
      <c r="Z120" s="43">
        <f>IFERROR(IF(Z116="",0,Z116),"0")+IFERROR(IF(Z117="",0,Z117),"0")+IFERROR(IF(Z118="",0,Z118),"0")+IFERROR(IF(Z119="",0,Z119),"0")</f>
        <v>4.0469399999999993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1615</v>
      </c>
      <c r="Y121" s="43">
        <f>IFERROR(SUM(Y116:Y119),"0")</f>
        <v>1622.7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48</v>
      </c>
      <c r="Y130" s="55">
        <f>IFERROR(IF(X130="",0,CEILING((X130/$H130),1)*$H130),"")</f>
        <v>48</v>
      </c>
      <c r="Z130" s="41">
        <f>IFERROR(IF(Y130=0,"",ROUNDUP(Y130/H130,0)*0.00651),"")</f>
        <v>9.7650000000000001E-2</v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50.7</v>
      </c>
      <c r="BN130" s="78">
        <f>IFERROR(Y130*I130/H130,"0")</f>
        <v>50.7</v>
      </c>
      <c r="BO130" s="78">
        <f>IFERROR(1/J130*(X130/H130),"0")</f>
        <v>8.241758241758243E-2</v>
      </c>
      <c r="BP130" s="78">
        <f>IFERROR(1/J130*(Y130/H130),"0")</f>
        <v>8.241758241758243E-2</v>
      </c>
    </row>
    <row r="131" spans="1:68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15</v>
      </c>
      <c r="Y131" s="43">
        <f>IFERROR(Y128/H128,"0")+IFERROR(Y129/H129,"0")+IFERROR(Y130/H130,"0")</f>
        <v>15</v>
      </c>
      <c r="Z131" s="43">
        <f>IFERROR(IF(Z128="",0,Z128),"0")+IFERROR(IF(Z129="",0,Z129),"0")+IFERROR(IF(Z130="",0,Z130),"0")</f>
        <v>9.7650000000000001E-2</v>
      </c>
      <c r="AA131" s="67"/>
      <c r="AB131" s="67"/>
      <c r="AC131" s="67"/>
    </row>
    <row r="132" spans="1:68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48</v>
      </c>
      <c r="Y132" s="43">
        <f>IFERROR(SUM(Y128:Y130),"0")</f>
        <v>48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60</v>
      </c>
      <c r="Y134" s="55">
        <f>IFERROR(IF(X134="",0,CEILING((X134/$H134),1)*$H134),"")</f>
        <v>63</v>
      </c>
      <c r="Z134" s="41">
        <f>IFERROR(IF(Y134=0,"",ROUNDUP(Y134/H134,0)*0.01196),"")</f>
        <v>0.1794</v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65.428571428571431</v>
      </c>
      <c r="BN134" s="78">
        <f>IFERROR(Y134*I134/H134,"0")</f>
        <v>68.7</v>
      </c>
      <c r="BO134" s="78">
        <f>IFERROR(1/J134*(X134/H134),"0")</f>
        <v>0.13736263736263737</v>
      </c>
      <c r="BP134" s="78">
        <f>IFERROR(1/J134*(Y134/H134),"0")</f>
        <v>0.14423076923076925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17.5</v>
      </c>
      <c r="Y135" s="55">
        <f>IFERROR(IF(X135="",0,CEILING((X135/$H135),1)*$H135),"")</f>
        <v>19.599999999999998</v>
      </c>
      <c r="Z135" s="41">
        <f>IFERROR(IF(Y135=0,"",ROUNDUP(Y135/H135,0)*0.00651),"")</f>
        <v>4.5569999999999999E-2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19.175000000000001</v>
      </c>
      <c r="BN135" s="78">
        <f>IFERROR(Y135*I135/H135,"0")</f>
        <v>21.475999999999999</v>
      </c>
      <c r="BO135" s="78">
        <f>IFERROR(1/J135*(X135/H135),"0")</f>
        <v>3.4340659340659344E-2</v>
      </c>
      <c r="BP135" s="78">
        <f>IFERROR(1/J135*(Y135/H135),"0")</f>
        <v>3.8461538461538464E-2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20.535714285714285</v>
      </c>
      <c r="Y138" s="43">
        <f>IFERROR(Y134/H134,"0")+IFERROR(Y135/H135,"0")+IFERROR(Y136/H136,"0")+IFERROR(Y137/H137,"0")</f>
        <v>22</v>
      </c>
      <c r="Z138" s="43">
        <f>IFERROR(IF(Z134="",0,Z134),"0")+IFERROR(IF(Z135="",0,Z135),"0")+IFERROR(IF(Z136="",0,Z136),"0")+IFERROR(IF(Z137="",0,Z137),"0")</f>
        <v>0.22497</v>
      </c>
      <c r="AA138" s="67"/>
      <c r="AB138" s="67"/>
      <c r="AC138" s="67"/>
    </row>
    <row r="139" spans="1:68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77.5</v>
      </c>
      <c r="Y139" s="43">
        <f>IFERROR(SUM(Y134:Y137),"0")</f>
        <v>82.6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99</v>
      </c>
      <c r="Y142" s="55">
        <f>IFERROR(IF(X142="",0,CEILING((X142/$H142),1)*$H142),"")</f>
        <v>100.32000000000001</v>
      </c>
      <c r="Z142" s="41">
        <f>IFERROR(IF(Y142=0,"",ROUNDUP(Y142/H142,0)*0.00651),"")</f>
        <v>0.24738000000000002</v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109.05</v>
      </c>
      <c r="BN142" s="78">
        <f>IFERROR(Y142*I142/H142,"0")</f>
        <v>110.504</v>
      </c>
      <c r="BO142" s="78">
        <f>IFERROR(1/J142*(X142/H142),"0")</f>
        <v>0.20604395604395606</v>
      </c>
      <c r="BP142" s="78">
        <f>IFERROR(1/J142*(Y142/H142),"0")</f>
        <v>0.2087912087912088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37.5</v>
      </c>
      <c r="Y144" s="43">
        <f>IFERROR(Y141/H141,"0")+IFERROR(Y142/H142,"0")+IFERROR(Y143/H143,"0")</f>
        <v>38</v>
      </c>
      <c r="Z144" s="43">
        <f>IFERROR(IF(Z141="",0,Z141),"0")+IFERROR(IF(Z142="",0,Z142),"0")+IFERROR(IF(Z143="",0,Z143),"0")</f>
        <v>0.24738000000000002</v>
      </c>
      <c r="AA144" s="67"/>
      <c r="AB144" s="67"/>
      <c r="AC144" s="67"/>
    </row>
    <row r="145" spans="1:68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99</v>
      </c>
      <c r="Y145" s="43">
        <f>IFERROR(SUM(Y141:Y143),"0")</f>
        <v>100.32000000000001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12</v>
      </c>
      <c r="Y169" s="55">
        <f>IFERROR(IF(X169="",0,CEILING((X169/$H169),1)*$H169),"")</f>
        <v>12.24</v>
      </c>
      <c r="Z169" s="41">
        <f>IFERROR(IF(Y169=0,"",ROUNDUP(Y169/H169,0)*0.00556),"")</f>
        <v>9.4519999999999993E-2</v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14.166666666666666</v>
      </c>
      <c r="BN169" s="78">
        <f>IFERROR(Y169*I169/H169,"0")</f>
        <v>14.450000000000001</v>
      </c>
      <c r="BO169" s="78">
        <f>IFERROR(1/J169*(X169/H169),"0")</f>
        <v>6.6137566137566134E-2</v>
      </c>
      <c r="BP169" s="78">
        <f>IFERROR(1/J169*(Y169/H169),"0")</f>
        <v>6.7460317460317457E-2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16.666666666666668</v>
      </c>
      <c r="Y171" s="43">
        <f>IFERROR(Y169/H169,"0")+IFERROR(Y170/H170,"0")</f>
        <v>17</v>
      </c>
      <c r="Z171" s="43">
        <f>IFERROR(IF(Z169="",0,Z169),"0")+IFERROR(IF(Z170="",0,Z170),"0")</f>
        <v>9.4519999999999993E-2</v>
      </c>
      <c r="AA171" s="67"/>
      <c r="AB171" s="67"/>
      <c r="AC171" s="67"/>
    </row>
    <row r="172" spans="1:68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12</v>
      </c>
      <c r="Y172" s="43">
        <f>IFERROR(SUM(Y169:Y170),"0")</f>
        <v>12.24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400</v>
      </c>
      <c r="Y174" s="55">
        <f t="shared" ref="Y174:Y184" si="22">IFERROR(IF(X174="",0,CEILING((X174/$H174),1)*$H174),"")</f>
        <v>402.5</v>
      </c>
      <c r="Z174" s="41">
        <f>IFERROR(IF(Y174=0,"",ROUNDUP(Y174/H174,0)*0.00902),"")</f>
        <v>1.0373000000000001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421.71428571428572</v>
      </c>
      <c r="BN174" s="78">
        <f t="shared" ref="BN174:BN184" si="24">IFERROR(Y174*I174/H174,"0")</f>
        <v>424.34999999999997</v>
      </c>
      <c r="BO174" s="78">
        <f t="shared" ref="BO174:BO184" si="25">IFERROR(1/J174*(X174/H174),"0")</f>
        <v>0.8658008658008659</v>
      </c>
      <c r="BP174" s="78">
        <f t="shared" ref="BP174:BP184" si="26">IFERROR(1/J174*(Y174/H174),"0")</f>
        <v>0.87121212121212122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300</v>
      </c>
      <c r="Y176" s="55">
        <f t="shared" si="22"/>
        <v>301</v>
      </c>
      <c r="Z176" s="41">
        <f>IFERROR(IF(Y176=0,"",ROUNDUP(Y176/H176,0)*0.00902),"")</f>
        <v>0.77571999999999997</v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316.28571428571428</v>
      </c>
      <c r="BN176" s="78">
        <f t="shared" si="24"/>
        <v>317.34000000000003</v>
      </c>
      <c r="BO176" s="78">
        <f t="shared" si="25"/>
        <v>0.64935064935064934</v>
      </c>
      <c r="BP176" s="78">
        <f t="shared" si="26"/>
        <v>0.65151515151515149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400</v>
      </c>
      <c r="Y177" s="55">
        <f t="shared" si="22"/>
        <v>402.5</v>
      </c>
      <c r="Z177" s="41">
        <f>IFERROR(IF(Y177=0,"",ROUNDUP(Y177/H177,0)*0.00902),"")</f>
        <v>1.0373000000000001</v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421.71428571428572</v>
      </c>
      <c r="BN177" s="78">
        <f t="shared" si="24"/>
        <v>424.34999999999997</v>
      </c>
      <c r="BO177" s="78">
        <f t="shared" si="25"/>
        <v>0.8658008658008659</v>
      </c>
      <c r="BP177" s="78">
        <f t="shared" si="26"/>
        <v>0.87121212121212122</v>
      </c>
    </row>
    <row r="178" spans="1:68" ht="16.5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9</v>
      </c>
      <c r="Y178" s="55">
        <f t="shared" si="22"/>
        <v>9</v>
      </c>
      <c r="Z178" s="41">
        <f>IFERROR(IF(Y178=0,"",ROUNDUP(Y178/H178,0)*0.00417),"")</f>
        <v>4.1700000000000001E-2</v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11.1</v>
      </c>
      <c r="BN178" s="78">
        <f t="shared" si="24"/>
        <v>11.1</v>
      </c>
      <c r="BO178" s="78">
        <f t="shared" si="25"/>
        <v>2.976190476190476E-2</v>
      </c>
      <c r="BP178" s="78">
        <f t="shared" si="26"/>
        <v>2.976190476190476E-2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140</v>
      </c>
      <c r="Y179" s="55">
        <f t="shared" si="22"/>
        <v>141.12</v>
      </c>
      <c r="Z179" s="41">
        <f>IFERROR(IF(Y179=0,"",ROUNDUP(Y179/H179,0)*0.00502),"")</f>
        <v>0.42168</v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148.33333333333334</v>
      </c>
      <c r="BN179" s="78">
        <f t="shared" si="24"/>
        <v>149.52000000000001</v>
      </c>
      <c r="BO179" s="78">
        <f t="shared" si="25"/>
        <v>0.35612535612535623</v>
      </c>
      <c r="BP179" s="78">
        <f t="shared" si="26"/>
        <v>0.35897435897435903</v>
      </c>
    </row>
    <row r="180" spans="1:68" ht="27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5.3999999999999995</v>
      </c>
      <c r="Y180" s="55">
        <f t="shared" si="22"/>
        <v>5.4</v>
      </c>
      <c r="Z180" s="41">
        <f>IFERROR(IF(Y180=0,"",ROUNDUP(Y180/H180,0)*0.00417),"")</f>
        <v>2.5020000000000001E-2</v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6.6599999999999993</v>
      </c>
      <c r="BN180" s="78">
        <f t="shared" si="24"/>
        <v>6.66</v>
      </c>
      <c r="BO180" s="78">
        <f t="shared" si="25"/>
        <v>1.7857142857142853E-2</v>
      </c>
      <c r="BP180" s="78">
        <f t="shared" si="26"/>
        <v>1.7857142857142856E-2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112.00000000000001</v>
      </c>
      <c r="Y182" s="55">
        <f t="shared" si="22"/>
        <v>112.56</v>
      </c>
      <c r="Z182" s="41">
        <f>IFERROR(IF(Y182=0,"",ROUNDUP(Y182/H182,0)*0.00502),"")</f>
        <v>0.33634000000000003</v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118.6666666666667</v>
      </c>
      <c r="BN182" s="78">
        <f t="shared" si="24"/>
        <v>119.26000000000002</v>
      </c>
      <c r="BO182" s="78">
        <f t="shared" si="25"/>
        <v>0.28490028490028496</v>
      </c>
      <c r="BP182" s="78">
        <f t="shared" si="26"/>
        <v>0.28632478632478636</v>
      </c>
    </row>
    <row r="183" spans="1:68" ht="27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4.5</v>
      </c>
      <c r="Y183" s="55">
        <f t="shared" si="22"/>
        <v>4.5</v>
      </c>
      <c r="Z183" s="41">
        <f>IFERROR(IF(Y183=0,"",ROUNDUP(Y183/H183,0)*0.00417),"")</f>
        <v>2.085E-2</v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5</v>
      </c>
      <c r="BN183" s="78">
        <f t="shared" si="24"/>
        <v>5</v>
      </c>
      <c r="BO183" s="78">
        <f t="shared" si="25"/>
        <v>1.488095238095238E-2</v>
      </c>
      <c r="BP183" s="78">
        <f t="shared" si="26"/>
        <v>1.488095238095238E-2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112.00000000000001</v>
      </c>
      <c r="Y184" s="55">
        <f t="shared" si="22"/>
        <v>112.56</v>
      </c>
      <c r="Z184" s="41">
        <f>IFERROR(IF(Y184=0,"",ROUNDUP(Y184/H184,0)*0.00502),"")</f>
        <v>0.33634000000000003</v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118.6666666666667</v>
      </c>
      <c r="BN184" s="78">
        <f t="shared" si="24"/>
        <v>119.26000000000002</v>
      </c>
      <c r="BO184" s="78">
        <f t="shared" si="25"/>
        <v>0.28490028490028496</v>
      </c>
      <c r="BP184" s="78">
        <f t="shared" si="26"/>
        <v>0.28632478632478636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551.95238095238096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555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4.0322499999999994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1482.9</v>
      </c>
      <c r="Y186" s="43">
        <f>IFERROR(SUM(Y174:Y184),"0")</f>
        <v>1491.1399999999999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70</v>
      </c>
      <c r="Y219" s="55">
        <f t="shared" ref="Y219:Y232" si="33">IFERROR(IF(X219="",0,CEILING((X219/$H219),1)*$H219),"")</f>
        <v>71.400000000000006</v>
      </c>
      <c r="Z219" s="41">
        <f>IFERROR(IF(Y219=0,"",ROUNDUP(Y219/H219,0)*0.00902),"")</f>
        <v>0.15334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74.166666666666657</v>
      </c>
      <c r="BN219" s="78">
        <f t="shared" ref="BN219:BN232" si="35">IFERROR(Y219*I219/H219,"0")</f>
        <v>75.650000000000006</v>
      </c>
      <c r="BO219" s="78">
        <f t="shared" ref="BO219:BO232" si="36">IFERROR(1/J219*(X219/H219),"0")</f>
        <v>0.12626262626262624</v>
      </c>
      <c r="BP219" s="78">
        <f t="shared" ref="BP219:BP232" si="37">IFERROR(1/J219*(Y219/H219),"0")</f>
        <v>0.12878787878787878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50</v>
      </c>
      <c r="Y220" s="55">
        <f t="shared" si="33"/>
        <v>50.400000000000006</v>
      </c>
      <c r="Z220" s="41">
        <f>IFERROR(IF(Y220=0,"",ROUNDUP(Y220/H220,0)*0.00902),"")</f>
        <v>0.10824</v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52.976190476190474</v>
      </c>
      <c r="BN220" s="78">
        <f t="shared" si="35"/>
        <v>53.400000000000006</v>
      </c>
      <c r="BO220" s="78">
        <f t="shared" si="36"/>
        <v>9.0187590187590191E-2</v>
      </c>
      <c r="BP220" s="78">
        <f t="shared" si="37"/>
        <v>9.0909090909090912E-2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12</v>
      </c>
      <c r="Y222" s="55">
        <f t="shared" si="33"/>
        <v>12</v>
      </c>
      <c r="Z222" s="41">
        <f>IFERROR(IF(Y222=0,"",ROUNDUP(Y222/H222,0)*0.00556),"")</f>
        <v>8.3400000000000002E-2</v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13.95</v>
      </c>
      <c r="BN222" s="78">
        <f t="shared" si="35"/>
        <v>13.95</v>
      </c>
      <c r="BO222" s="78">
        <f t="shared" si="36"/>
        <v>5.9523809523809521E-2</v>
      </c>
      <c r="BP222" s="78">
        <f t="shared" si="37"/>
        <v>5.9523809523809521E-2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35</v>
      </c>
      <c r="Y223" s="55">
        <f t="shared" si="33"/>
        <v>35.700000000000003</v>
      </c>
      <c r="Z223" s="41">
        <f t="shared" ref="Z223:Z228" si="38">IFERROR(IF(Y223=0,"",ROUNDUP(Y223/H223,0)*0.00502),"")</f>
        <v>8.5339999999999999E-2</v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37.166666666666664</v>
      </c>
      <c r="BN223" s="78">
        <f t="shared" si="35"/>
        <v>37.910000000000004</v>
      </c>
      <c r="BO223" s="78">
        <f t="shared" si="36"/>
        <v>7.1225071225071226E-2</v>
      </c>
      <c r="BP223" s="78">
        <f t="shared" si="37"/>
        <v>7.2649572649572655E-2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175</v>
      </c>
      <c r="Y225" s="55">
        <f t="shared" si="33"/>
        <v>176.4</v>
      </c>
      <c r="Z225" s="41">
        <f t="shared" si="38"/>
        <v>0.42168</v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185.83333333333331</v>
      </c>
      <c r="BN225" s="78">
        <f t="shared" si="35"/>
        <v>187.32</v>
      </c>
      <c r="BO225" s="78">
        <f t="shared" si="36"/>
        <v>0.35612535612535612</v>
      </c>
      <c r="BP225" s="78">
        <f t="shared" si="37"/>
        <v>0.35897435897435903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9.6</v>
      </c>
      <c r="Y229" s="55">
        <f t="shared" si="33"/>
        <v>9.6000000000000014</v>
      </c>
      <c r="Z229" s="41">
        <f>IFERROR(IF(Y229=0,"",ROUNDUP(Y229/H229,0)*0.00417),"")</f>
        <v>5.0040000000000001E-2</v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12.12</v>
      </c>
      <c r="BN229" s="78">
        <f t="shared" si="35"/>
        <v>12.120000000000001</v>
      </c>
      <c r="BO229" s="78">
        <f t="shared" si="36"/>
        <v>3.5714285714285705E-2</v>
      </c>
      <c r="BP229" s="78">
        <f t="shared" si="37"/>
        <v>3.5714285714285719E-2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280</v>
      </c>
      <c r="Y230" s="55">
        <f t="shared" si="33"/>
        <v>281.40000000000003</v>
      </c>
      <c r="Z230" s="41">
        <f>IFERROR(IF(Y230=0,"",ROUNDUP(Y230/H230,0)*0.00502),"")</f>
        <v>0.67268000000000006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293.33333333333331</v>
      </c>
      <c r="BN230" s="78">
        <f t="shared" si="35"/>
        <v>294.80000000000007</v>
      </c>
      <c r="BO230" s="78">
        <f t="shared" si="36"/>
        <v>0.56980056980056981</v>
      </c>
      <c r="BP230" s="78">
        <f t="shared" si="37"/>
        <v>0.57264957264957272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288.90476190476187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291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1.5747200000000001</v>
      </c>
      <c r="AA233" s="67"/>
      <c r="AB233" s="67"/>
      <c r="AC233" s="67"/>
    </row>
    <row r="234" spans="1:68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631.6</v>
      </c>
      <c r="Y234" s="43">
        <f>IFERROR(SUM(Y219:Y232),"0")</f>
        <v>636.90000000000009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7.0000000000000009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2.5720164609053499E-2</v>
      </c>
      <c r="BP244" s="78">
        <f>IFERROR(1/J244*(Y244/H244),"0")</f>
        <v>2.7777777777777776E-2</v>
      </c>
    </row>
    <row r="245" spans="1:68" ht="27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14.000000000000002</v>
      </c>
      <c r="Y245" s="55">
        <f>IFERROR(IF(X245="",0,CEILING((X245/$H245),1)*$H245),"")</f>
        <v>15.120000000000001</v>
      </c>
      <c r="Z245" s="41">
        <f>IFERROR(IF(Y245=0,"",ROUNDUP(Y245/H245,0)*0.0059),"")</f>
        <v>7.0800000000000002E-2</v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16.111111111111111</v>
      </c>
      <c r="BN245" s="78">
        <f>IFERROR(Y245*I245/H245,"0")</f>
        <v>17.399999999999999</v>
      </c>
      <c r="BO245" s="78">
        <f>IFERROR(1/J245*(X245/H245),"0")</f>
        <v>5.1440329218106998E-2</v>
      </c>
      <c r="BP245" s="78">
        <f>IFERROR(1/J245*(Y245/H245),"0")</f>
        <v>5.5555555555555552E-2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21.000000000000004</v>
      </c>
      <c r="Y246" s="55">
        <f>IFERROR(IF(X246="",0,CEILING((X246/$H246),1)*$H246),"")</f>
        <v>21.42</v>
      </c>
      <c r="Z246" s="41">
        <f>IFERROR(IF(Y246=0,"",ROUNDUP(Y246/H246,0)*0.0059),"")</f>
        <v>0.1003</v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24.166666666666668</v>
      </c>
      <c r="BN246" s="78">
        <f>IFERROR(Y246*I246/H246,"0")</f>
        <v>24.650000000000002</v>
      </c>
      <c r="BO246" s="78">
        <f>IFERROR(1/J246*(X246/H246),"0")</f>
        <v>7.716049382716049E-2</v>
      </c>
      <c r="BP246" s="78">
        <f>IFERROR(1/J246*(Y246/H246),"0")</f>
        <v>7.8703703703703692E-2</v>
      </c>
    </row>
    <row r="247" spans="1:68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33.333333333333336</v>
      </c>
      <c r="Y247" s="43">
        <f>IFERROR(Y244/H244,"0")+IFERROR(Y245/H245,"0")+IFERROR(Y246/H246,"0")</f>
        <v>35</v>
      </c>
      <c r="Z247" s="43">
        <f>IFERROR(IF(Z244="",0,Z244),"0")+IFERROR(IF(Z245="",0,Z245),"0")+IFERROR(IF(Z246="",0,Z246),"0")</f>
        <v>0.20650000000000002</v>
      </c>
      <c r="AA247" s="67"/>
      <c r="AB247" s="67"/>
      <c r="AC247" s="67"/>
    </row>
    <row r="248" spans="1:68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42.000000000000007</v>
      </c>
      <c r="Y248" s="43">
        <f>IFERROR(SUM(Y244:Y246),"0")</f>
        <v>44.1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7.0000000000000009</v>
      </c>
      <c r="Y250" s="55">
        <f>IFERROR(IF(X250="",0,CEILING((X250/$H250),1)*$H250),"")</f>
        <v>7.5600000000000005</v>
      </c>
      <c r="Z250" s="41">
        <f>IFERROR(IF(Y250=0,"",ROUNDUP(Y250/H250,0)*0.0059),"")</f>
        <v>3.5400000000000001E-2</v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8.0555555555555554</v>
      </c>
      <c r="BN250" s="78">
        <f>IFERROR(Y250*I250/H250,"0")</f>
        <v>8.6999999999999993</v>
      </c>
      <c r="BO250" s="78">
        <f>IFERROR(1/J250*(X250/H250),"0")</f>
        <v>2.5720164609053499E-2</v>
      </c>
      <c r="BP250" s="78">
        <f>IFERROR(1/J250*(Y250/H250),"0")</f>
        <v>2.7777777777777776E-2</v>
      </c>
    </row>
    <row r="251" spans="1:68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5.5555555555555562</v>
      </c>
      <c r="Y251" s="43">
        <f>IFERROR(Y250/H250,"0")</f>
        <v>6</v>
      </c>
      <c r="Z251" s="43">
        <f>IFERROR(IF(Z250="",0,Z250),"0")</f>
        <v>3.5400000000000001E-2</v>
      </c>
      <c r="AA251" s="67"/>
      <c r="AB251" s="67"/>
      <c r="AC251" s="67"/>
    </row>
    <row r="252" spans="1:68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7.0000000000000009</v>
      </c>
      <c r="Y252" s="43">
        <f>IFERROR(SUM(Y250:Y250),"0")</f>
        <v>7.5600000000000005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900</v>
      </c>
      <c r="Y265" s="55">
        <f t="shared" ref="Y265:Y272" si="39">IFERROR(IF(X265="",0,CEILING((X265/$H265),1)*$H265),"")</f>
        <v>901.80000000000007</v>
      </c>
      <c r="Z265" s="41">
        <f>IFERROR(IF(Y265=0,"",ROUNDUP(Y265/H265,0)*0.00902),"")</f>
        <v>1.50634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931.66666666666663</v>
      </c>
      <c r="BN265" s="78">
        <f t="shared" ref="BN265:BN272" si="41">IFERROR(Y265*I265/H265,"0")</f>
        <v>933.53</v>
      </c>
      <c r="BO265" s="78">
        <f t="shared" ref="BO265:BO272" si="42">IFERROR(1/J265*(X265/H265),"0")</f>
        <v>1.2626262626262625</v>
      </c>
      <c r="BP265" s="78">
        <f t="shared" ref="BP265:BP272" si="43">IFERROR(1/J265*(Y265/H265),"0")</f>
        <v>1.2651515151515151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130</v>
      </c>
      <c r="Y266" s="55">
        <f t="shared" si="39"/>
        <v>135</v>
      </c>
      <c r="Z266" s="41">
        <f>IFERROR(IF(Y266=0,"",ROUNDUP(Y266/H266,0)*0.00902),"")</f>
        <v>0.22550000000000001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134.57407407407405</v>
      </c>
      <c r="BN266" s="78">
        <f t="shared" si="41"/>
        <v>139.75</v>
      </c>
      <c r="BO266" s="78">
        <f t="shared" si="42"/>
        <v>0.18237934904601572</v>
      </c>
      <c r="BP266" s="78">
        <f t="shared" si="43"/>
        <v>0.18939393939393939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440</v>
      </c>
      <c r="Y267" s="55">
        <f t="shared" si="39"/>
        <v>442.8</v>
      </c>
      <c r="Z267" s="41">
        <f>IFERROR(IF(Y267=0,"",ROUNDUP(Y267/H267,0)*0.00902),"")</f>
        <v>0.73964000000000008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455.48148148148141</v>
      </c>
      <c r="BN267" s="78">
        <f t="shared" si="41"/>
        <v>458.37999999999994</v>
      </c>
      <c r="BO267" s="78">
        <f t="shared" si="42"/>
        <v>0.61728395061728392</v>
      </c>
      <c r="BP267" s="78">
        <f t="shared" si="43"/>
        <v>0.62121212121212122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150</v>
      </c>
      <c r="Y268" s="55">
        <f t="shared" si="39"/>
        <v>151.20000000000002</v>
      </c>
      <c r="Z268" s="41">
        <f>IFERROR(IF(Y268=0,"",ROUNDUP(Y268/H268,0)*0.00902),"")</f>
        <v>0.25256000000000001</v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155.27777777777777</v>
      </c>
      <c r="BN268" s="78">
        <f t="shared" si="41"/>
        <v>156.52000000000001</v>
      </c>
      <c r="BO268" s="78">
        <f t="shared" si="42"/>
        <v>0.21043771043771042</v>
      </c>
      <c r="BP268" s="78">
        <f t="shared" si="43"/>
        <v>0.21212121212121213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180</v>
      </c>
      <c r="Y269" s="55">
        <f t="shared" si="39"/>
        <v>180</v>
      </c>
      <c r="Z269" s="41">
        <f>IFERROR(IF(Y269=0,"",ROUNDUP(Y269/H269,0)*0.00502),"")</f>
        <v>0.502</v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192.99999999999997</v>
      </c>
      <c r="BN269" s="78">
        <f t="shared" si="41"/>
        <v>192.99999999999997</v>
      </c>
      <c r="BO269" s="78">
        <f t="shared" si="42"/>
        <v>0.42735042735042739</v>
      </c>
      <c r="BP269" s="78">
        <f t="shared" si="43"/>
        <v>0.42735042735042739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180</v>
      </c>
      <c r="Y270" s="55">
        <f t="shared" si="39"/>
        <v>180</v>
      </c>
      <c r="Z270" s="41">
        <f>IFERROR(IF(Y270=0,"",ROUNDUP(Y270/H270,0)*0.00502),"")</f>
        <v>0.502</v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190</v>
      </c>
      <c r="BN270" s="78">
        <f t="shared" si="41"/>
        <v>190</v>
      </c>
      <c r="BO270" s="78">
        <f t="shared" si="42"/>
        <v>0.42735042735042739</v>
      </c>
      <c r="BP270" s="78">
        <f t="shared" si="43"/>
        <v>0.42735042735042739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180</v>
      </c>
      <c r="Y271" s="55">
        <f t="shared" si="39"/>
        <v>180</v>
      </c>
      <c r="Z271" s="41">
        <f>IFERROR(IF(Y271=0,"",ROUNDUP(Y271/H271,0)*0.00502),"")</f>
        <v>0.502</v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190</v>
      </c>
      <c r="BN271" s="78">
        <f t="shared" si="41"/>
        <v>190</v>
      </c>
      <c r="BO271" s="78">
        <f t="shared" si="42"/>
        <v>0.42735042735042739</v>
      </c>
      <c r="BP271" s="78">
        <f t="shared" si="43"/>
        <v>0.42735042735042739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120</v>
      </c>
      <c r="Y272" s="55">
        <f t="shared" si="39"/>
        <v>120.60000000000001</v>
      </c>
      <c r="Z272" s="41">
        <f>IFERROR(IF(Y272=0,"",ROUNDUP(Y272/H272,0)*0.00502),"")</f>
        <v>0.33634000000000003</v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126.66666666666666</v>
      </c>
      <c r="BN272" s="78">
        <f t="shared" si="41"/>
        <v>127.30000000000001</v>
      </c>
      <c r="BO272" s="78">
        <f t="shared" si="42"/>
        <v>0.28490028490028496</v>
      </c>
      <c r="BP272" s="78">
        <f t="shared" si="43"/>
        <v>0.28632478632478636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666.66666666666663</v>
      </c>
      <c r="Y273" s="43">
        <f>IFERROR(Y265/H265,"0")+IFERROR(Y266/H266,"0")+IFERROR(Y267/H267,"0")+IFERROR(Y268/H268,"0")+IFERROR(Y269/H269,"0")+IFERROR(Y270/H270,"0")+IFERROR(Y271/H271,"0")+IFERROR(Y272/H272,"0")</f>
        <v>669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4.5663799999999997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2280</v>
      </c>
      <c r="Y274" s="43">
        <f>IFERROR(SUM(Y265:Y272),"0")</f>
        <v>2291.4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300</v>
      </c>
      <c r="Y276" s="55">
        <f t="shared" ref="Y276:Y287" si="44">IFERROR(IF(X276="",0,CEILING((X276/$H276),1)*$H276),"")</f>
        <v>307.8</v>
      </c>
      <c r="Z276" s="41">
        <f>IFERROR(IF(Y276=0,"",ROUNDUP(Y276/H276,0)*0.01898),"")</f>
        <v>0.72123999999999999</v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318.2962962962963</v>
      </c>
      <c r="BN276" s="78">
        <f t="shared" ref="BN276:BN287" si="46">IFERROR(Y276*I276/H276,"0")</f>
        <v>326.572</v>
      </c>
      <c r="BO276" s="78">
        <f t="shared" ref="BO276:BO287" si="47">IFERROR(1/J276*(X276/H276),"0")</f>
        <v>0.57870370370370372</v>
      </c>
      <c r="BP276" s="78">
        <f t="shared" ref="BP276:BP287" si="48">IFERROR(1/J276*(Y276/H276),"0")</f>
        <v>0.59375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100</v>
      </c>
      <c r="Y277" s="55">
        <f t="shared" si="44"/>
        <v>105.3</v>
      </c>
      <c r="Z277" s="41">
        <f>IFERROR(IF(Y277=0,"",ROUNDUP(Y277/H277,0)*0.01898),"")</f>
        <v>0.24674000000000001</v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105.87654320987654</v>
      </c>
      <c r="BN277" s="78">
        <f t="shared" si="46"/>
        <v>111.48800000000001</v>
      </c>
      <c r="BO277" s="78">
        <f t="shared" si="47"/>
        <v>0.19290123456790123</v>
      </c>
      <c r="BP277" s="78">
        <f t="shared" si="48"/>
        <v>0.203125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4"/>
        <v>200.1</v>
      </c>
      <c r="Z278" s="41">
        <f>IFERROR(IF(Y278=0,"",ROUNDUP(Y278/H278,0)*0.01898),"")</f>
        <v>0.43653999999999998</v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211.35632183908049</v>
      </c>
      <c r="BN278" s="78">
        <f t="shared" si="46"/>
        <v>211.46200000000005</v>
      </c>
      <c r="BO278" s="78">
        <f t="shared" si="47"/>
        <v>0.35919540229885061</v>
      </c>
      <c r="BP278" s="78">
        <f t="shared" si="48"/>
        <v>0.359375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600</v>
      </c>
      <c r="Y279" s="55">
        <f t="shared" si="44"/>
        <v>600</v>
      </c>
      <c r="Z279" s="41">
        <f>IFERROR(IF(Y279=0,"",ROUNDUP(Y279/H279,0)*0.00651),"")</f>
        <v>1.6274999999999999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667.5</v>
      </c>
      <c r="BN279" s="78">
        <f t="shared" si="46"/>
        <v>667.5</v>
      </c>
      <c r="BO279" s="78">
        <f t="shared" si="47"/>
        <v>1.3736263736263736</v>
      </c>
      <c r="BP279" s="78">
        <f t="shared" si="48"/>
        <v>1.3736263736263736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1000</v>
      </c>
      <c r="Y282" s="55">
        <f t="shared" si="44"/>
        <v>1000.8</v>
      </c>
      <c r="Z282" s="41">
        <f>IFERROR(IF(Y282=0,"",ROUNDUP(Y282/H282,0)*0.00651),"")</f>
        <v>2.7146699999999999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1105</v>
      </c>
      <c r="BN282" s="78">
        <f t="shared" si="46"/>
        <v>1105.884</v>
      </c>
      <c r="BO282" s="78">
        <f t="shared" si="47"/>
        <v>2.2893772893772897</v>
      </c>
      <c r="BP282" s="78">
        <f t="shared" si="48"/>
        <v>2.2912087912087915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100</v>
      </c>
      <c r="Y285" s="55">
        <f t="shared" si="44"/>
        <v>100.8</v>
      </c>
      <c r="Z285" s="41">
        <f>IFERROR(IF(Y285=0,"",ROUNDUP(Y285/H285,0)*0.00651),"")</f>
        <v>0.27342</v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110.5</v>
      </c>
      <c r="BN285" s="78">
        <f t="shared" si="46"/>
        <v>111.384</v>
      </c>
      <c r="BO285" s="78">
        <f t="shared" si="47"/>
        <v>0.22893772893772898</v>
      </c>
      <c r="BP285" s="78">
        <f t="shared" si="48"/>
        <v>0.23076923076923078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360</v>
      </c>
      <c r="Y286" s="55">
        <f t="shared" si="44"/>
        <v>360</v>
      </c>
      <c r="Z286" s="41">
        <f>IFERROR(IF(Y286=0,"",ROUNDUP(Y286/H286,0)*0.00651),"")</f>
        <v>0.97650000000000003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398.7</v>
      </c>
      <c r="BN286" s="78">
        <f t="shared" si="46"/>
        <v>398.7</v>
      </c>
      <c r="BO286" s="78">
        <f t="shared" si="47"/>
        <v>0.82417582417582425</v>
      </c>
      <c r="BP286" s="78">
        <f t="shared" si="48"/>
        <v>0.82417582417582425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930.70455512984256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933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6.9966099999999996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2660</v>
      </c>
      <c r="Y289" s="43">
        <f>IFERROR(SUM(Y276:Y287),"0")</f>
        <v>2674.8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60</v>
      </c>
      <c r="Y291" s="55">
        <f>IFERROR(IF(X291="",0,CEILING((X291/$H291),1)*$H291),"")</f>
        <v>60</v>
      </c>
      <c r="Z291" s="41">
        <f>IFERROR(IF(Y291=0,"",ROUNDUP(Y291/H291,0)*0.00651),"")</f>
        <v>0.16275000000000001</v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66.300000000000011</v>
      </c>
      <c r="BN291" s="78">
        <f>IFERROR(Y291*I291/H291,"0")</f>
        <v>66.300000000000011</v>
      </c>
      <c r="BO291" s="78">
        <f>IFERROR(1/J291*(X291/H291),"0")</f>
        <v>0.13736263736263737</v>
      </c>
      <c r="BP291" s="78">
        <f>IFERROR(1/J291*(Y291/H291),"0")</f>
        <v>0.13736263736263737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160</v>
      </c>
      <c r="Y292" s="55">
        <f>IFERROR(IF(X292="",0,CEILING((X292/$H292),1)*$H292),"")</f>
        <v>160.79999999999998</v>
      </c>
      <c r="Z292" s="41">
        <f>IFERROR(IF(Y292=0,"",ROUNDUP(Y292/H292,0)*0.00651),"")</f>
        <v>0.43617</v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176.80000000000004</v>
      </c>
      <c r="BN292" s="78">
        <f>IFERROR(Y292*I292/H292,"0")</f>
        <v>177.684</v>
      </c>
      <c r="BO292" s="78">
        <f>IFERROR(1/J292*(X292/H292),"0")</f>
        <v>0.36630036630036633</v>
      </c>
      <c r="BP292" s="78">
        <f>IFERROR(1/J292*(Y292/H292),"0")</f>
        <v>0.36813186813186816</v>
      </c>
    </row>
    <row r="293" spans="1:68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91.666666666666671</v>
      </c>
      <c r="Y293" s="43">
        <f>IFERROR(Y291/H291,"0")+IFERROR(Y292/H292,"0")</f>
        <v>92</v>
      </c>
      <c r="Z293" s="43">
        <f>IFERROR(IF(Z291="",0,Z291),"0")+IFERROR(IF(Z292="",0,Z292),"0")</f>
        <v>0.59892000000000001</v>
      </c>
      <c r="AA293" s="67"/>
      <c r="AB293" s="67"/>
      <c r="AC293" s="67"/>
    </row>
    <row r="294" spans="1:68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220</v>
      </c>
      <c r="Y294" s="43">
        <f>IFERROR(SUM(Y291:Y292),"0")</f>
        <v>220.79999999999998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50</v>
      </c>
      <c r="Y299" s="55">
        <f t="shared" si="49"/>
        <v>58</v>
      </c>
      <c r="Z299" s="41">
        <f>IFERROR(IF(Y299=0,"",ROUNDUP(Y299/H299,0)*0.01898),"")</f>
        <v>9.4899999999999998E-2</v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51.767241379310349</v>
      </c>
      <c r="BN299" s="78">
        <f t="shared" si="51"/>
        <v>60.050000000000004</v>
      </c>
      <c r="BO299" s="78">
        <f t="shared" si="52"/>
        <v>6.7349137931034489E-2</v>
      </c>
      <c r="BP299" s="78">
        <f t="shared" si="53"/>
        <v>7.8125E-2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20</v>
      </c>
      <c r="Y300" s="55">
        <f t="shared" si="49"/>
        <v>20</v>
      </c>
      <c r="Z300" s="41">
        <f>IFERROR(IF(Y300=0,"",ROUNDUP(Y300/H300,0)*0.00902),"")</f>
        <v>4.5100000000000001E-2</v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20.950000000000003</v>
      </c>
      <c r="BN300" s="78">
        <f t="shared" si="51"/>
        <v>20.950000000000003</v>
      </c>
      <c r="BO300" s="78">
        <f t="shared" si="52"/>
        <v>3.787878787878788E-2</v>
      </c>
      <c r="BP300" s="78">
        <f t="shared" si="53"/>
        <v>3.787878787878788E-2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80</v>
      </c>
      <c r="Y303" s="55">
        <f t="shared" si="49"/>
        <v>80</v>
      </c>
      <c r="Z303" s="41">
        <f>IFERROR(IF(Y303=0,"",ROUNDUP(Y303/H303,0)*0.00902),"")</f>
        <v>0.1804</v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83.800000000000011</v>
      </c>
      <c r="BN303" s="78">
        <f t="shared" si="51"/>
        <v>83.800000000000011</v>
      </c>
      <c r="BO303" s="78">
        <f t="shared" si="52"/>
        <v>0.15151515151515152</v>
      </c>
      <c r="BP303" s="78">
        <f t="shared" si="53"/>
        <v>0.15151515151515152</v>
      </c>
    </row>
    <row r="304" spans="1:68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29.310344827586206</v>
      </c>
      <c r="Y304" s="43">
        <f>IFERROR(Y297/H297,"0")+IFERROR(Y298/H298,"0")+IFERROR(Y299/H299,"0")+IFERROR(Y300/H300,"0")+IFERROR(Y301/H301,"0")+IFERROR(Y302/H302,"0")+IFERROR(Y303/H303,"0")</f>
        <v>30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0.32040000000000002</v>
      </c>
      <c r="AA304" s="67"/>
      <c r="AB304" s="67"/>
      <c r="AC304" s="67"/>
    </row>
    <row r="305" spans="1:68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150</v>
      </c>
      <c r="Y305" s="43">
        <f>IFERROR(SUM(Y297:Y303),"0")</f>
        <v>158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118.80000000000001</v>
      </c>
      <c r="Y307" s="55">
        <f>IFERROR(IF(X307="",0,CEILING((X307/$H307),1)*$H307),"")</f>
        <v>118.8</v>
      </c>
      <c r="Z307" s="41">
        <f>IFERROR(IF(Y307=0,"",ROUNDUP(Y307/H307,0)*0.00502),"")</f>
        <v>0.30120000000000002</v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124.80000000000003</v>
      </c>
      <c r="BN307" s="78">
        <f>IFERROR(Y307*I307/H307,"0")</f>
        <v>124.80000000000001</v>
      </c>
      <c r="BO307" s="78">
        <f>IFERROR(1/J307*(X307/H307),"0")</f>
        <v>0.25641025641025644</v>
      </c>
      <c r="BP307" s="78">
        <f>IFERROR(1/J307*(Y307/H307),"0")</f>
        <v>0.25641025641025644</v>
      </c>
    </row>
    <row r="308" spans="1:68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60.000000000000007</v>
      </c>
      <c r="Y308" s="43">
        <f>IFERROR(Y307/H307,"0")</f>
        <v>60</v>
      </c>
      <c r="Z308" s="43">
        <f>IFERROR(IF(Z307="",0,Z307),"0")</f>
        <v>0.30120000000000002</v>
      </c>
      <c r="AA308" s="67"/>
      <c r="AB308" s="67"/>
      <c r="AC308" s="67"/>
    </row>
    <row r="309" spans="1:68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118.80000000000001</v>
      </c>
      <c r="Y309" s="43">
        <f>IFERROR(SUM(Y307:Y307),"0")</f>
        <v>118.8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18</v>
      </c>
      <c r="Y311" s="55">
        <f>IFERROR(IF(X311="",0,CEILING((X311/$H311),1)*$H311),"")</f>
        <v>18</v>
      </c>
      <c r="Z311" s="41">
        <f>IFERROR(IF(Y311=0,"",ROUNDUP(Y311/H311,0)*0.0059),"")</f>
        <v>5.8999999999999997E-2</v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19.750000000000004</v>
      </c>
      <c r="BN311" s="78">
        <f>IFERROR(Y311*I311/H311,"0")</f>
        <v>19.750000000000004</v>
      </c>
      <c r="BO311" s="78">
        <f>IFERROR(1/J311*(X311/H311),"0")</f>
        <v>4.6296296296296294E-2</v>
      </c>
      <c r="BP311" s="78">
        <f>IFERROR(1/J311*(Y311/H311),"0")</f>
        <v>4.6296296296296294E-2</v>
      </c>
    </row>
    <row r="312" spans="1:68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10</v>
      </c>
      <c r="Y312" s="43">
        <f>IFERROR(Y311/H311,"0")</f>
        <v>10</v>
      </c>
      <c r="Z312" s="43">
        <f>IFERROR(IF(Z311="",0,Z311),"0")</f>
        <v>5.8999999999999997E-2</v>
      </c>
      <c r="AA312" s="67"/>
      <c r="AB312" s="67"/>
      <c r="AC312" s="67"/>
    </row>
    <row r="313" spans="1:68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18</v>
      </c>
      <c r="Y313" s="43">
        <f>IFERROR(SUM(Y311:Y311),"0")</f>
        <v>18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24</v>
      </c>
      <c r="Y316" s="55">
        <f>IFERROR(IF(X316="",0,CEILING((X316/$H316),1)*$H316),"")</f>
        <v>25.2</v>
      </c>
      <c r="Z316" s="41">
        <f>IFERROR(IF(Y316=0,"",ROUNDUP(Y316/H316,0)*0.0059),"")</f>
        <v>8.2599999999999993E-2</v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26.333333333333336</v>
      </c>
      <c r="BN316" s="78">
        <f>IFERROR(Y316*I316/H316,"0")</f>
        <v>27.650000000000002</v>
      </c>
      <c r="BO316" s="78">
        <f>IFERROR(1/J316*(X316/H316),"0")</f>
        <v>6.1728395061728385E-2</v>
      </c>
      <c r="BP316" s="78">
        <f>IFERROR(1/J316*(Y316/H316),"0")</f>
        <v>6.4814814814814811E-2</v>
      </c>
    </row>
    <row r="317" spans="1:68" ht="27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2.5</v>
      </c>
      <c r="Y317" s="55">
        <f>IFERROR(IF(X317="",0,CEILING((X317/$H317),1)*$H317),"")</f>
        <v>2.7</v>
      </c>
      <c r="Z317" s="41">
        <f>IFERROR(IF(Y317=0,"",ROUNDUP(Y317/H317,0)*0.0059),"")</f>
        <v>1.77E-2</v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3.0277777777777777</v>
      </c>
      <c r="BN317" s="78">
        <f>IFERROR(Y317*I317/H317,"0")</f>
        <v>3.2700000000000005</v>
      </c>
      <c r="BO317" s="78">
        <f>IFERROR(1/J317*(X317/H317),"0")</f>
        <v>1.2860082304526748E-2</v>
      </c>
      <c r="BP317" s="78">
        <f>IFERROR(1/J317*(Y317/H317),"0")</f>
        <v>1.3888888888888888E-2</v>
      </c>
    </row>
    <row r="318" spans="1:68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16.111111111111111</v>
      </c>
      <c r="Y318" s="43">
        <f>IFERROR(Y315/H315,"0")+IFERROR(Y316/H316,"0")+IFERROR(Y317/H317,"0")</f>
        <v>17</v>
      </c>
      <c r="Z318" s="43">
        <f>IFERROR(IF(Z315="",0,Z315),"0")+IFERROR(IF(Z316="",0,Z316),"0")+IFERROR(IF(Z317="",0,Z317),"0")</f>
        <v>0.1003</v>
      </c>
      <c r="AA318" s="67"/>
      <c r="AB318" s="67"/>
      <c r="AC318" s="67"/>
    </row>
    <row r="319" spans="1:68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26.5</v>
      </c>
      <c r="Y319" s="43">
        <f>IFERROR(SUM(Y315:Y317),"0")</f>
        <v>27.9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60</v>
      </c>
      <c r="Y332" s="55">
        <f>IFERROR(IF(X332="",0,CEILING((X332/$H332),1)*$H332),"")</f>
        <v>60</v>
      </c>
      <c r="Z332" s="41">
        <f>IFERROR(IF(Y332=0,"",ROUNDUP(Y332/H332,0)*0.00651),"")</f>
        <v>0.16275000000000001</v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66.300000000000011</v>
      </c>
      <c r="BN332" s="78">
        <f>IFERROR(Y332*I332/H332,"0")</f>
        <v>66.300000000000011</v>
      </c>
      <c r="BO332" s="78">
        <f>IFERROR(1/J332*(X332/H332),"0")</f>
        <v>0.13736263736263737</v>
      </c>
      <c r="BP332" s="78">
        <f>IFERROR(1/J332*(Y332/H332),"0")</f>
        <v>0.13736263736263737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200</v>
      </c>
      <c r="Y333" s="55">
        <f>IFERROR(IF(X333="",0,CEILING((X333/$H333),1)*$H333),"")</f>
        <v>201.6</v>
      </c>
      <c r="Z333" s="41">
        <f>IFERROR(IF(Y333=0,"",ROUNDUP(Y333/H333,0)*0.00651),"")</f>
        <v>0.54683999999999999</v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215</v>
      </c>
      <c r="BN333" s="78">
        <f>IFERROR(Y333*I333/H333,"0")</f>
        <v>216.72000000000003</v>
      </c>
      <c r="BO333" s="78">
        <f>IFERROR(1/J333*(X333/H333),"0")</f>
        <v>0.45787545787545797</v>
      </c>
      <c r="BP333" s="78">
        <f>IFERROR(1/J333*(Y333/H333),"0")</f>
        <v>0.46153846153846156</v>
      </c>
    </row>
    <row r="334" spans="1:68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108.33333333333334</v>
      </c>
      <c r="Y334" s="43">
        <f>IFERROR(Y331/H331,"0")+IFERROR(Y332/H332,"0")+IFERROR(Y333/H333,"0")</f>
        <v>109</v>
      </c>
      <c r="Z334" s="43">
        <f>IFERROR(IF(Z331="",0,Z331),"0")+IFERROR(IF(Z332="",0,Z332),"0")+IFERROR(IF(Z333="",0,Z333),"0")</f>
        <v>0.70958999999999994</v>
      </c>
      <c r="AA334" s="67"/>
      <c r="AB334" s="67"/>
      <c r="AC334" s="67"/>
    </row>
    <row r="335" spans="1:68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260</v>
      </c>
      <c r="Y335" s="43">
        <f>IFERROR(SUM(Y331:Y333),"0")</f>
        <v>261.60000000000002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300</v>
      </c>
      <c r="Y352" s="55">
        <f>IFERROR(IF(X352="",0,CEILING((X352/$H352),1)*$H352),"")</f>
        <v>304.2</v>
      </c>
      <c r="Z352" s="41">
        <f>IFERROR(IF(Y352=0,"",ROUNDUP(Y352/H352,0)*0.01898),"")</f>
        <v>0.74021999999999999</v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315.76923076923083</v>
      </c>
      <c r="BN352" s="78">
        <f>IFERROR(Y352*I352/H352,"0")</f>
        <v>320.19</v>
      </c>
      <c r="BO352" s="78">
        <f>IFERROR(1/J352*(X352/H352),"0")</f>
        <v>0.60096153846153844</v>
      </c>
      <c r="BP352" s="78">
        <f>IFERROR(1/J352*(Y352/H352),"0")</f>
        <v>0.609375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300</v>
      </c>
      <c r="Y353" s="55">
        <f>IFERROR(IF(X353="",0,CEILING((X353/$H353),1)*$H353),"")</f>
        <v>304.2</v>
      </c>
      <c r="Z353" s="41">
        <f>IFERROR(IF(Y353=0,"",ROUNDUP(Y353/H353,0)*0.01898),"")</f>
        <v>0.74021999999999999</v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315.76923076923083</v>
      </c>
      <c r="BN353" s="78">
        <f>IFERROR(Y353*I353/H353,"0")</f>
        <v>320.19</v>
      </c>
      <c r="BO353" s="78">
        <f>IFERROR(1/J353*(X353/H353),"0")</f>
        <v>0.60096153846153844</v>
      </c>
      <c r="BP353" s="78">
        <f>IFERROR(1/J353*(Y353/H353),"0")</f>
        <v>0.609375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60</v>
      </c>
      <c r="Y354" s="55">
        <f>IFERROR(IF(X354="",0,CEILING((X354/$H354),1)*$H354),"")</f>
        <v>62.4</v>
      </c>
      <c r="Z354" s="41">
        <f>IFERROR(IF(Y354=0,"",ROUNDUP(Y354/H354,0)*0.01898),"")</f>
        <v>0.15184</v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63.15384615384616</v>
      </c>
      <c r="BN354" s="78">
        <f>IFERROR(Y354*I354/H354,"0")</f>
        <v>65.680000000000007</v>
      </c>
      <c r="BO354" s="78">
        <f>IFERROR(1/J354*(X354/H354),"0")</f>
        <v>0.1201923076923077</v>
      </c>
      <c r="BP354" s="78">
        <f>IFERROR(1/J354*(Y354/H354),"0")</f>
        <v>0.125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84.615384615384613</v>
      </c>
      <c r="Y355" s="43">
        <f>IFERROR(Y352/H352,"0")+IFERROR(Y353/H353,"0")+IFERROR(Y354/H354,"0")</f>
        <v>86</v>
      </c>
      <c r="Z355" s="43">
        <f>IFERROR(IF(Z352="",0,Z352),"0")+IFERROR(IF(Z353="",0,Z353),"0")+IFERROR(IF(Z354="",0,Z354),"0")</f>
        <v>1.63228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660</v>
      </c>
      <c r="Y356" s="43">
        <f>IFERROR(SUM(Y352:Y354),"0")</f>
        <v>670.8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30</v>
      </c>
      <c r="Y359" s="55">
        <f t="shared" ref="Y359:Y364" si="54">IFERROR(IF(X359="",0,CEILING((X359/$H359),1)*$H359),"")</f>
        <v>32.400000000000006</v>
      </c>
      <c r="Z359" s="41">
        <f>IFERROR(IF(Y359=0,"",ROUNDUP(Y359/H359,0)*0.01898),"")</f>
        <v>5.6940000000000004E-2</v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31.138888888888889</v>
      </c>
      <c r="BN359" s="78">
        <f t="shared" ref="BN359:BN364" si="56">IFERROR(Y359*I359/H359,"0")</f>
        <v>33.630000000000003</v>
      </c>
      <c r="BO359" s="78">
        <f t="shared" ref="BO359:BO364" si="57">IFERROR(1/J359*(X359/H359),"0")</f>
        <v>4.3402777777777776E-2</v>
      </c>
      <c r="BP359" s="78">
        <f t="shared" ref="BP359:BP364" si="58">IFERROR(1/J359*(Y359/H359),"0")</f>
        <v>4.6875000000000007E-2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2.7777777777777777</v>
      </c>
      <c r="Y365" s="43">
        <f>IFERROR(Y359/H359,"0")+IFERROR(Y360/H360,"0")+IFERROR(Y361/H361,"0")+IFERROR(Y362/H362,"0")+IFERROR(Y363/H363,"0")+IFERROR(Y364/H364,"0")</f>
        <v>3.0000000000000004</v>
      </c>
      <c r="Z365" s="43">
        <f>IFERROR(IF(Z359="",0,Z359),"0")+IFERROR(IF(Z360="",0,Z360),"0")+IFERROR(IF(Z361="",0,Z361),"0")+IFERROR(IF(Z362="",0,Z362),"0")+IFERROR(IF(Z363="",0,Z363),"0")+IFERROR(IF(Z364="",0,Z364),"0")</f>
        <v>5.6940000000000004E-2</v>
      </c>
      <c r="AA365" s="67"/>
      <c r="AB365" s="67"/>
      <c r="AC365" s="67"/>
    </row>
    <row r="366" spans="1:68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30</v>
      </c>
      <c r="Y366" s="43">
        <f>IFERROR(SUM(Y359:Y364),"0")</f>
        <v>32.400000000000006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350</v>
      </c>
      <c r="Y372" s="55">
        <f t="shared" si="59"/>
        <v>350.7</v>
      </c>
      <c r="Z372" s="41">
        <f>IFERROR(IF(Y372=0,"",ROUNDUP(Y372/H372,0)*0.00502),"")</f>
        <v>0.83833999999999997</v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366.66666666666669</v>
      </c>
      <c r="BN372" s="78">
        <f t="shared" si="61"/>
        <v>367.40000000000003</v>
      </c>
      <c r="BO372" s="78">
        <f t="shared" si="62"/>
        <v>0.71225071225071224</v>
      </c>
      <c r="BP372" s="78">
        <f t="shared" si="63"/>
        <v>0.71367521367521369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166.66666666666666</v>
      </c>
      <c r="Y375" s="43">
        <f>IFERROR(Y368/H368,"0")+IFERROR(Y369/H369,"0")+IFERROR(Y370/H370,"0")+IFERROR(Y371/H371,"0")+IFERROR(Y372/H372,"0")+IFERROR(Y373/H373,"0")+IFERROR(Y374/H374,"0")</f>
        <v>167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0.83833999999999997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350</v>
      </c>
      <c r="Y376" s="43">
        <f>IFERROR(SUM(Y368:Y374),"0")</f>
        <v>350.7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550</v>
      </c>
      <c r="Y385" s="55">
        <f>IFERROR(IF(X385="",0,CEILING((X385/$H385),1)*$H385),"")</f>
        <v>554.4</v>
      </c>
      <c r="Z385" s="41">
        <f>IFERROR(IF(Y385=0,"",ROUNDUP(Y385/H385,0)*0.01898),"")</f>
        <v>1.25268</v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582.34523809523807</v>
      </c>
      <c r="BN385" s="78">
        <f>IFERROR(Y385*I385/H385,"0")</f>
        <v>587.00400000000002</v>
      </c>
      <c r="BO385" s="78">
        <f>IFERROR(1/J385*(X385/H385),"0")</f>
        <v>1.0230654761904761</v>
      </c>
      <c r="BP385" s="78">
        <f>IFERROR(1/J385*(Y385/H385),"0")</f>
        <v>1.03125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650</v>
      </c>
      <c r="Y386" s="55">
        <f>IFERROR(IF(X386="",0,CEILING((X386/$H386),1)*$H386),"")</f>
        <v>655.19999999999993</v>
      </c>
      <c r="Z386" s="41">
        <f>IFERROR(IF(Y386=0,"",ROUNDUP(Y386/H386,0)*0.01898),"")</f>
        <v>1.59432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691.16666666666674</v>
      </c>
      <c r="BN386" s="78">
        <f>IFERROR(Y386*I386/H386,"0")</f>
        <v>696.69600000000003</v>
      </c>
      <c r="BO386" s="78">
        <f>IFERROR(1/J386*(X386/H386),"0")</f>
        <v>1.3020833333333333</v>
      </c>
      <c r="BP386" s="78">
        <f>IFERROR(1/J386*(Y386/H386),"0")</f>
        <v>1.3125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120</v>
      </c>
      <c r="Y387" s="55">
        <f>IFERROR(IF(X387="",0,CEILING((X387/$H387),1)*$H387),"")</f>
        <v>126</v>
      </c>
      <c r="Z387" s="41">
        <f>IFERROR(IF(Y387=0,"",ROUNDUP(Y387/H387,0)*0.01898),"")</f>
        <v>0.28470000000000001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127.05714285714285</v>
      </c>
      <c r="BN387" s="78">
        <f>IFERROR(Y387*I387/H387,"0")</f>
        <v>133.41</v>
      </c>
      <c r="BO387" s="78">
        <f>IFERROR(1/J387*(X387/H387),"0")</f>
        <v>0.2232142857142857</v>
      </c>
      <c r="BP387" s="78">
        <f>IFERROR(1/J387*(Y387/H387),"0")</f>
        <v>0.234375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163.09523809523807</v>
      </c>
      <c r="Y388" s="43">
        <f>IFERROR(Y385/H385,"0")+IFERROR(Y386/H386,"0")+IFERROR(Y387/H387,"0")</f>
        <v>165</v>
      </c>
      <c r="Z388" s="43">
        <f>IFERROR(IF(Z385="",0,Z385),"0")+IFERROR(IF(Z386="",0,Z386),"0")+IFERROR(IF(Z387="",0,Z387),"0")</f>
        <v>3.1316999999999999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1320</v>
      </c>
      <c r="Y389" s="43">
        <f>IFERROR(SUM(Y385:Y387),"0")</f>
        <v>1335.6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51.000000000000007</v>
      </c>
      <c r="Y393" s="55">
        <f>IFERROR(IF(X393="",0,CEILING((X393/$H393),1)*$H393),"")</f>
        <v>51</v>
      </c>
      <c r="Z393" s="41">
        <f>IFERROR(IF(Y393=0,"",ROUNDUP(Y393/H393,0)*0.00651),"")</f>
        <v>0.13020000000000001</v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59.100000000000009</v>
      </c>
      <c r="BN393" s="78">
        <f>IFERROR(Y393*I393/H393,"0")</f>
        <v>59.100000000000009</v>
      </c>
      <c r="BO393" s="78">
        <f>IFERROR(1/J393*(X393/H393),"0")</f>
        <v>0.10989010989010992</v>
      </c>
      <c r="BP393" s="78">
        <f>IFERROR(1/J393*(Y393/H393),"0")</f>
        <v>0.1098901098901099</v>
      </c>
    </row>
    <row r="394" spans="1:68" ht="27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170</v>
      </c>
      <c r="Y394" s="55">
        <f>IFERROR(IF(X394="",0,CEILING((X394/$H394),1)*$H394),"")</f>
        <v>170.85</v>
      </c>
      <c r="Z394" s="41">
        <f>IFERROR(IF(Y394=0,"",ROUNDUP(Y394/H394,0)*0.00651),"")</f>
        <v>0.43617</v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192</v>
      </c>
      <c r="BN394" s="78">
        <f>IFERROR(Y394*I394/H394,"0")</f>
        <v>192.95999999999998</v>
      </c>
      <c r="BO394" s="78">
        <f>IFERROR(1/J394*(X394/H394),"0")</f>
        <v>0.36630036630036633</v>
      </c>
      <c r="BP394" s="78">
        <f>IFERROR(1/J394*(Y394/H394),"0")</f>
        <v>0.36813186813186816</v>
      </c>
    </row>
    <row r="395" spans="1:68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86.666666666666671</v>
      </c>
      <c r="Y395" s="43">
        <f>IFERROR(Y391/H391,"0")+IFERROR(Y392/H392,"0")+IFERROR(Y393/H393,"0")+IFERROR(Y394/H394,"0")</f>
        <v>87</v>
      </c>
      <c r="Z395" s="43">
        <f>IFERROR(IF(Z391="",0,Z391),"0")+IFERROR(IF(Z392="",0,Z392),"0")+IFERROR(IF(Z393="",0,Z393),"0")+IFERROR(IF(Z394="",0,Z394),"0")</f>
        <v>0.56637000000000004</v>
      </c>
      <c r="AA395" s="67"/>
      <c r="AB395" s="67"/>
      <c r="AC395" s="67"/>
    </row>
    <row r="396" spans="1:68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221</v>
      </c>
      <c r="Y396" s="43">
        <f>IFERROR(SUM(Y391:Y394),"0")</f>
        <v>221.85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100</v>
      </c>
      <c r="Y400" s="55">
        <f>IFERROR(IF(X400="",0,CEILING((X400/$H400),1)*$H400),"")</f>
        <v>100</v>
      </c>
      <c r="Z400" s="41">
        <f>IFERROR(IF(Y400=0,"",ROUNDUP(Y400/H400,0)*0.00474),"")</f>
        <v>0.23700000000000002</v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112.00000000000001</v>
      </c>
      <c r="BN400" s="78">
        <f>IFERROR(Y400*I400/H400,"0")</f>
        <v>112.00000000000001</v>
      </c>
      <c r="BO400" s="78">
        <f>IFERROR(1/J400*(X400/H400),"0")</f>
        <v>0.21008403361344538</v>
      </c>
      <c r="BP400" s="78">
        <f>IFERROR(1/J400*(Y400/H400),"0")</f>
        <v>0.21008403361344538</v>
      </c>
    </row>
    <row r="401" spans="1:68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50</v>
      </c>
      <c r="Y401" s="43">
        <f>IFERROR(Y398/H398,"0")+IFERROR(Y399/H399,"0")+IFERROR(Y400/H400,"0")</f>
        <v>50</v>
      </c>
      <c r="Z401" s="43">
        <f>IFERROR(IF(Z398="",0,Z398),"0")+IFERROR(IF(Z399="",0,Z399),"0")+IFERROR(IF(Z400="",0,Z400),"0")</f>
        <v>0.23700000000000002</v>
      </c>
      <c r="AA401" s="67"/>
      <c r="AB401" s="67"/>
      <c r="AC401" s="67"/>
    </row>
    <row r="402" spans="1:68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100</v>
      </c>
      <c r="Y402" s="43">
        <f>IFERROR(SUM(Y398:Y400),"0")</f>
        <v>100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400</v>
      </c>
      <c r="Y429" s="55">
        <f t="shared" si="64"/>
        <v>405</v>
      </c>
      <c r="Z429" s="41">
        <f>IFERROR(IF(Y429=0,"",ROUNDUP(Y429/H429,0)*0.02175),"")</f>
        <v>0.58724999999999994</v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412.53333333333336</v>
      </c>
      <c r="BN429" s="78">
        <f t="shared" si="66"/>
        <v>417.69</v>
      </c>
      <c r="BO429" s="78">
        <f t="shared" si="67"/>
        <v>0.55555555555555558</v>
      </c>
      <c r="BP429" s="78">
        <f t="shared" si="68"/>
        <v>0.5625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26.666666666666668</v>
      </c>
      <c r="Y433" s="43">
        <f>IFERROR(Y425/H425,"0")+IFERROR(Y426/H426,"0")+IFERROR(Y427/H427,"0")+IFERROR(Y428/H428,"0")+IFERROR(Y429/H429,"0")+IFERROR(Y430/H430,"0")+IFERROR(Y431/H431,"0")+IFERROR(Y432/H432,"0")</f>
        <v>27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0.58724999999999994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400</v>
      </c>
      <c r="Y434" s="43">
        <f>IFERROR(SUM(Y425:Y432),"0")</f>
        <v>405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100</v>
      </c>
      <c r="Y437" s="55">
        <f>IFERROR(IF(X437="",0,CEILING((X437/$H437),1)*$H437),"")</f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103.13333333333334</v>
      </c>
      <c r="BN437" s="78">
        <f>IFERROR(Y437*I437/H437,"0")</f>
        <v>108.29</v>
      </c>
      <c r="BO437" s="78">
        <f>IFERROR(1/J437*(X437/H437),"0")</f>
        <v>0.1388888888888889</v>
      </c>
      <c r="BP437" s="78">
        <f>IFERROR(1/J437*(Y437/H437),"0")</f>
        <v>0.14583333333333331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6.666666666666667</v>
      </c>
      <c r="Y439" s="43">
        <f>IFERROR(Y436/H436,"0")+IFERROR(Y437/H437,"0")+IFERROR(Y438/H438,"0")</f>
        <v>7</v>
      </c>
      <c r="Z439" s="43">
        <f>IFERROR(IF(Z436="",0,Z436),"0")+IFERROR(IF(Z437="",0,Z437),"0")+IFERROR(IF(Z438="",0,Z438),"0")</f>
        <v>0.15225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100</v>
      </c>
      <c r="Y440" s="43">
        <f>IFERROR(SUM(Y436:Y438),"0")</f>
        <v>105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50</v>
      </c>
      <c r="Y443" s="55">
        <f>IFERROR(IF(X443="",0,CEILING((X443/$H443),1)*$H443),"")</f>
        <v>54</v>
      </c>
      <c r="Z443" s="41">
        <f>IFERROR(IF(Y443=0,"",ROUNDUP(Y443/H443,0)*0.01898),"")</f>
        <v>0.11388000000000001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52.74444444444444</v>
      </c>
      <c r="BN443" s="78">
        <f>IFERROR(Y443*I443/H443,"0")</f>
        <v>56.963999999999992</v>
      </c>
      <c r="BO443" s="78">
        <f>IFERROR(1/J443*(X443/H443),"0")</f>
        <v>8.6805555555555552E-2</v>
      </c>
      <c r="BP443" s="78">
        <f>IFERROR(1/J443*(Y443/H443),"0")</f>
        <v>9.375E-2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5.5555555555555554</v>
      </c>
      <c r="Y445" s="43">
        <f>IFERROR(Y442/H442,"0")+IFERROR(Y443/H443,"0")+IFERROR(Y444/H444,"0")</f>
        <v>6</v>
      </c>
      <c r="Z445" s="43">
        <f>IFERROR(IF(Z442="",0,Z442),"0")+IFERROR(IF(Z443="",0,Z443),"0")+IFERROR(IF(Z444="",0,Z444),"0")</f>
        <v>0.11388000000000001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50</v>
      </c>
      <c r="Y446" s="43">
        <f>IFERROR(SUM(Y442:Y444),"0")</f>
        <v>54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50</v>
      </c>
      <c r="Y449" s="55">
        <f>IFERROR(IF(X449="",0,CEILING((X449/$H449),1)*$H449),"")</f>
        <v>54</v>
      </c>
      <c r="Z449" s="41">
        <f>IFERROR(IF(Y449=0,"",ROUNDUP(Y449/H449,0)*0.01898),"")</f>
        <v>0.11388000000000001</v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52.74444444444444</v>
      </c>
      <c r="BN449" s="78">
        <f>IFERROR(Y449*I449/H449,"0")</f>
        <v>56.963999999999992</v>
      </c>
      <c r="BO449" s="78">
        <f>IFERROR(1/J449*(X449/H449),"0")</f>
        <v>8.6805555555555552E-2</v>
      </c>
      <c r="BP449" s="78">
        <f>IFERROR(1/J449*(Y449/H449),"0")</f>
        <v>9.375E-2</v>
      </c>
    </row>
    <row r="450" spans="1:68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5.5555555555555554</v>
      </c>
      <c r="Y450" s="43">
        <f>IFERROR(Y448/H448,"0")+IFERROR(Y449/H449,"0")</f>
        <v>6</v>
      </c>
      <c r="Z450" s="43">
        <f>IFERROR(IF(Z448="",0,Z448),"0")+IFERROR(IF(Z449="",0,Z449),"0")</f>
        <v>0.11388000000000001</v>
      </c>
      <c r="AA450" s="67"/>
      <c r="AB450" s="67"/>
      <c r="AC450" s="67"/>
    </row>
    <row r="451" spans="1:68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50</v>
      </c>
      <c r="Y451" s="43">
        <f>IFERROR(SUM(Y448:Y449),"0")</f>
        <v>54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50</v>
      </c>
      <c r="Y463" s="55">
        <f>IFERROR(IF(X463="",0,CEILING((X463/$H463),1)*$H463),"")</f>
        <v>54</v>
      </c>
      <c r="Z463" s="41">
        <f>IFERROR(IF(Y463=0,"",ROUNDUP(Y463/H463,0)*0.01898),"")</f>
        <v>0.11388000000000001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52.74444444444444</v>
      </c>
      <c r="BN463" s="78">
        <f>IFERROR(Y463*I463/H463,"0")</f>
        <v>56.963999999999992</v>
      </c>
      <c r="BO463" s="78">
        <f>IFERROR(1/J463*(X463/H463),"0")</f>
        <v>8.6805555555555552E-2</v>
      </c>
      <c r="BP463" s="78">
        <f>IFERROR(1/J463*(Y463/H463),"0")</f>
        <v>9.375E-2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5.5555555555555554</v>
      </c>
      <c r="Y466" s="43">
        <f>IFERROR(Y463/H463,"0")+IFERROR(Y464/H464,"0")+IFERROR(Y465/H465,"0")</f>
        <v>6</v>
      </c>
      <c r="Z466" s="43">
        <f>IFERROR(IF(Z463="",0,Z463),"0")+IFERROR(IF(Z464="",0,Z464),"0")+IFERROR(IF(Z465="",0,Z465),"0")</f>
        <v>0.11388000000000001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50</v>
      </c>
      <c r="Y467" s="43">
        <f>IFERROR(SUM(Y463:Y465),"0")</f>
        <v>54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60</v>
      </c>
      <c r="Y498" s="55">
        <f t="shared" ref="Y498:Y506" si="74">IFERROR(IF(X498="",0,CEILING((X498/$H498),1)*$H498),"")</f>
        <v>63.36</v>
      </c>
      <c r="Z498" s="41">
        <f t="shared" ref="Z498:Z503" si="75">IFERROR(IF(Y498=0,"",ROUNDUP(Y498/H498,0)*0.01196),"")</f>
        <v>0.14352000000000001</v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63.977272727272727</v>
      </c>
      <c r="BN498" s="78">
        <f t="shared" ref="BN498:BN506" si="77">IFERROR(Y498*I498/H498,"0")</f>
        <v>67.559999999999988</v>
      </c>
      <c r="BO498" s="78">
        <f t="shared" ref="BO498:BO506" si="78">IFERROR(1/J498*(X498/H498),"0")</f>
        <v>0.10926573426573427</v>
      </c>
      <c r="BP498" s="78">
        <f t="shared" ref="BP498:BP506" si="79">IFERROR(1/J498*(Y498/H498),"0")</f>
        <v>0.11538461538461539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60</v>
      </c>
      <c r="Y501" s="55">
        <f t="shared" si="74"/>
        <v>63.36</v>
      </c>
      <c r="Z501" s="41">
        <f t="shared" si="75"/>
        <v>0.14352000000000001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63.977272727272727</v>
      </c>
      <c r="BN501" s="78">
        <f t="shared" si="77"/>
        <v>67.559999999999988</v>
      </c>
      <c r="BO501" s="78">
        <f t="shared" si="78"/>
        <v>0.10926573426573427</v>
      </c>
      <c r="BP501" s="78">
        <f t="shared" si="79"/>
        <v>0.11538461538461539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108</v>
      </c>
      <c r="Y505" s="55">
        <f t="shared" si="74"/>
        <v>110.39999999999999</v>
      </c>
      <c r="Z505" s="41">
        <f>IFERROR(IF(Y505=0,"",ROUNDUP(Y505/H505,0)*0.00902),"")</f>
        <v>0.20746000000000001</v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155.47499999999999</v>
      </c>
      <c r="BN505" s="78">
        <f t="shared" si="77"/>
        <v>158.92999999999998</v>
      </c>
      <c r="BO505" s="78">
        <f t="shared" si="78"/>
        <v>0.17045454545454547</v>
      </c>
      <c r="BP505" s="78">
        <f t="shared" si="79"/>
        <v>0.17424242424242425</v>
      </c>
    </row>
    <row r="506" spans="1:68" ht="27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360</v>
      </c>
      <c r="Y506" s="55">
        <f t="shared" si="74"/>
        <v>360</v>
      </c>
      <c r="Z506" s="41">
        <f>IFERROR(IF(Y506=0,"",ROUNDUP(Y506/H506,0)*0.00902),"")</f>
        <v>0.67649999999999999</v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518.25</v>
      </c>
      <c r="BN506" s="78">
        <f t="shared" si="77"/>
        <v>518.25</v>
      </c>
      <c r="BO506" s="78">
        <f t="shared" si="78"/>
        <v>0.56818181818181823</v>
      </c>
      <c r="BP506" s="78">
        <f t="shared" si="79"/>
        <v>0.56818181818181823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120.22727272727272</v>
      </c>
      <c r="Y507" s="43">
        <f>IFERROR(Y498/H498,"0")+IFERROR(Y499/H499,"0")+IFERROR(Y500/H500,"0")+IFERROR(Y501/H501,"0")+IFERROR(Y502/H502,"0")+IFERROR(Y503/H503,"0")+IFERROR(Y504/H504,"0")+IFERROR(Y505/H505,"0")+IFERROR(Y506/H506,"0")</f>
        <v>122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1.171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588</v>
      </c>
      <c r="Y508" s="43">
        <f>IFERROR(SUM(Y498:Y506),"0")</f>
        <v>597.12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160</v>
      </c>
      <c r="Y510" s="55">
        <f>IFERROR(IF(X510="",0,CEILING((X510/$H510),1)*$H510),"")</f>
        <v>163.68</v>
      </c>
      <c r="Z510" s="41">
        <f>IFERROR(IF(Y510=0,"",ROUNDUP(Y510/H510,0)*0.01196),"")</f>
        <v>0.37075999999999998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170.60606060606059</v>
      </c>
      <c r="BN510" s="78">
        <f>IFERROR(Y510*I510/H510,"0")</f>
        <v>174.53</v>
      </c>
      <c r="BO510" s="78">
        <f>IFERROR(1/J510*(X510/H510),"0")</f>
        <v>0.29137529137529139</v>
      </c>
      <c r="BP510" s="78">
        <f>IFERROR(1/J510*(Y510/H510),"0")</f>
        <v>0.29807692307692307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144</v>
      </c>
      <c r="Y512" s="55">
        <f>IFERROR(IF(X512="",0,CEILING((X512/$H512),1)*$H512),"")</f>
        <v>144</v>
      </c>
      <c r="Z512" s="41">
        <f>IFERROR(IF(Y512=0,"",ROUNDUP(Y512/H512,0)*0.00902),"")</f>
        <v>0.27060000000000001</v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207.3</v>
      </c>
      <c r="BN512" s="78">
        <f>IFERROR(Y512*I512/H512,"0")</f>
        <v>207.3</v>
      </c>
      <c r="BO512" s="78">
        <f>IFERROR(1/J512*(X512/H512),"0")</f>
        <v>0.22727272727272729</v>
      </c>
      <c r="BP512" s="78">
        <f>IFERROR(1/J512*(Y512/H512),"0")</f>
        <v>0.22727272727272729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60.303030303030297</v>
      </c>
      <c r="Y513" s="43">
        <f>IFERROR(Y510/H510,"0")+IFERROR(Y511/H511,"0")+IFERROR(Y512/H512,"0")</f>
        <v>61</v>
      </c>
      <c r="Z513" s="43">
        <f>IFERROR(IF(Z510="",0,Z510),"0")+IFERROR(IF(Z511="",0,Z511),"0")+IFERROR(IF(Z512="",0,Z512),"0")</f>
        <v>0.64135999999999993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304</v>
      </c>
      <c r="Y514" s="43">
        <f>IFERROR(SUM(Y510:Y512),"0")</f>
        <v>307.68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80</v>
      </c>
      <c r="Y516" s="55">
        <f t="shared" ref="Y516:Y522" si="80">IFERROR(IF(X516="",0,CEILING((X516/$H516),1)*$H516),"")</f>
        <v>84.48</v>
      </c>
      <c r="Z516" s="41">
        <f>IFERROR(IF(Y516=0,"",ROUNDUP(Y516/H516,0)*0.01196),"")</f>
        <v>0.19136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85.303030303030297</v>
      </c>
      <c r="BN516" s="78">
        <f t="shared" ref="BN516:BN522" si="82">IFERROR(Y516*I516/H516,"0")</f>
        <v>90.08</v>
      </c>
      <c r="BO516" s="78">
        <f t="shared" ref="BO516:BO522" si="83">IFERROR(1/J516*(X516/H516),"0")</f>
        <v>0.14568764568764569</v>
      </c>
      <c r="BP516" s="78">
        <f t="shared" ref="BP516:BP522" si="84">IFERROR(1/J516*(Y516/H516),"0")</f>
        <v>0.15384615384615385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60</v>
      </c>
      <c r="Y517" s="55">
        <f t="shared" si="80"/>
        <v>63.36</v>
      </c>
      <c r="Z517" s="41">
        <f>IFERROR(IF(Y517=0,"",ROUNDUP(Y517/H517,0)*0.01196),"")</f>
        <v>0.14352000000000001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63.977272727272727</v>
      </c>
      <c r="BN517" s="78">
        <f t="shared" si="82"/>
        <v>67.559999999999988</v>
      </c>
      <c r="BO517" s="78">
        <f t="shared" si="83"/>
        <v>0.10926573426573427</v>
      </c>
      <c r="BP517" s="78">
        <f t="shared" si="84"/>
        <v>0.11538461538461539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380</v>
      </c>
      <c r="Y518" s="55">
        <f t="shared" si="80"/>
        <v>380.16</v>
      </c>
      <c r="Z518" s="41">
        <f>IFERROR(IF(Y518=0,"",ROUNDUP(Y518/H518,0)*0.01196),"")</f>
        <v>0.86112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405.18939393939394</v>
      </c>
      <c r="BN518" s="78">
        <f t="shared" si="82"/>
        <v>405.35999999999996</v>
      </c>
      <c r="BO518" s="78">
        <f t="shared" si="83"/>
        <v>0.69201631701631705</v>
      </c>
      <c r="BP518" s="78">
        <f t="shared" si="84"/>
        <v>0.69230769230769229</v>
      </c>
    </row>
    <row r="519" spans="1:68" ht="27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72</v>
      </c>
      <c r="Y519" s="55">
        <f t="shared" si="80"/>
        <v>72</v>
      </c>
      <c r="Z519" s="41">
        <f>IFERROR(IF(Y519=0,"",ROUNDUP(Y519/H519,0)*0.00902),"")</f>
        <v>0.1353</v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103.65</v>
      </c>
      <c r="BN519" s="78">
        <f t="shared" si="82"/>
        <v>103.65</v>
      </c>
      <c r="BO519" s="78">
        <f t="shared" si="83"/>
        <v>0.11363636363636365</v>
      </c>
      <c r="BP519" s="78">
        <f t="shared" si="84"/>
        <v>0.11363636363636365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18</v>
      </c>
      <c r="Y521" s="55">
        <f t="shared" si="80"/>
        <v>19.2</v>
      </c>
      <c r="Z521" s="41">
        <f>IFERROR(IF(Y521=0,"",ROUNDUP(Y521/H521,0)*0.00902),"")</f>
        <v>3.6080000000000001E-2</v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25.012500000000003</v>
      </c>
      <c r="BN521" s="78">
        <f t="shared" si="82"/>
        <v>26.68</v>
      </c>
      <c r="BO521" s="78">
        <f t="shared" si="83"/>
        <v>2.8409090909090912E-2</v>
      </c>
      <c r="BP521" s="78">
        <f t="shared" si="84"/>
        <v>3.0303030303030304E-2</v>
      </c>
    </row>
    <row r="522" spans="1:68" ht="27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210</v>
      </c>
      <c r="Y522" s="55">
        <f t="shared" si="80"/>
        <v>211.2</v>
      </c>
      <c r="Z522" s="41">
        <f>IFERROR(IF(Y522=0,"",ROUNDUP(Y522/H522,0)*0.00902),"")</f>
        <v>0.39688000000000001</v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291.8125</v>
      </c>
      <c r="BN522" s="78">
        <f t="shared" si="82"/>
        <v>293.48</v>
      </c>
      <c r="BO522" s="78">
        <f t="shared" si="83"/>
        <v>0.33143939393939392</v>
      </c>
      <c r="BP522" s="78">
        <f t="shared" si="84"/>
        <v>0.33333333333333337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160.9848484848485</v>
      </c>
      <c r="Y523" s="43">
        <f>IFERROR(Y516/H516,"0")+IFERROR(Y517/H517,"0")+IFERROR(Y518/H518,"0")+IFERROR(Y519/H519,"0")+IFERROR(Y520/H520,"0")+IFERROR(Y521/H521,"0")+IFERROR(Y522/H522,"0")</f>
        <v>163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1.7642599999999997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820</v>
      </c>
      <c r="Y524" s="43">
        <f>IFERROR(SUM(Y516:Y522),"0")</f>
        <v>830.40000000000009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120</v>
      </c>
      <c r="Y528" s="55">
        <f>IFERROR(IF(X528="",0,CEILING((X528/$H528),1)*$H528),"")</f>
        <v>120</v>
      </c>
      <c r="Z528" s="41">
        <f>IFERROR(IF(Y528=0,"",ROUNDUP(Y528/H528,0)*0.01898),"")</f>
        <v>0.1898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124.10000000000001</v>
      </c>
      <c r="BN528" s="78">
        <f>IFERROR(Y528*I528/H528,"0")</f>
        <v>124.10000000000001</v>
      </c>
      <c r="BO528" s="78">
        <f>IFERROR(1/J528*(X528/H528),"0")</f>
        <v>0.15625</v>
      </c>
      <c r="BP528" s="78">
        <f>IFERROR(1/J528*(Y528/H528),"0")</f>
        <v>0.15625</v>
      </c>
    </row>
    <row r="529" spans="1:68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10</v>
      </c>
      <c r="Y529" s="43">
        <f>IFERROR(Y528/H528,"0")</f>
        <v>10</v>
      </c>
      <c r="Z529" s="43">
        <f>IFERROR(IF(Z528="",0,Z528),"0")</f>
        <v>0.1898</v>
      </c>
      <c r="AA529" s="67"/>
      <c r="AB529" s="67"/>
      <c r="AC529" s="67"/>
    </row>
    <row r="530" spans="1:68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120</v>
      </c>
      <c r="Y530" s="43">
        <f>IFERROR(SUM(Y528:Y528),"0")</f>
        <v>120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500</v>
      </c>
      <c r="Y540" s="55">
        <f>IFERROR(IF(X540="",0,CEILING((X540/$H540),1)*$H540),"")</f>
        <v>504</v>
      </c>
      <c r="Z540" s="41">
        <f>IFERROR(IF(Y540=0,"",ROUNDUP(Y540/H540,0)*0.01898),"")</f>
        <v>1.06288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527.44444444444446</v>
      </c>
      <c r="BN540" s="78">
        <f>IFERROR(Y540*I540/H540,"0")</f>
        <v>531.66399999999999</v>
      </c>
      <c r="BO540" s="78">
        <f>IFERROR(1/J540*(X540/H540),"0")</f>
        <v>0.86805555555555558</v>
      </c>
      <c r="BP540" s="78">
        <f>IFERROR(1/J540*(Y540/H540),"0")</f>
        <v>0.875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55.555555555555557</v>
      </c>
      <c r="Y541" s="43">
        <f>IFERROR(Y540/H540,"0")</f>
        <v>56</v>
      </c>
      <c r="Z541" s="43">
        <f>IFERROR(IF(Z540="",0,Z540),"0")</f>
        <v>1.06288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500</v>
      </c>
      <c r="Y542" s="43">
        <f>IFERROR(SUM(Y540:Y540),"0")</f>
        <v>504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17769.699999999997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17937.810000000001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19244.366857023342</v>
      </c>
      <c r="Y554" s="43">
        <f>IFERROR(SUM(BN22:BN550),"0")</f>
        <v>19423.903999999999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35</v>
      </c>
      <c r="Y555" s="44">
        <f>ROUNDUP(SUM(BP22:BP550),0)</f>
        <v>35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20119.366857023342</v>
      </c>
      <c r="Y556" s="43">
        <f>GrossWeightTotalR+PalletQtyTotalR*25</f>
        <v>20298.903999999999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4846.7042815634786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4879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41.475360000000002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38.4</v>
      </c>
      <c r="D563" s="52">
        <f>IFERROR(Y48*1,"0")+IFERROR(Y49*1,"0")+IFERROR(Y50*1,"0")+IFERROR(Y51*1,"0")</f>
        <v>739.2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297.60000000000002</v>
      </c>
      <c r="F563" s="52">
        <f>IFERROR(Y83*1,"0")+IFERROR(Y84*1,"0")+IFERROR(Y85*1,"0")+IFERROR(Y86*1,"0")+IFERROR(Y90*1,"0")+IFERROR(Y91*1,"0")+IFERROR(Y92*1,"0")+IFERROR(Y93*1,"0")</f>
        <v>270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2655.9</v>
      </c>
      <c r="H563" s="52">
        <f>IFERROR(Y128*1,"0")+IFERROR(Y129*1,"0")+IFERROR(Y130*1,"0")+IFERROR(Y134*1,"0")+IFERROR(Y135*1,"0")+IFERROR(Y136*1,"0")+IFERROR(Y137*1,"0")+IFERROR(Y141*1,"0")+IFERROR(Y142*1,"0")+IFERROR(Y143*1,"0")</f>
        <v>230.92000000000002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1503.38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688.56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5187.0000000000009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322.7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261.60000000000002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670.8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2040.5499999999997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618</v>
      </c>
      <c r="X563" s="52">
        <f>IFERROR(Y454*1,"0")+IFERROR(Y455*1,"0")+IFERROR(Y459*1,"0")+IFERROR(Y463*1,"0")+IFERROR(Y464*1,"0")+IFERROR(Y465*1,"0")</f>
        <v>54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1735.2</v>
      </c>
      <c r="AB563" s="52">
        <f>IFERROR(Y528*1,"0")+IFERROR(Y532*1,"0")+IFERROR(Y536*1,"0")+IFERROR(Y540*1,"0")+IFERROR(Y544*1,"0")+IFERROR(Y545*1,"0")</f>
        <v>624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0,00"/>
        <filter val="1 320,00"/>
        <filter val="1 482,90"/>
        <filter val="1 615,00"/>
        <filter val="10,00"/>
        <filter val="100,00"/>
        <filter val="108,00"/>
        <filter val="108,33"/>
        <filter val="112,00"/>
        <filter val="118,80"/>
        <filter val="12,00"/>
        <filter val="120,00"/>
        <filter val="120,23"/>
        <filter val="130,00"/>
        <filter val="14,00"/>
        <filter val="140,00"/>
        <filter val="143,15"/>
        <filter val="144,00"/>
        <filter val="15,00"/>
        <filter val="150,00"/>
        <filter val="16,11"/>
        <filter val="16,67"/>
        <filter val="160,00"/>
        <filter val="160,98"/>
        <filter val="163,10"/>
        <filter val="166,67"/>
        <filter val="17 769,70"/>
        <filter val="17,50"/>
        <filter val="170,00"/>
        <filter val="175,00"/>
        <filter val="18,00"/>
        <filter val="180,00"/>
        <filter val="19 244,37"/>
        <filter val="2 280,00"/>
        <filter val="2 660,00"/>
        <filter val="2,50"/>
        <filter val="2,78"/>
        <filter val="20 119,37"/>
        <filter val="20,00"/>
        <filter val="20,54"/>
        <filter val="200,00"/>
        <filter val="21,00"/>
        <filter val="210,00"/>
        <filter val="220,00"/>
        <filter val="221,00"/>
        <filter val="223,70"/>
        <filter val="24,00"/>
        <filter val="240,00"/>
        <filter val="250,00"/>
        <filter val="26,50"/>
        <filter val="26,67"/>
        <filter val="260,00"/>
        <filter val="270,00"/>
        <filter val="280,00"/>
        <filter val="288,90"/>
        <filter val="29,31"/>
        <filter val="30,00"/>
        <filter val="300,00"/>
        <filter val="304,00"/>
        <filter val="33,33"/>
        <filter val="35"/>
        <filter val="35,00"/>
        <filter val="350,00"/>
        <filter val="360,00"/>
        <filter val="37,50"/>
        <filter val="38,40"/>
        <filter val="380,00"/>
        <filter val="4 846,70"/>
        <filter val="4,50"/>
        <filter val="40,00"/>
        <filter val="400,00"/>
        <filter val="42,00"/>
        <filter val="440,00"/>
        <filter val="453,09"/>
        <filter val="47,22"/>
        <filter val="48,00"/>
        <filter val="480,00"/>
        <filter val="5,40"/>
        <filter val="5,56"/>
        <filter val="50,00"/>
        <filter val="500,00"/>
        <filter val="51,00"/>
        <filter val="55,56"/>
        <filter val="550,00"/>
        <filter val="551,95"/>
        <filter val="588,00"/>
        <filter val="6,41"/>
        <filter val="6,67"/>
        <filter val="60,00"/>
        <filter val="60,30"/>
        <filter val="600,00"/>
        <filter val="631,60"/>
        <filter val="650,00"/>
        <filter val="660,00"/>
        <filter val="666,67"/>
        <filter val="7,00"/>
        <filter val="70,00"/>
        <filter val="700,00"/>
        <filter val="72,00"/>
        <filter val="730,00"/>
        <filter val="765,00"/>
        <filter val="77,50"/>
        <filter val="80,00"/>
        <filter val="820,00"/>
        <filter val="84,62"/>
        <filter val="86,67"/>
        <filter val="9,00"/>
        <filter val="9,60"/>
        <filter val="90,00"/>
        <filter val="900,00"/>
        <filter val="91,67"/>
        <filter val="930,70"/>
        <filter val="99,00"/>
        <filter val="990,0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2026-08-26T13:16:06Z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