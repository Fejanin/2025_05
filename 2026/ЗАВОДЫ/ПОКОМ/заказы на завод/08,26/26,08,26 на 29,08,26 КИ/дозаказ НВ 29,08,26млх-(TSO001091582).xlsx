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a1\Desktop\"/>
    </mc:Choice>
  </mc:AlternateContent>
  <bookViews>
    <workbookView xWindow="0" yWindow="0" windowWidth="20040" windowHeight="8892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заказа'!$B$65:$B$65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заказа'!$B$72:$B$72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заказа'!$X$65:$X$65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заказа'!$X$72:$X$72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заказа'!$Y$65:$Y$65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заказа'!$Y$72:$Y$72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заказа'!$W$65:$W$65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заказа'!$W$72:$W$72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62913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Z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X520" i="2"/>
  <c r="X519" i="2"/>
  <c r="BO518" i="2"/>
  <c r="BM518" i="2"/>
  <c r="Y518" i="2"/>
  <c r="Z518" i="2" s="1"/>
  <c r="P518" i="2"/>
  <c r="BO517" i="2"/>
  <c r="BM517" i="2"/>
  <c r="Y517" i="2"/>
  <c r="BP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Z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Y493" i="2" s="1"/>
  <c r="P492" i="2"/>
  <c r="X489" i="2"/>
  <c r="X488" i="2"/>
  <c r="BO487" i="2"/>
  <c r="BM487" i="2"/>
  <c r="Y487" i="2"/>
  <c r="Z487" i="2" s="1"/>
  <c r="P487" i="2"/>
  <c r="BO486" i="2"/>
  <c r="BM486" i="2"/>
  <c r="Z486" i="2"/>
  <c r="Y486" i="2"/>
  <c r="BN486" i="2" s="1"/>
  <c r="P486" i="2"/>
  <c r="X484" i="2"/>
  <c r="X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X473" i="2"/>
  <c r="X472" i="2"/>
  <c r="BO471" i="2"/>
  <c r="BM471" i="2"/>
  <c r="Y471" i="2"/>
  <c r="Z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Z449" i="2"/>
  <c r="Y449" i="2"/>
  <c r="BN449" i="2" s="1"/>
  <c r="P449" i="2"/>
  <c r="BO448" i="2"/>
  <c r="BM448" i="2"/>
  <c r="Y448" i="2"/>
  <c r="Z448" i="2" s="1"/>
  <c r="P448" i="2"/>
  <c r="X446" i="2"/>
  <c r="X445" i="2"/>
  <c r="BO444" i="2"/>
  <c r="BM444" i="2"/>
  <c r="Y444" i="2"/>
  <c r="BN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N438" i="2" s="1"/>
  <c r="P438" i="2"/>
  <c r="BO437" i="2"/>
  <c r="BM437" i="2"/>
  <c r="Y437" i="2"/>
  <c r="BN437" i="2" s="1"/>
  <c r="P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N432" i="2" s="1"/>
  <c r="P432" i="2"/>
  <c r="BO431" i="2"/>
  <c r="BM431" i="2"/>
  <c r="Y431" i="2"/>
  <c r="P431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BN423" i="2" s="1"/>
  <c r="P423" i="2"/>
  <c r="X420" i="2"/>
  <c r="X419" i="2"/>
  <c r="BO418" i="2"/>
  <c r="BM418" i="2"/>
  <c r="Y418" i="2"/>
  <c r="P418" i="2"/>
  <c r="BO417" i="2"/>
  <c r="BM417" i="2"/>
  <c r="Y417" i="2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BN406" i="2" s="1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P391" i="2"/>
  <c r="X389" i="2"/>
  <c r="X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Z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P370" i="2"/>
  <c r="BO369" i="2"/>
  <c r="BM369" i="2"/>
  <c r="Y369" i="2"/>
  <c r="BP369" i="2" s="1"/>
  <c r="P369" i="2"/>
  <c r="BO368" i="2"/>
  <c r="BM368" i="2"/>
  <c r="Y368" i="2"/>
  <c r="P368" i="2"/>
  <c r="BO367" i="2"/>
  <c r="BM367" i="2"/>
  <c r="Y367" i="2"/>
  <c r="BN367" i="2" s="1"/>
  <c r="P367" i="2"/>
  <c r="BO366" i="2"/>
  <c r="BM366" i="2"/>
  <c r="Y366" i="2"/>
  <c r="BP366" i="2" s="1"/>
  <c r="P366" i="2"/>
  <c r="X363" i="2"/>
  <c r="X362" i="2"/>
  <c r="BO361" i="2"/>
  <c r="BM361" i="2"/>
  <c r="Y361" i="2"/>
  <c r="BN361" i="2" s="1"/>
  <c r="P361" i="2"/>
  <c r="BO360" i="2"/>
  <c r="BM360" i="2"/>
  <c r="Y360" i="2"/>
  <c r="BP360" i="2" s="1"/>
  <c r="P360" i="2"/>
  <c r="BO359" i="2"/>
  <c r="BM359" i="2"/>
  <c r="Y359" i="2"/>
  <c r="Z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X351" i="2"/>
  <c r="X350" i="2"/>
  <c r="BO349" i="2"/>
  <c r="BM349" i="2"/>
  <c r="Y349" i="2"/>
  <c r="P349" i="2"/>
  <c r="BO348" i="2"/>
  <c r="BM348" i="2"/>
  <c r="Y348" i="2"/>
  <c r="BN348" i="2" s="1"/>
  <c r="P348" i="2"/>
  <c r="BO347" i="2"/>
  <c r="BM347" i="2"/>
  <c r="Y347" i="2"/>
  <c r="BN347" i="2" s="1"/>
  <c r="P347" i="2"/>
  <c r="BO346" i="2"/>
  <c r="BM346" i="2"/>
  <c r="Y346" i="2"/>
  <c r="BP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BP333" i="2" s="1"/>
  <c r="P333" i="2"/>
  <c r="BO332" i="2"/>
  <c r="BM332" i="2"/>
  <c r="Y332" i="2"/>
  <c r="BP332" i="2" s="1"/>
  <c r="P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P329" i="2"/>
  <c r="X326" i="2"/>
  <c r="X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P322" i="2" s="1"/>
  <c r="P322" i="2"/>
  <c r="X320" i="2"/>
  <c r="X319" i="2"/>
  <c r="BO318" i="2"/>
  <c r="BM318" i="2"/>
  <c r="Y318" i="2"/>
  <c r="Z318" i="2" s="1"/>
  <c r="Z319" i="2" s="1"/>
  <c r="P318" i="2"/>
  <c r="X316" i="2"/>
  <c r="X315" i="2"/>
  <c r="BO314" i="2"/>
  <c r="BM314" i="2"/>
  <c r="Z314" i="2"/>
  <c r="Z315" i="2" s="1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P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Z304" i="2"/>
  <c r="Y304" i="2"/>
  <c r="BN304" i="2" s="1"/>
  <c r="P304" i="2"/>
  <c r="X301" i="2"/>
  <c r="X300" i="2"/>
  <c r="BO299" i="2"/>
  <c r="BM299" i="2"/>
  <c r="Y299" i="2"/>
  <c r="P299" i="2"/>
  <c r="BO298" i="2"/>
  <c r="BM298" i="2"/>
  <c r="Y298" i="2"/>
  <c r="P298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BP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P276" i="2" s="1"/>
  <c r="P276" i="2"/>
  <c r="BO275" i="2"/>
  <c r="BM275" i="2"/>
  <c r="Y275" i="2"/>
  <c r="BP275" i="2" s="1"/>
  <c r="P275" i="2"/>
  <c r="BP274" i="2"/>
  <c r="BO274" i="2"/>
  <c r="BM274" i="2"/>
  <c r="Y274" i="2"/>
  <c r="P274" i="2"/>
  <c r="BO273" i="2"/>
  <c r="BM273" i="2"/>
  <c r="Y273" i="2"/>
  <c r="P273" i="2"/>
  <c r="BO272" i="2"/>
  <c r="BM272" i="2"/>
  <c r="Y272" i="2"/>
  <c r="BP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BN267" i="2" s="1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P243" i="2"/>
  <c r="X241" i="2"/>
  <c r="X240" i="2"/>
  <c r="BO239" i="2"/>
  <c r="BM239" i="2"/>
  <c r="Y239" i="2"/>
  <c r="BN239" i="2" s="1"/>
  <c r="P239" i="2"/>
  <c r="BO238" i="2"/>
  <c r="BM238" i="2"/>
  <c r="Y238" i="2"/>
  <c r="BP238" i="2" s="1"/>
  <c r="P238" i="2"/>
  <c r="BO237" i="2"/>
  <c r="BM237" i="2"/>
  <c r="Y237" i="2"/>
  <c r="Z237" i="2" s="1"/>
  <c r="P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N230" i="2" s="1"/>
  <c r="P230" i="2"/>
  <c r="BO229" i="2"/>
  <c r="BM229" i="2"/>
  <c r="Y229" i="2"/>
  <c r="BN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X224" i="2"/>
  <c r="X223" i="2"/>
  <c r="BO222" i="2"/>
  <c r="BM222" i="2"/>
  <c r="Y222" i="2"/>
  <c r="P222" i="2"/>
  <c r="X219" i="2"/>
  <c r="X218" i="2"/>
  <c r="BO217" i="2"/>
  <c r="BM217" i="2"/>
  <c r="Y217" i="2"/>
  <c r="BP217" i="2" s="1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X207" i="2"/>
  <c r="X206" i="2"/>
  <c r="BO205" i="2"/>
  <c r="BM205" i="2"/>
  <c r="Y205" i="2"/>
  <c r="Y207" i="2" s="1"/>
  <c r="P205" i="2"/>
  <c r="X203" i="2"/>
  <c r="X202" i="2"/>
  <c r="BO201" i="2"/>
  <c r="BM201" i="2"/>
  <c r="Y201" i="2"/>
  <c r="Y203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N190" i="2"/>
  <c r="BM190" i="2"/>
  <c r="Y190" i="2"/>
  <c r="BP190" i="2" s="1"/>
  <c r="P190" i="2"/>
  <c r="BO189" i="2"/>
  <c r="BM189" i="2"/>
  <c r="Y189" i="2"/>
  <c r="BN189" i="2" s="1"/>
  <c r="P189" i="2"/>
  <c r="BO188" i="2"/>
  <c r="BM188" i="2"/>
  <c r="Y188" i="2"/>
  <c r="BP188" i="2" s="1"/>
  <c r="P188" i="2"/>
  <c r="BO187" i="2"/>
  <c r="BM187" i="2"/>
  <c r="Y187" i="2"/>
  <c r="BP187" i="2" s="1"/>
  <c r="P187" i="2"/>
  <c r="BO186" i="2"/>
  <c r="BM186" i="2"/>
  <c r="Y186" i="2"/>
  <c r="Z186" i="2" s="1"/>
  <c r="BO185" i="2"/>
  <c r="BM185" i="2"/>
  <c r="Y185" i="2"/>
  <c r="BN185" i="2" s="1"/>
  <c r="P185" i="2"/>
  <c r="BO184" i="2"/>
  <c r="BM184" i="2"/>
  <c r="Y184" i="2"/>
  <c r="Z184" i="2" s="1"/>
  <c r="BO183" i="2"/>
  <c r="BM183" i="2"/>
  <c r="Y183" i="2"/>
  <c r="BP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BN170" i="2" s="1"/>
  <c r="P170" i="2"/>
  <c r="BO169" i="2"/>
  <c r="BM169" i="2"/>
  <c r="Y169" i="2"/>
  <c r="P169" i="2"/>
  <c r="Y166" i="2"/>
  <c r="X166" i="2"/>
  <c r="X165" i="2"/>
  <c r="BO164" i="2"/>
  <c r="BM164" i="2"/>
  <c r="Z164" i="2"/>
  <c r="Z165" i="2" s="1"/>
  <c r="Y164" i="2"/>
  <c r="P164" i="2"/>
  <c r="X162" i="2"/>
  <c r="X161" i="2"/>
  <c r="BO160" i="2"/>
  <c r="BM160" i="2"/>
  <c r="Y160" i="2"/>
  <c r="P160" i="2"/>
  <c r="BO159" i="2"/>
  <c r="BM159" i="2"/>
  <c r="Y159" i="2"/>
  <c r="BP159" i="2" s="1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BP155" i="2" s="1"/>
  <c r="P155" i="2"/>
  <c r="BO154" i="2"/>
  <c r="BM154" i="2"/>
  <c r="Y154" i="2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X146" i="2"/>
  <c r="X145" i="2"/>
  <c r="BO144" i="2"/>
  <c r="BM144" i="2"/>
  <c r="Y144" i="2"/>
  <c r="BN144" i="2" s="1"/>
  <c r="P144" i="2"/>
  <c r="BO143" i="2"/>
  <c r="BM143" i="2"/>
  <c r="Y143" i="2"/>
  <c r="P143" i="2"/>
  <c r="X141" i="2"/>
  <c r="X140" i="2"/>
  <c r="BO139" i="2"/>
  <c r="BM139" i="2"/>
  <c r="Y139" i="2"/>
  <c r="BP139" i="2" s="1"/>
  <c r="P139" i="2"/>
  <c r="BO138" i="2"/>
  <c r="BM138" i="2"/>
  <c r="Y138" i="2"/>
  <c r="Z138" i="2" s="1"/>
  <c r="P138" i="2"/>
  <c r="X135" i="2"/>
  <c r="X134" i="2"/>
  <c r="BO133" i="2"/>
  <c r="BM133" i="2"/>
  <c r="Y133" i="2"/>
  <c r="BP133" i="2" s="1"/>
  <c r="BO132" i="2"/>
  <c r="BM132" i="2"/>
  <c r="Y132" i="2"/>
  <c r="P132" i="2"/>
  <c r="X130" i="2"/>
  <c r="X129" i="2"/>
  <c r="BO128" i="2"/>
  <c r="BM128" i="2"/>
  <c r="Y128" i="2"/>
  <c r="BO127" i="2"/>
  <c r="BM127" i="2"/>
  <c r="Y127" i="2"/>
  <c r="BN127" i="2" s="1"/>
  <c r="P127" i="2"/>
  <c r="BO126" i="2"/>
  <c r="BM126" i="2"/>
  <c r="Y126" i="2"/>
  <c r="BP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N116" i="2" s="1"/>
  <c r="P116" i="2"/>
  <c r="BO115" i="2"/>
  <c r="BN115" i="2"/>
  <c r="BM115" i="2"/>
  <c r="Y115" i="2"/>
  <c r="BP115" i="2" s="1"/>
  <c r="P115" i="2"/>
  <c r="BO114" i="2"/>
  <c r="BM114" i="2"/>
  <c r="Y114" i="2"/>
  <c r="BP114" i="2" s="1"/>
  <c r="P114" i="2"/>
  <c r="X112" i="2"/>
  <c r="X111" i="2"/>
  <c r="BO110" i="2"/>
  <c r="BM110" i="2"/>
  <c r="Y110" i="2"/>
  <c r="BP110" i="2" s="1"/>
  <c r="P110" i="2"/>
  <c r="BO109" i="2"/>
  <c r="BM109" i="2"/>
  <c r="Y109" i="2"/>
  <c r="Z109" i="2" s="1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X100" i="2"/>
  <c r="X99" i="2"/>
  <c r="BO98" i="2"/>
  <c r="BM98" i="2"/>
  <c r="Y98" i="2"/>
  <c r="BN98" i="2" s="1"/>
  <c r="P98" i="2"/>
  <c r="BO97" i="2"/>
  <c r="BN97" i="2"/>
  <c r="BM97" i="2"/>
  <c r="Y97" i="2"/>
  <c r="Z97" i="2" s="1"/>
  <c r="BO96" i="2"/>
  <c r="BM96" i="2"/>
  <c r="Y96" i="2"/>
  <c r="BN96" i="2" s="1"/>
  <c r="P96" i="2"/>
  <c r="BO95" i="2"/>
  <c r="BM95" i="2"/>
  <c r="Y95" i="2"/>
  <c r="BP95" i="2" s="1"/>
  <c r="P95" i="2"/>
  <c r="BO94" i="2"/>
  <c r="BM94" i="2"/>
  <c r="Y94" i="2"/>
  <c r="BP94" i="2" s="1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BP85" i="2" s="1"/>
  <c r="P85" i="2"/>
  <c r="X82" i="2"/>
  <c r="X81" i="2"/>
  <c r="BO80" i="2"/>
  <c r="BM80" i="2"/>
  <c r="Y80" i="2"/>
  <c r="BP80" i="2" s="1"/>
  <c r="P80" i="2"/>
  <c r="BO79" i="2"/>
  <c r="BM79" i="2"/>
  <c r="Y79" i="2"/>
  <c r="Z79" i="2" s="1"/>
  <c r="P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Z67" i="2"/>
  <c r="Y67" i="2"/>
  <c r="BN67" i="2" s="1"/>
  <c r="P67" i="2"/>
  <c r="BO66" i="2"/>
  <c r="BM66" i="2"/>
  <c r="Y66" i="2"/>
  <c r="BN66" i="2" s="1"/>
  <c r="P66" i="2"/>
  <c r="BO65" i="2"/>
  <c r="BM65" i="2"/>
  <c r="Y65" i="2"/>
  <c r="BN65" i="2" s="1"/>
  <c r="P65" i="2"/>
  <c r="BO64" i="2"/>
  <c r="BM64" i="2"/>
  <c r="Y64" i="2"/>
  <c r="Z64" i="2" s="1"/>
  <c r="P64" i="2"/>
  <c r="X62" i="2"/>
  <c r="X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Z55" i="2"/>
  <c r="Y55" i="2"/>
  <c r="P55" i="2"/>
  <c r="X52" i="2"/>
  <c r="X51" i="2"/>
  <c r="BO50" i="2"/>
  <c r="BN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P48" i="2"/>
  <c r="BO47" i="2"/>
  <c r="BM47" i="2"/>
  <c r="Y47" i="2"/>
  <c r="BP47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N23" i="2"/>
  <c r="BM23" i="2"/>
  <c r="Y23" i="2"/>
  <c r="BP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N412" i="2" l="1"/>
  <c r="BN525" i="2"/>
  <c r="BN534" i="2"/>
  <c r="BN291" i="2"/>
  <c r="BN31" i="2"/>
  <c r="BN191" i="2"/>
  <c r="Z201" i="2"/>
  <c r="Z202" i="2" s="1"/>
  <c r="BN376" i="2"/>
  <c r="BN479" i="2"/>
  <c r="BN526" i="2"/>
  <c r="BN201" i="2"/>
  <c r="BP425" i="2"/>
  <c r="BP486" i="2"/>
  <c r="Z106" i="2"/>
  <c r="BN384" i="2"/>
  <c r="Z354" i="2"/>
  <c r="BP347" i="2"/>
  <c r="BN305" i="2"/>
  <c r="Z392" i="2"/>
  <c r="BN80" i="2"/>
  <c r="BN268" i="2"/>
  <c r="Z59" i="2"/>
  <c r="Z185" i="2"/>
  <c r="BP59" i="2"/>
  <c r="BN110" i="2"/>
  <c r="Z498" i="2"/>
  <c r="Z283" i="2"/>
  <c r="BN332" i="2"/>
  <c r="Z512" i="2"/>
  <c r="Z538" i="2"/>
  <c r="Z539" i="2" s="1"/>
  <c r="Z272" i="2"/>
  <c r="Z348" i="2"/>
  <c r="Z56" i="2"/>
  <c r="BN106" i="2"/>
  <c r="BN212" i="2"/>
  <c r="Z217" i="2"/>
  <c r="BN276" i="2"/>
  <c r="BN283" i="2"/>
  <c r="BP498" i="2"/>
  <c r="BP171" i="2"/>
  <c r="BN272" i="2"/>
  <c r="BN217" i="2"/>
  <c r="BN245" i="2"/>
  <c r="BP348" i="2"/>
  <c r="Z492" i="2"/>
  <c r="Z493" i="2" s="1"/>
  <c r="Z345" i="2"/>
  <c r="BN253" i="2"/>
  <c r="BN345" i="2"/>
  <c r="BP56" i="2"/>
  <c r="BN40" i="2"/>
  <c r="BN71" i="2"/>
  <c r="Z229" i="2"/>
  <c r="BP304" i="2"/>
  <c r="BP103" i="2"/>
  <c r="BP438" i="2"/>
  <c r="BN330" i="2"/>
  <c r="Z425" i="2"/>
  <c r="Z510" i="2"/>
  <c r="Y420" i="2"/>
  <c r="BN469" i="2"/>
  <c r="Z49" i="2"/>
  <c r="BN182" i="2"/>
  <c r="Z227" i="2"/>
  <c r="BN278" i="2"/>
  <c r="Z294" i="2"/>
  <c r="BN359" i="2"/>
  <c r="BP417" i="2"/>
  <c r="Y488" i="2"/>
  <c r="BN231" i="2"/>
  <c r="BN393" i="2"/>
  <c r="Z438" i="2"/>
  <c r="Y25" i="2"/>
  <c r="Y161" i="2"/>
  <c r="BN49" i="2"/>
  <c r="BN176" i="2"/>
  <c r="BN522" i="2"/>
  <c r="Z126" i="2"/>
  <c r="Z144" i="2"/>
  <c r="BN183" i="2"/>
  <c r="Z195" i="2"/>
  <c r="Z170" i="2"/>
  <c r="BP201" i="2"/>
  <c r="Y269" i="2"/>
  <c r="Y427" i="2"/>
  <c r="Z435" i="2"/>
  <c r="BN126" i="2"/>
  <c r="BN195" i="2"/>
  <c r="BN286" i="2"/>
  <c r="Y446" i="2"/>
  <c r="Z462" i="2"/>
  <c r="Y539" i="2"/>
  <c r="Z47" i="2"/>
  <c r="Z238" i="2"/>
  <c r="Z347" i="2"/>
  <c r="BP435" i="2"/>
  <c r="Z509" i="2"/>
  <c r="C569" i="2"/>
  <c r="Y112" i="2"/>
  <c r="BN103" i="2"/>
  <c r="Z488" i="2"/>
  <c r="BN47" i="2"/>
  <c r="Z171" i="2"/>
  <c r="BN238" i="2"/>
  <c r="Z96" i="2"/>
  <c r="Z432" i="2"/>
  <c r="Z461" i="2"/>
  <c r="Y52" i="2"/>
  <c r="Y483" i="2"/>
  <c r="BP39" i="2"/>
  <c r="Z230" i="2"/>
  <c r="BN157" i="2"/>
  <c r="BN366" i="2"/>
  <c r="BN399" i="2"/>
  <c r="Z406" i="2"/>
  <c r="Z437" i="2"/>
  <c r="BP461" i="2"/>
  <c r="Y24" i="2"/>
  <c r="BN186" i="2"/>
  <c r="BN378" i="2"/>
  <c r="BP392" i="2"/>
  <c r="BN487" i="2"/>
  <c r="Y51" i="2"/>
  <c r="BP57" i="2"/>
  <c r="Y62" i="2"/>
  <c r="BP127" i="2"/>
  <c r="BN132" i="2"/>
  <c r="Y134" i="2"/>
  <c r="BP132" i="2"/>
  <c r="BP196" i="2"/>
  <c r="Y219" i="2"/>
  <c r="BP233" i="2"/>
  <c r="BN233" i="2"/>
  <c r="BP273" i="2"/>
  <c r="Z273" i="2"/>
  <c r="BP292" i="2"/>
  <c r="Z323" i="2"/>
  <c r="BN323" i="2"/>
  <c r="Z339" i="2"/>
  <c r="BN339" i="2"/>
  <c r="Z380" i="2"/>
  <c r="BN380" i="2"/>
  <c r="BP398" i="2"/>
  <c r="BP442" i="2"/>
  <c r="BP524" i="2"/>
  <c r="BN524" i="2"/>
  <c r="X563" i="2"/>
  <c r="BP27" i="2"/>
  <c r="BN28" i="2"/>
  <c r="Z37" i="2"/>
  <c r="BP37" i="2"/>
  <c r="BN38" i="2"/>
  <c r="D569" i="2"/>
  <c r="Z48" i="2"/>
  <c r="BP48" i="2"/>
  <c r="Z57" i="2"/>
  <c r="BN58" i="2"/>
  <c r="Z60" i="2"/>
  <c r="BP60" i="2"/>
  <c r="Z66" i="2"/>
  <c r="BP66" i="2"/>
  <c r="Y74" i="2"/>
  <c r="Y82" i="2"/>
  <c r="BP96" i="2"/>
  <c r="Z105" i="2"/>
  <c r="BP105" i="2"/>
  <c r="BN107" i="2"/>
  <c r="BP108" i="2"/>
  <c r="Z122" i="2"/>
  <c r="BP122" i="2"/>
  <c r="Z127" i="2"/>
  <c r="BP128" i="2"/>
  <c r="BN128" i="2"/>
  <c r="Y129" i="2"/>
  <c r="Z132" i="2"/>
  <c r="BN139" i="2"/>
  <c r="Y140" i="2"/>
  <c r="BP143" i="2"/>
  <c r="Y145" i="2"/>
  <c r="BP144" i="2"/>
  <c r="I569" i="2"/>
  <c r="BP154" i="2"/>
  <c r="Z154" i="2"/>
  <c r="BP160" i="2"/>
  <c r="BN160" i="2"/>
  <c r="BP180" i="2"/>
  <c r="BN180" i="2"/>
  <c r="Z226" i="2"/>
  <c r="BP226" i="2"/>
  <c r="BP228" i="2"/>
  <c r="Z228" i="2"/>
  <c r="BP230" i="2"/>
  <c r="Z251" i="2"/>
  <c r="BN251" i="2"/>
  <c r="Y255" i="2"/>
  <c r="Z274" i="2"/>
  <c r="BN274" i="2"/>
  <c r="Z284" i="2"/>
  <c r="BN284" i="2"/>
  <c r="Z292" i="2"/>
  <c r="Y315" i="2"/>
  <c r="BN314" i="2"/>
  <c r="BP314" i="2"/>
  <c r="Y326" i="2"/>
  <c r="BP349" i="2"/>
  <c r="Z349" i="2"/>
  <c r="Z374" i="2"/>
  <c r="BN374" i="2"/>
  <c r="BN391" i="2"/>
  <c r="Y395" i="2"/>
  <c r="BP391" i="2"/>
  <c r="Z398" i="2"/>
  <c r="Z442" i="2"/>
  <c r="BP450" i="2"/>
  <c r="BP454" i="2"/>
  <c r="BN454" i="2"/>
  <c r="BN465" i="2"/>
  <c r="Y466" i="2"/>
  <c r="Z465" i="2"/>
  <c r="Z466" i="2" s="1"/>
  <c r="BP481" i="2"/>
  <c r="BN481" i="2"/>
  <c r="BN497" i="2"/>
  <c r="Z497" i="2"/>
  <c r="Z499" i="2" s="1"/>
  <c r="BP516" i="2"/>
  <c r="BN516" i="2"/>
  <c r="Z550" i="2"/>
  <c r="A10" i="2"/>
  <c r="X560" i="2"/>
  <c r="BN30" i="2"/>
  <c r="BP50" i="2"/>
  <c r="BP65" i="2"/>
  <c r="BN72" i="2"/>
  <c r="BN77" i="2"/>
  <c r="BN86" i="2"/>
  <c r="BN87" i="2"/>
  <c r="Y90" i="2"/>
  <c r="BP97" i="2"/>
  <c r="BP104" i="2"/>
  <c r="BN117" i="2"/>
  <c r="BP123" i="2"/>
  <c r="BN123" i="2"/>
  <c r="Z155" i="2"/>
  <c r="BN155" i="2"/>
  <c r="BN159" i="2"/>
  <c r="BP186" i="2"/>
  <c r="BN188" i="2"/>
  <c r="BN196" i="2"/>
  <c r="Y198" i="2"/>
  <c r="BP205" i="2"/>
  <c r="BN205" i="2"/>
  <c r="BN214" i="2"/>
  <c r="Y223" i="2"/>
  <c r="Y224" i="2"/>
  <c r="Y241" i="2"/>
  <c r="BN235" i="2"/>
  <c r="BP243" i="2"/>
  <c r="BN243" i="2"/>
  <c r="Y258" i="2"/>
  <c r="Y259" i="2"/>
  <c r="BP257" i="2"/>
  <c r="Y265" i="2"/>
  <c r="BP262" i="2"/>
  <c r="Z262" i="2"/>
  <c r="BN273" i="2"/>
  <c r="BP298" i="2"/>
  <c r="BN298" i="2"/>
  <c r="Y300" i="2"/>
  <c r="Y342" i="2"/>
  <c r="Z360" i="2"/>
  <c r="BP361" i="2"/>
  <c r="Z361" i="2"/>
  <c r="Z391" i="2"/>
  <c r="Y408" i="2"/>
  <c r="Y407" i="2"/>
  <c r="BP404" i="2"/>
  <c r="Z404" i="2"/>
  <c r="Z417" i="2"/>
  <c r="BN417" i="2"/>
  <c r="BP437" i="2"/>
  <c r="Z450" i="2"/>
  <c r="Z451" i="2" s="1"/>
  <c r="AA569" i="2"/>
  <c r="BN504" i="2"/>
  <c r="BP506" i="2"/>
  <c r="BN506" i="2"/>
  <c r="Y513" i="2"/>
  <c r="Y547" i="2"/>
  <c r="BN546" i="2"/>
  <c r="X561" i="2"/>
  <c r="X559" i="2"/>
  <c r="BN37" i="2"/>
  <c r="BP38" i="2"/>
  <c r="BN48" i="2"/>
  <c r="E569" i="2"/>
  <c r="BP55" i="2"/>
  <c r="Z58" i="2"/>
  <c r="Z65" i="2"/>
  <c r="BP67" i="2"/>
  <c r="BN78" i="2"/>
  <c r="Y81" i="2"/>
  <c r="F569" i="2"/>
  <c r="BN88" i="2"/>
  <c r="BN93" i="2"/>
  <c r="BP98" i="2"/>
  <c r="G569" i="2"/>
  <c r="Z104" i="2"/>
  <c r="Z107" i="2"/>
  <c r="BN108" i="2"/>
  <c r="Y111" i="2"/>
  <c r="BN118" i="2"/>
  <c r="BN133" i="2"/>
  <c r="Y135" i="2"/>
  <c r="Z139" i="2"/>
  <c r="Z140" i="2" s="1"/>
  <c r="BN148" i="2"/>
  <c r="BN154" i="2"/>
  <c r="Y165" i="2"/>
  <c r="BN164" i="2"/>
  <c r="BP164" i="2"/>
  <c r="Y199" i="2"/>
  <c r="Z205" i="2"/>
  <c r="Z206" i="2" s="1"/>
  <c r="Y206" i="2"/>
  <c r="BP227" i="2"/>
  <c r="BP229" i="2"/>
  <c r="BP239" i="2"/>
  <c r="Z239" i="2"/>
  <c r="Y254" i="2"/>
  <c r="Z257" i="2"/>
  <c r="Z258" i="2" s="1"/>
  <c r="BP288" i="2"/>
  <c r="BN288" i="2"/>
  <c r="BP290" i="2"/>
  <c r="BN290" i="2"/>
  <c r="Y295" i="2"/>
  <c r="BP307" i="2"/>
  <c r="BN307" i="2"/>
  <c r="Y311" i="2"/>
  <c r="BP309" i="2"/>
  <c r="BN309" i="2"/>
  <c r="BP339" i="2"/>
  <c r="BN346" i="2"/>
  <c r="Z346" i="2"/>
  <c r="Z350" i="2" s="1"/>
  <c r="BN349" i="2"/>
  <c r="Y351" i="2"/>
  <c r="Y362" i="2"/>
  <c r="BP368" i="2"/>
  <c r="BN368" i="2"/>
  <c r="Z370" i="2"/>
  <c r="BN370" i="2"/>
  <c r="BP386" i="2"/>
  <c r="BN386" i="2"/>
  <c r="BN400" i="2"/>
  <c r="Z400" i="2"/>
  <c r="BP406" i="2"/>
  <c r="BP410" i="2"/>
  <c r="BN410" i="2"/>
  <c r="BN424" i="2"/>
  <c r="Z424" i="2"/>
  <c r="BN434" i="2"/>
  <c r="Z434" i="2"/>
  <c r="X569" i="2"/>
  <c r="Y463" i="2"/>
  <c r="BN460" i="2"/>
  <c r="BP460" i="2"/>
  <c r="Y569" i="2"/>
  <c r="BN477" i="2"/>
  <c r="BP510" i="2"/>
  <c r="BP305" i="2"/>
  <c r="P569" i="2"/>
  <c r="Q569" i="2"/>
  <c r="R569" i="2"/>
  <c r="Y350" i="2"/>
  <c r="V569" i="2"/>
  <c r="Y426" i="2"/>
  <c r="BP436" i="2"/>
  <c r="BP444" i="2"/>
  <c r="BP449" i="2"/>
  <c r="BP487" i="2"/>
  <c r="BP509" i="2"/>
  <c r="BP534" i="2"/>
  <c r="H569" i="2"/>
  <c r="BP138" i="2"/>
  <c r="Y141" i="2"/>
  <c r="Y150" i="2"/>
  <c r="J569" i="2"/>
  <c r="BP170" i="2"/>
  <c r="BP185" i="2"/>
  <c r="BP231" i="2"/>
  <c r="Y280" i="2"/>
  <c r="Z291" i="2"/>
  <c r="BP294" i="2"/>
  <c r="O569" i="2"/>
  <c r="Z324" i="2"/>
  <c r="Y334" i="2"/>
  <c r="Z338" i="2"/>
  <c r="BP338" i="2"/>
  <c r="Y341" i="2"/>
  <c r="Z355" i="2"/>
  <c r="BP354" i="2"/>
  <c r="Z362" i="2"/>
  <c r="BP384" i="2"/>
  <c r="Y394" i="2"/>
  <c r="Z393" i="2"/>
  <c r="Z399" i="2"/>
  <c r="Y419" i="2"/>
  <c r="Z423" i="2"/>
  <c r="BP423" i="2"/>
  <c r="W569" i="2"/>
  <c r="BP432" i="2"/>
  <c r="Z436" i="2"/>
  <c r="Z444" i="2"/>
  <c r="Y462" i="2"/>
  <c r="Z569" i="2"/>
  <c r="BP492" i="2"/>
  <c r="BP512" i="2"/>
  <c r="BP522" i="2"/>
  <c r="Z95" i="2"/>
  <c r="Y119" i="2"/>
  <c r="Y130" i="2"/>
  <c r="BP71" i="2"/>
  <c r="Z124" i="2"/>
  <c r="Z290" i="2"/>
  <c r="Z27" i="2"/>
  <c r="BP29" i="2"/>
  <c r="Z39" i="2"/>
  <c r="BP41" i="2"/>
  <c r="BN64" i="2"/>
  <c r="Y75" i="2"/>
  <c r="Z85" i="2"/>
  <c r="Y91" i="2"/>
  <c r="BN95" i="2"/>
  <c r="Z98" i="2"/>
  <c r="Z114" i="2"/>
  <c r="BP116" i="2"/>
  <c r="Y146" i="2"/>
  <c r="Z156" i="2"/>
  <c r="BP158" i="2"/>
  <c r="BN169" i="2"/>
  <c r="Y172" i="2"/>
  <c r="BP181" i="2"/>
  <c r="BN184" i="2"/>
  <c r="Z187" i="2"/>
  <c r="BP189" i="2"/>
  <c r="Z197" i="2"/>
  <c r="Y202" i="2"/>
  <c r="Z211" i="2"/>
  <c r="BP213" i="2"/>
  <c r="Z222" i="2"/>
  <c r="Z223" i="2" s="1"/>
  <c r="Z232" i="2"/>
  <c r="BP234" i="2"/>
  <c r="BP244" i="2"/>
  <c r="Z252" i="2"/>
  <c r="BP267" i="2"/>
  <c r="Z275" i="2"/>
  <c r="BP277" i="2"/>
  <c r="Z285" i="2"/>
  <c r="BP287" i="2"/>
  <c r="Y296" i="2"/>
  <c r="Z306" i="2"/>
  <c r="BP308" i="2"/>
  <c r="BN318" i="2"/>
  <c r="Z329" i="2"/>
  <c r="BP331" i="2"/>
  <c r="Z340" i="2"/>
  <c r="BN353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K569" i="2"/>
  <c r="BN41" i="2"/>
  <c r="Y151" i="2"/>
  <c r="Y162" i="2"/>
  <c r="BN237" i="2"/>
  <c r="Y281" i="2"/>
  <c r="Y335" i="2"/>
  <c r="BN448" i="2"/>
  <c r="Y451" i="2"/>
  <c r="BN471" i="2"/>
  <c r="Y484" i="2"/>
  <c r="BN496" i="2"/>
  <c r="Y499" i="2"/>
  <c r="BN508" i="2"/>
  <c r="BN518" i="2"/>
  <c r="BN528" i="2"/>
  <c r="BN542" i="2"/>
  <c r="L569" i="2"/>
  <c r="BN22" i="2"/>
  <c r="Y33" i="2"/>
  <c r="BN79" i="2"/>
  <c r="BN109" i="2"/>
  <c r="Y177" i="2"/>
  <c r="BN216" i="2"/>
  <c r="Y240" i="2"/>
  <c r="Y312" i="2"/>
  <c r="BP64" i="2"/>
  <c r="Z72" i="2"/>
  <c r="BN85" i="2"/>
  <c r="Z88" i="2"/>
  <c r="BN114" i="2"/>
  <c r="Z143" i="2"/>
  <c r="BN156" i="2"/>
  <c r="BP169" i="2"/>
  <c r="BP184" i="2"/>
  <c r="BN187" i="2"/>
  <c r="BN197" i="2"/>
  <c r="BN211" i="2"/>
  <c r="BN222" i="2"/>
  <c r="BN232" i="2"/>
  <c r="BN252" i="2"/>
  <c r="Z263" i="2"/>
  <c r="Z264" i="2" s="1"/>
  <c r="BN275" i="2"/>
  <c r="BN285" i="2"/>
  <c r="Z293" i="2"/>
  <c r="BN306" i="2"/>
  <c r="BP318" i="2"/>
  <c r="BN329" i="2"/>
  <c r="BN340" i="2"/>
  <c r="BP353" i="2"/>
  <c r="BN375" i="2"/>
  <c r="BN385" i="2"/>
  <c r="Y388" i="2"/>
  <c r="BP397" i="2"/>
  <c r="Z405" i="2"/>
  <c r="Z407" i="2" s="1"/>
  <c r="BN418" i="2"/>
  <c r="Z431" i="2"/>
  <c r="Z439" i="2" s="1"/>
  <c r="BP433" i="2"/>
  <c r="BP443" i="2"/>
  <c r="Y456" i="2"/>
  <c r="BN478" i="2"/>
  <c r="Y489" i="2"/>
  <c r="Z511" i="2"/>
  <c r="BN523" i="2"/>
  <c r="Y536" i="2"/>
  <c r="Y548" i="2"/>
  <c r="M569" i="2"/>
  <c r="Y120" i="2"/>
  <c r="BN124" i="2"/>
  <c r="Y193" i="2"/>
  <c r="BN247" i="2"/>
  <c r="Y301" i="2"/>
  <c r="Y42" i="2"/>
  <c r="BP22" i="2"/>
  <c r="Z30" i="2"/>
  <c r="Z77" i="2"/>
  <c r="BP79" i="2"/>
  <c r="Z93" i="2"/>
  <c r="BP109" i="2"/>
  <c r="Z117" i="2"/>
  <c r="BN138" i="2"/>
  <c r="Z148" i="2"/>
  <c r="Z159" i="2"/>
  <c r="Y173" i="2"/>
  <c r="Z182" i="2"/>
  <c r="Z190" i="2"/>
  <c r="Z214" i="2"/>
  <c r="BP216" i="2"/>
  <c r="Z235" i="2"/>
  <c r="BP237" i="2"/>
  <c r="Z245" i="2"/>
  <c r="BP247" i="2"/>
  <c r="BN257" i="2"/>
  <c r="Z268" i="2"/>
  <c r="Z278" i="2"/>
  <c r="Z288" i="2"/>
  <c r="Z298" i="2"/>
  <c r="Z309" i="2"/>
  <c r="BP323" i="2"/>
  <c r="Z332" i="2"/>
  <c r="BP359" i="2"/>
  <c r="Z368" i="2"/>
  <c r="BP370" i="2"/>
  <c r="Z378" i="2"/>
  <c r="BP380" i="2"/>
  <c r="Z410" i="2"/>
  <c r="BP412" i="2"/>
  <c r="Y439" i="2"/>
  <c r="BP448" i="2"/>
  <c r="Z469" i="2"/>
  <c r="BP471" i="2"/>
  <c r="Z481" i="2"/>
  <c r="BP496" i="2"/>
  <c r="Z506" i="2"/>
  <c r="BP508" i="2"/>
  <c r="Z516" i="2"/>
  <c r="BP518" i="2"/>
  <c r="Z526" i="2"/>
  <c r="BP528" i="2"/>
  <c r="BP542" i="2"/>
  <c r="Y553" i="2"/>
  <c r="BN143" i="2"/>
  <c r="Y178" i="2"/>
  <c r="BP197" i="2"/>
  <c r="BP222" i="2"/>
  <c r="BN263" i="2"/>
  <c r="BN293" i="2"/>
  <c r="Y319" i="2"/>
  <c r="BP329" i="2"/>
  <c r="BP340" i="2"/>
  <c r="Y363" i="2"/>
  <c r="BN405" i="2"/>
  <c r="BP418" i="2"/>
  <c r="BN431" i="2"/>
  <c r="Y452" i="2"/>
  <c r="Y500" i="2"/>
  <c r="BN511" i="2"/>
  <c r="Y248" i="2"/>
  <c r="Y371" i="2"/>
  <c r="Y381" i="2"/>
  <c r="Y389" i="2"/>
  <c r="Y413" i="2"/>
  <c r="Y457" i="2"/>
  <c r="Y472" i="2"/>
  <c r="Y519" i="2"/>
  <c r="Y529" i="2"/>
  <c r="Y543" i="2"/>
  <c r="Z23" i="2"/>
  <c r="Z24" i="2" s="1"/>
  <c r="Z80" i="2"/>
  <c r="Y99" i="2"/>
  <c r="Z110" i="2"/>
  <c r="Z111" i="2" s="1"/>
  <c r="Z125" i="2"/>
  <c r="BP431" i="2"/>
  <c r="Y440" i="2"/>
  <c r="Z556" i="2"/>
  <c r="Z557" i="2" s="1"/>
  <c r="Y43" i="2"/>
  <c r="Z175" i="2"/>
  <c r="Z28" i="2"/>
  <c r="Z40" i="2"/>
  <c r="BN55" i="2"/>
  <c r="Y68" i="2"/>
  <c r="Z86" i="2"/>
  <c r="Z115" i="2"/>
  <c r="Z128" i="2"/>
  <c r="Z133" i="2"/>
  <c r="Z134" i="2" s="1"/>
  <c r="Z157" i="2"/>
  <c r="Z180" i="2"/>
  <c r="Z188" i="2"/>
  <c r="Z212" i="2"/>
  <c r="Z233" i="2"/>
  <c r="Z243" i="2"/>
  <c r="Z253" i="2"/>
  <c r="Z276" i="2"/>
  <c r="Z286" i="2"/>
  <c r="Z307" i="2"/>
  <c r="Y320" i="2"/>
  <c r="Z330" i="2"/>
  <c r="Z366" i="2"/>
  <c r="Z376" i="2"/>
  <c r="Z386" i="2"/>
  <c r="Y401" i="2"/>
  <c r="Z454" i="2"/>
  <c r="Z479" i="2"/>
  <c r="BN492" i="2"/>
  <c r="Z504" i="2"/>
  <c r="Z524" i="2"/>
  <c r="BN538" i="2"/>
  <c r="BN550" i="2"/>
  <c r="S569" i="2"/>
  <c r="BN125" i="2"/>
  <c r="BN175" i="2"/>
  <c r="Y249" i="2"/>
  <c r="Y264" i="2"/>
  <c r="BN324" i="2"/>
  <c r="BN360" i="2"/>
  <c r="Y372" i="2"/>
  <c r="Y382" i="2"/>
  <c r="Y414" i="2"/>
  <c r="Y473" i="2"/>
  <c r="Y520" i="2"/>
  <c r="Y530" i="2"/>
  <c r="Y544" i="2"/>
  <c r="BN556" i="2"/>
  <c r="T569" i="2"/>
  <c r="F9" i="2"/>
  <c r="Z89" i="2"/>
  <c r="Z94" i="2"/>
  <c r="Y100" i="2"/>
  <c r="BP538" i="2"/>
  <c r="B569" i="2"/>
  <c r="U569" i="2"/>
  <c r="Z73" i="2"/>
  <c r="Y69" i="2"/>
  <c r="Z78" i="2"/>
  <c r="Z123" i="2"/>
  <c r="Z183" i="2"/>
  <c r="Z191" i="2"/>
  <c r="Z215" i="2"/>
  <c r="Z236" i="2"/>
  <c r="Z246" i="2"/>
  <c r="Z279" i="2"/>
  <c r="Z289" i="2"/>
  <c r="Z299" i="2"/>
  <c r="Z310" i="2"/>
  <c r="Z322" i="2"/>
  <c r="Z325" i="2" s="1"/>
  <c r="Z333" i="2"/>
  <c r="Z369" i="2"/>
  <c r="Z379" i="2"/>
  <c r="Y402" i="2"/>
  <c r="Z411" i="2"/>
  <c r="Z470" i="2"/>
  <c r="Z482" i="2"/>
  <c r="Z507" i="2"/>
  <c r="Z517" i="2"/>
  <c r="Z527" i="2"/>
  <c r="BP556" i="2"/>
  <c r="H9" i="2"/>
  <c r="Z31" i="2"/>
  <c r="Y61" i="2"/>
  <c r="Z118" i="2"/>
  <c r="Z149" i="2"/>
  <c r="Z160" i="2"/>
  <c r="J9" i="2"/>
  <c r="BN73" i="2"/>
  <c r="BN89" i="2"/>
  <c r="BN94" i="2"/>
  <c r="Y355" i="2"/>
  <c r="BN442" i="2"/>
  <c r="Y445" i="2"/>
  <c r="Z477" i="2"/>
  <c r="BP504" i="2"/>
  <c r="Z534" i="2"/>
  <c r="Z535" i="2" s="1"/>
  <c r="Z546" i="2"/>
  <c r="Z547" i="2" s="1"/>
  <c r="BN215" i="2"/>
  <c r="Y218" i="2"/>
  <c r="BN236" i="2"/>
  <c r="BN246" i="2"/>
  <c r="Y270" i="2"/>
  <c r="BN279" i="2"/>
  <c r="BN289" i="2"/>
  <c r="BN299" i="2"/>
  <c r="BN310" i="2"/>
  <c r="BN322" i="2"/>
  <c r="Y325" i="2"/>
  <c r="BN333" i="2"/>
  <c r="BN369" i="2"/>
  <c r="BN379" i="2"/>
  <c r="BN411" i="2"/>
  <c r="BN470" i="2"/>
  <c r="BN482" i="2"/>
  <c r="BN507" i="2"/>
  <c r="BN517" i="2"/>
  <c r="BN527" i="2"/>
  <c r="Z551" i="2"/>
  <c r="Z552" i="2" s="1"/>
  <c r="Y557" i="2"/>
  <c r="Z176" i="2"/>
  <c r="Z87" i="2"/>
  <c r="Z29" i="2"/>
  <c r="Z116" i="2"/>
  <c r="BP149" i="2"/>
  <c r="Z158" i="2"/>
  <c r="Z181" i="2"/>
  <c r="Z189" i="2"/>
  <c r="Z213" i="2"/>
  <c r="Z234" i="2"/>
  <c r="Z244" i="2"/>
  <c r="Z267" i="2"/>
  <c r="Z277" i="2"/>
  <c r="Z287" i="2"/>
  <c r="BP299" i="2"/>
  <c r="Z308" i="2"/>
  <c r="Z331" i="2"/>
  <c r="Y356" i="2"/>
  <c r="Z367" i="2"/>
  <c r="Z377" i="2"/>
  <c r="Z387" i="2"/>
  <c r="Z455" i="2"/>
  <c r="Z480" i="2"/>
  <c r="Y494" i="2"/>
  <c r="Z505" i="2"/>
  <c r="BN551" i="2"/>
  <c r="BP546" i="2"/>
  <c r="Y558" i="2"/>
  <c r="Y32" i="2"/>
  <c r="BN158" i="2"/>
  <c r="Z169" i="2"/>
  <c r="Z172" i="2" s="1"/>
  <c r="Y192" i="2"/>
  <c r="BN277" i="2"/>
  <c r="BN308" i="2"/>
  <c r="BN331" i="2"/>
  <c r="BN480" i="2"/>
  <c r="AB569" i="2"/>
  <c r="Z51" i="2" l="1"/>
  <c r="Z401" i="2"/>
  <c r="Z240" i="2"/>
  <c r="Z419" i="2"/>
  <c r="Z150" i="2"/>
  <c r="Z68" i="2"/>
  <c r="Z129" i="2"/>
  <c r="Z61" i="2"/>
  <c r="Z254" i="2"/>
  <c r="Z145" i="2"/>
  <c r="Z388" i="2"/>
  <c r="Z426" i="2"/>
  <c r="Z341" i="2"/>
  <c r="Z198" i="2"/>
  <c r="Z269" i="2"/>
  <c r="Z381" i="2"/>
  <c r="Y560" i="2"/>
  <c r="Z280" i="2"/>
  <c r="Z394" i="2"/>
  <c r="Z90" i="2"/>
  <c r="Z42" i="2"/>
  <c r="Z161" i="2"/>
  <c r="Z177" i="2"/>
  <c r="X562" i="2"/>
  <c r="Z445" i="2"/>
  <c r="Z483" i="2"/>
  <c r="Z371" i="2"/>
  <c r="Z529" i="2"/>
  <c r="Z295" i="2"/>
  <c r="Y563" i="2"/>
  <c r="Y559" i="2"/>
  <c r="Z74" i="2"/>
  <c r="Z311" i="2"/>
  <c r="Z218" i="2"/>
  <c r="Z413" i="2"/>
  <c r="Z334" i="2"/>
  <c r="Z32" i="2"/>
  <c r="Z248" i="2"/>
  <c r="Z519" i="2"/>
  <c r="Z300" i="2"/>
  <c r="Z99" i="2"/>
  <c r="Z513" i="2"/>
  <c r="Z192" i="2"/>
  <c r="Z81" i="2"/>
  <c r="Z119" i="2"/>
  <c r="Z456" i="2"/>
  <c r="Z472" i="2"/>
  <c r="Y561" i="2"/>
  <c r="Y562" i="2" l="1"/>
  <c r="Z564" i="2"/>
</calcChain>
</file>

<file path=xl/sharedStrings.xml><?xml version="1.0" encoding="utf-8"?>
<sst xmlns="http://schemas.openxmlformats.org/spreadsheetml/2006/main" count="4337" uniqueCount="918">
  <si>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</si>
  <si>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</si>
  <si>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</si>
  <si>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</si>
  <si>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</si>
  <si>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</si>
  <si>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</si>
  <si>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</si>
  <si>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</si>
  <si>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</si>
  <si>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</si>
  <si>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</si>
  <si>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</si>
  <si>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</si>
  <si>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</si>
  <si>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</si>
  <si>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</si>
  <si>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</si>
  <si>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</si>
  <si>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</si>
  <si>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</si>
  <si>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</si>
  <si>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</si>
  <si>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</si>
  <si>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</si>
  <si>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</si>
  <si>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</si>
  <si>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</si>
  <si>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</si>
  <si>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</si>
  <si>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</si>
  <si>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</si>
  <si>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</si>
  <si>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</si>
  <si>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</si>
  <si>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</si>
  <si>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</si>
  <si>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</si>
  <si>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</si>
  <si>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</si>
  <si>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</si>
  <si>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</si>
  <si>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</si>
  <si>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</si>
  <si>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</si>
  <si>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</si>
  <si>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</si>
  <si>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</si>
  <si>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</si>
  <si>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</si>
  <si>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</si>
  <si>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</si>
  <si>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</si>
  <si>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</si>
  <si>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</si>
  <si>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</si>
  <si>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</si>
  <si>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</si>
  <si>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</si>
  <si>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</si>
  <si>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</si>
  <si>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</si>
  <si>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</si>
  <si>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</si>
  <si>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</si>
  <si>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</si>
  <si>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</si>
  <si>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</si>
  <si>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</si>
  <si>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</si>
  <si>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</si>
  <si>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</si>
  <si>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</si>
  <si>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</si>
  <si>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</si>
  <si>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</si>
  <si>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</si>
  <si>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</si>
  <si>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</si>
  <si>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</si>
  <si>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</si>
  <si>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</si>
  <si>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</si>
  <si>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</si>
  <si>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</si>
  <si>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</si>
  <si>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</si>
  <si>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</si>
  <si>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</si>
  <si>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</si>
  <si>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</si>
  <si>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</si>
  <si>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</si>
  <si>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</si>
  <si>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</si>
  <si>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</si>
  <si>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</si>
  <si>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</si>
  <si>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</si>
  <si>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</si>
  <si>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</si>
  <si>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</si>
  <si>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</si>
  <si>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</si>
  <si>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</si>
  <si>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</si>
  <si>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</si>
  <si>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</si>
  <si>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</si>
  <si>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</si>
  <si>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</si>
  <si>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</si>
  <si>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</si>
  <si>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</si>
  <si>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</si>
  <si>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</si>
  <si>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</si>
  <si>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</si>
  <si>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</si>
  <si>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</si>
  <si>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</si>
  <si>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</si>
  <si>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</si>
  <si>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</si>
  <si>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</si>
  <si>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</si>
  <si>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</si>
  <si>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</si>
  <si>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</si>
  <si>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</si>
  <si>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</si>
  <si>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</si>
  <si>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</si>
  <si>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</si>
  <si>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</si>
  <si>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</si>
  <si>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</si>
  <si>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</si>
  <si>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</si>
  <si>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</si>
  <si>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</si>
  <si>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</si>
  <si>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</si>
  <si>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</si>
  <si>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</si>
  <si>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</si>
  <si>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</si>
  <si>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</si>
  <si>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</si>
  <si>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</si>
  <si>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</si>
  <si>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</si>
  <si>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</si>
  <si>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</si>
  <si>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</si>
  <si>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</si>
  <si>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</si>
  <si>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</si>
  <si>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</si>
  <si>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</si>
  <si>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</si>
  <si>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</si>
  <si>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</si>
  <si>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</si>
  <si>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</si>
  <si>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</si>
  <si>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</si>
  <si>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</si>
  <si>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</si>
  <si>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</si>
  <si>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</si>
  <si>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</si>
  <si>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</si>
  <si>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</si>
  <si>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</si>
  <si>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</si>
  <si>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</si>
  <si>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</si>
  <si>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</si>
  <si>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</si>
  <si>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</si>
  <si>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</si>
  <si>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</si>
  <si>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</si>
  <si>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</si>
  <si>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</si>
  <si>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</si>
  <si>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</si>
  <si>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</si>
  <si>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</si>
  <si>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</si>
  <si>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</si>
  <si>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</si>
  <si>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</si>
  <si>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</si>
  <si>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</si>
  <si>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</si>
  <si>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</si>
  <si>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</si>
  <si>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</si>
  <si>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</si>
  <si>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</si>
  <si>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</si>
  <si>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</si>
  <si>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</si>
  <si>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</si>
  <si>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</si>
  <si>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</si>
  <si>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</si>
  <si>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</si>
  <si>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</si>
  <si>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</si>
  <si>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</si>
  <si>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</si>
  <si>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</si>
  <si>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</si>
  <si>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</si>
  <si>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</si>
  <si>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</si>
  <si>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</si>
  <si>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</si>
  <si>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</si>
  <si>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</si>
  <si>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</si>
  <si>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</si>
  <si>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</si>
  <si>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</si>
  <si>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</si>
  <si>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</si>
  <si>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</si>
  <si>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</si>
  <si>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</si>
  <si>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</si>
  <si>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</si>
  <si>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</si>
  <si>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</si>
  <si>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</si>
  <si>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</si>
  <si>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</si>
  <si>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</si>
  <si>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</si>
  <si>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</si>
  <si>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</si>
  <si>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</si>
  <si>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</si>
  <si>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</si>
  <si>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</si>
  <si>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</si>
  <si>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</si>
  <si>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</si>
  <si>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</si>
  <si>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</si>
  <si>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</si>
  <si>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</si>
  <si>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</si>
  <si>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</si>
  <si>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</si>
  <si>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</si>
  <si>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</si>
  <si>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</si>
  <si>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</si>
  <si>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</si>
  <si>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</si>
  <si>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</si>
  <si>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</si>
  <si>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</si>
  <si>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</si>
  <si>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</si>
  <si>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</si>
  <si>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</si>
  <si>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</si>
  <si>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</si>
  <si>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</si>
  <si>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</si>
  <si>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</si>
  <si>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</si>
  <si>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</si>
  <si>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</si>
  <si>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</si>
  <si>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</si>
  <si>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</si>
  <si>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</si>
  <si>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</si>
  <si>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</si>
  <si>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</si>
  <si>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</si>
  <si>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</si>
  <si>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</si>
  <si>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</si>
  <si>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</si>
  <si>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</si>
  <si>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</si>
  <si>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</si>
  <si>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</si>
  <si>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</si>
  <si>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</si>
  <si>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</si>
  <si>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</si>
  <si>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</si>
  <si>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</si>
  <si>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</si>
  <si>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</si>
  <si>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</si>
  <si>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</si>
  <si>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</si>
  <si>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</si>
  <si>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</si>
  <si>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</si>
  <si>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</si>
  <si>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</si>
  <si>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</si>
  <si>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</si>
  <si>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</si>
  <si>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</si>
  <si>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</si>
  <si>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</si>
  <si>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</si>
  <si>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</si>
  <si>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</si>
  <si>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</si>
  <si>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</si>
  <si>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</si>
  <si>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</si>
  <si>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</si>
  <si>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</si>
  <si>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</si>
  <si>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</si>
  <si>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</si>
  <si>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</si>
  <si>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</si>
  <si>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</si>
  <si>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</si>
  <si>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</si>
  <si>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</si>
  <si>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</si>
  <si>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</si>
  <si>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</si>
  <si>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</si>
  <si>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</si>
  <si>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</si>
  <si>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</si>
  <si>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</si>
  <si>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</si>
  <si>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</si>
  <si>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</si>
  <si>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</si>
  <si>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</si>
  <si>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</si>
  <si>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</si>
  <si>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</si>
  <si>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</si>
  <si>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</si>
  <si>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</si>
  <si>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</si>
  <si>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</si>
  <si>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</si>
  <si>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</si>
  <si>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</si>
  <si>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</si>
  <si>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</si>
  <si>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</si>
  <si>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</si>
  <si>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</si>
  <si>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</si>
  <si>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</si>
  <si>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</si>
  <si>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</si>
  <si>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</si>
  <si>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</si>
  <si>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</si>
  <si>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</si>
  <si>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</si>
  <si>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</si>
  <si>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</si>
  <si>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</si>
  <si>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</si>
  <si>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</si>
  <si>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</si>
  <si>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</si>
  <si>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</si>
  <si>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</si>
  <si>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</si>
  <si>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</si>
  <si>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</si>
  <si>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</si>
  <si>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</si>
  <si>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</si>
  <si>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</si>
  <si>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</si>
  <si>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</si>
  <si>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</si>
  <si>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</si>
  <si>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</si>
  <si>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</si>
  <si>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</si>
  <si>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</si>
  <si>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</si>
  <si>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</si>
  <si>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</si>
  <si>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</si>
  <si>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</si>
  <si>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</si>
  <si>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</si>
  <si>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</si>
  <si>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</si>
  <si>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</si>
  <si>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</si>
  <si>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</si>
  <si>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</si>
  <si>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</si>
  <si>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</si>
  <si>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</si>
  <si>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</si>
  <si>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</si>
  <si>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</si>
  <si>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</si>
  <si>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</si>
  <si>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</si>
  <si>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</si>
  <si>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</si>
  <si>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</si>
  <si>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</si>
  <si>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</si>
  <si>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</si>
  <si>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</si>
  <si>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</si>
  <si>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</si>
  <si>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</si>
  <si>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</si>
  <si>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</si>
  <si>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</si>
  <si>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</si>
  <si>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</si>
  <si>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</si>
  <si>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</si>
  <si>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</si>
  <si>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</si>
  <si>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</si>
  <si>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</si>
  <si>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</si>
  <si>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</si>
  <si>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</si>
  <si>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</si>
  <si>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</si>
  <si>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</si>
  <si>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</si>
  <si>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</si>
  <si>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</si>
  <si>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</si>
  <si>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</si>
  <si>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</si>
  <si>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</si>
  <si>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</si>
  <si>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</si>
  <si>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</si>
  <si>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</si>
  <si>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</si>
  <si>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</si>
  <si>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</si>
  <si>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</si>
  <si>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</si>
  <si>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</si>
  <si>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</si>
  <si>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</si>
  <si>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</si>
  <si>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</si>
  <si>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</si>
  <si>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</si>
  <si>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</si>
  <si>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</si>
  <si>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</si>
  <si>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</si>
  <si>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</si>
  <si>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</si>
  <si>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</si>
  <si>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</si>
  <si>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</si>
  <si>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</si>
  <si>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</si>
  <si>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</si>
  <si>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</si>
  <si>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</si>
  <si>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</si>
  <si>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</si>
  <si>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</si>
  <si>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</si>
  <si>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</si>
  <si>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</si>
  <si>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</si>
  <si>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</si>
  <si>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</si>
  <si>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</si>
  <si>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</si>
  <si>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</si>
  <si>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</si>
  <si>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</si>
  <si>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</si>
  <si>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</si>
  <si>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</si>
  <si>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</si>
  <si>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</si>
  <si>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</si>
  <si>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</si>
  <si>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</si>
  <si>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</si>
  <si>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</si>
  <si>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</si>
  <si>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</si>
  <si>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</si>
  <si>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</si>
  <si>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</si>
  <si>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</si>
  <si>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</si>
  <si>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</si>
  <si>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</si>
  <si>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</si>
  <si>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</si>
  <si>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</si>
  <si>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</si>
  <si>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</si>
  <si>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</si>
  <si>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</si>
  <si>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</si>
  <si>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</si>
  <si>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</si>
  <si>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</si>
  <si>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</si>
  <si>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</si>
  <si>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</si>
  <si>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</si>
  <si>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</si>
  <si>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</si>
  <si>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</si>
  <si>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</si>
  <si>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</si>
  <si>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</si>
  <si>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</si>
  <si>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</si>
  <si>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</si>
  <si>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</si>
  <si>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</si>
  <si>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</si>
  <si>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</si>
  <si>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</si>
  <si>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</si>
  <si>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</si>
  <si>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</si>
  <si>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</si>
  <si>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</si>
  <si>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</si>
  <si>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</si>
  <si>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</si>
  <si>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</si>
  <si>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</si>
  <si>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</si>
  <si>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</si>
  <si>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</si>
  <si>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</si>
  <si>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</si>
  <si>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</si>
  <si>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</si>
  <si>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</si>
  <si>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</si>
  <si>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</si>
  <si>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</si>
  <si>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</si>
  <si>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</si>
  <si>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</si>
  <si>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</si>
  <si>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</si>
  <si>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</si>
  <si>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</si>
  <si>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</si>
  <si>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</si>
  <si>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</si>
  <si>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</si>
  <si>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</si>
  <si>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</si>
  <si>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</si>
  <si>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</si>
  <si>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</si>
  <si>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</si>
  <si>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</si>
  <si>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</si>
  <si>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</si>
  <si>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</si>
  <si>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</si>
  <si>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</si>
  <si>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</si>
  <si>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</si>
  <si>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</si>
  <si>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</si>
  <si>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</si>
  <si>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</si>
  <si>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</si>
  <si>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</si>
  <si>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</si>
  <si>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</si>
  <si>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</si>
  <si>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</si>
  <si>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</si>
  <si>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</si>
  <si>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</si>
  <si>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</si>
  <si>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</si>
  <si>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</si>
  <si>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</si>
  <si>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</si>
  <si>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</si>
  <si>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</si>
  <si>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</si>
  <si>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</si>
  <si>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</si>
  <si>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</si>
  <si>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</si>
  <si>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</si>
  <si>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</si>
  <si>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</si>
  <si>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</si>
  <si>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</si>
  <si>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</si>
  <si>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</si>
  <si>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</si>
  <si>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</si>
  <si>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</si>
  <si>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</si>
  <si>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</si>
  <si>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</si>
  <si>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</si>
  <si>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</si>
  <si>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</si>
  <si>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</si>
  <si>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</si>
  <si>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</si>
  <si>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</si>
  <si>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</si>
  <si>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</si>
  <si>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</si>
  <si>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</si>
  <si>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</si>
  <si>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</si>
  <si>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</si>
  <si>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</si>
  <si>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</si>
  <si>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</si>
  <si>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</si>
  <si>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</si>
  <si>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</si>
  <si>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</si>
  <si>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</si>
  <si>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</si>
  <si>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</si>
  <si>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</si>
  <si>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</si>
  <si>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</si>
  <si>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</si>
  <si>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</si>
  <si>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</si>
  <si>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</si>
  <si>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</si>
  <si>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</si>
  <si>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</si>
  <si>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</si>
  <si>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</si>
  <si>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</si>
  <si>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</si>
  <si>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</si>
  <si>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</si>
  <si>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</si>
  <si>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</si>
  <si>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</si>
  <si>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</si>
  <si>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</si>
  <si>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</si>
  <si>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</si>
  <si>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</si>
  <si>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</si>
  <si>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</si>
  <si>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</si>
  <si>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</si>
  <si>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</si>
  <si>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</si>
  <si>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</si>
  <si>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</si>
  <si>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</si>
  <si>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</si>
  <si>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</si>
  <si>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</si>
  <si>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</si>
  <si>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</si>
  <si>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</si>
  <si>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</si>
  <si>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</si>
  <si>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</si>
  <si>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</si>
  <si>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</si>
  <si>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</si>
  <si>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</si>
  <si>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</si>
  <si>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</si>
  <si>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</si>
  <si>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</si>
  <si>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</si>
  <si>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</si>
  <si>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</si>
  <si>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</si>
  <si>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</si>
  <si>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</si>
  <si>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</si>
  <si>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</si>
  <si>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</si>
  <si>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</si>
  <si>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</si>
  <si>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</si>
  <si>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</si>
  <si>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</si>
  <si>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</si>
  <si>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</si>
  <si>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</si>
  <si>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</si>
  <si>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</si>
  <si>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</si>
  <si>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</si>
  <si>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</si>
  <si>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</si>
  <si>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</si>
  <si>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</si>
  <si>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</si>
  <si>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</si>
  <si>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</si>
  <si>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</si>
  <si>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</si>
  <si>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</si>
  <si>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</si>
  <si>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</si>
  <si>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</si>
  <si>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</si>
  <si>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</si>
  <si>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</si>
  <si>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</si>
  <si>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</si>
  <si>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</si>
  <si>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</si>
  <si>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</si>
  <si>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</si>
  <si>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</si>
  <si>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</si>
  <si>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</si>
  <si>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</si>
  <si>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</si>
  <si>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</si>
  <si>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</si>
  <si>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</si>
  <si>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</si>
  <si>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</si>
  <si>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</si>
  <si>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</si>
  <si>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</si>
  <si>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</si>
  <si>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</si>
  <si>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</si>
  <si>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</si>
  <si>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</si>
  <si>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</si>
  <si>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</si>
  <si>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</si>
  <si>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</si>
  <si>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</si>
  <si>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</si>
  <si>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</si>
  <si>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</si>
  <si>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</si>
  <si>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</si>
  <si>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</si>
  <si>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</si>
  <si>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</si>
  <si>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</si>
  <si>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</si>
  <si>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</si>
  <si>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</si>
  <si>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</si>
  <si>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</si>
  <si>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</si>
  <si>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</si>
  <si>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</si>
  <si>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</si>
  <si>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</si>
  <si>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</si>
  <si>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</si>
  <si>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</si>
  <si>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</si>
  <si>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</si>
  <si>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</si>
  <si>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</si>
  <si>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</si>
  <si>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</si>
  <si>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</si>
  <si>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</si>
  <si>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</si>
  <si>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</si>
  <si>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</si>
  <si>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</si>
  <si>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</si>
  <si>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</si>
  <si>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</si>
  <si>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</si>
  <si>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</si>
  <si>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</si>
  <si>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</si>
  <si>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</si>
  <si>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</si>
  <si>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</si>
  <si>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</si>
  <si>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</si>
  <si>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</si>
  <si>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</si>
  <si>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</si>
  <si>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</si>
  <si>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</si>
  <si>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</si>
  <si>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</si>
  <si>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</si>
  <si>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</si>
  <si>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</si>
  <si>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</si>
  <si>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</si>
  <si>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</si>
  <si>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</si>
  <si>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</si>
  <si>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</si>
  <si>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</si>
  <si>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</si>
  <si>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</si>
  <si>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</si>
  <si>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</si>
  <si>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</si>
  <si>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</si>
  <si>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</si>
  <si>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</si>
  <si>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</si>
  <si>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</si>
  <si>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</si>
  <si>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</si>
  <si>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</si>
  <si>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</si>
  <si>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</si>
  <si>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</si>
  <si>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</si>
  <si>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</si>
  <si>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</si>
  <si>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</si>
  <si>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</si>
  <si>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</si>
  <si>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</si>
  <si>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</si>
  <si>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</si>
  <si>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</si>
  <si>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</si>
  <si>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</si>
  <si>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</si>
  <si>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</si>
  <si>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</si>
  <si>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</si>
  <si>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</si>
  <si>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</si>
  <si>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</si>
  <si>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</si>
  <si>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</si>
  <si>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</si>
  <si>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</si>
  <si>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</si>
  <si>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</si>
  <si>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</si>
  <si>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</si>
  <si>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</si>
  <si>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</si>
  <si>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</si>
  <si>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</si>
  <si>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</si>
  <si>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</si>
  <si>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</si>
  <si>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</si>
  <si>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</si>
  <si>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</si>
  <si>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</si>
  <si>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</si>
  <si>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</si>
  <si>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</si>
  <si>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</si>
  <si>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</si>
  <si>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</si>
  <si>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</si>
  <si>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</si>
  <si>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</si>
  <si>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</si>
  <si>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</si>
  <si>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</si>
  <si>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</si>
  <si>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</si>
  <si>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</si>
  <si>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</si>
  <si>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</si>
  <si>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</si>
  <si>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</si>
  <si>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</si>
  <si>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</si>
  <si>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</si>
  <si>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</si>
  <si>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</si>
  <si>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</si>
  <si>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</si>
  <si>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</si>
  <si>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</si>
  <si>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</si>
  <si>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</si>
  <si>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</si>
  <si>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TSO001091582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</si>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</sst>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98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7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 filterMode="1"/>
  <dimension ref="A1:BP569"/>
  <sheetViews>
    <sheetView showGridLines="0" tabSelected="1" topLeftCell="C1" zoomScaleNormal="100" zoomScaleSheetLayoutView="100" workbookViewId="0">
      <selection activeCell="Q9" sqref="Q9:R9"/>
    </sheetView>
  </sheetViews>
  <sheetFormatPr defaultColWidth="9.109375" defaultRowHeight="13.2" x14ac:dyDescent="0.25"/>
  <cols>
    <col min="1" max="1" width="9.109375" style="1"/>
    <col min="2" max="2" width="10.88671875" style="4" customWidth="1"/>
    <col min="3" max="3" width="12.5546875" style="4" customWidth="1"/>
    <col min="4" max="4" width="6.44140625" style="4" customWidth="1"/>
    <col min="5" max="5" width="6.88671875" style="4" customWidth="1"/>
    <col min="6" max="6" width="8.44140625" style="4" customWidth="1"/>
    <col min="7" max="7" width="9.44140625" style="4" customWidth="1"/>
    <col min="8" max="8" width="11.88671875" style="4" customWidth="1"/>
    <col min="9" max="9" width="9.44140625" style="4" customWidth="1"/>
    <col min="10" max="10" width="9.109375" style="5" customWidth="1"/>
    <col min="11" max="12" width="13.88671875" style="5" customWidth="1"/>
    <col min="13" max="13" width="9.44140625" style="5" customWidth="1"/>
    <col min="14" max="14" width="15.88671875" style="5" hidden="1" customWidth="1"/>
    <col min="15" max="15" width="10.44140625" style="4" customWidth="1"/>
    <col min="16" max="16" width="7.44140625" style="2" customWidth="1"/>
    <col min="17" max="17" width="15.5546875" style="2" customWidth="1"/>
    <col min="18" max="18" width="8.109375" style="1" customWidth="1"/>
    <col min="19" max="19" width="6.109375" style="1" customWidth="1"/>
    <col min="20" max="20" width="10.88671875" style="3" customWidth="1"/>
    <col min="21" max="21" width="10.44140625" style="3" customWidth="1"/>
    <col min="22" max="22" width="9.44140625" style="3" customWidth="1"/>
    <col min="23" max="23" width="8.44140625" style="3" customWidth="1"/>
    <col min="24" max="24" width="10" style="1" customWidth="1"/>
    <col min="25" max="25" width="11" style="1" customWidth="1"/>
    <col min="26" max="26" width="10" style="1" customWidth="1"/>
    <col min="27" max="27" width="11.5546875" style="1" customWidth="1"/>
    <col min="28" max="28" width="10.44140625" style="1" customWidth="1"/>
    <col min="29" max="29" width="30" style="1" customWidth="1"/>
    <col min="30" max="30" width="11.44140625" style="9" bestFit="1" customWidth="1"/>
    <col min="31" max="31" width="9.109375" style="9"/>
    <col min="32" max="32" width="8.88671875" style="9" customWidth="1"/>
    <col min="33" max="33" width="13.5546875" style="1" customWidth="1"/>
    <col min="34" max="16384" width="9.109375" style="1"/>
  </cols>
  <sheetData>
    <row r="1" spans="1:32" s="17" customFormat="1" ht="45" customHeight="1" x14ac:dyDescent="0.25">
      <c r="A1" s="45"/>
      <c r="B1" s="45"/>
      <c r="C1" s="45"/>
      <c r="D1" s="988" t="s">
        <v>26</v>
      </c>
      <c r="E1" s="988"/>
      <c r="F1" s="988"/>
      <c r="G1" s="14" t="s">
        <v>66</v>
      </c>
      <c r="H1" s="988" t="s">
        <v>47</v>
      </c>
      <c r="I1" s="988"/>
      <c r="J1" s="988"/>
      <c r="K1" s="988"/>
      <c r="L1" s="988"/>
      <c r="M1" s="988"/>
      <c r="N1" s="988"/>
      <c r="O1" s="988"/>
      <c r="P1" s="988"/>
      <c r="Q1" s="988"/>
      <c r="R1" s="989" t="s">
        <v>67</v>
      </c>
      <c r="S1" s="990"/>
      <c r="T1" s="99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5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1"/>
      <c r="R2" s="991"/>
      <c r="S2" s="991"/>
      <c r="T2" s="991"/>
      <c r="U2" s="991"/>
      <c r="V2" s="991"/>
      <c r="W2" s="99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5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1"/>
      <c r="Q3" s="991"/>
      <c r="R3" s="991"/>
      <c r="S3" s="991"/>
      <c r="T3" s="991"/>
      <c r="U3" s="991"/>
      <c r="V3" s="991"/>
      <c r="W3" s="99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" customHeight="1" x14ac:dyDescent="0.25">
      <c r="A5" s="992" t="s">
        <v>8</v>
      </c>
      <c r="B5" s="992"/>
      <c r="C5" s="992"/>
      <c r="D5" s="993"/>
      <c r="E5" s="993"/>
      <c r="F5" s="994" t="s">
        <v>14</v>
      </c>
      <c r="G5" s="994"/>
      <c r="H5" s="993" t="s">
        <v>916</v>
      </c>
      <c r="I5" s="993"/>
      <c r="J5" s="993"/>
      <c r="K5" s="993"/>
      <c r="L5" s="993"/>
      <c r="M5" s="993"/>
      <c r="N5" s="69"/>
      <c r="P5" s="26" t="s">
        <v>4</v>
      </c>
      <c r="Q5" s="995">
        <v>46263</v>
      </c>
      <c r="R5" s="995"/>
      <c r="T5" s="996" t="s">
        <v>3</v>
      </c>
      <c r="U5" s="997"/>
      <c r="V5" s="998" t="s">
        <v>876</v>
      </c>
      <c r="W5" s="999"/>
      <c r="AB5" s="57"/>
      <c r="AC5" s="57"/>
      <c r="AD5" s="57"/>
      <c r="AE5" s="57"/>
    </row>
    <row r="6" spans="1:32" s="17" customFormat="1" ht="24" customHeight="1" x14ac:dyDescent="0.25">
      <c r="A6" s="992" t="s">
        <v>1</v>
      </c>
      <c r="B6" s="992"/>
      <c r="C6" s="992"/>
      <c r="D6" s="1000" t="s">
        <v>895</v>
      </c>
      <c r="E6" s="1000"/>
      <c r="F6" s="1000"/>
      <c r="G6" s="1000"/>
      <c r="H6" s="1000"/>
      <c r="I6" s="1000"/>
      <c r="J6" s="1000"/>
      <c r="K6" s="1000"/>
      <c r="L6" s="1000"/>
      <c r="M6" s="1000"/>
      <c r="N6" s="70"/>
      <c r="P6" s="26" t="s">
        <v>27</v>
      </c>
      <c r="Q6" s="1001" t="str">
        <f>IF(Q5=0," ",CHOOSE(WEEKDAY(Q5,2),"Понедельник","Вторник","Среда","Четверг","Пятница","Суббота","Воскресенье"))</f>
        <v>Суббота</v>
      </c>
      <c r="R6" s="1001"/>
      <c r="T6" s="1002" t="s">
        <v>5</v>
      </c>
      <c r="U6" s="1003"/>
      <c r="V6" s="1004" t="s">
        <v>69</v>
      </c>
      <c r="W6" s="1005"/>
      <c r="AB6" s="57"/>
      <c r="AC6" s="57"/>
      <c r="AD6" s="57"/>
      <c r="AE6" s="57"/>
    </row>
    <row r="7" spans="1:32" s="17" customFormat="1" ht="21.75" hidden="1" customHeight="1" x14ac:dyDescent="0.25">
      <c r="A7" s="61"/>
      <c r="B7" s="61"/>
      <c r="C7" s="61"/>
      <c r="D7" s="1010" t="str">
        <f>IFERROR(VLOOKUP(DeliveryAddress,Table,3,0),1)</f>
        <v>7</v>
      </c>
      <c r="E7" s="1011"/>
      <c r="F7" s="1011"/>
      <c r="G7" s="1011"/>
      <c r="H7" s="1011"/>
      <c r="I7" s="1011"/>
      <c r="J7" s="1011"/>
      <c r="K7" s="1011"/>
      <c r="L7" s="1011"/>
      <c r="M7" s="1012"/>
      <c r="N7" s="71"/>
      <c r="P7" s="26"/>
      <c r="Q7" s="46"/>
      <c r="R7" s="46"/>
      <c r="T7" s="1002"/>
      <c r="U7" s="1003"/>
      <c r="V7" s="1006"/>
      <c r="W7" s="1007"/>
      <c r="AB7" s="57"/>
      <c r="AC7" s="57"/>
      <c r="AD7" s="57"/>
      <c r="AE7" s="57"/>
    </row>
    <row r="8" spans="1:32" s="17" customFormat="1" ht="25.5" customHeight="1" x14ac:dyDescent="0.25">
      <c r="A8" s="1013" t="s">
        <v>57</v>
      </c>
      <c r="B8" s="1013"/>
      <c r="C8" s="1013"/>
      <c r="D8" s="1014"/>
      <c r="E8" s="1014"/>
      <c r="F8" s="1014"/>
      <c r="G8" s="1014"/>
      <c r="H8" s="1014"/>
      <c r="I8" s="1014"/>
      <c r="J8" s="1014"/>
      <c r="K8" s="1014"/>
      <c r="L8" s="1014"/>
      <c r="M8" s="1014"/>
      <c r="N8" s="72"/>
      <c r="P8" s="26" t="s">
        <v>11</v>
      </c>
      <c r="Q8" s="973">
        <v>0.58333333333333337</v>
      </c>
      <c r="R8" s="973"/>
      <c r="T8" s="1002"/>
      <c r="U8" s="1003"/>
      <c r="V8" s="1006"/>
      <c r="W8" s="1007"/>
      <c r="AB8" s="57"/>
      <c r="AC8" s="57"/>
      <c r="AD8" s="57"/>
      <c r="AE8" s="57"/>
    </row>
    <row r="9" spans="1:32" s="17" customFormat="1" ht="39.9" customHeight="1" x14ac:dyDescent="0.25">
      <c r="A9" s="96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3"/>
      <c r="C9" s="963"/>
      <c r="D9" s="964" t="s">
        <v>46</v>
      </c>
      <c r="E9" s="965"/>
      <c r="F9" s="96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3"/>
      <c r="H9" s="1015" t="str">
        <f>IF(AND($A$9="Тип доверенности/получателя при получении в адресе перегруза:",$D$9="Разовая доверенность"),"Введите ФИО","")</f>
        <v/>
      </c>
      <c r="I9" s="1015"/>
      <c r="J9" s="101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5"/>
      <c r="L9" s="1015"/>
      <c r="M9" s="1015"/>
      <c r="N9" s="67"/>
      <c r="P9" s="29" t="s">
        <v>15</v>
      </c>
      <c r="Q9" s="1016"/>
      <c r="R9" s="1016"/>
      <c r="T9" s="1002"/>
      <c r="U9" s="1003"/>
      <c r="V9" s="1008"/>
      <c r="W9" s="100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" customHeight="1" x14ac:dyDescent="0.25">
      <c r="A10" s="96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3"/>
      <c r="C10" s="963"/>
      <c r="D10" s="964"/>
      <c r="E10" s="965"/>
      <c r="F10" s="96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3"/>
      <c r="H10" s="966" t="str">
        <f>IFERROR(VLOOKUP($D$10,Proxy,2,FALSE),"")</f>
        <v/>
      </c>
      <c r="I10" s="966"/>
      <c r="J10" s="966"/>
      <c r="K10" s="966"/>
      <c r="L10" s="966"/>
      <c r="M10" s="966"/>
      <c r="N10" s="68"/>
      <c r="P10" s="29" t="s">
        <v>32</v>
      </c>
      <c r="Q10" s="967"/>
      <c r="R10" s="967"/>
      <c r="U10" s="26" t="s">
        <v>12</v>
      </c>
      <c r="V10" s="968" t="s">
        <v>70</v>
      </c>
      <c r="W10" s="96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" customHeight="1" x14ac:dyDescent="0.25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0"/>
      <c r="R11" s="970"/>
      <c r="U11" s="26" t="s">
        <v>28</v>
      </c>
      <c r="V11" s="971" t="s">
        <v>917</v>
      </c>
      <c r="W11" s="97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5">
      <c r="A12" s="972" t="s">
        <v>71</v>
      </c>
      <c r="B12" s="972"/>
      <c r="C12" s="972"/>
      <c r="D12" s="972"/>
      <c r="E12" s="972"/>
      <c r="F12" s="972"/>
      <c r="G12" s="972"/>
      <c r="H12" s="972"/>
      <c r="I12" s="972"/>
      <c r="J12" s="972"/>
      <c r="K12" s="972"/>
      <c r="L12" s="972"/>
      <c r="M12" s="972"/>
      <c r="N12" s="73"/>
      <c r="P12" s="26" t="s">
        <v>30</v>
      </c>
      <c r="Q12" s="973"/>
      <c r="R12" s="973"/>
      <c r="S12" s="27"/>
      <c r="T12"/>
      <c r="U12" s="26" t="s">
        <v>46</v>
      </c>
      <c r="V12" s="974"/>
      <c r="W12" s="974"/>
      <c r="X12"/>
      <c r="AB12" s="57"/>
      <c r="AC12" s="57"/>
      <c r="AD12" s="57"/>
      <c r="AE12" s="57"/>
    </row>
    <row r="13" spans="1:32" s="17" customFormat="1" ht="23.25" customHeight="1" x14ac:dyDescent="0.25">
      <c r="A13" s="972" t="s">
        <v>72</v>
      </c>
      <c r="B13" s="972"/>
      <c r="C13" s="972"/>
      <c r="D13" s="972"/>
      <c r="E13" s="972"/>
      <c r="F13" s="972"/>
      <c r="G13" s="972"/>
      <c r="H13" s="972"/>
      <c r="I13" s="972"/>
      <c r="J13" s="972"/>
      <c r="K13" s="972"/>
      <c r="L13" s="972"/>
      <c r="M13" s="972"/>
      <c r="N13" s="73"/>
      <c r="O13" s="29"/>
      <c r="P13" s="29" t="s">
        <v>31</v>
      </c>
      <c r="Q13" s="971"/>
      <c r="R13" s="97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5">
      <c r="A14" s="972" t="s">
        <v>73</v>
      </c>
      <c r="B14" s="972"/>
      <c r="C14" s="972"/>
      <c r="D14" s="972"/>
      <c r="E14" s="972"/>
      <c r="F14" s="972"/>
      <c r="G14" s="972"/>
      <c r="H14" s="972"/>
      <c r="I14" s="972"/>
      <c r="J14" s="972"/>
      <c r="K14" s="972"/>
      <c r="L14" s="972"/>
      <c r="M14" s="97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5">
      <c r="A15" s="975" t="s">
        <v>74</v>
      </c>
      <c r="B15" s="975"/>
      <c r="C15" s="975"/>
      <c r="D15" s="975"/>
      <c r="E15" s="975"/>
      <c r="F15" s="975"/>
      <c r="G15" s="975"/>
      <c r="H15" s="975"/>
      <c r="I15" s="975"/>
      <c r="J15" s="975"/>
      <c r="K15" s="975"/>
      <c r="L15" s="975"/>
      <c r="M15" s="975"/>
      <c r="N15" s="74"/>
      <c r="O15"/>
      <c r="P15" s="976" t="s">
        <v>60</v>
      </c>
      <c r="Q15" s="976"/>
      <c r="R15" s="976"/>
      <c r="S15" s="976"/>
      <c r="T15" s="976"/>
      <c r="U15"/>
      <c r="V15"/>
      <c r="W15"/>
      <c r="AB15" s="57"/>
      <c r="AC15" s="57"/>
      <c r="AD15" s="57"/>
      <c r="AE15" s="57"/>
    </row>
    <row r="16" spans="1:32" ht="18.75" customHeight="1" x14ac:dyDescent="0.25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7"/>
      <c r="Q16" s="977"/>
      <c r="R16" s="977"/>
      <c r="S16" s="977"/>
      <c r="T16" s="97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947" t="s">
        <v>58</v>
      </c>
      <c r="B17" s="947" t="s">
        <v>49</v>
      </c>
      <c r="C17" s="980" t="s">
        <v>48</v>
      </c>
      <c r="D17" s="982" t="s">
        <v>50</v>
      </c>
      <c r="E17" s="983"/>
      <c r="F17" s="947" t="s">
        <v>21</v>
      </c>
      <c r="G17" s="947" t="s">
        <v>24</v>
      </c>
      <c r="H17" s="947" t="s">
        <v>22</v>
      </c>
      <c r="I17" s="947" t="s">
        <v>23</v>
      </c>
      <c r="J17" s="947" t="s">
        <v>16</v>
      </c>
      <c r="K17" s="947" t="s">
        <v>65</v>
      </c>
      <c r="L17" s="947" t="s">
        <v>63</v>
      </c>
      <c r="M17" s="947" t="s">
        <v>2</v>
      </c>
      <c r="N17" s="947" t="s">
        <v>62</v>
      </c>
      <c r="O17" s="947" t="s">
        <v>25</v>
      </c>
      <c r="P17" s="982" t="s">
        <v>17</v>
      </c>
      <c r="Q17" s="986"/>
      <c r="R17" s="986"/>
      <c r="S17" s="986"/>
      <c r="T17" s="983"/>
      <c r="U17" s="978" t="s">
        <v>55</v>
      </c>
      <c r="V17" s="979"/>
      <c r="W17" s="947" t="s">
        <v>6</v>
      </c>
      <c r="X17" s="947" t="s">
        <v>41</v>
      </c>
      <c r="Y17" s="949" t="s">
        <v>54</v>
      </c>
      <c r="Z17" s="951" t="s">
        <v>18</v>
      </c>
      <c r="AA17" s="953" t="s">
        <v>59</v>
      </c>
      <c r="AB17" s="953" t="s">
        <v>19</v>
      </c>
      <c r="AC17" s="953" t="s">
        <v>64</v>
      </c>
      <c r="AD17" s="955" t="s">
        <v>56</v>
      </c>
      <c r="AE17" s="956"/>
      <c r="AF17" s="957"/>
      <c r="AG17" s="77"/>
      <c r="BD17" s="76" t="s">
        <v>61</v>
      </c>
    </row>
    <row r="18" spans="1:68" ht="14.25" customHeight="1" x14ac:dyDescent="0.25">
      <c r="A18" s="948"/>
      <c r="B18" s="948"/>
      <c r="C18" s="981"/>
      <c r="D18" s="984"/>
      <c r="E18" s="985"/>
      <c r="F18" s="948"/>
      <c r="G18" s="948"/>
      <c r="H18" s="948"/>
      <c r="I18" s="948"/>
      <c r="J18" s="948"/>
      <c r="K18" s="948"/>
      <c r="L18" s="948"/>
      <c r="M18" s="948"/>
      <c r="N18" s="948"/>
      <c r="O18" s="948"/>
      <c r="P18" s="984"/>
      <c r="Q18" s="987"/>
      <c r="R18" s="987"/>
      <c r="S18" s="987"/>
      <c r="T18" s="985"/>
      <c r="U18" s="78" t="s">
        <v>44</v>
      </c>
      <c r="V18" s="78" t="s">
        <v>43</v>
      </c>
      <c r="W18" s="948"/>
      <c r="X18" s="948"/>
      <c r="Y18" s="950"/>
      <c r="Z18" s="952"/>
      <c r="AA18" s="954"/>
      <c r="AB18" s="954"/>
      <c r="AC18" s="954"/>
      <c r="AD18" s="958"/>
      <c r="AE18" s="959"/>
      <c r="AF18" s="960"/>
      <c r="AG18" s="77"/>
      <c r="BD18" s="76"/>
    </row>
    <row r="19" spans="1:68" ht="27.75" hidden="1" customHeight="1" x14ac:dyDescent="0.25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2"/>
      <c r="AB19" s="52"/>
      <c r="AC19" s="52"/>
    </row>
    <row r="20" spans="1:68" ht="16.5" hidden="1" customHeight="1" x14ac:dyDescent="0.25">
      <c r="A20" s="667" t="s">
        <v>75</v>
      </c>
      <c r="B20" s="667"/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7"/>
      <c r="R20" s="667"/>
      <c r="S20" s="667"/>
      <c r="T20" s="667"/>
      <c r="U20" s="667"/>
      <c r="V20" s="667"/>
      <c r="W20" s="667"/>
      <c r="X20" s="667"/>
      <c r="Y20" s="667"/>
      <c r="Z20" s="667"/>
      <c r="AA20" s="62"/>
      <c r="AB20" s="62"/>
      <c r="AC20" s="62"/>
    </row>
    <row r="21" spans="1:68" ht="14.25" hidden="1" customHeight="1" x14ac:dyDescent="0.25">
      <c r="A21" s="660" t="s">
        <v>76</v>
      </c>
      <c r="B21" s="660"/>
      <c r="C21" s="660"/>
      <c r="D21" s="660"/>
      <c r="E21" s="660"/>
      <c r="F21" s="660"/>
      <c r="G21" s="660"/>
      <c r="H21" s="660"/>
      <c r="I21" s="660"/>
      <c r="J21" s="660"/>
      <c r="K21" s="660"/>
      <c r="L21" s="660"/>
      <c r="M21" s="660"/>
      <c r="N21" s="660"/>
      <c r="O21" s="660"/>
      <c r="P21" s="660"/>
      <c r="Q21" s="660"/>
      <c r="R21" s="660"/>
      <c r="S21" s="660"/>
      <c r="T21" s="660"/>
      <c r="U21" s="660"/>
      <c r="V21" s="660"/>
      <c r="W21" s="660"/>
      <c r="X21" s="660"/>
      <c r="Y21" s="660"/>
      <c r="Z21" s="660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61">
        <v>4680115886643</v>
      </c>
      <c r="E22" s="661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3"/>
      <c r="R22" s="663"/>
      <c r="S22" s="663"/>
      <c r="T22" s="664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61">
        <v>4680115889071</v>
      </c>
      <c r="E23" s="661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6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3"/>
      <c r="R23" s="663"/>
      <c r="S23" s="663"/>
      <c r="T23" s="664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5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5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0" t="s">
        <v>85</v>
      </c>
      <c r="B26" s="660"/>
      <c r="C26" s="660"/>
      <c r="D26" s="660"/>
      <c r="E26" s="660"/>
      <c r="F26" s="660"/>
      <c r="G26" s="660"/>
      <c r="H26" s="660"/>
      <c r="I26" s="660"/>
      <c r="J26" s="660"/>
      <c r="K26" s="660"/>
      <c r="L26" s="660"/>
      <c r="M26" s="660"/>
      <c r="N26" s="660"/>
      <c r="O26" s="660"/>
      <c r="P26" s="660"/>
      <c r="Q26" s="660"/>
      <c r="R26" s="660"/>
      <c r="S26" s="660"/>
      <c r="T26" s="660"/>
      <c r="U26" s="660"/>
      <c r="V26" s="660"/>
      <c r="W26" s="660"/>
      <c r="X26" s="660"/>
      <c r="Y26" s="660"/>
      <c r="Z26" s="660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61">
        <v>4680115885912</v>
      </c>
      <c r="E27" s="66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4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3"/>
      <c r="R27" s="663"/>
      <c r="S27" s="663"/>
      <c r="T27" s="664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61">
        <v>4607091388237</v>
      </c>
      <c r="E28" s="66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3"/>
      <c r="R28" s="663"/>
      <c r="S28" s="663"/>
      <c r="T28" s="664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61">
        <v>4680115887350</v>
      </c>
      <c r="E29" s="66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3"/>
      <c r="R29" s="663"/>
      <c r="S29" s="663"/>
      <c r="T29" s="664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61">
        <v>4680115885905</v>
      </c>
      <c r="E30" s="66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3"/>
      <c r="R30" s="663"/>
      <c r="S30" s="663"/>
      <c r="T30" s="664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61">
        <v>4680115887619</v>
      </c>
      <c r="E31" s="661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4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3"/>
      <c r="R31" s="663"/>
      <c r="S31" s="663"/>
      <c r="T31" s="664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5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5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5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2"/>
      <c r="AB34" s="52"/>
      <c r="AC34" s="52"/>
    </row>
    <row r="35" spans="1:68" ht="16.5" hidden="1" customHeight="1" x14ac:dyDescent="0.25">
      <c r="A35" s="667" t="s">
        <v>103</v>
      </c>
      <c r="B35" s="667"/>
      <c r="C35" s="667"/>
      <c r="D35" s="667"/>
      <c r="E35" s="667"/>
      <c r="F35" s="667"/>
      <c r="G35" s="667"/>
      <c r="H35" s="667"/>
      <c r="I35" s="667"/>
      <c r="J35" s="667"/>
      <c r="K35" s="667"/>
      <c r="L35" s="667"/>
      <c r="M35" s="667"/>
      <c r="N35" s="667"/>
      <c r="O35" s="667"/>
      <c r="P35" s="667"/>
      <c r="Q35" s="667"/>
      <c r="R35" s="667"/>
      <c r="S35" s="667"/>
      <c r="T35" s="667"/>
      <c r="U35" s="667"/>
      <c r="V35" s="667"/>
      <c r="W35" s="667"/>
      <c r="X35" s="667"/>
      <c r="Y35" s="667"/>
      <c r="Z35" s="667"/>
      <c r="AA35" s="62"/>
      <c r="AB35" s="62"/>
      <c r="AC35" s="62"/>
    </row>
    <row r="36" spans="1:68" ht="14.25" hidden="1" customHeight="1" x14ac:dyDescent="0.25">
      <c r="A36" s="660" t="s">
        <v>85</v>
      </c>
      <c r="B36" s="660"/>
      <c r="C36" s="660"/>
      <c r="D36" s="660"/>
      <c r="E36" s="660"/>
      <c r="F36" s="660"/>
      <c r="G36" s="660"/>
      <c r="H36" s="660"/>
      <c r="I36" s="660"/>
      <c r="J36" s="660"/>
      <c r="K36" s="660"/>
      <c r="L36" s="660"/>
      <c r="M36" s="660"/>
      <c r="N36" s="660"/>
      <c r="O36" s="660"/>
      <c r="P36" s="660"/>
      <c r="Q36" s="660"/>
      <c r="R36" s="660"/>
      <c r="S36" s="660"/>
      <c r="T36" s="660"/>
      <c r="U36" s="660"/>
      <c r="V36" s="660"/>
      <c r="W36" s="660"/>
      <c r="X36" s="660"/>
      <c r="Y36" s="660"/>
      <c r="Z36" s="660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61">
        <v>4680115889354</v>
      </c>
      <c r="E37" s="661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3"/>
      <c r="R37" s="663"/>
      <c r="S37" s="663"/>
      <c r="T37" s="664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61">
        <v>4680115888463</v>
      </c>
      <c r="E38" s="661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3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3"/>
      <c r="R38" s="663"/>
      <c r="S38" s="663"/>
      <c r="T38" s="664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61">
        <v>4680115889590</v>
      </c>
      <c r="E39" s="661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3"/>
      <c r="R39" s="663"/>
      <c r="S39" s="663"/>
      <c r="T39" s="664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61">
        <v>4680115888272</v>
      </c>
      <c r="E40" s="661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3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3"/>
      <c r="R40" s="663"/>
      <c r="S40" s="663"/>
      <c r="T40" s="664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61">
        <v>4680115888364</v>
      </c>
      <c r="E41" s="661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3"/>
      <c r="R41" s="663"/>
      <c r="S41" s="663"/>
      <c r="T41" s="664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5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5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5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2"/>
      <c r="AB44" s="52"/>
      <c r="AC44" s="52"/>
    </row>
    <row r="45" spans="1:68" ht="16.5" hidden="1" customHeight="1" x14ac:dyDescent="0.25">
      <c r="A45" s="667" t="s">
        <v>120</v>
      </c>
      <c r="B45" s="667"/>
      <c r="C45" s="667"/>
      <c r="D45" s="667"/>
      <c r="E45" s="667"/>
      <c r="F45" s="667"/>
      <c r="G45" s="667"/>
      <c r="H45" s="667"/>
      <c r="I45" s="667"/>
      <c r="J45" s="667"/>
      <c r="K45" s="667"/>
      <c r="L45" s="667"/>
      <c r="M45" s="667"/>
      <c r="N45" s="667"/>
      <c r="O45" s="667"/>
      <c r="P45" s="667"/>
      <c r="Q45" s="667"/>
      <c r="R45" s="667"/>
      <c r="S45" s="667"/>
      <c r="T45" s="667"/>
      <c r="U45" s="667"/>
      <c r="V45" s="667"/>
      <c r="W45" s="667"/>
      <c r="X45" s="667"/>
      <c r="Y45" s="667"/>
      <c r="Z45" s="667"/>
      <c r="AA45" s="62"/>
      <c r="AB45" s="62"/>
      <c r="AC45" s="62"/>
    </row>
    <row r="46" spans="1:68" ht="14.25" hidden="1" customHeight="1" x14ac:dyDescent="0.25">
      <c r="A46" s="660" t="s">
        <v>121</v>
      </c>
      <c r="B46" s="660"/>
      <c r="C46" s="660"/>
      <c r="D46" s="660"/>
      <c r="E46" s="660"/>
      <c r="F46" s="660"/>
      <c r="G46" s="660"/>
      <c r="H46" s="660"/>
      <c r="I46" s="660"/>
      <c r="J46" s="660"/>
      <c r="K46" s="660"/>
      <c r="L46" s="660"/>
      <c r="M46" s="660"/>
      <c r="N46" s="660"/>
      <c r="O46" s="660"/>
      <c r="P46" s="660"/>
      <c r="Q46" s="660"/>
      <c r="R46" s="660"/>
      <c r="S46" s="660"/>
      <c r="T46" s="660"/>
      <c r="U46" s="660"/>
      <c r="V46" s="660"/>
      <c r="W46" s="660"/>
      <c r="X46" s="660"/>
      <c r="Y46" s="660"/>
      <c r="Z46" s="660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61">
        <v>4607091385670</v>
      </c>
      <c r="E47" s="661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4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3"/>
      <c r="R47" s="663"/>
      <c r="S47" s="663"/>
      <c r="T47" s="664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61">
        <v>4680115887725</v>
      </c>
      <c r="E48" s="661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3"/>
      <c r="R48" s="663"/>
      <c r="S48" s="663"/>
      <c r="T48" s="664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61">
        <v>4607091385687</v>
      </c>
      <c r="E49" s="661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3"/>
      <c r="R49" s="663"/>
      <c r="S49" s="663"/>
      <c r="T49" s="664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61">
        <v>4680115882539</v>
      </c>
      <c r="E50" s="661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3"/>
      <c r="R50" s="663"/>
      <c r="S50" s="663"/>
      <c r="T50" s="664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5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5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7" t="s">
        <v>136</v>
      </c>
      <c r="B53" s="667"/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2"/>
      <c r="AB53" s="62"/>
      <c r="AC53" s="62"/>
    </row>
    <row r="54" spans="1:68" ht="14.25" hidden="1" customHeight="1" x14ac:dyDescent="0.25">
      <c r="A54" s="660" t="s">
        <v>121</v>
      </c>
      <c r="B54" s="660"/>
      <c r="C54" s="660"/>
      <c r="D54" s="660"/>
      <c r="E54" s="660"/>
      <c r="F54" s="660"/>
      <c r="G54" s="660"/>
      <c r="H54" s="660"/>
      <c r="I54" s="660"/>
      <c r="J54" s="660"/>
      <c r="K54" s="660"/>
      <c r="L54" s="660"/>
      <c r="M54" s="660"/>
      <c r="N54" s="660"/>
      <c r="O54" s="660"/>
      <c r="P54" s="660"/>
      <c r="Q54" s="660"/>
      <c r="R54" s="660"/>
      <c r="S54" s="660"/>
      <c r="T54" s="660"/>
      <c r="U54" s="660"/>
      <c r="V54" s="660"/>
      <c r="W54" s="660"/>
      <c r="X54" s="660"/>
      <c r="Y54" s="660"/>
      <c r="Z54" s="660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61">
        <v>4680115885882</v>
      </c>
      <c r="E55" s="661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3"/>
      <c r="R55" s="663"/>
      <c r="S55" s="663"/>
      <c r="T55" s="664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61">
        <v>4680115881426</v>
      </c>
      <c r="E56" s="661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3"/>
      <c r="R56" s="663"/>
      <c r="S56" s="663"/>
      <c r="T56" s="664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61">
        <v>4680115880283</v>
      </c>
      <c r="E57" s="661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3"/>
      <c r="R57" s="663"/>
      <c r="S57" s="663"/>
      <c r="T57" s="664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61">
        <v>4680115881525</v>
      </c>
      <c r="E58" s="661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3"/>
      <c r="R58" s="663"/>
      <c r="S58" s="663"/>
      <c r="T58" s="664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4301012165</v>
      </c>
      <c r="D59" s="661">
        <v>4680115885899</v>
      </c>
      <c r="E59" s="661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90</v>
      </c>
      <c r="L59" s="35" t="s">
        <v>46</v>
      </c>
      <c r="M59" s="36" t="s">
        <v>125</v>
      </c>
      <c r="N59" s="36"/>
      <c r="O59" s="35">
        <v>50</v>
      </c>
      <c r="P59" s="92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3"/>
      <c r="R59" s="663"/>
      <c r="S59" s="663"/>
      <c r="T59" s="664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139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hidden="1" customHeight="1" x14ac:dyDescent="0.25">
      <c r="A60" s="60" t="s">
        <v>151</v>
      </c>
      <c r="B60" s="60" t="s">
        <v>152</v>
      </c>
      <c r="C60" s="34">
        <v>4301011801</v>
      </c>
      <c r="D60" s="661">
        <v>4680115881419</v>
      </c>
      <c r="E60" s="661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92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3"/>
      <c r="R60" s="663"/>
      <c r="S60" s="663"/>
      <c r="T60" s="664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153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idden="1" x14ac:dyDescent="0.25">
      <c r="A61" s="651"/>
      <c r="B61" s="651"/>
      <c r="C61" s="651"/>
      <c r="D61" s="651"/>
      <c r="E61" s="651"/>
      <c r="F61" s="651"/>
      <c r="G61" s="651"/>
      <c r="H61" s="651"/>
      <c r="I61" s="651"/>
      <c r="J61" s="651"/>
      <c r="K61" s="651"/>
      <c r="L61" s="651"/>
      <c r="M61" s="651"/>
      <c r="N61" s="651"/>
      <c r="O61" s="652"/>
      <c r="P61" s="648" t="s">
        <v>40</v>
      </c>
      <c r="Q61" s="649"/>
      <c r="R61" s="649"/>
      <c r="S61" s="649"/>
      <c r="T61" s="649"/>
      <c r="U61" s="649"/>
      <c r="V61" s="650"/>
      <c r="W61" s="40" t="s">
        <v>39</v>
      </c>
      <c r="X61" s="41">
        <f>IFERROR(X55/H55,"0")+IFERROR(X56/H56,"0")+IFERROR(X57/H57,"0")+IFERROR(X58/H58,"0")+IFERROR(X59/H59,"0")+IFERROR(X60/H60,"0")</f>
        <v>0</v>
      </c>
      <c r="Y61" s="41">
        <f>IFERROR(Y55/H55,"0")+IFERROR(Y56/H56,"0")+IFERROR(Y57/H57,"0")+IFERROR(Y58/H58,"0")+IFERROR(Y59/H59,"0")+IFERROR(Y60/H60,"0")</f>
        <v>0</v>
      </c>
      <c r="Z61" s="41">
        <f>IFERROR(IF(Z55="",0,Z55),"0")+IFERROR(IF(Z56="",0,Z56),"0")+IFERROR(IF(Z57="",0,Z57),"0")+IFERROR(IF(Z58="",0,Z58),"0")+IFERROR(IF(Z59="",0,Z59),"0")+IFERROR(IF(Z60="",0,Z60),"0")</f>
        <v>0</v>
      </c>
      <c r="AA61" s="64"/>
      <c r="AB61" s="64"/>
      <c r="AC61" s="64"/>
    </row>
    <row r="62" spans="1:68" hidden="1" x14ac:dyDescent="0.25">
      <c r="A62" s="651"/>
      <c r="B62" s="651"/>
      <c r="C62" s="651"/>
      <c r="D62" s="651"/>
      <c r="E62" s="651"/>
      <c r="F62" s="651"/>
      <c r="G62" s="651"/>
      <c r="H62" s="651"/>
      <c r="I62" s="651"/>
      <c r="J62" s="651"/>
      <c r="K62" s="651"/>
      <c r="L62" s="651"/>
      <c r="M62" s="651"/>
      <c r="N62" s="651"/>
      <c r="O62" s="652"/>
      <c r="P62" s="648" t="s">
        <v>40</v>
      </c>
      <c r="Q62" s="649"/>
      <c r="R62" s="649"/>
      <c r="S62" s="649"/>
      <c r="T62" s="649"/>
      <c r="U62" s="649"/>
      <c r="V62" s="650"/>
      <c r="W62" s="40" t="s">
        <v>0</v>
      </c>
      <c r="X62" s="41">
        <f>IFERROR(SUM(X55:X60),"0")</f>
        <v>0</v>
      </c>
      <c r="Y62" s="41">
        <f>IFERROR(SUM(Y55:Y60),"0")</f>
        <v>0</v>
      </c>
      <c r="Z62" s="40"/>
      <c r="AA62" s="64"/>
      <c r="AB62" s="64"/>
      <c r="AC62" s="64"/>
    </row>
    <row r="63" spans="1:68" ht="14.25" hidden="1" customHeight="1" x14ac:dyDescent="0.25">
      <c r="A63" s="660" t="s">
        <v>154</v>
      </c>
      <c r="B63" s="660"/>
      <c r="C63" s="660"/>
      <c r="D63" s="660"/>
      <c r="E63" s="660"/>
      <c r="F63" s="660"/>
      <c r="G63" s="660"/>
      <c r="H63" s="660"/>
      <c r="I63" s="660"/>
      <c r="J63" s="660"/>
      <c r="K63" s="660"/>
      <c r="L63" s="660"/>
      <c r="M63" s="660"/>
      <c r="N63" s="660"/>
      <c r="O63" s="660"/>
      <c r="P63" s="660"/>
      <c r="Q63" s="660"/>
      <c r="R63" s="660"/>
      <c r="S63" s="660"/>
      <c r="T63" s="660"/>
      <c r="U63" s="660"/>
      <c r="V63" s="660"/>
      <c r="W63" s="660"/>
      <c r="X63" s="660"/>
      <c r="Y63" s="660"/>
      <c r="Z63" s="660"/>
      <c r="AA63" s="63"/>
      <c r="AB63" s="63"/>
      <c r="AC63" s="63"/>
    </row>
    <row r="64" spans="1:68" ht="16.5" hidden="1" customHeight="1" x14ac:dyDescent="0.25">
      <c r="A64" s="60" t="s">
        <v>155</v>
      </c>
      <c r="B64" s="60" t="s">
        <v>156</v>
      </c>
      <c r="C64" s="34">
        <v>4301020298</v>
      </c>
      <c r="D64" s="661">
        <v>4680115881440</v>
      </c>
      <c r="E64" s="661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126</v>
      </c>
      <c r="L64" s="35" t="s">
        <v>46</v>
      </c>
      <c r="M64" s="36" t="s">
        <v>125</v>
      </c>
      <c r="N64" s="36"/>
      <c r="O64" s="35">
        <v>50</v>
      </c>
      <c r="P64" s="92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3"/>
      <c r="R64" s="663"/>
      <c r="S64" s="663"/>
      <c r="T64" s="664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158</v>
      </c>
      <c r="B65" s="60" t="s">
        <v>159</v>
      </c>
      <c r="C65" s="34">
        <v>4301020358</v>
      </c>
      <c r="D65" s="661">
        <v>4680115885950</v>
      </c>
      <c r="E65" s="661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90</v>
      </c>
      <c r="L65" s="35" t="s">
        <v>46</v>
      </c>
      <c r="M65" s="36" t="s">
        <v>89</v>
      </c>
      <c r="N65" s="36"/>
      <c r="O65" s="35">
        <v>50</v>
      </c>
      <c r="P65" s="9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3"/>
      <c r="R65" s="663"/>
      <c r="S65" s="663"/>
      <c r="T65" s="664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157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4301020371</v>
      </c>
      <c r="D66" s="661">
        <v>4680115887688</v>
      </c>
      <c r="E66" s="661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130</v>
      </c>
      <c r="L66" s="35" t="s">
        <v>46</v>
      </c>
      <c r="M66" s="36" t="s">
        <v>80</v>
      </c>
      <c r="N66" s="36"/>
      <c r="O66" s="35">
        <v>30</v>
      </c>
      <c r="P66" s="92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3"/>
      <c r="R66" s="663"/>
      <c r="S66" s="663"/>
      <c r="T66" s="664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163</v>
      </c>
      <c r="B67" s="60" t="s">
        <v>164</v>
      </c>
      <c r="C67" s="34">
        <v>4301020296</v>
      </c>
      <c r="D67" s="661">
        <v>4680115881433</v>
      </c>
      <c r="E67" s="661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90</v>
      </c>
      <c r="L67" s="35" t="s">
        <v>46</v>
      </c>
      <c r="M67" s="36" t="s">
        <v>125</v>
      </c>
      <c r="N67" s="36"/>
      <c r="O67" s="35">
        <v>50</v>
      </c>
      <c r="P67" s="92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3"/>
      <c r="R67" s="663"/>
      <c r="S67" s="663"/>
      <c r="T67" s="664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157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5">
      <c r="A68" s="651"/>
      <c r="B68" s="651"/>
      <c r="C68" s="651"/>
      <c r="D68" s="651"/>
      <c r="E68" s="651"/>
      <c r="F68" s="651"/>
      <c r="G68" s="651"/>
      <c r="H68" s="651"/>
      <c r="I68" s="651"/>
      <c r="J68" s="651"/>
      <c r="K68" s="651"/>
      <c r="L68" s="651"/>
      <c r="M68" s="651"/>
      <c r="N68" s="651"/>
      <c r="O68" s="652"/>
      <c r="P68" s="648" t="s">
        <v>40</v>
      </c>
      <c r="Q68" s="649"/>
      <c r="R68" s="649"/>
      <c r="S68" s="649"/>
      <c r="T68" s="649"/>
      <c r="U68" s="649"/>
      <c r="V68" s="650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5">
      <c r="A69" s="651"/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2"/>
      <c r="P69" s="648" t="s">
        <v>40</v>
      </c>
      <c r="Q69" s="649"/>
      <c r="R69" s="649"/>
      <c r="S69" s="649"/>
      <c r="T69" s="649"/>
      <c r="U69" s="649"/>
      <c r="V69" s="650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660" t="s">
        <v>85</v>
      </c>
      <c r="B70" s="660"/>
      <c r="C70" s="660"/>
      <c r="D70" s="660"/>
      <c r="E70" s="660"/>
      <c r="F70" s="660"/>
      <c r="G70" s="660"/>
      <c r="H70" s="660"/>
      <c r="I70" s="660"/>
      <c r="J70" s="660"/>
      <c r="K70" s="660"/>
      <c r="L70" s="660"/>
      <c r="M70" s="660"/>
      <c r="N70" s="660"/>
      <c r="O70" s="660"/>
      <c r="P70" s="660"/>
      <c r="Q70" s="660"/>
      <c r="R70" s="660"/>
      <c r="S70" s="660"/>
      <c r="T70" s="660"/>
      <c r="U70" s="660"/>
      <c r="V70" s="660"/>
      <c r="W70" s="660"/>
      <c r="X70" s="660"/>
      <c r="Y70" s="660"/>
      <c r="Z70" s="660"/>
      <c r="AA70" s="63"/>
      <c r="AB70" s="63"/>
      <c r="AC70" s="63"/>
    </row>
    <row r="71" spans="1:68" ht="16.5" hidden="1" customHeight="1" x14ac:dyDescent="0.25">
      <c r="A71" s="60" t="s">
        <v>165</v>
      </c>
      <c r="B71" s="60" t="s">
        <v>166</v>
      </c>
      <c r="C71" s="34">
        <v>4301051837</v>
      </c>
      <c r="D71" s="661">
        <v>4680115884311</v>
      </c>
      <c r="E71" s="661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40</v>
      </c>
      <c r="P71" s="9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3"/>
      <c r="R71" s="663"/>
      <c r="S71" s="663"/>
      <c r="T71" s="664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168</v>
      </c>
      <c r="B72" s="60" t="s">
        <v>169</v>
      </c>
      <c r="C72" s="34">
        <v>4301051929</v>
      </c>
      <c r="D72" s="661">
        <v>4680115884403</v>
      </c>
      <c r="E72" s="661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3"/>
      <c r="R72" s="663"/>
      <c r="S72" s="663"/>
      <c r="T72" s="664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168</v>
      </c>
      <c r="B73" s="60" t="s">
        <v>171</v>
      </c>
      <c r="C73" s="34">
        <v>4301052083</v>
      </c>
      <c r="D73" s="661">
        <v>4680115884403</v>
      </c>
      <c r="E73" s="661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2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3"/>
      <c r="R73" s="663"/>
      <c r="S73" s="663"/>
      <c r="T73" s="664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170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5">
      <c r="A74" s="651"/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2"/>
      <c r="P74" s="648" t="s">
        <v>40</v>
      </c>
      <c r="Q74" s="649"/>
      <c r="R74" s="649"/>
      <c r="S74" s="649"/>
      <c r="T74" s="649"/>
      <c r="U74" s="649"/>
      <c r="V74" s="650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5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660" t="s">
        <v>172</v>
      </c>
      <c r="B76" s="660"/>
      <c r="C76" s="660"/>
      <c r="D76" s="660"/>
      <c r="E76" s="660"/>
      <c r="F76" s="660"/>
      <c r="G76" s="660"/>
      <c r="H76" s="660"/>
      <c r="I76" s="660"/>
      <c r="J76" s="660"/>
      <c r="K76" s="660"/>
      <c r="L76" s="660"/>
      <c r="M76" s="660"/>
      <c r="N76" s="660"/>
      <c r="O76" s="660"/>
      <c r="P76" s="660"/>
      <c r="Q76" s="660"/>
      <c r="R76" s="660"/>
      <c r="S76" s="660"/>
      <c r="T76" s="660"/>
      <c r="U76" s="660"/>
      <c r="V76" s="660"/>
      <c r="W76" s="660"/>
      <c r="X76" s="660"/>
      <c r="Y76" s="660"/>
      <c r="Z76" s="660"/>
      <c r="AA76" s="63"/>
      <c r="AB76" s="63"/>
      <c r="AC76" s="63"/>
    </row>
    <row r="77" spans="1:68" ht="27" hidden="1" customHeight="1" x14ac:dyDescent="0.25">
      <c r="A77" s="60" t="s">
        <v>173</v>
      </c>
      <c r="B77" s="60" t="s">
        <v>174</v>
      </c>
      <c r="C77" s="34">
        <v>4301060455</v>
      </c>
      <c r="D77" s="661">
        <v>4680115881532</v>
      </c>
      <c r="E77" s="661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126</v>
      </c>
      <c r="L77" s="35" t="s">
        <v>46</v>
      </c>
      <c r="M77" s="36" t="s">
        <v>96</v>
      </c>
      <c r="N77" s="36"/>
      <c r="O77" s="35">
        <v>30</v>
      </c>
      <c r="P77" s="92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3"/>
      <c r="R77" s="663"/>
      <c r="S77" s="663"/>
      <c r="T77" s="664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175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173</v>
      </c>
      <c r="B78" s="60" t="s">
        <v>176</v>
      </c>
      <c r="C78" s="34">
        <v>4301060526</v>
      </c>
      <c r="D78" s="661">
        <v>4680115881532</v>
      </c>
      <c r="E78" s="661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2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3"/>
      <c r="R78" s="663"/>
      <c r="S78" s="663"/>
      <c r="T78" s="664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175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177</v>
      </c>
      <c r="B79" s="60" t="s">
        <v>178</v>
      </c>
      <c r="C79" s="34">
        <v>4301060351</v>
      </c>
      <c r="D79" s="661">
        <v>4680115881464</v>
      </c>
      <c r="E79" s="661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133</v>
      </c>
      <c r="L79" s="35" t="s">
        <v>46</v>
      </c>
      <c r="M79" s="36" t="s">
        <v>89</v>
      </c>
      <c r="N79" s="36"/>
      <c r="O79" s="35">
        <v>30</v>
      </c>
      <c r="P79" s="9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3"/>
      <c r="R79" s="663"/>
      <c r="S79" s="663"/>
      <c r="T79" s="664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179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177</v>
      </c>
      <c r="B80" s="60" t="s">
        <v>180</v>
      </c>
      <c r="C80" s="34">
        <v>4301060527</v>
      </c>
      <c r="D80" s="661">
        <v>4680115881464</v>
      </c>
      <c r="E80" s="661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3"/>
      <c r="R80" s="663"/>
      <c r="S80" s="663"/>
      <c r="T80" s="664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179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5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5">
      <c r="A82" s="651"/>
      <c r="B82" s="651"/>
      <c r="C82" s="651"/>
      <c r="D82" s="651"/>
      <c r="E82" s="651"/>
      <c r="F82" s="651"/>
      <c r="G82" s="651"/>
      <c r="H82" s="651"/>
      <c r="I82" s="651"/>
      <c r="J82" s="651"/>
      <c r="K82" s="651"/>
      <c r="L82" s="651"/>
      <c r="M82" s="651"/>
      <c r="N82" s="651"/>
      <c r="O82" s="652"/>
      <c r="P82" s="648" t="s">
        <v>40</v>
      </c>
      <c r="Q82" s="649"/>
      <c r="R82" s="649"/>
      <c r="S82" s="649"/>
      <c r="T82" s="649"/>
      <c r="U82" s="649"/>
      <c r="V82" s="650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667" t="s">
        <v>181</v>
      </c>
      <c r="B83" s="667"/>
      <c r="C83" s="667"/>
      <c r="D83" s="667"/>
      <c r="E83" s="667"/>
      <c r="F83" s="667"/>
      <c r="G83" s="667"/>
      <c r="H83" s="667"/>
      <c r="I83" s="667"/>
      <c r="J83" s="667"/>
      <c r="K83" s="667"/>
      <c r="L83" s="667"/>
      <c r="M83" s="667"/>
      <c r="N83" s="667"/>
      <c r="O83" s="667"/>
      <c r="P83" s="667"/>
      <c r="Q83" s="667"/>
      <c r="R83" s="667"/>
      <c r="S83" s="667"/>
      <c r="T83" s="667"/>
      <c r="U83" s="667"/>
      <c r="V83" s="667"/>
      <c r="W83" s="667"/>
      <c r="X83" s="667"/>
      <c r="Y83" s="667"/>
      <c r="Z83" s="667"/>
      <c r="AA83" s="62"/>
      <c r="AB83" s="62"/>
      <c r="AC83" s="62"/>
    </row>
    <row r="84" spans="1:68" ht="14.25" hidden="1" customHeight="1" x14ac:dyDescent="0.25">
      <c r="A84" s="660" t="s">
        <v>121</v>
      </c>
      <c r="B84" s="660"/>
      <c r="C84" s="660"/>
      <c r="D84" s="660"/>
      <c r="E84" s="660"/>
      <c r="F84" s="660"/>
      <c r="G84" s="660"/>
      <c r="H84" s="660"/>
      <c r="I84" s="660"/>
      <c r="J84" s="660"/>
      <c r="K84" s="660"/>
      <c r="L84" s="660"/>
      <c r="M84" s="660"/>
      <c r="N84" s="660"/>
      <c r="O84" s="660"/>
      <c r="P84" s="660"/>
      <c r="Q84" s="660"/>
      <c r="R84" s="660"/>
      <c r="S84" s="660"/>
      <c r="T84" s="660"/>
      <c r="U84" s="660"/>
      <c r="V84" s="660"/>
      <c r="W84" s="660"/>
      <c r="X84" s="660"/>
      <c r="Y84" s="660"/>
      <c r="Z84" s="660"/>
      <c r="AA84" s="63"/>
      <c r="AB84" s="63"/>
      <c r="AC84" s="63"/>
    </row>
    <row r="85" spans="1:68" ht="27" hidden="1" customHeight="1" x14ac:dyDescent="0.25">
      <c r="A85" s="60" t="s">
        <v>182</v>
      </c>
      <c r="B85" s="60" t="s">
        <v>183</v>
      </c>
      <c r="C85" s="34">
        <v>4301011468</v>
      </c>
      <c r="D85" s="661">
        <v>4680115881327</v>
      </c>
      <c r="E85" s="661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1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3"/>
      <c r="R85" s="663"/>
      <c r="S85" s="663"/>
      <c r="T85" s="664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184</v>
      </c>
      <c r="AG85" s="75"/>
      <c r="AJ85" s="79" t="s">
        <v>46</v>
      </c>
      <c r="AK85" s="79">
        <v>0</v>
      </c>
      <c r="BB85" s="148" t="s">
        <v>66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185</v>
      </c>
      <c r="B86" s="60" t="s">
        <v>186</v>
      </c>
      <c r="C86" s="34">
        <v>4301011261</v>
      </c>
      <c r="D86" s="661">
        <v>4680115887732</v>
      </c>
      <c r="E86" s="661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1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3"/>
      <c r="R86" s="663"/>
      <c r="S86" s="663"/>
      <c r="T86" s="664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187</v>
      </c>
      <c r="AG86" s="75"/>
      <c r="AJ86" s="79" t="s">
        <v>46</v>
      </c>
      <c r="AK86" s="79">
        <v>0</v>
      </c>
      <c r="BB86" s="150" t="s">
        <v>66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185</v>
      </c>
      <c r="B87" s="60" t="s">
        <v>188</v>
      </c>
      <c r="C87" s="34">
        <v>4301012392</v>
      </c>
      <c r="D87" s="661">
        <v>4680115887732</v>
      </c>
      <c r="E87" s="661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16" t="s">
        <v>189</v>
      </c>
      <c r="Q87" s="663"/>
      <c r="R87" s="663"/>
      <c r="S87" s="663"/>
      <c r="T87" s="664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187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61">
        <v>4680115881518</v>
      </c>
      <c r="E88" s="661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1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3"/>
      <c r="R88" s="663"/>
      <c r="S88" s="663"/>
      <c r="T88" s="664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184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661">
        <v>4680115881303</v>
      </c>
      <c r="E89" s="661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90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3"/>
      <c r="R89" s="663"/>
      <c r="S89" s="663"/>
      <c r="T89" s="664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184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5">
      <c r="A90" s="651"/>
      <c r="B90" s="651"/>
      <c r="C90" s="651"/>
      <c r="D90" s="651"/>
      <c r="E90" s="651"/>
      <c r="F90" s="651"/>
      <c r="G90" s="651"/>
      <c r="H90" s="651"/>
      <c r="I90" s="651"/>
      <c r="J90" s="651"/>
      <c r="K90" s="651"/>
      <c r="L90" s="651"/>
      <c r="M90" s="651"/>
      <c r="N90" s="651"/>
      <c r="O90" s="652"/>
      <c r="P90" s="648" t="s">
        <v>40</v>
      </c>
      <c r="Q90" s="649"/>
      <c r="R90" s="649"/>
      <c r="S90" s="649"/>
      <c r="T90" s="649"/>
      <c r="U90" s="649"/>
      <c r="V90" s="650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5">
      <c r="A91" s="651"/>
      <c r="B91" s="651"/>
      <c r="C91" s="651"/>
      <c r="D91" s="651"/>
      <c r="E91" s="651"/>
      <c r="F91" s="651"/>
      <c r="G91" s="651"/>
      <c r="H91" s="651"/>
      <c r="I91" s="651"/>
      <c r="J91" s="651"/>
      <c r="K91" s="651"/>
      <c r="L91" s="651"/>
      <c r="M91" s="651"/>
      <c r="N91" s="651"/>
      <c r="O91" s="652"/>
      <c r="P91" s="648" t="s">
        <v>40</v>
      </c>
      <c r="Q91" s="649"/>
      <c r="R91" s="649"/>
      <c r="S91" s="649"/>
      <c r="T91" s="649"/>
      <c r="U91" s="649"/>
      <c r="V91" s="650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60" t="s">
        <v>85</v>
      </c>
      <c r="B92" s="660"/>
      <c r="C92" s="660"/>
      <c r="D92" s="660"/>
      <c r="E92" s="660"/>
      <c r="F92" s="660"/>
      <c r="G92" s="660"/>
      <c r="H92" s="660"/>
      <c r="I92" s="660"/>
      <c r="J92" s="660"/>
      <c r="K92" s="660"/>
      <c r="L92" s="660"/>
      <c r="M92" s="660"/>
      <c r="N92" s="660"/>
      <c r="O92" s="660"/>
      <c r="P92" s="660"/>
      <c r="Q92" s="660"/>
      <c r="R92" s="660"/>
      <c r="S92" s="660"/>
      <c r="T92" s="660"/>
      <c r="U92" s="660"/>
      <c r="V92" s="660"/>
      <c r="W92" s="660"/>
      <c r="X92" s="660"/>
      <c r="Y92" s="660"/>
      <c r="Z92" s="660"/>
      <c r="AA92" s="63"/>
      <c r="AB92" s="63"/>
      <c r="AC92" s="63"/>
    </row>
    <row r="93" spans="1:68" ht="27" hidden="1" customHeight="1" x14ac:dyDescent="0.25">
      <c r="A93" s="60" t="s">
        <v>194</v>
      </c>
      <c r="B93" s="60" t="s">
        <v>195</v>
      </c>
      <c r="C93" s="34">
        <v>4301051712</v>
      </c>
      <c r="D93" s="661">
        <v>4607091386967</v>
      </c>
      <c r="E93" s="661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126</v>
      </c>
      <c r="L93" s="35" t="s">
        <v>46</v>
      </c>
      <c r="M93" s="36" t="s">
        <v>96</v>
      </c>
      <c r="N93" s="36"/>
      <c r="O93" s="35">
        <v>45</v>
      </c>
      <c r="P93" s="90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3"/>
      <c r="R93" s="663"/>
      <c r="S93" s="663"/>
      <c r="T93" s="664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196</v>
      </c>
      <c r="AG93" s="75"/>
      <c r="AJ93" s="79" t="s">
        <v>46</v>
      </c>
      <c r="AK93" s="79">
        <v>0</v>
      </c>
      <c r="BB93" s="158" t="s">
        <v>66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194</v>
      </c>
      <c r="B94" s="60" t="s">
        <v>197</v>
      </c>
      <c r="C94" s="34">
        <v>4301052101</v>
      </c>
      <c r="D94" s="661">
        <v>4607091386967</v>
      </c>
      <c r="E94" s="661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907" t="s">
        <v>198</v>
      </c>
      <c r="Q94" s="663"/>
      <c r="R94" s="663"/>
      <c r="S94" s="663"/>
      <c r="T94" s="664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196</v>
      </c>
      <c r="AG94" s="75"/>
      <c r="AJ94" s="79" t="s">
        <v>46</v>
      </c>
      <c r="AK94" s="79">
        <v>0</v>
      </c>
      <c r="BB94" s="160" t="s">
        <v>66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199</v>
      </c>
      <c r="B95" s="60" t="s">
        <v>200</v>
      </c>
      <c r="C95" s="34">
        <v>4301051788</v>
      </c>
      <c r="D95" s="661">
        <v>4680115884953</v>
      </c>
      <c r="E95" s="661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90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3"/>
      <c r="R95" s="663"/>
      <c r="S95" s="663"/>
      <c r="T95" s="664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196</v>
      </c>
      <c r="AG95" s="75"/>
      <c r="AJ95" s="79" t="s">
        <v>46</v>
      </c>
      <c r="AK95" s="79">
        <v>0</v>
      </c>
      <c r="BB95" s="162" t="s">
        <v>66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4301051718</v>
      </c>
      <c r="D96" s="661">
        <v>4607091385731</v>
      </c>
      <c r="E96" s="661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90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3"/>
      <c r="R96" s="663"/>
      <c r="S96" s="663"/>
      <c r="T96" s="664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196</v>
      </c>
      <c r="AG96" s="75"/>
      <c r="AJ96" s="79" t="s">
        <v>46</v>
      </c>
      <c r="AK96" s="79">
        <v>0</v>
      </c>
      <c r="BB96" s="164" t="s">
        <v>66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hidden="1" customHeight="1" x14ac:dyDescent="0.25">
      <c r="A97" s="60" t="s">
        <v>201</v>
      </c>
      <c r="B97" s="60" t="s">
        <v>203</v>
      </c>
      <c r="C97" s="34">
        <v>4301052094</v>
      </c>
      <c r="D97" s="661">
        <v>4607091385731</v>
      </c>
      <c r="E97" s="66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910" t="s">
        <v>204</v>
      </c>
      <c r="Q97" s="663"/>
      <c r="R97" s="663"/>
      <c r="S97" s="663"/>
      <c r="T97" s="664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196</v>
      </c>
      <c r="AG97" s="75"/>
      <c r="AJ97" s="79" t="s">
        <v>46</v>
      </c>
      <c r="AK97" s="79">
        <v>0</v>
      </c>
      <c r="BB97" s="166" t="s">
        <v>66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61">
        <v>4680115880894</v>
      </c>
      <c r="E98" s="661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91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3"/>
      <c r="R98" s="663"/>
      <c r="S98" s="663"/>
      <c r="T98" s="664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idden="1" x14ac:dyDescent="0.25">
      <c r="A99" s="651"/>
      <c r="B99" s="651"/>
      <c r="C99" s="651"/>
      <c r="D99" s="651"/>
      <c r="E99" s="651"/>
      <c r="F99" s="651"/>
      <c r="G99" s="651"/>
      <c r="H99" s="651"/>
      <c r="I99" s="651"/>
      <c r="J99" s="651"/>
      <c r="K99" s="651"/>
      <c r="L99" s="651"/>
      <c r="M99" s="651"/>
      <c r="N99" s="651"/>
      <c r="O99" s="652"/>
      <c r="P99" s="648" t="s">
        <v>40</v>
      </c>
      <c r="Q99" s="649"/>
      <c r="R99" s="649"/>
      <c r="S99" s="649"/>
      <c r="T99" s="649"/>
      <c r="U99" s="649"/>
      <c r="V99" s="650"/>
      <c r="W99" s="40" t="s">
        <v>39</v>
      </c>
      <c r="X99" s="41">
        <f>IFERROR(X93/H93,"0")+IFERROR(X94/H94,"0")+IFERROR(X95/H95,"0")+IFERROR(X96/H96,"0")+IFERROR(X97/H97,"0")+IFERROR(X98/H98,"0")</f>
        <v>0</v>
      </c>
      <c r="Y99" s="41">
        <f>IFERROR(Y93/H93,"0")+IFERROR(Y94/H94,"0")+IFERROR(Y95/H95,"0")+IFERROR(Y96/H96,"0")+IFERROR(Y97/H97,"0")+IFERROR(Y98/H98,"0")</f>
        <v>0</v>
      </c>
      <c r="Z99" s="41">
        <f>IFERROR(IF(Z93="",0,Z93),"0")+IFERROR(IF(Z94="",0,Z94),"0")+IFERROR(IF(Z95="",0,Z95),"0")+IFERROR(IF(Z96="",0,Z96),"0")+IFERROR(IF(Z97="",0,Z97),"0")+IFERROR(IF(Z98="",0,Z98),"0")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5">
      <c r="A100" s="651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52"/>
      <c r="P100" s="648" t="s">
        <v>40</v>
      </c>
      <c r="Q100" s="649"/>
      <c r="R100" s="649"/>
      <c r="S100" s="649"/>
      <c r="T100" s="649"/>
      <c r="U100" s="649"/>
      <c r="V100" s="650"/>
      <c r="W100" s="40" t="s">
        <v>0</v>
      </c>
      <c r="X100" s="41">
        <f>IFERROR(SUM(X93:X98),"0")</f>
        <v>0</v>
      </c>
      <c r="Y100" s="41">
        <f>IFERROR(SUM(Y93:Y98),"0")</f>
        <v>0</v>
      </c>
      <c r="Z100" s="40"/>
      <c r="AA100" s="64"/>
      <c r="AB100" s="64"/>
      <c r="AC100" s="64"/>
    </row>
    <row r="101" spans="1:68" ht="16.5" hidden="1" customHeight="1" x14ac:dyDescent="0.25">
      <c r="A101" s="667" t="s">
        <v>208</v>
      </c>
      <c r="B101" s="667"/>
      <c r="C101" s="667"/>
      <c r="D101" s="667"/>
      <c r="E101" s="667"/>
      <c r="F101" s="667"/>
      <c r="G101" s="667"/>
      <c r="H101" s="667"/>
      <c r="I101" s="667"/>
      <c r="J101" s="667"/>
      <c r="K101" s="667"/>
      <c r="L101" s="667"/>
      <c r="M101" s="667"/>
      <c r="N101" s="667"/>
      <c r="O101" s="667"/>
      <c r="P101" s="667"/>
      <c r="Q101" s="667"/>
      <c r="R101" s="667"/>
      <c r="S101" s="667"/>
      <c r="T101" s="667"/>
      <c r="U101" s="667"/>
      <c r="V101" s="667"/>
      <c r="W101" s="667"/>
      <c r="X101" s="667"/>
      <c r="Y101" s="667"/>
      <c r="Z101" s="667"/>
      <c r="AA101" s="62"/>
      <c r="AB101" s="62"/>
      <c r="AC101" s="62"/>
    </row>
    <row r="102" spans="1:68" ht="14.25" hidden="1" customHeight="1" x14ac:dyDescent="0.25">
      <c r="A102" s="660" t="s">
        <v>121</v>
      </c>
      <c r="B102" s="660"/>
      <c r="C102" s="660"/>
      <c r="D102" s="660"/>
      <c r="E102" s="660"/>
      <c r="F102" s="660"/>
      <c r="G102" s="660"/>
      <c r="H102" s="660"/>
      <c r="I102" s="660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61">
        <v>4680115882133</v>
      </c>
      <c r="E103" s="661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89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3"/>
      <c r="R103" s="663"/>
      <c r="S103" s="663"/>
      <c r="T103" s="664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61">
        <v>4680115887718</v>
      </c>
      <c r="E104" s="661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130</v>
      </c>
      <c r="L104" s="35" t="s">
        <v>46</v>
      </c>
      <c r="M104" s="36" t="s">
        <v>80</v>
      </c>
      <c r="N104" s="36"/>
      <c r="O104" s="35">
        <v>30</v>
      </c>
      <c r="P104" s="90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3"/>
      <c r="R104" s="663"/>
      <c r="S104" s="663"/>
      <c r="T104" s="664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61">
        <v>4680115887718</v>
      </c>
      <c r="E105" s="661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90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3"/>
      <c r="R105" s="663"/>
      <c r="S105" s="663"/>
      <c r="T105" s="664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214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212</v>
      </c>
      <c r="B106" s="60" t="s">
        <v>216</v>
      </c>
      <c r="C106" s="34">
        <v>4301012379</v>
      </c>
      <c r="D106" s="661">
        <v>4680115887718</v>
      </c>
      <c r="E106" s="661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130</v>
      </c>
      <c r="L106" s="35" t="s">
        <v>46</v>
      </c>
      <c r="M106" s="36" t="s">
        <v>80</v>
      </c>
      <c r="N106" s="36"/>
      <c r="O106" s="35">
        <v>30</v>
      </c>
      <c r="P106" s="90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3"/>
      <c r="R106" s="663"/>
      <c r="S106" s="663"/>
      <c r="T106" s="664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214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217</v>
      </c>
      <c r="B107" s="60" t="s">
        <v>218</v>
      </c>
      <c r="C107" s="34">
        <v>4301011417</v>
      </c>
      <c r="D107" s="661">
        <v>4680115880269</v>
      </c>
      <c r="E107" s="661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89</v>
      </c>
      <c r="N107" s="36"/>
      <c r="O107" s="35">
        <v>50</v>
      </c>
      <c r="P107" s="9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3"/>
      <c r="R107" s="663"/>
      <c r="S107" s="663"/>
      <c r="T107" s="664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219</v>
      </c>
      <c r="B108" s="60" t="s">
        <v>220</v>
      </c>
      <c r="C108" s="34">
        <v>4301011415</v>
      </c>
      <c r="D108" s="661">
        <v>4680115880429</v>
      </c>
      <c r="E108" s="661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89</v>
      </c>
      <c r="N108" s="36"/>
      <c r="O108" s="35">
        <v>50</v>
      </c>
      <c r="P108" s="90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3"/>
      <c r="R108" s="663"/>
      <c r="S108" s="663"/>
      <c r="T108" s="664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211</v>
      </c>
      <c r="AG108" s="75"/>
      <c r="AJ108" s="79" t="s">
        <v>46</v>
      </c>
      <c r="AK108" s="79">
        <v>0</v>
      </c>
      <c r="BB108" s="180" t="s">
        <v>66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27" hidden="1" customHeight="1" x14ac:dyDescent="0.25">
      <c r="A109" s="60" t="s">
        <v>219</v>
      </c>
      <c r="B109" s="60" t="s">
        <v>221</v>
      </c>
      <c r="C109" s="34">
        <v>4301012254</v>
      </c>
      <c r="D109" s="661">
        <v>4680115880429</v>
      </c>
      <c r="E109" s="661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125</v>
      </c>
      <c r="N109" s="36"/>
      <c r="O109" s="35">
        <v>50</v>
      </c>
      <c r="P109" s="892" t="s">
        <v>222</v>
      </c>
      <c r="Q109" s="663"/>
      <c r="R109" s="663"/>
      <c r="S109" s="663"/>
      <c r="T109" s="664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223</v>
      </c>
      <c r="AG109" s="75"/>
      <c r="AJ109" s="79" t="s">
        <v>46</v>
      </c>
      <c r="AK109" s="79">
        <v>0</v>
      </c>
      <c r="BB109" s="182" t="s">
        <v>66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224</v>
      </c>
      <c r="B110" s="60" t="s">
        <v>225</v>
      </c>
      <c r="C110" s="34">
        <v>4301011462</v>
      </c>
      <c r="D110" s="661">
        <v>4680115881457</v>
      </c>
      <c r="E110" s="661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89</v>
      </c>
      <c r="N110" s="36"/>
      <c r="O110" s="35">
        <v>50</v>
      </c>
      <c r="P110" s="89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3"/>
      <c r="R110" s="663"/>
      <c r="S110" s="663"/>
      <c r="T110" s="664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211</v>
      </c>
      <c r="AG110" s="75"/>
      <c r="AJ110" s="79" t="s">
        <v>46</v>
      </c>
      <c r="AK110" s="79">
        <v>0</v>
      </c>
      <c r="BB110" s="184" t="s">
        <v>66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idden="1" x14ac:dyDescent="0.25">
      <c r="A111" s="651"/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2"/>
      <c r="P111" s="648" t="s">
        <v>40</v>
      </c>
      <c r="Q111" s="649"/>
      <c r="R111" s="649"/>
      <c r="S111" s="649"/>
      <c r="T111" s="649"/>
      <c r="U111" s="649"/>
      <c r="V111" s="650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0</v>
      </c>
      <c r="Y111" s="41">
        <f>IFERROR(Y103/H103,"0")+IFERROR(Y104/H104,"0")+IFERROR(Y105/H105,"0")+IFERROR(Y106/H106,"0")+IFERROR(Y107/H107,"0")+IFERROR(Y108/H108,"0")+IFERROR(Y109/H109,"0")+IFERROR(Y110/H110,"0")</f>
        <v>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4"/>
      <c r="AB111" s="64"/>
      <c r="AC111" s="64"/>
    </row>
    <row r="112" spans="1:68" hidden="1" x14ac:dyDescent="0.25">
      <c r="A112" s="651"/>
      <c r="B112" s="651"/>
      <c r="C112" s="651"/>
      <c r="D112" s="651"/>
      <c r="E112" s="651"/>
      <c r="F112" s="651"/>
      <c r="G112" s="651"/>
      <c r="H112" s="651"/>
      <c r="I112" s="651"/>
      <c r="J112" s="651"/>
      <c r="K112" s="651"/>
      <c r="L112" s="651"/>
      <c r="M112" s="651"/>
      <c r="N112" s="651"/>
      <c r="O112" s="652"/>
      <c r="P112" s="648" t="s">
        <v>40</v>
      </c>
      <c r="Q112" s="649"/>
      <c r="R112" s="649"/>
      <c r="S112" s="649"/>
      <c r="T112" s="649"/>
      <c r="U112" s="649"/>
      <c r="V112" s="650"/>
      <c r="W112" s="40" t="s">
        <v>0</v>
      </c>
      <c r="X112" s="41">
        <f>IFERROR(SUM(X103:X110),"0")</f>
        <v>0</v>
      </c>
      <c r="Y112" s="41">
        <f>IFERROR(SUM(Y103:Y110),"0")</f>
        <v>0</v>
      </c>
      <c r="Z112" s="40"/>
      <c r="AA112" s="64"/>
      <c r="AB112" s="64"/>
      <c r="AC112" s="64"/>
    </row>
    <row r="113" spans="1:68" ht="14.25" hidden="1" customHeight="1" x14ac:dyDescent="0.25">
      <c r="A113" s="660" t="s">
        <v>154</v>
      </c>
      <c r="B113" s="660"/>
      <c r="C113" s="660"/>
      <c r="D113" s="660"/>
      <c r="E113" s="660"/>
      <c r="F113" s="660"/>
      <c r="G113" s="660"/>
      <c r="H113" s="660"/>
      <c r="I113" s="660"/>
      <c r="J113" s="660"/>
      <c r="K113" s="660"/>
      <c r="L113" s="660"/>
      <c r="M113" s="660"/>
      <c r="N113" s="660"/>
      <c r="O113" s="660"/>
      <c r="P113" s="660"/>
      <c r="Q113" s="660"/>
      <c r="R113" s="660"/>
      <c r="S113" s="660"/>
      <c r="T113" s="660"/>
      <c r="U113" s="660"/>
      <c r="V113" s="660"/>
      <c r="W113" s="660"/>
      <c r="X113" s="660"/>
      <c r="Y113" s="660"/>
      <c r="Z113" s="660"/>
      <c r="AA113" s="63"/>
      <c r="AB113" s="63"/>
      <c r="AC113" s="63"/>
    </row>
    <row r="114" spans="1:68" ht="27" hidden="1" customHeight="1" x14ac:dyDescent="0.25">
      <c r="A114" s="60" t="s">
        <v>226</v>
      </c>
      <c r="B114" s="60" t="s">
        <v>227</v>
      </c>
      <c r="C114" s="34">
        <v>4301020391</v>
      </c>
      <c r="D114" s="661">
        <v>4680115881488</v>
      </c>
      <c r="E114" s="661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126</v>
      </c>
      <c r="L114" s="35" t="s">
        <v>46</v>
      </c>
      <c r="M114" s="36" t="s">
        <v>125</v>
      </c>
      <c r="N114" s="36"/>
      <c r="O114" s="35">
        <v>55</v>
      </c>
      <c r="P114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3"/>
      <c r="R114" s="663"/>
      <c r="S114" s="663"/>
      <c r="T114" s="664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228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229</v>
      </c>
      <c r="B115" s="60" t="s">
        <v>230</v>
      </c>
      <c r="C115" s="34">
        <v>4301020186</v>
      </c>
      <c r="D115" s="661">
        <v>4680115887664</v>
      </c>
      <c r="E115" s="661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232</v>
      </c>
      <c r="L115" s="35" t="s">
        <v>46</v>
      </c>
      <c r="M115" s="36" t="s">
        <v>80</v>
      </c>
      <c r="N115" s="36"/>
      <c r="O115" s="35">
        <v>30</v>
      </c>
      <c r="P115" s="8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3"/>
      <c r="R115" s="663"/>
      <c r="S115" s="663"/>
      <c r="T115" s="664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229</v>
      </c>
      <c r="B116" s="60" t="s">
        <v>233</v>
      </c>
      <c r="C116" s="34">
        <v>4301020430</v>
      </c>
      <c r="D116" s="661">
        <v>4680115887664</v>
      </c>
      <c r="E116" s="661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232</v>
      </c>
      <c r="L116" s="35" t="s">
        <v>46</v>
      </c>
      <c r="M116" s="36" t="s">
        <v>80</v>
      </c>
      <c r="N116" s="36"/>
      <c r="O116" s="35">
        <v>30</v>
      </c>
      <c r="P116" s="89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3"/>
      <c r="R116" s="663"/>
      <c r="S116" s="663"/>
      <c r="T116" s="664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4301020393</v>
      </c>
      <c r="D117" s="661">
        <v>4680115882775</v>
      </c>
      <c r="E117" s="661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81</v>
      </c>
      <c r="L117" s="35" t="s">
        <v>46</v>
      </c>
      <c r="M117" s="36" t="s">
        <v>125</v>
      </c>
      <c r="N117" s="36"/>
      <c r="O117" s="35">
        <v>55</v>
      </c>
      <c r="P117" s="89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3"/>
      <c r="R117" s="663"/>
      <c r="S117" s="663"/>
      <c r="T117" s="664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228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236</v>
      </c>
      <c r="B118" s="60" t="s">
        <v>237</v>
      </c>
      <c r="C118" s="34">
        <v>4301020392</v>
      </c>
      <c r="D118" s="661">
        <v>4680115880658</v>
      </c>
      <c r="E118" s="661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90</v>
      </c>
      <c r="L118" s="35" t="s">
        <v>46</v>
      </c>
      <c r="M118" s="36" t="s">
        <v>125</v>
      </c>
      <c r="N118" s="36"/>
      <c r="O118" s="35">
        <v>55</v>
      </c>
      <c r="P118" s="89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3"/>
      <c r="R118" s="663"/>
      <c r="S118" s="663"/>
      <c r="T118" s="664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228</v>
      </c>
      <c r="AG118" s="75"/>
      <c r="AJ118" s="79" t="s">
        <v>46</v>
      </c>
      <c r="AK118" s="79">
        <v>0</v>
      </c>
      <c r="BB118" s="194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5">
      <c r="A119" s="651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2"/>
      <c r="P119" s="648" t="s">
        <v>40</v>
      </c>
      <c r="Q119" s="649"/>
      <c r="R119" s="649"/>
      <c r="S119" s="649"/>
      <c r="T119" s="649"/>
      <c r="U119" s="649"/>
      <c r="V119" s="650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5">
      <c r="A120" s="651"/>
      <c r="B120" s="651"/>
      <c r="C120" s="651"/>
      <c r="D120" s="651"/>
      <c r="E120" s="651"/>
      <c r="F120" s="651"/>
      <c r="G120" s="651"/>
      <c r="H120" s="651"/>
      <c r="I120" s="651"/>
      <c r="J120" s="651"/>
      <c r="K120" s="651"/>
      <c r="L120" s="651"/>
      <c r="M120" s="651"/>
      <c r="N120" s="651"/>
      <c r="O120" s="652"/>
      <c r="P120" s="648" t="s">
        <v>40</v>
      </c>
      <c r="Q120" s="649"/>
      <c r="R120" s="649"/>
      <c r="S120" s="649"/>
      <c r="T120" s="649"/>
      <c r="U120" s="649"/>
      <c r="V120" s="650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660" t="s">
        <v>85</v>
      </c>
      <c r="B121" s="660"/>
      <c r="C121" s="660"/>
      <c r="D121" s="660"/>
      <c r="E121" s="660"/>
      <c r="F121" s="660"/>
      <c r="G121" s="660"/>
      <c r="H121" s="660"/>
      <c r="I121" s="660"/>
      <c r="J121" s="660"/>
      <c r="K121" s="660"/>
      <c r="L121" s="660"/>
      <c r="M121" s="660"/>
      <c r="N121" s="660"/>
      <c r="O121" s="660"/>
      <c r="P121" s="660"/>
      <c r="Q121" s="660"/>
      <c r="R121" s="660"/>
      <c r="S121" s="660"/>
      <c r="T121" s="660"/>
      <c r="U121" s="660"/>
      <c r="V121" s="660"/>
      <c r="W121" s="660"/>
      <c r="X121" s="660"/>
      <c r="Y121" s="660"/>
      <c r="Z121" s="660"/>
      <c r="AA121" s="63"/>
      <c r="AB121" s="63"/>
      <c r="AC121" s="63"/>
    </row>
    <row r="122" spans="1:68" ht="27" hidden="1" customHeight="1" x14ac:dyDescent="0.25">
      <c r="A122" s="60" t="s">
        <v>238</v>
      </c>
      <c r="B122" s="60" t="s">
        <v>239</v>
      </c>
      <c r="C122" s="34">
        <v>4301051724</v>
      </c>
      <c r="D122" s="661">
        <v>4607091385168</v>
      </c>
      <c r="E122" s="661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126</v>
      </c>
      <c r="L122" s="35" t="s">
        <v>46</v>
      </c>
      <c r="M122" s="36" t="s">
        <v>96</v>
      </c>
      <c r="N122" s="36"/>
      <c r="O122" s="35">
        <v>45</v>
      </c>
      <c r="P122" s="8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3"/>
      <c r="R122" s="663"/>
      <c r="S122" s="663"/>
      <c r="T122" s="664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240</v>
      </c>
      <c r="AG122" s="75"/>
      <c r="AJ122" s="79" t="s">
        <v>46</v>
      </c>
      <c r="AK122" s="79">
        <v>0</v>
      </c>
      <c r="BB122" s="196" t="s">
        <v>66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238</v>
      </c>
      <c r="B123" s="60" t="s">
        <v>241</v>
      </c>
      <c r="C123" s="34">
        <v>4301052088</v>
      </c>
      <c r="D123" s="661">
        <v>4607091385168</v>
      </c>
      <c r="E123" s="661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126</v>
      </c>
      <c r="L123" s="35" t="s">
        <v>46</v>
      </c>
      <c r="M123" s="36" t="s">
        <v>89</v>
      </c>
      <c r="N123" s="36"/>
      <c r="O123" s="35">
        <v>45</v>
      </c>
      <c r="P123" s="886" t="s">
        <v>242</v>
      </c>
      <c r="Q123" s="663"/>
      <c r="R123" s="663"/>
      <c r="S123" s="663"/>
      <c r="T123" s="664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240</v>
      </c>
      <c r="AG123" s="75"/>
      <c r="AJ123" s="79" t="s">
        <v>46</v>
      </c>
      <c r="AK123" s="79">
        <v>0</v>
      </c>
      <c r="BB123" s="198" t="s">
        <v>66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243</v>
      </c>
      <c r="B124" s="60" t="s">
        <v>244</v>
      </c>
      <c r="C124" s="34">
        <v>4301051730</v>
      </c>
      <c r="D124" s="661">
        <v>4607091383256</v>
      </c>
      <c r="E124" s="661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90</v>
      </c>
      <c r="L124" s="35" t="s">
        <v>46</v>
      </c>
      <c r="M124" s="36" t="s">
        <v>96</v>
      </c>
      <c r="N124" s="36"/>
      <c r="O124" s="35">
        <v>45</v>
      </c>
      <c r="P124" s="8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3"/>
      <c r="R124" s="663"/>
      <c r="S124" s="663"/>
      <c r="T124" s="664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240</v>
      </c>
      <c r="AG124" s="75"/>
      <c r="AJ124" s="79" t="s">
        <v>46</v>
      </c>
      <c r="AK124" s="79">
        <v>0</v>
      </c>
      <c r="BB124" s="200" t="s">
        <v>66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245</v>
      </c>
      <c r="B125" s="60" t="s">
        <v>246</v>
      </c>
      <c r="C125" s="34">
        <v>4301051721</v>
      </c>
      <c r="D125" s="661">
        <v>4607091385748</v>
      </c>
      <c r="E125" s="661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90</v>
      </c>
      <c r="L125" s="35" t="s">
        <v>46</v>
      </c>
      <c r="M125" s="36" t="s">
        <v>96</v>
      </c>
      <c r="N125" s="36"/>
      <c r="O125" s="35">
        <v>45</v>
      </c>
      <c r="P125" s="88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3"/>
      <c r="R125" s="663"/>
      <c r="S125" s="663"/>
      <c r="T125" s="664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201" t="s">
        <v>240</v>
      </c>
      <c r="AG125" s="75"/>
      <c r="AJ125" s="79" t="s">
        <v>46</v>
      </c>
      <c r="AK125" s="79">
        <v>0</v>
      </c>
      <c r="BB125" s="202" t="s">
        <v>66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245</v>
      </c>
      <c r="B126" s="60" t="s">
        <v>247</v>
      </c>
      <c r="C126" s="34">
        <v>4301052086</v>
      </c>
      <c r="D126" s="661">
        <v>4607091385748</v>
      </c>
      <c r="E126" s="661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45</v>
      </c>
      <c r="P126" s="889" t="s">
        <v>248</v>
      </c>
      <c r="Q126" s="663"/>
      <c r="R126" s="663"/>
      <c r="S126" s="663"/>
      <c r="T126" s="664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240</v>
      </c>
      <c r="AG126" s="75"/>
      <c r="AJ126" s="79" t="s">
        <v>46</v>
      </c>
      <c r="AK126" s="79">
        <v>0</v>
      </c>
      <c r="BB126" s="204" t="s">
        <v>66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249</v>
      </c>
      <c r="B127" s="60" t="s">
        <v>250</v>
      </c>
      <c r="C127" s="34">
        <v>4301051740</v>
      </c>
      <c r="D127" s="661">
        <v>4680115884533</v>
      </c>
      <c r="E127" s="661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45</v>
      </c>
      <c r="P127" s="8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3"/>
      <c r="R127" s="663"/>
      <c r="S127" s="663"/>
      <c r="T127" s="664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251</v>
      </c>
      <c r="AG127" s="75"/>
      <c r="AJ127" s="79" t="s">
        <v>46</v>
      </c>
      <c r="AK127" s="79">
        <v>0</v>
      </c>
      <c r="BB127" s="206" t="s">
        <v>66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249</v>
      </c>
      <c r="B128" s="60" t="s">
        <v>252</v>
      </c>
      <c r="C128" s="34">
        <v>4301052085</v>
      </c>
      <c r="D128" s="661">
        <v>4680115884533</v>
      </c>
      <c r="E128" s="661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45</v>
      </c>
      <c r="P128" s="891" t="s">
        <v>253</v>
      </c>
      <c r="Q128" s="663"/>
      <c r="R128" s="663"/>
      <c r="S128" s="663"/>
      <c r="T128" s="664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251</v>
      </c>
      <c r="AG128" s="75"/>
      <c r="AJ128" s="79" t="s">
        <v>46</v>
      </c>
      <c r="AK128" s="79">
        <v>0</v>
      </c>
      <c r="BB128" s="208" t="s">
        <v>66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idden="1" x14ac:dyDescent="0.25">
      <c r="A129" s="651"/>
      <c r="B129" s="651"/>
      <c r="C129" s="651"/>
      <c r="D129" s="651"/>
      <c r="E129" s="651"/>
      <c r="F129" s="651"/>
      <c r="G129" s="651"/>
      <c r="H129" s="651"/>
      <c r="I129" s="651"/>
      <c r="J129" s="651"/>
      <c r="K129" s="651"/>
      <c r="L129" s="651"/>
      <c r="M129" s="651"/>
      <c r="N129" s="651"/>
      <c r="O129" s="652"/>
      <c r="P129" s="648" t="s">
        <v>40</v>
      </c>
      <c r="Q129" s="649"/>
      <c r="R129" s="649"/>
      <c r="S129" s="649"/>
      <c r="T129" s="649"/>
      <c r="U129" s="649"/>
      <c r="V129" s="650"/>
      <c r="W129" s="40" t="s">
        <v>39</v>
      </c>
      <c r="X129" s="41">
        <f>IFERROR(X122/H122,"0")+IFERROR(X123/H123,"0")+IFERROR(X124/H124,"0")+IFERROR(X125/H125,"0")+IFERROR(X126/H126,"0")+IFERROR(X127/H127,"0")+IFERROR(X128/H128,"0")</f>
        <v>0</v>
      </c>
      <c r="Y129" s="41">
        <f>IFERROR(Y122/H122,"0")+IFERROR(Y123/H123,"0")+IFERROR(Y124/H124,"0")+IFERROR(Y125/H125,"0")+IFERROR(Y126/H126,"0")+IFERROR(Y127/H127,"0")+IFERROR(Y128/H128,"0")</f>
        <v>0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4"/>
      <c r="AB129" s="64"/>
      <c r="AC129" s="64"/>
    </row>
    <row r="130" spans="1:68" hidden="1" x14ac:dyDescent="0.25">
      <c r="A130" s="651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52"/>
      <c r="P130" s="648" t="s">
        <v>40</v>
      </c>
      <c r="Q130" s="649"/>
      <c r="R130" s="649"/>
      <c r="S130" s="649"/>
      <c r="T130" s="649"/>
      <c r="U130" s="649"/>
      <c r="V130" s="650"/>
      <c r="W130" s="40" t="s">
        <v>0</v>
      </c>
      <c r="X130" s="41">
        <f>IFERROR(SUM(X122:X128),"0")</f>
        <v>0</v>
      </c>
      <c r="Y130" s="41">
        <f>IFERROR(SUM(Y122:Y128),"0")</f>
        <v>0</v>
      </c>
      <c r="Z130" s="40"/>
      <c r="AA130" s="64"/>
      <c r="AB130" s="64"/>
      <c r="AC130" s="64"/>
    </row>
    <row r="131" spans="1:68" ht="14.25" hidden="1" customHeight="1" x14ac:dyDescent="0.25">
      <c r="A131" s="660" t="s">
        <v>172</v>
      </c>
      <c r="B131" s="660"/>
      <c r="C131" s="660"/>
      <c r="D131" s="660"/>
      <c r="E131" s="660"/>
      <c r="F131" s="660"/>
      <c r="G131" s="660"/>
      <c r="H131" s="660"/>
      <c r="I131" s="660"/>
      <c r="J131" s="660"/>
      <c r="K131" s="660"/>
      <c r="L131" s="660"/>
      <c r="M131" s="660"/>
      <c r="N131" s="660"/>
      <c r="O131" s="660"/>
      <c r="P131" s="660"/>
      <c r="Q131" s="660"/>
      <c r="R131" s="660"/>
      <c r="S131" s="660"/>
      <c r="T131" s="660"/>
      <c r="U131" s="660"/>
      <c r="V131" s="660"/>
      <c r="W131" s="660"/>
      <c r="X131" s="660"/>
      <c r="Y131" s="660"/>
      <c r="Z131" s="660"/>
      <c r="AA131" s="63"/>
      <c r="AB131" s="63"/>
      <c r="AC131" s="63"/>
    </row>
    <row r="132" spans="1:68" ht="16.5" hidden="1" customHeight="1" x14ac:dyDescent="0.25">
      <c r="A132" s="60" t="s">
        <v>254</v>
      </c>
      <c r="B132" s="60" t="s">
        <v>255</v>
      </c>
      <c r="C132" s="34">
        <v>4301060317</v>
      </c>
      <c r="D132" s="661">
        <v>4680115880238</v>
      </c>
      <c r="E132" s="661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90</v>
      </c>
      <c r="L132" s="35" t="s">
        <v>46</v>
      </c>
      <c r="M132" s="36" t="s">
        <v>89</v>
      </c>
      <c r="N132" s="36"/>
      <c r="O132" s="35">
        <v>40</v>
      </c>
      <c r="P132" s="88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3"/>
      <c r="R132" s="663"/>
      <c r="S132" s="663"/>
      <c r="T132" s="664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256</v>
      </c>
      <c r="AG132" s="75"/>
      <c r="AJ132" s="79" t="s">
        <v>46</v>
      </c>
      <c r="AK132" s="79">
        <v>0</v>
      </c>
      <c r="BB132" s="210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254</v>
      </c>
      <c r="B133" s="60" t="s">
        <v>257</v>
      </c>
      <c r="C133" s="34">
        <v>4301060525</v>
      </c>
      <c r="D133" s="661">
        <v>4680115880238</v>
      </c>
      <c r="E133" s="661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90</v>
      </c>
      <c r="L133" s="35" t="s">
        <v>46</v>
      </c>
      <c r="M133" s="36" t="s">
        <v>89</v>
      </c>
      <c r="N133" s="36"/>
      <c r="O133" s="35">
        <v>40</v>
      </c>
      <c r="P133" s="882" t="s">
        <v>258</v>
      </c>
      <c r="Q133" s="663"/>
      <c r="R133" s="663"/>
      <c r="S133" s="663"/>
      <c r="T133" s="664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256</v>
      </c>
      <c r="AG133" s="75"/>
      <c r="AJ133" s="79" t="s">
        <v>46</v>
      </c>
      <c r="AK133" s="79">
        <v>0</v>
      </c>
      <c r="BB133" s="212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5">
      <c r="A134" s="651"/>
      <c r="B134" s="651"/>
      <c r="C134" s="651"/>
      <c r="D134" s="651"/>
      <c r="E134" s="651"/>
      <c r="F134" s="651"/>
      <c r="G134" s="651"/>
      <c r="H134" s="651"/>
      <c r="I134" s="651"/>
      <c r="J134" s="651"/>
      <c r="K134" s="651"/>
      <c r="L134" s="651"/>
      <c r="M134" s="651"/>
      <c r="N134" s="651"/>
      <c r="O134" s="652"/>
      <c r="P134" s="648" t="s">
        <v>40</v>
      </c>
      <c r="Q134" s="649"/>
      <c r="R134" s="649"/>
      <c r="S134" s="649"/>
      <c r="T134" s="649"/>
      <c r="U134" s="649"/>
      <c r="V134" s="650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5">
      <c r="A135" s="651"/>
      <c r="B135" s="651"/>
      <c r="C135" s="651"/>
      <c r="D135" s="651"/>
      <c r="E135" s="651"/>
      <c r="F135" s="651"/>
      <c r="G135" s="651"/>
      <c r="H135" s="651"/>
      <c r="I135" s="651"/>
      <c r="J135" s="651"/>
      <c r="K135" s="651"/>
      <c r="L135" s="651"/>
      <c r="M135" s="651"/>
      <c r="N135" s="651"/>
      <c r="O135" s="652"/>
      <c r="P135" s="648" t="s">
        <v>40</v>
      </c>
      <c r="Q135" s="649"/>
      <c r="R135" s="649"/>
      <c r="S135" s="649"/>
      <c r="T135" s="649"/>
      <c r="U135" s="649"/>
      <c r="V135" s="650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667" t="s">
        <v>259</v>
      </c>
      <c r="B136" s="667"/>
      <c r="C136" s="667"/>
      <c r="D136" s="667"/>
      <c r="E136" s="667"/>
      <c r="F136" s="667"/>
      <c r="G136" s="667"/>
      <c r="H136" s="667"/>
      <c r="I136" s="667"/>
      <c r="J136" s="667"/>
      <c r="K136" s="667"/>
      <c r="L136" s="667"/>
      <c r="M136" s="667"/>
      <c r="N136" s="667"/>
      <c r="O136" s="667"/>
      <c r="P136" s="667"/>
      <c r="Q136" s="667"/>
      <c r="R136" s="667"/>
      <c r="S136" s="667"/>
      <c r="T136" s="667"/>
      <c r="U136" s="667"/>
      <c r="V136" s="667"/>
      <c r="W136" s="667"/>
      <c r="X136" s="667"/>
      <c r="Y136" s="667"/>
      <c r="Z136" s="667"/>
      <c r="AA136" s="62"/>
      <c r="AB136" s="62"/>
      <c r="AC136" s="62"/>
    </row>
    <row r="137" spans="1:68" ht="14.25" hidden="1" customHeight="1" x14ac:dyDescent="0.25">
      <c r="A137" s="660" t="s">
        <v>121</v>
      </c>
      <c r="B137" s="660"/>
      <c r="C137" s="660"/>
      <c r="D137" s="660"/>
      <c r="E137" s="660"/>
      <c r="F137" s="660"/>
      <c r="G137" s="660"/>
      <c r="H137" s="660"/>
      <c r="I137" s="660"/>
      <c r="J137" s="660"/>
      <c r="K137" s="660"/>
      <c r="L137" s="660"/>
      <c r="M137" s="660"/>
      <c r="N137" s="660"/>
      <c r="O137" s="660"/>
      <c r="P137" s="660"/>
      <c r="Q137" s="660"/>
      <c r="R137" s="660"/>
      <c r="S137" s="660"/>
      <c r="T137" s="660"/>
      <c r="U137" s="660"/>
      <c r="V137" s="660"/>
      <c r="W137" s="660"/>
      <c r="X137" s="660"/>
      <c r="Y137" s="660"/>
      <c r="Z137" s="660"/>
      <c r="AA137" s="63"/>
      <c r="AB137" s="63"/>
      <c r="AC137" s="63"/>
    </row>
    <row r="138" spans="1:68" ht="27" hidden="1" customHeight="1" x14ac:dyDescent="0.25">
      <c r="A138" s="60" t="s">
        <v>260</v>
      </c>
      <c r="B138" s="60" t="s">
        <v>261</v>
      </c>
      <c r="C138" s="34">
        <v>4301011562</v>
      </c>
      <c r="D138" s="661">
        <v>4680115882577</v>
      </c>
      <c r="E138" s="661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90</v>
      </c>
      <c r="L138" s="35" t="s">
        <v>46</v>
      </c>
      <c r="M138" s="36" t="s">
        <v>263</v>
      </c>
      <c r="N138" s="36"/>
      <c r="O138" s="35">
        <v>90</v>
      </c>
      <c r="P138" s="88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3"/>
      <c r="R138" s="663"/>
      <c r="S138" s="663"/>
      <c r="T138" s="664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262</v>
      </c>
      <c r="AG138" s="75"/>
      <c r="AJ138" s="79" t="s">
        <v>46</v>
      </c>
      <c r="AK138" s="79">
        <v>0</v>
      </c>
      <c r="BB138" s="21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260</v>
      </c>
      <c r="B139" s="60" t="s">
        <v>264</v>
      </c>
      <c r="C139" s="34">
        <v>4301011564</v>
      </c>
      <c r="D139" s="661">
        <v>4680115882577</v>
      </c>
      <c r="E139" s="661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90</v>
      </c>
      <c r="L139" s="35" t="s">
        <v>46</v>
      </c>
      <c r="M139" s="36" t="s">
        <v>263</v>
      </c>
      <c r="N139" s="36"/>
      <c r="O139" s="35">
        <v>90</v>
      </c>
      <c r="P139" s="8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3"/>
      <c r="R139" s="663"/>
      <c r="S139" s="663"/>
      <c r="T139" s="664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262</v>
      </c>
      <c r="AG139" s="75"/>
      <c r="AJ139" s="79" t="s">
        <v>46</v>
      </c>
      <c r="AK139" s="79">
        <v>0</v>
      </c>
      <c r="BB139" s="21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5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5">
      <c r="A141" s="651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52"/>
      <c r="P141" s="648" t="s">
        <v>40</v>
      </c>
      <c r="Q141" s="649"/>
      <c r="R141" s="649"/>
      <c r="S141" s="649"/>
      <c r="T141" s="649"/>
      <c r="U141" s="649"/>
      <c r="V141" s="650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660" t="s">
        <v>76</v>
      </c>
      <c r="B142" s="660"/>
      <c r="C142" s="660"/>
      <c r="D142" s="660"/>
      <c r="E142" s="660"/>
      <c r="F142" s="660"/>
      <c r="G142" s="660"/>
      <c r="H142" s="660"/>
      <c r="I142" s="660"/>
      <c r="J142" s="660"/>
      <c r="K142" s="660"/>
      <c r="L142" s="660"/>
      <c r="M142" s="660"/>
      <c r="N142" s="660"/>
      <c r="O142" s="660"/>
      <c r="P142" s="660"/>
      <c r="Q142" s="660"/>
      <c r="R142" s="660"/>
      <c r="S142" s="660"/>
      <c r="T142" s="660"/>
      <c r="U142" s="660"/>
      <c r="V142" s="660"/>
      <c r="W142" s="660"/>
      <c r="X142" s="660"/>
      <c r="Y142" s="660"/>
      <c r="Z142" s="660"/>
      <c r="AA142" s="63"/>
      <c r="AB142" s="63"/>
      <c r="AC142" s="63"/>
    </row>
    <row r="143" spans="1:68" ht="27" hidden="1" customHeight="1" x14ac:dyDescent="0.25">
      <c r="A143" s="60" t="s">
        <v>265</v>
      </c>
      <c r="B143" s="60" t="s">
        <v>266</v>
      </c>
      <c r="C143" s="34">
        <v>4301031234</v>
      </c>
      <c r="D143" s="661">
        <v>4680115883444</v>
      </c>
      <c r="E143" s="661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90</v>
      </c>
      <c r="L143" s="35" t="s">
        <v>46</v>
      </c>
      <c r="M143" s="36" t="s">
        <v>263</v>
      </c>
      <c r="N143" s="36"/>
      <c r="O143" s="35">
        <v>90</v>
      </c>
      <c r="P143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3"/>
      <c r="R143" s="663"/>
      <c r="S143" s="663"/>
      <c r="T143" s="664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267</v>
      </c>
      <c r="AG143" s="75"/>
      <c r="AJ143" s="79" t="s">
        <v>46</v>
      </c>
      <c r="AK143" s="79">
        <v>0</v>
      </c>
      <c r="BB143" s="218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265</v>
      </c>
      <c r="B144" s="60" t="s">
        <v>268</v>
      </c>
      <c r="C144" s="34">
        <v>4301031235</v>
      </c>
      <c r="D144" s="661">
        <v>4680115883444</v>
      </c>
      <c r="E144" s="661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90</v>
      </c>
      <c r="L144" s="35" t="s">
        <v>46</v>
      </c>
      <c r="M144" s="36" t="s">
        <v>263</v>
      </c>
      <c r="N144" s="36"/>
      <c r="O144" s="35">
        <v>90</v>
      </c>
      <c r="P144" s="87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3"/>
      <c r="R144" s="663"/>
      <c r="S144" s="663"/>
      <c r="T144" s="664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267</v>
      </c>
      <c r="AG144" s="75"/>
      <c r="AJ144" s="79" t="s">
        <v>46</v>
      </c>
      <c r="AK144" s="79">
        <v>0</v>
      </c>
      <c r="BB144" s="220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5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5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660" t="s">
        <v>85</v>
      </c>
      <c r="B147" s="660"/>
      <c r="C147" s="660"/>
      <c r="D147" s="660"/>
      <c r="E147" s="660"/>
      <c r="F147" s="660"/>
      <c r="G147" s="660"/>
      <c r="H147" s="660"/>
      <c r="I147" s="660"/>
      <c r="J147" s="660"/>
      <c r="K147" s="660"/>
      <c r="L147" s="660"/>
      <c r="M147" s="660"/>
      <c r="N147" s="660"/>
      <c r="O147" s="660"/>
      <c r="P147" s="660"/>
      <c r="Q147" s="660"/>
      <c r="R147" s="660"/>
      <c r="S147" s="660"/>
      <c r="T147" s="660"/>
      <c r="U147" s="660"/>
      <c r="V147" s="660"/>
      <c r="W147" s="660"/>
      <c r="X147" s="660"/>
      <c r="Y147" s="660"/>
      <c r="Z147" s="660"/>
      <c r="AA147" s="63"/>
      <c r="AB147" s="63"/>
      <c r="AC147" s="63"/>
    </row>
    <row r="148" spans="1:68" ht="16.5" hidden="1" customHeight="1" x14ac:dyDescent="0.25">
      <c r="A148" s="60" t="s">
        <v>269</v>
      </c>
      <c r="B148" s="60" t="s">
        <v>270</v>
      </c>
      <c r="C148" s="34">
        <v>4301051476</v>
      </c>
      <c r="D148" s="661">
        <v>4680115882584</v>
      </c>
      <c r="E148" s="661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263</v>
      </c>
      <c r="N148" s="36"/>
      <c r="O148" s="35">
        <v>60</v>
      </c>
      <c r="P148" s="87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3"/>
      <c r="R148" s="663"/>
      <c r="S148" s="663"/>
      <c r="T148" s="664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262</v>
      </c>
      <c r="AG148" s="75"/>
      <c r="AJ148" s="79" t="s">
        <v>46</v>
      </c>
      <c r="AK148" s="79">
        <v>0</v>
      </c>
      <c r="BB148" s="222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269</v>
      </c>
      <c r="B149" s="60" t="s">
        <v>271</v>
      </c>
      <c r="C149" s="34">
        <v>4301051477</v>
      </c>
      <c r="D149" s="661">
        <v>4680115882584</v>
      </c>
      <c r="E149" s="661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263</v>
      </c>
      <c r="N149" s="36"/>
      <c r="O149" s="35">
        <v>60</v>
      </c>
      <c r="P149" s="88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3"/>
      <c r="R149" s="663"/>
      <c r="S149" s="663"/>
      <c r="T149" s="664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262</v>
      </c>
      <c r="AG149" s="75"/>
      <c r="AJ149" s="79" t="s">
        <v>46</v>
      </c>
      <c r="AK149" s="79">
        <v>0</v>
      </c>
      <c r="BB149" s="224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5">
      <c r="A150" s="651"/>
      <c r="B150" s="651"/>
      <c r="C150" s="651"/>
      <c r="D150" s="651"/>
      <c r="E150" s="651"/>
      <c r="F150" s="651"/>
      <c r="G150" s="651"/>
      <c r="H150" s="651"/>
      <c r="I150" s="651"/>
      <c r="J150" s="651"/>
      <c r="K150" s="651"/>
      <c r="L150" s="651"/>
      <c r="M150" s="651"/>
      <c r="N150" s="651"/>
      <c r="O150" s="652"/>
      <c r="P150" s="648" t="s">
        <v>40</v>
      </c>
      <c r="Q150" s="649"/>
      <c r="R150" s="649"/>
      <c r="S150" s="649"/>
      <c r="T150" s="649"/>
      <c r="U150" s="649"/>
      <c r="V150" s="650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5">
      <c r="A151" s="651"/>
      <c r="B151" s="651"/>
      <c r="C151" s="651"/>
      <c r="D151" s="651"/>
      <c r="E151" s="651"/>
      <c r="F151" s="651"/>
      <c r="G151" s="651"/>
      <c r="H151" s="651"/>
      <c r="I151" s="651"/>
      <c r="J151" s="651"/>
      <c r="K151" s="651"/>
      <c r="L151" s="651"/>
      <c r="M151" s="651"/>
      <c r="N151" s="651"/>
      <c r="O151" s="652"/>
      <c r="P151" s="648" t="s">
        <v>40</v>
      </c>
      <c r="Q151" s="649"/>
      <c r="R151" s="649"/>
      <c r="S151" s="649"/>
      <c r="T151" s="649"/>
      <c r="U151" s="649"/>
      <c r="V151" s="650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67" t="s">
        <v>272</v>
      </c>
      <c r="B152" s="667"/>
      <c r="C152" s="667"/>
      <c r="D152" s="667"/>
      <c r="E152" s="667"/>
      <c r="F152" s="667"/>
      <c r="G152" s="667"/>
      <c r="H152" s="667"/>
      <c r="I152" s="667"/>
      <c r="J152" s="667"/>
      <c r="K152" s="667"/>
      <c r="L152" s="667"/>
      <c r="M152" s="667"/>
      <c r="N152" s="667"/>
      <c r="O152" s="667"/>
      <c r="P152" s="667"/>
      <c r="Q152" s="667"/>
      <c r="R152" s="667"/>
      <c r="S152" s="667"/>
      <c r="T152" s="667"/>
      <c r="U152" s="667"/>
      <c r="V152" s="667"/>
      <c r="W152" s="667"/>
      <c r="X152" s="667"/>
      <c r="Y152" s="667"/>
      <c r="Z152" s="667"/>
      <c r="AA152" s="62"/>
      <c r="AB152" s="62"/>
      <c r="AC152" s="62"/>
    </row>
    <row r="153" spans="1:68" ht="14.25" hidden="1" customHeight="1" x14ac:dyDescent="0.25">
      <c r="A153" s="660" t="s">
        <v>85</v>
      </c>
      <c r="B153" s="660"/>
      <c r="C153" s="660"/>
      <c r="D153" s="660"/>
      <c r="E153" s="660"/>
      <c r="F153" s="660"/>
      <c r="G153" s="660"/>
      <c r="H153" s="660"/>
      <c r="I153" s="660"/>
      <c r="J153" s="660"/>
      <c r="K153" s="660"/>
      <c r="L153" s="660"/>
      <c r="M153" s="660"/>
      <c r="N153" s="660"/>
      <c r="O153" s="660"/>
      <c r="P153" s="660"/>
      <c r="Q153" s="660"/>
      <c r="R153" s="660"/>
      <c r="S153" s="660"/>
      <c r="T153" s="660"/>
      <c r="U153" s="660"/>
      <c r="V153" s="660"/>
      <c r="W153" s="660"/>
      <c r="X153" s="660"/>
      <c r="Y153" s="660"/>
      <c r="Z153" s="660"/>
      <c r="AA153" s="63"/>
      <c r="AB153" s="63"/>
      <c r="AC153" s="63"/>
    </row>
    <row r="154" spans="1:68" ht="27" hidden="1" customHeight="1" x14ac:dyDescent="0.25">
      <c r="A154" s="60" t="s">
        <v>273</v>
      </c>
      <c r="B154" s="60" t="s">
        <v>274</v>
      </c>
      <c r="C154" s="34">
        <v>4301052254</v>
      </c>
      <c r="D154" s="661">
        <v>4680115888203</v>
      </c>
      <c r="E154" s="661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7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3"/>
      <c r="R154" s="663"/>
      <c r="S154" s="663"/>
      <c r="T154" s="664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66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276</v>
      </c>
      <c r="B155" s="60" t="s">
        <v>277</v>
      </c>
      <c r="C155" s="34">
        <v>4301052172</v>
      </c>
      <c r="D155" s="661">
        <v>4680115888180</v>
      </c>
      <c r="E155" s="661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7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3"/>
      <c r="R155" s="663"/>
      <c r="S155" s="663"/>
      <c r="T155" s="664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278</v>
      </c>
      <c r="AG155" s="75"/>
      <c r="AJ155" s="79" t="s">
        <v>46</v>
      </c>
      <c r="AK155" s="79">
        <v>0</v>
      </c>
      <c r="BB155" s="228" t="s">
        <v>66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276</v>
      </c>
      <c r="B156" s="60" t="s">
        <v>279</v>
      </c>
      <c r="C156" s="34">
        <v>4301052252</v>
      </c>
      <c r="D156" s="661">
        <v>4680115888180</v>
      </c>
      <c r="E156" s="661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7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3"/>
      <c r="R156" s="663"/>
      <c r="S156" s="663"/>
      <c r="T156" s="664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278</v>
      </c>
      <c r="AG156" s="75"/>
      <c r="AJ156" s="79" t="s">
        <v>46</v>
      </c>
      <c r="AK156" s="79">
        <v>0</v>
      </c>
      <c r="BB156" s="230" t="s">
        <v>66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280</v>
      </c>
      <c r="B157" s="60" t="s">
        <v>281</v>
      </c>
      <c r="C157" s="34">
        <v>4301052173</v>
      </c>
      <c r="D157" s="661">
        <v>4680115888197</v>
      </c>
      <c r="E157" s="661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7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3"/>
      <c r="R157" s="663"/>
      <c r="S157" s="663"/>
      <c r="T157" s="664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282</v>
      </c>
      <c r="AG157" s="75"/>
      <c r="AJ157" s="79" t="s">
        <v>46</v>
      </c>
      <c r="AK157" s="79">
        <v>0</v>
      </c>
      <c r="BB157" s="232" t="s">
        <v>66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280</v>
      </c>
      <c r="B158" s="60" t="s">
        <v>283</v>
      </c>
      <c r="C158" s="34">
        <v>4301052253</v>
      </c>
      <c r="D158" s="661">
        <v>4680115888197</v>
      </c>
      <c r="E158" s="661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90</v>
      </c>
      <c r="L158" s="35" t="s">
        <v>46</v>
      </c>
      <c r="M158" s="36" t="s">
        <v>96</v>
      </c>
      <c r="N158" s="36"/>
      <c r="O158" s="35">
        <v>40</v>
      </c>
      <c r="P158" s="87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3"/>
      <c r="R158" s="663"/>
      <c r="S158" s="663"/>
      <c r="T158" s="664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282</v>
      </c>
      <c r="AG158" s="75"/>
      <c r="AJ158" s="79" t="s">
        <v>46</v>
      </c>
      <c r="AK158" s="79">
        <v>0</v>
      </c>
      <c r="BB158" s="234" t="s">
        <v>66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284</v>
      </c>
      <c r="B159" s="60" t="s">
        <v>285</v>
      </c>
      <c r="C159" s="34">
        <v>4301052175</v>
      </c>
      <c r="D159" s="661">
        <v>4680115888210</v>
      </c>
      <c r="E159" s="661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90</v>
      </c>
      <c r="L159" s="35" t="s">
        <v>46</v>
      </c>
      <c r="M159" s="36" t="s">
        <v>96</v>
      </c>
      <c r="N159" s="36"/>
      <c r="O159" s="35">
        <v>40</v>
      </c>
      <c r="P159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3"/>
      <c r="R159" s="663"/>
      <c r="S159" s="663"/>
      <c r="T159" s="664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286</v>
      </c>
      <c r="AG159" s="75"/>
      <c r="AJ159" s="79" t="s">
        <v>46</v>
      </c>
      <c r="AK159" s="79">
        <v>0</v>
      </c>
      <c r="BB159" s="236" t="s">
        <v>66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284</v>
      </c>
      <c r="B160" s="60" t="s">
        <v>287</v>
      </c>
      <c r="C160" s="34">
        <v>4301052255</v>
      </c>
      <c r="D160" s="661">
        <v>4680115888210</v>
      </c>
      <c r="E160" s="661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90</v>
      </c>
      <c r="L160" s="35" t="s">
        <v>46</v>
      </c>
      <c r="M160" s="36" t="s">
        <v>96</v>
      </c>
      <c r="N160" s="36"/>
      <c r="O160" s="35">
        <v>40</v>
      </c>
      <c r="P160" s="87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3"/>
      <c r="R160" s="663"/>
      <c r="S160" s="663"/>
      <c r="T160" s="664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286</v>
      </c>
      <c r="AG160" s="75"/>
      <c r="AJ160" s="79" t="s">
        <v>46</v>
      </c>
      <c r="AK160" s="79">
        <v>0</v>
      </c>
      <c r="BB160" s="238" t="s">
        <v>66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5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5">
      <c r="A162" s="651"/>
      <c r="B162" s="651"/>
      <c r="C162" s="651"/>
      <c r="D162" s="651"/>
      <c r="E162" s="651"/>
      <c r="F162" s="651"/>
      <c r="G162" s="651"/>
      <c r="H162" s="651"/>
      <c r="I162" s="651"/>
      <c r="J162" s="651"/>
      <c r="K162" s="651"/>
      <c r="L162" s="651"/>
      <c r="M162" s="651"/>
      <c r="N162" s="651"/>
      <c r="O162" s="652"/>
      <c r="P162" s="648" t="s">
        <v>40</v>
      </c>
      <c r="Q162" s="649"/>
      <c r="R162" s="649"/>
      <c r="S162" s="649"/>
      <c r="T162" s="649"/>
      <c r="U162" s="649"/>
      <c r="V162" s="650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660" t="s">
        <v>288</v>
      </c>
      <c r="B163" s="660"/>
      <c r="C163" s="660"/>
      <c r="D163" s="660"/>
      <c r="E163" s="660"/>
      <c r="F163" s="660"/>
      <c r="G163" s="660"/>
      <c r="H163" s="660"/>
      <c r="I163" s="660"/>
      <c r="J163" s="660"/>
      <c r="K163" s="660"/>
      <c r="L163" s="660"/>
      <c r="M163" s="660"/>
      <c r="N163" s="660"/>
      <c r="O163" s="660"/>
      <c r="P163" s="660"/>
      <c r="Q163" s="660"/>
      <c r="R163" s="660"/>
      <c r="S163" s="660"/>
      <c r="T163" s="660"/>
      <c r="U163" s="660"/>
      <c r="V163" s="660"/>
      <c r="W163" s="660"/>
      <c r="X163" s="660"/>
      <c r="Y163" s="660"/>
      <c r="Z163" s="660"/>
      <c r="AA163" s="63"/>
      <c r="AB163" s="63"/>
      <c r="AC163" s="63"/>
    </row>
    <row r="164" spans="1:68" ht="27" hidden="1" customHeight="1" x14ac:dyDescent="0.25">
      <c r="A164" s="60" t="s">
        <v>289</v>
      </c>
      <c r="B164" s="60" t="s">
        <v>290</v>
      </c>
      <c r="C164" s="34">
        <v>4301032067</v>
      </c>
      <c r="D164" s="661">
        <v>4680115889132</v>
      </c>
      <c r="E164" s="661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294</v>
      </c>
      <c r="L164" s="35" t="s">
        <v>46</v>
      </c>
      <c r="M164" s="36" t="s">
        <v>293</v>
      </c>
      <c r="N164" s="36"/>
      <c r="O164" s="35">
        <v>120</v>
      </c>
      <c r="P164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3"/>
      <c r="R164" s="663"/>
      <c r="S164" s="663"/>
      <c r="T164" s="664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291</v>
      </c>
      <c r="AG164" s="75"/>
      <c r="AJ164" s="79" t="s">
        <v>46</v>
      </c>
      <c r="AK164" s="79">
        <v>0</v>
      </c>
      <c r="BB164" s="240" t="s">
        <v>292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5">
      <c r="A165" s="651"/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2"/>
      <c r="P165" s="648" t="s">
        <v>40</v>
      </c>
      <c r="Q165" s="649"/>
      <c r="R165" s="649"/>
      <c r="S165" s="649"/>
      <c r="T165" s="649"/>
      <c r="U165" s="649"/>
      <c r="V165" s="650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5">
      <c r="A166" s="651"/>
      <c r="B166" s="651"/>
      <c r="C166" s="651"/>
      <c r="D166" s="651"/>
      <c r="E166" s="651"/>
      <c r="F166" s="651"/>
      <c r="G166" s="651"/>
      <c r="H166" s="651"/>
      <c r="I166" s="651"/>
      <c r="J166" s="651"/>
      <c r="K166" s="651"/>
      <c r="L166" s="651"/>
      <c r="M166" s="651"/>
      <c r="N166" s="651"/>
      <c r="O166" s="652"/>
      <c r="P166" s="648" t="s">
        <v>40</v>
      </c>
      <c r="Q166" s="649"/>
      <c r="R166" s="649"/>
      <c r="S166" s="649"/>
      <c r="T166" s="649"/>
      <c r="U166" s="649"/>
      <c r="V166" s="650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667" t="s">
        <v>119</v>
      </c>
      <c r="B167" s="667"/>
      <c r="C167" s="667"/>
      <c r="D167" s="667"/>
      <c r="E167" s="667"/>
      <c r="F167" s="667"/>
      <c r="G167" s="667"/>
      <c r="H167" s="667"/>
      <c r="I167" s="667"/>
      <c r="J167" s="667"/>
      <c r="K167" s="667"/>
      <c r="L167" s="667"/>
      <c r="M167" s="667"/>
      <c r="N167" s="667"/>
      <c r="O167" s="667"/>
      <c r="P167" s="667"/>
      <c r="Q167" s="667"/>
      <c r="R167" s="667"/>
      <c r="S167" s="667"/>
      <c r="T167" s="667"/>
      <c r="U167" s="667"/>
      <c r="V167" s="667"/>
      <c r="W167" s="667"/>
      <c r="X167" s="667"/>
      <c r="Y167" s="667"/>
      <c r="Z167" s="667"/>
      <c r="AA167" s="62"/>
      <c r="AB167" s="62"/>
      <c r="AC167" s="62"/>
    </row>
    <row r="168" spans="1:68" ht="14.25" hidden="1" customHeight="1" x14ac:dyDescent="0.25">
      <c r="A168" s="660" t="s">
        <v>121</v>
      </c>
      <c r="B168" s="660"/>
      <c r="C168" s="660"/>
      <c r="D168" s="660"/>
      <c r="E168" s="660"/>
      <c r="F168" s="660"/>
      <c r="G168" s="660"/>
      <c r="H168" s="660"/>
      <c r="I168" s="660"/>
      <c r="J168" s="660"/>
      <c r="K168" s="660"/>
      <c r="L168" s="660"/>
      <c r="M168" s="660"/>
      <c r="N168" s="660"/>
      <c r="O168" s="660"/>
      <c r="P168" s="660"/>
      <c r="Q168" s="660"/>
      <c r="R168" s="660"/>
      <c r="S168" s="660"/>
      <c r="T168" s="660"/>
      <c r="U168" s="660"/>
      <c r="V168" s="660"/>
      <c r="W168" s="660"/>
      <c r="X168" s="660"/>
      <c r="Y168" s="660"/>
      <c r="Z168" s="660"/>
      <c r="AA168" s="63"/>
      <c r="AB168" s="63"/>
      <c r="AC168" s="63"/>
    </row>
    <row r="169" spans="1:68" ht="27" hidden="1" customHeight="1" x14ac:dyDescent="0.25">
      <c r="A169" s="60" t="s">
        <v>295</v>
      </c>
      <c r="B169" s="60" t="s">
        <v>296</v>
      </c>
      <c r="C169" s="34">
        <v>4301012338</v>
      </c>
      <c r="D169" s="661">
        <v>4680115887374</v>
      </c>
      <c r="E169" s="661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126</v>
      </c>
      <c r="L169" s="35" t="s">
        <v>46</v>
      </c>
      <c r="M169" s="36" t="s">
        <v>125</v>
      </c>
      <c r="N169" s="36"/>
      <c r="O169" s="35">
        <v>55</v>
      </c>
      <c r="P169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3"/>
      <c r="R169" s="663"/>
      <c r="S169" s="663"/>
      <c r="T169" s="664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297</v>
      </c>
      <c r="AG169" s="75"/>
      <c r="AJ169" s="79" t="s">
        <v>46</v>
      </c>
      <c r="AK169" s="79">
        <v>0</v>
      </c>
      <c r="BB169" s="242" t="s">
        <v>66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298</v>
      </c>
      <c r="B170" s="60" t="s">
        <v>299</v>
      </c>
      <c r="C170" s="34">
        <v>4301011705</v>
      </c>
      <c r="D170" s="661">
        <v>4607091384604</v>
      </c>
      <c r="E170" s="661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133</v>
      </c>
      <c r="L170" s="35" t="s">
        <v>46</v>
      </c>
      <c r="M170" s="36" t="s">
        <v>125</v>
      </c>
      <c r="N170" s="36"/>
      <c r="O170" s="35">
        <v>50</v>
      </c>
      <c r="P170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3"/>
      <c r="R170" s="663"/>
      <c r="S170" s="663"/>
      <c r="T170" s="664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300</v>
      </c>
      <c r="AG170" s="75"/>
      <c r="AJ170" s="79" t="s">
        <v>46</v>
      </c>
      <c r="AK170" s="79">
        <v>0</v>
      </c>
      <c r="BB170" s="24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301</v>
      </c>
      <c r="B171" s="60" t="s">
        <v>302</v>
      </c>
      <c r="C171" s="34">
        <v>4301012344</v>
      </c>
      <c r="D171" s="661">
        <v>4680115888876</v>
      </c>
      <c r="E171" s="661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90</v>
      </c>
      <c r="L171" s="35" t="s">
        <v>46</v>
      </c>
      <c r="M171" s="36" t="s">
        <v>89</v>
      </c>
      <c r="N171" s="36"/>
      <c r="O171" s="35">
        <v>55</v>
      </c>
      <c r="P171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3"/>
      <c r="R171" s="663"/>
      <c r="S171" s="663"/>
      <c r="T171" s="664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5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5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660" t="s">
        <v>154</v>
      </c>
      <c r="B174" s="660"/>
      <c r="C174" s="660"/>
      <c r="D174" s="660"/>
      <c r="E174" s="660"/>
      <c r="F174" s="660"/>
      <c r="G174" s="660"/>
      <c r="H174" s="660"/>
      <c r="I174" s="660"/>
      <c r="J174" s="660"/>
      <c r="K174" s="660"/>
      <c r="L174" s="660"/>
      <c r="M174" s="660"/>
      <c r="N174" s="660"/>
      <c r="O174" s="660"/>
      <c r="P174" s="660"/>
      <c r="Q174" s="660"/>
      <c r="R174" s="660"/>
      <c r="S174" s="660"/>
      <c r="T174" s="660"/>
      <c r="U174" s="660"/>
      <c r="V174" s="660"/>
      <c r="W174" s="660"/>
      <c r="X174" s="660"/>
      <c r="Y174" s="660"/>
      <c r="Z174" s="660"/>
      <c r="AA174" s="63"/>
      <c r="AB174" s="63"/>
      <c r="AC174" s="63"/>
    </row>
    <row r="175" spans="1:68" ht="16.5" hidden="1" customHeight="1" x14ac:dyDescent="0.25">
      <c r="A175" s="60" t="s">
        <v>304</v>
      </c>
      <c r="B175" s="60" t="s">
        <v>305</v>
      </c>
      <c r="C175" s="34">
        <v>4301020410</v>
      </c>
      <c r="D175" s="661">
        <v>4680115887695</v>
      </c>
      <c r="E175" s="661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81</v>
      </c>
      <c r="L175" s="35" t="s">
        <v>46</v>
      </c>
      <c r="M175" s="36" t="s">
        <v>80</v>
      </c>
      <c r="N175" s="36"/>
      <c r="O175" s="35">
        <v>30</v>
      </c>
      <c r="P175" s="86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3"/>
      <c r="R175" s="663"/>
      <c r="S175" s="663"/>
      <c r="T175" s="664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306</v>
      </c>
      <c r="AG175" s="75"/>
      <c r="AJ175" s="79" t="s">
        <v>46</v>
      </c>
      <c r="AK175" s="79">
        <v>0</v>
      </c>
      <c r="BB175" s="248" t="s">
        <v>66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307</v>
      </c>
      <c r="B176" s="60" t="s">
        <v>308</v>
      </c>
      <c r="C176" s="34">
        <v>4301020439</v>
      </c>
      <c r="D176" s="661">
        <v>4680115889491</v>
      </c>
      <c r="E176" s="661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81</v>
      </c>
      <c r="L176" s="35" t="s">
        <v>46</v>
      </c>
      <c r="M176" s="36" t="s">
        <v>125</v>
      </c>
      <c r="N176" s="36"/>
      <c r="O176" s="35">
        <v>55</v>
      </c>
      <c r="P176" s="86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3"/>
      <c r="R176" s="663"/>
      <c r="S176" s="663"/>
      <c r="T176" s="664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309</v>
      </c>
      <c r="AG176" s="75"/>
      <c r="AJ176" s="79" t="s">
        <v>46</v>
      </c>
      <c r="AK176" s="79">
        <v>0</v>
      </c>
      <c r="BB176" s="250" t="s">
        <v>66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5">
      <c r="A177" s="651"/>
      <c r="B177" s="651"/>
      <c r="C177" s="651"/>
      <c r="D177" s="651"/>
      <c r="E177" s="651"/>
      <c r="F177" s="651"/>
      <c r="G177" s="651"/>
      <c r="H177" s="651"/>
      <c r="I177" s="651"/>
      <c r="J177" s="651"/>
      <c r="K177" s="651"/>
      <c r="L177" s="651"/>
      <c r="M177" s="651"/>
      <c r="N177" s="651"/>
      <c r="O177" s="652"/>
      <c r="P177" s="648" t="s">
        <v>40</v>
      </c>
      <c r="Q177" s="649"/>
      <c r="R177" s="649"/>
      <c r="S177" s="649"/>
      <c r="T177" s="649"/>
      <c r="U177" s="649"/>
      <c r="V177" s="650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5">
      <c r="A178" s="651"/>
      <c r="B178" s="651"/>
      <c r="C178" s="651"/>
      <c r="D178" s="651"/>
      <c r="E178" s="651"/>
      <c r="F178" s="651"/>
      <c r="G178" s="651"/>
      <c r="H178" s="651"/>
      <c r="I178" s="651"/>
      <c r="J178" s="651"/>
      <c r="K178" s="651"/>
      <c r="L178" s="651"/>
      <c r="M178" s="651"/>
      <c r="N178" s="651"/>
      <c r="O178" s="652"/>
      <c r="P178" s="648" t="s">
        <v>40</v>
      </c>
      <c r="Q178" s="649"/>
      <c r="R178" s="649"/>
      <c r="S178" s="649"/>
      <c r="T178" s="649"/>
      <c r="U178" s="649"/>
      <c r="V178" s="650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660" t="s">
        <v>76</v>
      </c>
      <c r="B179" s="660"/>
      <c r="C179" s="660"/>
      <c r="D179" s="660"/>
      <c r="E179" s="660"/>
      <c r="F179" s="660"/>
      <c r="G179" s="660"/>
      <c r="H179" s="660"/>
      <c r="I179" s="660"/>
      <c r="J179" s="660"/>
      <c r="K179" s="660"/>
      <c r="L179" s="660"/>
      <c r="M179" s="660"/>
      <c r="N179" s="660"/>
      <c r="O179" s="660"/>
      <c r="P179" s="660"/>
      <c r="Q179" s="660"/>
      <c r="R179" s="660"/>
      <c r="S179" s="660"/>
      <c r="T179" s="660"/>
      <c r="U179" s="660"/>
      <c r="V179" s="660"/>
      <c r="W179" s="660"/>
      <c r="X179" s="660"/>
      <c r="Y179" s="660"/>
      <c r="Z179" s="660"/>
      <c r="AA179" s="63"/>
      <c r="AB179" s="63"/>
      <c r="AC179" s="63"/>
    </row>
    <row r="180" spans="1:68" ht="27" hidden="1" customHeight="1" x14ac:dyDescent="0.25">
      <c r="A180" s="60" t="s">
        <v>310</v>
      </c>
      <c r="B180" s="60" t="s">
        <v>311</v>
      </c>
      <c r="C180" s="34">
        <v>4301031496</v>
      </c>
      <c r="D180" s="661">
        <v>4680115887428</v>
      </c>
      <c r="E180" s="661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133</v>
      </c>
      <c r="L180" s="35" t="s">
        <v>46</v>
      </c>
      <c r="M180" s="36" t="s">
        <v>80</v>
      </c>
      <c r="N180" s="36"/>
      <c r="O180" s="35">
        <v>40</v>
      </c>
      <c r="P180" s="86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3"/>
      <c r="R180" s="663"/>
      <c r="S180" s="663"/>
      <c r="T180" s="664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312</v>
      </c>
      <c r="AG180" s="75"/>
      <c r="AJ180" s="79" t="s">
        <v>46</v>
      </c>
      <c r="AK180" s="79">
        <v>0</v>
      </c>
      <c r="BB180" s="252" t="s">
        <v>66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313</v>
      </c>
      <c r="B181" s="60" t="s">
        <v>314</v>
      </c>
      <c r="C181" s="34">
        <v>4301031509</v>
      </c>
      <c r="D181" s="661">
        <v>4680115889170</v>
      </c>
      <c r="E181" s="661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133</v>
      </c>
      <c r="L181" s="35" t="s">
        <v>46</v>
      </c>
      <c r="M181" s="36" t="s">
        <v>80</v>
      </c>
      <c r="N181" s="36"/>
      <c r="O181" s="35">
        <v>45</v>
      </c>
      <c r="P181" s="86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3"/>
      <c r="R181" s="663"/>
      <c r="S181" s="663"/>
      <c r="T181" s="664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315</v>
      </c>
      <c r="AG181" s="75"/>
      <c r="AJ181" s="79" t="s">
        <v>46</v>
      </c>
      <c r="AK181" s="79">
        <v>0</v>
      </c>
      <c r="BB181" s="254" t="s">
        <v>66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316</v>
      </c>
      <c r="B182" s="60" t="s">
        <v>317</v>
      </c>
      <c r="C182" s="34">
        <v>4301031498</v>
      </c>
      <c r="D182" s="661">
        <v>4680115887398</v>
      </c>
      <c r="E182" s="661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133</v>
      </c>
      <c r="L182" s="35" t="s">
        <v>46</v>
      </c>
      <c r="M182" s="36" t="s">
        <v>80</v>
      </c>
      <c r="N182" s="36"/>
      <c r="O182" s="35">
        <v>40</v>
      </c>
      <c r="P182" s="86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3"/>
      <c r="R182" s="663"/>
      <c r="S182" s="663"/>
      <c r="T182" s="664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66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4301031497</v>
      </c>
      <c r="D183" s="661">
        <v>4680115887336</v>
      </c>
      <c r="E183" s="661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133</v>
      </c>
      <c r="L183" s="35" t="s">
        <v>46</v>
      </c>
      <c r="M183" s="36" t="s">
        <v>80</v>
      </c>
      <c r="N183" s="36"/>
      <c r="O183" s="35">
        <v>40</v>
      </c>
      <c r="P183" s="86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3"/>
      <c r="R183" s="663"/>
      <c r="S183" s="663"/>
      <c r="T183" s="664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66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319</v>
      </c>
      <c r="B184" s="60" t="s">
        <v>322</v>
      </c>
      <c r="C184" s="34">
        <v>4301031520</v>
      </c>
      <c r="D184" s="661">
        <v>4680115887336</v>
      </c>
      <c r="E184" s="661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133</v>
      </c>
      <c r="L184" s="35" t="s">
        <v>46</v>
      </c>
      <c r="M184" s="36" t="s">
        <v>80</v>
      </c>
      <c r="N184" s="36"/>
      <c r="O184" s="35">
        <v>45</v>
      </c>
      <c r="P184" s="852" t="s">
        <v>323</v>
      </c>
      <c r="Q184" s="663"/>
      <c r="R184" s="663"/>
      <c r="S184" s="663"/>
      <c r="T184" s="664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325</v>
      </c>
      <c r="B185" s="60" t="s">
        <v>326</v>
      </c>
      <c r="C185" s="34">
        <v>4301032049</v>
      </c>
      <c r="D185" s="661">
        <v>4680115887787</v>
      </c>
      <c r="E185" s="661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130</v>
      </c>
      <c r="L185" s="35" t="s">
        <v>46</v>
      </c>
      <c r="M185" s="36" t="s">
        <v>80</v>
      </c>
      <c r="N185" s="36"/>
      <c r="O185" s="35">
        <v>45</v>
      </c>
      <c r="P185" s="85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3"/>
      <c r="R185" s="663"/>
      <c r="S185" s="663"/>
      <c r="T185" s="664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66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325</v>
      </c>
      <c r="B186" s="60" t="s">
        <v>328</v>
      </c>
      <c r="C186" s="34">
        <v>4301031528</v>
      </c>
      <c r="D186" s="661">
        <v>4680115887787</v>
      </c>
      <c r="E186" s="661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130</v>
      </c>
      <c r="L186" s="35" t="s">
        <v>46</v>
      </c>
      <c r="M186" s="36" t="s">
        <v>80</v>
      </c>
      <c r="N186" s="36"/>
      <c r="O186" s="35">
        <v>45</v>
      </c>
      <c r="P186" s="854" t="s">
        <v>329</v>
      </c>
      <c r="Q186" s="663"/>
      <c r="R186" s="663"/>
      <c r="S186" s="663"/>
      <c r="T186" s="664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327</v>
      </c>
      <c r="AG186" s="75"/>
      <c r="AJ186" s="79" t="s">
        <v>46</v>
      </c>
      <c r="AK186" s="79">
        <v>0</v>
      </c>
      <c r="BB186" s="264" t="s">
        <v>66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330</v>
      </c>
      <c r="B187" s="60" t="s">
        <v>331</v>
      </c>
      <c r="C187" s="34">
        <v>4301031448</v>
      </c>
      <c r="D187" s="661">
        <v>4680115887503</v>
      </c>
      <c r="E187" s="661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5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3"/>
      <c r="R187" s="663"/>
      <c r="S187" s="663"/>
      <c r="T187" s="664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312</v>
      </c>
      <c r="AG187" s="75"/>
      <c r="AJ187" s="79" t="s">
        <v>46</v>
      </c>
      <c r="AK187" s="79">
        <v>0</v>
      </c>
      <c r="BB187" s="266" t="s">
        <v>66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332</v>
      </c>
      <c r="B188" s="60" t="s">
        <v>333</v>
      </c>
      <c r="C188" s="34">
        <v>4301031389</v>
      </c>
      <c r="D188" s="661">
        <v>4680115887763</v>
      </c>
      <c r="E188" s="661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130</v>
      </c>
      <c r="L188" s="35" t="s">
        <v>46</v>
      </c>
      <c r="M188" s="36" t="s">
        <v>80</v>
      </c>
      <c r="N188" s="36"/>
      <c r="O188" s="35">
        <v>45</v>
      </c>
      <c r="P188" s="85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3"/>
      <c r="R188" s="663"/>
      <c r="S188" s="663"/>
      <c r="T188" s="664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334</v>
      </c>
      <c r="AG188" s="75"/>
      <c r="AJ188" s="79" t="s">
        <v>46</v>
      </c>
      <c r="AK188" s="79">
        <v>0</v>
      </c>
      <c r="BB188" s="268" t="s">
        <v>66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335</v>
      </c>
      <c r="B189" s="60" t="s">
        <v>336</v>
      </c>
      <c r="C189" s="34">
        <v>4301031454</v>
      </c>
      <c r="D189" s="661">
        <v>4680115887480</v>
      </c>
      <c r="E189" s="661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81</v>
      </c>
      <c r="L189" s="35" t="s">
        <v>46</v>
      </c>
      <c r="M189" s="36" t="s">
        <v>80</v>
      </c>
      <c r="N189" s="36"/>
      <c r="O189" s="35">
        <v>40</v>
      </c>
      <c r="P189" s="857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3"/>
      <c r="R189" s="663"/>
      <c r="S189" s="663"/>
      <c r="T189" s="664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318</v>
      </c>
      <c r="AG189" s="75"/>
      <c r="AJ189" s="79" t="s">
        <v>46</v>
      </c>
      <c r="AK189" s="79">
        <v>0</v>
      </c>
      <c r="BB189" s="270" t="s">
        <v>66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337</v>
      </c>
      <c r="B190" s="60" t="s">
        <v>338</v>
      </c>
      <c r="C190" s="34">
        <v>4301031434</v>
      </c>
      <c r="D190" s="661">
        <v>4680115888067</v>
      </c>
      <c r="E190" s="661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130</v>
      </c>
      <c r="L190" s="35" t="s">
        <v>46</v>
      </c>
      <c r="M190" s="36" t="s">
        <v>80</v>
      </c>
      <c r="N190" s="36"/>
      <c r="O190" s="35">
        <v>45</v>
      </c>
      <c r="P190" s="858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3"/>
      <c r="R190" s="663"/>
      <c r="S190" s="663"/>
      <c r="T190" s="664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339</v>
      </c>
      <c r="AG190" s="75"/>
      <c r="AJ190" s="79" t="s">
        <v>46</v>
      </c>
      <c r="AK190" s="79">
        <v>0</v>
      </c>
      <c r="BB190" s="272" t="s">
        <v>66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340</v>
      </c>
      <c r="B191" s="60" t="s">
        <v>341</v>
      </c>
      <c r="C191" s="34">
        <v>4301031519</v>
      </c>
      <c r="D191" s="661">
        <v>4680115887435</v>
      </c>
      <c r="E191" s="661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81</v>
      </c>
      <c r="L191" s="35" t="s">
        <v>46</v>
      </c>
      <c r="M191" s="36" t="s">
        <v>80</v>
      </c>
      <c r="N191" s="36"/>
      <c r="O191" s="35">
        <v>45</v>
      </c>
      <c r="P191" s="859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3"/>
      <c r="R191" s="663"/>
      <c r="S191" s="663"/>
      <c r="T191" s="664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324</v>
      </c>
      <c r="AG191" s="75"/>
      <c r="AJ191" s="79" t="s">
        <v>46</v>
      </c>
      <c r="AK191" s="79">
        <v>0</v>
      </c>
      <c r="BB191" s="274" t="s">
        <v>66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5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5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660" t="s">
        <v>85</v>
      </c>
      <c r="B194" s="660"/>
      <c r="C194" s="660"/>
      <c r="D194" s="660"/>
      <c r="E194" s="660"/>
      <c r="F194" s="660"/>
      <c r="G194" s="660"/>
      <c r="H194" s="660"/>
      <c r="I194" s="660"/>
      <c r="J194" s="660"/>
      <c r="K194" s="660"/>
      <c r="L194" s="660"/>
      <c r="M194" s="660"/>
      <c r="N194" s="660"/>
      <c r="O194" s="660"/>
      <c r="P194" s="660"/>
      <c r="Q194" s="660"/>
      <c r="R194" s="660"/>
      <c r="S194" s="660"/>
      <c r="T194" s="660"/>
      <c r="U194" s="660"/>
      <c r="V194" s="660"/>
      <c r="W194" s="660"/>
      <c r="X194" s="660"/>
      <c r="Y194" s="660"/>
      <c r="Z194" s="660"/>
      <c r="AA194" s="63"/>
      <c r="AB194" s="63"/>
      <c r="AC194" s="63"/>
    </row>
    <row r="195" spans="1:68" ht="16.5" hidden="1" customHeight="1" x14ac:dyDescent="0.25">
      <c r="A195" s="60" t="s">
        <v>342</v>
      </c>
      <c r="B195" s="60" t="s">
        <v>343</v>
      </c>
      <c r="C195" s="34">
        <v>4301052193</v>
      </c>
      <c r="D195" s="661">
        <v>4680115888395</v>
      </c>
      <c r="E195" s="661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90</v>
      </c>
      <c r="L195" s="35" t="s">
        <v>46</v>
      </c>
      <c r="M195" s="36" t="s">
        <v>96</v>
      </c>
      <c r="N195" s="36"/>
      <c r="O195" s="35">
        <v>40</v>
      </c>
      <c r="P195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3"/>
      <c r="R195" s="663"/>
      <c r="S195" s="663"/>
      <c r="T195" s="664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344</v>
      </c>
      <c r="AG195" s="75"/>
      <c r="AJ195" s="79" t="s">
        <v>46</v>
      </c>
      <c r="AK195" s="79">
        <v>0</v>
      </c>
      <c r="BB195" s="276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345</v>
      </c>
      <c r="B196" s="60" t="s">
        <v>346</v>
      </c>
      <c r="C196" s="34">
        <v>4301052191</v>
      </c>
      <c r="D196" s="661">
        <v>4680115888371</v>
      </c>
      <c r="E196" s="661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90</v>
      </c>
      <c r="L196" s="35" t="s">
        <v>46</v>
      </c>
      <c r="M196" s="36" t="s">
        <v>96</v>
      </c>
      <c r="N196" s="36"/>
      <c r="O196" s="35">
        <v>40</v>
      </c>
      <c r="P196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3"/>
      <c r="R196" s="663"/>
      <c r="S196" s="663"/>
      <c r="T196" s="664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347</v>
      </c>
      <c r="AG196" s="75"/>
      <c r="AJ196" s="79" t="s">
        <v>46</v>
      </c>
      <c r="AK196" s="79">
        <v>0</v>
      </c>
      <c r="BB196" s="278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348</v>
      </c>
      <c r="B197" s="60" t="s">
        <v>349</v>
      </c>
      <c r="C197" s="34">
        <v>4301052064</v>
      </c>
      <c r="D197" s="661">
        <v>4680115887459</v>
      </c>
      <c r="E197" s="661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90</v>
      </c>
      <c r="L197" s="35" t="s">
        <v>46</v>
      </c>
      <c r="M197" s="36" t="s">
        <v>89</v>
      </c>
      <c r="N197" s="36"/>
      <c r="O197" s="35">
        <v>45</v>
      </c>
      <c r="P197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3"/>
      <c r="R197" s="663"/>
      <c r="S197" s="663"/>
      <c r="T197" s="664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350</v>
      </c>
      <c r="AG197" s="75"/>
      <c r="AJ197" s="79" t="s">
        <v>46</v>
      </c>
      <c r="AK197" s="79">
        <v>0</v>
      </c>
      <c r="BB197" s="280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5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5">
      <c r="A199" s="651"/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2"/>
      <c r="P199" s="648" t="s">
        <v>40</v>
      </c>
      <c r="Q199" s="649"/>
      <c r="R199" s="649"/>
      <c r="S199" s="649"/>
      <c r="T199" s="649"/>
      <c r="U199" s="649"/>
      <c r="V199" s="650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60" t="s">
        <v>288</v>
      </c>
      <c r="B200" s="660"/>
      <c r="C200" s="660"/>
      <c r="D200" s="660"/>
      <c r="E200" s="660"/>
      <c r="F200" s="660"/>
      <c r="G200" s="660"/>
      <c r="H200" s="660"/>
      <c r="I200" s="660"/>
      <c r="J200" s="660"/>
      <c r="K200" s="660"/>
      <c r="L200" s="660"/>
      <c r="M200" s="660"/>
      <c r="N200" s="660"/>
      <c r="O200" s="660"/>
      <c r="P200" s="660"/>
      <c r="Q200" s="660"/>
      <c r="R200" s="660"/>
      <c r="S200" s="660"/>
      <c r="T200" s="660"/>
      <c r="U200" s="660"/>
      <c r="V200" s="660"/>
      <c r="W200" s="660"/>
      <c r="X200" s="660"/>
      <c r="Y200" s="660"/>
      <c r="Z200" s="660"/>
      <c r="AA200" s="63"/>
      <c r="AB200" s="63"/>
      <c r="AC200" s="63"/>
    </row>
    <row r="201" spans="1:68" ht="16.5" hidden="1" customHeight="1" x14ac:dyDescent="0.25">
      <c r="A201" s="60" t="s">
        <v>351</v>
      </c>
      <c r="B201" s="60" t="s">
        <v>352</v>
      </c>
      <c r="C201" s="34">
        <v>4301032058</v>
      </c>
      <c r="D201" s="661">
        <v>4680115889026</v>
      </c>
      <c r="E201" s="661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354</v>
      </c>
      <c r="L201" s="35" t="s">
        <v>46</v>
      </c>
      <c r="M201" s="36" t="s">
        <v>293</v>
      </c>
      <c r="N201" s="36"/>
      <c r="O201" s="35">
        <v>60</v>
      </c>
      <c r="P201" s="85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3"/>
      <c r="R201" s="663"/>
      <c r="S201" s="663"/>
      <c r="T201" s="664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353</v>
      </c>
      <c r="AG201" s="75"/>
      <c r="AJ201" s="79" t="s">
        <v>46</v>
      </c>
      <c r="AK201" s="79">
        <v>0</v>
      </c>
      <c r="BB201" s="282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5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5">
      <c r="A203" s="651"/>
      <c r="B203" s="651"/>
      <c r="C203" s="651"/>
      <c r="D203" s="651"/>
      <c r="E203" s="651"/>
      <c r="F203" s="651"/>
      <c r="G203" s="651"/>
      <c r="H203" s="651"/>
      <c r="I203" s="651"/>
      <c r="J203" s="651"/>
      <c r="K203" s="651"/>
      <c r="L203" s="651"/>
      <c r="M203" s="651"/>
      <c r="N203" s="651"/>
      <c r="O203" s="652"/>
      <c r="P203" s="648" t="s">
        <v>40</v>
      </c>
      <c r="Q203" s="649"/>
      <c r="R203" s="649"/>
      <c r="S203" s="649"/>
      <c r="T203" s="649"/>
      <c r="U203" s="649"/>
      <c r="V203" s="650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660" t="s">
        <v>355</v>
      </c>
      <c r="B204" s="660"/>
      <c r="C204" s="660"/>
      <c r="D204" s="660"/>
      <c r="E204" s="660"/>
      <c r="F204" s="660"/>
      <c r="G204" s="660"/>
      <c r="H204" s="660"/>
      <c r="I204" s="660"/>
      <c r="J204" s="660"/>
      <c r="K204" s="660"/>
      <c r="L204" s="660"/>
      <c r="M204" s="660"/>
      <c r="N204" s="660"/>
      <c r="O204" s="660"/>
      <c r="P204" s="660"/>
      <c r="Q204" s="660"/>
      <c r="R204" s="660"/>
      <c r="S204" s="660"/>
      <c r="T204" s="660"/>
      <c r="U204" s="660"/>
      <c r="V204" s="660"/>
      <c r="W204" s="660"/>
      <c r="X204" s="660"/>
      <c r="Y204" s="660"/>
      <c r="Z204" s="660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4301041009</v>
      </c>
      <c r="D205" s="661">
        <v>4680115889033</v>
      </c>
      <c r="E205" s="661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354</v>
      </c>
      <c r="L205" s="35" t="s">
        <v>46</v>
      </c>
      <c r="M205" s="36" t="s">
        <v>293</v>
      </c>
      <c r="N205" s="36"/>
      <c r="O205" s="35">
        <v>60</v>
      </c>
      <c r="P205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3"/>
      <c r="R205" s="663"/>
      <c r="S205" s="663"/>
      <c r="T205" s="664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358</v>
      </c>
      <c r="AG205" s="75"/>
      <c r="AJ205" s="79" t="s">
        <v>46</v>
      </c>
      <c r="AK205" s="79">
        <v>0</v>
      </c>
      <c r="BB205" s="284" t="s">
        <v>66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5">
      <c r="A206" s="651"/>
      <c r="B206" s="651"/>
      <c r="C206" s="651"/>
      <c r="D206" s="651"/>
      <c r="E206" s="651"/>
      <c r="F206" s="651"/>
      <c r="G206" s="651"/>
      <c r="H206" s="651"/>
      <c r="I206" s="651"/>
      <c r="J206" s="651"/>
      <c r="K206" s="651"/>
      <c r="L206" s="651"/>
      <c r="M206" s="651"/>
      <c r="N206" s="651"/>
      <c r="O206" s="652"/>
      <c r="P206" s="648" t="s">
        <v>40</v>
      </c>
      <c r="Q206" s="649"/>
      <c r="R206" s="649"/>
      <c r="S206" s="649"/>
      <c r="T206" s="649"/>
      <c r="U206" s="649"/>
      <c r="V206" s="650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5">
      <c r="A207" s="651"/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2"/>
      <c r="P207" s="648" t="s">
        <v>40</v>
      </c>
      <c r="Q207" s="649"/>
      <c r="R207" s="649"/>
      <c r="S207" s="649"/>
      <c r="T207" s="649"/>
      <c r="U207" s="649"/>
      <c r="V207" s="650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5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2"/>
      <c r="AB208" s="52"/>
      <c r="AC208" s="52"/>
    </row>
    <row r="209" spans="1:68" ht="16.5" hidden="1" customHeight="1" x14ac:dyDescent="0.25">
      <c r="A209" s="667" t="s">
        <v>360</v>
      </c>
      <c r="B209" s="667"/>
      <c r="C209" s="667"/>
      <c r="D209" s="667"/>
      <c r="E209" s="667"/>
      <c r="F209" s="667"/>
      <c r="G209" s="667"/>
      <c r="H209" s="667"/>
      <c r="I209" s="667"/>
      <c r="J209" s="667"/>
      <c r="K209" s="667"/>
      <c r="L209" s="667"/>
      <c r="M209" s="667"/>
      <c r="N209" s="667"/>
      <c r="O209" s="667"/>
      <c r="P209" s="667"/>
      <c r="Q209" s="667"/>
      <c r="R209" s="667"/>
      <c r="S209" s="667"/>
      <c r="T209" s="667"/>
      <c r="U209" s="667"/>
      <c r="V209" s="667"/>
      <c r="W209" s="667"/>
      <c r="X209" s="667"/>
      <c r="Y209" s="667"/>
      <c r="Z209" s="667"/>
      <c r="AA209" s="62"/>
      <c r="AB209" s="62"/>
      <c r="AC209" s="62"/>
    </row>
    <row r="210" spans="1:68" ht="14.25" hidden="1" customHeight="1" x14ac:dyDescent="0.25">
      <c r="A210" s="660" t="s">
        <v>121</v>
      </c>
      <c r="B210" s="660"/>
      <c r="C210" s="660"/>
      <c r="D210" s="660"/>
      <c r="E210" s="660"/>
      <c r="F210" s="660"/>
      <c r="G210" s="660"/>
      <c r="H210" s="660"/>
      <c r="I210" s="660"/>
      <c r="J210" s="660"/>
      <c r="K210" s="660"/>
      <c r="L210" s="660"/>
      <c r="M210" s="660"/>
      <c r="N210" s="660"/>
      <c r="O210" s="660"/>
      <c r="P210" s="660"/>
      <c r="Q210" s="660"/>
      <c r="R210" s="660"/>
      <c r="S210" s="660"/>
      <c r="T210" s="660"/>
      <c r="U210" s="660"/>
      <c r="V210" s="660"/>
      <c r="W210" s="660"/>
      <c r="X210" s="660"/>
      <c r="Y210" s="660"/>
      <c r="Z210" s="660"/>
      <c r="AA210" s="63"/>
      <c r="AB210" s="63"/>
      <c r="AC210" s="63"/>
    </row>
    <row r="211" spans="1:68" ht="27" hidden="1" customHeight="1" x14ac:dyDescent="0.25">
      <c r="A211" s="60" t="s">
        <v>361</v>
      </c>
      <c r="B211" s="60" t="s">
        <v>362</v>
      </c>
      <c r="C211" s="34">
        <v>4301011223</v>
      </c>
      <c r="D211" s="661">
        <v>4607091383423</v>
      </c>
      <c r="E211" s="661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4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3"/>
      <c r="R211" s="663"/>
      <c r="S211" s="663"/>
      <c r="T211" s="664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124</v>
      </c>
      <c r="AG211" s="75"/>
      <c r="AJ211" s="79" t="s">
        <v>46</v>
      </c>
      <c r="AK211" s="79">
        <v>0</v>
      </c>
      <c r="BB211" s="286" t="s">
        <v>66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363</v>
      </c>
      <c r="B212" s="60" t="s">
        <v>364</v>
      </c>
      <c r="C212" s="34">
        <v>4301012340</v>
      </c>
      <c r="D212" s="661">
        <v>4680115888760</v>
      </c>
      <c r="E212" s="661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126</v>
      </c>
      <c r="L212" s="35" t="s">
        <v>46</v>
      </c>
      <c r="M212" s="36" t="s">
        <v>89</v>
      </c>
      <c r="N212" s="36"/>
      <c r="O212" s="35">
        <v>35</v>
      </c>
      <c r="P212" s="84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3"/>
      <c r="R212" s="663"/>
      <c r="S212" s="663"/>
      <c r="T212" s="664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365</v>
      </c>
      <c r="AG212" s="75"/>
      <c r="AJ212" s="79" t="s">
        <v>46</v>
      </c>
      <c r="AK212" s="79">
        <v>0</v>
      </c>
      <c r="BB212" s="288" t="s">
        <v>66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366</v>
      </c>
      <c r="B213" s="60" t="s">
        <v>367</v>
      </c>
      <c r="C213" s="34">
        <v>4301012341</v>
      </c>
      <c r="D213" s="661">
        <v>4680115888807</v>
      </c>
      <c r="E213" s="661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126</v>
      </c>
      <c r="L213" s="35" t="s">
        <v>46</v>
      </c>
      <c r="M213" s="36" t="s">
        <v>89</v>
      </c>
      <c r="N213" s="36"/>
      <c r="O213" s="35">
        <v>35</v>
      </c>
      <c r="P213" s="84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3"/>
      <c r="R213" s="663"/>
      <c r="S213" s="663"/>
      <c r="T213" s="664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368</v>
      </c>
      <c r="AG213" s="75"/>
      <c r="AJ213" s="79" t="s">
        <v>46</v>
      </c>
      <c r="AK213" s="79">
        <v>0</v>
      </c>
      <c r="BB213" s="290" t="s">
        <v>66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369</v>
      </c>
      <c r="B214" s="60" t="s">
        <v>370</v>
      </c>
      <c r="C214" s="34">
        <v>4301012342</v>
      </c>
      <c r="D214" s="661">
        <v>4680115888852</v>
      </c>
      <c r="E214" s="661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126</v>
      </c>
      <c r="L214" s="35" t="s">
        <v>46</v>
      </c>
      <c r="M214" s="36" t="s">
        <v>89</v>
      </c>
      <c r="N214" s="36"/>
      <c r="O214" s="35">
        <v>35</v>
      </c>
      <c r="P214" s="84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3"/>
      <c r="R214" s="663"/>
      <c r="S214" s="663"/>
      <c r="T214" s="664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371</v>
      </c>
      <c r="AG214" s="75"/>
      <c r="AJ214" s="79" t="s">
        <v>46</v>
      </c>
      <c r="AK214" s="79">
        <v>0</v>
      </c>
      <c r="BB214" s="292" t="s">
        <v>66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372</v>
      </c>
      <c r="B215" s="60" t="s">
        <v>373</v>
      </c>
      <c r="C215" s="34">
        <v>4301012370</v>
      </c>
      <c r="D215" s="661">
        <v>4680115886957</v>
      </c>
      <c r="E215" s="661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126</v>
      </c>
      <c r="L215" s="35" t="s">
        <v>46</v>
      </c>
      <c r="M215" s="36" t="s">
        <v>89</v>
      </c>
      <c r="N215" s="36"/>
      <c r="O215" s="35">
        <v>35</v>
      </c>
      <c r="P215" s="84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3"/>
      <c r="R215" s="663"/>
      <c r="S215" s="663"/>
      <c r="T215" s="664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374</v>
      </c>
      <c r="AG215" s="75"/>
      <c r="AJ215" s="79" t="s">
        <v>46</v>
      </c>
      <c r="AK215" s="79">
        <v>0</v>
      </c>
      <c r="BB215" s="294" t="s">
        <v>66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375</v>
      </c>
      <c r="B216" s="60" t="s">
        <v>376</v>
      </c>
      <c r="C216" s="34">
        <v>4301012098</v>
      </c>
      <c r="D216" s="661">
        <v>4680115885660</v>
      </c>
      <c r="E216" s="661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126</v>
      </c>
      <c r="L216" s="35" t="s">
        <v>46</v>
      </c>
      <c r="M216" s="36" t="s">
        <v>89</v>
      </c>
      <c r="N216" s="36"/>
      <c r="O216" s="35">
        <v>35</v>
      </c>
      <c r="P216" s="83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3"/>
      <c r="R216" s="663"/>
      <c r="S216" s="663"/>
      <c r="T216" s="664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377</v>
      </c>
      <c r="AG216" s="75"/>
      <c r="AJ216" s="79" t="s">
        <v>46</v>
      </c>
      <c r="AK216" s="79">
        <v>0</v>
      </c>
      <c r="BB216" s="296" t="s">
        <v>66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378</v>
      </c>
      <c r="B217" s="60" t="s">
        <v>379</v>
      </c>
      <c r="C217" s="34">
        <v>4301012369</v>
      </c>
      <c r="D217" s="661">
        <v>4680115886773</v>
      </c>
      <c r="E217" s="661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126</v>
      </c>
      <c r="L217" s="35" t="s">
        <v>46</v>
      </c>
      <c r="M217" s="36" t="s">
        <v>89</v>
      </c>
      <c r="N217" s="36"/>
      <c r="O217" s="35">
        <v>35</v>
      </c>
      <c r="P217" s="83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3"/>
      <c r="R217" s="663"/>
      <c r="S217" s="663"/>
      <c r="T217" s="664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380</v>
      </c>
      <c r="AG217" s="75"/>
      <c r="AJ217" s="79" t="s">
        <v>46</v>
      </c>
      <c r="AK217" s="79">
        <v>0</v>
      </c>
      <c r="BB217" s="298" t="s">
        <v>66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5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5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667" t="s">
        <v>381</v>
      </c>
      <c r="B220" s="667"/>
      <c r="C220" s="667"/>
      <c r="D220" s="667"/>
      <c r="E220" s="667"/>
      <c r="F220" s="667"/>
      <c r="G220" s="667"/>
      <c r="H220" s="667"/>
      <c r="I220" s="667"/>
      <c r="J220" s="667"/>
      <c r="K220" s="667"/>
      <c r="L220" s="667"/>
      <c r="M220" s="667"/>
      <c r="N220" s="667"/>
      <c r="O220" s="667"/>
      <c r="P220" s="667"/>
      <c r="Q220" s="667"/>
      <c r="R220" s="667"/>
      <c r="S220" s="667"/>
      <c r="T220" s="667"/>
      <c r="U220" s="667"/>
      <c r="V220" s="667"/>
      <c r="W220" s="667"/>
      <c r="X220" s="667"/>
      <c r="Y220" s="667"/>
      <c r="Z220" s="667"/>
      <c r="AA220" s="62"/>
      <c r="AB220" s="62"/>
      <c r="AC220" s="62"/>
    </row>
    <row r="221" spans="1:68" ht="14.25" hidden="1" customHeight="1" x14ac:dyDescent="0.25">
      <c r="A221" s="660" t="s">
        <v>154</v>
      </c>
      <c r="B221" s="660"/>
      <c r="C221" s="660"/>
      <c r="D221" s="660"/>
      <c r="E221" s="660"/>
      <c r="F221" s="660"/>
      <c r="G221" s="660"/>
      <c r="H221" s="660"/>
      <c r="I221" s="660"/>
      <c r="J221" s="660"/>
      <c r="K221" s="660"/>
      <c r="L221" s="660"/>
      <c r="M221" s="660"/>
      <c r="N221" s="660"/>
      <c r="O221" s="660"/>
      <c r="P221" s="660"/>
      <c r="Q221" s="660"/>
      <c r="R221" s="660"/>
      <c r="S221" s="660"/>
      <c r="T221" s="660"/>
      <c r="U221" s="660"/>
      <c r="V221" s="660"/>
      <c r="W221" s="660"/>
      <c r="X221" s="660"/>
      <c r="Y221" s="660"/>
      <c r="Z221" s="660"/>
      <c r="AA221" s="63"/>
      <c r="AB221" s="63"/>
      <c r="AC221" s="63"/>
    </row>
    <row r="222" spans="1:68" ht="27" hidden="1" customHeight="1" x14ac:dyDescent="0.25">
      <c r="A222" s="60" t="s">
        <v>382</v>
      </c>
      <c r="B222" s="60" t="s">
        <v>383</v>
      </c>
      <c r="C222" s="34">
        <v>4301020323</v>
      </c>
      <c r="D222" s="661">
        <v>4680115886223</v>
      </c>
      <c r="E222" s="661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4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3"/>
      <c r="R222" s="663"/>
      <c r="S222" s="663"/>
      <c r="T222" s="664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384</v>
      </c>
      <c r="AG222" s="75"/>
      <c r="AJ222" s="79" t="s">
        <v>46</v>
      </c>
      <c r="AK222" s="79">
        <v>0</v>
      </c>
      <c r="BB222" s="300" t="s">
        <v>66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5">
      <c r="A223" s="651"/>
      <c r="B223" s="651"/>
      <c r="C223" s="651"/>
      <c r="D223" s="651"/>
      <c r="E223" s="651"/>
      <c r="F223" s="651"/>
      <c r="G223" s="651"/>
      <c r="H223" s="651"/>
      <c r="I223" s="651"/>
      <c r="J223" s="651"/>
      <c r="K223" s="651"/>
      <c r="L223" s="651"/>
      <c r="M223" s="651"/>
      <c r="N223" s="651"/>
      <c r="O223" s="652"/>
      <c r="P223" s="648" t="s">
        <v>40</v>
      </c>
      <c r="Q223" s="649"/>
      <c r="R223" s="649"/>
      <c r="S223" s="649"/>
      <c r="T223" s="649"/>
      <c r="U223" s="649"/>
      <c r="V223" s="650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5">
      <c r="A224" s="651"/>
      <c r="B224" s="651"/>
      <c r="C224" s="651"/>
      <c r="D224" s="651"/>
      <c r="E224" s="651"/>
      <c r="F224" s="651"/>
      <c r="G224" s="651"/>
      <c r="H224" s="651"/>
      <c r="I224" s="651"/>
      <c r="J224" s="651"/>
      <c r="K224" s="651"/>
      <c r="L224" s="651"/>
      <c r="M224" s="651"/>
      <c r="N224" s="651"/>
      <c r="O224" s="652"/>
      <c r="P224" s="648" t="s">
        <v>40</v>
      </c>
      <c r="Q224" s="649"/>
      <c r="R224" s="649"/>
      <c r="S224" s="649"/>
      <c r="T224" s="649"/>
      <c r="U224" s="649"/>
      <c r="V224" s="650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660" t="s">
        <v>76</v>
      </c>
      <c r="B225" s="660"/>
      <c r="C225" s="660"/>
      <c r="D225" s="660"/>
      <c r="E225" s="660"/>
      <c r="F225" s="660"/>
      <c r="G225" s="660"/>
      <c r="H225" s="660"/>
      <c r="I225" s="660"/>
      <c r="J225" s="660"/>
      <c r="K225" s="660"/>
      <c r="L225" s="660"/>
      <c r="M225" s="660"/>
      <c r="N225" s="660"/>
      <c r="O225" s="660"/>
      <c r="P225" s="660"/>
      <c r="Q225" s="660"/>
      <c r="R225" s="660"/>
      <c r="S225" s="660"/>
      <c r="T225" s="660"/>
      <c r="U225" s="660"/>
      <c r="V225" s="660"/>
      <c r="W225" s="660"/>
      <c r="X225" s="660"/>
      <c r="Y225" s="660"/>
      <c r="Z225" s="660"/>
      <c r="AA225" s="63"/>
      <c r="AB225" s="63"/>
      <c r="AC225" s="63"/>
    </row>
    <row r="226" spans="1:68" ht="27" hidden="1" customHeight="1" x14ac:dyDescent="0.25">
      <c r="A226" s="60" t="s">
        <v>385</v>
      </c>
      <c r="B226" s="60" t="s">
        <v>386</v>
      </c>
      <c r="C226" s="34">
        <v>4301031191</v>
      </c>
      <c r="D226" s="661">
        <v>4680115880993</v>
      </c>
      <c r="E226" s="661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133</v>
      </c>
      <c r="L226" s="35" t="s">
        <v>46</v>
      </c>
      <c r="M226" s="36" t="s">
        <v>80</v>
      </c>
      <c r="N226" s="36"/>
      <c r="O226" s="35">
        <v>40</v>
      </c>
      <c r="P226" s="8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3"/>
      <c r="R226" s="663"/>
      <c r="S226" s="663"/>
      <c r="T226" s="664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387</v>
      </c>
      <c r="AG226" s="75"/>
      <c r="AJ226" s="79" t="s">
        <v>46</v>
      </c>
      <c r="AK226" s="79">
        <v>0</v>
      </c>
      <c r="BB226" s="302" t="s">
        <v>66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388</v>
      </c>
      <c r="B227" s="60" t="s">
        <v>389</v>
      </c>
      <c r="C227" s="34">
        <v>4301031204</v>
      </c>
      <c r="D227" s="661">
        <v>4680115881761</v>
      </c>
      <c r="E227" s="661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133</v>
      </c>
      <c r="L227" s="35" t="s">
        <v>46</v>
      </c>
      <c r="M227" s="36" t="s">
        <v>80</v>
      </c>
      <c r="N227" s="36"/>
      <c r="O227" s="35">
        <v>40</v>
      </c>
      <c r="P227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3"/>
      <c r="R227" s="663"/>
      <c r="S227" s="663"/>
      <c r="T227" s="664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390</v>
      </c>
      <c r="AG227" s="75"/>
      <c r="AJ227" s="79" t="s">
        <v>46</v>
      </c>
      <c r="AK227" s="79">
        <v>0</v>
      </c>
      <c r="BB227" s="304" t="s">
        <v>66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391</v>
      </c>
      <c r="B228" s="60" t="s">
        <v>392</v>
      </c>
      <c r="C228" s="34">
        <v>4301031201</v>
      </c>
      <c r="D228" s="661">
        <v>4680115881563</v>
      </c>
      <c r="E228" s="661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133</v>
      </c>
      <c r="L228" s="35" t="s">
        <v>46</v>
      </c>
      <c r="M228" s="36" t="s">
        <v>80</v>
      </c>
      <c r="N228" s="36"/>
      <c r="O228" s="35">
        <v>40</v>
      </c>
      <c r="P228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3"/>
      <c r="R228" s="663"/>
      <c r="S228" s="663"/>
      <c r="T228" s="664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393</v>
      </c>
      <c r="AG228" s="75"/>
      <c r="AJ228" s="79" t="s">
        <v>46</v>
      </c>
      <c r="AK228" s="79">
        <v>0</v>
      </c>
      <c r="BB228" s="306" t="s">
        <v>66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394</v>
      </c>
      <c r="B229" s="60" t="s">
        <v>395</v>
      </c>
      <c r="C229" s="34">
        <v>4301031447</v>
      </c>
      <c r="D229" s="661">
        <v>4680115887565</v>
      </c>
      <c r="E229" s="661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3"/>
      <c r="R229" s="663"/>
      <c r="S229" s="663"/>
      <c r="T229" s="664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396</v>
      </c>
      <c r="AG229" s="75"/>
      <c r="AJ229" s="79" t="s">
        <v>46</v>
      </c>
      <c r="AK229" s="79">
        <v>0</v>
      </c>
      <c r="BB229" s="308" t="s">
        <v>66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hidden="1" customHeight="1" x14ac:dyDescent="0.25">
      <c r="A230" s="60" t="s">
        <v>397</v>
      </c>
      <c r="B230" s="60" t="s">
        <v>398</v>
      </c>
      <c r="C230" s="34">
        <v>4301031199</v>
      </c>
      <c r="D230" s="661">
        <v>4680115880986</v>
      </c>
      <c r="E230" s="661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40</v>
      </c>
      <c r="P230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3"/>
      <c r="R230" s="663"/>
      <c r="S230" s="663"/>
      <c r="T230" s="664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7"/>
        <v>0</v>
      </c>
      <c r="Z230" s="39" t="str">
        <f t="shared" ref="Z230:Z235" si="42">IFERROR(IF(Y230=0,"",ROUNDUP(Y230/H230,0)*0.00502),"")</f>
        <v/>
      </c>
      <c r="AA230" s="65" t="s">
        <v>46</v>
      </c>
      <c r="AB230" s="66" t="s">
        <v>46</v>
      </c>
      <c r="AC230" s="309" t="s">
        <v>387</v>
      </c>
      <c r="AG230" s="75"/>
      <c r="AJ230" s="79" t="s">
        <v>46</v>
      </c>
      <c r="AK230" s="79">
        <v>0</v>
      </c>
      <c r="BB230" s="310" t="s">
        <v>66</v>
      </c>
      <c r="BM230" s="75">
        <f t="shared" si="38"/>
        <v>0</v>
      </c>
      <c r="BN230" s="75">
        <f t="shared" si="39"/>
        <v>0</v>
      </c>
      <c r="BO230" s="75">
        <f t="shared" si="40"/>
        <v>0</v>
      </c>
      <c r="BP230" s="75">
        <f t="shared" si="41"/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4301031443</v>
      </c>
      <c r="D231" s="661">
        <v>4680115887213</v>
      </c>
      <c r="E231" s="661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3"/>
      <c r="R231" s="663"/>
      <c r="S231" s="663"/>
      <c r="T231" s="664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66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4301031205</v>
      </c>
      <c r="D232" s="661">
        <v>4680115881785</v>
      </c>
      <c r="E232" s="661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3"/>
      <c r="R232" s="663"/>
      <c r="S232" s="663"/>
      <c r="T232" s="664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7"/>
        <v>0</v>
      </c>
      <c r="Z232" s="39" t="str">
        <f t="shared" si="42"/>
        <v/>
      </c>
      <c r="AA232" s="65" t="s">
        <v>46</v>
      </c>
      <c r="AB232" s="66" t="s">
        <v>46</v>
      </c>
      <c r="AC232" s="313" t="s">
        <v>390</v>
      </c>
      <c r="AG232" s="75"/>
      <c r="AJ232" s="79" t="s">
        <v>46</v>
      </c>
      <c r="AK232" s="79">
        <v>0</v>
      </c>
      <c r="BB232" s="314" t="s">
        <v>66</v>
      </c>
      <c r="BM232" s="75">
        <f t="shared" si="38"/>
        <v>0</v>
      </c>
      <c r="BN232" s="75">
        <f t="shared" si="39"/>
        <v>0</v>
      </c>
      <c r="BO232" s="75">
        <f t="shared" si="40"/>
        <v>0</v>
      </c>
      <c r="BP232" s="75">
        <f t="shared" si="41"/>
        <v>0</v>
      </c>
    </row>
    <row r="233" spans="1:68" ht="27" hidden="1" customHeight="1" x14ac:dyDescent="0.25">
      <c r="A233" s="60" t="s">
        <v>404</v>
      </c>
      <c r="B233" s="60" t="s">
        <v>405</v>
      </c>
      <c r="C233" s="34">
        <v>4301031499</v>
      </c>
      <c r="D233" s="661">
        <v>4680115888432</v>
      </c>
      <c r="E233" s="661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81</v>
      </c>
      <c r="L233" s="35" t="s">
        <v>46</v>
      </c>
      <c r="M233" s="36" t="s">
        <v>80</v>
      </c>
      <c r="N233" s="36"/>
      <c r="O233" s="35">
        <v>45</v>
      </c>
      <c r="P233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3"/>
      <c r="R233" s="663"/>
      <c r="S233" s="663"/>
      <c r="T233" s="664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406</v>
      </c>
      <c r="AG233" s="75"/>
      <c r="AJ233" s="79" t="s">
        <v>46</v>
      </c>
      <c r="AK233" s="79">
        <v>0</v>
      </c>
      <c r="BB233" s="316" t="s">
        <v>66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4301031427</v>
      </c>
      <c r="D234" s="661">
        <v>4680115888104</v>
      </c>
      <c r="E234" s="661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45</v>
      </c>
      <c r="P234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3"/>
      <c r="R234" s="663"/>
      <c r="S234" s="663"/>
      <c r="T234" s="664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66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4301031399</v>
      </c>
      <c r="D235" s="661">
        <v>4680115886537</v>
      </c>
      <c r="E235" s="661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81</v>
      </c>
      <c r="L235" s="35" t="s">
        <v>46</v>
      </c>
      <c r="M235" s="36" t="s">
        <v>80</v>
      </c>
      <c r="N235" s="36"/>
      <c r="O235" s="35">
        <v>40</v>
      </c>
      <c r="P235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3"/>
      <c r="R235" s="663"/>
      <c r="S235" s="663"/>
      <c r="T235" s="664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66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4301031279</v>
      </c>
      <c r="D236" s="661">
        <v>4680115887596</v>
      </c>
      <c r="E236" s="661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130</v>
      </c>
      <c r="L236" s="35" t="s">
        <v>46</v>
      </c>
      <c r="M236" s="36" t="s">
        <v>80</v>
      </c>
      <c r="N236" s="36"/>
      <c r="O236" s="35">
        <v>45</v>
      </c>
      <c r="P236" s="82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3"/>
      <c r="R236" s="663"/>
      <c r="S236" s="663"/>
      <c r="T236" s="664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415</v>
      </c>
      <c r="AG236" s="75"/>
      <c r="AJ236" s="79" t="s">
        <v>46</v>
      </c>
      <c r="AK236" s="79">
        <v>0</v>
      </c>
      <c r="BB236" s="322" t="s">
        <v>66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hidden="1" customHeight="1" x14ac:dyDescent="0.25">
      <c r="A237" s="60" t="s">
        <v>416</v>
      </c>
      <c r="B237" s="60" t="s">
        <v>417</v>
      </c>
      <c r="C237" s="34">
        <v>4301031202</v>
      </c>
      <c r="D237" s="661">
        <v>4680115881679</v>
      </c>
      <c r="E237" s="661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81</v>
      </c>
      <c r="L237" s="35" t="s">
        <v>46</v>
      </c>
      <c r="M237" s="36" t="s">
        <v>80</v>
      </c>
      <c r="N237" s="36"/>
      <c r="O237" s="35">
        <v>40</v>
      </c>
      <c r="P237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3"/>
      <c r="R237" s="663"/>
      <c r="S237" s="663"/>
      <c r="T237" s="664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7"/>
        <v>0</v>
      </c>
      <c r="Z237" s="39" t="str">
        <f>IFERROR(IF(Y237=0,"",ROUNDUP(Y237/H237,0)*0.00502),"")</f>
        <v/>
      </c>
      <c r="AA237" s="65" t="s">
        <v>46</v>
      </c>
      <c r="AB237" s="66" t="s">
        <v>46</v>
      </c>
      <c r="AC237" s="323" t="s">
        <v>393</v>
      </c>
      <c r="AG237" s="75"/>
      <c r="AJ237" s="79" t="s">
        <v>46</v>
      </c>
      <c r="AK237" s="79">
        <v>0</v>
      </c>
      <c r="BB237" s="324" t="s">
        <v>66</v>
      </c>
      <c r="BM237" s="75">
        <f t="shared" si="38"/>
        <v>0</v>
      </c>
      <c r="BN237" s="75">
        <f t="shared" si="39"/>
        <v>0</v>
      </c>
      <c r="BO237" s="75">
        <f t="shared" si="40"/>
        <v>0</v>
      </c>
      <c r="BP237" s="75">
        <f t="shared" si="41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4301031158</v>
      </c>
      <c r="D238" s="661">
        <v>4680115880191</v>
      </c>
      <c r="E238" s="661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90</v>
      </c>
      <c r="L238" s="35" t="s">
        <v>46</v>
      </c>
      <c r="M238" s="36" t="s">
        <v>80</v>
      </c>
      <c r="N238" s="36"/>
      <c r="O238" s="35">
        <v>40</v>
      </c>
      <c r="P238" s="82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3"/>
      <c r="R238" s="663"/>
      <c r="S238" s="663"/>
      <c r="T238" s="664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393</v>
      </c>
      <c r="AG238" s="75"/>
      <c r="AJ238" s="79" t="s">
        <v>46</v>
      </c>
      <c r="AK238" s="79">
        <v>0</v>
      </c>
      <c r="BB238" s="326" t="s">
        <v>66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420</v>
      </c>
      <c r="B239" s="60" t="s">
        <v>421</v>
      </c>
      <c r="C239" s="34">
        <v>4301031245</v>
      </c>
      <c r="D239" s="661">
        <v>4680115883963</v>
      </c>
      <c r="E239" s="661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81</v>
      </c>
      <c r="L239" s="35" t="s">
        <v>46</v>
      </c>
      <c r="M239" s="36" t="s">
        <v>80</v>
      </c>
      <c r="N239" s="36"/>
      <c r="O239" s="35">
        <v>40</v>
      </c>
      <c r="P239" s="82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3"/>
      <c r="R239" s="663"/>
      <c r="S239" s="663"/>
      <c r="T239" s="664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422</v>
      </c>
      <c r="AG239" s="75"/>
      <c r="AJ239" s="79" t="s">
        <v>46</v>
      </c>
      <c r="AK239" s="79">
        <v>0</v>
      </c>
      <c r="BB239" s="328" t="s">
        <v>66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hidden="1" x14ac:dyDescent="0.25">
      <c r="A240" s="651"/>
      <c r="B240" s="651"/>
      <c r="C240" s="651"/>
      <c r="D240" s="651"/>
      <c r="E240" s="651"/>
      <c r="F240" s="651"/>
      <c r="G240" s="651"/>
      <c r="H240" s="651"/>
      <c r="I240" s="651"/>
      <c r="J240" s="651"/>
      <c r="K240" s="651"/>
      <c r="L240" s="651"/>
      <c r="M240" s="651"/>
      <c r="N240" s="651"/>
      <c r="O240" s="652"/>
      <c r="P240" s="648" t="s">
        <v>40</v>
      </c>
      <c r="Q240" s="649"/>
      <c r="R240" s="649"/>
      <c r="S240" s="649"/>
      <c r="T240" s="649"/>
      <c r="U240" s="649"/>
      <c r="V240" s="650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4"/>
      <c r="AB240" s="64"/>
      <c r="AC240" s="64"/>
    </row>
    <row r="241" spans="1:68" hidden="1" x14ac:dyDescent="0.25">
      <c r="A241" s="651"/>
      <c r="B241" s="651"/>
      <c r="C241" s="651"/>
      <c r="D241" s="651"/>
      <c r="E241" s="651"/>
      <c r="F241" s="651"/>
      <c r="G241" s="651"/>
      <c r="H241" s="651"/>
      <c r="I241" s="651"/>
      <c r="J241" s="651"/>
      <c r="K241" s="651"/>
      <c r="L241" s="651"/>
      <c r="M241" s="651"/>
      <c r="N241" s="651"/>
      <c r="O241" s="652"/>
      <c r="P241" s="648" t="s">
        <v>40</v>
      </c>
      <c r="Q241" s="649"/>
      <c r="R241" s="649"/>
      <c r="S241" s="649"/>
      <c r="T241" s="649"/>
      <c r="U241" s="649"/>
      <c r="V241" s="650"/>
      <c r="W241" s="40" t="s">
        <v>0</v>
      </c>
      <c r="X241" s="41">
        <f>IFERROR(SUM(X226:X239),"0")</f>
        <v>0</v>
      </c>
      <c r="Y241" s="41">
        <f>IFERROR(SUM(Y226:Y239),"0")</f>
        <v>0</v>
      </c>
      <c r="Z241" s="40"/>
      <c r="AA241" s="64"/>
      <c r="AB241" s="64"/>
      <c r="AC241" s="64"/>
    </row>
    <row r="242" spans="1:68" ht="14.25" hidden="1" customHeight="1" x14ac:dyDescent="0.25">
      <c r="A242" s="660" t="s">
        <v>85</v>
      </c>
      <c r="B242" s="660"/>
      <c r="C242" s="660"/>
      <c r="D242" s="660"/>
      <c r="E242" s="660"/>
      <c r="F242" s="660"/>
      <c r="G242" s="660"/>
      <c r="H242" s="660"/>
      <c r="I242" s="660"/>
      <c r="J242" s="660"/>
      <c r="K242" s="660"/>
      <c r="L242" s="660"/>
      <c r="M242" s="660"/>
      <c r="N242" s="660"/>
      <c r="O242" s="660"/>
      <c r="P242" s="660"/>
      <c r="Q242" s="660"/>
      <c r="R242" s="660"/>
      <c r="S242" s="660"/>
      <c r="T242" s="660"/>
      <c r="U242" s="660"/>
      <c r="V242" s="660"/>
      <c r="W242" s="660"/>
      <c r="X242" s="660"/>
      <c r="Y242" s="660"/>
      <c r="Z242" s="660"/>
      <c r="AA242" s="63"/>
      <c r="AB242" s="63"/>
      <c r="AC242" s="63"/>
    </row>
    <row r="243" spans="1:68" ht="16.5" hidden="1" customHeight="1" x14ac:dyDescent="0.25">
      <c r="A243" s="60" t="s">
        <v>423</v>
      </c>
      <c r="B243" s="60" t="s">
        <v>424</v>
      </c>
      <c r="C243" s="34">
        <v>4301052209</v>
      </c>
      <c r="D243" s="661">
        <v>4680115888692</v>
      </c>
      <c r="E243" s="661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126</v>
      </c>
      <c r="L243" s="35" t="s">
        <v>46</v>
      </c>
      <c r="M243" s="36" t="s">
        <v>96</v>
      </c>
      <c r="N243" s="36"/>
      <c r="O243" s="35">
        <v>35</v>
      </c>
      <c r="P243" s="82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3"/>
      <c r="R243" s="663"/>
      <c r="S243" s="663"/>
      <c r="T243" s="664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425</v>
      </c>
      <c r="AG243" s="75"/>
      <c r="AJ243" s="79" t="s">
        <v>46</v>
      </c>
      <c r="AK243" s="79">
        <v>0</v>
      </c>
      <c r="BB243" s="330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426</v>
      </c>
      <c r="B244" s="60" t="s">
        <v>427</v>
      </c>
      <c r="C244" s="34">
        <v>4301052213</v>
      </c>
      <c r="D244" s="661">
        <v>4680115888722</v>
      </c>
      <c r="E244" s="661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126</v>
      </c>
      <c r="L244" s="35" t="s">
        <v>46</v>
      </c>
      <c r="M244" s="36" t="s">
        <v>96</v>
      </c>
      <c r="N244" s="36"/>
      <c r="O244" s="35">
        <v>35</v>
      </c>
      <c r="P244" s="82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3"/>
      <c r="R244" s="663"/>
      <c r="S244" s="663"/>
      <c r="T244" s="664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428</v>
      </c>
      <c r="AG244" s="75"/>
      <c r="AJ244" s="79" t="s">
        <v>46</v>
      </c>
      <c r="AK244" s="79">
        <v>0</v>
      </c>
      <c r="BB244" s="332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429</v>
      </c>
      <c r="B245" s="60" t="s">
        <v>430</v>
      </c>
      <c r="C245" s="34">
        <v>4301052177</v>
      </c>
      <c r="D245" s="661">
        <v>4680115888951</v>
      </c>
      <c r="E245" s="661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2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3"/>
      <c r="R245" s="663"/>
      <c r="S245" s="663"/>
      <c r="T245" s="664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4301052178</v>
      </c>
      <c r="D246" s="661">
        <v>4680115888975</v>
      </c>
      <c r="E246" s="661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35</v>
      </c>
      <c r="P246" s="81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3"/>
      <c r="R246" s="663"/>
      <c r="S246" s="663"/>
      <c r="T246" s="664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4301052176</v>
      </c>
      <c r="D247" s="661">
        <v>4680115888982</v>
      </c>
      <c r="E247" s="661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133</v>
      </c>
      <c r="L247" s="35" t="s">
        <v>46</v>
      </c>
      <c r="M247" s="36" t="s">
        <v>96</v>
      </c>
      <c r="N247" s="36"/>
      <c r="O247" s="35">
        <v>35</v>
      </c>
      <c r="P247" s="81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3"/>
      <c r="R247" s="663"/>
      <c r="S247" s="663"/>
      <c r="T247" s="664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428</v>
      </c>
      <c r="AG247" s="75"/>
      <c r="AJ247" s="79" t="s">
        <v>46</v>
      </c>
      <c r="AK247" s="79">
        <v>0</v>
      </c>
      <c r="BB247" s="338" t="s">
        <v>66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5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52"/>
      <c r="P248" s="648" t="s">
        <v>40</v>
      </c>
      <c r="Q248" s="649"/>
      <c r="R248" s="649"/>
      <c r="S248" s="649"/>
      <c r="T248" s="649"/>
      <c r="U248" s="649"/>
      <c r="V248" s="650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5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0" t="s">
        <v>288</v>
      </c>
      <c r="B250" s="660"/>
      <c r="C250" s="660"/>
      <c r="D250" s="660"/>
      <c r="E250" s="660"/>
      <c r="F250" s="660"/>
      <c r="G250" s="660"/>
      <c r="H250" s="660"/>
      <c r="I250" s="660"/>
      <c r="J250" s="660"/>
      <c r="K250" s="660"/>
      <c r="L250" s="660"/>
      <c r="M250" s="660"/>
      <c r="N250" s="660"/>
      <c r="O250" s="660"/>
      <c r="P250" s="660"/>
      <c r="Q250" s="660"/>
      <c r="R250" s="660"/>
      <c r="S250" s="660"/>
      <c r="T250" s="660"/>
      <c r="U250" s="660"/>
      <c r="V250" s="660"/>
      <c r="W250" s="660"/>
      <c r="X250" s="660"/>
      <c r="Y250" s="660"/>
      <c r="Z250" s="660"/>
      <c r="AA250" s="63"/>
      <c r="AB250" s="63"/>
      <c r="AC250" s="63"/>
    </row>
    <row r="251" spans="1:68" ht="27" hidden="1" customHeight="1" x14ac:dyDescent="0.25">
      <c r="A251" s="60" t="s">
        <v>437</v>
      </c>
      <c r="B251" s="60" t="s">
        <v>438</v>
      </c>
      <c r="C251" s="34">
        <v>4301032053</v>
      </c>
      <c r="D251" s="661">
        <v>4680115886780</v>
      </c>
      <c r="E251" s="661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354</v>
      </c>
      <c r="L251" s="35" t="s">
        <v>46</v>
      </c>
      <c r="M251" s="36" t="s">
        <v>293</v>
      </c>
      <c r="N251" s="36"/>
      <c r="O251" s="35">
        <v>60</v>
      </c>
      <c r="P251" s="81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3"/>
      <c r="R251" s="663"/>
      <c r="S251" s="663"/>
      <c r="T251" s="664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439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440</v>
      </c>
      <c r="B252" s="60" t="s">
        <v>441</v>
      </c>
      <c r="C252" s="34">
        <v>4301032051</v>
      </c>
      <c r="D252" s="661">
        <v>4680115886742</v>
      </c>
      <c r="E252" s="661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354</v>
      </c>
      <c r="L252" s="35" t="s">
        <v>46</v>
      </c>
      <c r="M252" s="36" t="s">
        <v>293</v>
      </c>
      <c r="N252" s="36"/>
      <c r="O252" s="35">
        <v>90</v>
      </c>
      <c r="P252" s="82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3"/>
      <c r="R252" s="663"/>
      <c r="S252" s="663"/>
      <c r="T252" s="664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442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443</v>
      </c>
      <c r="B253" s="60" t="s">
        <v>444</v>
      </c>
      <c r="C253" s="34">
        <v>4301032052</v>
      </c>
      <c r="D253" s="661">
        <v>4680115886766</v>
      </c>
      <c r="E253" s="661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354</v>
      </c>
      <c r="L253" s="35" t="s">
        <v>46</v>
      </c>
      <c r="M253" s="36" t="s">
        <v>293</v>
      </c>
      <c r="N253" s="36"/>
      <c r="O253" s="35">
        <v>90</v>
      </c>
      <c r="P253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3"/>
      <c r="R253" s="663"/>
      <c r="S253" s="663"/>
      <c r="T253" s="664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442</v>
      </c>
      <c r="AG253" s="75"/>
      <c r="AJ253" s="79" t="s">
        <v>46</v>
      </c>
      <c r="AK253" s="79">
        <v>0</v>
      </c>
      <c r="BB253" s="344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5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5">
      <c r="A255" s="651"/>
      <c r="B255" s="651"/>
      <c r="C255" s="651"/>
      <c r="D255" s="651"/>
      <c r="E255" s="651"/>
      <c r="F255" s="651"/>
      <c r="G255" s="651"/>
      <c r="H255" s="651"/>
      <c r="I255" s="651"/>
      <c r="J255" s="651"/>
      <c r="K255" s="651"/>
      <c r="L255" s="651"/>
      <c r="M255" s="651"/>
      <c r="N255" s="651"/>
      <c r="O255" s="652"/>
      <c r="P255" s="648" t="s">
        <v>40</v>
      </c>
      <c r="Q255" s="649"/>
      <c r="R255" s="649"/>
      <c r="S255" s="649"/>
      <c r="T255" s="649"/>
      <c r="U255" s="649"/>
      <c r="V255" s="650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660" t="s">
        <v>445</v>
      </c>
      <c r="B256" s="660"/>
      <c r="C256" s="660"/>
      <c r="D256" s="660"/>
      <c r="E256" s="660"/>
      <c r="F256" s="660"/>
      <c r="G256" s="660"/>
      <c r="H256" s="660"/>
      <c r="I256" s="660"/>
      <c r="J256" s="660"/>
      <c r="K256" s="660"/>
      <c r="L256" s="660"/>
      <c r="M256" s="660"/>
      <c r="N256" s="660"/>
      <c r="O256" s="660"/>
      <c r="P256" s="660"/>
      <c r="Q256" s="660"/>
      <c r="R256" s="660"/>
      <c r="S256" s="660"/>
      <c r="T256" s="660"/>
      <c r="U256" s="660"/>
      <c r="V256" s="660"/>
      <c r="W256" s="660"/>
      <c r="X256" s="660"/>
      <c r="Y256" s="660"/>
      <c r="Z256" s="660"/>
      <c r="AA256" s="63"/>
      <c r="AB256" s="63"/>
      <c r="AC256" s="63"/>
    </row>
    <row r="257" spans="1:68" ht="27" hidden="1" customHeight="1" x14ac:dyDescent="0.25">
      <c r="A257" s="60" t="s">
        <v>446</v>
      </c>
      <c r="B257" s="60" t="s">
        <v>447</v>
      </c>
      <c r="C257" s="34">
        <v>4301170013</v>
      </c>
      <c r="D257" s="661">
        <v>4680115886797</v>
      </c>
      <c r="E257" s="661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354</v>
      </c>
      <c r="L257" s="35" t="s">
        <v>46</v>
      </c>
      <c r="M257" s="36" t="s">
        <v>293</v>
      </c>
      <c r="N257" s="36"/>
      <c r="O257" s="35">
        <v>90</v>
      </c>
      <c r="P257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3"/>
      <c r="R257" s="663"/>
      <c r="S257" s="663"/>
      <c r="T257" s="664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442</v>
      </c>
      <c r="AG257" s="75"/>
      <c r="AJ257" s="79" t="s">
        <v>46</v>
      </c>
      <c r="AK257" s="79">
        <v>0</v>
      </c>
      <c r="BB257" s="34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5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2"/>
      <c r="P258" s="648" t="s">
        <v>40</v>
      </c>
      <c r="Q258" s="649"/>
      <c r="R258" s="649"/>
      <c r="S258" s="649"/>
      <c r="T258" s="649"/>
      <c r="U258" s="649"/>
      <c r="V258" s="650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5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67" t="s">
        <v>448</v>
      </c>
      <c r="B260" s="667"/>
      <c r="C260" s="667"/>
      <c r="D260" s="667"/>
      <c r="E260" s="667"/>
      <c r="F260" s="667"/>
      <c r="G260" s="667"/>
      <c r="H260" s="667"/>
      <c r="I260" s="667"/>
      <c r="J260" s="667"/>
      <c r="K260" s="667"/>
      <c r="L260" s="667"/>
      <c r="M260" s="667"/>
      <c r="N260" s="667"/>
      <c r="O260" s="667"/>
      <c r="P260" s="667"/>
      <c r="Q260" s="667"/>
      <c r="R260" s="667"/>
      <c r="S260" s="667"/>
      <c r="T260" s="667"/>
      <c r="U260" s="667"/>
      <c r="V260" s="667"/>
      <c r="W260" s="667"/>
      <c r="X260" s="667"/>
      <c r="Y260" s="667"/>
      <c r="Z260" s="667"/>
      <c r="AA260" s="62"/>
      <c r="AB260" s="62"/>
      <c r="AC260" s="62"/>
    </row>
    <row r="261" spans="1:68" ht="14.25" hidden="1" customHeight="1" x14ac:dyDescent="0.25">
      <c r="A261" s="660" t="s">
        <v>121</v>
      </c>
      <c r="B261" s="660"/>
      <c r="C261" s="660"/>
      <c r="D261" s="660"/>
      <c r="E261" s="660"/>
      <c r="F261" s="660"/>
      <c r="G261" s="660"/>
      <c r="H261" s="660"/>
      <c r="I261" s="660"/>
      <c r="J261" s="660"/>
      <c r="K261" s="660"/>
      <c r="L261" s="660"/>
      <c r="M261" s="660"/>
      <c r="N261" s="660"/>
      <c r="O261" s="660"/>
      <c r="P261" s="660"/>
      <c r="Q261" s="660"/>
      <c r="R261" s="660"/>
      <c r="S261" s="660"/>
      <c r="T261" s="660"/>
      <c r="U261" s="660"/>
      <c r="V261" s="660"/>
      <c r="W261" s="660"/>
      <c r="X261" s="660"/>
      <c r="Y261" s="660"/>
      <c r="Z261" s="660"/>
      <c r="AA261" s="63"/>
      <c r="AB261" s="63"/>
      <c r="AC261" s="63"/>
    </row>
    <row r="262" spans="1:68" ht="27" hidden="1" customHeight="1" x14ac:dyDescent="0.25">
      <c r="A262" s="60" t="s">
        <v>449</v>
      </c>
      <c r="B262" s="60" t="s">
        <v>450</v>
      </c>
      <c r="C262" s="34">
        <v>4301011450</v>
      </c>
      <c r="D262" s="661">
        <v>4680115881402</v>
      </c>
      <c r="E262" s="661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126</v>
      </c>
      <c r="L262" s="35" t="s">
        <v>46</v>
      </c>
      <c r="M262" s="36" t="s">
        <v>125</v>
      </c>
      <c r="N262" s="36"/>
      <c r="O262" s="35">
        <v>55</v>
      </c>
      <c r="P262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3"/>
      <c r="R262" s="663"/>
      <c r="S262" s="663"/>
      <c r="T262" s="664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451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452</v>
      </c>
      <c r="B263" s="60" t="s">
        <v>453</v>
      </c>
      <c r="C263" s="34">
        <v>4301011768</v>
      </c>
      <c r="D263" s="661">
        <v>4680115881396</v>
      </c>
      <c r="E263" s="661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90</v>
      </c>
      <c r="L263" s="35" t="s">
        <v>46</v>
      </c>
      <c r="M263" s="36" t="s">
        <v>125</v>
      </c>
      <c r="N263" s="36"/>
      <c r="O263" s="35">
        <v>55</v>
      </c>
      <c r="P263" s="8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3"/>
      <c r="R263" s="663"/>
      <c r="S263" s="663"/>
      <c r="T263" s="664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451</v>
      </c>
      <c r="AG263" s="75"/>
      <c r="AJ263" s="79" t="s">
        <v>46</v>
      </c>
      <c r="AK263" s="79">
        <v>0</v>
      </c>
      <c r="BB263" s="35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5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5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660" t="s">
        <v>154</v>
      </c>
      <c r="B266" s="660"/>
      <c r="C266" s="660"/>
      <c r="D266" s="660"/>
      <c r="E266" s="660"/>
      <c r="F266" s="660"/>
      <c r="G266" s="660"/>
      <c r="H266" s="660"/>
      <c r="I266" s="660"/>
      <c r="J266" s="660"/>
      <c r="K266" s="660"/>
      <c r="L266" s="660"/>
      <c r="M266" s="660"/>
      <c r="N266" s="660"/>
      <c r="O266" s="660"/>
      <c r="P266" s="660"/>
      <c r="Q266" s="660"/>
      <c r="R266" s="660"/>
      <c r="S266" s="660"/>
      <c r="T266" s="660"/>
      <c r="U266" s="660"/>
      <c r="V266" s="660"/>
      <c r="W266" s="660"/>
      <c r="X266" s="660"/>
      <c r="Y266" s="660"/>
      <c r="Z266" s="660"/>
      <c r="AA266" s="63"/>
      <c r="AB266" s="63"/>
      <c r="AC266" s="63"/>
    </row>
    <row r="267" spans="1:68" ht="16.5" hidden="1" customHeight="1" x14ac:dyDescent="0.25">
      <c r="A267" s="60" t="s">
        <v>454</v>
      </c>
      <c r="B267" s="60" t="s">
        <v>455</v>
      </c>
      <c r="C267" s="34">
        <v>4301020261</v>
      </c>
      <c r="D267" s="661">
        <v>4680115882935</v>
      </c>
      <c r="E267" s="661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126</v>
      </c>
      <c r="L267" s="35" t="s">
        <v>46</v>
      </c>
      <c r="M267" s="36" t="s">
        <v>125</v>
      </c>
      <c r="N267" s="36"/>
      <c r="O267" s="35">
        <v>50</v>
      </c>
      <c r="P267" s="8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3"/>
      <c r="R267" s="663"/>
      <c r="S267" s="663"/>
      <c r="T267" s="664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457</v>
      </c>
      <c r="B268" s="60" t="s">
        <v>458</v>
      </c>
      <c r="C268" s="34">
        <v>4301020220</v>
      </c>
      <c r="D268" s="661">
        <v>4680115880764</v>
      </c>
      <c r="E268" s="661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90</v>
      </c>
      <c r="L268" s="35" t="s">
        <v>46</v>
      </c>
      <c r="M268" s="36" t="s">
        <v>125</v>
      </c>
      <c r="N268" s="36"/>
      <c r="O268" s="35">
        <v>50</v>
      </c>
      <c r="P268" s="80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3"/>
      <c r="R268" s="663"/>
      <c r="S268" s="663"/>
      <c r="T268" s="664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456</v>
      </c>
      <c r="AG268" s="75"/>
      <c r="AJ268" s="79" t="s">
        <v>46</v>
      </c>
      <c r="AK268" s="79">
        <v>0</v>
      </c>
      <c r="BB268" s="354" t="s">
        <v>66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5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52"/>
      <c r="P269" s="648" t="s">
        <v>40</v>
      </c>
      <c r="Q269" s="649"/>
      <c r="R269" s="649"/>
      <c r="S269" s="649"/>
      <c r="T269" s="649"/>
      <c r="U269" s="649"/>
      <c r="V269" s="650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5">
      <c r="A270" s="651"/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2"/>
      <c r="P270" s="648" t="s">
        <v>40</v>
      </c>
      <c r="Q270" s="649"/>
      <c r="R270" s="649"/>
      <c r="S270" s="649"/>
      <c r="T270" s="649"/>
      <c r="U270" s="649"/>
      <c r="V270" s="650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660" t="s">
        <v>76</v>
      </c>
      <c r="B271" s="660"/>
      <c r="C271" s="660"/>
      <c r="D271" s="660"/>
      <c r="E271" s="660"/>
      <c r="F271" s="660"/>
      <c r="G271" s="660"/>
      <c r="H271" s="660"/>
      <c r="I271" s="660"/>
      <c r="J271" s="660"/>
      <c r="K271" s="660"/>
      <c r="L271" s="660"/>
      <c r="M271" s="660"/>
      <c r="N271" s="660"/>
      <c r="O271" s="660"/>
      <c r="P271" s="660"/>
      <c r="Q271" s="660"/>
      <c r="R271" s="660"/>
      <c r="S271" s="660"/>
      <c r="T271" s="660"/>
      <c r="U271" s="660"/>
      <c r="V271" s="660"/>
      <c r="W271" s="660"/>
      <c r="X271" s="660"/>
      <c r="Y271" s="660"/>
      <c r="Z271" s="660"/>
      <c r="AA271" s="63"/>
      <c r="AB271" s="63"/>
      <c r="AC271" s="63"/>
    </row>
    <row r="272" spans="1:68" ht="27" hidden="1" customHeight="1" x14ac:dyDescent="0.25">
      <c r="A272" s="60" t="s">
        <v>459</v>
      </c>
      <c r="B272" s="60" t="s">
        <v>460</v>
      </c>
      <c r="C272" s="34">
        <v>4301031224</v>
      </c>
      <c r="D272" s="661">
        <v>4680115882683</v>
      </c>
      <c r="E272" s="661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3"/>
      <c r="R272" s="663"/>
      <c r="S272" s="663"/>
      <c r="T272" s="664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4301031230</v>
      </c>
      <c r="D273" s="661">
        <v>4680115882690</v>
      </c>
      <c r="E273" s="661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3"/>
      <c r="R273" s="663"/>
      <c r="S273" s="663"/>
      <c r="T273" s="664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464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465</v>
      </c>
      <c r="B274" s="60" t="s">
        <v>466</v>
      </c>
      <c r="C274" s="34">
        <v>4301031220</v>
      </c>
      <c r="D274" s="661">
        <v>4680115882669</v>
      </c>
      <c r="E274" s="661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3"/>
      <c r="R274" s="663"/>
      <c r="S274" s="663"/>
      <c r="T274" s="664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467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468</v>
      </c>
      <c r="B275" s="60" t="s">
        <v>469</v>
      </c>
      <c r="C275" s="34">
        <v>4301031221</v>
      </c>
      <c r="D275" s="661">
        <v>4680115882676</v>
      </c>
      <c r="E275" s="661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133</v>
      </c>
      <c r="L275" s="35" t="s">
        <v>46</v>
      </c>
      <c r="M275" s="36" t="s">
        <v>80</v>
      </c>
      <c r="N275" s="36"/>
      <c r="O275" s="35">
        <v>40</v>
      </c>
      <c r="P275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3"/>
      <c r="R275" s="663"/>
      <c r="S275" s="663"/>
      <c r="T275" s="664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470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471</v>
      </c>
      <c r="B276" s="60" t="s">
        <v>472</v>
      </c>
      <c r="C276" s="34">
        <v>4301031223</v>
      </c>
      <c r="D276" s="661">
        <v>4680115884014</v>
      </c>
      <c r="E276" s="661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3"/>
      <c r="R276" s="663"/>
      <c r="S276" s="663"/>
      <c r="T276" s="664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t="27" hidden="1" customHeight="1" x14ac:dyDescent="0.25">
      <c r="A277" s="60" t="s">
        <v>473</v>
      </c>
      <c r="B277" s="60" t="s">
        <v>474</v>
      </c>
      <c r="C277" s="34">
        <v>4301031222</v>
      </c>
      <c r="D277" s="661">
        <v>4680115884007</v>
      </c>
      <c r="E277" s="661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3"/>
      <c r="R277" s="663"/>
      <c r="S277" s="663"/>
      <c r="T277" s="664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3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464</v>
      </c>
      <c r="AG277" s="75"/>
      <c r="AJ277" s="79" t="s">
        <v>46</v>
      </c>
      <c r="AK277" s="79">
        <v>0</v>
      </c>
      <c r="BB277" s="366" t="s">
        <v>66</v>
      </c>
      <c r="BM277" s="75">
        <f t="shared" si="44"/>
        <v>0</v>
      </c>
      <c r="BN277" s="75">
        <f t="shared" si="45"/>
        <v>0</v>
      </c>
      <c r="BO277" s="75">
        <f t="shared" si="46"/>
        <v>0</v>
      </c>
      <c r="BP277" s="75">
        <f t="shared" si="47"/>
        <v>0</v>
      </c>
    </row>
    <row r="278" spans="1:68" ht="27" hidden="1" customHeight="1" x14ac:dyDescent="0.25">
      <c r="A278" s="60" t="s">
        <v>475</v>
      </c>
      <c r="B278" s="60" t="s">
        <v>476</v>
      </c>
      <c r="C278" s="34">
        <v>4301031229</v>
      </c>
      <c r="D278" s="661">
        <v>4680115884038</v>
      </c>
      <c r="E278" s="661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7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3"/>
      <c r="R278" s="663"/>
      <c r="S278" s="663"/>
      <c r="T278" s="664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467</v>
      </c>
      <c r="AG278" s="75"/>
      <c r="AJ278" s="79" t="s">
        <v>46</v>
      </c>
      <c r="AK278" s="79">
        <v>0</v>
      </c>
      <c r="BB278" s="368" t="s">
        <v>66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4301031225</v>
      </c>
      <c r="D279" s="661">
        <v>4680115884021</v>
      </c>
      <c r="E279" s="661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81</v>
      </c>
      <c r="L279" s="35" t="s">
        <v>46</v>
      </c>
      <c r="M279" s="36" t="s">
        <v>80</v>
      </c>
      <c r="N279" s="36"/>
      <c r="O279" s="35">
        <v>40</v>
      </c>
      <c r="P279" s="8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3"/>
      <c r="R279" s="663"/>
      <c r="S279" s="663"/>
      <c r="T279" s="664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IFERROR(IF(Y279=0,"",ROUNDUP(Y279/H279,0)*0.00502),"")</f>
        <v/>
      </c>
      <c r="AA279" s="65" t="s">
        <v>46</v>
      </c>
      <c r="AB279" s="66" t="s">
        <v>46</v>
      </c>
      <c r="AC279" s="369" t="s">
        <v>470</v>
      </c>
      <c r="AG279" s="75"/>
      <c r="AJ279" s="79" t="s">
        <v>46</v>
      </c>
      <c r="AK279" s="79">
        <v>0</v>
      </c>
      <c r="BB279" s="370" t="s">
        <v>66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idden="1" x14ac:dyDescent="0.25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52"/>
      <c r="P280" s="648" t="s">
        <v>40</v>
      </c>
      <c r="Q280" s="649"/>
      <c r="R280" s="649"/>
      <c r="S280" s="649"/>
      <c r="T280" s="649"/>
      <c r="U280" s="649"/>
      <c r="V280" s="650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0</v>
      </c>
      <c r="Y280" s="41">
        <f>IFERROR(Y272/H272,"0")+IFERROR(Y273/H273,"0")+IFERROR(Y274/H274,"0")+IFERROR(Y275/H275,"0")+IFERROR(Y276/H276,"0")+IFERROR(Y277/H277,"0")+IFERROR(Y278/H278,"0")+IFERROR(Y279/H279,"0")</f>
        <v>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5">
      <c r="A281" s="651"/>
      <c r="B281" s="651"/>
      <c r="C281" s="651"/>
      <c r="D281" s="651"/>
      <c r="E281" s="651"/>
      <c r="F281" s="651"/>
      <c r="G281" s="651"/>
      <c r="H281" s="651"/>
      <c r="I281" s="651"/>
      <c r="J281" s="651"/>
      <c r="K281" s="651"/>
      <c r="L281" s="651"/>
      <c r="M281" s="651"/>
      <c r="N281" s="651"/>
      <c r="O281" s="652"/>
      <c r="P281" s="648" t="s">
        <v>40</v>
      </c>
      <c r="Q281" s="649"/>
      <c r="R281" s="649"/>
      <c r="S281" s="649"/>
      <c r="T281" s="649"/>
      <c r="U281" s="649"/>
      <c r="V281" s="650"/>
      <c r="W281" s="40" t="s">
        <v>0</v>
      </c>
      <c r="X281" s="41">
        <f>IFERROR(SUM(X272:X279),"0")</f>
        <v>0</v>
      </c>
      <c r="Y281" s="41">
        <f>IFERROR(SUM(Y272:Y279),"0")</f>
        <v>0</v>
      </c>
      <c r="Z281" s="40"/>
      <c r="AA281" s="64"/>
      <c r="AB281" s="64"/>
      <c r="AC281" s="64"/>
    </row>
    <row r="282" spans="1:68" ht="14.25" hidden="1" customHeight="1" x14ac:dyDescent="0.25">
      <c r="A282" s="660" t="s">
        <v>85</v>
      </c>
      <c r="B282" s="660"/>
      <c r="C282" s="660"/>
      <c r="D282" s="660"/>
      <c r="E282" s="660"/>
      <c r="F282" s="660"/>
      <c r="G282" s="660"/>
      <c r="H282" s="660"/>
      <c r="I282" s="660"/>
      <c r="J282" s="660"/>
      <c r="K282" s="660"/>
      <c r="L282" s="660"/>
      <c r="M282" s="660"/>
      <c r="N282" s="660"/>
      <c r="O282" s="660"/>
      <c r="P282" s="660"/>
      <c r="Q282" s="660"/>
      <c r="R282" s="660"/>
      <c r="S282" s="660"/>
      <c r="T282" s="660"/>
      <c r="U282" s="660"/>
      <c r="V282" s="660"/>
      <c r="W282" s="660"/>
      <c r="X282" s="660"/>
      <c r="Y282" s="660"/>
      <c r="Z282" s="660"/>
      <c r="AA282" s="63"/>
      <c r="AB282" s="63"/>
      <c r="AC282" s="63"/>
    </row>
    <row r="283" spans="1:68" ht="27" hidden="1" customHeight="1" x14ac:dyDescent="0.25">
      <c r="A283" s="60" t="s">
        <v>479</v>
      </c>
      <c r="B283" s="60" t="s">
        <v>480</v>
      </c>
      <c r="C283" s="34">
        <v>4301051408</v>
      </c>
      <c r="D283" s="661">
        <v>4680115881594</v>
      </c>
      <c r="E283" s="661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3"/>
      <c r="R283" s="663"/>
      <c r="S283" s="663"/>
      <c r="T283" s="664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481</v>
      </c>
      <c r="AG283" s="75"/>
      <c r="AJ283" s="79" t="s">
        <v>46</v>
      </c>
      <c r="AK283" s="79">
        <v>0</v>
      </c>
      <c r="BB283" s="372" t="s">
        <v>66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482</v>
      </c>
      <c r="B284" s="60" t="s">
        <v>483</v>
      </c>
      <c r="C284" s="34">
        <v>4301051411</v>
      </c>
      <c r="D284" s="661">
        <v>4680115881617</v>
      </c>
      <c r="E284" s="661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40</v>
      </c>
      <c r="P284" s="8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3"/>
      <c r="R284" s="663"/>
      <c r="S284" s="663"/>
      <c r="T284" s="664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484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4301051656</v>
      </c>
      <c r="D285" s="661">
        <v>4680115880573</v>
      </c>
      <c r="E285" s="661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126</v>
      </c>
      <c r="L285" s="35" t="s">
        <v>46</v>
      </c>
      <c r="M285" s="36" t="s">
        <v>89</v>
      </c>
      <c r="N285" s="36"/>
      <c r="O285" s="35">
        <v>45</v>
      </c>
      <c r="P285" s="8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3"/>
      <c r="R285" s="663"/>
      <c r="S285" s="663"/>
      <c r="T285" s="664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487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4301051407</v>
      </c>
      <c r="D286" s="661">
        <v>4680115882195</v>
      </c>
      <c r="E286" s="661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3"/>
      <c r="R286" s="663"/>
      <c r="S286" s="663"/>
      <c r="T286" s="664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481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490</v>
      </c>
      <c r="B287" s="60" t="s">
        <v>491</v>
      </c>
      <c r="C287" s="34">
        <v>4301051752</v>
      </c>
      <c r="D287" s="661">
        <v>4680115882607</v>
      </c>
      <c r="E287" s="661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90</v>
      </c>
      <c r="L287" s="35" t="s">
        <v>46</v>
      </c>
      <c r="M287" s="36" t="s">
        <v>96</v>
      </c>
      <c r="N287" s="36"/>
      <c r="O287" s="35">
        <v>45</v>
      </c>
      <c r="P287" s="80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3"/>
      <c r="R287" s="663"/>
      <c r="S287" s="663"/>
      <c r="T287" s="664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492</v>
      </c>
      <c r="B288" s="60" t="s">
        <v>493</v>
      </c>
      <c r="C288" s="34">
        <v>4301052143</v>
      </c>
      <c r="D288" s="661">
        <v>4680115882607</v>
      </c>
      <c r="E288" s="661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133</v>
      </c>
      <c r="L288" s="35" t="s">
        <v>46</v>
      </c>
      <c r="M288" s="36" t="s">
        <v>89</v>
      </c>
      <c r="N288" s="36"/>
      <c r="O288" s="35">
        <v>45</v>
      </c>
      <c r="P288" s="79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3"/>
      <c r="R288" s="663"/>
      <c r="S288" s="663"/>
      <c r="T288" s="664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494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495</v>
      </c>
      <c r="B289" s="60" t="s">
        <v>496</v>
      </c>
      <c r="C289" s="34">
        <v>4301051666</v>
      </c>
      <c r="D289" s="661">
        <v>4680115880092</v>
      </c>
      <c r="E289" s="661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89</v>
      </c>
      <c r="N289" s="36"/>
      <c r="O289" s="35">
        <v>45</v>
      </c>
      <c r="P289" s="79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3"/>
      <c r="R289" s="663"/>
      <c r="S289" s="663"/>
      <c r="T289" s="664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497</v>
      </c>
      <c r="B290" s="60" t="s">
        <v>498</v>
      </c>
      <c r="C290" s="34">
        <v>4301052214</v>
      </c>
      <c r="D290" s="661">
        <v>4680115889064</v>
      </c>
      <c r="E290" s="661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126</v>
      </c>
      <c r="L290" s="35" t="s">
        <v>46</v>
      </c>
      <c r="M290" s="36" t="s">
        <v>89</v>
      </c>
      <c r="N290" s="36"/>
      <c r="O290" s="35">
        <v>45</v>
      </c>
      <c r="P290" s="79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3"/>
      <c r="R290" s="663"/>
      <c r="S290" s="663"/>
      <c r="T290" s="664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494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499</v>
      </c>
      <c r="B291" s="60" t="s">
        <v>500</v>
      </c>
      <c r="C291" s="34">
        <v>4301051668</v>
      </c>
      <c r="D291" s="661">
        <v>4680115880221</v>
      </c>
      <c r="E291" s="661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9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3"/>
      <c r="R291" s="663"/>
      <c r="S291" s="663"/>
      <c r="T291" s="664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487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501</v>
      </c>
      <c r="B292" s="60" t="s">
        <v>502</v>
      </c>
      <c r="C292" s="34">
        <v>4301051945</v>
      </c>
      <c r="D292" s="661">
        <v>4680115880504</v>
      </c>
      <c r="E292" s="661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90</v>
      </c>
      <c r="L292" s="35" t="s">
        <v>46</v>
      </c>
      <c r="M292" s="36" t="s">
        <v>96</v>
      </c>
      <c r="N292" s="36"/>
      <c r="O292" s="35">
        <v>40</v>
      </c>
      <c r="P292" s="79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3"/>
      <c r="R292" s="663"/>
      <c r="S292" s="663"/>
      <c r="T292" s="664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503</v>
      </c>
      <c r="AG292" s="75"/>
      <c r="AJ292" s="79" t="s">
        <v>46</v>
      </c>
      <c r="AK292" s="79">
        <v>0</v>
      </c>
      <c r="BB292" s="390" t="s">
        <v>66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hidden="1" customHeight="1" x14ac:dyDescent="0.25">
      <c r="A293" s="60" t="s">
        <v>504</v>
      </c>
      <c r="B293" s="60" t="s">
        <v>505</v>
      </c>
      <c r="C293" s="34">
        <v>4301051410</v>
      </c>
      <c r="D293" s="661">
        <v>4680115882164</v>
      </c>
      <c r="E293" s="661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40</v>
      </c>
      <c r="P293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3"/>
      <c r="R293" s="663"/>
      <c r="S293" s="663"/>
      <c r="T293" s="664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8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506</v>
      </c>
      <c r="AG293" s="75"/>
      <c r="AJ293" s="79" t="s">
        <v>46</v>
      </c>
      <c r="AK293" s="79">
        <v>0</v>
      </c>
      <c r="BB293" s="392" t="s">
        <v>66</v>
      </c>
      <c r="BM293" s="75">
        <f t="shared" si="49"/>
        <v>0</v>
      </c>
      <c r="BN293" s="75">
        <f t="shared" si="50"/>
        <v>0</v>
      </c>
      <c r="BO293" s="75">
        <f t="shared" si="51"/>
        <v>0</v>
      </c>
      <c r="BP293" s="75">
        <f t="shared" si="52"/>
        <v>0</v>
      </c>
    </row>
    <row r="294" spans="1:68" ht="27" hidden="1" customHeight="1" x14ac:dyDescent="0.25">
      <c r="A294" s="60" t="s">
        <v>507</v>
      </c>
      <c r="B294" s="60" t="s">
        <v>508</v>
      </c>
      <c r="C294" s="34">
        <v>4301052180</v>
      </c>
      <c r="D294" s="661">
        <v>4680115888340</v>
      </c>
      <c r="E294" s="661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90</v>
      </c>
      <c r="L294" s="35" t="s">
        <v>46</v>
      </c>
      <c r="M294" s="36" t="s">
        <v>89</v>
      </c>
      <c r="N294" s="36"/>
      <c r="O294" s="35">
        <v>45</v>
      </c>
      <c r="P294" s="79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3"/>
      <c r="R294" s="663"/>
      <c r="S294" s="663"/>
      <c r="T294" s="664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509</v>
      </c>
      <c r="AG294" s="75"/>
      <c r="AJ294" s="79" t="s">
        <v>46</v>
      </c>
      <c r="AK294" s="79">
        <v>0</v>
      </c>
      <c r="BB294" s="394" t="s">
        <v>66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hidden="1" x14ac:dyDescent="0.25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4"/>
      <c r="AB295" s="64"/>
      <c r="AC295" s="64"/>
    </row>
    <row r="296" spans="1:68" hidden="1" x14ac:dyDescent="0.25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0" t="s">
        <v>0</v>
      </c>
      <c r="X296" s="41">
        <f>IFERROR(SUM(X283:X294),"0")</f>
        <v>0</v>
      </c>
      <c r="Y296" s="41">
        <f>IFERROR(SUM(Y283:Y294),"0")</f>
        <v>0</v>
      </c>
      <c r="Z296" s="40"/>
      <c r="AA296" s="64"/>
      <c r="AB296" s="64"/>
      <c r="AC296" s="64"/>
    </row>
    <row r="297" spans="1:68" ht="14.25" hidden="1" customHeight="1" x14ac:dyDescent="0.25">
      <c r="A297" s="660" t="s">
        <v>172</v>
      </c>
      <c r="B297" s="660"/>
      <c r="C297" s="660"/>
      <c r="D297" s="660"/>
      <c r="E297" s="660"/>
      <c r="F297" s="660"/>
      <c r="G297" s="660"/>
      <c r="H297" s="660"/>
      <c r="I297" s="660"/>
      <c r="J297" s="660"/>
      <c r="K297" s="660"/>
      <c r="L297" s="660"/>
      <c r="M297" s="660"/>
      <c r="N297" s="660"/>
      <c r="O297" s="660"/>
      <c r="P297" s="660"/>
      <c r="Q297" s="660"/>
      <c r="R297" s="660"/>
      <c r="S297" s="660"/>
      <c r="T297" s="660"/>
      <c r="U297" s="660"/>
      <c r="V297" s="660"/>
      <c r="W297" s="660"/>
      <c r="X297" s="660"/>
      <c r="Y297" s="660"/>
      <c r="Z297" s="660"/>
      <c r="AA297" s="63"/>
      <c r="AB297" s="63"/>
      <c r="AC297" s="63"/>
    </row>
    <row r="298" spans="1:68" ht="27" hidden="1" customHeight="1" x14ac:dyDescent="0.25">
      <c r="A298" s="60" t="s">
        <v>510</v>
      </c>
      <c r="B298" s="60" t="s">
        <v>511</v>
      </c>
      <c r="C298" s="34">
        <v>4301060463</v>
      </c>
      <c r="D298" s="661">
        <v>4680115880818</v>
      </c>
      <c r="E298" s="661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96</v>
      </c>
      <c r="N298" s="36"/>
      <c r="O298" s="35">
        <v>40</v>
      </c>
      <c r="P298" s="78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3"/>
      <c r="R298" s="663"/>
      <c r="S298" s="663"/>
      <c r="T298" s="664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512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513</v>
      </c>
      <c r="B299" s="60" t="s">
        <v>514</v>
      </c>
      <c r="C299" s="34">
        <v>4301060389</v>
      </c>
      <c r="D299" s="661">
        <v>4680115880801</v>
      </c>
      <c r="E299" s="661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90</v>
      </c>
      <c r="L299" s="35" t="s">
        <v>46</v>
      </c>
      <c r="M299" s="36" t="s">
        <v>89</v>
      </c>
      <c r="N299" s="36"/>
      <c r="O299" s="35">
        <v>40</v>
      </c>
      <c r="P299" s="7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3"/>
      <c r="R299" s="663"/>
      <c r="S299" s="663"/>
      <c r="T299" s="664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46</v>
      </c>
      <c r="AB299" s="66" t="s">
        <v>46</v>
      </c>
      <c r="AC299" s="397" t="s">
        <v>515</v>
      </c>
      <c r="AG299" s="75"/>
      <c r="AJ299" s="79" t="s">
        <v>46</v>
      </c>
      <c r="AK299" s="79">
        <v>0</v>
      </c>
      <c r="BB299" s="398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idden="1" x14ac:dyDescent="0.25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2"/>
      <c r="P300" s="648" t="s">
        <v>40</v>
      </c>
      <c r="Q300" s="649"/>
      <c r="R300" s="649"/>
      <c r="S300" s="649"/>
      <c r="T300" s="649"/>
      <c r="U300" s="649"/>
      <c r="V300" s="650"/>
      <c r="W300" s="40" t="s">
        <v>39</v>
      </c>
      <c r="X300" s="41">
        <f>IFERROR(X298/H298,"0")+IFERROR(X299/H299,"0")</f>
        <v>0</v>
      </c>
      <c r="Y300" s="41">
        <f>IFERROR(Y298/H298,"0")+IFERROR(Y299/H299,"0")</f>
        <v>0</v>
      </c>
      <c r="Z300" s="41">
        <f>IFERROR(IF(Z298="",0,Z298),"0")+IFERROR(IF(Z299="",0,Z299),"0")</f>
        <v>0</v>
      </c>
      <c r="AA300" s="64"/>
      <c r="AB300" s="64"/>
      <c r="AC300" s="64"/>
    </row>
    <row r="301" spans="1:68" hidden="1" x14ac:dyDescent="0.25">
      <c r="A301" s="651"/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2"/>
      <c r="P301" s="648" t="s">
        <v>40</v>
      </c>
      <c r="Q301" s="649"/>
      <c r="R301" s="649"/>
      <c r="S301" s="649"/>
      <c r="T301" s="649"/>
      <c r="U301" s="649"/>
      <c r="V301" s="650"/>
      <c r="W301" s="40" t="s">
        <v>0</v>
      </c>
      <c r="X301" s="41">
        <f>IFERROR(SUM(X298:X299),"0")</f>
        <v>0</v>
      </c>
      <c r="Y301" s="41">
        <f>IFERROR(SUM(Y298:Y299),"0")</f>
        <v>0</v>
      </c>
      <c r="Z301" s="40"/>
      <c r="AA301" s="64"/>
      <c r="AB301" s="64"/>
      <c r="AC301" s="64"/>
    </row>
    <row r="302" spans="1:68" ht="16.5" hidden="1" customHeight="1" x14ac:dyDescent="0.25">
      <c r="A302" s="667" t="s">
        <v>516</v>
      </c>
      <c r="B302" s="667"/>
      <c r="C302" s="667"/>
      <c r="D302" s="667"/>
      <c r="E302" s="667"/>
      <c r="F302" s="667"/>
      <c r="G302" s="667"/>
      <c r="H302" s="667"/>
      <c r="I302" s="667"/>
      <c r="J302" s="667"/>
      <c r="K302" s="667"/>
      <c r="L302" s="667"/>
      <c r="M302" s="667"/>
      <c r="N302" s="667"/>
      <c r="O302" s="667"/>
      <c r="P302" s="667"/>
      <c r="Q302" s="667"/>
      <c r="R302" s="667"/>
      <c r="S302" s="667"/>
      <c r="T302" s="667"/>
      <c r="U302" s="667"/>
      <c r="V302" s="667"/>
      <c r="W302" s="667"/>
      <c r="X302" s="667"/>
      <c r="Y302" s="667"/>
      <c r="Z302" s="667"/>
      <c r="AA302" s="62"/>
      <c r="AB302" s="62"/>
      <c r="AC302" s="62"/>
    </row>
    <row r="303" spans="1:68" ht="14.25" hidden="1" customHeight="1" x14ac:dyDescent="0.25">
      <c r="A303" s="660" t="s">
        <v>121</v>
      </c>
      <c r="B303" s="660"/>
      <c r="C303" s="660"/>
      <c r="D303" s="660"/>
      <c r="E303" s="660"/>
      <c r="F303" s="660"/>
      <c r="G303" s="660"/>
      <c r="H303" s="660"/>
      <c r="I303" s="660"/>
      <c r="J303" s="660"/>
      <c r="K303" s="660"/>
      <c r="L303" s="660"/>
      <c r="M303" s="660"/>
      <c r="N303" s="660"/>
      <c r="O303" s="660"/>
      <c r="P303" s="660"/>
      <c r="Q303" s="660"/>
      <c r="R303" s="660"/>
      <c r="S303" s="660"/>
      <c r="T303" s="660"/>
      <c r="U303" s="660"/>
      <c r="V303" s="660"/>
      <c r="W303" s="660"/>
      <c r="X303" s="660"/>
      <c r="Y303" s="660"/>
      <c r="Z303" s="660"/>
      <c r="AA303" s="63"/>
      <c r="AB303" s="63"/>
      <c r="AC303" s="63"/>
    </row>
    <row r="304" spans="1:68" ht="27" hidden="1" customHeight="1" x14ac:dyDescent="0.25">
      <c r="A304" s="60" t="s">
        <v>517</v>
      </c>
      <c r="B304" s="60" t="s">
        <v>518</v>
      </c>
      <c r="C304" s="34">
        <v>4301011826</v>
      </c>
      <c r="D304" s="661">
        <v>4680115884137</v>
      </c>
      <c r="E304" s="661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3"/>
      <c r="R304" s="663"/>
      <c r="S304" s="663"/>
      <c r="T304" s="664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519</v>
      </c>
      <c r="AG304" s="75"/>
      <c r="AJ304" s="79" t="s">
        <v>46</v>
      </c>
      <c r="AK304" s="79">
        <v>0</v>
      </c>
      <c r="BB304" s="400" t="s">
        <v>66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520</v>
      </c>
      <c r="B305" s="60" t="s">
        <v>521</v>
      </c>
      <c r="C305" s="34">
        <v>4301011724</v>
      </c>
      <c r="D305" s="661">
        <v>4680115884236</v>
      </c>
      <c r="E305" s="661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3"/>
      <c r="R305" s="663"/>
      <c r="S305" s="663"/>
      <c r="T305" s="664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522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523</v>
      </c>
      <c r="B306" s="60" t="s">
        <v>524</v>
      </c>
      <c r="C306" s="34">
        <v>4301011721</v>
      </c>
      <c r="D306" s="661">
        <v>4680115884175</v>
      </c>
      <c r="E306" s="661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126</v>
      </c>
      <c r="L306" s="35" t="s">
        <v>46</v>
      </c>
      <c r="M306" s="36" t="s">
        <v>125</v>
      </c>
      <c r="N306" s="36"/>
      <c r="O306" s="35">
        <v>55</v>
      </c>
      <c r="P306" s="7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3"/>
      <c r="R306" s="663"/>
      <c r="S306" s="663"/>
      <c r="T306" s="664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377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525</v>
      </c>
      <c r="B307" s="60" t="s">
        <v>526</v>
      </c>
      <c r="C307" s="34">
        <v>4301011824</v>
      </c>
      <c r="D307" s="661">
        <v>4680115884144</v>
      </c>
      <c r="E307" s="661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79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3"/>
      <c r="R307" s="663"/>
      <c r="S307" s="663"/>
      <c r="T307" s="664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519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527</v>
      </c>
      <c r="B308" s="60" t="s">
        <v>528</v>
      </c>
      <c r="C308" s="34">
        <v>4301012149</v>
      </c>
      <c r="D308" s="661">
        <v>4680115886551</v>
      </c>
      <c r="E308" s="661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133</v>
      </c>
      <c r="L308" s="35" t="s">
        <v>46</v>
      </c>
      <c r="M308" s="36" t="s">
        <v>125</v>
      </c>
      <c r="N308" s="36"/>
      <c r="O308" s="35">
        <v>55</v>
      </c>
      <c r="P308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3"/>
      <c r="R308" s="663"/>
      <c r="S308" s="663"/>
      <c r="T308" s="664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66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530</v>
      </c>
      <c r="B309" s="60" t="s">
        <v>531</v>
      </c>
      <c r="C309" s="34">
        <v>4301012228</v>
      </c>
      <c r="D309" s="661">
        <v>4680115887282</v>
      </c>
      <c r="E309" s="661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90</v>
      </c>
      <c r="L309" s="35" t="s">
        <v>46</v>
      </c>
      <c r="M309" s="36" t="s">
        <v>125</v>
      </c>
      <c r="N309" s="36"/>
      <c r="O309" s="35">
        <v>55</v>
      </c>
      <c r="P309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3"/>
      <c r="R309" s="663"/>
      <c r="S309" s="663"/>
      <c r="T309" s="664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532</v>
      </c>
      <c r="AG309" s="75"/>
      <c r="AJ309" s="79" t="s">
        <v>46</v>
      </c>
      <c r="AK309" s="79">
        <v>0</v>
      </c>
      <c r="BB309" s="410" t="s">
        <v>66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533</v>
      </c>
      <c r="B310" s="60" t="s">
        <v>534</v>
      </c>
      <c r="C310" s="34">
        <v>4301011722</v>
      </c>
      <c r="D310" s="661">
        <v>4680115884205</v>
      </c>
      <c r="E310" s="661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133</v>
      </c>
      <c r="L310" s="35" t="s">
        <v>46</v>
      </c>
      <c r="M310" s="36" t="s">
        <v>125</v>
      </c>
      <c r="N310" s="36"/>
      <c r="O310" s="35">
        <v>55</v>
      </c>
      <c r="P310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3"/>
      <c r="R310" s="663"/>
      <c r="S310" s="663"/>
      <c r="T310" s="664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377</v>
      </c>
      <c r="AG310" s="75"/>
      <c r="AJ310" s="79" t="s">
        <v>46</v>
      </c>
      <c r="AK310" s="79">
        <v>0</v>
      </c>
      <c r="BB310" s="412" t="s">
        <v>66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5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5">
      <c r="A312" s="651"/>
      <c r="B312" s="651"/>
      <c r="C312" s="651"/>
      <c r="D312" s="651"/>
      <c r="E312" s="651"/>
      <c r="F312" s="651"/>
      <c r="G312" s="651"/>
      <c r="H312" s="651"/>
      <c r="I312" s="651"/>
      <c r="J312" s="651"/>
      <c r="K312" s="651"/>
      <c r="L312" s="651"/>
      <c r="M312" s="651"/>
      <c r="N312" s="651"/>
      <c r="O312" s="652"/>
      <c r="P312" s="648" t="s">
        <v>40</v>
      </c>
      <c r="Q312" s="649"/>
      <c r="R312" s="649"/>
      <c r="S312" s="649"/>
      <c r="T312" s="649"/>
      <c r="U312" s="649"/>
      <c r="V312" s="650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660" t="s">
        <v>154</v>
      </c>
      <c r="B313" s="660"/>
      <c r="C313" s="660"/>
      <c r="D313" s="660"/>
      <c r="E313" s="660"/>
      <c r="F313" s="660"/>
      <c r="G313" s="660"/>
      <c r="H313" s="660"/>
      <c r="I313" s="660"/>
      <c r="J313" s="660"/>
      <c r="K313" s="660"/>
      <c r="L313" s="660"/>
      <c r="M313" s="660"/>
      <c r="N313" s="660"/>
      <c r="O313" s="660"/>
      <c r="P313" s="660"/>
      <c r="Q313" s="660"/>
      <c r="R313" s="660"/>
      <c r="S313" s="660"/>
      <c r="T313" s="660"/>
      <c r="U313" s="660"/>
      <c r="V313" s="660"/>
      <c r="W313" s="660"/>
      <c r="X313" s="660"/>
      <c r="Y313" s="660"/>
      <c r="Z313" s="660"/>
      <c r="AA313" s="63"/>
      <c r="AB313" s="63"/>
      <c r="AC313" s="63"/>
    </row>
    <row r="314" spans="1:68" ht="27" hidden="1" customHeight="1" x14ac:dyDescent="0.25">
      <c r="A314" s="60" t="s">
        <v>535</v>
      </c>
      <c r="B314" s="60" t="s">
        <v>536</v>
      </c>
      <c r="C314" s="34">
        <v>4301020377</v>
      </c>
      <c r="D314" s="661">
        <v>4680115885981</v>
      </c>
      <c r="E314" s="661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81</v>
      </c>
      <c r="L314" s="35" t="s">
        <v>46</v>
      </c>
      <c r="M314" s="36" t="s">
        <v>89</v>
      </c>
      <c r="N314" s="36"/>
      <c r="O314" s="35">
        <v>50</v>
      </c>
      <c r="P314" s="7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3"/>
      <c r="R314" s="663"/>
      <c r="S314" s="663"/>
      <c r="T314" s="664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537</v>
      </c>
      <c r="AG314" s="75"/>
      <c r="AJ314" s="79" t="s">
        <v>46</v>
      </c>
      <c r="AK314" s="79">
        <v>0</v>
      </c>
      <c r="BB314" s="414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5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5">
      <c r="A316" s="651"/>
      <c r="B316" s="651"/>
      <c r="C316" s="651"/>
      <c r="D316" s="651"/>
      <c r="E316" s="651"/>
      <c r="F316" s="651"/>
      <c r="G316" s="651"/>
      <c r="H316" s="651"/>
      <c r="I316" s="651"/>
      <c r="J316" s="651"/>
      <c r="K316" s="651"/>
      <c r="L316" s="651"/>
      <c r="M316" s="651"/>
      <c r="N316" s="651"/>
      <c r="O316" s="652"/>
      <c r="P316" s="648" t="s">
        <v>40</v>
      </c>
      <c r="Q316" s="649"/>
      <c r="R316" s="649"/>
      <c r="S316" s="649"/>
      <c r="T316" s="649"/>
      <c r="U316" s="649"/>
      <c r="V316" s="650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660" t="s">
        <v>538</v>
      </c>
      <c r="B317" s="660"/>
      <c r="C317" s="660"/>
      <c r="D317" s="660"/>
      <c r="E317" s="660"/>
      <c r="F317" s="660"/>
      <c r="G317" s="660"/>
      <c r="H317" s="660"/>
      <c r="I317" s="660"/>
      <c r="J317" s="660"/>
      <c r="K317" s="660"/>
      <c r="L317" s="660"/>
      <c r="M317" s="660"/>
      <c r="N317" s="660"/>
      <c r="O317" s="660"/>
      <c r="P317" s="660"/>
      <c r="Q317" s="660"/>
      <c r="R317" s="660"/>
      <c r="S317" s="660"/>
      <c r="T317" s="660"/>
      <c r="U317" s="660"/>
      <c r="V317" s="660"/>
      <c r="W317" s="660"/>
      <c r="X317" s="660"/>
      <c r="Y317" s="660"/>
      <c r="Z317" s="660"/>
      <c r="AA317" s="63"/>
      <c r="AB317" s="63"/>
      <c r="AC317" s="63"/>
    </row>
    <row r="318" spans="1:68" ht="27" hidden="1" customHeight="1" x14ac:dyDescent="0.25">
      <c r="A318" s="60" t="s">
        <v>539</v>
      </c>
      <c r="B318" s="60" t="s">
        <v>540</v>
      </c>
      <c r="C318" s="34">
        <v>4301040362</v>
      </c>
      <c r="D318" s="661">
        <v>4680115886803</v>
      </c>
      <c r="E318" s="661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354</v>
      </c>
      <c r="L318" s="35" t="s">
        <v>46</v>
      </c>
      <c r="M318" s="36" t="s">
        <v>293</v>
      </c>
      <c r="N318" s="36"/>
      <c r="O318" s="35">
        <v>45</v>
      </c>
      <c r="P318" s="7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3"/>
      <c r="R318" s="663"/>
      <c r="S318" s="663"/>
      <c r="T318" s="664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541</v>
      </c>
      <c r="AG318" s="75"/>
      <c r="AJ318" s="79" t="s">
        <v>46</v>
      </c>
      <c r="AK318" s="79">
        <v>0</v>
      </c>
      <c r="BB318" s="416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5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52"/>
      <c r="P319" s="648" t="s">
        <v>40</v>
      </c>
      <c r="Q319" s="649"/>
      <c r="R319" s="649"/>
      <c r="S319" s="649"/>
      <c r="T319" s="649"/>
      <c r="U319" s="649"/>
      <c r="V319" s="650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5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60" t="s">
        <v>355</v>
      </c>
      <c r="B321" s="660"/>
      <c r="C321" s="660"/>
      <c r="D321" s="660"/>
      <c r="E321" s="660"/>
      <c r="F321" s="660"/>
      <c r="G321" s="660"/>
      <c r="H321" s="660"/>
      <c r="I321" s="660"/>
      <c r="J321" s="660"/>
      <c r="K321" s="660"/>
      <c r="L321" s="660"/>
      <c r="M321" s="660"/>
      <c r="N321" s="660"/>
      <c r="O321" s="660"/>
      <c r="P321" s="660"/>
      <c r="Q321" s="660"/>
      <c r="R321" s="660"/>
      <c r="S321" s="660"/>
      <c r="T321" s="660"/>
      <c r="U321" s="660"/>
      <c r="V321" s="660"/>
      <c r="W321" s="660"/>
      <c r="X321" s="660"/>
      <c r="Y321" s="660"/>
      <c r="Z321" s="660"/>
      <c r="AA321" s="63"/>
      <c r="AB321" s="63"/>
      <c r="AC321" s="63"/>
    </row>
    <row r="322" spans="1:68" ht="27" hidden="1" customHeight="1" x14ac:dyDescent="0.25">
      <c r="A322" s="60" t="s">
        <v>542</v>
      </c>
      <c r="B322" s="60" t="s">
        <v>543</v>
      </c>
      <c r="C322" s="34">
        <v>4301041004</v>
      </c>
      <c r="D322" s="661">
        <v>4680115886704</v>
      </c>
      <c r="E322" s="661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354</v>
      </c>
      <c r="L322" s="35" t="s">
        <v>46</v>
      </c>
      <c r="M322" s="36" t="s">
        <v>293</v>
      </c>
      <c r="N322" s="36"/>
      <c r="O322" s="35">
        <v>90</v>
      </c>
      <c r="P322" s="7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3"/>
      <c r="R322" s="663"/>
      <c r="S322" s="663"/>
      <c r="T322" s="664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544</v>
      </c>
      <c r="AG322" s="75"/>
      <c r="AJ322" s="79" t="s">
        <v>46</v>
      </c>
      <c r="AK322" s="79">
        <v>0</v>
      </c>
      <c r="BB322" s="418" t="s">
        <v>66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545</v>
      </c>
      <c r="B323" s="60" t="s">
        <v>546</v>
      </c>
      <c r="C323" s="34">
        <v>4301041008</v>
      </c>
      <c r="D323" s="661">
        <v>4680115886681</v>
      </c>
      <c r="E323" s="661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354</v>
      </c>
      <c r="L323" s="35" t="s">
        <v>46</v>
      </c>
      <c r="M323" s="36" t="s">
        <v>293</v>
      </c>
      <c r="N323" s="36"/>
      <c r="O323" s="35">
        <v>90</v>
      </c>
      <c r="P323" s="7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3"/>
      <c r="R323" s="663"/>
      <c r="S323" s="663"/>
      <c r="T323" s="664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544</v>
      </c>
      <c r="AG323" s="75"/>
      <c r="AJ323" s="79" t="s">
        <v>46</v>
      </c>
      <c r="AK323" s="79">
        <v>0</v>
      </c>
      <c r="BB323" s="420" t="s">
        <v>66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547</v>
      </c>
      <c r="B324" s="60" t="s">
        <v>548</v>
      </c>
      <c r="C324" s="34">
        <v>4301041007</v>
      </c>
      <c r="D324" s="661">
        <v>4680115886735</v>
      </c>
      <c r="E324" s="661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354</v>
      </c>
      <c r="L324" s="35" t="s">
        <v>46</v>
      </c>
      <c r="M324" s="36" t="s">
        <v>293</v>
      </c>
      <c r="N324" s="36"/>
      <c r="O324" s="35">
        <v>90</v>
      </c>
      <c r="P324" s="7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3"/>
      <c r="R324" s="663"/>
      <c r="S324" s="663"/>
      <c r="T324" s="664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544</v>
      </c>
      <c r="AG324" s="75"/>
      <c r="AJ324" s="79" t="s">
        <v>46</v>
      </c>
      <c r="AK324" s="79">
        <v>0</v>
      </c>
      <c r="BB324" s="422" t="s">
        <v>66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5">
      <c r="A325" s="651"/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2"/>
      <c r="P325" s="648" t="s">
        <v>40</v>
      </c>
      <c r="Q325" s="649"/>
      <c r="R325" s="649"/>
      <c r="S325" s="649"/>
      <c r="T325" s="649"/>
      <c r="U325" s="649"/>
      <c r="V325" s="650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5">
      <c r="A326" s="651"/>
      <c r="B326" s="651"/>
      <c r="C326" s="651"/>
      <c r="D326" s="651"/>
      <c r="E326" s="651"/>
      <c r="F326" s="651"/>
      <c r="G326" s="651"/>
      <c r="H326" s="651"/>
      <c r="I326" s="651"/>
      <c r="J326" s="651"/>
      <c r="K326" s="651"/>
      <c r="L326" s="651"/>
      <c r="M326" s="651"/>
      <c r="N326" s="651"/>
      <c r="O326" s="652"/>
      <c r="P326" s="648" t="s">
        <v>40</v>
      </c>
      <c r="Q326" s="649"/>
      <c r="R326" s="649"/>
      <c r="S326" s="649"/>
      <c r="T326" s="649"/>
      <c r="U326" s="649"/>
      <c r="V326" s="650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667" t="s">
        <v>549</v>
      </c>
      <c r="B327" s="667"/>
      <c r="C327" s="667"/>
      <c r="D327" s="667"/>
      <c r="E327" s="667"/>
      <c r="F327" s="667"/>
      <c r="G327" s="667"/>
      <c r="H327" s="667"/>
      <c r="I327" s="667"/>
      <c r="J327" s="667"/>
      <c r="K327" s="667"/>
      <c r="L327" s="667"/>
      <c r="M327" s="667"/>
      <c r="N327" s="667"/>
      <c r="O327" s="667"/>
      <c r="P327" s="667"/>
      <c r="Q327" s="667"/>
      <c r="R327" s="667"/>
      <c r="S327" s="667"/>
      <c r="T327" s="667"/>
      <c r="U327" s="667"/>
      <c r="V327" s="667"/>
      <c r="W327" s="667"/>
      <c r="X327" s="667"/>
      <c r="Y327" s="667"/>
      <c r="Z327" s="667"/>
      <c r="AA327" s="62"/>
      <c r="AB327" s="62"/>
      <c r="AC327" s="62"/>
    </row>
    <row r="328" spans="1:68" ht="14.25" hidden="1" customHeight="1" x14ac:dyDescent="0.25">
      <c r="A328" s="660" t="s">
        <v>121</v>
      </c>
      <c r="B328" s="660"/>
      <c r="C328" s="660"/>
      <c r="D328" s="660"/>
      <c r="E328" s="660"/>
      <c r="F328" s="660"/>
      <c r="G328" s="660"/>
      <c r="H328" s="660"/>
      <c r="I328" s="660"/>
      <c r="J328" s="660"/>
      <c r="K328" s="660"/>
      <c r="L328" s="660"/>
      <c r="M328" s="660"/>
      <c r="N328" s="660"/>
      <c r="O328" s="660"/>
      <c r="P328" s="660"/>
      <c r="Q328" s="660"/>
      <c r="R328" s="660"/>
      <c r="S328" s="660"/>
      <c r="T328" s="660"/>
      <c r="U328" s="660"/>
      <c r="V328" s="660"/>
      <c r="W328" s="660"/>
      <c r="X328" s="660"/>
      <c r="Y328" s="660"/>
      <c r="Z328" s="660"/>
      <c r="AA328" s="63"/>
      <c r="AB328" s="63"/>
      <c r="AC328" s="63"/>
    </row>
    <row r="329" spans="1:68" ht="27" hidden="1" customHeight="1" x14ac:dyDescent="0.25">
      <c r="A329" s="60" t="s">
        <v>550</v>
      </c>
      <c r="B329" s="60" t="s">
        <v>551</v>
      </c>
      <c r="C329" s="34">
        <v>4301011855</v>
      </c>
      <c r="D329" s="661">
        <v>4680115885837</v>
      </c>
      <c r="E329" s="661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7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3"/>
      <c r="R329" s="663"/>
      <c r="S329" s="663"/>
      <c r="T329" s="664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4301012234</v>
      </c>
      <c r="D330" s="661">
        <v>4680115887237</v>
      </c>
      <c r="E330" s="661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126</v>
      </c>
      <c r="L330" s="35" t="s">
        <v>46</v>
      </c>
      <c r="M330" s="36" t="s">
        <v>125</v>
      </c>
      <c r="N330" s="36"/>
      <c r="O330" s="35">
        <v>55</v>
      </c>
      <c r="P330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3"/>
      <c r="R330" s="663"/>
      <c r="S330" s="663"/>
      <c r="T330" s="664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556</v>
      </c>
      <c r="B331" s="60" t="s">
        <v>557</v>
      </c>
      <c r="C331" s="34">
        <v>4301011850</v>
      </c>
      <c r="D331" s="661">
        <v>4680115885806</v>
      </c>
      <c r="E331" s="661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126</v>
      </c>
      <c r="L331" s="35" t="s">
        <v>46</v>
      </c>
      <c r="M331" s="36" t="s">
        <v>125</v>
      </c>
      <c r="N331" s="36"/>
      <c r="O331" s="35">
        <v>55</v>
      </c>
      <c r="P331" s="7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3"/>
      <c r="R331" s="663"/>
      <c r="S331" s="663"/>
      <c r="T331" s="664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558</v>
      </c>
      <c r="AG331" s="75"/>
      <c r="AJ331" s="79" t="s">
        <v>46</v>
      </c>
      <c r="AK331" s="79">
        <v>0</v>
      </c>
      <c r="BB331" s="428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559</v>
      </c>
      <c r="B332" s="60" t="s">
        <v>560</v>
      </c>
      <c r="C332" s="34">
        <v>4301011852</v>
      </c>
      <c r="D332" s="661">
        <v>4680115885844</v>
      </c>
      <c r="E332" s="661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133</v>
      </c>
      <c r="L332" s="35" t="s">
        <v>46</v>
      </c>
      <c r="M332" s="36" t="s">
        <v>125</v>
      </c>
      <c r="N332" s="36"/>
      <c r="O332" s="35">
        <v>55</v>
      </c>
      <c r="P332" s="7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3"/>
      <c r="R332" s="663"/>
      <c r="S332" s="663"/>
      <c r="T332" s="664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561</v>
      </c>
      <c r="AG332" s="75"/>
      <c r="AJ332" s="79" t="s">
        <v>46</v>
      </c>
      <c r="AK332" s="79">
        <v>0</v>
      </c>
      <c r="BB332" s="430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562</v>
      </c>
      <c r="B333" s="60" t="s">
        <v>563</v>
      </c>
      <c r="C333" s="34">
        <v>4301011851</v>
      </c>
      <c r="D333" s="661">
        <v>4680115885820</v>
      </c>
      <c r="E333" s="661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133</v>
      </c>
      <c r="L333" s="35" t="s">
        <v>46</v>
      </c>
      <c r="M333" s="36" t="s">
        <v>125</v>
      </c>
      <c r="N333" s="36"/>
      <c r="O333" s="35">
        <v>55</v>
      </c>
      <c r="P333" s="77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3"/>
      <c r="R333" s="663"/>
      <c r="S333" s="663"/>
      <c r="T333" s="664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564</v>
      </c>
      <c r="AG333" s="75"/>
      <c r="AJ333" s="79" t="s">
        <v>46</v>
      </c>
      <c r="AK333" s="79">
        <v>0</v>
      </c>
      <c r="BB333" s="432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5">
      <c r="A334" s="651"/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2"/>
      <c r="P334" s="648" t="s">
        <v>40</v>
      </c>
      <c r="Q334" s="649"/>
      <c r="R334" s="649"/>
      <c r="S334" s="649"/>
      <c r="T334" s="649"/>
      <c r="U334" s="649"/>
      <c r="V334" s="650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5">
      <c r="A335" s="651"/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2"/>
      <c r="P335" s="648" t="s">
        <v>40</v>
      </c>
      <c r="Q335" s="649"/>
      <c r="R335" s="649"/>
      <c r="S335" s="649"/>
      <c r="T335" s="649"/>
      <c r="U335" s="649"/>
      <c r="V335" s="650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67" t="s">
        <v>565</v>
      </c>
      <c r="B336" s="667"/>
      <c r="C336" s="667"/>
      <c r="D336" s="667"/>
      <c r="E336" s="667"/>
      <c r="F336" s="667"/>
      <c r="G336" s="667"/>
      <c r="H336" s="667"/>
      <c r="I336" s="667"/>
      <c r="J336" s="667"/>
      <c r="K336" s="667"/>
      <c r="L336" s="667"/>
      <c r="M336" s="667"/>
      <c r="N336" s="667"/>
      <c r="O336" s="667"/>
      <c r="P336" s="667"/>
      <c r="Q336" s="667"/>
      <c r="R336" s="667"/>
      <c r="S336" s="667"/>
      <c r="T336" s="667"/>
      <c r="U336" s="667"/>
      <c r="V336" s="667"/>
      <c r="W336" s="667"/>
      <c r="X336" s="667"/>
      <c r="Y336" s="667"/>
      <c r="Z336" s="667"/>
      <c r="AA336" s="62"/>
      <c r="AB336" s="62"/>
      <c r="AC336" s="62"/>
    </row>
    <row r="337" spans="1:68" ht="14.25" hidden="1" customHeight="1" x14ac:dyDescent="0.25">
      <c r="A337" s="660" t="s">
        <v>85</v>
      </c>
      <c r="B337" s="660"/>
      <c r="C337" s="660"/>
      <c r="D337" s="660"/>
      <c r="E337" s="660"/>
      <c r="F337" s="660"/>
      <c r="G337" s="660"/>
      <c r="H337" s="660"/>
      <c r="I337" s="660"/>
      <c r="J337" s="660"/>
      <c r="K337" s="660"/>
      <c r="L337" s="660"/>
      <c r="M337" s="660"/>
      <c r="N337" s="660"/>
      <c r="O337" s="660"/>
      <c r="P337" s="660"/>
      <c r="Q337" s="660"/>
      <c r="R337" s="660"/>
      <c r="S337" s="660"/>
      <c r="T337" s="660"/>
      <c r="U337" s="660"/>
      <c r="V337" s="660"/>
      <c r="W337" s="660"/>
      <c r="X337" s="660"/>
      <c r="Y337" s="660"/>
      <c r="Z337" s="660"/>
      <c r="AA337" s="63"/>
      <c r="AB337" s="63"/>
      <c r="AC337" s="63"/>
    </row>
    <row r="338" spans="1:68" ht="27" hidden="1" customHeight="1" x14ac:dyDescent="0.25">
      <c r="A338" s="60" t="s">
        <v>566</v>
      </c>
      <c r="B338" s="60" t="s">
        <v>567</v>
      </c>
      <c r="C338" s="34">
        <v>4301051893</v>
      </c>
      <c r="D338" s="661">
        <v>4680115886186</v>
      </c>
      <c r="E338" s="661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77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3"/>
      <c r="R338" s="663"/>
      <c r="S338" s="663"/>
      <c r="T338" s="664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568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569</v>
      </c>
      <c r="B339" s="60" t="s">
        <v>570</v>
      </c>
      <c r="C339" s="34">
        <v>4301051795</v>
      </c>
      <c r="D339" s="661">
        <v>4680115881228</v>
      </c>
      <c r="E339" s="661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90</v>
      </c>
      <c r="L339" s="35" t="s">
        <v>46</v>
      </c>
      <c r="M339" s="36" t="s">
        <v>96</v>
      </c>
      <c r="N339" s="36"/>
      <c r="O339" s="35">
        <v>40</v>
      </c>
      <c r="P339" s="77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3"/>
      <c r="R339" s="663"/>
      <c r="S339" s="663"/>
      <c r="T339" s="664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571</v>
      </c>
      <c r="AG339" s="75"/>
      <c r="AJ339" s="79" t="s">
        <v>46</v>
      </c>
      <c r="AK339" s="79">
        <v>0</v>
      </c>
      <c r="BB339" s="436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572</v>
      </c>
      <c r="B340" s="60" t="s">
        <v>573</v>
      </c>
      <c r="C340" s="34">
        <v>4301051388</v>
      </c>
      <c r="D340" s="661">
        <v>4680115881211</v>
      </c>
      <c r="E340" s="661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90</v>
      </c>
      <c r="L340" s="35" t="s">
        <v>46</v>
      </c>
      <c r="M340" s="36" t="s">
        <v>89</v>
      </c>
      <c r="N340" s="36"/>
      <c r="O340" s="35">
        <v>45</v>
      </c>
      <c r="P340" s="7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3"/>
      <c r="R340" s="663"/>
      <c r="S340" s="663"/>
      <c r="T340" s="664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IFERROR(IF(Y340=0,"",ROUNDUP(Y340/H340,0)*0.00651),"")</f>
        <v/>
      </c>
      <c r="AA340" s="65" t="s">
        <v>46</v>
      </c>
      <c r="AB340" s="66" t="s">
        <v>46</v>
      </c>
      <c r="AC340" s="437" t="s">
        <v>568</v>
      </c>
      <c r="AG340" s="75"/>
      <c r="AJ340" s="79" t="s">
        <v>46</v>
      </c>
      <c r="AK340" s="79">
        <v>0</v>
      </c>
      <c r="BB340" s="438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5">
      <c r="A341" s="651"/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2"/>
      <c r="P341" s="648" t="s">
        <v>40</v>
      </c>
      <c r="Q341" s="649"/>
      <c r="R341" s="649"/>
      <c r="S341" s="649"/>
      <c r="T341" s="649"/>
      <c r="U341" s="649"/>
      <c r="V341" s="650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5">
      <c r="A342" s="651"/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2"/>
      <c r="P342" s="648" t="s">
        <v>40</v>
      </c>
      <c r="Q342" s="649"/>
      <c r="R342" s="649"/>
      <c r="S342" s="649"/>
      <c r="T342" s="649"/>
      <c r="U342" s="649"/>
      <c r="V342" s="650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67" t="s">
        <v>574</v>
      </c>
      <c r="B343" s="667"/>
      <c r="C343" s="667"/>
      <c r="D343" s="667"/>
      <c r="E343" s="667"/>
      <c r="F343" s="667"/>
      <c r="G343" s="667"/>
      <c r="H343" s="667"/>
      <c r="I343" s="667"/>
      <c r="J343" s="667"/>
      <c r="K343" s="667"/>
      <c r="L343" s="667"/>
      <c r="M343" s="667"/>
      <c r="N343" s="667"/>
      <c r="O343" s="667"/>
      <c r="P343" s="667"/>
      <c r="Q343" s="667"/>
      <c r="R343" s="667"/>
      <c r="S343" s="667"/>
      <c r="T343" s="667"/>
      <c r="U343" s="667"/>
      <c r="V343" s="667"/>
      <c r="W343" s="667"/>
      <c r="X343" s="667"/>
      <c r="Y343" s="667"/>
      <c r="Z343" s="667"/>
      <c r="AA343" s="62"/>
      <c r="AB343" s="62"/>
      <c r="AC343" s="62"/>
    </row>
    <row r="344" spans="1:68" ht="14.25" hidden="1" customHeight="1" x14ac:dyDescent="0.25">
      <c r="A344" s="660" t="s">
        <v>76</v>
      </c>
      <c r="B344" s="660"/>
      <c r="C344" s="660"/>
      <c r="D344" s="660"/>
      <c r="E344" s="660"/>
      <c r="F344" s="660"/>
      <c r="G344" s="660"/>
      <c r="H344" s="660"/>
      <c r="I344" s="660"/>
      <c r="J344" s="660"/>
      <c r="K344" s="660"/>
      <c r="L344" s="660"/>
      <c r="M344" s="660"/>
      <c r="N344" s="660"/>
      <c r="O344" s="660"/>
      <c r="P344" s="660"/>
      <c r="Q344" s="660"/>
      <c r="R344" s="660"/>
      <c r="S344" s="660"/>
      <c r="T344" s="660"/>
      <c r="U344" s="660"/>
      <c r="V344" s="660"/>
      <c r="W344" s="660"/>
      <c r="X344" s="660"/>
      <c r="Y344" s="660"/>
      <c r="Z344" s="660"/>
      <c r="AA344" s="63"/>
      <c r="AB344" s="63"/>
      <c r="AC344" s="63"/>
    </row>
    <row r="345" spans="1:68" ht="27" hidden="1" customHeight="1" x14ac:dyDescent="0.25">
      <c r="A345" s="60" t="s">
        <v>575</v>
      </c>
      <c r="B345" s="60" t="s">
        <v>576</v>
      </c>
      <c r="C345" s="34">
        <v>4301031445</v>
      </c>
      <c r="D345" s="661">
        <v>4680115888319</v>
      </c>
      <c r="E345" s="661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45</v>
      </c>
      <c r="P345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3"/>
      <c r="R345" s="663"/>
      <c r="S345" s="663"/>
      <c r="T345" s="664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409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4301031502</v>
      </c>
      <c r="D346" s="661">
        <v>4680115884700</v>
      </c>
      <c r="E346" s="661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3"/>
      <c r="R346" s="663"/>
      <c r="S346" s="663"/>
      <c r="T346" s="664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580</v>
      </c>
      <c r="B347" s="60" t="s">
        <v>581</v>
      </c>
      <c r="C347" s="34">
        <v>4301031307</v>
      </c>
      <c r="D347" s="661">
        <v>4680115880344</v>
      </c>
      <c r="E347" s="661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3"/>
      <c r="R347" s="663"/>
      <c r="S347" s="663"/>
      <c r="T347" s="664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582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583</v>
      </c>
      <c r="B348" s="60" t="s">
        <v>584</v>
      </c>
      <c r="C348" s="34">
        <v>4301031501</v>
      </c>
      <c r="D348" s="661">
        <v>4680115886919</v>
      </c>
      <c r="E348" s="661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90</v>
      </c>
      <c r="L348" s="35" t="s">
        <v>46</v>
      </c>
      <c r="M348" s="36" t="s">
        <v>80</v>
      </c>
      <c r="N348" s="36"/>
      <c r="O348" s="35">
        <v>40</v>
      </c>
      <c r="P348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3"/>
      <c r="R348" s="663"/>
      <c r="S348" s="663"/>
      <c r="T348" s="664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585</v>
      </c>
      <c r="AG348" s="75"/>
      <c r="AJ348" s="79" t="s">
        <v>46</v>
      </c>
      <c r="AK348" s="79">
        <v>0</v>
      </c>
      <c r="BB348" s="446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586</v>
      </c>
      <c r="B349" s="60" t="s">
        <v>587</v>
      </c>
      <c r="C349" s="34">
        <v>4301031246</v>
      </c>
      <c r="D349" s="661">
        <v>4680115883970</v>
      </c>
      <c r="E349" s="661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81</v>
      </c>
      <c r="L349" s="35" t="s">
        <v>46</v>
      </c>
      <c r="M349" s="36" t="s">
        <v>80</v>
      </c>
      <c r="N349" s="36"/>
      <c r="O349" s="35">
        <v>40</v>
      </c>
      <c r="P349" s="7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3"/>
      <c r="R349" s="663"/>
      <c r="S349" s="663"/>
      <c r="T349" s="664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588</v>
      </c>
      <c r="AG349" s="75"/>
      <c r="AJ349" s="79" t="s">
        <v>46</v>
      </c>
      <c r="AK349" s="79">
        <v>0</v>
      </c>
      <c r="BB349" s="44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5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5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660" t="s">
        <v>85</v>
      </c>
      <c r="B352" s="660"/>
      <c r="C352" s="660"/>
      <c r="D352" s="660"/>
      <c r="E352" s="660"/>
      <c r="F352" s="660"/>
      <c r="G352" s="660"/>
      <c r="H352" s="660"/>
      <c r="I352" s="660"/>
      <c r="J352" s="660"/>
      <c r="K352" s="660"/>
      <c r="L352" s="660"/>
      <c r="M352" s="660"/>
      <c r="N352" s="660"/>
      <c r="O352" s="660"/>
      <c r="P352" s="660"/>
      <c r="Q352" s="660"/>
      <c r="R352" s="660"/>
      <c r="S352" s="660"/>
      <c r="T352" s="660"/>
      <c r="U352" s="660"/>
      <c r="V352" s="660"/>
      <c r="W352" s="660"/>
      <c r="X352" s="660"/>
      <c r="Y352" s="660"/>
      <c r="Z352" s="660"/>
      <c r="AA352" s="63"/>
      <c r="AB352" s="63"/>
      <c r="AC352" s="63"/>
    </row>
    <row r="353" spans="1:68" ht="27" hidden="1" customHeight="1" x14ac:dyDescent="0.25">
      <c r="A353" s="60" t="s">
        <v>589</v>
      </c>
      <c r="B353" s="60" t="s">
        <v>590</v>
      </c>
      <c r="C353" s="34">
        <v>4301051782</v>
      </c>
      <c r="D353" s="661">
        <v>4680115884618</v>
      </c>
      <c r="E353" s="661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133</v>
      </c>
      <c r="L353" s="35" t="s">
        <v>46</v>
      </c>
      <c r="M353" s="36" t="s">
        <v>89</v>
      </c>
      <c r="N353" s="36"/>
      <c r="O353" s="35">
        <v>45</v>
      </c>
      <c r="P353" s="76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3"/>
      <c r="R353" s="663"/>
      <c r="S353" s="663"/>
      <c r="T353" s="664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591</v>
      </c>
      <c r="AG353" s="75"/>
      <c r="AJ353" s="79" t="s">
        <v>46</v>
      </c>
      <c r="AK353" s="79">
        <v>0</v>
      </c>
      <c r="BB353" s="450" t="s">
        <v>66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592</v>
      </c>
      <c r="B354" s="60" t="s">
        <v>593</v>
      </c>
      <c r="C354" s="34">
        <v>4301052057</v>
      </c>
      <c r="D354" s="661">
        <v>4680115887114</v>
      </c>
      <c r="E354" s="661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133</v>
      </c>
      <c r="L354" s="35" t="s">
        <v>46</v>
      </c>
      <c r="M354" s="36" t="s">
        <v>89</v>
      </c>
      <c r="N354" s="36"/>
      <c r="O354" s="35">
        <v>45</v>
      </c>
      <c r="P354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3"/>
      <c r="R354" s="663"/>
      <c r="S354" s="663"/>
      <c r="T354" s="664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594</v>
      </c>
      <c r="AG354" s="75"/>
      <c r="AJ354" s="79" t="s">
        <v>46</v>
      </c>
      <c r="AK354" s="79">
        <v>0</v>
      </c>
      <c r="BB354" s="452" t="s">
        <v>66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5">
      <c r="A355" s="651"/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2"/>
      <c r="P355" s="648" t="s">
        <v>40</v>
      </c>
      <c r="Q355" s="649"/>
      <c r="R355" s="649"/>
      <c r="S355" s="649"/>
      <c r="T355" s="649"/>
      <c r="U355" s="649"/>
      <c r="V355" s="650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5">
      <c r="A356" s="651"/>
      <c r="B356" s="651"/>
      <c r="C356" s="651"/>
      <c r="D356" s="651"/>
      <c r="E356" s="651"/>
      <c r="F356" s="651"/>
      <c r="G356" s="651"/>
      <c r="H356" s="651"/>
      <c r="I356" s="651"/>
      <c r="J356" s="651"/>
      <c r="K356" s="651"/>
      <c r="L356" s="651"/>
      <c r="M356" s="651"/>
      <c r="N356" s="651"/>
      <c r="O356" s="652"/>
      <c r="P356" s="648" t="s">
        <v>40</v>
      </c>
      <c r="Q356" s="649"/>
      <c r="R356" s="649"/>
      <c r="S356" s="649"/>
      <c r="T356" s="649"/>
      <c r="U356" s="649"/>
      <c r="V356" s="650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67" t="s">
        <v>595</v>
      </c>
      <c r="B357" s="667"/>
      <c r="C357" s="667"/>
      <c r="D357" s="667"/>
      <c r="E357" s="667"/>
      <c r="F357" s="667"/>
      <c r="G357" s="667"/>
      <c r="H357" s="667"/>
      <c r="I357" s="667"/>
      <c r="J357" s="667"/>
      <c r="K357" s="667"/>
      <c r="L357" s="667"/>
      <c r="M357" s="667"/>
      <c r="N357" s="667"/>
      <c r="O357" s="667"/>
      <c r="P357" s="667"/>
      <c r="Q357" s="667"/>
      <c r="R357" s="667"/>
      <c r="S357" s="667"/>
      <c r="T357" s="667"/>
      <c r="U357" s="667"/>
      <c r="V357" s="667"/>
      <c r="W357" s="667"/>
      <c r="X357" s="667"/>
      <c r="Y357" s="667"/>
      <c r="Z357" s="667"/>
      <c r="AA357" s="62"/>
      <c r="AB357" s="62"/>
      <c r="AC357" s="62"/>
    </row>
    <row r="358" spans="1:68" ht="14.25" hidden="1" customHeight="1" x14ac:dyDescent="0.25">
      <c r="A358" s="660" t="s">
        <v>121</v>
      </c>
      <c r="B358" s="660"/>
      <c r="C358" s="660"/>
      <c r="D358" s="660"/>
      <c r="E358" s="660"/>
      <c r="F358" s="660"/>
      <c r="G358" s="660"/>
      <c r="H358" s="660"/>
      <c r="I358" s="660"/>
      <c r="J358" s="660"/>
      <c r="K358" s="660"/>
      <c r="L358" s="660"/>
      <c r="M358" s="660"/>
      <c r="N358" s="660"/>
      <c r="O358" s="660"/>
      <c r="P358" s="660"/>
      <c r="Q358" s="660"/>
      <c r="R358" s="660"/>
      <c r="S358" s="660"/>
      <c r="T358" s="660"/>
      <c r="U358" s="660"/>
      <c r="V358" s="660"/>
      <c r="W358" s="660"/>
      <c r="X358" s="660"/>
      <c r="Y358" s="660"/>
      <c r="Z358" s="660"/>
      <c r="AA358" s="63"/>
      <c r="AB358" s="63"/>
      <c r="AC358" s="63"/>
    </row>
    <row r="359" spans="1:68" ht="27" hidden="1" customHeight="1" x14ac:dyDescent="0.25">
      <c r="A359" s="60" t="s">
        <v>596</v>
      </c>
      <c r="B359" s="60" t="s">
        <v>597</v>
      </c>
      <c r="C359" s="34">
        <v>4301012324</v>
      </c>
      <c r="D359" s="661">
        <v>4680115887947</v>
      </c>
      <c r="E359" s="661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76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3"/>
      <c r="R359" s="663"/>
      <c r="S359" s="663"/>
      <c r="T359" s="664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368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598</v>
      </c>
      <c r="B360" s="60" t="s">
        <v>599</v>
      </c>
      <c r="C360" s="34">
        <v>4301012325</v>
      </c>
      <c r="D360" s="661">
        <v>4680115887978</v>
      </c>
      <c r="E360" s="661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126</v>
      </c>
      <c r="L360" s="35" t="s">
        <v>46</v>
      </c>
      <c r="M360" s="36" t="s">
        <v>89</v>
      </c>
      <c r="N360" s="36"/>
      <c r="O360" s="35">
        <v>60</v>
      </c>
      <c r="P360" s="76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3"/>
      <c r="R360" s="663"/>
      <c r="S360" s="663"/>
      <c r="T360" s="664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600</v>
      </c>
      <c r="AG360" s="75"/>
      <c r="AJ360" s="79" t="s">
        <v>46</v>
      </c>
      <c r="AK360" s="79">
        <v>0</v>
      </c>
      <c r="BB360" s="456" t="s">
        <v>66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601</v>
      </c>
      <c r="B361" s="60" t="s">
        <v>602</v>
      </c>
      <c r="C361" s="34">
        <v>4301012327</v>
      </c>
      <c r="D361" s="661">
        <v>4680115887992</v>
      </c>
      <c r="E361" s="661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126</v>
      </c>
      <c r="L361" s="35" t="s">
        <v>46</v>
      </c>
      <c r="M361" s="36" t="s">
        <v>89</v>
      </c>
      <c r="N361" s="36"/>
      <c r="O361" s="35">
        <v>60</v>
      </c>
      <c r="P361" s="75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3"/>
      <c r="R361" s="663"/>
      <c r="S361" s="663"/>
      <c r="T361" s="664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603</v>
      </c>
      <c r="AG361" s="75"/>
      <c r="AJ361" s="79" t="s">
        <v>46</v>
      </c>
      <c r="AK361" s="79">
        <v>0</v>
      </c>
      <c r="BB361" s="458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5">
      <c r="A362" s="651"/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2"/>
      <c r="P362" s="648" t="s">
        <v>40</v>
      </c>
      <c r="Q362" s="649"/>
      <c r="R362" s="649"/>
      <c r="S362" s="649"/>
      <c r="T362" s="649"/>
      <c r="U362" s="649"/>
      <c r="V362" s="650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5">
      <c r="A363" s="651"/>
      <c r="B363" s="651"/>
      <c r="C363" s="651"/>
      <c r="D363" s="651"/>
      <c r="E363" s="651"/>
      <c r="F363" s="651"/>
      <c r="G363" s="651"/>
      <c r="H363" s="651"/>
      <c r="I363" s="651"/>
      <c r="J363" s="651"/>
      <c r="K363" s="651"/>
      <c r="L363" s="651"/>
      <c r="M363" s="651"/>
      <c r="N363" s="651"/>
      <c r="O363" s="652"/>
      <c r="P363" s="648" t="s">
        <v>40</v>
      </c>
      <c r="Q363" s="649"/>
      <c r="R363" s="649"/>
      <c r="S363" s="649"/>
      <c r="T363" s="649"/>
      <c r="U363" s="649"/>
      <c r="V363" s="650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667" t="s">
        <v>604</v>
      </c>
      <c r="B364" s="667"/>
      <c r="C364" s="667"/>
      <c r="D364" s="667"/>
      <c r="E364" s="667"/>
      <c r="F364" s="667"/>
      <c r="G364" s="667"/>
      <c r="H364" s="667"/>
      <c r="I364" s="667"/>
      <c r="J364" s="667"/>
      <c r="K364" s="667"/>
      <c r="L364" s="667"/>
      <c r="M364" s="667"/>
      <c r="N364" s="667"/>
      <c r="O364" s="667"/>
      <c r="P364" s="667"/>
      <c r="Q364" s="667"/>
      <c r="R364" s="667"/>
      <c r="S364" s="667"/>
      <c r="T364" s="667"/>
      <c r="U364" s="667"/>
      <c r="V364" s="667"/>
      <c r="W364" s="667"/>
      <c r="X364" s="667"/>
      <c r="Y364" s="667"/>
      <c r="Z364" s="667"/>
      <c r="AA364" s="62"/>
      <c r="AB364" s="62"/>
      <c r="AC364" s="62"/>
    </row>
    <row r="365" spans="1:68" ht="14.25" hidden="1" customHeight="1" x14ac:dyDescent="0.25">
      <c r="A365" s="660" t="s">
        <v>121</v>
      </c>
      <c r="B365" s="660"/>
      <c r="C365" s="660"/>
      <c r="D365" s="660"/>
      <c r="E365" s="660"/>
      <c r="F365" s="660"/>
      <c r="G365" s="660"/>
      <c r="H365" s="660"/>
      <c r="I365" s="660"/>
      <c r="J365" s="660"/>
      <c r="K365" s="660"/>
      <c r="L365" s="660"/>
      <c r="M365" s="660"/>
      <c r="N365" s="660"/>
      <c r="O365" s="660"/>
      <c r="P365" s="660"/>
      <c r="Q365" s="660"/>
      <c r="R365" s="660"/>
      <c r="S365" s="660"/>
      <c r="T365" s="660"/>
      <c r="U365" s="660"/>
      <c r="V365" s="660"/>
      <c r="W365" s="660"/>
      <c r="X365" s="660"/>
      <c r="Y365" s="660"/>
      <c r="Z365" s="660"/>
      <c r="AA365" s="63"/>
      <c r="AB365" s="63"/>
      <c r="AC365" s="63"/>
    </row>
    <row r="366" spans="1:68" ht="27" hidden="1" customHeight="1" x14ac:dyDescent="0.25">
      <c r="A366" s="60" t="s">
        <v>605</v>
      </c>
      <c r="B366" s="60" t="s">
        <v>606</v>
      </c>
      <c r="C366" s="34">
        <v>4301012235</v>
      </c>
      <c r="D366" s="661">
        <v>4680115887190</v>
      </c>
      <c r="E366" s="661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663"/>
      <c r="R366" s="663"/>
      <c r="S366" s="663"/>
      <c r="T366" s="664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37.5" hidden="1" customHeight="1" x14ac:dyDescent="0.25">
      <c r="A367" s="60" t="s">
        <v>608</v>
      </c>
      <c r="B367" s="60" t="s">
        <v>609</v>
      </c>
      <c r="C367" s="34">
        <v>4301012233</v>
      </c>
      <c r="D367" s="661">
        <v>4680115887138</v>
      </c>
      <c r="E367" s="661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7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663"/>
      <c r="R367" s="663"/>
      <c r="S367" s="663"/>
      <c r="T367" s="664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610</v>
      </c>
      <c r="AG367" s="75"/>
      <c r="AJ367" s="79" t="s">
        <v>46</v>
      </c>
      <c r="AK367" s="79">
        <v>0</v>
      </c>
      <c r="BB367" s="462" t="s">
        <v>66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t="27" hidden="1" customHeight="1" x14ac:dyDescent="0.25">
      <c r="A368" s="60" t="s">
        <v>611</v>
      </c>
      <c r="B368" s="60" t="s">
        <v>612</v>
      </c>
      <c r="C368" s="34">
        <v>4301012016</v>
      </c>
      <c r="D368" s="661">
        <v>4680115885554</v>
      </c>
      <c r="E368" s="661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89</v>
      </c>
      <c r="N368" s="36"/>
      <c r="O368" s="35">
        <v>55</v>
      </c>
      <c r="P368" s="75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663"/>
      <c r="R368" s="663"/>
      <c r="S368" s="663"/>
      <c r="T368" s="664"/>
      <c r="U368" s="37" t="s">
        <v>46</v>
      </c>
      <c r="V368" s="37" t="s">
        <v>46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613</v>
      </c>
      <c r="AG368" s="75"/>
      <c r="AJ368" s="79" t="s">
        <v>46</v>
      </c>
      <c r="AK368" s="79">
        <v>0</v>
      </c>
      <c r="BB368" s="464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hidden="1" customHeight="1" x14ac:dyDescent="0.25">
      <c r="A369" s="60" t="s">
        <v>614</v>
      </c>
      <c r="B369" s="60" t="s">
        <v>615</v>
      </c>
      <c r="C369" s="34">
        <v>4301012236</v>
      </c>
      <c r="D369" s="661">
        <v>4680115887220</v>
      </c>
      <c r="E369" s="661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133</v>
      </c>
      <c r="L369" s="35" t="s">
        <v>46</v>
      </c>
      <c r="M369" s="36" t="s">
        <v>125</v>
      </c>
      <c r="N369" s="36"/>
      <c r="O369" s="35">
        <v>55</v>
      </c>
      <c r="P369" s="75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663"/>
      <c r="R369" s="663"/>
      <c r="S369" s="663"/>
      <c r="T369" s="664"/>
      <c r="U369" s="37" t="s">
        <v>46</v>
      </c>
      <c r="V369" s="37" t="s">
        <v>46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607</v>
      </c>
      <c r="AG369" s="75"/>
      <c r="AJ369" s="79" t="s">
        <v>46</v>
      </c>
      <c r="AK369" s="79">
        <v>0</v>
      </c>
      <c r="BB369" s="466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ht="27" hidden="1" customHeight="1" x14ac:dyDescent="0.25">
      <c r="A370" s="60" t="s">
        <v>616</v>
      </c>
      <c r="B370" s="60" t="s">
        <v>617</v>
      </c>
      <c r="C370" s="34">
        <v>4301011859</v>
      </c>
      <c r="D370" s="661">
        <v>4680115885608</v>
      </c>
      <c r="E370" s="661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76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663"/>
      <c r="R370" s="663"/>
      <c r="S370" s="663"/>
      <c r="T370" s="664"/>
      <c r="U370" s="37" t="s">
        <v>46</v>
      </c>
      <c r="V370" s="37" t="s">
        <v>46</v>
      </c>
      <c r="W370" s="38" t="s">
        <v>0</v>
      </c>
      <c r="X370" s="56">
        <v>0</v>
      </c>
      <c r="Y370" s="53">
        <f>IFERROR(IF(X370="",0,CEILING((X370/$H370),1)*$H370),"")</f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618</v>
      </c>
      <c r="AG370" s="75"/>
      <c r="AJ370" s="79" t="s">
        <v>46</v>
      </c>
      <c r="AK370" s="79">
        <v>0</v>
      </c>
      <c r="BB370" s="468" t="s">
        <v>66</v>
      </c>
      <c r="BM370" s="75">
        <f>IFERROR(X370*I370/H370,"0")</f>
        <v>0</v>
      </c>
      <c r="BN370" s="75">
        <f>IFERROR(Y370*I370/H370,"0")</f>
        <v>0</v>
      </c>
      <c r="BO370" s="75">
        <f>IFERROR(1/J370*(X370/H370),"0")</f>
        <v>0</v>
      </c>
      <c r="BP370" s="75">
        <f>IFERROR(1/J370*(Y370/H370),"0")</f>
        <v>0</v>
      </c>
    </row>
    <row r="371" spans="1:68" hidden="1" x14ac:dyDescent="0.25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2"/>
      <c r="P371" s="648" t="s">
        <v>40</v>
      </c>
      <c r="Q371" s="649"/>
      <c r="R371" s="649"/>
      <c r="S371" s="649"/>
      <c r="T371" s="649"/>
      <c r="U371" s="649"/>
      <c r="V371" s="650"/>
      <c r="W371" s="40" t="s">
        <v>39</v>
      </c>
      <c r="X371" s="41">
        <f>IFERROR(X366/H366,"0")+IFERROR(X367/H367,"0")+IFERROR(X368/H368,"0")+IFERROR(X369/H369,"0")+IFERROR(X370/H370,"0")</f>
        <v>0</v>
      </c>
      <c r="Y371" s="41">
        <f>IFERROR(Y366/H366,"0")+IFERROR(Y367/H367,"0")+IFERROR(Y368/H368,"0")+IFERROR(Y369/H369,"0")+IFERROR(Y370/H370,"0")</f>
        <v>0</v>
      </c>
      <c r="Z371" s="41">
        <f>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5">
      <c r="A372" s="651"/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2"/>
      <c r="P372" s="648" t="s">
        <v>40</v>
      </c>
      <c r="Q372" s="649"/>
      <c r="R372" s="649"/>
      <c r="S372" s="649"/>
      <c r="T372" s="649"/>
      <c r="U372" s="649"/>
      <c r="V372" s="650"/>
      <c r="W372" s="40" t="s">
        <v>0</v>
      </c>
      <c r="X372" s="41">
        <f>IFERROR(SUM(X366:X370),"0")</f>
        <v>0</v>
      </c>
      <c r="Y372" s="41">
        <f>IFERROR(SUM(Y366:Y370),"0")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660" t="s">
        <v>76</v>
      </c>
      <c r="B373" s="660"/>
      <c r="C373" s="660"/>
      <c r="D373" s="660"/>
      <c r="E373" s="660"/>
      <c r="F373" s="660"/>
      <c r="G373" s="660"/>
      <c r="H373" s="660"/>
      <c r="I373" s="660"/>
      <c r="J373" s="660"/>
      <c r="K373" s="660"/>
      <c r="L373" s="660"/>
      <c r="M373" s="660"/>
      <c r="N373" s="660"/>
      <c r="O373" s="660"/>
      <c r="P373" s="660"/>
      <c r="Q373" s="660"/>
      <c r="R373" s="660"/>
      <c r="S373" s="660"/>
      <c r="T373" s="660"/>
      <c r="U373" s="660"/>
      <c r="V373" s="660"/>
      <c r="W373" s="660"/>
      <c r="X373" s="660"/>
      <c r="Y373" s="660"/>
      <c r="Z373" s="660"/>
      <c r="AA373" s="63"/>
      <c r="AB373" s="63"/>
      <c r="AC373" s="63"/>
    </row>
    <row r="374" spans="1:68" ht="27" hidden="1" customHeight="1" x14ac:dyDescent="0.25">
      <c r="A374" s="60" t="s">
        <v>619</v>
      </c>
      <c r="B374" s="60" t="s">
        <v>620</v>
      </c>
      <c r="C374" s="34">
        <v>4301030878</v>
      </c>
      <c r="D374" s="661">
        <v>4607091387193</v>
      </c>
      <c r="E374" s="661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35</v>
      </c>
      <c r="P374" s="74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663"/>
      <c r="R374" s="663"/>
      <c r="S374" s="663"/>
      <c r="T374" s="664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58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621</v>
      </c>
      <c r="AG374" s="75"/>
      <c r="AJ374" s="79" t="s">
        <v>46</v>
      </c>
      <c r="AK374" s="79">
        <v>0</v>
      </c>
      <c r="BB374" s="470" t="s">
        <v>66</v>
      </c>
      <c r="BM374" s="75">
        <f t="shared" ref="BM374:BM380" si="59">IFERROR(X374*I374/H374,"0")</f>
        <v>0</v>
      </c>
      <c r="BN374" s="75">
        <f t="shared" ref="BN374:BN380" si="60">IFERROR(Y374*I374/H374,"0")</f>
        <v>0</v>
      </c>
      <c r="BO374" s="75">
        <f t="shared" ref="BO374:BO380" si="61">IFERROR(1/J374*(X374/H374),"0")</f>
        <v>0</v>
      </c>
      <c r="BP374" s="75">
        <f t="shared" ref="BP374:BP380" si="62">IFERROR(1/J374*(Y374/H374),"0")</f>
        <v>0</v>
      </c>
    </row>
    <row r="375" spans="1:68" ht="27" hidden="1" customHeight="1" x14ac:dyDescent="0.25">
      <c r="A375" s="60" t="s">
        <v>622</v>
      </c>
      <c r="B375" s="60" t="s">
        <v>623</v>
      </c>
      <c r="C375" s="34">
        <v>4301031153</v>
      </c>
      <c r="D375" s="661">
        <v>4607091387230</v>
      </c>
      <c r="E375" s="661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40</v>
      </c>
      <c r="P375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663"/>
      <c r="R375" s="663"/>
      <c r="S375" s="663"/>
      <c r="T375" s="664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58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624</v>
      </c>
      <c r="AG375" s="75"/>
      <c r="AJ375" s="79" t="s">
        <v>46</v>
      </c>
      <c r="AK375" s="79">
        <v>0</v>
      </c>
      <c r="BB375" s="472" t="s">
        <v>66</v>
      </c>
      <c r="BM375" s="75">
        <f t="shared" si="59"/>
        <v>0</v>
      </c>
      <c r="BN375" s="75">
        <f t="shared" si="60"/>
        <v>0</v>
      </c>
      <c r="BO375" s="75">
        <f t="shared" si="61"/>
        <v>0</v>
      </c>
      <c r="BP375" s="75">
        <f t="shared" si="62"/>
        <v>0</v>
      </c>
    </row>
    <row r="376" spans="1:68" ht="27" hidden="1" customHeight="1" x14ac:dyDescent="0.25">
      <c r="A376" s="60" t="s">
        <v>625</v>
      </c>
      <c r="B376" s="60" t="s">
        <v>626</v>
      </c>
      <c r="C376" s="34">
        <v>4301031154</v>
      </c>
      <c r="D376" s="661">
        <v>4607091387292</v>
      </c>
      <c r="E376" s="661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45</v>
      </c>
      <c r="P376" s="75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663"/>
      <c r="R376" s="663"/>
      <c r="S376" s="663"/>
      <c r="T376" s="664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58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627</v>
      </c>
      <c r="AG376" s="75"/>
      <c r="AJ376" s="79" t="s">
        <v>46</v>
      </c>
      <c r="AK376" s="79">
        <v>0</v>
      </c>
      <c r="BB376" s="474" t="s">
        <v>66</v>
      </c>
      <c r="BM376" s="75">
        <f t="shared" si="59"/>
        <v>0</v>
      </c>
      <c r="BN376" s="75">
        <f t="shared" si="60"/>
        <v>0</v>
      </c>
      <c r="BO376" s="75">
        <f t="shared" si="61"/>
        <v>0</v>
      </c>
      <c r="BP376" s="75">
        <f t="shared" si="62"/>
        <v>0</v>
      </c>
    </row>
    <row r="377" spans="1:68" ht="27" hidden="1" customHeight="1" x14ac:dyDescent="0.25">
      <c r="A377" s="60" t="s">
        <v>628</v>
      </c>
      <c r="B377" s="60" t="s">
        <v>629</v>
      </c>
      <c r="C377" s="34">
        <v>4301031152</v>
      </c>
      <c r="D377" s="661">
        <v>4607091387285</v>
      </c>
      <c r="E377" s="661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81</v>
      </c>
      <c r="L377" s="35" t="s">
        <v>46</v>
      </c>
      <c r="M377" s="36" t="s">
        <v>80</v>
      </c>
      <c r="N377" s="36"/>
      <c r="O377" s="35">
        <v>40</v>
      </c>
      <c r="P377" s="75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663"/>
      <c r="R377" s="663"/>
      <c r="S377" s="663"/>
      <c r="T377" s="664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624</v>
      </c>
      <c r="AG377" s="75"/>
      <c r="AJ377" s="79" t="s">
        <v>46</v>
      </c>
      <c r="AK377" s="79">
        <v>0</v>
      </c>
      <c r="BB377" s="476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hidden="1" customHeight="1" x14ac:dyDescent="0.25">
      <c r="A378" s="60" t="s">
        <v>630</v>
      </c>
      <c r="B378" s="60" t="s">
        <v>631</v>
      </c>
      <c r="C378" s="34">
        <v>4301031305</v>
      </c>
      <c r="D378" s="661">
        <v>4607091389845</v>
      </c>
      <c r="E378" s="661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75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663"/>
      <c r="R378" s="663"/>
      <c r="S378" s="663"/>
      <c r="T378" s="664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58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632</v>
      </c>
      <c r="AG378" s="75"/>
      <c r="AJ378" s="79" t="s">
        <v>46</v>
      </c>
      <c r="AK378" s="79">
        <v>0</v>
      </c>
      <c r="BB378" s="478" t="s">
        <v>66</v>
      </c>
      <c r="BM378" s="75">
        <f t="shared" si="59"/>
        <v>0</v>
      </c>
      <c r="BN378" s="75">
        <f t="shared" si="60"/>
        <v>0</v>
      </c>
      <c r="BO378" s="75">
        <f t="shared" si="61"/>
        <v>0</v>
      </c>
      <c r="BP378" s="75">
        <f t="shared" si="62"/>
        <v>0</v>
      </c>
    </row>
    <row r="379" spans="1:68" ht="27" hidden="1" customHeight="1" x14ac:dyDescent="0.25">
      <c r="A379" s="60" t="s">
        <v>633</v>
      </c>
      <c r="B379" s="60" t="s">
        <v>634</v>
      </c>
      <c r="C379" s="34">
        <v>4301031460</v>
      </c>
      <c r="D379" s="661">
        <v>4680115887442</v>
      </c>
      <c r="E379" s="661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133</v>
      </c>
      <c r="L379" s="35" t="s">
        <v>46</v>
      </c>
      <c r="M379" s="36" t="s">
        <v>80</v>
      </c>
      <c r="N379" s="36"/>
      <c r="O379" s="35">
        <v>45</v>
      </c>
      <c r="P379" s="75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663"/>
      <c r="R379" s="663"/>
      <c r="S379" s="663"/>
      <c r="T379" s="664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58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627</v>
      </c>
      <c r="AG379" s="75"/>
      <c r="AJ379" s="79" t="s">
        <v>46</v>
      </c>
      <c r="AK379" s="79">
        <v>0</v>
      </c>
      <c r="BB379" s="480" t="s">
        <v>66</v>
      </c>
      <c r="BM379" s="75">
        <f t="shared" si="59"/>
        <v>0</v>
      </c>
      <c r="BN379" s="75">
        <f t="shared" si="60"/>
        <v>0</v>
      </c>
      <c r="BO379" s="75">
        <f t="shared" si="61"/>
        <v>0</v>
      </c>
      <c r="BP379" s="75">
        <f t="shared" si="62"/>
        <v>0</v>
      </c>
    </row>
    <row r="380" spans="1:68" ht="27" hidden="1" customHeight="1" x14ac:dyDescent="0.25">
      <c r="A380" s="60" t="s">
        <v>635</v>
      </c>
      <c r="B380" s="60" t="s">
        <v>636</v>
      </c>
      <c r="C380" s="34">
        <v>4301031066</v>
      </c>
      <c r="D380" s="661">
        <v>4607091383836</v>
      </c>
      <c r="E380" s="661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90</v>
      </c>
      <c r="L380" s="35" t="s">
        <v>46</v>
      </c>
      <c r="M380" s="36" t="s">
        <v>80</v>
      </c>
      <c r="N380" s="36"/>
      <c r="O380" s="35">
        <v>40</v>
      </c>
      <c r="P380" s="75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663"/>
      <c r="R380" s="663"/>
      <c r="S380" s="663"/>
      <c r="T380" s="664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637</v>
      </c>
      <c r="AG380" s="75"/>
      <c r="AJ380" s="79" t="s">
        <v>46</v>
      </c>
      <c r="AK380" s="79">
        <v>0</v>
      </c>
      <c r="BB380" s="482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idden="1" x14ac:dyDescent="0.25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2"/>
      <c r="P381" s="648" t="s">
        <v>40</v>
      </c>
      <c r="Q381" s="649"/>
      <c r="R381" s="649"/>
      <c r="S381" s="649"/>
      <c r="T381" s="649"/>
      <c r="U381" s="649"/>
      <c r="V381" s="650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5">
      <c r="A382" s="651"/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2"/>
      <c r="P382" s="648" t="s">
        <v>40</v>
      </c>
      <c r="Q382" s="649"/>
      <c r="R382" s="649"/>
      <c r="S382" s="649"/>
      <c r="T382" s="649"/>
      <c r="U382" s="649"/>
      <c r="V382" s="650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0" t="s">
        <v>85</v>
      </c>
      <c r="B383" s="660"/>
      <c r="C383" s="660"/>
      <c r="D383" s="660"/>
      <c r="E383" s="660"/>
      <c r="F383" s="660"/>
      <c r="G383" s="660"/>
      <c r="H383" s="660"/>
      <c r="I383" s="660"/>
      <c r="J383" s="660"/>
      <c r="K383" s="660"/>
      <c r="L383" s="660"/>
      <c r="M383" s="660"/>
      <c r="N383" s="660"/>
      <c r="O383" s="660"/>
      <c r="P383" s="660"/>
      <c r="Q383" s="660"/>
      <c r="R383" s="660"/>
      <c r="S383" s="660"/>
      <c r="T383" s="660"/>
      <c r="U383" s="660"/>
      <c r="V383" s="660"/>
      <c r="W383" s="660"/>
      <c r="X383" s="660"/>
      <c r="Y383" s="660"/>
      <c r="Z383" s="660"/>
      <c r="AA383" s="63"/>
      <c r="AB383" s="63"/>
      <c r="AC383" s="63"/>
    </row>
    <row r="384" spans="1:68" ht="27" hidden="1" customHeight="1" x14ac:dyDescent="0.25">
      <c r="A384" s="60" t="s">
        <v>638</v>
      </c>
      <c r="B384" s="60" t="s">
        <v>639</v>
      </c>
      <c r="C384" s="34">
        <v>4301051100</v>
      </c>
      <c r="D384" s="661">
        <v>4607091387766</v>
      </c>
      <c r="E384" s="661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663"/>
      <c r="R384" s="663"/>
      <c r="S384" s="663"/>
      <c r="T384" s="664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640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4301051818</v>
      </c>
      <c r="D385" s="661">
        <v>4607091387957</v>
      </c>
      <c r="E385" s="661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663"/>
      <c r="R385" s="663"/>
      <c r="S385" s="663"/>
      <c r="T385" s="664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643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644</v>
      </c>
      <c r="B386" s="60" t="s">
        <v>645</v>
      </c>
      <c r="C386" s="34">
        <v>4301051819</v>
      </c>
      <c r="D386" s="661">
        <v>4607091387964</v>
      </c>
      <c r="E386" s="661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663"/>
      <c r="R386" s="663"/>
      <c r="S386" s="663"/>
      <c r="T386" s="664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646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647</v>
      </c>
      <c r="B387" s="60" t="s">
        <v>648</v>
      </c>
      <c r="C387" s="34">
        <v>4301051734</v>
      </c>
      <c r="D387" s="661">
        <v>4680115884588</v>
      </c>
      <c r="E387" s="661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90</v>
      </c>
      <c r="L387" s="35" t="s">
        <v>46</v>
      </c>
      <c r="M387" s="36" t="s">
        <v>89</v>
      </c>
      <c r="N387" s="36"/>
      <c r="O387" s="35">
        <v>40</v>
      </c>
      <c r="P387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663"/>
      <c r="R387" s="663"/>
      <c r="S387" s="663"/>
      <c r="T387" s="664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640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5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2"/>
      <c r="P388" s="648" t="s">
        <v>40</v>
      </c>
      <c r="Q388" s="649"/>
      <c r="R388" s="649"/>
      <c r="S388" s="649"/>
      <c r="T388" s="649"/>
      <c r="U388" s="649"/>
      <c r="V388" s="650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5">
      <c r="A389" s="651"/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2"/>
      <c r="P389" s="648" t="s">
        <v>40</v>
      </c>
      <c r="Q389" s="649"/>
      <c r="R389" s="649"/>
      <c r="S389" s="649"/>
      <c r="T389" s="649"/>
      <c r="U389" s="649"/>
      <c r="V389" s="650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660" t="s">
        <v>172</v>
      </c>
      <c r="B390" s="660"/>
      <c r="C390" s="660"/>
      <c r="D390" s="660"/>
      <c r="E390" s="660"/>
      <c r="F390" s="660"/>
      <c r="G390" s="660"/>
      <c r="H390" s="660"/>
      <c r="I390" s="660"/>
      <c r="J390" s="660"/>
      <c r="K390" s="660"/>
      <c r="L390" s="660"/>
      <c r="M390" s="660"/>
      <c r="N390" s="660"/>
      <c r="O390" s="660"/>
      <c r="P390" s="660"/>
      <c r="Q390" s="660"/>
      <c r="R390" s="660"/>
      <c r="S390" s="660"/>
      <c r="T390" s="660"/>
      <c r="U390" s="660"/>
      <c r="V390" s="660"/>
      <c r="W390" s="660"/>
      <c r="X390" s="660"/>
      <c r="Y390" s="660"/>
      <c r="Z390" s="660"/>
      <c r="AA390" s="63"/>
      <c r="AB390" s="63"/>
      <c r="AC390" s="63"/>
    </row>
    <row r="391" spans="1:68" ht="27" hidden="1" customHeight="1" x14ac:dyDescent="0.25">
      <c r="A391" s="60" t="s">
        <v>649</v>
      </c>
      <c r="B391" s="60" t="s">
        <v>650</v>
      </c>
      <c r="C391" s="34">
        <v>4301060387</v>
      </c>
      <c r="D391" s="661">
        <v>4607091380880</v>
      </c>
      <c r="E391" s="661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89</v>
      </c>
      <c r="N391" s="36"/>
      <c r="O391" s="35">
        <v>30</v>
      </c>
      <c r="P391" s="74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663"/>
      <c r="R391" s="663"/>
      <c r="S391" s="663"/>
      <c r="T391" s="664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651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652</v>
      </c>
      <c r="B392" s="60" t="s">
        <v>653</v>
      </c>
      <c r="C392" s="34">
        <v>4301060406</v>
      </c>
      <c r="D392" s="661">
        <v>4607091384482</v>
      </c>
      <c r="E392" s="661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7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663"/>
      <c r="R392" s="663"/>
      <c r="S392" s="663"/>
      <c r="T392" s="664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654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655</v>
      </c>
      <c r="B393" s="60" t="s">
        <v>656</v>
      </c>
      <c r="C393" s="34">
        <v>4301060484</v>
      </c>
      <c r="D393" s="661">
        <v>4607091380897</v>
      </c>
      <c r="E393" s="661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126</v>
      </c>
      <c r="L393" s="35" t="s">
        <v>46</v>
      </c>
      <c r="M393" s="36" t="s">
        <v>96</v>
      </c>
      <c r="N393" s="36"/>
      <c r="O393" s="35">
        <v>30</v>
      </c>
      <c r="P393" s="7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663"/>
      <c r="R393" s="663"/>
      <c r="S393" s="663"/>
      <c r="T393" s="664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657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5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2"/>
      <c r="P394" s="648" t="s">
        <v>40</v>
      </c>
      <c r="Q394" s="649"/>
      <c r="R394" s="649"/>
      <c r="S394" s="649"/>
      <c r="T394" s="649"/>
      <c r="U394" s="649"/>
      <c r="V394" s="650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5">
      <c r="A395" s="651"/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2"/>
      <c r="P395" s="648" t="s">
        <v>40</v>
      </c>
      <c r="Q395" s="649"/>
      <c r="R395" s="649"/>
      <c r="S395" s="649"/>
      <c r="T395" s="649"/>
      <c r="U395" s="649"/>
      <c r="V395" s="650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660" t="s">
        <v>288</v>
      </c>
      <c r="B396" s="660"/>
      <c r="C396" s="660"/>
      <c r="D396" s="660"/>
      <c r="E396" s="660"/>
      <c r="F396" s="660"/>
      <c r="G396" s="660"/>
      <c r="H396" s="660"/>
      <c r="I396" s="660"/>
      <c r="J396" s="660"/>
      <c r="K396" s="660"/>
      <c r="L396" s="660"/>
      <c r="M396" s="660"/>
      <c r="N396" s="660"/>
      <c r="O396" s="660"/>
      <c r="P396" s="660"/>
      <c r="Q396" s="660"/>
      <c r="R396" s="660"/>
      <c r="S396" s="660"/>
      <c r="T396" s="660"/>
      <c r="U396" s="660"/>
      <c r="V396" s="660"/>
      <c r="W396" s="660"/>
      <c r="X396" s="660"/>
      <c r="Y396" s="660"/>
      <c r="Z396" s="660"/>
      <c r="AA396" s="63"/>
      <c r="AB396" s="63"/>
      <c r="AC396" s="63"/>
    </row>
    <row r="397" spans="1:68" ht="27" hidden="1" customHeight="1" x14ac:dyDescent="0.25">
      <c r="A397" s="60" t="s">
        <v>658</v>
      </c>
      <c r="B397" s="60" t="s">
        <v>659</v>
      </c>
      <c r="C397" s="34">
        <v>4301030235</v>
      </c>
      <c r="D397" s="661">
        <v>4607091388381</v>
      </c>
      <c r="E397" s="661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133</v>
      </c>
      <c r="L397" s="35" t="s">
        <v>46</v>
      </c>
      <c r="M397" s="36" t="s">
        <v>263</v>
      </c>
      <c r="N397" s="36"/>
      <c r="O397" s="35">
        <v>180</v>
      </c>
      <c r="P397" s="7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663"/>
      <c r="R397" s="663"/>
      <c r="S397" s="663"/>
      <c r="T397" s="664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660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661</v>
      </c>
      <c r="B398" s="60" t="s">
        <v>662</v>
      </c>
      <c r="C398" s="34">
        <v>4301030232</v>
      </c>
      <c r="D398" s="661">
        <v>4607091388374</v>
      </c>
      <c r="E398" s="661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133</v>
      </c>
      <c r="L398" s="35" t="s">
        <v>46</v>
      </c>
      <c r="M398" s="36" t="s">
        <v>263</v>
      </c>
      <c r="N398" s="36"/>
      <c r="O398" s="35">
        <v>180</v>
      </c>
      <c r="P398" s="7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663"/>
      <c r="R398" s="663"/>
      <c r="S398" s="663"/>
      <c r="T398" s="664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660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663</v>
      </c>
      <c r="B399" s="60" t="s">
        <v>664</v>
      </c>
      <c r="C399" s="34">
        <v>4301032015</v>
      </c>
      <c r="D399" s="661">
        <v>4607091383102</v>
      </c>
      <c r="E399" s="661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90</v>
      </c>
      <c r="L399" s="35" t="s">
        <v>46</v>
      </c>
      <c r="M399" s="36" t="s">
        <v>263</v>
      </c>
      <c r="N399" s="36"/>
      <c r="O399" s="35">
        <v>180</v>
      </c>
      <c r="P399" s="7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663"/>
      <c r="R399" s="663"/>
      <c r="S399" s="663"/>
      <c r="T399" s="664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660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665</v>
      </c>
      <c r="B400" s="60" t="s">
        <v>666</v>
      </c>
      <c r="C400" s="34">
        <v>4301030233</v>
      </c>
      <c r="D400" s="661">
        <v>4607091388404</v>
      </c>
      <c r="E400" s="661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90</v>
      </c>
      <c r="L400" s="35" t="s">
        <v>46</v>
      </c>
      <c r="M400" s="36" t="s">
        <v>263</v>
      </c>
      <c r="N400" s="36"/>
      <c r="O400" s="35">
        <v>180</v>
      </c>
      <c r="P400" s="7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663"/>
      <c r="R400" s="663"/>
      <c r="S400" s="663"/>
      <c r="T400" s="664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660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5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2"/>
      <c r="P401" s="648" t="s">
        <v>40</v>
      </c>
      <c r="Q401" s="649"/>
      <c r="R401" s="649"/>
      <c r="S401" s="649"/>
      <c r="T401" s="649"/>
      <c r="U401" s="649"/>
      <c r="V401" s="650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5">
      <c r="A402" s="651"/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2"/>
      <c r="P402" s="648" t="s">
        <v>40</v>
      </c>
      <c r="Q402" s="649"/>
      <c r="R402" s="649"/>
      <c r="S402" s="649"/>
      <c r="T402" s="649"/>
      <c r="U402" s="649"/>
      <c r="V402" s="650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60" t="s">
        <v>667</v>
      </c>
      <c r="B403" s="660"/>
      <c r="C403" s="660"/>
      <c r="D403" s="660"/>
      <c r="E403" s="660"/>
      <c r="F403" s="660"/>
      <c r="G403" s="660"/>
      <c r="H403" s="660"/>
      <c r="I403" s="660"/>
      <c r="J403" s="660"/>
      <c r="K403" s="660"/>
      <c r="L403" s="660"/>
      <c r="M403" s="660"/>
      <c r="N403" s="660"/>
      <c r="O403" s="660"/>
      <c r="P403" s="660"/>
      <c r="Q403" s="660"/>
      <c r="R403" s="660"/>
      <c r="S403" s="660"/>
      <c r="T403" s="660"/>
      <c r="U403" s="660"/>
      <c r="V403" s="660"/>
      <c r="W403" s="660"/>
      <c r="X403" s="660"/>
      <c r="Y403" s="660"/>
      <c r="Z403" s="660"/>
      <c r="AA403" s="63"/>
      <c r="AB403" s="63"/>
      <c r="AC403" s="63"/>
    </row>
    <row r="404" spans="1:68" ht="16.5" hidden="1" customHeight="1" x14ac:dyDescent="0.25">
      <c r="A404" s="60" t="s">
        <v>668</v>
      </c>
      <c r="B404" s="60" t="s">
        <v>669</v>
      </c>
      <c r="C404" s="34">
        <v>4301180007</v>
      </c>
      <c r="D404" s="661">
        <v>4680115881808</v>
      </c>
      <c r="E404" s="661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671</v>
      </c>
      <c r="N404" s="36"/>
      <c r="O404" s="35">
        <v>731</v>
      </c>
      <c r="P404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663"/>
      <c r="R404" s="663"/>
      <c r="S404" s="663"/>
      <c r="T404" s="664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670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4301180006</v>
      </c>
      <c r="D405" s="661">
        <v>4680115881822</v>
      </c>
      <c r="E405" s="661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671</v>
      </c>
      <c r="N405" s="36"/>
      <c r="O405" s="35">
        <v>731</v>
      </c>
      <c r="P405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663"/>
      <c r="R405" s="663"/>
      <c r="S405" s="663"/>
      <c r="T405" s="664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670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674</v>
      </c>
      <c r="B406" s="60" t="s">
        <v>675</v>
      </c>
      <c r="C406" s="34">
        <v>4301180001</v>
      </c>
      <c r="D406" s="661">
        <v>4680115880016</v>
      </c>
      <c r="E406" s="661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671</v>
      </c>
      <c r="N406" s="36"/>
      <c r="O406" s="35">
        <v>731</v>
      </c>
      <c r="P406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663"/>
      <c r="R406" s="663"/>
      <c r="S406" s="663"/>
      <c r="T406" s="664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670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5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2"/>
      <c r="P407" s="648" t="s">
        <v>40</v>
      </c>
      <c r="Q407" s="649"/>
      <c r="R407" s="649"/>
      <c r="S407" s="649"/>
      <c r="T407" s="649"/>
      <c r="U407" s="649"/>
      <c r="V407" s="650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5">
      <c r="A408" s="651"/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2"/>
      <c r="P408" s="648" t="s">
        <v>40</v>
      </c>
      <c r="Q408" s="649"/>
      <c r="R408" s="649"/>
      <c r="S408" s="649"/>
      <c r="T408" s="649"/>
      <c r="U408" s="649"/>
      <c r="V408" s="650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660" t="s">
        <v>676</v>
      </c>
      <c r="B409" s="660"/>
      <c r="C409" s="660"/>
      <c r="D409" s="660"/>
      <c r="E409" s="660"/>
      <c r="F409" s="660"/>
      <c r="G409" s="660"/>
      <c r="H409" s="660"/>
      <c r="I409" s="660"/>
      <c r="J409" s="660"/>
      <c r="K409" s="660"/>
      <c r="L409" s="660"/>
      <c r="M409" s="660"/>
      <c r="N409" s="660"/>
      <c r="O409" s="660"/>
      <c r="P409" s="660"/>
      <c r="Q409" s="660"/>
      <c r="R409" s="660"/>
      <c r="S409" s="660"/>
      <c r="T409" s="660"/>
      <c r="U409" s="660"/>
      <c r="V409" s="660"/>
      <c r="W409" s="660"/>
      <c r="X409" s="660"/>
      <c r="Y409" s="660"/>
      <c r="Z409" s="660"/>
      <c r="AA409" s="63"/>
      <c r="AB409" s="63"/>
      <c r="AC409" s="63"/>
    </row>
    <row r="410" spans="1:68" ht="27" hidden="1" customHeight="1" x14ac:dyDescent="0.25">
      <c r="A410" s="60" t="s">
        <v>677</v>
      </c>
      <c r="B410" s="60" t="s">
        <v>678</v>
      </c>
      <c r="C410" s="34">
        <v>4301220003</v>
      </c>
      <c r="D410" s="661">
        <v>4680115888678</v>
      </c>
      <c r="E410" s="661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671</v>
      </c>
      <c r="N410" s="36"/>
      <c r="O410" s="35">
        <v>1096</v>
      </c>
      <c r="P410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663"/>
      <c r="R410" s="663"/>
      <c r="S410" s="663"/>
      <c r="T410" s="664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679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680</v>
      </c>
      <c r="B411" s="60" t="s">
        <v>681</v>
      </c>
      <c r="C411" s="34">
        <v>4301220001</v>
      </c>
      <c r="D411" s="661">
        <v>4680115888654</v>
      </c>
      <c r="E411" s="661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133</v>
      </c>
      <c r="L411" s="35" t="s">
        <v>46</v>
      </c>
      <c r="M411" s="36" t="s">
        <v>671</v>
      </c>
      <c r="N411" s="36"/>
      <c r="O411" s="35">
        <v>1096</v>
      </c>
      <c r="P411" s="7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663"/>
      <c r="R411" s="663"/>
      <c r="S411" s="663"/>
      <c r="T411" s="664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682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683</v>
      </c>
      <c r="B412" s="60" t="s">
        <v>684</v>
      </c>
      <c r="C412" s="34">
        <v>4301220002</v>
      </c>
      <c r="D412" s="661">
        <v>4680115888753</v>
      </c>
      <c r="E412" s="661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90</v>
      </c>
      <c r="L412" s="35" t="s">
        <v>46</v>
      </c>
      <c r="M412" s="36" t="s">
        <v>671</v>
      </c>
      <c r="N412" s="36"/>
      <c r="O412" s="35">
        <v>1096</v>
      </c>
      <c r="P412" s="7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663"/>
      <c r="R412" s="663"/>
      <c r="S412" s="663"/>
      <c r="T412" s="664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679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5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52"/>
      <c r="P413" s="648" t="s">
        <v>40</v>
      </c>
      <c r="Q413" s="649"/>
      <c r="R413" s="649"/>
      <c r="S413" s="649"/>
      <c r="T413" s="649"/>
      <c r="U413" s="649"/>
      <c r="V413" s="650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5">
      <c r="A414" s="651"/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2"/>
      <c r="P414" s="648" t="s">
        <v>40</v>
      </c>
      <c r="Q414" s="649"/>
      <c r="R414" s="649"/>
      <c r="S414" s="649"/>
      <c r="T414" s="649"/>
      <c r="U414" s="649"/>
      <c r="V414" s="650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667" t="s">
        <v>685</v>
      </c>
      <c r="B415" s="667"/>
      <c r="C415" s="667"/>
      <c r="D415" s="667"/>
      <c r="E415" s="667"/>
      <c r="F415" s="667"/>
      <c r="G415" s="667"/>
      <c r="H415" s="667"/>
      <c r="I415" s="667"/>
      <c r="J415" s="667"/>
      <c r="K415" s="667"/>
      <c r="L415" s="667"/>
      <c r="M415" s="667"/>
      <c r="N415" s="667"/>
      <c r="O415" s="667"/>
      <c r="P415" s="667"/>
      <c r="Q415" s="667"/>
      <c r="R415" s="667"/>
      <c r="S415" s="667"/>
      <c r="T415" s="667"/>
      <c r="U415" s="667"/>
      <c r="V415" s="667"/>
      <c r="W415" s="667"/>
      <c r="X415" s="667"/>
      <c r="Y415" s="667"/>
      <c r="Z415" s="667"/>
      <c r="AA415" s="62"/>
      <c r="AB415" s="62"/>
      <c r="AC415" s="62"/>
    </row>
    <row r="416" spans="1:68" ht="14.25" hidden="1" customHeight="1" x14ac:dyDescent="0.25">
      <c r="A416" s="660" t="s">
        <v>85</v>
      </c>
      <c r="B416" s="660"/>
      <c r="C416" s="660"/>
      <c r="D416" s="660"/>
      <c r="E416" s="660"/>
      <c r="F416" s="660"/>
      <c r="G416" s="660"/>
      <c r="H416" s="660"/>
      <c r="I416" s="660"/>
      <c r="J416" s="660"/>
      <c r="K416" s="660"/>
      <c r="L416" s="660"/>
      <c r="M416" s="660"/>
      <c r="N416" s="660"/>
      <c r="O416" s="660"/>
      <c r="P416" s="660"/>
      <c r="Q416" s="660"/>
      <c r="R416" s="660"/>
      <c r="S416" s="660"/>
      <c r="T416" s="660"/>
      <c r="U416" s="660"/>
      <c r="V416" s="660"/>
      <c r="W416" s="660"/>
      <c r="X416" s="660"/>
      <c r="Y416" s="660"/>
      <c r="Z416" s="660"/>
      <c r="AA416" s="63"/>
      <c r="AB416" s="63"/>
      <c r="AC416" s="63"/>
    </row>
    <row r="417" spans="1:68" ht="16.5" hidden="1" customHeight="1" x14ac:dyDescent="0.25">
      <c r="A417" s="60" t="s">
        <v>686</v>
      </c>
      <c r="B417" s="60" t="s">
        <v>687</v>
      </c>
      <c r="C417" s="34">
        <v>4301052235</v>
      </c>
      <c r="D417" s="661">
        <v>4680115889415</v>
      </c>
      <c r="E417" s="661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126</v>
      </c>
      <c r="L417" s="35" t="s">
        <v>46</v>
      </c>
      <c r="M417" s="36" t="s">
        <v>89</v>
      </c>
      <c r="N417" s="36"/>
      <c r="O417" s="35">
        <v>40</v>
      </c>
      <c r="P417" s="72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663"/>
      <c r="R417" s="663"/>
      <c r="S417" s="663"/>
      <c r="T417" s="664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688</v>
      </c>
      <c r="AG417" s="75"/>
      <c r="AJ417" s="79" t="s">
        <v>46</v>
      </c>
      <c r="AK417" s="79">
        <v>0</v>
      </c>
      <c r="BB417" s="518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689</v>
      </c>
      <c r="B418" s="60" t="s">
        <v>690</v>
      </c>
      <c r="C418" s="34">
        <v>4301052236</v>
      </c>
      <c r="D418" s="661">
        <v>4680115889422</v>
      </c>
      <c r="E418" s="661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72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663"/>
      <c r="R418" s="663"/>
      <c r="S418" s="663"/>
      <c r="T418" s="664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691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5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52"/>
      <c r="P419" s="648" t="s">
        <v>40</v>
      </c>
      <c r="Q419" s="649"/>
      <c r="R419" s="649"/>
      <c r="S419" s="649"/>
      <c r="T419" s="649"/>
      <c r="U419" s="649"/>
      <c r="V419" s="650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5">
      <c r="A420" s="651"/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2"/>
      <c r="P420" s="648" t="s">
        <v>40</v>
      </c>
      <c r="Q420" s="649"/>
      <c r="R420" s="649"/>
      <c r="S420" s="649"/>
      <c r="T420" s="649"/>
      <c r="U420" s="649"/>
      <c r="V420" s="650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667" t="s">
        <v>692</v>
      </c>
      <c r="B421" s="667"/>
      <c r="C421" s="667"/>
      <c r="D421" s="667"/>
      <c r="E421" s="667"/>
      <c r="F421" s="667"/>
      <c r="G421" s="667"/>
      <c r="H421" s="667"/>
      <c r="I421" s="667"/>
      <c r="J421" s="667"/>
      <c r="K421" s="667"/>
      <c r="L421" s="667"/>
      <c r="M421" s="667"/>
      <c r="N421" s="667"/>
      <c r="O421" s="667"/>
      <c r="P421" s="667"/>
      <c r="Q421" s="667"/>
      <c r="R421" s="667"/>
      <c r="S421" s="667"/>
      <c r="T421" s="667"/>
      <c r="U421" s="667"/>
      <c r="V421" s="667"/>
      <c r="W421" s="667"/>
      <c r="X421" s="667"/>
      <c r="Y421" s="667"/>
      <c r="Z421" s="667"/>
      <c r="AA421" s="62"/>
      <c r="AB421" s="62"/>
      <c r="AC421" s="62"/>
    </row>
    <row r="422" spans="1:68" ht="14.25" hidden="1" customHeight="1" x14ac:dyDescent="0.25">
      <c r="A422" s="660" t="s">
        <v>85</v>
      </c>
      <c r="B422" s="660"/>
      <c r="C422" s="660"/>
      <c r="D422" s="660"/>
      <c r="E422" s="660"/>
      <c r="F422" s="660"/>
      <c r="G422" s="660"/>
      <c r="H422" s="660"/>
      <c r="I422" s="660"/>
      <c r="J422" s="660"/>
      <c r="K422" s="660"/>
      <c r="L422" s="660"/>
      <c r="M422" s="660"/>
      <c r="N422" s="660"/>
      <c r="O422" s="660"/>
      <c r="P422" s="660"/>
      <c r="Q422" s="660"/>
      <c r="R422" s="660"/>
      <c r="S422" s="660"/>
      <c r="T422" s="660"/>
      <c r="U422" s="660"/>
      <c r="V422" s="660"/>
      <c r="W422" s="660"/>
      <c r="X422" s="660"/>
      <c r="Y422" s="660"/>
      <c r="Z422" s="660"/>
      <c r="AA422" s="63"/>
      <c r="AB422" s="63"/>
      <c r="AC422" s="63"/>
    </row>
    <row r="423" spans="1:68" ht="27" hidden="1" customHeight="1" x14ac:dyDescent="0.25">
      <c r="A423" s="60" t="s">
        <v>693</v>
      </c>
      <c r="B423" s="60" t="s">
        <v>694</v>
      </c>
      <c r="C423" s="34">
        <v>4301051489</v>
      </c>
      <c r="D423" s="661">
        <v>4607091387919</v>
      </c>
      <c r="E423" s="661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126</v>
      </c>
      <c r="L423" s="35" t="s">
        <v>46</v>
      </c>
      <c r="M423" s="36" t="s">
        <v>96</v>
      </c>
      <c r="N423" s="36"/>
      <c r="O423" s="35">
        <v>45</v>
      </c>
      <c r="P423" s="7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663"/>
      <c r="R423" s="663"/>
      <c r="S423" s="663"/>
      <c r="T423" s="664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695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696</v>
      </c>
      <c r="B424" s="60" t="s">
        <v>697</v>
      </c>
      <c r="C424" s="34">
        <v>4301051461</v>
      </c>
      <c r="D424" s="661">
        <v>4680115883604</v>
      </c>
      <c r="E424" s="661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90</v>
      </c>
      <c r="L424" s="35" t="s">
        <v>46</v>
      </c>
      <c r="M424" s="36" t="s">
        <v>89</v>
      </c>
      <c r="N424" s="36"/>
      <c r="O424" s="35">
        <v>45</v>
      </c>
      <c r="P424" s="73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663"/>
      <c r="R424" s="663"/>
      <c r="S424" s="663"/>
      <c r="T424" s="664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698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699</v>
      </c>
      <c r="B425" s="60" t="s">
        <v>700</v>
      </c>
      <c r="C425" s="34">
        <v>4301051864</v>
      </c>
      <c r="D425" s="661">
        <v>4680115883567</v>
      </c>
      <c r="E425" s="661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90</v>
      </c>
      <c r="L425" s="35" t="s">
        <v>46</v>
      </c>
      <c r="M425" s="36" t="s">
        <v>96</v>
      </c>
      <c r="N425" s="36"/>
      <c r="O425" s="35">
        <v>40</v>
      </c>
      <c r="P425" s="72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663"/>
      <c r="R425" s="663"/>
      <c r="S425" s="663"/>
      <c r="T425" s="664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701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5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52"/>
      <c r="P426" s="648" t="s">
        <v>40</v>
      </c>
      <c r="Q426" s="649"/>
      <c r="R426" s="649"/>
      <c r="S426" s="649"/>
      <c r="T426" s="649"/>
      <c r="U426" s="649"/>
      <c r="V426" s="650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5">
      <c r="A427" s="651"/>
      <c r="B427" s="651"/>
      <c r="C427" s="651"/>
      <c r="D427" s="651"/>
      <c r="E427" s="651"/>
      <c r="F427" s="651"/>
      <c r="G427" s="651"/>
      <c r="H427" s="651"/>
      <c r="I427" s="651"/>
      <c r="J427" s="651"/>
      <c r="K427" s="651"/>
      <c r="L427" s="651"/>
      <c r="M427" s="651"/>
      <c r="N427" s="651"/>
      <c r="O427" s="652"/>
      <c r="P427" s="648" t="s">
        <v>40</v>
      </c>
      <c r="Q427" s="649"/>
      <c r="R427" s="649"/>
      <c r="S427" s="649"/>
      <c r="T427" s="649"/>
      <c r="U427" s="649"/>
      <c r="V427" s="650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5">
      <c r="A428" s="678" t="s">
        <v>702</v>
      </c>
      <c r="B428" s="678"/>
      <c r="C428" s="678"/>
      <c r="D428" s="678"/>
      <c r="E428" s="678"/>
      <c r="F428" s="678"/>
      <c r="G428" s="678"/>
      <c r="H428" s="678"/>
      <c r="I428" s="678"/>
      <c r="J428" s="678"/>
      <c r="K428" s="678"/>
      <c r="L428" s="678"/>
      <c r="M428" s="678"/>
      <c r="N428" s="678"/>
      <c r="O428" s="678"/>
      <c r="P428" s="678"/>
      <c r="Q428" s="678"/>
      <c r="R428" s="678"/>
      <c r="S428" s="678"/>
      <c r="T428" s="678"/>
      <c r="U428" s="678"/>
      <c r="V428" s="678"/>
      <c r="W428" s="678"/>
      <c r="X428" s="678"/>
      <c r="Y428" s="678"/>
      <c r="Z428" s="678"/>
      <c r="AA428" s="52"/>
      <c r="AB428" s="52"/>
      <c r="AC428" s="52"/>
    </row>
    <row r="429" spans="1:68" ht="16.5" hidden="1" customHeight="1" x14ac:dyDescent="0.25">
      <c r="A429" s="667" t="s">
        <v>703</v>
      </c>
      <c r="B429" s="667"/>
      <c r="C429" s="667"/>
      <c r="D429" s="667"/>
      <c r="E429" s="667"/>
      <c r="F429" s="667"/>
      <c r="G429" s="667"/>
      <c r="H429" s="667"/>
      <c r="I429" s="667"/>
      <c r="J429" s="667"/>
      <c r="K429" s="667"/>
      <c r="L429" s="667"/>
      <c r="M429" s="667"/>
      <c r="N429" s="667"/>
      <c r="O429" s="667"/>
      <c r="P429" s="667"/>
      <c r="Q429" s="667"/>
      <c r="R429" s="667"/>
      <c r="S429" s="667"/>
      <c r="T429" s="667"/>
      <c r="U429" s="667"/>
      <c r="V429" s="667"/>
      <c r="W429" s="667"/>
      <c r="X429" s="667"/>
      <c r="Y429" s="667"/>
      <c r="Z429" s="667"/>
      <c r="AA429" s="62"/>
      <c r="AB429" s="62"/>
      <c r="AC429" s="62"/>
    </row>
    <row r="430" spans="1:68" ht="14.25" hidden="1" customHeight="1" x14ac:dyDescent="0.25">
      <c r="A430" s="660" t="s">
        <v>121</v>
      </c>
      <c r="B430" s="660"/>
      <c r="C430" s="660"/>
      <c r="D430" s="660"/>
      <c r="E430" s="660"/>
      <c r="F430" s="660"/>
      <c r="G430" s="660"/>
      <c r="H430" s="660"/>
      <c r="I430" s="660"/>
      <c r="J430" s="660"/>
      <c r="K430" s="660"/>
      <c r="L430" s="660"/>
      <c r="M430" s="660"/>
      <c r="N430" s="660"/>
      <c r="O430" s="660"/>
      <c r="P430" s="660"/>
      <c r="Q430" s="660"/>
      <c r="R430" s="660"/>
      <c r="S430" s="660"/>
      <c r="T430" s="660"/>
      <c r="U430" s="660"/>
      <c r="V430" s="660"/>
      <c r="W430" s="660"/>
      <c r="X430" s="660"/>
      <c r="Y430" s="660"/>
      <c r="Z430" s="660"/>
      <c r="AA430" s="63"/>
      <c r="AB430" s="63"/>
      <c r="AC430" s="63"/>
    </row>
    <row r="431" spans="1:68" ht="27" hidden="1" customHeight="1" x14ac:dyDescent="0.25">
      <c r="A431" s="60" t="s">
        <v>704</v>
      </c>
      <c r="B431" s="60" t="s">
        <v>705</v>
      </c>
      <c r="C431" s="34">
        <v>4301012332</v>
      </c>
      <c r="D431" s="661">
        <v>4680115888401</v>
      </c>
      <c r="E431" s="661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96</v>
      </c>
      <c r="N431" s="36"/>
      <c r="O431" s="35">
        <v>60</v>
      </c>
      <c r="P431" s="7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663"/>
      <c r="R431" s="663"/>
      <c r="S431" s="663"/>
      <c r="T431" s="664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3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706</v>
      </c>
      <c r="AG431" s="75"/>
      <c r="AJ431" s="79" t="s">
        <v>46</v>
      </c>
      <c r="AK431" s="79">
        <v>0</v>
      </c>
      <c r="BB431" s="528" t="s">
        <v>66</v>
      </c>
      <c r="BM431" s="75">
        <f t="shared" ref="BM431:BM438" si="64">IFERROR(X431*I431/H431,"0")</f>
        <v>0</v>
      </c>
      <c r="BN431" s="75">
        <f t="shared" ref="BN431:BN438" si="65">IFERROR(Y431*I431/H431,"0")</f>
        <v>0</v>
      </c>
      <c r="BO431" s="75">
        <f t="shared" ref="BO431:BO438" si="66">IFERROR(1/J431*(X431/H431),"0")</f>
        <v>0</v>
      </c>
      <c r="BP431" s="75">
        <f t="shared" ref="BP431:BP438" si="67">IFERROR(1/J431*(Y431/H431),"0")</f>
        <v>0</v>
      </c>
    </row>
    <row r="432" spans="1:68" ht="37.5" hidden="1" customHeight="1" x14ac:dyDescent="0.25">
      <c r="A432" s="60" t="s">
        <v>707</v>
      </c>
      <c r="B432" s="60" t="s">
        <v>708</v>
      </c>
      <c r="C432" s="34">
        <v>4301011869</v>
      </c>
      <c r="D432" s="661">
        <v>4680115884847</v>
      </c>
      <c r="E432" s="661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7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663"/>
      <c r="R432" s="663"/>
      <c r="S432" s="663"/>
      <c r="T432" s="664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hidden="1" customHeight="1" x14ac:dyDescent="0.25">
      <c r="A433" s="60" t="s">
        <v>710</v>
      </c>
      <c r="B433" s="60" t="s">
        <v>711</v>
      </c>
      <c r="C433" s="34">
        <v>4301012083</v>
      </c>
      <c r="D433" s="661">
        <v>4680115884854</v>
      </c>
      <c r="E433" s="661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125</v>
      </c>
      <c r="N433" s="36"/>
      <c r="O433" s="35">
        <v>60</v>
      </c>
      <c r="P433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663"/>
      <c r="R433" s="663"/>
      <c r="S433" s="663"/>
      <c r="T433" s="664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3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4"/>
        <v>0</v>
      </c>
      <c r="BN433" s="75">
        <f t="shared" si="65"/>
        <v>0</v>
      </c>
      <c r="BO433" s="75">
        <f t="shared" si="66"/>
        <v>0</v>
      </c>
      <c r="BP433" s="75">
        <f t="shared" si="67"/>
        <v>0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4301011867</v>
      </c>
      <c r="D434" s="661">
        <v>4680115884830</v>
      </c>
      <c r="E434" s="661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80</v>
      </c>
      <c r="N434" s="36"/>
      <c r="O434" s="35">
        <v>60</v>
      </c>
      <c r="P434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663"/>
      <c r="R434" s="663"/>
      <c r="S434" s="663"/>
      <c r="T434" s="664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3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4301012356</v>
      </c>
      <c r="D435" s="661">
        <v>4680115889231</v>
      </c>
      <c r="E435" s="661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96</v>
      </c>
      <c r="N435" s="36"/>
      <c r="O435" s="35">
        <v>60</v>
      </c>
      <c r="P435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663"/>
      <c r="R435" s="663"/>
      <c r="S435" s="663"/>
      <c r="T435" s="664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3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hidden="1" customHeight="1" x14ac:dyDescent="0.25">
      <c r="A436" s="60" t="s">
        <v>719</v>
      </c>
      <c r="B436" s="60" t="s">
        <v>720</v>
      </c>
      <c r="C436" s="34">
        <v>4301011433</v>
      </c>
      <c r="D436" s="661">
        <v>4680115882638</v>
      </c>
      <c r="E436" s="661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133</v>
      </c>
      <c r="L436" s="35" t="s">
        <v>46</v>
      </c>
      <c r="M436" s="36" t="s">
        <v>125</v>
      </c>
      <c r="N436" s="36"/>
      <c r="O436" s="35">
        <v>90</v>
      </c>
      <c r="P436" s="71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663"/>
      <c r="R436" s="663"/>
      <c r="S436" s="663"/>
      <c r="T436" s="664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3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27" hidden="1" customHeight="1" x14ac:dyDescent="0.25">
      <c r="A437" s="60" t="s">
        <v>722</v>
      </c>
      <c r="B437" s="60" t="s">
        <v>723</v>
      </c>
      <c r="C437" s="34">
        <v>4301011952</v>
      </c>
      <c r="D437" s="661">
        <v>4680115884922</v>
      </c>
      <c r="E437" s="661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133</v>
      </c>
      <c r="L437" s="35" t="s">
        <v>46</v>
      </c>
      <c r="M437" s="36" t="s">
        <v>80</v>
      </c>
      <c r="N437" s="36"/>
      <c r="O437" s="35">
        <v>60</v>
      </c>
      <c r="P437" s="71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663"/>
      <c r="R437" s="663"/>
      <c r="S437" s="663"/>
      <c r="T437" s="664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3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724</v>
      </c>
      <c r="AG437" s="75"/>
      <c r="AJ437" s="79" t="s">
        <v>46</v>
      </c>
      <c r="AK437" s="79">
        <v>0</v>
      </c>
      <c r="BB437" s="54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37.5" hidden="1" customHeight="1" x14ac:dyDescent="0.25">
      <c r="A438" s="60" t="s">
        <v>725</v>
      </c>
      <c r="B438" s="60" t="s">
        <v>726</v>
      </c>
      <c r="C438" s="34">
        <v>4301011868</v>
      </c>
      <c r="D438" s="661">
        <v>4680115884861</v>
      </c>
      <c r="E438" s="661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7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663"/>
      <c r="R438" s="663"/>
      <c r="S438" s="663"/>
      <c r="T438" s="664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3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727</v>
      </c>
      <c r="AG438" s="75"/>
      <c r="AJ438" s="79" t="s">
        <v>46</v>
      </c>
      <c r="AK438" s="79">
        <v>0</v>
      </c>
      <c r="BB438" s="54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idden="1" x14ac:dyDescent="0.25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2"/>
      <c r="P439" s="648" t="s">
        <v>40</v>
      </c>
      <c r="Q439" s="649"/>
      <c r="R439" s="649"/>
      <c r="S439" s="649"/>
      <c r="T439" s="649"/>
      <c r="U439" s="649"/>
      <c r="V439" s="650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0</v>
      </c>
      <c r="Y439" s="41">
        <f>IFERROR(Y431/H431,"0")+IFERROR(Y432/H432,"0")+IFERROR(Y433/H433,"0")+IFERROR(Y434/H434,"0")+IFERROR(Y435/H435,"0")+IFERROR(Y436/H436,"0")+IFERROR(Y437/H437,"0")+IFERROR(Y438/H438,"0")</f>
        <v>0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</v>
      </c>
      <c r="AA439" s="64"/>
      <c r="AB439" s="64"/>
      <c r="AC439" s="64"/>
    </row>
    <row r="440" spans="1:68" hidden="1" x14ac:dyDescent="0.25">
      <c r="A440" s="651"/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2"/>
      <c r="P440" s="648" t="s">
        <v>40</v>
      </c>
      <c r="Q440" s="649"/>
      <c r="R440" s="649"/>
      <c r="S440" s="649"/>
      <c r="T440" s="649"/>
      <c r="U440" s="649"/>
      <c r="V440" s="650"/>
      <c r="W440" s="40" t="s">
        <v>0</v>
      </c>
      <c r="X440" s="41">
        <f>IFERROR(SUM(X431:X438),"0")</f>
        <v>0</v>
      </c>
      <c r="Y440" s="41">
        <f>IFERROR(SUM(Y431:Y438),"0")</f>
        <v>0</v>
      </c>
      <c r="Z440" s="40"/>
      <c r="AA440" s="64"/>
      <c r="AB440" s="64"/>
      <c r="AC440" s="64"/>
    </row>
    <row r="441" spans="1:68" ht="14.25" hidden="1" customHeight="1" x14ac:dyDescent="0.25">
      <c r="A441" s="660" t="s">
        <v>154</v>
      </c>
      <c r="B441" s="660"/>
      <c r="C441" s="660"/>
      <c r="D441" s="660"/>
      <c r="E441" s="660"/>
      <c r="F441" s="660"/>
      <c r="G441" s="660"/>
      <c r="H441" s="660"/>
      <c r="I441" s="660"/>
      <c r="J441" s="660"/>
      <c r="K441" s="660"/>
      <c r="L441" s="660"/>
      <c r="M441" s="660"/>
      <c r="N441" s="660"/>
      <c r="O441" s="660"/>
      <c r="P441" s="660"/>
      <c r="Q441" s="660"/>
      <c r="R441" s="660"/>
      <c r="S441" s="660"/>
      <c r="T441" s="660"/>
      <c r="U441" s="660"/>
      <c r="V441" s="660"/>
      <c r="W441" s="660"/>
      <c r="X441" s="660"/>
      <c r="Y441" s="660"/>
      <c r="Z441" s="660"/>
      <c r="AA441" s="63"/>
      <c r="AB441" s="63"/>
      <c r="AC441" s="63"/>
    </row>
    <row r="442" spans="1:68" ht="27" hidden="1" customHeight="1" x14ac:dyDescent="0.25">
      <c r="A442" s="60" t="s">
        <v>728</v>
      </c>
      <c r="B442" s="60" t="s">
        <v>729</v>
      </c>
      <c r="C442" s="34">
        <v>4301020178</v>
      </c>
      <c r="D442" s="661">
        <v>4607091383980</v>
      </c>
      <c r="E442" s="661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126</v>
      </c>
      <c r="L442" s="35" t="s">
        <v>46</v>
      </c>
      <c r="M442" s="36" t="s">
        <v>125</v>
      </c>
      <c r="N442" s="36"/>
      <c r="O442" s="35">
        <v>50</v>
      </c>
      <c r="P442" s="71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663"/>
      <c r="R442" s="663"/>
      <c r="S442" s="663"/>
      <c r="T442" s="664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IFERROR(IF(Y442=0,"",ROUNDUP(Y442/H442,0)*0.02175),"")</f>
        <v/>
      </c>
      <c r="AA442" s="65" t="s">
        <v>46</v>
      </c>
      <c r="AB442" s="66" t="s">
        <v>46</v>
      </c>
      <c r="AC442" s="543" t="s">
        <v>730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hidden="1" customHeight="1" x14ac:dyDescent="0.25">
      <c r="A443" s="60" t="s">
        <v>731</v>
      </c>
      <c r="B443" s="60" t="s">
        <v>732</v>
      </c>
      <c r="C443" s="34">
        <v>4301020355</v>
      </c>
      <c r="D443" s="661">
        <v>4680115888425</v>
      </c>
      <c r="E443" s="661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663"/>
      <c r="R443" s="663"/>
      <c r="S443" s="663"/>
      <c r="T443" s="664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733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734</v>
      </c>
      <c r="B444" s="60" t="s">
        <v>735</v>
      </c>
      <c r="C444" s="34">
        <v>4301020179</v>
      </c>
      <c r="D444" s="661">
        <v>4607091384178</v>
      </c>
      <c r="E444" s="661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133</v>
      </c>
      <c r="L444" s="35" t="s">
        <v>46</v>
      </c>
      <c r="M444" s="36" t="s">
        <v>125</v>
      </c>
      <c r="N444" s="36"/>
      <c r="O444" s="35">
        <v>50</v>
      </c>
      <c r="P444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663"/>
      <c r="R444" s="663"/>
      <c r="S444" s="663"/>
      <c r="T444" s="664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736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5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2"/>
      <c r="P445" s="648" t="s">
        <v>40</v>
      </c>
      <c r="Q445" s="649"/>
      <c r="R445" s="649"/>
      <c r="S445" s="649"/>
      <c r="T445" s="649"/>
      <c r="U445" s="649"/>
      <c r="V445" s="650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5">
      <c r="A446" s="651"/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2"/>
      <c r="P446" s="648" t="s">
        <v>40</v>
      </c>
      <c r="Q446" s="649"/>
      <c r="R446" s="649"/>
      <c r="S446" s="649"/>
      <c r="T446" s="649"/>
      <c r="U446" s="649"/>
      <c r="V446" s="650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660" t="s">
        <v>85</v>
      </c>
      <c r="B447" s="660"/>
      <c r="C447" s="660"/>
      <c r="D447" s="660"/>
      <c r="E447" s="660"/>
      <c r="F447" s="660"/>
      <c r="G447" s="660"/>
      <c r="H447" s="660"/>
      <c r="I447" s="660"/>
      <c r="J447" s="660"/>
      <c r="K447" s="660"/>
      <c r="L447" s="660"/>
      <c r="M447" s="660"/>
      <c r="N447" s="660"/>
      <c r="O447" s="660"/>
      <c r="P447" s="660"/>
      <c r="Q447" s="660"/>
      <c r="R447" s="660"/>
      <c r="S447" s="660"/>
      <c r="T447" s="660"/>
      <c r="U447" s="660"/>
      <c r="V447" s="660"/>
      <c r="W447" s="660"/>
      <c r="X447" s="660"/>
      <c r="Y447" s="660"/>
      <c r="Z447" s="660"/>
      <c r="AA447" s="63"/>
      <c r="AB447" s="63"/>
      <c r="AC447" s="63"/>
    </row>
    <row r="448" spans="1:68" ht="27" hidden="1" customHeight="1" x14ac:dyDescent="0.25">
      <c r="A448" s="60" t="s">
        <v>737</v>
      </c>
      <c r="B448" s="60" t="s">
        <v>738</v>
      </c>
      <c r="C448" s="34">
        <v>4301051903</v>
      </c>
      <c r="D448" s="661">
        <v>4607091383928</v>
      </c>
      <c r="E448" s="661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126</v>
      </c>
      <c r="L448" s="35" t="s">
        <v>46</v>
      </c>
      <c r="M448" s="36" t="s">
        <v>89</v>
      </c>
      <c r="N448" s="36"/>
      <c r="O448" s="35">
        <v>40</v>
      </c>
      <c r="P448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663"/>
      <c r="R448" s="663"/>
      <c r="S448" s="663"/>
      <c r="T448" s="664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739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740</v>
      </c>
      <c r="B449" s="60" t="s">
        <v>741</v>
      </c>
      <c r="C449" s="34">
        <v>4301051897</v>
      </c>
      <c r="D449" s="661">
        <v>4607091384260</v>
      </c>
      <c r="E449" s="661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663"/>
      <c r="R449" s="663"/>
      <c r="S449" s="663"/>
      <c r="T449" s="664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742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743</v>
      </c>
      <c r="B450" s="60" t="s">
        <v>744</v>
      </c>
      <c r="C450" s="34">
        <v>4301052220</v>
      </c>
      <c r="D450" s="661">
        <v>4680115889538</v>
      </c>
      <c r="E450" s="661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126</v>
      </c>
      <c r="L450" s="35" t="s">
        <v>46</v>
      </c>
      <c r="M450" s="36" t="s">
        <v>89</v>
      </c>
      <c r="N450" s="36"/>
      <c r="O450" s="35">
        <v>45</v>
      </c>
      <c r="P450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663"/>
      <c r="R450" s="663"/>
      <c r="S450" s="663"/>
      <c r="T450" s="664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745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5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2"/>
      <c r="P451" s="648" t="s">
        <v>40</v>
      </c>
      <c r="Q451" s="649"/>
      <c r="R451" s="649"/>
      <c r="S451" s="649"/>
      <c r="T451" s="649"/>
      <c r="U451" s="649"/>
      <c r="V451" s="650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5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660" t="s">
        <v>172</v>
      </c>
      <c r="B453" s="660"/>
      <c r="C453" s="660"/>
      <c r="D453" s="660"/>
      <c r="E453" s="660"/>
      <c r="F453" s="660"/>
      <c r="G453" s="660"/>
      <c r="H453" s="660"/>
      <c r="I453" s="660"/>
      <c r="J453" s="660"/>
      <c r="K453" s="660"/>
      <c r="L453" s="660"/>
      <c r="M453" s="660"/>
      <c r="N453" s="660"/>
      <c r="O453" s="660"/>
      <c r="P453" s="660"/>
      <c r="Q453" s="660"/>
      <c r="R453" s="660"/>
      <c r="S453" s="660"/>
      <c r="T453" s="660"/>
      <c r="U453" s="660"/>
      <c r="V453" s="660"/>
      <c r="W453" s="660"/>
      <c r="X453" s="660"/>
      <c r="Y453" s="660"/>
      <c r="Z453" s="660"/>
      <c r="AA453" s="63"/>
      <c r="AB453" s="63"/>
      <c r="AC453" s="63"/>
    </row>
    <row r="454" spans="1:68" ht="27" hidden="1" customHeight="1" x14ac:dyDescent="0.25">
      <c r="A454" s="60" t="s">
        <v>746</v>
      </c>
      <c r="B454" s="60" t="s">
        <v>747</v>
      </c>
      <c r="C454" s="34">
        <v>4301060537</v>
      </c>
      <c r="D454" s="661">
        <v>4680115889545</v>
      </c>
      <c r="E454" s="661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126</v>
      </c>
      <c r="L454" s="35" t="s">
        <v>46</v>
      </c>
      <c r="M454" s="36" t="s">
        <v>89</v>
      </c>
      <c r="N454" s="36"/>
      <c r="O454" s="35">
        <v>30</v>
      </c>
      <c r="P454" s="71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663"/>
      <c r="R454" s="663"/>
      <c r="S454" s="663"/>
      <c r="T454" s="664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748</v>
      </c>
      <c r="AG454" s="75"/>
      <c r="AJ454" s="79" t="s">
        <v>46</v>
      </c>
      <c r="AK454" s="79">
        <v>0</v>
      </c>
      <c r="BB454" s="556" t="s">
        <v>66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749</v>
      </c>
      <c r="B455" s="60" t="s">
        <v>750</v>
      </c>
      <c r="C455" s="34">
        <v>4301060524</v>
      </c>
      <c r="D455" s="661">
        <v>4607091384673</v>
      </c>
      <c r="E455" s="661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126</v>
      </c>
      <c r="L455" s="35" t="s">
        <v>46</v>
      </c>
      <c r="M455" s="36" t="s">
        <v>89</v>
      </c>
      <c r="N455" s="36"/>
      <c r="O455" s="35">
        <v>40</v>
      </c>
      <c r="P455" s="7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663"/>
      <c r="R455" s="663"/>
      <c r="S455" s="663"/>
      <c r="T455" s="664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751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5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2"/>
      <c r="P456" s="648" t="s">
        <v>40</v>
      </c>
      <c r="Q456" s="649"/>
      <c r="R456" s="649"/>
      <c r="S456" s="649"/>
      <c r="T456" s="649"/>
      <c r="U456" s="649"/>
      <c r="V456" s="650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5">
      <c r="A457" s="651"/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2"/>
      <c r="P457" s="648" t="s">
        <v>40</v>
      </c>
      <c r="Q457" s="649"/>
      <c r="R457" s="649"/>
      <c r="S457" s="649"/>
      <c r="T457" s="649"/>
      <c r="U457" s="649"/>
      <c r="V457" s="650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667" t="s">
        <v>752</v>
      </c>
      <c r="B458" s="667"/>
      <c r="C458" s="667"/>
      <c r="D458" s="667"/>
      <c r="E458" s="667"/>
      <c r="F458" s="667"/>
      <c r="G458" s="667"/>
      <c r="H458" s="667"/>
      <c r="I458" s="667"/>
      <c r="J458" s="667"/>
      <c r="K458" s="667"/>
      <c r="L458" s="667"/>
      <c r="M458" s="667"/>
      <c r="N458" s="667"/>
      <c r="O458" s="667"/>
      <c r="P458" s="667"/>
      <c r="Q458" s="667"/>
      <c r="R458" s="667"/>
      <c r="S458" s="667"/>
      <c r="T458" s="667"/>
      <c r="U458" s="667"/>
      <c r="V458" s="667"/>
      <c r="W458" s="667"/>
      <c r="X458" s="667"/>
      <c r="Y458" s="667"/>
      <c r="Z458" s="667"/>
      <c r="AA458" s="62"/>
      <c r="AB458" s="62"/>
      <c r="AC458" s="62"/>
    </row>
    <row r="459" spans="1:68" ht="14.25" hidden="1" customHeight="1" x14ac:dyDescent="0.25">
      <c r="A459" s="660" t="s">
        <v>121</v>
      </c>
      <c r="B459" s="660"/>
      <c r="C459" s="660"/>
      <c r="D459" s="660"/>
      <c r="E459" s="660"/>
      <c r="F459" s="660"/>
      <c r="G459" s="660"/>
      <c r="H459" s="660"/>
      <c r="I459" s="660"/>
      <c r="J459" s="660"/>
      <c r="K459" s="660"/>
      <c r="L459" s="660"/>
      <c r="M459" s="660"/>
      <c r="N459" s="660"/>
      <c r="O459" s="660"/>
      <c r="P459" s="660"/>
      <c r="Q459" s="660"/>
      <c r="R459" s="660"/>
      <c r="S459" s="660"/>
      <c r="T459" s="660"/>
      <c r="U459" s="660"/>
      <c r="V459" s="660"/>
      <c r="W459" s="660"/>
      <c r="X459" s="660"/>
      <c r="Y459" s="660"/>
      <c r="Z459" s="660"/>
      <c r="AA459" s="63"/>
      <c r="AB459" s="63"/>
      <c r="AC459" s="63"/>
    </row>
    <row r="460" spans="1:68" ht="27" hidden="1" customHeight="1" x14ac:dyDescent="0.25">
      <c r="A460" s="60" t="s">
        <v>753</v>
      </c>
      <c r="B460" s="60" t="s">
        <v>754</v>
      </c>
      <c r="C460" s="34">
        <v>4301011875</v>
      </c>
      <c r="D460" s="661">
        <v>4680115884885</v>
      </c>
      <c r="E460" s="661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126</v>
      </c>
      <c r="L460" s="35" t="s">
        <v>46</v>
      </c>
      <c r="M460" s="36" t="s">
        <v>80</v>
      </c>
      <c r="N460" s="36"/>
      <c r="O460" s="35">
        <v>60</v>
      </c>
      <c r="P460" s="70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663"/>
      <c r="R460" s="663"/>
      <c r="S460" s="663"/>
      <c r="T460" s="664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755</v>
      </c>
      <c r="AG460" s="75"/>
      <c r="AJ460" s="79" t="s">
        <v>46</v>
      </c>
      <c r="AK460" s="79">
        <v>0</v>
      </c>
      <c r="BB460" s="56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756</v>
      </c>
      <c r="B461" s="60" t="s">
        <v>757</v>
      </c>
      <c r="C461" s="34">
        <v>4301011871</v>
      </c>
      <c r="D461" s="661">
        <v>4680115884908</v>
      </c>
      <c r="E461" s="661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133</v>
      </c>
      <c r="L461" s="35" t="s">
        <v>46</v>
      </c>
      <c r="M461" s="36" t="s">
        <v>80</v>
      </c>
      <c r="N461" s="36"/>
      <c r="O461" s="35">
        <v>60</v>
      </c>
      <c r="P461" s="7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663"/>
      <c r="R461" s="663"/>
      <c r="S461" s="663"/>
      <c r="T461" s="664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755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5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5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660" t="s">
        <v>76</v>
      </c>
      <c r="B464" s="660"/>
      <c r="C464" s="660"/>
      <c r="D464" s="660"/>
      <c r="E464" s="660"/>
      <c r="F464" s="660"/>
      <c r="G464" s="660"/>
      <c r="H464" s="660"/>
      <c r="I464" s="660"/>
      <c r="J464" s="660"/>
      <c r="K464" s="660"/>
      <c r="L464" s="660"/>
      <c r="M464" s="660"/>
      <c r="N464" s="660"/>
      <c r="O464" s="660"/>
      <c r="P464" s="660"/>
      <c r="Q464" s="660"/>
      <c r="R464" s="660"/>
      <c r="S464" s="660"/>
      <c r="T464" s="660"/>
      <c r="U464" s="660"/>
      <c r="V464" s="660"/>
      <c r="W464" s="660"/>
      <c r="X464" s="660"/>
      <c r="Y464" s="660"/>
      <c r="Z464" s="660"/>
      <c r="AA464" s="63"/>
      <c r="AB464" s="63"/>
      <c r="AC464" s="63"/>
    </row>
    <row r="465" spans="1:68" ht="27" hidden="1" customHeight="1" x14ac:dyDescent="0.25">
      <c r="A465" s="60" t="s">
        <v>758</v>
      </c>
      <c r="B465" s="60" t="s">
        <v>759</v>
      </c>
      <c r="C465" s="34">
        <v>4301031457</v>
      </c>
      <c r="D465" s="661">
        <v>4607091384802</v>
      </c>
      <c r="E465" s="661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133</v>
      </c>
      <c r="L465" s="35" t="s">
        <v>46</v>
      </c>
      <c r="M465" s="36" t="s">
        <v>80</v>
      </c>
      <c r="N465" s="36"/>
      <c r="O465" s="35">
        <v>50</v>
      </c>
      <c r="P465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663"/>
      <c r="R465" s="663"/>
      <c r="S465" s="663"/>
      <c r="T465" s="664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760</v>
      </c>
      <c r="AG465" s="75"/>
      <c r="AJ465" s="79" t="s">
        <v>46</v>
      </c>
      <c r="AK465" s="79">
        <v>0</v>
      </c>
      <c r="BB465" s="564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5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52"/>
      <c r="P466" s="648" t="s">
        <v>40</v>
      </c>
      <c r="Q466" s="649"/>
      <c r="R466" s="649"/>
      <c r="S466" s="649"/>
      <c r="T466" s="649"/>
      <c r="U466" s="649"/>
      <c r="V466" s="650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5">
      <c r="A467" s="651"/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2"/>
      <c r="P467" s="648" t="s">
        <v>40</v>
      </c>
      <c r="Q467" s="649"/>
      <c r="R467" s="649"/>
      <c r="S467" s="649"/>
      <c r="T467" s="649"/>
      <c r="U467" s="649"/>
      <c r="V467" s="650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660" t="s">
        <v>85</v>
      </c>
      <c r="B468" s="660"/>
      <c r="C468" s="660"/>
      <c r="D468" s="660"/>
      <c r="E468" s="660"/>
      <c r="F468" s="660"/>
      <c r="G468" s="660"/>
      <c r="H468" s="660"/>
      <c r="I468" s="660"/>
      <c r="J468" s="660"/>
      <c r="K468" s="660"/>
      <c r="L468" s="660"/>
      <c r="M468" s="660"/>
      <c r="N468" s="660"/>
      <c r="O468" s="660"/>
      <c r="P468" s="660"/>
      <c r="Q468" s="660"/>
      <c r="R468" s="660"/>
      <c r="S468" s="660"/>
      <c r="T468" s="660"/>
      <c r="U468" s="660"/>
      <c r="V468" s="660"/>
      <c r="W468" s="660"/>
      <c r="X468" s="660"/>
      <c r="Y468" s="660"/>
      <c r="Z468" s="660"/>
      <c r="AA468" s="63"/>
      <c r="AB468" s="63"/>
      <c r="AC468" s="63"/>
    </row>
    <row r="469" spans="1:68" ht="27" customHeight="1" x14ac:dyDescent="0.25">
      <c r="A469" s="60" t="s">
        <v>761</v>
      </c>
      <c r="B469" s="60" t="s">
        <v>762</v>
      </c>
      <c r="C469" s="34">
        <v>4301051899</v>
      </c>
      <c r="D469" s="661">
        <v>4607091384246</v>
      </c>
      <c r="E469" s="661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126</v>
      </c>
      <c r="L469" s="35" t="s">
        <v>46</v>
      </c>
      <c r="M469" s="36" t="s">
        <v>89</v>
      </c>
      <c r="N469" s="36"/>
      <c r="O469" s="35">
        <v>40</v>
      </c>
      <c r="P469" s="70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663"/>
      <c r="R469" s="663"/>
      <c r="S469" s="663"/>
      <c r="T469" s="664"/>
      <c r="U469" s="37" t="s">
        <v>46</v>
      </c>
      <c r="V469" s="37" t="s">
        <v>46</v>
      </c>
      <c r="W469" s="38" t="s">
        <v>0</v>
      </c>
      <c r="X469" s="56">
        <v>900</v>
      </c>
      <c r="Y469" s="53">
        <f>IFERROR(IF(X469="",0,CEILING((X469/$H469),1)*$H469),"")</f>
        <v>900</v>
      </c>
      <c r="Z469" s="39">
        <f>IFERROR(IF(Y469=0,"",ROUNDUP(Y469/H469,0)*0.01898),"")</f>
        <v>1.8980000000000001</v>
      </c>
      <c r="AA469" s="65" t="s">
        <v>46</v>
      </c>
      <c r="AB469" s="66" t="s">
        <v>46</v>
      </c>
      <c r="AC469" s="565" t="s">
        <v>763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949.40000000000009</v>
      </c>
      <c r="BN469" s="75">
        <f>IFERROR(Y469*I469/H469,"0")</f>
        <v>949.40000000000009</v>
      </c>
      <c r="BO469" s="75">
        <f>IFERROR(1/J469*(X469/H469),"0")</f>
        <v>1.5625</v>
      </c>
      <c r="BP469" s="75">
        <f>IFERROR(1/J469*(Y469/H469),"0")</f>
        <v>1.5625</v>
      </c>
    </row>
    <row r="470" spans="1:68" ht="27" hidden="1" customHeight="1" x14ac:dyDescent="0.25">
      <c r="A470" s="60" t="s">
        <v>764</v>
      </c>
      <c r="B470" s="60" t="s">
        <v>765</v>
      </c>
      <c r="C470" s="34">
        <v>4301051660</v>
      </c>
      <c r="D470" s="661">
        <v>4607091384253</v>
      </c>
      <c r="E470" s="661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90</v>
      </c>
      <c r="L470" s="35" t="s">
        <v>46</v>
      </c>
      <c r="M470" s="36" t="s">
        <v>89</v>
      </c>
      <c r="N470" s="36"/>
      <c r="O470" s="35">
        <v>40</v>
      </c>
      <c r="P470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663"/>
      <c r="R470" s="663"/>
      <c r="S470" s="663"/>
      <c r="T470" s="664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763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764</v>
      </c>
      <c r="B471" s="60" t="s">
        <v>766</v>
      </c>
      <c r="C471" s="34">
        <v>4301052069</v>
      </c>
      <c r="D471" s="661">
        <v>4607091384253</v>
      </c>
      <c r="E471" s="661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663"/>
      <c r="R471" s="663"/>
      <c r="S471" s="663"/>
      <c r="T471" s="664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767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5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52"/>
      <c r="P472" s="648" t="s">
        <v>40</v>
      </c>
      <c r="Q472" s="649"/>
      <c r="R472" s="649"/>
      <c r="S472" s="649"/>
      <c r="T472" s="649"/>
      <c r="U472" s="649"/>
      <c r="V472" s="650"/>
      <c r="W472" s="40" t="s">
        <v>39</v>
      </c>
      <c r="X472" s="41">
        <f>IFERROR(X469/H469,"0")+IFERROR(X470/H470,"0")+IFERROR(X471/H471,"0")</f>
        <v>100</v>
      </c>
      <c r="Y472" s="41">
        <f>IFERROR(Y469/H469,"0")+IFERROR(Y470/H470,"0")+IFERROR(Y471/H471,"0")</f>
        <v>100</v>
      </c>
      <c r="Z472" s="41">
        <f>IFERROR(IF(Z469="",0,Z469),"0")+IFERROR(IF(Z470="",0,Z470),"0")+IFERROR(IF(Z471="",0,Z471),"0")</f>
        <v>1.8980000000000001</v>
      </c>
      <c r="AA472" s="64"/>
      <c r="AB472" s="64"/>
      <c r="AC472" s="64"/>
    </row>
    <row r="473" spans="1:68" x14ac:dyDescent="0.25">
      <c r="A473" s="651"/>
      <c r="B473" s="651"/>
      <c r="C473" s="651"/>
      <c r="D473" s="651"/>
      <c r="E473" s="651"/>
      <c r="F473" s="651"/>
      <c r="G473" s="651"/>
      <c r="H473" s="651"/>
      <c r="I473" s="651"/>
      <c r="J473" s="651"/>
      <c r="K473" s="651"/>
      <c r="L473" s="651"/>
      <c r="M473" s="651"/>
      <c r="N473" s="651"/>
      <c r="O473" s="652"/>
      <c r="P473" s="648" t="s">
        <v>40</v>
      </c>
      <c r="Q473" s="649"/>
      <c r="R473" s="649"/>
      <c r="S473" s="649"/>
      <c r="T473" s="649"/>
      <c r="U473" s="649"/>
      <c r="V473" s="650"/>
      <c r="W473" s="40" t="s">
        <v>0</v>
      </c>
      <c r="X473" s="41">
        <f>IFERROR(SUM(X469:X471),"0")</f>
        <v>900</v>
      </c>
      <c r="Y473" s="41">
        <f>IFERROR(SUM(Y469:Y471),"0")</f>
        <v>900</v>
      </c>
      <c r="Z473" s="40"/>
      <c r="AA473" s="64"/>
      <c r="AB473" s="64"/>
      <c r="AC473" s="64"/>
    </row>
    <row r="474" spans="1:68" ht="27.75" hidden="1" customHeight="1" x14ac:dyDescent="0.25">
      <c r="A474" s="678" t="s">
        <v>768</v>
      </c>
      <c r="B474" s="678"/>
      <c r="C474" s="678"/>
      <c r="D474" s="678"/>
      <c r="E474" s="678"/>
      <c r="F474" s="678"/>
      <c r="G474" s="678"/>
      <c r="H474" s="678"/>
      <c r="I474" s="678"/>
      <c r="J474" s="678"/>
      <c r="K474" s="678"/>
      <c r="L474" s="678"/>
      <c r="M474" s="678"/>
      <c r="N474" s="678"/>
      <c r="O474" s="678"/>
      <c r="P474" s="678"/>
      <c r="Q474" s="678"/>
      <c r="R474" s="678"/>
      <c r="S474" s="678"/>
      <c r="T474" s="678"/>
      <c r="U474" s="678"/>
      <c r="V474" s="678"/>
      <c r="W474" s="678"/>
      <c r="X474" s="678"/>
      <c r="Y474" s="678"/>
      <c r="Z474" s="678"/>
      <c r="AA474" s="52"/>
      <c r="AB474" s="52"/>
      <c r="AC474" s="52"/>
    </row>
    <row r="475" spans="1:68" ht="16.5" hidden="1" customHeight="1" x14ac:dyDescent="0.25">
      <c r="A475" s="667" t="s">
        <v>769</v>
      </c>
      <c r="B475" s="667"/>
      <c r="C475" s="667"/>
      <c r="D475" s="667"/>
      <c r="E475" s="667"/>
      <c r="F475" s="667"/>
      <c r="G475" s="667"/>
      <c r="H475" s="667"/>
      <c r="I475" s="667"/>
      <c r="J475" s="667"/>
      <c r="K475" s="667"/>
      <c r="L475" s="667"/>
      <c r="M475" s="667"/>
      <c r="N475" s="667"/>
      <c r="O475" s="667"/>
      <c r="P475" s="667"/>
      <c r="Q475" s="667"/>
      <c r="R475" s="667"/>
      <c r="S475" s="667"/>
      <c r="T475" s="667"/>
      <c r="U475" s="667"/>
      <c r="V475" s="667"/>
      <c r="W475" s="667"/>
      <c r="X475" s="667"/>
      <c r="Y475" s="667"/>
      <c r="Z475" s="667"/>
      <c r="AA475" s="62"/>
      <c r="AB475" s="62"/>
      <c r="AC475" s="62"/>
    </row>
    <row r="476" spans="1:68" ht="14.25" hidden="1" customHeight="1" x14ac:dyDescent="0.25">
      <c r="A476" s="660" t="s">
        <v>76</v>
      </c>
      <c r="B476" s="660"/>
      <c r="C476" s="660"/>
      <c r="D476" s="660"/>
      <c r="E476" s="660"/>
      <c r="F476" s="660"/>
      <c r="G476" s="660"/>
      <c r="H476" s="660"/>
      <c r="I476" s="660"/>
      <c r="J476" s="660"/>
      <c r="K476" s="660"/>
      <c r="L476" s="660"/>
      <c r="M476" s="660"/>
      <c r="N476" s="660"/>
      <c r="O476" s="660"/>
      <c r="P476" s="660"/>
      <c r="Q476" s="660"/>
      <c r="R476" s="660"/>
      <c r="S476" s="660"/>
      <c r="T476" s="660"/>
      <c r="U476" s="660"/>
      <c r="V476" s="660"/>
      <c r="W476" s="660"/>
      <c r="X476" s="660"/>
      <c r="Y476" s="660"/>
      <c r="Z476" s="660"/>
      <c r="AA476" s="63"/>
      <c r="AB476" s="63"/>
      <c r="AC476" s="63"/>
    </row>
    <row r="477" spans="1:68" ht="27" hidden="1" customHeight="1" x14ac:dyDescent="0.25">
      <c r="A477" s="60" t="s">
        <v>770</v>
      </c>
      <c r="B477" s="60" t="s">
        <v>771</v>
      </c>
      <c r="C477" s="34">
        <v>4301031405</v>
      </c>
      <c r="D477" s="661">
        <v>4680115886100</v>
      </c>
      <c r="E477" s="661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133</v>
      </c>
      <c r="L477" s="35" t="s">
        <v>46</v>
      </c>
      <c r="M477" s="36" t="s">
        <v>80</v>
      </c>
      <c r="N477" s="36"/>
      <c r="O477" s="35">
        <v>50</v>
      </c>
      <c r="P477" s="70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663"/>
      <c r="R477" s="663"/>
      <c r="S477" s="663"/>
      <c r="T477" s="664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68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772</v>
      </c>
      <c r="AG477" s="75"/>
      <c r="AJ477" s="79" t="s">
        <v>46</v>
      </c>
      <c r="AK477" s="79">
        <v>0</v>
      </c>
      <c r="BB477" s="572" t="s">
        <v>66</v>
      </c>
      <c r="BM477" s="75">
        <f t="shared" ref="BM477:BM482" si="69">IFERROR(X477*I477/H477,"0")</f>
        <v>0</v>
      </c>
      <c r="BN477" s="75">
        <f t="shared" ref="BN477:BN482" si="70">IFERROR(Y477*I477/H477,"0")</f>
        <v>0</v>
      </c>
      <c r="BO477" s="75">
        <f t="shared" ref="BO477:BO482" si="71">IFERROR(1/J477*(X477/H477),"0")</f>
        <v>0</v>
      </c>
      <c r="BP477" s="75">
        <f t="shared" ref="BP477:BP482" si="72">IFERROR(1/J477*(Y477/H477),"0")</f>
        <v>0</v>
      </c>
    </row>
    <row r="478" spans="1:68" ht="27" hidden="1" customHeight="1" x14ac:dyDescent="0.25">
      <c r="A478" s="60" t="s">
        <v>773</v>
      </c>
      <c r="B478" s="60" t="s">
        <v>774</v>
      </c>
      <c r="C478" s="34">
        <v>4301031402</v>
      </c>
      <c r="D478" s="661">
        <v>4680115886124</v>
      </c>
      <c r="E478" s="661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70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663"/>
      <c r="R478" s="663"/>
      <c r="S478" s="663"/>
      <c r="T478" s="664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68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775</v>
      </c>
      <c r="AG478" s="75"/>
      <c r="AJ478" s="79" t="s">
        <v>46</v>
      </c>
      <c r="AK478" s="79">
        <v>0</v>
      </c>
      <c r="BB478" s="574" t="s">
        <v>66</v>
      </c>
      <c r="BM478" s="75">
        <f t="shared" si="69"/>
        <v>0</v>
      </c>
      <c r="BN478" s="75">
        <f t="shared" si="70"/>
        <v>0</v>
      </c>
      <c r="BO478" s="75">
        <f t="shared" si="71"/>
        <v>0</v>
      </c>
      <c r="BP478" s="75">
        <f t="shared" si="72"/>
        <v>0</v>
      </c>
    </row>
    <row r="479" spans="1:68" ht="27" hidden="1" customHeight="1" x14ac:dyDescent="0.25">
      <c r="A479" s="60" t="s">
        <v>776</v>
      </c>
      <c r="B479" s="60" t="s">
        <v>777</v>
      </c>
      <c r="C479" s="34">
        <v>4301031362</v>
      </c>
      <c r="D479" s="661">
        <v>4607091384338</v>
      </c>
      <c r="E479" s="661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70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663"/>
      <c r="R479" s="663"/>
      <c r="S479" s="663"/>
      <c r="T479" s="664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68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772</v>
      </c>
      <c r="AG479" s="75"/>
      <c r="AJ479" s="79" t="s">
        <v>46</v>
      </c>
      <c r="AK479" s="79">
        <v>0</v>
      </c>
      <c r="BB479" s="576" t="s">
        <v>66</v>
      </c>
      <c r="BM479" s="75">
        <f t="shared" si="69"/>
        <v>0</v>
      </c>
      <c r="BN479" s="75">
        <f t="shared" si="70"/>
        <v>0</v>
      </c>
      <c r="BO479" s="75">
        <f t="shared" si="71"/>
        <v>0</v>
      </c>
      <c r="BP479" s="75">
        <f t="shared" si="72"/>
        <v>0</v>
      </c>
    </row>
    <row r="480" spans="1:68" ht="27" hidden="1" customHeight="1" x14ac:dyDescent="0.25">
      <c r="A480" s="60" t="s">
        <v>778</v>
      </c>
      <c r="B480" s="60" t="s">
        <v>779</v>
      </c>
      <c r="C480" s="34">
        <v>4301031364</v>
      </c>
      <c r="D480" s="661">
        <v>4680115883161</v>
      </c>
      <c r="E480" s="661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70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663"/>
      <c r="R480" s="663"/>
      <c r="S480" s="663"/>
      <c r="T480" s="664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68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780</v>
      </c>
      <c r="AG480" s="75"/>
      <c r="AJ480" s="79" t="s">
        <v>46</v>
      </c>
      <c r="AK480" s="79">
        <v>0</v>
      </c>
      <c r="BB480" s="578" t="s">
        <v>66</v>
      </c>
      <c r="BM480" s="75">
        <f t="shared" si="69"/>
        <v>0</v>
      </c>
      <c r="BN480" s="75">
        <f t="shared" si="70"/>
        <v>0</v>
      </c>
      <c r="BO480" s="75">
        <f t="shared" si="71"/>
        <v>0</v>
      </c>
      <c r="BP480" s="75">
        <f t="shared" si="72"/>
        <v>0</v>
      </c>
    </row>
    <row r="481" spans="1:68" ht="27" hidden="1" customHeight="1" x14ac:dyDescent="0.25">
      <c r="A481" s="60" t="s">
        <v>781</v>
      </c>
      <c r="B481" s="60" t="s">
        <v>782</v>
      </c>
      <c r="C481" s="34">
        <v>4301031358</v>
      </c>
      <c r="D481" s="661">
        <v>4607091389531</v>
      </c>
      <c r="E481" s="661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6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663"/>
      <c r="R481" s="663"/>
      <c r="S481" s="663"/>
      <c r="T481" s="664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68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783</v>
      </c>
      <c r="AG481" s="75"/>
      <c r="AJ481" s="79" t="s">
        <v>46</v>
      </c>
      <c r="AK481" s="79">
        <v>0</v>
      </c>
      <c r="BB481" s="580" t="s">
        <v>66</v>
      </c>
      <c r="BM481" s="75">
        <f t="shared" si="69"/>
        <v>0</v>
      </c>
      <c r="BN481" s="75">
        <f t="shared" si="70"/>
        <v>0</v>
      </c>
      <c r="BO481" s="75">
        <f t="shared" si="71"/>
        <v>0</v>
      </c>
      <c r="BP481" s="75">
        <f t="shared" si="72"/>
        <v>0</v>
      </c>
    </row>
    <row r="482" spans="1:68" ht="37.5" hidden="1" customHeight="1" x14ac:dyDescent="0.25">
      <c r="A482" s="60" t="s">
        <v>784</v>
      </c>
      <c r="B482" s="60" t="s">
        <v>785</v>
      </c>
      <c r="C482" s="34">
        <v>4301031360</v>
      </c>
      <c r="D482" s="661">
        <v>4607091384345</v>
      </c>
      <c r="E482" s="661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663"/>
      <c r="R482" s="663"/>
      <c r="S482" s="663"/>
      <c r="T482" s="664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68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780</v>
      </c>
      <c r="AG482" s="75"/>
      <c r="AJ482" s="79" t="s">
        <v>46</v>
      </c>
      <c r="AK482" s="79">
        <v>0</v>
      </c>
      <c r="BB482" s="582" t="s">
        <v>66</v>
      </c>
      <c r="BM482" s="75">
        <f t="shared" si="69"/>
        <v>0</v>
      </c>
      <c r="BN482" s="75">
        <f t="shared" si="70"/>
        <v>0</v>
      </c>
      <c r="BO482" s="75">
        <f t="shared" si="71"/>
        <v>0</v>
      </c>
      <c r="BP482" s="75">
        <f t="shared" si="72"/>
        <v>0</v>
      </c>
    </row>
    <row r="483" spans="1:68" hidden="1" x14ac:dyDescent="0.25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2"/>
      <c r="P483" s="648" t="s">
        <v>40</v>
      </c>
      <c r="Q483" s="649"/>
      <c r="R483" s="649"/>
      <c r="S483" s="649"/>
      <c r="T483" s="649"/>
      <c r="U483" s="649"/>
      <c r="V483" s="650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5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660" t="s">
        <v>85</v>
      </c>
      <c r="B485" s="660"/>
      <c r="C485" s="660"/>
      <c r="D485" s="660"/>
      <c r="E485" s="660"/>
      <c r="F485" s="660"/>
      <c r="G485" s="660"/>
      <c r="H485" s="660"/>
      <c r="I485" s="660"/>
      <c r="J485" s="660"/>
      <c r="K485" s="660"/>
      <c r="L485" s="660"/>
      <c r="M485" s="660"/>
      <c r="N485" s="660"/>
      <c r="O485" s="660"/>
      <c r="P485" s="660"/>
      <c r="Q485" s="660"/>
      <c r="R485" s="660"/>
      <c r="S485" s="660"/>
      <c r="T485" s="660"/>
      <c r="U485" s="660"/>
      <c r="V485" s="660"/>
      <c r="W485" s="660"/>
      <c r="X485" s="660"/>
      <c r="Y485" s="660"/>
      <c r="Z485" s="660"/>
      <c r="AA485" s="63"/>
      <c r="AB485" s="63"/>
      <c r="AC485" s="63"/>
    </row>
    <row r="486" spans="1:68" ht="27" hidden="1" customHeight="1" x14ac:dyDescent="0.25">
      <c r="A486" s="60" t="s">
        <v>786</v>
      </c>
      <c r="B486" s="60" t="s">
        <v>787</v>
      </c>
      <c r="C486" s="34">
        <v>4301051284</v>
      </c>
      <c r="D486" s="661">
        <v>4607091384352</v>
      </c>
      <c r="E486" s="661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133</v>
      </c>
      <c r="L486" s="35" t="s">
        <v>46</v>
      </c>
      <c r="M486" s="36" t="s">
        <v>89</v>
      </c>
      <c r="N486" s="36"/>
      <c r="O486" s="35">
        <v>45</v>
      </c>
      <c r="P486" s="6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663"/>
      <c r="R486" s="663"/>
      <c r="S486" s="663"/>
      <c r="T486" s="664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788</v>
      </c>
      <c r="AG486" s="75"/>
      <c r="AJ486" s="79" t="s">
        <v>46</v>
      </c>
      <c r="AK486" s="79">
        <v>0</v>
      </c>
      <c r="BB486" s="584" t="s">
        <v>66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789</v>
      </c>
      <c r="B487" s="60" t="s">
        <v>790</v>
      </c>
      <c r="C487" s="34">
        <v>4301051431</v>
      </c>
      <c r="D487" s="661">
        <v>4607091389654</v>
      </c>
      <c r="E487" s="661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90</v>
      </c>
      <c r="L487" s="35" t="s">
        <v>46</v>
      </c>
      <c r="M487" s="36" t="s">
        <v>89</v>
      </c>
      <c r="N487" s="36"/>
      <c r="O487" s="35">
        <v>45</v>
      </c>
      <c r="P487" s="6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663"/>
      <c r="R487" s="663"/>
      <c r="S487" s="663"/>
      <c r="T487" s="664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791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5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52"/>
      <c r="P488" s="648" t="s">
        <v>40</v>
      </c>
      <c r="Q488" s="649"/>
      <c r="R488" s="649"/>
      <c r="S488" s="649"/>
      <c r="T488" s="649"/>
      <c r="U488" s="649"/>
      <c r="V488" s="650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5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667" t="s">
        <v>792</v>
      </c>
      <c r="B490" s="667"/>
      <c r="C490" s="667"/>
      <c r="D490" s="667"/>
      <c r="E490" s="667"/>
      <c r="F490" s="667"/>
      <c r="G490" s="667"/>
      <c r="H490" s="667"/>
      <c r="I490" s="667"/>
      <c r="J490" s="667"/>
      <c r="K490" s="667"/>
      <c r="L490" s="667"/>
      <c r="M490" s="667"/>
      <c r="N490" s="667"/>
      <c r="O490" s="667"/>
      <c r="P490" s="667"/>
      <c r="Q490" s="667"/>
      <c r="R490" s="667"/>
      <c r="S490" s="667"/>
      <c r="T490" s="667"/>
      <c r="U490" s="667"/>
      <c r="V490" s="667"/>
      <c r="W490" s="667"/>
      <c r="X490" s="667"/>
      <c r="Y490" s="667"/>
      <c r="Z490" s="667"/>
      <c r="AA490" s="62"/>
      <c r="AB490" s="62"/>
      <c r="AC490" s="62"/>
    </row>
    <row r="491" spans="1:68" ht="14.25" hidden="1" customHeight="1" x14ac:dyDescent="0.25">
      <c r="A491" s="660" t="s">
        <v>154</v>
      </c>
      <c r="B491" s="660"/>
      <c r="C491" s="660"/>
      <c r="D491" s="660"/>
      <c r="E491" s="660"/>
      <c r="F491" s="660"/>
      <c r="G491" s="660"/>
      <c r="H491" s="660"/>
      <c r="I491" s="660"/>
      <c r="J491" s="660"/>
      <c r="K491" s="660"/>
      <c r="L491" s="660"/>
      <c r="M491" s="660"/>
      <c r="N491" s="660"/>
      <c r="O491" s="660"/>
      <c r="P491" s="660"/>
      <c r="Q491" s="660"/>
      <c r="R491" s="660"/>
      <c r="S491" s="660"/>
      <c r="T491" s="660"/>
      <c r="U491" s="660"/>
      <c r="V491" s="660"/>
      <c r="W491" s="660"/>
      <c r="X491" s="660"/>
      <c r="Y491" s="660"/>
      <c r="Z491" s="660"/>
      <c r="AA491" s="63"/>
      <c r="AB491" s="63"/>
      <c r="AC491" s="63"/>
    </row>
    <row r="492" spans="1:68" ht="27" hidden="1" customHeight="1" x14ac:dyDescent="0.25">
      <c r="A492" s="60" t="s">
        <v>793</v>
      </c>
      <c r="B492" s="60" t="s">
        <v>794</v>
      </c>
      <c r="C492" s="34">
        <v>4301020416</v>
      </c>
      <c r="D492" s="661">
        <v>4680115885240</v>
      </c>
      <c r="E492" s="661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90</v>
      </c>
      <c r="L492" s="35" t="s">
        <v>46</v>
      </c>
      <c r="M492" s="36" t="s">
        <v>80</v>
      </c>
      <c r="N492" s="36"/>
      <c r="O492" s="35">
        <v>40</v>
      </c>
      <c r="P49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663"/>
      <c r="R492" s="663"/>
      <c r="S492" s="663"/>
      <c r="T492" s="664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795</v>
      </c>
      <c r="AG492" s="75"/>
      <c r="AJ492" s="79" t="s">
        <v>46</v>
      </c>
      <c r="AK492" s="79">
        <v>0</v>
      </c>
      <c r="BB492" s="588" t="s">
        <v>66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5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52"/>
      <c r="P493" s="648" t="s">
        <v>40</v>
      </c>
      <c r="Q493" s="649"/>
      <c r="R493" s="649"/>
      <c r="S493" s="649"/>
      <c r="T493" s="649"/>
      <c r="U493" s="649"/>
      <c r="V493" s="650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5">
      <c r="A494" s="651"/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2"/>
      <c r="P494" s="648" t="s">
        <v>40</v>
      </c>
      <c r="Q494" s="649"/>
      <c r="R494" s="649"/>
      <c r="S494" s="649"/>
      <c r="T494" s="649"/>
      <c r="U494" s="649"/>
      <c r="V494" s="650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660" t="s">
        <v>76</v>
      </c>
      <c r="B495" s="660"/>
      <c r="C495" s="660"/>
      <c r="D495" s="660"/>
      <c r="E495" s="660"/>
      <c r="F495" s="660"/>
      <c r="G495" s="660"/>
      <c r="H495" s="660"/>
      <c r="I495" s="660"/>
      <c r="J495" s="660"/>
      <c r="K495" s="660"/>
      <c r="L495" s="660"/>
      <c r="M495" s="660"/>
      <c r="N495" s="660"/>
      <c r="O495" s="660"/>
      <c r="P495" s="660"/>
      <c r="Q495" s="660"/>
      <c r="R495" s="660"/>
      <c r="S495" s="660"/>
      <c r="T495" s="660"/>
      <c r="U495" s="660"/>
      <c r="V495" s="660"/>
      <c r="W495" s="660"/>
      <c r="X495" s="660"/>
      <c r="Y495" s="660"/>
      <c r="Z495" s="660"/>
      <c r="AA495" s="63"/>
      <c r="AB495" s="63"/>
      <c r="AC495" s="63"/>
    </row>
    <row r="496" spans="1:68" ht="27" hidden="1" customHeight="1" x14ac:dyDescent="0.25">
      <c r="A496" s="60" t="s">
        <v>796</v>
      </c>
      <c r="B496" s="60" t="s">
        <v>797</v>
      </c>
      <c r="C496" s="34">
        <v>4301031407</v>
      </c>
      <c r="D496" s="661">
        <v>4680115886094</v>
      </c>
      <c r="E496" s="661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133</v>
      </c>
      <c r="L496" s="35" t="s">
        <v>46</v>
      </c>
      <c r="M496" s="36" t="s">
        <v>80</v>
      </c>
      <c r="N496" s="36"/>
      <c r="O496" s="35">
        <v>50</v>
      </c>
      <c r="P496" s="69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663"/>
      <c r="R496" s="663"/>
      <c r="S496" s="663"/>
      <c r="T496" s="664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798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799</v>
      </c>
      <c r="B497" s="60" t="s">
        <v>800</v>
      </c>
      <c r="C497" s="34">
        <v>4301031373</v>
      </c>
      <c r="D497" s="661">
        <v>4680115880771</v>
      </c>
      <c r="E497" s="661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81</v>
      </c>
      <c r="L497" s="35" t="s">
        <v>46</v>
      </c>
      <c r="M497" s="36" t="s">
        <v>80</v>
      </c>
      <c r="N497" s="36"/>
      <c r="O497" s="35">
        <v>50</v>
      </c>
      <c r="P497" s="69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663"/>
      <c r="R497" s="663"/>
      <c r="S497" s="663"/>
      <c r="T497" s="664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801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802</v>
      </c>
      <c r="B498" s="60" t="s">
        <v>803</v>
      </c>
      <c r="C498" s="34">
        <v>4301031359</v>
      </c>
      <c r="D498" s="661">
        <v>4607091389500</v>
      </c>
      <c r="E498" s="661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69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663"/>
      <c r="R498" s="663"/>
      <c r="S498" s="663"/>
      <c r="T498" s="664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801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5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52"/>
      <c r="P499" s="648" t="s">
        <v>40</v>
      </c>
      <c r="Q499" s="649"/>
      <c r="R499" s="649"/>
      <c r="S499" s="649"/>
      <c r="T499" s="649"/>
      <c r="U499" s="649"/>
      <c r="V499" s="650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5">
      <c r="A500" s="651"/>
      <c r="B500" s="651"/>
      <c r="C500" s="651"/>
      <c r="D500" s="651"/>
      <c r="E500" s="651"/>
      <c r="F500" s="651"/>
      <c r="G500" s="651"/>
      <c r="H500" s="651"/>
      <c r="I500" s="651"/>
      <c r="J500" s="651"/>
      <c r="K500" s="651"/>
      <c r="L500" s="651"/>
      <c r="M500" s="651"/>
      <c r="N500" s="651"/>
      <c r="O500" s="652"/>
      <c r="P500" s="648" t="s">
        <v>40</v>
      </c>
      <c r="Q500" s="649"/>
      <c r="R500" s="649"/>
      <c r="S500" s="649"/>
      <c r="T500" s="649"/>
      <c r="U500" s="649"/>
      <c r="V500" s="650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5">
      <c r="A501" s="678" t="s">
        <v>804</v>
      </c>
      <c r="B501" s="678"/>
      <c r="C501" s="678"/>
      <c r="D501" s="678"/>
      <c r="E501" s="678"/>
      <c r="F501" s="678"/>
      <c r="G501" s="678"/>
      <c r="H501" s="678"/>
      <c r="I501" s="678"/>
      <c r="J501" s="678"/>
      <c r="K501" s="678"/>
      <c r="L501" s="678"/>
      <c r="M501" s="678"/>
      <c r="N501" s="678"/>
      <c r="O501" s="678"/>
      <c r="P501" s="678"/>
      <c r="Q501" s="678"/>
      <c r="R501" s="678"/>
      <c r="S501" s="678"/>
      <c r="T501" s="678"/>
      <c r="U501" s="678"/>
      <c r="V501" s="678"/>
      <c r="W501" s="678"/>
      <c r="X501" s="678"/>
      <c r="Y501" s="678"/>
      <c r="Z501" s="678"/>
      <c r="AA501" s="52"/>
      <c r="AB501" s="52"/>
      <c r="AC501" s="52"/>
    </row>
    <row r="502" spans="1:68" ht="16.5" hidden="1" customHeight="1" x14ac:dyDescent="0.25">
      <c r="A502" s="667" t="s">
        <v>804</v>
      </c>
      <c r="B502" s="667"/>
      <c r="C502" s="667"/>
      <c r="D502" s="667"/>
      <c r="E502" s="667"/>
      <c r="F502" s="667"/>
      <c r="G502" s="667"/>
      <c r="H502" s="667"/>
      <c r="I502" s="667"/>
      <c r="J502" s="667"/>
      <c r="K502" s="667"/>
      <c r="L502" s="667"/>
      <c r="M502" s="667"/>
      <c r="N502" s="667"/>
      <c r="O502" s="667"/>
      <c r="P502" s="667"/>
      <c r="Q502" s="667"/>
      <c r="R502" s="667"/>
      <c r="S502" s="667"/>
      <c r="T502" s="667"/>
      <c r="U502" s="667"/>
      <c r="V502" s="667"/>
      <c r="W502" s="667"/>
      <c r="X502" s="667"/>
      <c r="Y502" s="667"/>
      <c r="Z502" s="667"/>
      <c r="AA502" s="62"/>
      <c r="AB502" s="62"/>
      <c r="AC502" s="62"/>
    </row>
    <row r="503" spans="1:68" ht="14.25" hidden="1" customHeight="1" x14ac:dyDescent="0.25">
      <c r="A503" s="660" t="s">
        <v>121</v>
      </c>
      <c r="B503" s="660"/>
      <c r="C503" s="660"/>
      <c r="D503" s="660"/>
      <c r="E503" s="660"/>
      <c r="F503" s="660"/>
      <c r="G503" s="660"/>
      <c r="H503" s="660"/>
      <c r="I503" s="660"/>
      <c r="J503" s="660"/>
      <c r="K503" s="660"/>
      <c r="L503" s="660"/>
      <c r="M503" s="660"/>
      <c r="N503" s="660"/>
      <c r="O503" s="660"/>
      <c r="P503" s="660"/>
      <c r="Q503" s="660"/>
      <c r="R503" s="660"/>
      <c r="S503" s="660"/>
      <c r="T503" s="660"/>
      <c r="U503" s="660"/>
      <c r="V503" s="660"/>
      <c r="W503" s="660"/>
      <c r="X503" s="660"/>
      <c r="Y503" s="660"/>
      <c r="Z503" s="660"/>
      <c r="AA503" s="63"/>
      <c r="AB503" s="63"/>
      <c r="AC503" s="63"/>
    </row>
    <row r="504" spans="1:68" ht="27" hidden="1" customHeight="1" x14ac:dyDescent="0.25">
      <c r="A504" s="60" t="s">
        <v>805</v>
      </c>
      <c r="B504" s="60" t="s">
        <v>806</v>
      </c>
      <c r="C504" s="34">
        <v>4301011769</v>
      </c>
      <c r="D504" s="661">
        <v>4607091389067</v>
      </c>
      <c r="E504" s="661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89</v>
      </c>
      <c r="N504" s="36"/>
      <c r="O504" s="35">
        <v>60</v>
      </c>
      <c r="P504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663"/>
      <c r="R504" s="663"/>
      <c r="S504" s="663"/>
      <c r="T504" s="664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3">IFERROR(IF(X504="",0,CEILING((X504/$H504),1)*$H504),"")</f>
        <v>0</v>
      </c>
      <c r="Z504" s="39" t="str">
        <f t="shared" ref="Z504:Z509" si="74">IFERROR(IF(Y504=0,"",ROUNDUP(Y504/H504,0)*0.01196),"")</f>
        <v/>
      </c>
      <c r="AA504" s="65" t="s">
        <v>46</v>
      </c>
      <c r="AB504" s="66" t="s">
        <v>46</v>
      </c>
      <c r="AC504" s="595" t="s">
        <v>124</v>
      </c>
      <c r="AG504" s="75"/>
      <c r="AJ504" s="79" t="s">
        <v>46</v>
      </c>
      <c r="AK504" s="79">
        <v>0</v>
      </c>
      <c r="BB504" s="596" t="s">
        <v>66</v>
      </c>
      <c r="BM504" s="75">
        <f t="shared" ref="BM504:BM512" si="75">IFERROR(X504*I504/H504,"0")</f>
        <v>0</v>
      </c>
      <c r="BN504" s="75">
        <f t="shared" ref="BN504:BN512" si="76">IFERROR(Y504*I504/H504,"0")</f>
        <v>0</v>
      </c>
      <c r="BO504" s="75">
        <f t="shared" ref="BO504:BO512" si="77">IFERROR(1/J504*(X504/H504),"0")</f>
        <v>0</v>
      </c>
      <c r="BP504" s="75">
        <f t="shared" ref="BP504:BP512" si="78">IFERROR(1/J504*(Y504/H504),"0")</f>
        <v>0</v>
      </c>
    </row>
    <row r="505" spans="1:68" ht="16.5" hidden="1" customHeight="1" x14ac:dyDescent="0.25">
      <c r="A505" s="60" t="s">
        <v>807</v>
      </c>
      <c r="B505" s="60" t="s">
        <v>808</v>
      </c>
      <c r="C505" s="34">
        <v>4301012380</v>
      </c>
      <c r="D505" s="661">
        <v>4680115889576</v>
      </c>
      <c r="E505" s="661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663"/>
      <c r="R505" s="663"/>
      <c r="S505" s="663"/>
      <c r="T505" s="664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3"/>
        <v>0</v>
      </c>
      <c r="Z505" s="39" t="str">
        <f t="shared" si="74"/>
        <v/>
      </c>
      <c r="AA505" s="65" t="s">
        <v>46</v>
      </c>
      <c r="AB505" s="66" t="s">
        <v>46</v>
      </c>
      <c r="AC505" s="597" t="s">
        <v>809</v>
      </c>
      <c r="AG505" s="75"/>
      <c r="AJ505" s="79" t="s">
        <v>46</v>
      </c>
      <c r="AK505" s="79">
        <v>0</v>
      </c>
      <c r="BB505" s="598" t="s">
        <v>66</v>
      </c>
      <c r="BM505" s="75">
        <f t="shared" si="75"/>
        <v>0</v>
      </c>
      <c r="BN505" s="75">
        <f t="shared" si="76"/>
        <v>0</v>
      </c>
      <c r="BO505" s="75">
        <f t="shared" si="77"/>
        <v>0</v>
      </c>
      <c r="BP505" s="75">
        <f t="shared" si="78"/>
        <v>0</v>
      </c>
    </row>
    <row r="506" spans="1:68" ht="27" hidden="1" customHeight="1" x14ac:dyDescent="0.25">
      <c r="A506" s="60" t="s">
        <v>810</v>
      </c>
      <c r="B506" s="60" t="s">
        <v>811</v>
      </c>
      <c r="C506" s="34">
        <v>4301011961</v>
      </c>
      <c r="D506" s="661">
        <v>4680115885271</v>
      </c>
      <c r="E506" s="661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663"/>
      <c r="R506" s="663"/>
      <c r="S506" s="663"/>
      <c r="T506" s="664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3"/>
        <v>0</v>
      </c>
      <c r="Z506" s="39" t="str">
        <f t="shared" si="74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75"/>
        <v>0</v>
      </c>
      <c r="BN506" s="75">
        <f t="shared" si="76"/>
        <v>0</v>
      </c>
      <c r="BO506" s="75">
        <f t="shared" si="77"/>
        <v>0</v>
      </c>
      <c r="BP506" s="75">
        <f t="shared" si="78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4301011369</v>
      </c>
      <c r="D507" s="661">
        <v>4680115885226</v>
      </c>
      <c r="E507" s="661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663"/>
      <c r="R507" s="663"/>
      <c r="S507" s="663"/>
      <c r="T507" s="664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3"/>
        <v>0</v>
      </c>
      <c r="Z507" s="39" t="str">
        <f t="shared" si="74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75"/>
        <v>0</v>
      </c>
      <c r="BN507" s="75">
        <f t="shared" si="76"/>
        <v>0</v>
      </c>
      <c r="BO507" s="75">
        <f t="shared" si="77"/>
        <v>0</v>
      </c>
      <c r="BP507" s="75">
        <f t="shared" si="78"/>
        <v>0</v>
      </c>
    </row>
    <row r="508" spans="1:68" ht="16.5" hidden="1" customHeight="1" x14ac:dyDescent="0.25">
      <c r="A508" s="60" t="s">
        <v>816</v>
      </c>
      <c r="B508" s="60" t="s">
        <v>817</v>
      </c>
      <c r="C508" s="34">
        <v>4301011797</v>
      </c>
      <c r="D508" s="661">
        <v>4680115884502</v>
      </c>
      <c r="E508" s="661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89</v>
      </c>
      <c r="N508" s="36"/>
      <c r="O508" s="35">
        <v>60</v>
      </c>
      <c r="P508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663"/>
      <c r="R508" s="663"/>
      <c r="S508" s="663"/>
      <c r="T508" s="664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3"/>
        <v>0</v>
      </c>
      <c r="Z508" s="39" t="str">
        <f t="shared" si="74"/>
        <v/>
      </c>
      <c r="AA508" s="65" t="s">
        <v>46</v>
      </c>
      <c r="AB508" s="66" t="s">
        <v>46</v>
      </c>
      <c r="AC508" s="603" t="s">
        <v>818</v>
      </c>
      <c r="AG508" s="75"/>
      <c r="AJ508" s="79" t="s">
        <v>46</v>
      </c>
      <c r="AK508" s="79">
        <v>0</v>
      </c>
      <c r="BB508" s="604" t="s">
        <v>66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hidden="1" customHeight="1" x14ac:dyDescent="0.25">
      <c r="A509" s="60" t="s">
        <v>819</v>
      </c>
      <c r="B509" s="60" t="s">
        <v>820</v>
      </c>
      <c r="C509" s="34">
        <v>4301011771</v>
      </c>
      <c r="D509" s="661">
        <v>4607091389104</v>
      </c>
      <c r="E509" s="661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125</v>
      </c>
      <c r="N509" s="36"/>
      <c r="O509" s="35">
        <v>60</v>
      </c>
      <c r="P509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663"/>
      <c r="R509" s="663"/>
      <c r="S509" s="663"/>
      <c r="T509" s="664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3"/>
        <v>0</v>
      </c>
      <c r="Z509" s="39" t="str">
        <f t="shared" si="74"/>
        <v/>
      </c>
      <c r="AA509" s="65" t="s">
        <v>46</v>
      </c>
      <c r="AB509" s="66" t="s">
        <v>46</v>
      </c>
      <c r="AC509" s="605" t="s">
        <v>821</v>
      </c>
      <c r="AG509" s="75"/>
      <c r="AJ509" s="79" t="s">
        <v>46</v>
      </c>
      <c r="AK509" s="79">
        <v>0</v>
      </c>
      <c r="BB509" s="606" t="s">
        <v>66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hidden="1" customHeight="1" x14ac:dyDescent="0.25">
      <c r="A510" s="60" t="s">
        <v>822</v>
      </c>
      <c r="B510" s="60" t="s">
        <v>823</v>
      </c>
      <c r="C510" s="34">
        <v>4301012125</v>
      </c>
      <c r="D510" s="661">
        <v>4680115886391</v>
      </c>
      <c r="E510" s="661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90</v>
      </c>
      <c r="L510" s="35" t="s">
        <v>46</v>
      </c>
      <c r="M510" s="36" t="s">
        <v>89</v>
      </c>
      <c r="N510" s="36"/>
      <c r="O510" s="35">
        <v>60</v>
      </c>
      <c r="P510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663"/>
      <c r="R510" s="663"/>
      <c r="S510" s="663"/>
      <c r="T510" s="664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3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124</v>
      </c>
      <c r="AG510" s="75"/>
      <c r="AJ510" s="79" t="s">
        <v>46</v>
      </c>
      <c r="AK510" s="79">
        <v>0</v>
      </c>
      <c r="BB510" s="608" t="s">
        <v>66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hidden="1" customHeight="1" x14ac:dyDescent="0.25">
      <c r="A511" s="60" t="s">
        <v>824</v>
      </c>
      <c r="B511" s="60" t="s">
        <v>825</v>
      </c>
      <c r="C511" s="34">
        <v>4301012048</v>
      </c>
      <c r="D511" s="661">
        <v>4680115880603</v>
      </c>
      <c r="E511" s="661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133</v>
      </c>
      <c r="L511" s="35" t="s">
        <v>46</v>
      </c>
      <c r="M511" s="36" t="s">
        <v>89</v>
      </c>
      <c r="N511" s="36"/>
      <c r="O511" s="35">
        <v>60</v>
      </c>
      <c r="P511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663"/>
      <c r="R511" s="663"/>
      <c r="S511" s="663"/>
      <c r="T511" s="664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3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hidden="1" customHeight="1" x14ac:dyDescent="0.25">
      <c r="A512" s="60" t="s">
        <v>826</v>
      </c>
      <c r="B512" s="60" t="s">
        <v>827</v>
      </c>
      <c r="C512" s="34">
        <v>4301012034</v>
      </c>
      <c r="D512" s="661">
        <v>4607091389982</v>
      </c>
      <c r="E512" s="661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125</v>
      </c>
      <c r="N512" s="36"/>
      <c r="O512" s="35">
        <v>60</v>
      </c>
      <c r="P512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663"/>
      <c r="R512" s="663"/>
      <c r="S512" s="663"/>
      <c r="T512" s="664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3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821</v>
      </c>
      <c r="AG512" s="75"/>
      <c r="AJ512" s="79" t="s">
        <v>46</v>
      </c>
      <c r="AK512" s="79">
        <v>0</v>
      </c>
      <c r="BB512" s="612" t="s">
        <v>66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idden="1" x14ac:dyDescent="0.25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2"/>
      <c r="P513" s="648" t="s">
        <v>40</v>
      </c>
      <c r="Q513" s="649"/>
      <c r="R513" s="649"/>
      <c r="S513" s="649"/>
      <c r="T513" s="649"/>
      <c r="U513" s="649"/>
      <c r="V513" s="650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5">
      <c r="A514" s="651"/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2"/>
      <c r="P514" s="648" t="s">
        <v>40</v>
      </c>
      <c r="Q514" s="649"/>
      <c r="R514" s="649"/>
      <c r="S514" s="649"/>
      <c r="T514" s="649"/>
      <c r="U514" s="649"/>
      <c r="V514" s="650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0" t="s">
        <v>154</v>
      </c>
      <c r="B515" s="660"/>
      <c r="C515" s="660"/>
      <c r="D515" s="660"/>
      <c r="E515" s="660"/>
      <c r="F515" s="660"/>
      <c r="G515" s="660"/>
      <c r="H515" s="660"/>
      <c r="I515" s="660"/>
      <c r="J515" s="660"/>
      <c r="K515" s="660"/>
      <c r="L515" s="660"/>
      <c r="M515" s="660"/>
      <c r="N515" s="660"/>
      <c r="O515" s="660"/>
      <c r="P515" s="660"/>
      <c r="Q515" s="660"/>
      <c r="R515" s="660"/>
      <c r="S515" s="660"/>
      <c r="T515" s="660"/>
      <c r="U515" s="660"/>
      <c r="V515" s="660"/>
      <c r="W515" s="660"/>
      <c r="X515" s="660"/>
      <c r="Y515" s="660"/>
      <c r="Z515" s="660"/>
      <c r="AA515" s="63"/>
      <c r="AB515" s="63"/>
      <c r="AC515" s="63"/>
    </row>
    <row r="516" spans="1:68" ht="16.5" hidden="1" customHeight="1" x14ac:dyDescent="0.25">
      <c r="A516" s="60" t="s">
        <v>828</v>
      </c>
      <c r="B516" s="60" t="s">
        <v>829</v>
      </c>
      <c r="C516" s="34">
        <v>4301020334</v>
      </c>
      <c r="D516" s="661">
        <v>4607091388930</v>
      </c>
      <c r="E516" s="661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126</v>
      </c>
      <c r="L516" s="35" t="s">
        <v>46</v>
      </c>
      <c r="M516" s="36" t="s">
        <v>89</v>
      </c>
      <c r="N516" s="36"/>
      <c r="O516" s="35">
        <v>70</v>
      </c>
      <c r="P516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663"/>
      <c r="R516" s="663"/>
      <c r="S516" s="663"/>
      <c r="T516" s="664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830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831</v>
      </c>
      <c r="B517" s="60" t="s">
        <v>832</v>
      </c>
      <c r="C517" s="34">
        <v>4301020374</v>
      </c>
      <c r="D517" s="661">
        <v>4680115886407</v>
      </c>
      <c r="E517" s="661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90</v>
      </c>
      <c r="L517" s="35" t="s">
        <v>46</v>
      </c>
      <c r="M517" s="36" t="s">
        <v>125</v>
      </c>
      <c r="N517" s="36"/>
      <c r="O517" s="35">
        <v>70</v>
      </c>
      <c r="P517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663"/>
      <c r="R517" s="663"/>
      <c r="S517" s="663"/>
      <c r="T517" s="664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830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833</v>
      </c>
      <c r="B518" s="60" t="s">
        <v>834</v>
      </c>
      <c r="C518" s="34">
        <v>4301020385</v>
      </c>
      <c r="D518" s="661">
        <v>4680115880054</v>
      </c>
      <c r="E518" s="661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133</v>
      </c>
      <c r="L518" s="35" t="s">
        <v>46</v>
      </c>
      <c r="M518" s="36" t="s">
        <v>125</v>
      </c>
      <c r="N518" s="36"/>
      <c r="O518" s="35">
        <v>70</v>
      </c>
      <c r="P518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663"/>
      <c r="R518" s="663"/>
      <c r="S518" s="663"/>
      <c r="T518" s="664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830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5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52"/>
      <c r="P519" s="648" t="s">
        <v>40</v>
      </c>
      <c r="Q519" s="649"/>
      <c r="R519" s="649"/>
      <c r="S519" s="649"/>
      <c r="T519" s="649"/>
      <c r="U519" s="649"/>
      <c r="V519" s="650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5">
      <c r="A520" s="651"/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2"/>
      <c r="P520" s="648" t="s">
        <v>40</v>
      </c>
      <c r="Q520" s="649"/>
      <c r="R520" s="649"/>
      <c r="S520" s="649"/>
      <c r="T520" s="649"/>
      <c r="U520" s="649"/>
      <c r="V520" s="650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660" t="s">
        <v>76</v>
      </c>
      <c r="B521" s="660"/>
      <c r="C521" s="660"/>
      <c r="D521" s="660"/>
      <c r="E521" s="660"/>
      <c r="F521" s="660"/>
      <c r="G521" s="660"/>
      <c r="H521" s="660"/>
      <c r="I521" s="660"/>
      <c r="J521" s="660"/>
      <c r="K521" s="660"/>
      <c r="L521" s="660"/>
      <c r="M521" s="660"/>
      <c r="N521" s="660"/>
      <c r="O521" s="660"/>
      <c r="P521" s="660"/>
      <c r="Q521" s="660"/>
      <c r="R521" s="660"/>
      <c r="S521" s="660"/>
      <c r="T521" s="660"/>
      <c r="U521" s="660"/>
      <c r="V521" s="660"/>
      <c r="W521" s="660"/>
      <c r="X521" s="660"/>
      <c r="Y521" s="660"/>
      <c r="Z521" s="660"/>
      <c r="AA521" s="63"/>
      <c r="AB521" s="63"/>
      <c r="AC521" s="63"/>
    </row>
    <row r="522" spans="1:68" ht="27" hidden="1" customHeight="1" x14ac:dyDescent="0.25">
      <c r="A522" s="60" t="s">
        <v>835</v>
      </c>
      <c r="B522" s="60" t="s">
        <v>836</v>
      </c>
      <c r="C522" s="34">
        <v>4301031349</v>
      </c>
      <c r="D522" s="661">
        <v>4680115883116</v>
      </c>
      <c r="E522" s="661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125</v>
      </c>
      <c r="N522" s="36"/>
      <c r="O522" s="35">
        <v>70</v>
      </c>
      <c r="P522" s="6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663"/>
      <c r="R522" s="663"/>
      <c r="S522" s="663"/>
      <c r="T522" s="664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79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837</v>
      </c>
      <c r="AG522" s="75"/>
      <c r="AJ522" s="79" t="s">
        <v>46</v>
      </c>
      <c r="AK522" s="79">
        <v>0</v>
      </c>
      <c r="BB522" s="620" t="s">
        <v>66</v>
      </c>
      <c r="BM522" s="75">
        <f t="shared" ref="BM522:BM528" si="80">IFERROR(X522*I522/H522,"0")</f>
        <v>0</v>
      </c>
      <c r="BN522" s="75">
        <f t="shared" ref="BN522:BN528" si="81">IFERROR(Y522*I522/H522,"0")</f>
        <v>0</v>
      </c>
      <c r="BO522" s="75">
        <f t="shared" ref="BO522:BO528" si="82">IFERROR(1/J522*(X522/H522),"0")</f>
        <v>0</v>
      </c>
      <c r="BP522" s="75">
        <f t="shared" ref="BP522:BP528" si="83">IFERROR(1/J522*(Y522/H522),"0")</f>
        <v>0</v>
      </c>
    </row>
    <row r="523" spans="1:68" ht="27" hidden="1" customHeight="1" x14ac:dyDescent="0.25">
      <c r="A523" s="60" t="s">
        <v>838</v>
      </c>
      <c r="B523" s="60" t="s">
        <v>839</v>
      </c>
      <c r="C523" s="34">
        <v>4301031350</v>
      </c>
      <c r="D523" s="661">
        <v>4680115883093</v>
      </c>
      <c r="E523" s="661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80</v>
      </c>
      <c r="N523" s="36"/>
      <c r="O523" s="35">
        <v>70</v>
      </c>
      <c r="P523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663"/>
      <c r="R523" s="663"/>
      <c r="S523" s="663"/>
      <c r="T523" s="664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79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840</v>
      </c>
      <c r="AG523" s="75"/>
      <c r="AJ523" s="79" t="s">
        <v>46</v>
      </c>
      <c r="AK523" s="79">
        <v>0</v>
      </c>
      <c r="BB523" s="622" t="s">
        <v>66</v>
      </c>
      <c r="BM523" s="75">
        <f t="shared" si="80"/>
        <v>0</v>
      </c>
      <c r="BN523" s="75">
        <f t="shared" si="81"/>
        <v>0</v>
      </c>
      <c r="BO523" s="75">
        <f t="shared" si="82"/>
        <v>0</v>
      </c>
      <c r="BP523" s="75">
        <f t="shared" si="83"/>
        <v>0</v>
      </c>
    </row>
    <row r="524" spans="1:68" ht="27" hidden="1" customHeight="1" x14ac:dyDescent="0.25">
      <c r="A524" s="60" t="s">
        <v>841</v>
      </c>
      <c r="B524" s="60" t="s">
        <v>842</v>
      </c>
      <c r="C524" s="34">
        <v>4301031353</v>
      </c>
      <c r="D524" s="661">
        <v>4680115883109</v>
      </c>
      <c r="E524" s="661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67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663"/>
      <c r="R524" s="663"/>
      <c r="S524" s="663"/>
      <c r="T524" s="664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79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843</v>
      </c>
      <c r="AG524" s="75"/>
      <c r="AJ524" s="79" t="s">
        <v>46</v>
      </c>
      <c r="AK524" s="79">
        <v>0</v>
      </c>
      <c r="BB524" s="624" t="s">
        <v>66</v>
      </c>
      <c r="BM524" s="75">
        <f t="shared" si="80"/>
        <v>0</v>
      </c>
      <c r="BN524" s="75">
        <f t="shared" si="81"/>
        <v>0</v>
      </c>
      <c r="BO524" s="75">
        <f t="shared" si="82"/>
        <v>0</v>
      </c>
      <c r="BP524" s="75">
        <f t="shared" si="83"/>
        <v>0</v>
      </c>
    </row>
    <row r="525" spans="1:68" ht="27" hidden="1" customHeight="1" x14ac:dyDescent="0.25">
      <c r="A525" s="60" t="s">
        <v>844</v>
      </c>
      <c r="B525" s="60" t="s">
        <v>845</v>
      </c>
      <c r="C525" s="34">
        <v>4301031419</v>
      </c>
      <c r="D525" s="661">
        <v>4680115882072</v>
      </c>
      <c r="E525" s="661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133</v>
      </c>
      <c r="L525" s="35" t="s">
        <v>46</v>
      </c>
      <c r="M525" s="36" t="s">
        <v>125</v>
      </c>
      <c r="N525" s="36"/>
      <c r="O525" s="35">
        <v>70</v>
      </c>
      <c r="P525" s="67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663"/>
      <c r="R525" s="663"/>
      <c r="S525" s="663"/>
      <c r="T525" s="664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79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837</v>
      </c>
      <c r="AG525" s="75"/>
      <c r="AJ525" s="79" t="s">
        <v>46</v>
      </c>
      <c r="AK525" s="79">
        <v>0</v>
      </c>
      <c r="BB525" s="626" t="s">
        <v>66</v>
      </c>
      <c r="BM525" s="75">
        <f t="shared" si="80"/>
        <v>0</v>
      </c>
      <c r="BN525" s="75">
        <f t="shared" si="81"/>
        <v>0</v>
      </c>
      <c r="BO525" s="75">
        <f t="shared" si="82"/>
        <v>0</v>
      </c>
      <c r="BP525" s="75">
        <f t="shared" si="83"/>
        <v>0</v>
      </c>
    </row>
    <row r="526" spans="1:68" ht="27" hidden="1" customHeight="1" x14ac:dyDescent="0.25">
      <c r="A526" s="60" t="s">
        <v>846</v>
      </c>
      <c r="B526" s="60" t="s">
        <v>847</v>
      </c>
      <c r="C526" s="34">
        <v>4301031352</v>
      </c>
      <c r="D526" s="661">
        <v>4680115882102</v>
      </c>
      <c r="E526" s="661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6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663"/>
      <c r="R526" s="663"/>
      <c r="S526" s="663"/>
      <c r="T526" s="664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79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840</v>
      </c>
      <c r="AG526" s="75"/>
      <c r="AJ526" s="79" t="s">
        <v>46</v>
      </c>
      <c r="AK526" s="79">
        <v>0</v>
      </c>
      <c r="BB526" s="628" t="s">
        <v>66</v>
      </c>
      <c r="BM526" s="75">
        <f t="shared" si="80"/>
        <v>0</v>
      </c>
      <c r="BN526" s="75">
        <f t="shared" si="81"/>
        <v>0</v>
      </c>
      <c r="BO526" s="75">
        <f t="shared" si="82"/>
        <v>0</v>
      </c>
      <c r="BP526" s="75">
        <f t="shared" si="83"/>
        <v>0</v>
      </c>
    </row>
    <row r="527" spans="1:68" ht="27" hidden="1" customHeight="1" x14ac:dyDescent="0.25">
      <c r="A527" s="60" t="s">
        <v>846</v>
      </c>
      <c r="B527" s="60" t="s">
        <v>848</v>
      </c>
      <c r="C527" s="34">
        <v>4301031418</v>
      </c>
      <c r="D527" s="661">
        <v>4680115882102</v>
      </c>
      <c r="E527" s="661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67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663"/>
      <c r="R527" s="663"/>
      <c r="S527" s="663"/>
      <c r="T527" s="664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79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840</v>
      </c>
      <c r="AG527" s="75"/>
      <c r="AJ527" s="79" t="s">
        <v>46</v>
      </c>
      <c r="AK527" s="79">
        <v>0</v>
      </c>
      <c r="BB527" s="630" t="s">
        <v>66</v>
      </c>
      <c r="BM527" s="75">
        <f t="shared" si="80"/>
        <v>0</v>
      </c>
      <c r="BN527" s="75">
        <f t="shared" si="81"/>
        <v>0</v>
      </c>
      <c r="BO527" s="75">
        <f t="shared" si="82"/>
        <v>0</v>
      </c>
      <c r="BP527" s="75">
        <f t="shared" si="83"/>
        <v>0</v>
      </c>
    </row>
    <row r="528" spans="1:68" ht="27" hidden="1" customHeight="1" x14ac:dyDescent="0.25">
      <c r="A528" s="60" t="s">
        <v>849</v>
      </c>
      <c r="B528" s="60" t="s">
        <v>850</v>
      </c>
      <c r="C528" s="34">
        <v>4301031417</v>
      </c>
      <c r="D528" s="661">
        <v>4680115882096</v>
      </c>
      <c r="E528" s="661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663"/>
      <c r="R528" s="663"/>
      <c r="S528" s="663"/>
      <c r="T528" s="664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79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843</v>
      </c>
      <c r="AG528" s="75"/>
      <c r="AJ528" s="79" t="s">
        <v>46</v>
      </c>
      <c r="AK528" s="79">
        <v>0</v>
      </c>
      <c r="BB528" s="632" t="s">
        <v>66</v>
      </c>
      <c r="BM528" s="75">
        <f t="shared" si="80"/>
        <v>0</v>
      </c>
      <c r="BN528" s="75">
        <f t="shared" si="81"/>
        <v>0</v>
      </c>
      <c r="BO528" s="75">
        <f t="shared" si="82"/>
        <v>0</v>
      </c>
      <c r="BP528" s="75">
        <f t="shared" si="83"/>
        <v>0</v>
      </c>
    </row>
    <row r="529" spans="1:68" hidden="1" x14ac:dyDescent="0.25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2"/>
      <c r="P529" s="648" t="s">
        <v>40</v>
      </c>
      <c r="Q529" s="649"/>
      <c r="R529" s="649"/>
      <c r="S529" s="649"/>
      <c r="T529" s="649"/>
      <c r="U529" s="649"/>
      <c r="V529" s="650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5">
      <c r="A530" s="651"/>
      <c r="B530" s="651"/>
      <c r="C530" s="651"/>
      <c r="D530" s="651"/>
      <c r="E530" s="651"/>
      <c r="F530" s="651"/>
      <c r="G530" s="651"/>
      <c r="H530" s="651"/>
      <c r="I530" s="651"/>
      <c r="J530" s="651"/>
      <c r="K530" s="651"/>
      <c r="L530" s="651"/>
      <c r="M530" s="651"/>
      <c r="N530" s="651"/>
      <c r="O530" s="652"/>
      <c r="P530" s="648" t="s">
        <v>40</v>
      </c>
      <c r="Q530" s="649"/>
      <c r="R530" s="649"/>
      <c r="S530" s="649"/>
      <c r="T530" s="649"/>
      <c r="U530" s="649"/>
      <c r="V530" s="650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5">
      <c r="A531" s="678" t="s">
        <v>851</v>
      </c>
      <c r="B531" s="678"/>
      <c r="C531" s="678"/>
      <c r="D531" s="678"/>
      <c r="E531" s="678"/>
      <c r="F531" s="678"/>
      <c r="G531" s="678"/>
      <c r="H531" s="678"/>
      <c r="I531" s="678"/>
      <c r="J531" s="678"/>
      <c r="K531" s="678"/>
      <c r="L531" s="678"/>
      <c r="M531" s="678"/>
      <c r="N531" s="678"/>
      <c r="O531" s="678"/>
      <c r="P531" s="678"/>
      <c r="Q531" s="678"/>
      <c r="R531" s="678"/>
      <c r="S531" s="678"/>
      <c r="T531" s="678"/>
      <c r="U531" s="678"/>
      <c r="V531" s="678"/>
      <c r="W531" s="678"/>
      <c r="X531" s="678"/>
      <c r="Y531" s="678"/>
      <c r="Z531" s="678"/>
      <c r="AA531" s="52"/>
      <c r="AB531" s="52"/>
      <c r="AC531" s="52"/>
    </row>
    <row r="532" spans="1:68" ht="16.5" hidden="1" customHeight="1" x14ac:dyDescent="0.25">
      <c r="A532" s="667" t="s">
        <v>851</v>
      </c>
      <c r="B532" s="667"/>
      <c r="C532" s="667"/>
      <c r="D532" s="667"/>
      <c r="E532" s="667"/>
      <c r="F532" s="667"/>
      <c r="G532" s="667"/>
      <c r="H532" s="667"/>
      <c r="I532" s="667"/>
      <c r="J532" s="667"/>
      <c r="K532" s="667"/>
      <c r="L532" s="667"/>
      <c r="M532" s="667"/>
      <c r="N532" s="667"/>
      <c r="O532" s="667"/>
      <c r="P532" s="667"/>
      <c r="Q532" s="667"/>
      <c r="R532" s="667"/>
      <c r="S532" s="667"/>
      <c r="T532" s="667"/>
      <c r="U532" s="667"/>
      <c r="V532" s="667"/>
      <c r="W532" s="667"/>
      <c r="X532" s="667"/>
      <c r="Y532" s="667"/>
      <c r="Z532" s="667"/>
      <c r="AA532" s="62"/>
      <c r="AB532" s="62"/>
      <c r="AC532" s="62"/>
    </row>
    <row r="533" spans="1:68" ht="14.25" hidden="1" customHeight="1" x14ac:dyDescent="0.25">
      <c r="A533" s="660" t="s">
        <v>121</v>
      </c>
      <c r="B533" s="660"/>
      <c r="C533" s="660"/>
      <c r="D533" s="660"/>
      <c r="E533" s="660"/>
      <c r="F533" s="660"/>
      <c r="G533" s="660"/>
      <c r="H533" s="660"/>
      <c r="I533" s="660"/>
      <c r="J533" s="660"/>
      <c r="K533" s="660"/>
      <c r="L533" s="660"/>
      <c r="M533" s="660"/>
      <c r="N533" s="660"/>
      <c r="O533" s="660"/>
      <c r="P533" s="660"/>
      <c r="Q533" s="660"/>
      <c r="R533" s="660"/>
      <c r="S533" s="660"/>
      <c r="T533" s="660"/>
      <c r="U533" s="660"/>
      <c r="V533" s="660"/>
      <c r="W533" s="660"/>
      <c r="X533" s="660"/>
      <c r="Y533" s="660"/>
      <c r="Z533" s="660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4301011584</v>
      </c>
      <c r="D534" s="661">
        <v>4640242180564</v>
      </c>
      <c r="E534" s="661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126</v>
      </c>
      <c r="L534" s="35" t="s">
        <v>46</v>
      </c>
      <c r="M534" s="36" t="s">
        <v>125</v>
      </c>
      <c r="N534" s="36"/>
      <c r="O534" s="35">
        <v>50</v>
      </c>
      <c r="P534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663"/>
      <c r="R534" s="663"/>
      <c r="S534" s="663"/>
      <c r="T534" s="664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854</v>
      </c>
      <c r="AG534" s="75"/>
      <c r="AJ534" s="79" t="s">
        <v>46</v>
      </c>
      <c r="AK534" s="79">
        <v>0</v>
      </c>
      <c r="BB534" s="63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5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5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60" t="s">
        <v>154</v>
      </c>
      <c r="B537" s="660"/>
      <c r="C537" s="660"/>
      <c r="D537" s="660"/>
      <c r="E537" s="660"/>
      <c r="F537" s="660"/>
      <c r="G537" s="660"/>
      <c r="H537" s="660"/>
      <c r="I537" s="660"/>
      <c r="J537" s="660"/>
      <c r="K537" s="660"/>
      <c r="L537" s="660"/>
      <c r="M537" s="660"/>
      <c r="N537" s="660"/>
      <c r="O537" s="660"/>
      <c r="P537" s="660"/>
      <c r="Q537" s="660"/>
      <c r="R537" s="660"/>
      <c r="S537" s="660"/>
      <c r="T537" s="660"/>
      <c r="U537" s="660"/>
      <c r="V537" s="660"/>
      <c r="W537" s="660"/>
      <c r="X537" s="660"/>
      <c r="Y537" s="660"/>
      <c r="Z537" s="660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4301020400</v>
      </c>
      <c r="D538" s="661">
        <v>4640242180519</v>
      </c>
      <c r="E538" s="661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126</v>
      </c>
      <c r="L538" s="35" t="s">
        <v>46</v>
      </c>
      <c r="M538" s="36" t="s">
        <v>125</v>
      </c>
      <c r="N538" s="36"/>
      <c r="O538" s="35">
        <v>50</v>
      </c>
      <c r="P538" s="67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8" s="663"/>
      <c r="R538" s="663"/>
      <c r="S538" s="663"/>
      <c r="T538" s="664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857</v>
      </c>
      <c r="AG538" s="75"/>
      <c r="AJ538" s="79" t="s">
        <v>46</v>
      </c>
      <c r="AK538" s="79">
        <v>0</v>
      </c>
      <c r="BB538" s="63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5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5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60" t="s">
        <v>76</v>
      </c>
      <c r="B541" s="660"/>
      <c r="C541" s="660"/>
      <c r="D541" s="660"/>
      <c r="E541" s="660"/>
      <c r="F541" s="660"/>
      <c r="G541" s="660"/>
      <c r="H541" s="660"/>
      <c r="I541" s="660"/>
      <c r="J541" s="660"/>
      <c r="K541" s="660"/>
      <c r="L541" s="660"/>
      <c r="M541" s="660"/>
      <c r="N541" s="660"/>
      <c r="O541" s="660"/>
      <c r="P541" s="660"/>
      <c r="Q541" s="660"/>
      <c r="R541" s="660"/>
      <c r="S541" s="660"/>
      <c r="T541" s="660"/>
      <c r="U541" s="660"/>
      <c r="V541" s="660"/>
      <c r="W541" s="660"/>
      <c r="X541" s="660"/>
      <c r="Y541" s="660"/>
      <c r="Z541" s="660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4301031500</v>
      </c>
      <c r="D542" s="661">
        <v>4640242180595</v>
      </c>
      <c r="E542" s="661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133</v>
      </c>
      <c r="L542" s="35" t="s">
        <v>46</v>
      </c>
      <c r="M542" s="36" t="s">
        <v>80</v>
      </c>
      <c r="N542" s="36"/>
      <c r="O542" s="35">
        <v>40</v>
      </c>
      <c r="P542" s="67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663"/>
      <c r="R542" s="663"/>
      <c r="S542" s="663"/>
      <c r="T542" s="664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860</v>
      </c>
      <c r="AG542" s="75"/>
      <c r="AJ542" s="79" t="s">
        <v>46</v>
      </c>
      <c r="AK542" s="79">
        <v>0</v>
      </c>
      <c r="BB542" s="63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5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5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660" t="s">
        <v>85</v>
      </c>
      <c r="B545" s="660"/>
      <c r="C545" s="660"/>
      <c r="D545" s="660"/>
      <c r="E545" s="660"/>
      <c r="F545" s="660"/>
      <c r="G545" s="660"/>
      <c r="H545" s="660"/>
      <c r="I545" s="660"/>
      <c r="J545" s="660"/>
      <c r="K545" s="660"/>
      <c r="L545" s="660"/>
      <c r="M545" s="660"/>
      <c r="N545" s="660"/>
      <c r="O545" s="660"/>
      <c r="P545" s="660"/>
      <c r="Q545" s="660"/>
      <c r="R545" s="660"/>
      <c r="S545" s="660"/>
      <c r="T545" s="660"/>
      <c r="U545" s="660"/>
      <c r="V545" s="660"/>
      <c r="W545" s="660"/>
      <c r="X545" s="660"/>
      <c r="Y545" s="660"/>
      <c r="Z545" s="660"/>
      <c r="AA545" s="63"/>
      <c r="AB545" s="63"/>
      <c r="AC545" s="63"/>
    </row>
    <row r="546" spans="1:68" ht="27" hidden="1" customHeight="1" x14ac:dyDescent="0.25">
      <c r="A546" s="60" t="s">
        <v>861</v>
      </c>
      <c r="B546" s="60" t="s">
        <v>862</v>
      </c>
      <c r="C546" s="34">
        <v>4301052043</v>
      </c>
      <c r="D546" s="661">
        <v>4640242180533</v>
      </c>
      <c r="E546" s="661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126</v>
      </c>
      <c r="L546" s="35" t="s">
        <v>46</v>
      </c>
      <c r="M546" s="36" t="s">
        <v>89</v>
      </c>
      <c r="N546" s="36"/>
      <c r="O546" s="35">
        <v>45</v>
      </c>
      <c r="P546" s="66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663"/>
      <c r="R546" s="663"/>
      <c r="S546" s="663"/>
      <c r="T546" s="664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863</v>
      </c>
      <c r="AG546" s="75"/>
      <c r="AJ546" s="79" t="s">
        <v>46</v>
      </c>
      <c r="AK546" s="79">
        <v>0</v>
      </c>
      <c r="BB546" s="640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5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2"/>
      <c r="P547" s="648" t="s">
        <v>40</v>
      </c>
      <c r="Q547" s="649"/>
      <c r="R547" s="649"/>
      <c r="S547" s="649"/>
      <c r="T547" s="649"/>
      <c r="U547" s="649"/>
      <c r="V547" s="650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5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660" t="s">
        <v>172</v>
      </c>
      <c r="B549" s="660"/>
      <c r="C549" s="660"/>
      <c r="D549" s="660"/>
      <c r="E549" s="660"/>
      <c r="F549" s="660"/>
      <c r="G549" s="660"/>
      <c r="H549" s="660"/>
      <c r="I549" s="660"/>
      <c r="J549" s="660"/>
      <c r="K549" s="660"/>
      <c r="L549" s="660"/>
      <c r="M549" s="660"/>
      <c r="N549" s="660"/>
      <c r="O549" s="660"/>
      <c r="P549" s="660"/>
      <c r="Q549" s="660"/>
      <c r="R549" s="660"/>
      <c r="S549" s="660"/>
      <c r="T549" s="660"/>
      <c r="U549" s="660"/>
      <c r="V549" s="660"/>
      <c r="W549" s="660"/>
      <c r="X549" s="660"/>
      <c r="Y549" s="660"/>
      <c r="Z549" s="660"/>
      <c r="AA549" s="63"/>
      <c r="AB549" s="63"/>
      <c r="AC549" s="63"/>
    </row>
    <row r="550" spans="1:68" ht="27" hidden="1" customHeight="1" x14ac:dyDescent="0.25">
      <c r="A550" s="60" t="s">
        <v>864</v>
      </c>
      <c r="B550" s="60" t="s">
        <v>865</v>
      </c>
      <c r="C550" s="34">
        <v>4301060535</v>
      </c>
      <c r="D550" s="661">
        <v>4640242180120</v>
      </c>
      <c r="E550" s="661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126</v>
      </c>
      <c r="L550" s="35" t="s">
        <v>46</v>
      </c>
      <c r="M550" s="36" t="s">
        <v>89</v>
      </c>
      <c r="N550" s="36"/>
      <c r="O550" s="35">
        <v>40</v>
      </c>
      <c r="P550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663"/>
      <c r="R550" s="663"/>
      <c r="S550" s="663"/>
      <c r="T550" s="664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866</v>
      </c>
      <c r="AG550" s="75"/>
      <c r="AJ550" s="79" t="s">
        <v>46</v>
      </c>
      <c r="AK550" s="79">
        <v>0</v>
      </c>
      <c r="BB550" s="642" t="s">
        <v>66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867</v>
      </c>
      <c r="B551" s="60" t="s">
        <v>868</v>
      </c>
      <c r="C551" s="34">
        <v>4301060536</v>
      </c>
      <c r="D551" s="661">
        <v>4640242180137</v>
      </c>
      <c r="E551" s="661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66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663"/>
      <c r="R551" s="663"/>
      <c r="S551" s="663"/>
      <c r="T551" s="664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869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5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52"/>
      <c r="P552" s="648" t="s">
        <v>40</v>
      </c>
      <c r="Q552" s="649"/>
      <c r="R552" s="649"/>
      <c r="S552" s="649"/>
      <c r="T552" s="649"/>
      <c r="U552" s="649"/>
      <c r="V552" s="650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5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667" t="s">
        <v>870</v>
      </c>
      <c r="B554" s="667"/>
      <c r="C554" s="667"/>
      <c r="D554" s="667"/>
      <c r="E554" s="667"/>
      <c r="F554" s="667"/>
      <c r="G554" s="667"/>
      <c r="H554" s="667"/>
      <c r="I554" s="667"/>
      <c r="J554" s="667"/>
      <c r="K554" s="667"/>
      <c r="L554" s="667"/>
      <c r="M554" s="667"/>
      <c r="N554" s="667"/>
      <c r="O554" s="667"/>
      <c r="P554" s="667"/>
      <c r="Q554" s="667"/>
      <c r="R554" s="667"/>
      <c r="S554" s="667"/>
      <c r="T554" s="667"/>
      <c r="U554" s="667"/>
      <c r="V554" s="667"/>
      <c r="W554" s="667"/>
      <c r="X554" s="667"/>
      <c r="Y554" s="667"/>
      <c r="Z554" s="667"/>
      <c r="AA554" s="62"/>
      <c r="AB554" s="62"/>
      <c r="AC554" s="62"/>
    </row>
    <row r="555" spans="1:68" ht="14.25" hidden="1" customHeight="1" x14ac:dyDescent="0.25">
      <c r="A555" s="660" t="s">
        <v>154</v>
      </c>
      <c r="B555" s="660"/>
      <c r="C555" s="660"/>
      <c r="D555" s="660"/>
      <c r="E555" s="660"/>
      <c r="F555" s="660"/>
      <c r="G555" s="660"/>
      <c r="H555" s="660"/>
      <c r="I555" s="660"/>
      <c r="J555" s="660"/>
      <c r="K555" s="660"/>
      <c r="L555" s="660"/>
      <c r="M555" s="660"/>
      <c r="N555" s="660"/>
      <c r="O555" s="660"/>
      <c r="P555" s="660"/>
      <c r="Q555" s="660"/>
      <c r="R555" s="660"/>
      <c r="S555" s="660"/>
      <c r="T555" s="660"/>
      <c r="U555" s="660"/>
      <c r="V555" s="660"/>
      <c r="W555" s="660"/>
      <c r="X555" s="660"/>
      <c r="Y555" s="660"/>
      <c r="Z555" s="660"/>
      <c r="AA555" s="63"/>
      <c r="AB555" s="63"/>
      <c r="AC555" s="63"/>
    </row>
    <row r="556" spans="1:68" ht="27" hidden="1" customHeight="1" x14ac:dyDescent="0.25">
      <c r="A556" s="60" t="s">
        <v>871</v>
      </c>
      <c r="B556" s="60" t="s">
        <v>872</v>
      </c>
      <c r="C556" s="34">
        <v>4301020428</v>
      </c>
      <c r="D556" s="661">
        <v>4640242180090</v>
      </c>
      <c r="E556" s="661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126</v>
      </c>
      <c r="L556" s="35" t="s">
        <v>46</v>
      </c>
      <c r="M556" s="36" t="s">
        <v>125</v>
      </c>
      <c r="N556" s="36"/>
      <c r="O556" s="35">
        <v>50</v>
      </c>
      <c r="P556" s="66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6" s="663"/>
      <c r="R556" s="663"/>
      <c r="S556" s="663"/>
      <c r="T556" s="664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873</v>
      </c>
      <c r="AG556" s="75"/>
      <c r="AJ556" s="79" t="s">
        <v>46</v>
      </c>
      <c r="AK556" s="79">
        <v>0</v>
      </c>
      <c r="BB556" s="646" t="s">
        <v>66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5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2"/>
      <c r="P557" s="648" t="s">
        <v>40</v>
      </c>
      <c r="Q557" s="649"/>
      <c r="R557" s="649"/>
      <c r="S557" s="649"/>
      <c r="T557" s="649"/>
      <c r="U557" s="649"/>
      <c r="V557" s="650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5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2"/>
      <c r="P558" s="648" t="s">
        <v>40</v>
      </c>
      <c r="Q558" s="649"/>
      <c r="R558" s="649"/>
      <c r="S558" s="649"/>
      <c r="T558" s="649"/>
      <c r="U558" s="649"/>
      <c r="V558" s="650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5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33</v>
      </c>
      <c r="Q559" s="654"/>
      <c r="R559" s="654"/>
      <c r="S559" s="654"/>
      <c r="T559" s="654"/>
      <c r="U559" s="654"/>
      <c r="V559" s="655"/>
      <c r="W559" s="40" t="s">
        <v>0</v>
      </c>
      <c r="X559" s="41">
        <f>IFERROR(X25+X33+X43+X52+X62+X69+X75+X82+X91+X100+X112+X120+X130+X135+X141+X146+X151+X162+X166+X173+X178+X193+X199+X203+X207+X219+X224+X241+X249+X255+X259+X265+X270+X281+X296+X301+X312+X316+X320+X326+X335+X342+X351+X356+X363+X372+X382+X389+X395+X402+X408+X414+X420+X427+X440+X446+X452+X457+X463+X467+X473+X484+X489+X494+X500+X514+X520+X530+X536+X540+X544+X548+X553+X558,"0")</f>
        <v>900</v>
      </c>
      <c r="Y559" s="41">
        <f>IFERROR(Y25+Y33+Y43+Y52+Y62+Y69+Y75+Y82+Y91+Y100+Y112+Y120+Y130+Y135+Y141+Y146+Y151+Y162+Y166+Y173+Y178+Y193+Y199+Y203+Y207+Y219+Y224+Y241+Y249+Y255+Y259+Y265+Y270+Y281+Y296+Y301+Y312+Y316+Y320+Y326+Y335+Y342+Y351+Y356+Y363+Y372+Y382+Y389+Y395+Y402+Y408+Y414+Y420+Y427+Y440+Y446+Y452+Y457+Y463+Y467+Y473+Y484+Y489+Y494+Y500+Y514+Y520+Y530+Y536+Y540+Y544+Y548+Y553+Y558,"0")</f>
        <v>900</v>
      </c>
      <c r="Z559" s="40"/>
      <c r="AA559" s="64"/>
      <c r="AB559" s="64"/>
      <c r="AC559" s="64"/>
    </row>
    <row r="560" spans="1:68" x14ac:dyDescent="0.25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34</v>
      </c>
      <c r="Q560" s="654"/>
      <c r="R560" s="654"/>
      <c r="S560" s="654"/>
      <c r="T560" s="654"/>
      <c r="U560" s="654"/>
      <c r="V560" s="655"/>
      <c r="W560" s="40" t="s">
        <v>0</v>
      </c>
      <c r="X560" s="41">
        <f>IFERROR(SUM(BM22:BM556),"0")</f>
        <v>949.40000000000009</v>
      </c>
      <c r="Y560" s="41">
        <f>IFERROR(SUM(BN22:BN556),"0")</f>
        <v>949.40000000000009</v>
      </c>
      <c r="Z560" s="40"/>
      <c r="AA560" s="64"/>
      <c r="AB560" s="64"/>
      <c r="AC560" s="64"/>
    </row>
    <row r="561" spans="1:32" x14ac:dyDescent="0.25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656"/>
      <c r="P561" s="653" t="s">
        <v>35</v>
      </c>
      <c r="Q561" s="654"/>
      <c r="R561" s="654"/>
      <c r="S561" s="654"/>
      <c r="T561" s="654"/>
      <c r="U561" s="654"/>
      <c r="V561" s="655"/>
      <c r="W561" s="40" t="s">
        <v>20</v>
      </c>
      <c r="X561" s="42">
        <f>ROUNDUP(SUM(BO22:BO556),0)</f>
        <v>2</v>
      </c>
      <c r="Y561" s="42">
        <f>ROUNDUP(SUM(BP22:BP556),0)</f>
        <v>2</v>
      </c>
      <c r="Z561" s="40"/>
      <c r="AA561" s="64"/>
      <c r="AB561" s="64"/>
      <c r="AC561" s="64"/>
    </row>
    <row r="562" spans="1:32" x14ac:dyDescent="0.25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656"/>
      <c r="P562" s="653" t="s">
        <v>36</v>
      </c>
      <c r="Q562" s="654"/>
      <c r="R562" s="654"/>
      <c r="S562" s="654"/>
      <c r="T562" s="654"/>
      <c r="U562" s="654"/>
      <c r="V562" s="655"/>
      <c r="W562" s="40" t="s">
        <v>0</v>
      </c>
      <c r="X562" s="41">
        <f>GrossWeightTotal+PalletQtyTotal*25</f>
        <v>999.40000000000009</v>
      </c>
      <c r="Y562" s="41">
        <f>GrossWeightTotalR+PalletQtyTotalR*25</f>
        <v>999.40000000000009</v>
      </c>
      <c r="Z562" s="40"/>
      <c r="AA562" s="64"/>
      <c r="AB562" s="64"/>
      <c r="AC562" s="64"/>
    </row>
    <row r="563" spans="1:32" x14ac:dyDescent="0.25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656"/>
      <c r="P563" s="653" t="s">
        <v>37</v>
      </c>
      <c r="Q563" s="654"/>
      <c r="R563" s="654"/>
      <c r="S563" s="654"/>
      <c r="T563" s="654"/>
      <c r="U563" s="654"/>
      <c r="V563" s="655"/>
      <c r="W563" s="40" t="s">
        <v>20</v>
      </c>
      <c r="X563" s="41">
        <f>IFERROR(X24+X32+X42+X51+X61+X68+X74+X81+X90+X99+X111+X119+X129+X134+X140+X145+X150+X161+X165+X172+X177+X192+X198+X202+X206+X218+X223+X240+X248+X254+X258+X264+X269+X280+X295+X300+X311+X315+X319+X325+X334+X341+X350+X355+X362+X371+X381+X388+X394+X401+X407+X413+X419+X426+X439+X445+X451+X456+X462+X466+X472+X483+X488+X493+X499+X513+X519+X529+X535+X539+X543+X547+X552+X557,"0")</f>
        <v>100</v>
      </c>
      <c r="Y563" s="41">
        <f>IFERROR(Y24+Y32+Y42+Y51+Y61+Y68+Y74+Y81+Y90+Y99+Y111+Y119+Y129+Y134+Y140+Y145+Y150+Y161+Y165+Y172+Y177+Y192+Y198+Y202+Y206+Y218+Y223+Y240+Y248+Y254+Y258+Y264+Y269+Y280+Y295+Y300+Y311+Y315+Y319+Y325+Y334+Y341+Y350+Y355+Y362+Y371+Y381+Y388+Y394+Y401+Y407+Y413+Y419+Y426+Y439+Y445+Y451+Y456+Y462+Y466+Y472+Y483+Y488+Y493+Y499+Y513+Y519+Y529+Y535+Y539+Y543+Y547+Y552+Y557,"0")</f>
        <v>100</v>
      </c>
      <c r="Z563" s="40"/>
      <c r="AA563" s="64"/>
      <c r="AB563" s="64"/>
      <c r="AC563" s="64"/>
    </row>
    <row r="564" spans="1:32" ht="15.6" hidden="1" x14ac:dyDescent="0.25">
      <c r="A564" s="651"/>
      <c r="B564" s="651"/>
      <c r="C564" s="651"/>
      <c r="D564" s="651"/>
      <c r="E564" s="651"/>
      <c r="F564" s="651"/>
      <c r="G564" s="651"/>
      <c r="H564" s="651"/>
      <c r="I564" s="651"/>
      <c r="J564" s="651"/>
      <c r="K564" s="651"/>
      <c r="L564" s="651"/>
      <c r="M564" s="651"/>
      <c r="N564" s="651"/>
      <c r="O564" s="656"/>
      <c r="P564" s="653" t="s">
        <v>38</v>
      </c>
      <c r="Q564" s="654"/>
      <c r="R564" s="654"/>
      <c r="S564" s="654"/>
      <c r="T564" s="654"/>
      <c r="U564" s="654"/>
      <c r="V564" s="655"/>
      <c r="W564" s="43" t="s">
        <v>52</v>
      </c>
      <c r="X564" s="40"/>
      <c r="Y564" s="40"/>
      <c r="Z564" s="40">
        <f>IFERROR(Z24+Z32+Z42+Z51+Z61+Z68+Z74+Z81+Z90+Z99+Z111+Z119+Z129+Z134+Z140+Z145+Z150+Z161+Z165+Z172+Z177+Z192+Z198+Z202+Z206+Z218+Z223+Z240+Z248+Z254+Z258+Z264+Z269+Z280+Z295+Z300+Z311+Z315+Z319+Z325+Z334+Z341+Z350+Z355+Z362+Z371+Z381+Z388+Z394+Z401+Z407+Z413+Z419+Z426+Z439+Z445+Z451+Z456+Z462+Z466+Z472+Z483+Z488+Z493+Z499+Z513+Z519+Z529+Z535+Z539+Z543+Z547+Z552+Z557,"0")</f>
        <v>1.8980000000000001</v>
      </c>
      <c r="AA564" s="64"/>
      <c r="AB564" s="64"/>
      <c r="AC564" s="64"/>
    </row>
    <row r="565" spans="1:32" ht="13.8" thickBot="1" x14ac:dyDescent="0.3"/>
    <row r="566" spans="1:32" ht="28.8" thickTop="1" thickBot="1" x14ac:dyDescent="0.3">
      <c r="A566" s="44" t="s">
        <v>9</v>
      </c>
      <c r="B566" s="80" t="s">
        <v>75</v>
      </c>
      <c r="C566" s="80" t="s">
        <v>45</v>
      </c>
      <c r="D566" s="647" t="s">
        <v>119</v>
      </c>
      <c r="E566" s="647" t="s">
        <v>119</v>
      </c>
      <c r="F566" s="647" t="s">
        <v>119</v>
      </c>
      <c r="G566" s="647" t="s">
        <v>119</v>
      </c>
      <c r="H566" s="647" t="s">
        <v>119</v>
      </c>
      <c r="I566" s="647" t="s">
        <v>119</v>
      </c>
      <c r="J566" s="647" t="s">
        <v>119</v>
      </c>
      <c r="K566" s="647" t="s">
        <v>359</v>
      </c>
      <c r="L566" s="647" t="s">
        <v>359</v>
      </c>
      <c r="M566" s="647" t="s">
        <v>359</v>
      </c>
      <c r="N566" s="657"/>
      <c r="O566" s="647" t="s">
        <v>359</v>
      </c>
      <c r="P566" s="647" t="s">
        <v>359</v>
      </c>
      <c r="Q566" s="647" t="s">
        <v>359</v>
      </c>
      <c r="R566" s="647" t="s">
        <v>359</v>
      </c>
      <c r="S566" s="647" t="s">
        <v>359</v>
      </c>
      <c r="T566" s="647" t="s">
        <v>359</v>
      </c>
      <c r="U566" s="647" t="s">
        <v>359</v>
      </c>
      <c r="V566" s="647" t="s">
        <v>359</v>
      </c>
      <c r="W566" s="647" t="s">
        <v>702</v>
      </c>
      <c r="X566" s="647" t="s">
        <v>702</v>
      </c>
      <c r="Y566" s="647" t="s">
        <v>768</v>
      </c>
      <c r="Z566" s="647" t="s">
        <v>768</v>
      </c>
      <c r="AA566" s="80" t="s">
        <v>804</v>
      </c>
      <c r="AB566" s="647" t="s">
        <v>851</v>
      </c>
      <c r="AC566" s="647" t="s">
        <v>851</v>
      </c>
      <c r="AF566" s="1"/>
    </row>
    <row r="567" spans="1:32" ht="14.25" customHeight="1" thickTop="1" x14ac:dyDescent="0.25">
      <c r="A567" s="658" t="s">
        <v>10</v>
      </c>
      <c r="B567" s="647" t="s">
        <v>75</v>
      </c>
      <c r="C567" s="647" t="s">
        <v>103</v>
      </c>
      <c r="D567" s="647" t="s">
        <v>120</v>
      </c>
      <c r="E567" s="647" t="s">
        <v>136</v>
      </c>
      <c r="F567" s="647" t="s">
        <v>181</v>
      </c>
      <c r="G567" s="647" t="s">
        <v>208</v>
      </c>
      <c r="H567" s="647" t="s">
        <v>259</v>
      </c>
      <c r="I567" s="647" t="s">
        <v>272</v>
      </c>
      <c r="J567" s="647" t="s">
        <v>119</v>
      </c>
      <c r="K567" s="647" t="s">
        <v>360</v>
      </c>
      <c r="L567" s="647" t="s">
        <v>381</v>
      </c>
      <c r="M567" s="647" t="s">
        <v>448</v>
      </c>
      <c r="N567" s="1"/>
      <c r="O567" s="647" t="s">
        <v>516</v>
      </c>
      <c r="P567" s="647" t="s">
        <v>549</v>
      </c>
      <c r="Q567" s="647" t="s">
        <v>565</v>
      </c>
      <c r="R567" s="647" t="s">
        <v>574</v>
      </c>
      <c r="S567" s="647" t="s">
        <v>595</v>
      </c>
      <c r="T567" s="647" t="s">
        <v>604</v>
      </c>
      <c r="U567" s="647" t="s">
        <v>685</v>
      </c>
      <c r="V567" s="647" t="s">
        <v>692</v>
      </c>
      <c r="W567" s="647" t="s">
        <v>703</v>
      </c>
      <c r="X567" s="647" t="s">
        <v>752</v>
      </c>
      <c r="Y567" s="647" t="s">
        <v>769</v>
      </c>
      <c r="Z567" s="647" t="s">
        <v>792</v>
      </c>
      <c r="AA567" s="647" t="s">
        <v>804</v>
      </c>
      <c r="AB567" s="647" t="s">
        <v>851</v>
      </c>
      <c r="AC567" s="647" t="s">
        <v>870</v>
      </c>
      <c r="AF567" s="1"/>
    </row>
    <row r="568" spans="1:32" ht="13.8" thickBot="1" x14ac:dyDescent="0.3">
      <c r="A568" s="659"/>
      <c r="B568" s="647"/>
      <c r="C568" s="647"/>
      <c r="D568" s="647"/>
      <c r="E568" s="647"/>
      <c r="F568" s="647"/>
      <c r="G568" s="647"/>
      <c r="H568" s="647"/>
      <c r="I568" s="647"/>
      <c r="J568" s="647"/>
      <c r="K568" s="647"/>
      <c r="L568" s="647"/>
      <c r="M568" s="647"/>
      <c r="N568" s="1"/>
      <c r="O568" s="647"/>
      <c r="P568" s="647"/>
      <c r="Q568" s="647"/>
      <c r="R568" s="647"/>
      <c r="S568" s="647"/>
      <c r="T568" s="647"/>
      <c r="U568" s="647"/>
      <c r="V568" s="647"/>
      <c r="W568" s="647"/>
      <c r="X568" s="647"/>
      <c r="Y568" s="647"/>
      <c r="Z568" s="647"/>
      <c r="AA568" s="647"/>
      <c r="AB568" s="647"/>
      <c r="AC568" s="647"/>
      <c r="AF568" s="1"/>
    </row>
    <row r="569" spans="1:32" ht="15" thickTop="1" thickBot="1" x14ac:dyDescent="0.3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69" s="50">
        <f>IFERROR(Y85*1,"0")+IFERROR(Y86*1,"0")+IFERROR(Y87*1,"0")+IFERROR(Y88*1,"0")+IFERROR(Y89*1,"0")+IFERROR(Y93*1,"0")+IFERROR(Y94*1,"0")+IFERROR(Y95*1,"0")+IFERROR(Y96*1,"0")+IFERROR(Y97*1,"0")+IFERROR(Y98*1,"0")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69" s="50">
        <f>IFERROR(Y138*1,"0")+IFERROR(Y139*1,"0")+IFERROR(Y143*1,"0")+IFERROR(Y144*1,"0")+IFERROR(Y148*1,"0")+IFERROR(Y149*1,"0")</f>
        <v>0</v>
      </c>
      <c r="I569" s="50">
        <f>IFERROR(Y154*1,"0")+IFERROR(Y155*1,"0")+IFERROR(Y156*1,"0")+IFERROR(Y157*1,"0")+IFERROR(Y158*1,"0")+IFERROR(Y159*1,"0")+IFERROR(Y160*1,"0")+IFERROR(Y164*1,"0")</f>
        <v>0</v>
      </c>
      <c r="J569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69" s="50">
        <f>IFERROR(Y211*1,"0")+IFERROR(Y212*1,"0")+IFERROR(Y213*1,"0")+IFERROR(Y214*1,"0")+IFERROR(Y215*1,"0")+IFERROR(Y216*1,"0")+IFERROR(Y217*1,"0")</f>
        <v>0</v>
      </c>
      <c r="L569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69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9" s="1"/>
      <c r="O569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69" s="50">
        <f>IFERROR(Y329*1,"0")+IFERROR(Y330*1,"0")+IFERROR(Y331*1,"0")+IFERROR(Y332*1,"0")+IFERROR(Y333*1,"0")</f>
        <v>0</v>
      </c>
      <c r="Q569" s="50">
        <f>IFERROR(Y338*1,"0")+IFERROR(Y339*1,"0")+IFERROR(Y340*1,"0")</f>
        <v>0</v>
      </c>
      <c r="R569" s="50">
        <f>IFERROR(Y345*1,"0")+IFERROR(Y346*1,"0")+IFERROR(Y347*1,"0")+IFERROR(Y348*1,"0")+IFERROR(Y349*1,"0")+IFERROR(Y353*1,"0")+IFERROR(Y354*1,"0")</f>
        <v>0</v>
      </c>
      <c r="S569" s="50">
        <f>IFERROR(Y359*1,"0")+IFERROR(Y360*1,"0")+IFERROR(Y361*1,"0")</f>
        <v>0</v>
      </c>
      <c r="T569" s="50">
        <f>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0</v>
      </c>
      <c r="X569" s="50">
        <f>IFERROR(Y460*1,"0")+IFERROR(Y461*1,"0")+IFERROR(Y465*1,"0")+IFERROR(Y469*1,"0")+IFERROR(Y470*1,"0")+IFERROR(Y471*1,"0")</f>
        <v>900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Ez7u2rCkyYGOiF7s32kpygkwAfawA8WnmcGsDkVfsi2m4u7c8VhZK5ujqEzqHfvqK6+zDvEI7rVAwjFSuZrYTA==" saltValue="RQ0MUXCwkEtvFkhUt3fmAg==" spinCount="100000" sheet="1" objects="1" scenarios="1" sort="0" autoFilter="0" pivotTables="0"/>
  <autoFilter ref="A18:AF564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"/>
        <filter val="700,00"/>
        <filter val="738,42"/>
        <filter val="77,78"/>
        <filter val="788,42"/>
      </filters>
    </filterColumn>
    <filterColumn colId="29" showButton="0"/>
    <filterColumn colId="30" showButton="0"/>
  </autoFilter>
  <dataConsolidate/>
  <mergeCells count="100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8"/>
  <sheetViews>
    <sheetView workbookViewId="0">
      <selection activeCell="B16" sqref="B16"/>
    </sheetView>
  </sheetViews>
  <sheetFormatPr defaultColWidth="8.88671875" defaultRowHeight="13.2" x14ac:dyDescent="0.25"/>
  <cols>
    <col min="1" max="1" width="6.44140625" customWidth="1"/>
    <col min="2" max="2" width="29.5546875" customWidth="1"/>
    <col min="3" max="3" width="34.109375" customWidth="1"/>
    <col min="4" max="4" width="37.44140625" customWidth="1"/>
  </cols>
  <sheetData>
    <row r="1" spans="2:8" x14ac:dyDescent="0.25">
      <c r="G1" t="s">
        <v>874</v>
      </c>
      <c r="H1" s="9"/>
    </row>
    <row r="3" spans="2:8" x14ac:dyDescent="0.25">
      <c r="B3" s="51" t="s">
        <v>875</v>
      </c>
      <c r="C3" s="51" t="s">
        <v>46</v>
      </c>
      <c r="D3" s="51" t="s">
        <v>46</v>
      </c>
      <c r="E3" s="51" t="s">
        <v>46</v>
      </c>
    </row>
    <row r="4" spans="2:8" x14ac:dyDescent="0.25">
      <c r="B4" s="51" t="s">
        <v>876</v>
      </c>
      <c r="C4" s="51" t="s">
        <v>46</v>
      </c>
      <c r="D4" s="51" t="s">
        <v>46</v>
      </c>
      <c r="E4" s="51" t="s">
        <v>46</v>
      </c>
    </row>
    <row r="6" spans="2:8" x14ac:dyDescent="0.25">
      <c r="B6" s="51" t="s">
        <v>877</v>
      </c>
      <c r="C6" s="51" t="s">
        <v>878</v>
      </c>
      <c r="D6" s="51" t="s">
        <v>879</v>
      </c>
      <c r="E6" s="51" t="s">
        <v>46</v>
      </c>
    </row>
    <row r="7" spans="2:8" x14ac:dyDescent="0.25">
      <c r="B7" s="51" t="s">
        <v>880</v>
      </c>
      <c r="C7" s="51" t="s">
        <v>881</v>
      </c>
      <c r="D7" s="51" t="s">
        <v>882</v>
      </c>
      <c r="E7" s="51" t="s">
        <v>46</v>
      </c>
    </row>
    <row r="8" spans="2:8" x14ac:dyDescent="0.25">
      <c r="B8" s="51" t="s">
        <v>883</v>
      </c>
      <c r="C8" s="51" t="s">
        <v>884</v>
      </c>
      <c r="D8" s="51" t="s">
        <v>885</v>
      </c>
      <c r="E8" s="51" t="s">
        <v>46</v>
      </c>
    </row>
    <row r="9" spans="2:8" x14ac:dyDescent="0.25">
      <c r="B9" s="51" t="s">
        <v>886</v>
      </c>
      <c r="C9" s="51" t="s">
        <v>887</v>
      </c>
      <c r="D9" s="51" t="s">
        <v>888</v>
      </c>
      <c r="E9" s="51" t="s">
        <v>46</v>
      </c>
    </row>
    <row r="10" spans="2:8" x14ac:dyDescent="0.25">
      <c r="B10" s="51" t="s">
        <v>889</v>
      </c>
      <c r="C10" s="51" t="s">
        <v>890</v>
      </c>
      <c r="D10" s="51" t="s">
        <v>891</v>
      </c>
      <c r="E10" s="51" t="s">
        <v>46</v>
      </c>
    </row>
    <row r="11" spans="2:8" x14ac:dyDescent="0.25">
      <c r="B11" s="51" t="s">
        <v>892</v>
      </c>
      <c r="C11" s="51" t="s">
        <v>893</v>
      </c>
      <c r="D11" s="51" t="s">
        <v>894</v>
      </c>
      <c r="E11" s="51" t="s">
        <v>46</v>
      </c>
    </row>
    <row r="12" spans="2:8" x14ac:dyDescent="0.25">
      <c r="B12" s="51" t="s">
        <v>895</v>
      </c>
      <c r="C12" s="51" t="s">
        <v>896</v>
      </c>
      <c r="D12" s="51" t="s">
        <v>897</v>
      </c>
      <c r="E12" s="51" t="s">
        <v>46</v>
      </c>
    </row>
    <row r="14" spans="2:8" x14ac:dyDescent="0.25">
      <c r="B14" s="51" t="s">
        <v>898</v>
      </c>
      <c r="C14" s="51" t="s">
        <v>878</v>
      </c>
      <c r="D14" s="51" t="s">
        <v>46</v>
      </c>
      <c r="E14" s="51" t="s">
        <v>46</v>
      </c>
    </row>
    <row r="16" spans="2:8" x14ac:dyDescent="0.25">
      <c r="B16" s="51" t="s">
        <v>899</v>
      </c>
      <c r="C16" s="51" t="s">
        <v>881</v>
      </c>
      <c r="D16" s="51" t="s">
        <v>46</v>
      </c>
      <c r="E16" s="51" t="s">
        <v>46</v>
      </c>
    </row>
    <row r="18" spans="2:5" x14ac:dyDescent="0.25">
      <c r="B18" s="51" t="s">
        <v>900</v>
      </c>
      <c r="C18" s="51" t="s">
        <v>884</v>
      </c>
      <c r="D18" s="51" t="s">
        <v>46</v>
      </c>
      <c r="E18" s="51" t="s">
        <v>46</v>
      </c>
    </row>
    <row r="20" spans="2:5" x14ac:dyDescent="0.25">
      <c r="B20" s="51" t="s">
        <v>901</v>
      </c>
      <c r="C20" s="51" t="s">
        <v>887</v>
      </c>
      <c r="D20" s="51" t="s">
        <v>46</v>
      </c>
      <c r="E20" s="51" t="s">
        <v>46</v>
      </c>
    </row>
    <row r="22" spans="2:5" x14ac:dyDescent="0.25">
      <c r="B22" s="51" t="s">
        <v>902</v>
      </c>
      <c r="C22" s="51" t="s">
        <v>890</v>
      </c>
      <c r="D22" s="51" t="s">
        <v>46</v>
      </c>
      <c r="E22" s="51" t="s">
        <v>46</v>
      </c>
    </row>
    <row r="24" spans="2:5" x14ac:dyDescent="0.25">
      <c r="B24" s="51" t="s">
        <v>903</v>
      </c>
      <c r="C24" s="51" t="s">
        <v>893</v>
      </c>
      <c r="D24" s="51" t="s">
        <v>46</v>
      </c>
      <c r="E24" s="51" t="s">
        <v>46</v>
      </c>
    </row>
    <row r="26" spans="2:5" x14ac:dyDescent="0.25">
      <c r="B26" s="51" t="s">
        <v>904</v>
      </c>
      <c r="C26" s="51" t="s">
        <v>896</v>
      </c>
      <c r="D26" s="51" t="s">
        <v>46</v>
      </c>
      <c r="E26" s="51" t="s">
        <v>46</v>
      </c>
    </row>
    <row r="28" spans="2:5" x14ac:dyDescent="0.25">
      <c r="B28" s="51" t="s">
        <v>905</v>
      </c>
      <c r="C28" s="51" t="s">
        <v>46</v>
      </c>
      <c r="D28" s="51" t="s">
        <v>46</v>
      </c>
      <c r="E28" s="51" t="s">
        <v>46</v>
      </c>
    </row>
    <row r="29" spans="2:5" x14ac:dyDescent="0.25">
      <c r="B29" s="51" t="s">
        <v>906</v>
      </c>
      <c r="C29" s="51" t="s">
        <v>46</v>
      </c>
      <c r="D29" s="51" t="s">
        <v>46</v>
      </c>
      <c r="E29" s="51" t="s">
        <v>46</v>
      </c>
    </row>
    <row r="30" spans="2:5" x14ac:dyDescent="0.25">
      <c r="B30" s="51" t="s">
        <v>907</v>
      </c>
      <c r="C30" s="51" t="s">
        <v>46</v>
      </c>
      <c r="D30" s="51" t="s">
        <v>46</v>
      </c>
      <c r="E30" s="51" t="s">
        <v>46</v>
      </c>
    </row>
    <row r="31" spans="2:5" x14ac:dyDescent="0.25">
      <c r="B31" s="51" t="s">
        <v>908</v>
      </c>
      <c r="C31" s="51" t="s">
        <v>46</v>
      </c>
      <c r="D31" s="51" t="s">
        <v>46</v>
      </c>
      <c r="E31" s="51" t="s">
        <v>46</v>
      </c>
    </row>
    <row r="32" spans="2:5" x14ac:dyDescent="0.25">
      <c r="B32" s="51" t="s">
        <v>909</v>
      </c>
      <c r="C32" s="51" t="s">
        <v>46</v>
      </c>
      <c r="D32" s="51" t="s">
        <v>46</v>
      </c>
      <c r="E32" s="51" t="s">
        <v>46</v>
      </c>
    </row>
    <row r="33" spans="2:5" x14ac:dyDescent="0.25">
      <c r="B33" s="51" t="s">
        <v>910</v>
      </c>
      <c r="C33" s="51" t="s">
        <v>46</v>
      </c>
      <c r="D33" s="51" t="s">
        <v>46</v>
      </c>
      <c r="E33" s="51" t="s">
        <v>46</v>
      </c>
    </row>
    <row r="34" spans="2:5" x14ac:dyDescent="0.25">
      <c r="B34" s="51" t="s">
        <v>911</v>
      </c>
      <c r="C34" s="51" t="s">
        <v>46</v>
      </c>
      <c r="D34" s="51" t="s">
        <v>46</v>
      </c>
      <c r="E34" s="51" t="s">
        <v>46</v>
      </c>
    </row>
    <row r="35" spans="2:5" x14ac:dyDescent="0.25">
      <c r="B35" s="51" t="s">
        <v>912</v>
      </c>
      <c r="C35" s="51" t="s">
        <v>46</v>
      </c>
      <c r="D35" s="51" t="s">
        <v>46</v>
      </c>
      <c r="E35" s="51" t="s">
        <v>46</v>
      </c>
    </row>
    <row r="36" spans="2:5" x14ac:dyDescent="0.25">
      <c r="B36" s="51" t="s">
        <v>913</v>
      </c>
      <c r="C36" s="51" t="s">
        <v>46</v>
      </c>
      <c r="D36" s="51" t="s">
        <v>46</v>
      </c>
      <c r="E36" s="51" t="s">
        <v>46</v>
      </c>
    </row>
    <row r="37" spans="2:5" x14ac:dyDescent="0.25">
      <c r="B37" s="51" t="s">
        <v>914</v>
      </c>
      <c r="C37" s="51" t="s">
        <v>46</v>
      </c>
      <c r="D37" s="51" t="s">
        <v>46</v>
      </c>
      <c r="E37" s="51" t="s">
        <v>46</v>
      </c>
    </row>
    <row r="38" spans="2:5" x14ac:dyDescent="0.25">
      <c r="B38" s="51" t="s">
        <v>915</v>
      </c>
      <c r="C38" s="51" t="s">
        <v>46</v>
      </c>
      <c r="D38" s="51" t="s">
        <v>46</v>
      </c>
      <c r="E38" s="51" t="s">
        <v>46</v>
      </c>
    </row>
  </sheetData>
  <sheetProtection algorithmName="SHA-512" hashValue="YotSpYhd/XFmWMfFzXvsq8yCaUf+zyf2UC3b9cdHF+bpsaUbBzNP9QN2DmUr4pdqoj+rfX+lnxuTHPv4Lu5xjA==" saltValue="5KAXF2NJTVchFh4BOZLS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a1</cp:lastModifiedBy>
  <dcterms:created xsi:type="dcterms:W3CDTF">2021-11-12T12:13:19Z</dcterms:created>
  <dcterms:modified xsi:type="dcterms:W3CDTF">2026-08-29T10:27:09Z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